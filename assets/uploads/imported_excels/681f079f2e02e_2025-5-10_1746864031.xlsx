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5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6.xml" ContentType="application/vnd.openxmlformats-officedocument.drawingml.chart+xml"/>
  <Override PartName="/xl/drawings/drawing17.xml" ContentType="application/vnd.openxmlformats-officedocument.drawing+xml"/>
  <Override PartName="/xl/charts/chart7.xml" ContentType="application/vnd.openxmlformats-officedocument.drawingml.chart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5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56.xml" ContentType="application/vnd.openxmlformats-officedocument.drawingml.chart+xml"/>
  <Override PartName="/xl/drawings/drawing22.xml" ContentType="application/vnd.openxmlformats-officedocument.drawingml.chartshapes+xml"/>
  <Override PartName="/xl/charts/chart57.xml" ContentType="application/vnd.openxmlformats-officedocument.drawingml.chart+xml"/>
  <Override PartName="/xl/drawings/drawing23.xml" ContentType="application/vnd.openxmlformats-officedocument.drawingml.chartshapes+xml"/>
  <Override PartName="/xl/charts/chart58.xml" ContentType="application/vnd.openxmlformats-officedocument.drawingml.chart+xml"/>
  <Override PartName="/xl/drawings/drawing24.xml" ContentType="application/vnd.openxmlformats-officedocument.drawingml.chartshapes+xml"/>
  <Override PartName="/xl/charts/chart59.xml" ContentType="application/vnd.openxmlformats-officedocument.drawingml.chart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Engineering Daily &amp; Monthly Records -Rotana Eng 2024\HL&amp;P Records\"/>
    </mc:Choice>
  </mc:AlternateContent>
  <bookViews>
    <workbookView showVerticalScroll="0" xWindow="0" yWindow="0" windowWidth="20490" windowHeight="7620" tabRatio="912" activeTab="1"/>
  </bookViews>
  <sheets>
    <sheet name="Total" sheetId="50" r:id="rId1"/>
    <sheet name="Daily Consumption" sheetId="28" r:id="rId2"/>
    <sheet name="Reading.5.25" sheetId="6" r:id="rId3"/>
    <sheet name="Sheet4" sheetId="51" r:id="rId4"/>
    <sheet name="cost.5.25" sheetId="5" r:id="rId5"/>
    <sheet name="Domestic Water" sheetId="47" r:id="rId6"/>
    <sheet name="Main Pool" sheetId="40" r:id="rId7"/>
    <sheet name="Heated Pool" sheetId="41" r:id="rId8"/>
    <sheet name="Kids pool " sheetId="42" r:id="rId9"/>
    <sheet name="Jacuzzi" sheetId="43" r:id="rId10"/>
    <sheet name="Fountains &amp; Lagoons" sheetId="44" r:id="rId11"/>
    <sheet name="Boilers" sheetId="45" r:id="rId12"/>
    <sheet name="Electricity Chart" sheetId="7" r:id="rId13"/>
    <sheet name="Chillers" sheetId="46" r:id="rId14"/>
    <sheet name="Boiler Gas Chart" sheetId="8" r:id="rId15"/>
    <sheet name="Kitchen Gas Chart" sheetId="9" r:id="rId16"/>
    <sheet name="Water Consumption" sheetId="10" r:id="rId17"/>
    <sheet name="Reading.5.24" sheetId="26" r:id="rId18"/>
    <sheet name="Cost.4.24" sheetId="38" r:id="rId19"/>
    <sheet name="Sheet1" sheetId="37" r:id="rId20"/>
    <sheet name="Daily Consumption new" sheetId="39" r:id="rId21"/>
    <sheet name="Sheet2" sheetId="48" r:id="rId22"/>
    <sheet name="Sheet3" sheetId="49" r:id="rId23"/>
  </sheets>
  <externalReferences>
    <externalReference r:id="rId24"/>
    <externalReference r:id="rId25"/>
  </externalReferences>
  <definedNames>
    <definedName name="_xlnm.Print_Area" localSheetId="11">Boilers!$A$1:$Y$43</definedName>
    <definedName name="_xlnm.Print_Area" localSheetId="20">'Daily Consumption new'!$A$1:$N$58</definedName>
    <definedName name="_xlnm.Print_Area" localSheetId="5">'Domestic Water'!$A$1:$N$42</definedName>
    <definedName name="_xlnm.Print_Area" localSheetId="10">'Fountains &amp; Lagoons'!$A$1:$P$41</definedName>
    <definedName name="_xlnm.Print_Area" localSheetId="7">'Heated Pool'!$A$1:$O$41</definedName>
    <definedName name="_xlnm.Print_Area" localSheetId="9">Jacuzzi!$A$1:$O$41</definedName>
    <definedName name="_xlnm.Print_Area" localSheetId="8">'Kids pool '!$A$1:$O$41</definedName>
    <definedName name="_xlnm.Print_Area" localSheetId="6">'Main Pool'!$A$1:$O$41</definedName>
    <definedName name="_xlnm.Print_Area" localSheetId="2">'Reading.5.25'!$EN$5:$ES$27</definedName>
    <definedName name="_xlnm.Print_Titles" localSheetId="13">Chillers!$1:$9</definedName>
    <definedName name="_xlnm.Print_Titles" localSheetId="18">'Cost.4.24'!$A:$I,'Cost.4.24'!$1:$2</definedName>
    <definedName name="_xlnm.Print_Titles" localSheetId="4">'cost.5.25'!$A:$I,'cost.5.25'!$1:$2</definedName>
    <definedName name="شت8">'cost.5.25'!$H$18</definedName>
  </definedNames>
  <calcPr calcId="162913"/>
</workbook>
</file>

<file path=xl/calcChain.xml><?xml version="1.0" encoding="utf-8"?>
<calcChain xmlns="http://schemas.openxmlformats.org/spreadsheetml/2006/main">
  <c r="BG15" i="5" l="1"/>
  <c r="BC15" i="5"/>
  <c r="AR15" i="5"/>
  <c r="AQ15" i="5"/>
  <c r="AM15" i="5"/>
  <c r="AL15" i="5"/>
  <c r="AK15" i="5"/>
  <c r="AJ15" i="5"/>
  <c r="AG15" i="5"/>
  <c r="AF15" i="5"/>
  <c r="AO15" i="5" s="1"/>
  <c r="AE15" i="5"/>
  <c r="AD15" i="5"/>
  <c r="AP15" i="5" s="1"/>
  <c r="Y15" i="5"/>
  <c r="X15" i="5"/>
  <c r="W15" i="5"/>
  <c r="S15" i="5"/>
  <c r="R15" i="5"/>
  <c r="BD15" i="5" s="1"/>
  <c r="BH15" i="5" s="1"/>
  <c r="Q15" i="5"/>
  <c r="P15" i="5"/>
  <c r="L15" i="5"/>
  <c r="K15" i="5"/>
  <c r="H15" i="5"/>
  <c r="D15" i="5"/>
  <c r="ET13" i="6"/>
  <c r="EQ13" i="6"/>
  <c r="F13" i="6" s="1"/>
  <c r="G13" i="6" s="1"/>
  <c r="Z15" i="5" s="1"/>
  <c r="EL13" i="6"/>
  <c r="EK13" i="6"/>
  <c r="EH13" i="6"/>
  <c r="EG13" i="6"/>
  <c r="ED13" i="6"/>
  <c r="EA13" i="6"/>
  <c r="DV13" i="6"/>
  <c r="DU13" i="6"/>
  <c r="DR13" i="6"/>
  <c r="DQ13" i="6"/>
  <c r="DN13" i="6"/>
  <c r="DM13" i="6"/>
  <c r="DJ13" i="6"/>
  <c r="DI13" i="6"/>
  <c r="DF13" i="6"/>
  <c r="DE13" i="6"/>
  <c r="DB13" i="6"/>
  <c r="DA13" i="6"/>
  <c r="CX13" i="6"/>
  <c r="CW13" i="6"/>
  <c r="CT13" i="6"/>
  <c r="CS13" i="6"/>
  <c r="CQ13" i="6"/>
  <c r="CK13" i="6"/>
  <c r="CJ13" i="6"/>
  <c r="CH13" i="6"/>
  <c r="CG13" i="6"/>
  <c r="CD13" i="6"/>
  <c r="CC13" i="6"/>
  <c r="BZ13" i="6"/>
  <c r="BY13" i="6"/>
  <c r="BV13" i="6"/>
  <c r="BU13" i="6"/>
  <c r="BR13" i="6"/>
  <c r="BQ13" i="6"/>
  <c r="CM13" i="6" s="1"/>
  <c r="BN13" i="6"/>
  <c r="BJ13" i="6"/>
  <c r="BI13" i="6"/>
  <c r="BH13" i="6"/>
  <c r="AZ13" i="6"/>
  <c r="AY13" i="6"/>
  <c r="AU13" i="6"/>
  <c r="AR13" i="6"/>
  <c r="AQ13" i="6"/>
  <c r="AO13" i="6"/>
  <c r="AN13" i="6"/>
  <c r="AM13" i="6"/>
  <c r="F15" i="5" s="1"/>
  <c r="AJ13" i="6"/>
  <c r="AG13" i="6"/>
  <c r="AF13" i="6"/>
  <c r="AC13" i="6"/>
  <c r="AB13" i="6"/>
  <c r="Y13" i="6"/>
  <c r="X13" i="6"/>
  <c r="AV13" i="6" s="1"/>
  <c r="U13" i="6"/>
  <c r="T13" i="6"/>
  <c r="O15" i="5" s="1"/>
  <c r="T15" i="5" s="1"/>
  <c r="P13" i="6"/>
  <c r="O13" i="6"/>
  <c r="AB15" i="5" s="1"/>
  <c r="AC15" i="5" s="1"/>
  <c r="L13" i="6"/>
  <c r="K13" i="6"/>
  <c r="AH15" i="5" s="1"/>
  <c r="AI15" i="5" s="1"/>
  <c r="H13" i="6"/>
  <c r="C13" i="6"/>
  <c r="EC13" i="6" s="1"/>
  <c r="CR13" i="6" l="1"/>
  <c r="J15" i="5"/>
  <c r="M15" i="5" s="1"/>
  <c r="V15" i="5"/>
  <c r="CN13" i="6"/>
  <c r="BA13" i="6"/>
  <c r="AY15" i="5"/>
  <c r="DZ13" i="6"/>
  <c r="AX15" i="5"/>
  <c r="AW15" i="5"/>
  <c r="AS15" i="5"/>
  <c r="BA15" i="5" s="1"/>
  <c r="AN15" i="5"/>
  <c r="AZ15" i="5" s="1"/>
  <c r="AE13" i="6"/>
  <c r="AV15" i="5" s="1"/>
  <c r="C21" i="28"/>
  <c r="BG14" i="5"/>
  <c r="BC14" i="5"/>
  <c r="AR14" i="5"/>
  <c r="AQ14" i="5"/>
  <c r="AM14" i="5"/>
  <c r="AL14" i="5"/>
  <c r="AK14" i="5"/>
  <c r="AJ14" i="5"/>
  <c r="AG14" i="5"/>
  <c r="AF14" i="5"/>
  <c r="AO14" i="5" s="1"/>
  <c r="AE14" i="5"/>
  <c r="AD14" i="5"/>
  <c r="AP14" i="5" s="1"/>
  <c r="Y14" i="5"/>
  <c r="X14" i="5"/>
  <c r="W14" i="5"/>
  <c r="S14" i="5"/>
  <c r="R14" i="5"/>
  <c r="P14" i="5"/>
  <c r="L14" i="5"/>
  <c r="K14" i="5"/>
  <c r="BD14" i="5" s="1"/>
  <c r="BH14" i="5" s="1"/>
  <c r="H14" i="5"/>
  <c r="D14" i="5"/>
  <c r="AB12" i="6"/>
  <c r="Q14" i="5" s="1"/>
  <c r="ET12" i="6"/>
  <c r="EQ12" i="6"/>
  <c r="EL12" i="6"/>
  <c r="EK12" i="6"/>
  <c r="EH12" i="6"/>
  <c r="EG12" i="6"/>
  <c r="ED12" i="6"/>
  <c r="EA12" i="6"/>
  <c r="DV12" i="6"/>
  <c r="DU12" i="6"/>
  <c r="DR12" i="6"/>
  <c r="DQ12" i="6"/>
  <c r="DN12" i="6"/>
  <c r="DM12" i="6"/>
  <c r="DJ12" i="6"/>
  <c r="DI12" i="6"/>
  <c r="DF12" i="6"/>
  <c r="DE12" i="6"/>
  <c r="DB12" i="6"/>
  <c r="DA12" i="6"/>
  <c r="CX12" i="6"/>
  <c r="CW12" i="6"/>
  <c r="CT12" i="6"/>
  <c r="CQ12" i="6"/>
  <c r="CK12" i="6"/>
  <c r="CJ12" i="6"/>
  <c r="CH12" i="6"/>
  <c r="CG12" i="6"/>
  <c r="CD12" i="6"/>
  <c r="CC12" i="6"/>
  <c r="BZ12" i="6"/>
  <c r="BY12" i="6"/>
  <c r="BV12" i="6"/>
  <c r="BU12" i="6"/>
  <c r="BR12" i="6"/>
  <c r="BQ12" i="6"/>
  <c r="BJ12" i="6"/>
  <c r="BI12" i="6"/>
  <c r="BH12" i="6"/>
  <c r="AY12" i="6"/>
  <c r="AU12" i="6"/>
  <c r="AR12" i="6"/>
  <c r="AQ12" i="6"/>
  <c r="AO12" i="6"/>
  <c r="AN12" i="6"/>
  <c r="AM12" i="6"/>
  <c r="F14" i="5" s="1"/>
  <c r="AJ12" i="6"/>
  <c r="AG12" i="6"/>
  <c r="AF12" i="6"/>
  <c r="AC12" i="6"/>
  <c r="Y12" i="6"/>
  <c r="X12" i="6"/>
  <c r="J14" i="5" s="1"/>
  <c r="M14" i="5" s="1"/>
  <c r="U12" i="6"/>
  <c r="T12" i="6"/>
  <c r="O14" i="5" s="1"/>
  <c r="T14" i="5" s="1"/>
  <c r="P12" i="6"/>
  <c r="O12" i="6"/>
  <c r="AB14" i="5" s="1"/>
  <c r="AC14" i="5" s="1"/>
  <c r="L12" i="6"/>
  <c r="K12" i="6"/>
  <c r="AH14" i="5" s="1"/>
  <c r="AI14" i="5" s="1"/>
  <c r="H12" i="6"/>
  <c r="F12" i="6"/>
  <c r="C12" i="6"/>
  <c r="EC12" i="6" s="1"/>
  <c r="AW14" i="5" l="1"/>
  <c r="CN12" i="6"/>
  <c r="AS14" i="5"/>
  <c r="BA14" i="5" s="1"/>
  <c r="BE15" i="5"/>
  <c r="BI15" i="5" s="1"/>
  <c r="AN14" i="5"/>
  <c r="AZ14" i="5" s="1"/>
  <c r="G12" i="6"/>
  <c r="DZ12" i="6"/>
  <c r="CM12" i="6"/>
  <c r="AE12" i="6"/>
  <c r="AV14" i="5" s="1"/>
  <c r="AV12" i="6"/>
  <c r="BG13" i="5"/>
  <c r="BC13" i="5"/>
  <c r="AR13" i="5"/>
  <c r="AQ13" i="5"/>
  <c r="AM13" i="5"/>
  <c r="AL13" i="5"/>
  <c r="AK13" i="5"/>
  <c r="AJ13" i="5"/>
  <c r="AG13" i="5"/>
  <c r="AF13" i="5"/>
  <c r="AO13" i="5" s="1"/>
  <c r="AE13" i="5"/>
  <c r="AD13" i="5"/>
  <c r="AP13" i="5" s="1"/>
  <c r="AB13" i="5"/>
  <c r="AC13" i="5" s="1"/>
  <c r="Y13" i="5"/>
  <c r="X13" i="5"/>
  <c r="W13" i="5"/>
  <c r="S13" i="5"/>
  <c r="R13" i="5"/>
  <c r="Q13" i="5"/>
  <c r="P13" i="5"/>
  <c r="L13" i="5"/>
  <c r="K13" i="5"/>
  <c r="BD13" i="5" s="1"/>
  <c r="BH13" i="5" s="1"/>
  <c r="H13" i="5"/>
  <c r="D13" i="5"/>
  <c r="BG12" i="5"/>
  <c r="BC12" i="5"/>
  <c r="AR12" i="5"/>
  <c r="AQ12" i="5"/>
  <c r="AM12" i="5"/>
  <c r="AL12" i="5"/>
  <c r="AK12" i="5"/>
  <c r="AJ12" i="5"/>
  <c r="AG12" i="5"/>
  <c r="AF12" i="5"/>
  <c r="AO12" i="5" s="1"/>
  <c r="AE12" i="5"/>
  <c r="AD12" i="5"/>
  <c r="AP12" i="5" s="1"/>
  <c r="Y12" i="5"/>
  <c r="X12" i="5"/>
  <c r="W12" i="5"/>
  <c r="S12" i="5"/>
  <c r="R12" i="5"/>
  <c r="P12" i="5"/>
  <c r="L12" i="5"/>
  <c r="K12" i="5"/>
  <c r="BD12" i="5" s="1"/>
  <c r="BH12" i="5" s="1"/>
  <c r="H12" i="5"/>
  <c r="D12" i="5"/>
  <c r="ET11" i="6"/>
  <c r="EQ11" i="6"/>
  <c r="F11" i="6" s="1"/>
  <c r="EL11" i="6"/>
  <c r="EK11" i="6"/>
  <c r="EH11" i="6"/>
  <c r="EG11" i="6"/>
  <c r="ED11" i="6"/>
  <c r="EA11" i="6"/>
  <c r="DV11" i="6"/>
  <c r="DU11" i="6"/>
  <c r="DR11" i="6"/>
  <c r="DQ11" i="6"/>
  <c r="DN11" i="6"/>
  <c r="DM11" i="6"/>
  <c r="DJ11" i="6"/>
  <c r="DI11" i="6"/>
  <c r="DF11" i="6"/>
  <c r="DE11" i="6"/>
  <c r="DB11" i="6"/>
  <c r="DA11" i="6"/>
  <c r="CX11" i="6"/>
  <c r="CW11" i="6"/>
  <c r="CT11" i="6"/>
  <c r="CQ11" i="6"/>
  <c r="CK11" i="6"/>
  <c r="CJ11" i="6"/>
  <c r="CH11" i="6"/>
  <c r="CG11" i="6"/>
  <c r="CD11" i="6"/>
  <c r="CC11" i="6"/>
  <c r="BZ11" i="6"/>
  <c r="BY11" i="6"/>
  <c r="BV11" i="6"/>
  <c r="BU11" i="6"/>
  <c r="BR11" i="6"/>
  <c r="CN11" i="6" s="1"/>
  <c r="BQ11" i="6"/>
  <c r="CM11" i="6" s="1"/>
  <c r="BJ11" i="6"/>
  <c r="BI11" i="6"/>
  <c r="BH11" i="6"/>
  <c r="AY11" i="6"/>
  <c r="AU11" i="6"/>
  <c r="AR11" i="6"/>
  <c r="AQ11" i="6"/>
  <c r="AO11" i="6"/>
  <c r="AN11" i="6"/>
  <c r="AM11" i="6"/>
  <c r="F13" i="5" s="1"/>
  <c r="AV13" i="5" s="1"/>
  <c r="AJ11" i="6"/>
  <c r="AG11" i="6"/>
  <c r="AF11" i="6"/>
  <c r="AC11" i="6"/>
  <c r="AB11" i="6"/>
  <c r="Y11" i="6"/>
  <c r="X11" i="6"/>
  <c r="AE11" i="6" s="1"/>
  <c r="U11" i="6"/>
  <c r="T11" i="6"/>
  <c r="O13" i="5" s="1"/>
  <c r="T13" i="5" s="1"/>
  <c r="P11" i="6"/>
  <c r="O11" i="6"/>
  <c r="L11" i="6"/>
  <c r="K11" i="6"/>
  <c r="AH13" i="5" s="1"/>
  <c r="AI13" i="5" s="1"/>
  <c r="H11" i="6"/>
  <c r="C11" i="6"/>
  <c r="EC11" i="6" s="1"/>
  <c r="CR12" i="6" l="1"/>
  <c r="V14" i="5"/>
  <c r="AX14" i="5" s="1"/>
  <c r="Z14" i="5"/>
  <c r="J13" i="5"/>
  <c r="M13" i="5" s="1"/>
  <c r="AW13" i="5" s="1"/>
  <c r="AS13" i="5"/>
  <c r="BA13" i="5" s="1"/>
  <c r="AN13" i="5"/>
  <c r="AZ13" i="5" s="1"/>
  <c r="G11" i="6"/>
  <c r="DZ11" i="6"/>
  <c r="AV11" i="6"/>
  <c r="CR11" i="6"/>
  <c r="ET10" i="6"/>
  <c r="EQ10" i="6"/>
  <c r="F10" i="6" s="1"/>
  <c r="EL10" i="6"/>
  <c r="EK10" i="6"/>
  <c r="EH10" i="6"/>
  <c r="EG10" i="6"/>
  <c r="ED10" i="6"/>
  <c r="EA10" i="6"/>
  <c r="DV10" i="6"/>
  <c r="DU10" i="6"/>
  <c r="DR10" i="6"/>
  <c r="DQ10" i="6"/>
  <c r="DN10" i="6"/>
  <c r="DM10" i="6"/>
  <c r="DJ10" i="6"/>
  <c r="DI10" i="6"/>
  <c r="DF10" i="6"/>
  <c r="DE10" i="6"/>
  <c r="DB10" i="6"/>
  <c r="DA10" i="6"/>
  <c r="CX10" i="6"/>
  <c r="CW10" i="6"/>
  <c r="CT10" i="6"/>
  <c r="CQ10" i="6"/>
  <c r="CK10" i="6"/>
  <c r="CJ10" i="6"/>
  <c r="CH10" i="6"/>
  <c r="CG10" i="6"/>
  <c r="CD10" i="6"/>
  <c r="CC10" i="6"/>
  <c r="BZ10" i="6"/>
  <c r="BY10" i="6"/>
  <c r="BV10" i="6"/>
  <c r="BU10" i="6"/>
  <c r="BR10" i="6"/>
  <c r="BQ10" i="6"/>
  <c r="BJ10" i="6"/>
  <c r="BI10" i="6"/>
  <c r="BH10" i="6"/>
  <c r="AY10" i="6"/>
  <c r="AU10" i="6"/>
  <c r="AR10" i="6"/>
  <c r="AQ10" i="6"/>
  <c r="AO10" i="6"/>
  <c r="AN10" i="6"/>
  <c r="AM10" i="6"/>
  <c r="F12" i="5" s="1"/>
  <c r="AJ10" i="6"/>
  <c r="AG10" i="6"/>
  <c r="AF10" i="6"/>
  <c r="AC10" i="6"/>
  <c r="AB10" i="6"/>
  <c r="Q12" i="5" s="1"/>
  <c r="Y10" i="6"/>
  <c r="X10" i="6"/>
  <c r="U10" i="6"/>
  <c r="T10" i="6"/>
  <c r="O12" i="5" s="1"/>
  <c r="T12" i="5" s="1"/>
  <c r="P10" i="6"/>
  <c r="O10" i="6"/>
  <c r="AB12" i="5" s="1"/>
  <c r="AC12" i="5" s="1"/>
  <c r="AS12" i="5" s="1"/>
  <c r="BA12" i="5" s="1"/>
  <c r="L10" i="6"/>
  <c r="K10" i="6"/>
  <c r="AH12" i="5" s="1"/>
  <c r="AI12" i="5" s="1"/>
  <c r="H10" i="6"/>
  <c r="C10" i="6"/>
  <c r="EC10" i="6" s="1"/>
  <c r="AV10" i="6" l="1"/>
  <c r="J12" i="5"/>
  <c r="M12" i="5" s="1"/>
  <c r="Z13" i="5"/>
  <c r="AY13" i="5" s="1"/>
  <c r="V13" i="5"/>
  <c r="AX13" i="5" s="1"/>
  <c r="BE14" i="5"/>
  <c r="BI14" i="5" s="1"/>
  <c r="AY14" i="5"/>
  <c r="AW12" i="5"/>
  <c r="CN10" i="6"/>
  <c r="AV12" i="5"/>
  <c r="AN12" i="5"/>
  <c r="AZ12" i="5" s="1"/>
  <c r="BE13" i="5"/>
  <c r="BI13" i="5" s="1"/>
  <c r="G10" i="6"/>
  <c r="DZ10" i="6"/>
  <c r="CM10" i="6"/>
  <c r="AE10" i="6"/>
  <c r="D11" i="5"/>
  <c r="H11" i="5"/>
  <c r="K11" i="5"/>
  <c r="L11" i="5"/>
  <c r="P11" i="5"/>
  <c r="Q11" i="5"/>
  <c r="R11" i="5"/>
  <c r="S11" i="5"/>
  <c r="W11" i="5"/>
  <c r="X11" i="5"/>
  <c r="Y11" i="5"/>
  <c r="AB11" i="5"/>
  <c r="AC11" i="5" s="1"/>
  <c r="AD11" i="5"/>
  <c r="AE11" i="5"/>
  <c r="AF11" i="5"/>
  <c r="AG11" i="5"/>
  <c r="AJ11" i="5"/>
  <c r="AK11" i="5"/>
  <c r="AL11" i="5"/>
  <c r="AM11" i="5"/>
  <c r="AO11" i="5"/>
  <c r="AP11" i="5"/>
  <c r="AQ11" i="5"/>
  <c r="AR11" i="5"/>
  <c r="BC11" i="5"/>
  <c r="BD11" i="5"/>
  <c r="BH11" i="5" s="1"/>
  <c r="BG11" i="5"/>
  <c r="AQ6" i="6"/>
  <c r="AQ7" i="6"/>
  <c r="AQ8" i="6"/>
  <c r="AQ9" i="6"/>
  <c r="C9" i="6"/>
  <c r="H9" i="6"/>
  <c r="K9" i="6"/>
  <c r="AH11" i="5" s="1"/>
  <c r="AI11" i="5" s="1"/>
  <c r="L9" i="6"/>
  <c r="O9" i="6"/>
  <c r="P9" i="6"/>
  <c r="T9" i="6"/>
  <c r="O11" i="5" s="1"/>
  <c r="T11" i="5" s="1"/>
  <c r="U9" i="6"/>
  <c r="X9" i="6"/>
  <c r="J11" i="5" s="1"/>
  <c r="M11" i="5" s="1"/>
  <c r="Y9" i="6"/>
  <c r="AB9" i="6"/>
  <c r="AC9" i="6"/>
  <c r="AF9" i="6"/>
  <c r="AG9" i="6"/>
  <c r="AJ9" i="6"/>
  <c r="AM9" i="6"/>
  <c r="F11" i="5" s="1"/>
  <c r="AN9" i="6"/>
  <c r="AO9" i="6"/>
  <c r="AR9" i="6"/>
  <c r="AU9" i="6"/>
  <c r="AV9" i="6" s="1"/>
  <c r="AY9" i="6"/>
  <c r="BH9" i="6"/>
  <c r="BI9" i="6"/>
  <c r="BJ9" i="6"/>
  <c r="BQ9" i="6"/>
  <c r="BR9" i="6"/>
  <c r="BU9" i="6"/>
  <c r="BV9" i="6"/>
  <c r="BY9" i="6"/>
  <c r="BZ9" i="6"/>
  <c r="CC9" i="6"/>
  <c r="CD9" i="6"/>
  <c r="CG9" i="6"/>
  <c r="CH9" i="6"/>
  <c r="CJ9" i="6"/>
  <c r="CK9" i="6"/>
  <c r="CM9" i="6"/>
  <c r="CQ9" i="6"/>
  <c r="CT9" i="6"/>
  <c r="CW9" i="6"/>
  <c r="CX9" i="6"/>
  <c r="DA9" i="6"/>
  <c r="DB9" i="6"/>
  <c r="DE9" i="6"/>
  <c r="DF9" i="6"/>
  <c r="DI9" i="6"/>
  <c r="DJ9" i="6"/>
  <c r="DM9" i="6"/>
  <c r="DN9" i="6"/>
  <c r="DQ9" i="6"/>
  <c r="DR9" i="6"/>
  <c r="DU9" i="6"/>
  <c r="DV9" i="6"/>
  <c r="EA9" i="6"/>
  <c r="EC9" i="6"/>
  <c r="ED9" i="6"/>
  <c r="EG9" i="6"/>
  <c r="EH9" i="6"/>
  <c r="EK9" i="6"/>
  <c r="EL9" i="6"/>
  <c r="EQ9" i="6"/>
  <c r="F9" i="6" s="1"/>
  <c r="ET9" i="6"/>
  <c r="C7" i="6"/>
  <c r="C8" i="6"/>
  <c r="AE9" i="6" l="1"/>
  <c r="AV11" i="5" s="1"/>
  <c r="CR10" i="6"/>
  <c r="Z12" i="5"/>
  <c r="AY12" i="5" s="1"/>
  <c r="V12" i="5"/>
  <c r="AX12" i="5" s="1"/>
  <c r="BE12" i="5"/>
  <c r="BI12" i="5" s="1"/>
  <c r="CN9" i="6"/>
  <c r="AS11" i="5"/>
  <c r="BA11" i="5" s="1"/>
  <c r="AW11" i="5"/>
  <c r="AN11" i="5"/>
  <c r="AZ11" i="5" s="1"/>
  <c r="DZ9" i="6"/>
  <c r="G9" i="6"/>
  <c r="AQ10" i="5"/>
  <c r="AL10" i="5"/>
  <c r="AK10" i="5"/>
  <c r="AJ10" i="5"/>
  <c r="AF10" i="5"/>
  <c r="AE10" i="5"/>
  <c r="AD10" i="5"/>
  <c r="AP10" i="5" s="1"/>
  <c r="Y10" i="5"/>
  <c r="X10" i="5"/>
  <c r="W10" i="5"/>
  <c r="R10" i="5"/>
  <c r="P10" i="5"/>
  <c r="K10" i="5"/>
  <c r="H10" i="5"/>
  <c r="D10" i="5"/>
  <c r="ET8" i="6"/>
  <c r="EQ8" i="6"/>
  <c r="F8" i="6" s="1"/>
  <c r="G8" i="6" s="1"/>
  <c r="Z10" i="5" s="1"/>
  <c r="EK8" i="6"/>
  <c r="EG8" i="6"/>
  <c r="DU8" i="6"/>
  <c r="DQ8" i="6"/>
  <c r="DM8" i="6"/>
  <c r="DI8" i="6"/>
  <c r="DE8" i="6"/>
  <c r="DA8" i="6"/>
  <c r="CW8" i="6"/>
  <c r="CT8" i="6"/>
  <c r="CQ8" i="6"/>
  <c r="CJ8" i="6"/>
  <c r="CG8" i="6"/>
  <c r="CC8" i="6"/>
  <c r="BY8" i="6"/>
  <c r="BU8" i="6"/>
  <c r="BQ8" i="6"/>
  <c r="BJ8" i="6"/>
  <c r="BI8" i="6"/>
  <c r="BH8" i="6"/>
  <c r="AU8" i="6"/>
  <c r="AO8" i="6"/>
  <c r="AN8" i="6"/>
  <c r="AM8" i="6"/>
  <c r="F10" i="5" s="1"/>
  <c r="AJ8" i="6"/>
  <c r="AG8" i="6"/>
  <c r="AB8" i="6"/>
  <c r="Q10" i="5" s="1"/>
  <c r="X8" i="6"/>
  <c r="AV8" i="6" s="1"/>
  <c r="T8" i="6"/>
  <c r="O10" i="5" s="1"/>
  <c r="T10" i="5" s="1"/>
  <c r="O8" i="6"/>
  <c r="AB10" i="5" s="1"/>
  <c r="AC10" i="5" s="1"/>
  <c r="K8" i="6"/>
  <c r="AH10" i="5" s="1"/>
  <c r="AI10" i="5" s="1"/>
  <c r="EC8" i="6"/>
  <c r="CR9" i="6" l="1"/>
  <c r="V11" i="5"/>
  <c r="AX11" i="5" s="1"/>
  <c r="Z11" i="5"/>
  <c r="AY11" i="5" s="1"/>
  <c r="DZ8" i="6"/>
  <c r="BE11" i="5"/>
  <c r="BI11" i="5" s="1"/>
  <c r="AS10" i="5"/>
  <c r="BA10" i="5" s="1"/>
  <c r="AY10" i="5"/>
  <c r="J10" i="5"/>
  <c r="M10" i="5" s="1"/>
  <c r="AW10" i="5" s="1"/>
  <c r="BD10" i="5"/>
  <c r="BH10" i="5" s="1"/>
  <c r="V10" i="5"/>
  <c r="AX10" i="5" s="1"/>
  <c r="AO10" i="5"/>
  <c r="AN10" i="5"/>
  <c r="AZ10" i="5" s="1"/>
  <c r="CM8" i="6"/>
  <c r="CR8" i="6"/>
  <c r="AE8" i="6"/>
  <c r="AV10" i="5" s="1"/>
  <c r="AQ9" i="5"/>
  <c r="AL9" i="5"/>
  <c r="AK9" i="5"/>
  <c r="AJ9" i="5"/>
  <c r="AF9" i="5"/>
  <c r="AO9" i="5" s="1"/>
  <c r="AE9" i="5"/>
  <c r="AD9" i="5"/>
  <c r="AP9" i="5" s="1"/>
  <c r="Y9" i="5"/>
  <c r="X9" i="5"/>
  <c r="W9" i="5"/>
  <c r="R9" i="5"/>
  <c r="P9" i="5"/>
  <c r="K9" i="5"/>
  <c r="H9" i="5"/>
  <c r="D9" i="5"/>
  <c r="EH7" i="6"/>
  <c r="DN7" i="6"/>
  <c r="CX7" i="6"/>
  <c r="CT7" i="6"/>
  <c r="CD7" i="6"/>
  <c r="BI7" i="6"/>
  <c r="BJ7" i="6"/>
  <c r="BH7" i="6"/>
  <c r="AR7" i="6"/>
  <c r="AN7" i="6"/>
  <c r="AJ7" i="6"/>
  <c r="CC42" i="26"/>
  <c r="AB42" i="26"/>
  <c r="AB41" i="26"/>
  <c r="AB40" i="26"/>
  <c r="EL37" i="26"/>
  <c r="EH37" i="26"/>
  <c r="CT37" i="26"/>
  <c r="CS37" i="26"/>
  <c r="BL37" i="26"/>
  <c r="BG37" i="26"/>
  <c r="BF37" i="26"/>
  <c r="BE37" i="26"/>
  <c r="BD37" i="26"/>
  <c r="BC37" i="26"/>
  <c r="AM37" i="26"/>
  <c r="AK37" i="26"/>
  <c r="AJ42" i="26" s="1"/>
  <c r="AI37" i="26"/>
  <c r="AJ41" i="26" s="1"/>
  <c r="S37" i="26"/>
  <c r="E37" i="26"/>
  <c r="EK35" i="26"/>
  <c r="EG35" i="26"/>
  <c r="ED35" i="26"/>
  <c r="EA35" i="26"/>
  <c r="DV35" i="26"/>
  <c r="DU35" i="26"/>
  <c r="DR35" i="26"/>
  <c r="DQ35" i="26"/>
  <c r="DZ35" i="26" s="1"/>
  <c r="DN35" i="26"/>
  <c r="DM35" i="26"/>
  <c r="DJ35" i="26"/>
  <c r="DI35" i="26"/>
  <c r="DF35" i="26"/>
  <c r="DE35" i="26"/>
  <c r="DB35" i="26"/>
  <c r="DA35" i="26"/>
  <c r="CX35" i="26"/>
  <c r="CW35" i="26"/>
  <c r="CT35" i="26"/>
  <c r="CS35" i="26"/>
  <c r="CQ35" i="26"/>
  <c r="CK35" i="26"/>
  <c r="CJ35" i="26"/>
  <c r="CH35" i="26"/>
  <c r="CG35" i="26"/>
  <c r="CD35" i="26"/>
  <c r="CC35" i="26"/>
  <c r="BZ35" i="26"/>
  <c r="BY35" i="26"/>
  <c r="BV35" i="26"/>
  <c r="BU35" i="26"/>
  <c r="BR35" i="26"/>
  <c r="BQ35" i="26"/>
  <c r="CM35" i="26" s="1"/>
  <c r="BN35" i="26"/>
  <c r="BJ35" i="26"/>
  <c r="BI35" i="26"/>
  <c r="BH35" i="26"/>
  <c r="AZ35" i="26"/>
  <c r="AY35" i="26"/>
  <c r="AU35" i="26"/>
  <c r="AR35" i="26"/>
  <c r="AQ35" i="26"/>
  <c r="AO35" i="26"/>
  <c r="AN35" i="26"/>
  <c r="AJ35" i="26"/>
  <c r="AG35" i="26"/>
  <c r="AF35" i="26"/>
  <c r="AC35" i="26"/>
  <c r="AB35" i="26"/>
  <c r="Y35" i="26"/>
  <c r="X35" i="26"/>
  <c r="AE35" i="26" s="1"/>
  <c r="U35" i="26"/>
  <c r="T35" i="26"/>
  <c r="P35" i="26"/>
  <c r="O35" i="26"/>
  <c r="L35" i="26"/>
  <c r="K35" i="26"/>
  <c r="H35" i="26"/>
  <c r="G35" i="26"/>
  <c r="CR35" i="26" s="1"/>
  <c r="C35" i="26"/>
  <c r="EC35" i="26" s="1"/>
  <c r="EK34" i="26"/>
  <c r="EG34" i="26"/>
  <c r="ED34" i="26"/>
  <c r="EA34" i="26"/>
  <c r="DV34" i="26"/>
  <c r="DU34" i="26"/>
  <c r="DR34" i="26"/>
  <c r="DQ34" i="26"/>
  <c r="DZ34" i="26" s="1"/>
  <c r="DN34" i="26"/>
  <c r="DM34" i="26"/>
  <c r="DJ34" i="26"/>
  <c r="DI34" i="26"/>
  <c r="DF34" i="26"/>
  <c r="DE34" i="26"/>
  <c r="DB34" i="26"/>
  <c r="DA34" i="26"/>
  <c r="CX34" i="26"/>
  <c r="CW34" i="26"/>
  <c r="CT34" i="26"/>
  <c r="CS34" i="26"/>
  <c r="CQ34" i="26"/>
  <c r="CK34" i="26"/>
  <c r="CJ34" i="26"/>
  <c r="CH34" i="26"/>
  <c r="CG34" i="26"/>
  <c r="CD34" i="26"/>
  <c r="CC34" i="26"/>
  <c r="BZ34" i="26"/>
  <c r="BY34" i="26"/>
  <c r="BV34" i="26"/>
  <c r="BU34" i="26"/>
  <c r="BR34" i="26"/>
  <c r="BQ34" i="26"/>
  <c r="BN34" i="26"/>
  <c r="BJ34" i="26"/>
  <c r="BI34" i="26"/>
  <c r="BH34" i="26"/>
  <c r="AZ34" i="26"/>
  <c r="AY34" i="26"/>
  <c r="AU34" i="26"/>
  <c r="AR34" i="26"/>
  <c r="AQ34" i="26"/>
  <c r="AO34" i="26"/>
  <c r="AN34" i="26"/>
  <c r="AJ34" i="26"/>
  <c r="AG34" i="26"/>
  <c r="AF34" i="26"/>
  <c r="AC34" i="26"/>
  <c r="AB34" i="26"/>
  <c r="Y34" i="26"/>
  <c r="X34" i="26"/>
  <c r="AE34" i="26" s="1"/>
  <c r="U34" i="26"/>
  <c r="T34" i="26"/>
  <c r="P34" i="26"/>
  <c r="O34" i="26"/>
  <c r="L34" i="26"/>
  <c r="K34" i="26"/>
  <c r="H34" i="26"/>
  <c r="C34" i="26"/>
  <c r="EC34" i="26" s="1"/>
  <c r="EK33" i="26"/>
  <c r="EG33" i="26"/>
  <c r="ED33" i="26"/>
  <c r="EA33" i="26"/>
  <c r="DV33" i="26"/>
  <c r="DU33" i="26"/>
  <c r="DR33" i="26"/>
  <c r="DQ33" i="26"/>
  <c r="DN33" i="26"/>
  <c r="DM33" i="26"/>
  <c r="DJ33" i="26"/>
  <c r="DI33" i="26"/>
  <c r="DF33" i="26"/>
  <c r="DE33" i="26"/>
  <c r="DB33" i="26"/>
  <c r="DA33" i="26"/>
  <c r="CX33" i="26"/>
  <c r="CW33" i="26"/>
  <c r="CT33" i="26"/>
  <c r="CS33" i="26"/>
  <c r="CQ33" i="26"/>
  <c r="CK33" i="26"/>
  <c r="CJ33" i="26"/>
  <c r="CH33" i="26"/>
  <c r="CG33" i="26"/>
  <c r="CD33" i="26"/>
  <c r="CC33" i="26"/>
  <c r="BZ33" i="26"/>
  <c r="BY33" i="26"/>
  <c r="BV33" i="26"/>
  <c r="BU33" i="26"/>
  <c r="BR33" i="26"/>
  <c r="BQ33" i="26"/>
  <c r="CM33" i="26" s="1"/>
  <c r="BN33" i="26"/>
  <c r="BJ33" i="26"/>
  <c r="BI33" i="26"/>
  <c r="BH33" i="26"/>
  <c r="AZ33" i="26"/>
  <c r="AY33" i="26"/>
  <c r="AU33" i="26"/>
  <c r="AR33" i="26"/>
  <c r="AQ33" i="26"/>
  <c r="AO33" i="26"/>
  <c r="AN33" i="26"/>
  <c r="AJ33" i="26"/>
  <c r="AG33" i="26"/>
  <c r="AF33" i="26"/>
  <c r="AC33" i="26"/>
  <c r="AB33" i="26"/>
  <c r="Y33" i="26"/>
  <c r="X33" i="26"/>
  <c r="U33" i="26"/>
  <c r="T33" i="26"/>
  <c r="P33" i="26"/>
  <c r="O33" i="26"/>
  <c r="L33" i="26"/>
  <c r="K33" i="26"/>
  <c r="H33" i="26"/>
  <c r="G33" i="26"/>
  <c r="CR33" i="26" s="1"/>
  <c r="C33" i="26"/>
  <c r="EC33" i="26" s="1"/>
  <c r="EK32" i="26"/>
  <c r="EG32" i="26"/>
  <c r="ED32" i="26"/>
  <c r="EA32" i="26"/>
  <c r="DV32" i="26"/>
  <c r="DU32" i="26"/>
  <c r="DR32" i="26"/>
  <c r="DQ32" i="26"/>
  <c r="DZ32" i="26" s="1"/>
  <c r="DN32" i="26"/>
  <c r="DM32" i="26"/>
  <c r="DJ32" i="26"/>
  <c r="DI32" i="26"/>
  <c r="DF32" i="26"/>
  <c r="DE32" i="26"/>
  <c r="DB32" i="26"/>
  <c r="DA32" i="26"/>
  <c r="CX32" i="26"/>
  <c r="CW32" i="26"/>
  <c r="CT32" i="26"/>
  <c r="CS32" i="26"/>
  <c r="CQ32" i="26"/>
  <c r="CK32" i="26"/>
  <c r="CJ32" i="26"/>
  <c r="CH32" i="26"/>
  <c r="CG32" i="26"/>
  <c r="CD32" i="26"/>
  <c r="CC32" i="26"/>
  <c r="BZ32" i="26"/>
  <c r="BY32" i="26"/>
  <c r="BV32" i="26"/>
  <c r="BU32" i="26"/>
  <c r="BR32" i="26"/>
  <c r="BQ32" i="26"/>
  <c r="CM32" i="26" s="1"/>
  <c r="BN32" i="26"/>
  <c r="BJ32" i="26"/>
  <c r="BI32" i="26"/>
  <c r="BH32" i="26"/>
  <c r="AZ32" i="26"/>
  <c r="AY32" i="26"/>
  <c r="AU32" i="26"/>
  <c r="AR32" i="26"/>
  <c r="AQ32" i="26"/>
  <c r="AO32" i="26"/>
  <c r="AN32" i="26"/>
  <c r="AJ32" i="26"/>
  <c r="AG32" i="26"/>
  <c r="AF32" i="26"/>
  <c r="AC32" i="26"/>
  <c r="AB32" i="26"/>
  <c r="Y32" i="26"/>
  <c r="X32" i="26"/>
  <c r="AE32" i="26" s="1"/>
  <c r="U32" i="26"/>
  <c r="T32" i="26"/>
  <c r="P32" i="26"/>
  <c r="O32" i="26"/>
  <c r="L32" i="26"/>
  <c r="K32" i="26"/>
  <c r="H32" i="26"/>
  <c r="C32" i="26"/>
  <c r="EC32" i="26" s="1"/>
  <c r="EK31" i="26"/>
  <c r="EG31" i="26"/>
  <c r="ED31" i="26"/>
  <c r="EA31" i="26"/>
  <c r="DV31" i="26"/>
  <c r="DU31" i="26"/>
  <c r="DR31" i="26"/>
  <c r="DQ31" i="26"/>
  <c r="DZ31" i="26" s="1"/>
  <c r="DN31" i="26"/>
  <c r="DM31" i="26"/>
  <c r="DJ31" i="26"/>
  <c r="DI31" i="26"/>
  <c r="DF31" i="26"/>
  <c r="DE31" i="26"/>
  <c r="DB31" i="26"/>
  <c r="DA31" i="26"/>
  <c r="CX31" i="26"/>
  <c r="CW31" i="26"/>
  <c r="CT31" i="26"/>
  <c r="CS31" i="26"/>
  <c r="CQ31" i="26"/>
  <c r="CK31" i="26"/>
  <c r="CJ31" i="26"/>
  <c r="CH31" i="26"/>
  <c r="CG31" i="26"/>
  <c r="CD31" i="26"/>
  <c r="CC31" i="26"/>
  <c r="BZ31" i="26"/>
  <c r="BY31" i="26"/>
  <c r="BV31" i="26"/>
  <c r="BU31" i="26"/>
  <c r="BR31" i="26"/>
  <c r="BQ31" i="26"/>
  <c r="BN31" i="26"/>
  <c r="BJ31" i="26"/>
  <c r="BI31" i="26"/>
  <c r="BH31" i="26"/>
  <c r="AZ31" i="26"/>
  <c r="AY31" i="26"/>
  <c r="AU31" i="26"/>
  <c r="AR31" i="26"/>
  <c r="AQ31" i="26"/>
  <c r="AO31" i="26"/>
  <c r="AN31" i="26"/>
  <c r="AJ31" i="26"/>
  <c r="AG31" i="26"/>
  <c r="AF31" i="26"/>
  <c r="AC31" i="26"/>
  <c r="AB31" i="26"/>
  <c r="Y31" i="26"/>
  <c r="X31" i="26"/>
  <c r="AE31" i="26" s="1"/>
  <c r="U31" i="26"/>
  <c r="T31" i="26"/>
  <c r="P31" i="26"/>
  <c r="O31" i="26"/>
  <c r="L31" i="26"/>
  <c r="K31" i="26"/>
  <c r="H31" i="26"/>
  <c r="G31" i="26"/>
  <c r="CR31" i="26" s="1"/>
  <c r="C31" i="26"/>
  <c r="EC31" i="26" s="1"/>
  <c r="EK30" i="26"/>
  <c r="EG30" i="26"/>
  <c r="ED30" i="26"/>
  <c r="EA30" i="26"/>
  <c r="DV30" i="26"/>
  <c r="DU30" i="26"/>
  <c r="DR30" i="26"/>
  <c r="DQ30" i="26"/>
  <c r="DN30" i="26"/>
  <c r="DM30" i="26"/>
  <c r="DJ30" i="26"/>
  <c r="DI30" i="26"/>
  <c r="DF30" i="26"/>
  <c r="DE30" i="26"/>
  <c r="DB30" i="26"/>
  <c r="DA30" i="26"/>
  <c r="CX30" i="26"/>
  <c r="CW30" i="26"/>
  <c r="CT30" i="26"/>
  <c r="CS30" i="26"/>
  <c r="CQ30" i="26"/>
  <c r="CK30" i="26"/>
  <c r="CJ30" i="26"/>
  <c r="CH30" i="26"/>
  <c r="CG30" i="26"/>
  <c r="CD30" i="26"/>
  <c r="CC30" i="26"/>
  <c r="BZ30" i="26"/>
  <c r="BY30" i="26"/>
  <c r="BV30" i="26"/>
  <c r="BU30" i="26"/>
  <c r="BR30" i="26"/>
  <c r="BQ30" i="26"/>
  <c r="BN30" i="26"/>
  <c r="BJ30" i="26"/>
  <c r="BI30" i="26"/>
  <c r="BH30" i="26"/>
  <c r="AZ30" i="26"/>
  <c r="AY30" i="26"/>
  <c r="AU30" i="26"/>
  <c r="AR30" i="26"/>
  <c r="AQ30" i="26"/>
  <c r="AO30" i="26"/>
  <c r="AN30" i="26"/>
  <c r="AJ30" i="26"/>
  <c r="AG30" i="26"/>
  <c r="AF30" i="26"/>
  <c r="AC30" i="26"/>
  <c r="AB30" i="26"/>
  <c r="Y30" i="26"/>
  <c r="X30" i="26"/>
  <c r="U30" i="26"/>
  <c r="T30" i="26"/>
  <c r="P30" i="26"/>
  <c r="O30" i="26"/>
  <c r="L30" i="26"/>
  <c r="K30" i="26"/>
  <c r="H30" i="26"/>
  <c r="C30" i="26"/>
  <c r="EC30" i="26" s="1"/>
  <c r="EK29" i="26"/>
  <c r="EG29" i="26"/>
  <c r="ED29" i="26"/>
  <c r="EA29" i="26"/>
  <c r="DV29" i="26"/>
  <c r="DU29" i="26"/>
  <c r="DR29" i="26"/>
  <c r="DQ29" i="26"/>
  <c r="DN29" i="26"/>
  <c r="DM29" i="26"/>
  <c r="DJ29" i="26"/>
  <c r="DI29" i="26"/>
  <c r="DF29" i="26"/>
  <c r="DE29" i="26"/>
  <c r="DB29" i="26"/>
  <c r="DA29" i="26"/>
  <c r="CX29" i="26"/>
  <c r="CW29" i="26"/>
  <c r="CT29" i="26"/>
  <c r="CS29" i="26"/>
  <c r="CQ29" i="26"/>
  <c r="CK29" i="26"/>
  <c r="CJ29" i="26"/>
  <c r="CH29" i="26"/>
  <c r="CG29" i="26"/>
  <c r="CD29" i="26"/>
  <c r="CC29" i="26"/>
  <c r="BZ29" i="26"/>
  <c r="BY29" i="26"/>
  <c r="BV29" i="26"/>
  <c r="BU29" i="26"/>
  <c r="BR29" i="26"/>
  <c r="BQ29" i="26"/>
  <c r="CM29" i="26" s="1"/>
  <c r="BN29" i="26"/>
  <c r="BJ29" i="26"/>
  <c r="BI29" i="26"/>
  <c r="BH29" i="26"/>
  <c r="AZ29" i="26"/>
  <c r="AY29" i="26"/>
  <c r="AU29" i="26"/>
  <c r="AR29" i="26"/>
  <c r="AQ29" i="26"/>
  <c r="AO29" i="26"/>
  <c r="AN29" i="26"/>
  <c r="AJ29" i="26"/>
  <c r="AG29" i="26"/>
  <c r="AF29" i="26"/>
  <c r="AC29" i="26"/>
  <c r="AB29" i="26"/>
  <c r="Y29" i="26"/>
  <c r="X29" i="26"/>
  <c r="AV29" i="26" s="1"/>
  <c r="U29" i="26"/>
  <c r="T29" i="26"/>
  <c r="P29" i="26"/>
  <c r="O29" i="26"/>
  <c r="L29" i="26"/>
  <c r="K29" i="26"/>
  <c r="H29" i="26"/>
  <c r="C29" i="26"/>
  <c r="EC29" i="26" s="1"/>
  <c r="EK28" i="26"/>
  <c r="EG28" i="26"/>
  <c r="ED28" i="26"/>
  <c r="EA28" i="26"/>
  <c r="DV28" i="26"/>
  <c r="DU28" i="26"/>
  <c r="DR28" i="26"/>
  <c r="DQ28" i="26"/>
  <c r="DZ28" i="26" s="1"/>
  <c r="DN28" i="26"/>
  <c r="DM28" i="26"/>
  <c r="DJ28" i="26"/>
  <c r="DI28" i="26"/>
  <c r="DF28" i="26"/>
  <c r="DE28" i="26"/>
  <c r="DB28" i="26"/>
  <c r="DA28" i="26"/>
  <c r="CX28" i="26"/>
  <c r="CW28" i="26"/>
  <c r="CT28" i="26"/>
  <c r="CS28" i="26"/>
  <c r="CQ28" i="26"/>
  <c r="CK28" i="26"/>
  <c r="CJ28" i="26"/>
  <c r="CH28" i="26"/>
  <c r="CG28" i="26"/>
  <c r="CD28" i="26"/>
  <c r="CC28" i="26"/>
  <c r="BZ28" i="26"/>
  <c r="BY28" i="26"/>
  <c r="BV28" i="26"/>
  <c r="BU28" i="26"/>
  <c r="BR28" i="26"/>
  <c r="CN28" i="26" s="1"/>
  <c r="BQ28" i="26"/>
  <c r="CM28" i="26" s="1"/>
  <c r="BN28" i="26"/>
  <c r="BJ28" i="26"/>
  <c r="BI28" i="26"/>
  <c r="BH28" i="26"/>
  <c r="AZ28" i="26"/>
  <c r="AY28" i="26"/>
  <c r="AU28" i="26"/>
  <c r="AR28" i="26"/>
  <c r="AQ28" i="26"/>
  <c r="AO28" i="26"/>
  <c r="AN28" i="26"/>
  <c r="AJ28" i="26"/>
  <c r="AG28" i="26"/>
  <c r="AF28" i="26"/>
  <c r="AC28" i="26"/>
  <c r="AB28" i="26"/>
  <c r="Y28" i="26"/>
  <c r="X28" i="26"/>
  <c r="AV28" i="26" s="1"/>
  <c r="U28" i="26"/>
  <c r="T28" i="26"/>
  <c r="P28" i="26"/>
  <c r="O28" i="26"/>
  <c r="L28" i="26"/>
  <c r="K28" i="26"/>
  <c r="H28" i="26"/>
  <c r="C28" i="26"/>
  <c r="EC28" i="26" s="1"/>
  <c r="EK27" i="26"/>
  <c r="EG27" i="26"/>
  <c r="ED27" i="26"/>
  <c r="EA27" i="26"/>
  <c r="DV27" i="26"/>
  <c r="DU27" i="26"/>
  <c r="DR27" i="26"/>
  <c r="DQ27" i="26"/>
  <c r="DZ27" i="26" s="1"/>
  <c r="DN27" i="26"/>
  <c r="DM27" i="26"/>
  <c r="DJ27" i="26"/>
  <c r="DI27" i="26"/>
  <c r="DF27" i="26"/>
  <c r="DE27" i="26"/>
  <c r="DB27" i="26"/>
  <c r="DA27" i="26"/>
  <c r="CX27" i="26"/>
  <c r="CW27" i="26"/>
  <c r="CT27" i="26"/>
  <c r="CS27" i="26"/>
  <c r="CQ27" i="26"/>
  <c r="CK27" i="26"/>
  <c r="CJ27" i="26"/>
  <c r="CH27" i="26"/>
  <c r="CG27" i="26"/>
  <c r="CD27" i="26"/>
  <c r="CC27" i="26"/>
  <c r="BZ27" i="26"/>
  <c r="BY27" i="26"/>
  <c r="BV27" i="26"/>
  <c r="BU27" i="26"/>
  <c r="BR27" i="26"/>
  <c r="BQ27" i="26"/>
  <c r="BN27" i="26"/>
  <c r="BJ27" i="26"/>
  <c r="BI27" i="26"/>
  <c r="BH27" i="26"/>
  <c r="AZ27" i="26"/>
  <c r="AY27" i="26"/>
  <c r="AU27" i="26"/>
  <c r="AR27" i="26"/>
  <c r="AQ27" i="26"/>
  <c r="AO27" i="26"/>
  <c r="AN27" i="26"/>
  <c r="AJ27" i="26"/>
  <c r="AG27" i="26"/>
  <c r="AF27" i="26"/>
  <c r="AC27" i="26"/>
  <c r="AB27" i="26"/>
  <c r="Y27" i="26"/>
  <c r="X27" i="26"/>
  <c r="AV27" i="26" s="1"/>
  <c r="U27" i="26"/>
  <c r="T27" i="26"/>
  <c r="P27" i="26"/>
  <c r="O27" i="26"/>
  <c r="L27" i="26"/>
  <c r="K27" i="26"/>
  <c r="H27" i="26"/>
  <c r="G27" i="26"/>
  <c r="CR27" i="26" s="1"/>
  <c r="C27" i="26"/>
  <c r="EC27" i="26" s="1"/>
  <c r="EK26" i="26"/>
  <c r="EG26" i="26"/>
  <c r="ED26" i="26"/>
  <c r="EA26" i="26"/>
  <c r="DV26" i="26"/>
  <c r="DU26" i="26"/>
  <c r="DR26" i="26"/>
  <c r="DQ26" i="26"/>
  <c r="DN26" i="26"/>
  <c r="DM26" i="26"/>
  <c r="DJ26" i="26"/>
  <c r="DI26" i="26"/>
  <c r="DF26" i="26"/>
  <c r="DE26" i="26"/>
  <c r="DB26" i="26"/>
  <c r="DA26" i="26"/>
  <c r="CX26" i="26"/>
  <c r="CW26" i="26"/>
  <c r="CT26" i="26"/>
  <c r="CS26" i="26"/>
  <c r="CQ26" i="26"/>
  <c r="CK26" i="26"/>
  <c r="CJ26" i="26"/>
  <c r="CH26" i="26"/>
  <c r="CG26" i="26"/>
  <c r="CD26" i="26"/>
  <c r="CC26" i="26"/>
  <c r="BZ26" i="26"/>
  <c r="BY26" i="26"/>
  <c r="BV26" i="26"/>
  <c r="BU26" i="26"/>
  <c r="BR26" i="26"/>
  <c r="BQ26" i="26"/>
  <c r="BN26" i="26"/>
  <c r="BJ26" i="26"/>
  <c r="BI26" i="26"/>
  <c r="BH26" i="26"/>
  <c r="AZ26" i="26"/>
  <c r="AY26" i="26"/>
  <c r="AU26" i="26"/>
  <c r="AR26" i="26"/>
  <c r="AQ26" i="26"/>
  <c r="AO26" i="26"/>
  <c r="AN26" i="26"/>
  <c r="AJ26" i="26"/>
  <c r="AG26" i="26"/>
  <c r="AF26" i="26"/>
  <c r="AC26" i="26"/>
  <c r="AB26" i="26"/>
  <c r="Y26" i="26"/>
  <c r="X26" i="26"/>
  <c r="AV26" i="26" s="1"/>
  <c r="U26" i="26"/>
  <c r="T26" i="26"/>
  <c r="P26" i="26"/>
  <c r="O26" i="26"/>
  <c r="L26" i="26"/>
  <c r="K26" i="26"/>
  <c r="H26" i="26"/>
  <c r="C26" i="26"/>
  <c r="EC26" i="26" s="1"/>
  <c r="EK25" i="26"/>
  <c r="EG25" i="26"/>
  <c r="ED25" i="26"/>
  <c r="EA25" i="26"/>
  <c r="DV25" i="26"/>
  <c r="DU25" i="26"/>
  <c r="DR25" i="26"/>
  <c r="DQ25" i="26"/>
  <c r="DN25" i="26"/>
  <c r="DM25" i="26"/>
  <c r="DJ25" i="26"/>
  <c r="DI25" i="26"/>
  <c r="DF25" i="26"/>
  <c r="DE25" i="26"/>
  <c r="DB25" i="26"/>
  <c r="DA25" i="26"/>
  <c r="CX25" i="26"/>
  <c r="CW25" i="26"/>
  <c r="CT25" i="26"/>
  <c r="CS25" i="26"/>
  <c r="CQ25" i="26"/>
  <c r="CK25" i="26"/>
  <c r="CJ25" i="26"/>
  <c r="CH25" i="26"/>
  <c r="CG25" i="26"/>
  <c r="CD25" i="26"/>
  <c r="CC25" i="26"/>
  <c r="BZ25" i="26"/>
  <c r="BY25" i="26"/>
  <c r="BV25" i="26"/>
  <c r="BU25" i="26"/>
  <c r="BR25" i="26"/>
  <c r="BQ25" i="26"/>
  <c r="CM25" i="26" s="1"/>
  <c r="BN25" i="26"/>
  <c r="BJ25" i="26"/>
  <c r="BI25" i="26"/>
  <c r="BH25" i="26"/>
  <c r="AZ25" i="26"/>
  <c r="AY25" i="26"/>
  <c r="AU25" i="26"/>
  <c r="AR25" i="26"/>
  <c r="AQ25" i="26"/>
  <c r="AO25" i="26"/>
  <c r="AN25" i="26"/>
  <c r="AJ25" i="26"/>
  <c r="AG25" i="26"/>
  <c r="AF25" i="26"/>
  <c r="AC25" i="26"/>
  <c r="AB25" i="26"/>
  <c r="Y25" i="26"/>
  <c r="X25" i="26"/>
  <c r="AV25" i="26" s="1"/>
  <c r="U25" i="26"/>
  <c r="T25" i="26"/>
  <c r="P25" i="26"/>
  <c r="O25" i="26"/>
  <c r="L25" i="26"/>
  <c r="K25" i="26"/>
  <c r="H25" i="26"/>
  <c r="C25" i="26"/>
  <c r="EC25" i="26" s="1"/>
  <c r="EK24" i="26"/>
  <c r="EG24" i="26"/>
  <c r="ED24" i="26"/>
  <c r="EA24" i="26"/>
  <c r="DV24" i="26"/>
  <c r="DU24" i="26"/>
  <c r="DR24" i="26"/>
  <c r="DQ24" i="26"/>
  <c r="DZ24" i="26" s="1"/>
  <c r="DN24" i="26"/>
  <c r="DM24" i="26"/>
  <c r="DJ24" i="26"/>
  <c r="DI24" i="26"/>
  <c r="DF24" i="26"/>
  <c r="DE24" i="26"/>
  <c r="DB24" i="26"/>
  <c r="DA24" i="26"/>
  <c r="CX24" i="26"/>
  <c r="CW24" i="26"/>
  <c r="CT24" i="26"/>
  <c r="CS24" i="26"/>
  <c r="CQ24" i="26"/>
  <c r="CK24" i="26"/>
  <c r="CJ24" i="26"/>
  <c r="CH24" i="26"/>
  <c r="CG24" i="26"/>
  <c r="CD24" i="26"/>
  <c r="CC24" i="26"/>
  <c r="BZ24" i="26"/>
  <c r="BY24" i="26"/>
  <c r="BV24" i="26"/>
  <c r="BU24" i="26"/>
  <c r="BR24" i="26"/>
  <c r="CN24" i="26" s="1"/>
  <c r="BQ24" i="26"/>
  <c r="CM24" i="26" s="1"/>
  <c r="BN24" i="26"/>
  <c r="BJ24" i="26"/>
  <c r="BI24" i="26"/>
  <c r="BH24" i="26"/>
  <c r="AZ24" i="26"/>
  <c r="AY24" i="26"/>
  <c r="BA24" i="26" s="1"/>
  <c r="AU24" i="26"/>
  <c r="AR24" i="26"/>
  <c r="AQ24" i="26"/>
  <c r="AO24" i="26"/>
  <c r="AN24" i="26"/>
  <c r="AJ24" i="26"/>
  <c r="AG24" i="26"/>
  <c r="AF24" i="26"/>
  <c r="AC24" i="26"/>
  <c r="AB24" i="26"/>
  <c r="Y24" i="26"/>
  <c r="X24" i="26"/>
  <c r="AV24" i="26" s="1"/>
  <c r="U24" i="26"/>
  <c r="T24" i="26"/>
  <c r="P24" i="26"/>
  <c r="O24" i="26"/>
  <c r="L24" i="26"/>
  <c r="K24" i="26"/>
  <c r="H24" i="26"/>
  <c r="C24" i="26"/>
  <c r="EC24" i="26" s="1"/>
  <c r="EK23" i="26"/>
  <c r="EG23" i="26"/>
  <c r="ED23" i="26"/>
  <c r="EA23" i="26"/>
  <c r="DV23" i="26"/>
  <c r="DU23" i="26"/>
  <c r="DR23" i="26"/>
  <c r="DQ23" i="26"/>
  <c r="DZ23" i="26" s="1"/>
  <c r="DN23" i="26"/>
  <c r="DM23" i="26"/>
  <c r="DJ23" i="26"/>
  <c r="DI23" i="26"/>
  <c r="DF23" i="26"/>
  <c r="DE23" i="26"/>
  <c r="DB23" i="26"/>
  <c r="DA23" i="26"/>
  <c r="CX23" i="26"/>
  <c r="CW23" i="26"/>
  <c r="CT23" i="26"/>
  <c r="CS23" i="26"/>
  <c r="CQ23" i="26"/>
  <c r="CK23" i="26"/>
  <c r="CJ23" i="26"/>
  <c r="CH23" i="26"/>
  <c r="CG23" i="26"/>
  <c r="CD23" i="26"/>
  <c r="CC23" i="26"/>
  <c r="BZ23" i="26"/>
  <c r="BY23" i="26"/>
  <c r="BV23" i="26"/>
  <c r="BU23" i="26"/>
  <c r="BR23" i="26"/>
  <c r="BQ23" i="26"/>
  <c r="BN23" i="26"/>
  <c r="BJ23" i="26"/>
  <c r="BI23" i="26"/>
  <c r="BH23" i="26"/>
  <c r="AZ23" i="26"/>
  <c r="AY23" i="26"/>
  <c r="AU23" i="26"/>
  <c r="AR23" i="26"/>
  <c r="AQ23" i="26"/>
  <c r="AO23" i="26"/>
  <c r="AN23" i="26"/>
  <c r="AJ23" i="26"/>
  <c r="AG23" i="26"/>
  <c r="AF23" i="26"/>
  <c r="AC23" i="26"/>
  <c r="AB23" i="26"/>
  <c r="Y23" i="26"/>
  <c r="X23" i="26"/>
  <c r="AV23" i="26" s="1"/>
  <c r="U23" i="26"/>
  <c r="T23" i="26"/>
  <c r="P23" i="26"/>
  <c r="O23" i="26"/>
  <c r="L23" i="26"/>
  <c r="K23" i="26"/>
  <c r="H23" i="26"/>
  <c r="G23" i="26"/>
  <c r="CR23" i="26" s="1"/>
  <c r="C23" i="26"/>
  <c r="EC23" i="26" s="1"/>
  <c r="EK22" i="26"/>
  <c r="EG22" i="26"/>
  <c r="ED22" i="26"/>
  <c r="EA22" i="26"/>
  <c r="DV22" i="26"/>
  <c r="DU22" i="26"/>
  <c r="DR22" i="26"/>
  <c r="DQ22" i="26"/>
  <c r="DN22" i="26"/>
  <c r="DM22" i="26"/>
  <c r="DJ22" i="26"/>
  <c r="DI22" i="26"/>
  <c r="DF22" i="26"/>
  <c r="DE22" i="26"/>
  <c r="DB22" i="26"/>
  <c r="DA22" i="26"/>
  <c r="CX22" i="26"/>
  <c r="CW22" i="26"/>
  <c r="CT22" i="26"/>
  <c r="CS22" i="26"/>
  <c r="CQ22" i="26"/>
  <c r="CK22" i="26"/>
  <c r="CJ22" i="26"/>
  <c r="CH22" i="26"/>
  <c r="CG22" i="26"/>
  <c r="CD22" i="26"/>
  <c r="CC22" i="26"/>
  <c r="BZ22" i="26"/>
  <c r="BY22" i="26"/>
  <c r="BV22" i="26"/>
  <c r="BU22" i="26"/>
  <c r="BR22" i="26"/>
  <c r="BQ22" i="26"/>
  <c r="BN22" i="26"/>
  <c r="BJ22" i="26"/>
  <c r="BI22" i="26"/>
  <c r="BH22" i="26"/>
  <c r="AZ22" i="26"/>
  <c r="AY22" i="26"/>
  <c r="AU22" i="26"/>
  <c r="AR22" i="26"/>
  <c r="AQ22" i="26"/>
  <c r="AO22" i="26"/>
  <c r="AN22" i="26"/>
  <c r="AJ22" i="26"/>
  <c r="AG22" i="26"/>
  <c r="AF22" i="26"/>
  <c r="AC22" i="26"/>
  <c r="AB22" i="26"/>
  <c r="Y22" i="26"/>
  <c r="X22" i="26"/>
  <c r="AV22" i="26" s="1"/>
  <c r="U22" i="26"/>
  <c r="T22" i="26"/>
  <c r="P22" i="26"/>
  <c r="O22" i="26"/>
  <c r="L22" i="26"/>
  <c r="K22" i="26"/>
  <c r="H22" i="26"/>
  <c r="C22" i="26"/>
  <c r="EC22" i="26" s="1"/>
  <c r="EK21" i="26"/>
  <c r="EG21" i="26"/>
  <c r="ED21" i="26"/>
  <c r="EA21" i="26"/>
  <c r="DV21" i="26"/>
  <c r="DU21" i="26"/>
  <c r="DR21" i="26"/>
  <c r="DQ21" i="26"/>
  <c r="DN21" i="26"/>
  <c r="DM21" i="26"/>
  <c r="DJ21" i="26"/>
  <c r="DI21" i="26"/>
  <c r="DF21" i="26"/>
  <c r="DE21" i="26"/>
  <c r="DB21" i="26"/>
  <c r="DA21" i="26"/>
  <c r="CX21" i="26"/>
  <c r="CW21" i="26"/>
  <c r="CT21" i="26"/>
  <c r="CS21" i="26"/>
  <c r="CQ21" i="26"/>
  <c r="CK21" i="26"/>
  <c r="CJ21" i="26"/>
  <c r="CH21" i="26"/>
  <c r="CG21" i="26"/>
  <c r="CD21" i="26"/>
  <c r="CC21" i="26"/>
  <c r="BZ21" i="26"/>
  <c r="BY21" i="26"/>
  <c r="BV21" i="26"/>
  <c r="BU21" i="26"/>
  <c r="BR21" i="26"/>
  <c r="BQ21" i="26"/>
  <c r="CM21" i="26" s="1"/>
  <c r="BN21" i="26"/>
  <c r="BJ21" i="26"/>
  <c r="BI21" i="26"/>
  <c r="BH21" i="26"/>
  <c r="AZ21" i="26"/>
  <c r="AY21" i="26"/>
  <c r="AU21" i="26"/>
  <c r="AR21" i="26"/>
  <c r="AQ21" i="26"/>
  <c r="AO21" i="26"/>
  <c r="AN21" i="26"/>
  <c r="AJ21" i="26"/>
  <c r="AG21" i="26"/>
  <c r="AF21" i="26"/>
  <c r="AC21" i="26"/>
  <c r="AB21" i="26"/>
  <c r="Y21" i="26"/>
  <c r="X21" i="26"/>
  <c r="AV21" i="26" s="1"/>
  <c r="U21" i="26"/>
  <c r="T21" i="26"/>
  <c r="P21" i="26"/>
  <c r="O21" i="26"/>
  <c r="L21" i="26"/>
  <c r="K21" i="26"/>
  <c r="H21" i="26"/>
  <c r="C21" i="26"/>
  <c r="EC21" i="26" s="1"/>
  <c r="EK20" i="26"/>
  <c r="EG20" i="26"/>
  <c r="ED20" i="26"/>
  <c r="EA20" i="26"/>
  <c r="DV20" i="26"/>
  <c r="DU20" i="26"/>
  <c r="DR20" i="26"/>
  <c r="DQ20" i="26"/>
  <c r="DZ20" i="26" s="1"/>
  <c r="DN20" i="26"/>
  <c r="DM20" i="26"/>
  <c r="DJ20" i="26"/>
  <c r="DI20" i="26"/>
  <c r="DF20" i="26"/>
  <c r="DE20" i="26"/>
  <c r="DB20" i="26"/>
  <c r="DA20" i="26"/>
  <c r="CX20" i="26"/>
  <c r="CW20" i="26"/>
  <c r="CT20" i="26"/>
  <c r="CS20" i="26"/>
  <c r="CQ20" i="26"/>
  <c r="CK20" i="26"/>
  <c r="CJ20" i="26"/>
  <c r="CH20" i="26"/>
  <c r="CG20" i="26"/>
  <c r="CD20" i="26"/>
  <c r="CC20" i="26"/>
  <c r="BZ20" i="26"/>
  <c r="BY20" i="26"/>
  <c r="BV20" i="26"/>
  <c r="BU20" i="26"/>
  <c r="BR20" i="26"/>
  <c r="BQ20" i="26"/>
  <c r="CM20" i="26" s="1"/>
  <c r="BN20" i="26"/>
  <c r="BJ20" i="26"/>
  <c r="BI20" i="26"/>
  <c r="BH20" i="26"/>
  <c r="AZ20" i="26"/>
  <c r="AY20" i="26"/>
  <c r="BA20" i="26" s="1"/>
  <c r="AU20" i="26"/>
  <c r="AR20" i="26"/>
  <c r="AQ20" i="26"/>
  <c r="AO20" i="26"/>
  <c r="AN20" i="26"/>
  <c r="AJ20" i="26"/>
  <c r="AG20" i="26"/>
  <c r="AF20" i="26"/>
  <c r="AC20" i="26"/>
  <c r="AB20" i="26"/>
  <c r="Y20" i="26"/>
  <c r="X20" i="26"/>
  <c r="AV20" i="26" s="1"/>
  <c r="U20" i="26"/>
  <c r="T20" i="26"/>
  <c r="P20" i="26"/>
  <c r="O20" i="26"/>
  <c r="L20" i="26"/>
  <c r="K20" i="26"/>
  <c r="H20" i="26"/>
  <c r="C20" i="26"/>
  <c r="EC20" i="26" s="1"/>
  <c r="EK19" i="26"/>
  <c r="EG19" i="26"/>
  <c r="ED19" i="26"/>
  <c r="EA19" i="26"/>
  <c r="DV19" i="26"/>
  <c r="DU19" i="26"/>
  <c r="DR19" i="26"/>
  <c r="DQ19" i="26"/>
  <c r="DZ19" i="26" s="1"/>
  <c r="DN19" i="26"/>
  <c r="DM19" i="26"/>
  <c r="DJ19" i="26"/>
  <c r="DI19" i="26"/>
  <c r="DF19" i="26"/>
  <c r="DE19" i="26"/>
  <c r="DB19" i="26"/>
  <c r="DA19" i="26"/>
  <c r="CX19" i="26"/>
  <c r="CW19" i="26"/>
  <c r="CT19" i="26"/>
  <c r="CS19" i="26"/>
  <c r="CQ19" i="26"/>
  <c r="CK19" i="26"/>
  <c r="CJ19" i="26"/>
  <c r="CH19" i="26"/>
  <c r="CG19" i="26"/>
  <c r="CD19" i="26"/>
  <c r="CC19" i="26"/>
  <c r="BZ19" i="26"/>
  <c r="BY19" i="26"/>
  <c r="BV19" i="26"/>
  <c r="BU19" i="26"/>
  <c r="BR19" i="26"/>
  <c r="BQ19" i="26"/>
  <c r="BN19" i="26"/>
  <c r="BJ19" i="26"/>
  <c r="BI19" i="26"/>
  <c r="BH19" i="26"/>
  <c r="AZ19" i="26"/>
  <c r="AY19" i="26"/>
  <c r="AU19" i="26"/>
  <c r="AR19" i="26"/>
  <c r="AQ19" i="26"/>
  <c r="AO19" i="26"/>
  <c r="AN19" i="26"/>
  <c r="AJ19" i="26"/>
  <c r="AG19" i="26"/>
  <c r="AF19" i="26"/>
  <c r="AC19" i="26"/>
  <c r="AB19" i="26"/>
  <c r="Y19" i="26"/>
  <c r="X19" i="26"/>
  <c r="AV19" i="26" s="1"/>
  <c r="U19" i="26"/>
  <c r="T19" i="26"/>
  <c r="P19" i="26"/>
  <c r="O19" i="26"/>
  <c r="L19" i="26"/>
  <c r="K19" i="26"/>
  <c r="H19" i="26"/>
  <c r="G19" i="26"/>
  <c r="CR19" i="26" s="1"/>
  <c r="C19" i="26"/>
  <c r="EC19" i="26" s="1"/>
  <c r="EK18" i="26"/>
  <c r="EG18" i="26"/>
  <c r="ED18" i="26"/>
  <c r="EA18" i="26"/>
  <c r="DV18" i="26"/>
  <c r="DU18" i="26"/>
  <c r="DR18" i="26"/>
  <c r="DQ18" i="26"/>
  <c r="DN18" i="26"/>
  <c r="DM18" i="26"/>
  <c r="DJ18" i="26"/>
  <c r="DI18" i="26"/>
  <c r="DF18" i="26"/>
  <c r="DE18" i="26"/>
  <c r="DB18" i="26"/>
  <c r="DA18" i="26"/>
  <c r="CX18" i="26"/>
  <c r="CW18" i="26"/>
  <c r="CT18" i="26"/>
  <c r="CS18" i="26"/>
  <c r="CQ18" i="26"/>
  <c r="CK18" i="26"/>
  <c r="CJ18" i="26"/>
  <c r="CH18" i="26"/>
  <c r="CG18" i="26"/>
  <c r="CD18" i="26"/>
  <c r="CC18" i="26"/>
  <c r="BZ18" i="26"/>
  <c r="BY18" i="26"/>
  <c r="BV18" i="26"/>
  <c r="BU18" i="26"/>
  <c r="BR18" i="26"/>
  <c r="BQ18" i="26"/>
  <c r="BN18" i="26"/>
  <c r="BJ18" i="26"/>
  <c r="BI18" i="26"/>
  <c r="BH18" i="26"/>
  <c r="AZ18" i="26"/>
  <c r="AY18" i="26"/>
  <c r="AU18" i="26"/>
  <c r="AR18" i="26"/>
  <c r="AQ18" i="26"/>
  <c r="AO18" i="26"/>
  <c r="AN18" i="26"/>
  <c r="AJ18" i="26"/>
  <c r="AG18" i="26"/>
  <c r="AF18" i="26"/>
  <c r="AC18" i="26"/>
  <c r="AB18" i="26"/>
  <c r="Y18" i="26"/>
  <c r="X18" i="26"/>
  <c r="AV18" i="26" s="1"/>
  <c r="U18" i="26"/>
  <c r="T18" i="26"/>
  <c r="P18" i="26"/>
  <c r="O18" i="26"/>
  <c r="L18" i="26"/>
  <c r="K18" i="26"/>
  <c r="H18" i="26"/>
  <c r="C18" i="26"/>
  <c r="EC18" i="26" s="1"/>
  <c r="EK17" i="26"/>
  <c r="EG17" i="26"/>
  <c r="ED17" i="26"/>
  <c r="EA17" i="26"/>
  <c r="DV17" i="26"/>
  <c r="DU17" i="26"/>
  <c r="DR17" i="26"/>
  <c r="DQ17" i="26"/>
  <c r="DN17" i="26"/>
  <c r="DM17" i="26"/>
  <c r="DJ17" i="26"/>
  <c r="DI17" i="26"/>
  <c r="DF17" i="26"/>
  <c r="DE17" i="26"/>
  <c r="DB17" i="26"/>
  <c r="DA17" i="26"/>
  <c r="CX17" i="26"/>
  <c r="CW17" i="26"/>
  <c r="CT17" i="26"/>
  <c r="CS17" i="26"/>
  <c r="CQ17" i="26"/>
  <c r="CK17" i="26"/>
  <c r="CJ17" i="26"/>
  <c r="CH17" i="26"/>
  <c r="CG17" i="26"/>
  <c r="CD17" i="26"/>
  <c r="CC17" i="26"/>
  <c r="BZ17" i="26"/>
  <c r="BY17" i="26"/>
  <c r="BV17" i="26"/>
  <c r="BU17" i="26"/>
  <c r="BR17" i="26"/>
  <c r="BQ17" i="26"/>
  <c r="CM17" i="26" s="1"/>
  <c r="BN17" i="26"/>
  <c r="BJ17" i="26"/>
  <c r="BI17" i="26"/>
  <c r="BH17" i="26"/>
  <c r="AZ17" i="26"/>
  <c r="AY17" i="26"/>
  <c r="AU17" i="26"/>
  <c r="AR17" i="26"/>
  <c r="AQ17" i="26"/>
  <c r="AO17" i="26"/>
  <c r="AN17" i="26"/>
  <c r="AJ17" i="26"/>
  <c r="AG17" i="26"/>
  <c r="AF17" i="26"/>
  <c r="AC17" i="26"/>
  <c r="AB17" i="26"/>
  <c r="Y17" i="26"/>
  <c r="X17" i="26"/>
  <c r="AV17" i="26" s="1"/>
  <c r="U17" i="26"/>
  <c r="T17" i="26"/>
  <c r="P17" i="26"/>
  <c r="O17" i="26"/>
  <c r="L17" i="26"/>
  <c r="K17" i="26"/>
  <c r="H17" i="26"/>
  <c r="C17" i="26"/>
  <c r="EC17" i="26" s="1"/>
  <c r="EK16" i="26"/>
  <c r="EG16" i="26"/>
  <c r="ED16" i="26"/>
  <c r="EA16" i="26"/>
  <c r="DV16" i="26"/>
  <c r="DU16" i="26"/>
  <c r="DR16" i="26"/>
  <c r="DQ16" i="26"/>
  <c r="DZ16" i="26" s="1"/>
  <c r="DN16" i="26"/>
  <c r="DM16" i="26"/>
  <c r="DJ16" i="26"/>
  <c r="DI16" i="26"/>
  <c r="DF16" i="26"/>
  <c r="DE16" i="26"/>
  <c r="DB16" i="26"/>
  <c r="DA16" i="26"/>
  <c r="CX16" i="26"/>
  <c r="CW16" i="26"/>
  <c r="CT16" i="26"/>
  <c r="CS16" i="26"/>
  <c r="CQ16" i="26"/>
  <c r="CK16" i="26"/>
  <c r="CJ16" i="26"/>
  <c r="CH16" i="26"/>
  <c r="CG16" i="26"/>
  <c r="CD16" i="26"/>
  <c r="CC16" i="26"/>
  <c r="BZ16" i="26"/>
  <c r="BY16" i="26"/>
  <c r="BV16" i="26"/>
  <c r="BU16" i="26"/>
  <c r="BR16" i="26"/>
  <c r="BQ16" i="26"/>
  <c r="CM16" i="26" s="1"/>
  <c r="BN16" i="26"/>
  <c r="BJ16" i="26"/>
  <c r="BI16" i="26"/>
  <c r="BH16" i="26"/>
  <c r="AZ16" i="26"/>
  <c r="AY16" i="26"/>
  <c r="AU16" i="26"/>
  <c r="AR16" i="26"/>
  <c r="AQ16" i="26"/>
  <c r="AO16" i="26"/>
  <c r="AN16" i="26"/>
  <c r="AJ16" i="26"/>
  <c r="AG16" i="26"/>
  <c r="AF16" i="26"/>
  <c r="AC16" i="26"/>
  <c r="AB16" i="26"/>
  <c r="Y16" i="26"/>
  <c r="X16" i="26"/>
  <c r="AV16" i="26" s="1"/>
  <c r="U16" i="26"/>
  <c r="T16" i="26"/>
  <c r="P16" i="26"/>
  <c r="O16" i="26"/>
  <c r="L16" i="26"/>
  <c r="K16" i="26"/>
  <c r="H16" i="26"/>
  <c r="C16" i="26"/>
  <c r="EC16" i="26" s="1"/>
  <c r="EK15" i="26"/>
  <c r="EG15" i="26"/>
  <c r="ED15" i="26"/>
  <c r="EA15" i="26"/>
  <c r="DV15" i="26"/>
  <c r="DU15" i="26"/>
  <c r="DR15" i="26"/>
  <c r="DQ15" i="26"/>
  <c r="DZ15" i="26" s="1"/>
  <c r="DN15" i="26"/>
  <c r="DM15" i="26"/>
  <c r="DJ15" i="26"/>
  <c r="DI15" i="26"/>
  <c r="DF15" i="26"/>
  <c r="DE15" i="26"/>
  <c r="DB15" i="26"/>
  <c r="DA15" i="26"/>
  <c r="CX15" i="26"/>
  <c r="CW15" i="26"/>
  <c r="CT15" i="26"/>
  <c r="CS15" i="26"/>
  <c r="CQ15" i="26"/>
  <c r="CK15" i="26"/>
  <c r="CJ15" i="26"/>
  <c r="CH15" i="26"/>
  <c r="CG15" i="26"/>
  <c r="CD15" i="26"/>
  <c r="CC15" i="26"/>
  <c r="BZ15" i="26"/>
  <c r="BY15" i="26"/>
  <c r="BV15" i="26"/>
  <c r="BU15" i="26"/>
  <c r="BR15" i="26"/>
  <c r="BQ15" i="26"/>
  <c r="BN15" i="26"/>
  <c r="BJ15" i="26"/>
  <c r="BI15" i="26"/>
  <c r="BH15" i="26"/>
  <c r="AZ15" i="26"/>
  <c r="AY15" i="26"/>
  <c r="AU15" i="26"/>
  <c r="AR15" i="26"/>
  <c r="AQ15" i="26"/>
  <c r="AO15" i="26"/>
  <c r="AN15" i="26"/>
  <c r="AJ15" i="26"/>
  <c r="AG15" i="26"/>
  <c r="AF15" i="26"/>
  <c r="AC15" i="26"/>
  <c r="AB15" i="26"/>
  <c r="Y15" i="26"/>
  <c r="X15" i="26"/>
  <c r="AV15" i="26" s="1"/>
  <c r="U15" i="26"/>
  <c r="T15" i="26"/>
  <c r="P15" i="26"/>
  <c r="O15" i="26"/>
  <c r="L15" i="26"/>
  <c r="K15" i="26"/>
  <c r="H15" i="26"/>
  <c r="G15" i="26"/>
  <c r="CR15" i="26" s="1"/>
  <c r="C15" i="26"/>
  <c r="EC15" i="26" s="1"/>
  <c r="EK14" i="26"/>
  <c r="EG14" i="26"/>
  <c r="ED14" i="26"/>
  <c r="EA14" i="26"/>
  <c r="DV14" i="26"/>
  <c r="DU14" i="26"/>
  <c r="DR14" i="26"/>
  <c r="DQ14" i="26"/>
  <c r="DN14" i="26"/>
  <c r="DM14" i="26"/>
  <c r="DJ14" i="26"/>
  <c r="DI14" i="26"/>
  <c r="DF14" i="26"/>
  <c r="DE14" i="26"/>
  <c r="DB14" i="26"/>
  <c r="DA14" i="26"/>
  <c r="CX14" i="26"/>
  <c r="CW14" i="26"/>
  <c r="CT14" i="26"/>
  <c r="CS14" i="26"/>
  <c r="CQ14" i="26"/>
  <c r="CK14" i="26"/>
  <c r="CJ14" i="26"/>
  <c r="CH14" i="26"/>
  <c r="CG14" i="26"/>
  <c r="CD14" i="26"/>
  <c r="CC14" i="26"/>
  <c r="BZ14" i="26"/>
  <c r="BY14" i="26"/>
  <c r="BV14" i="26"/>
  <c r="BU14" i="26"/>
  <c r="BR14" i="26"/>
  <c r="BQ14" i="26"/>
  <c r="BN14" i="26"/>
  <c r="BJ14" i="26"/>
  <c r="BI14" i="26"/>
  <c r="BH14" i="26"/>
  <c r="AZ14" i="26"/>
  <c r="AY14" i="26"/>
  <c r="AU14" i="26"/>
  <c r="AR14" i="26"/>
  <c r="AQ14" i="26"/>
  <c r="AO14" i="26"/>
  <c r="AN14" i="26"/>
  <c r="AJ14" i="26"/>
  <c r="AG14" i="26"/>
  <c r="AF14" i="26"/>
  <c r="AC14" i="26"/>
  <c r="AB14" i="26"/>
  <c r="Y14" i="26"/>
  <c r="X14" i="26"/>
  <c r="AV14" i="26" s="1"/>
  <c r="U14" i="26"/>
  <c r="T14" i="26"/>
  <c r="P14" i="26"/>
  <c r="O14" i="26"/>
  <c r="L14" i="26"/>
  <c r="K14" i="26"/>
  <c r="H14" i="26"/>
  <c r="C14" i="26"/>
  <c r="EC14" i="26" s="1"/>
  <c r="EK13" i="26"/>
  <c r="EG13" i="26"/>
  <c r="ED13" i="26"/>
  <c r="EA13" i="26"/>
  <c r="DV13" i="26"/>
  <c r="DU13" i="26"/>
  <c r="DR13" i="26"/>
  <c r="DQ13" i="26"/>
  <c r="DN13" i="26"/>
  <c r="DM13" i="26"/>
  <c r="DJ13" i="26"/>
  <c r="DI13" i="26"/>
  <c r="DF13" i="26"/>
  <c r="DE13" i="26"/>
  <c r="DB13" i="26"/>
  <c r="DA13" i="26"/>
  <c r="CX13" i="26"/>
  <c r="CW13" i="26"/>
  <c r="CT13" i="26"/>
  <c r="CS13" i="26"/>
  <c r="CQ13" i="26"/>
  <c r="CK13" i="26"/>
  <c r="CJ13" i="26"/>
  <c r="CH13" i="26"/>
  <c r="CG13" i="26"/>
  <c r="CD13" i="26"/>
  <c r="CC13" i="26"/>
  <c r="BZ13" i="26"/>
  <c r="BY13" i="26"/>
  <c r="BV13" i="26"/>
  <c r="BU13" i="26"/>
  <c r="BR13" i="26"/>
  <c r="BQ13" i="26"/>
  <c r="CM13" i="26" s="1"/>
  <c r="BN13" i="26"/>
  <c r="BJ13" i="26"/>
  <c r="BI13" i="26"/>
  <c r="BH13" i="26"/>
  <c r="AZ13" i="26"/>
  <c r="AY13" i="26"/>
  <c r="AU13" i="26"/>
  <c r="AR13" i="26"/>
  <c r="AQ13" i="26"/>
  <c r="AO13" i="26"/>
  <c r="AN13" i="26"/>
  <c r="AJ13" i="26"/>
  <c r="AG13" i="26"/>
  <c r="AF13" i="26"/>
  <c r="AC13" i="26"/>
  <c r="AB13" i="26"/>
  <c r="Y13" i="26"/>
  <c r="X13" i="26"/>
  <c r="AV13" i="26" s="1"/>
  <c r="U13" i="26"/>
  <c r="T13" i="26"/>
  <c r="P13" i="26"/>
  <c r="O13" i="26"/>
  <c r="L13" i="26"/>
  <c r="K13" i="26"/>
  <c r="H13" i="26"/>
  <c r="G13" i="26"/>
  <c r="CR13" i="26" s="1"/>
  <c r="C13" i="26"/>
  <c r="EC13" i="26" s="1"/>
  <c r="EK12" i="26"/>
  <c r="EG12" i="26"/>
  <c r="ED12" i="26"/>
  <c r="EA12" i="26"/>
  <c r="DV12" i="26"/>
  <c r="DU12" i="26"/>
  <c r="DR12" i="26"/>
  <c r="DQ12" i="26"/>
  <c r="DN12" i="26"/>
  <c r="DM12" i="26"/>
  <c r="DJ12" i="26"/>
  <c r="DI12" i="26"/>
  <c r="DF12" i="26"/>
  <c r="DE12" i="26"/>
  <c r="DB12" i="26"/>
  <c r="DA12" i="26"/>
  <c r="CX12" i="26"/>
  <c r="CW12" i="26"/>
  <c r="CT12" i="26"/>
  <c r="CS12" i="26"/>
  <c r="CQ12" i="26"/>
  <c r="CK12" i="26"/>
  <c r="CJ12" i="26"/>
  <c r="CH12" i="26"/>
  <c r="CG12" i="26"/>
  <c r="CD12" i="26"/>
  <c r="CC12" i="26"/>
  <c r="BZ12" i="26"/>
  <c r="BY12" i="26"/>
  <c r="BV12" i="26"/>
  <c r="BU12" i="26"/>
  <c r="BR12" i="26"/>
  <c r="BQ12" i="26"/>
  <c r="CM12" i="26" s="1"/>
  <c r="BN12" i="26"/>
  <c r="BJ12" i="26"/>
  <c r="BI12" i="26"/>
  <c r="BH12" i="26"/>
  <c r="AZ12" i="26"/>
  <c r="AY12" i="26"/>
  <c r="AU12" i="26"/>
  <c r="AR12" i="26"/>
  <c r="AQ12" i="26"/>
  <c r="AO12" i="26"/>
  <c r="AN12" i="26"/>
  <c r="AJ12" i="26"/>
  <c r="AG12" i="26"/>
  <c r="AF12" i="26"/>
  <c r="AC12" i="26"/>
  <c r="AB12" i="26"/>
  <c r="Y12" i="26"/>
  <c r="AZ12" i="6" s="1"/>
  <c r="BA12" i="6" s="1"/>
  <c r="X12" i="26"/>
  <c r="U12" i="26"/>
  <c r="T12" i="26"/>
  <c r="P12" i="26"/>
  <c r="O12" i="26"/>
  <c r="L12" i="26"/>
  <c r="K12" i="26"/>
  <c r="H12" i="26"/>
  <c r="C12" i="26"/>
  <c r="EC12" i="26" s="1"/>
  <c r="EK11" i="26"/>
  <c r="EG11" i="26"/>
  <c r="ED11" i="26"/>
  <c r="EA11" i="26"/>
  <c r="DV11" i="26"/>
  <c r="DU11" i="26"/>
  <c r="DR11" i="26"/>
  <c r="DQ11" i="26"/>
  <c r="DZ11" i="26" s="1"/>
  <c r="DN11" i="26"/>
  <c r="DM11" i="26"/>
  <c r="DJ11" i="26"/>
  <c r="DI11" i="26"/>
  <c r="DF11" i="26"/>
  <c r="DE11" i="26"/>
  <c r="DB11" i="26"/>
  <c r="DA11" i="26"/>
  <c r="CX11" i="26"/>
  <c r="CW11" i="26"/>
  <c r="CT11" i="26"/>
  <c r="CS11" i="26"/>
  <c r="CQ11" i="26"/>
  <c r="CK11" i="26"/>
  <c r="CJ11" i="26"/>
  <c r="CH11" i="26"/>
  <c r="CG11" i="26"/>
  <c r="CD11" i="26"/>
  <c r="CC11" i="26"/>
  <c r="BZ11" i="26"/>
  <c r="BY11" i="26"/>
  <c r="BV11" i="26"/>
  <c r="BU11" i="26"/>
  <c r="BR11" i="26"/>
  <c r="BQ11" i="26"/>
  <c r="CM11" i="26" s="1"/>
  <c r="BN11" i="26"/>
  <c r="BJ11" i="26"/>
  <c r="BI11" i="26"/>
  <c r="BH11" i="26"/>
  <c r="AZ11" i="26"/>
  <c r="AY11" i="26"/>
  <c r="AU11" i="26"/>
  <c r="AR11" i="26"/>
  <c r="AQ11" i="26"/>
  <c r="AO11" i="26"/>
  <c r="AN11" i="26"/>
  <c r="AJ11" i="26"/>
  <c r="AG11" i="26"/>
  <c r="AF11" i="26"/>
  <c r="AC11" i="26"/>
  <c r="AB11" i="26"/>
  <c r="Y11" i="26"/>
  <c r="AZ11" i="6" s="1"/>
  <c r="BA11" i="6" s="1"/>
  <c r="X11" i="26"/>
  <c r="U11" i="26"/>
  <c r="T11" i="26"/>
  <c r="P11" i="26"/>
  <c r="O11" i="26"/>
  <c r="L11" i="26"/>
  <c r="K11" i="26"/>
  <c r="H11" i="26"/>
  <c r="C11" i="26"/>
  <c r="EC11" i="26" s="1"/>
  <c r="EK10" i="26"/>
  <c r="EG10" i="26"/>
  <c r="ED10" i="26"/>
  <c r="EA10" i="26"/>
  <c r="DV10" i="26"/>
  <c r="DU10" i="26"/>
  <c r="DR10" i="26"/>
  <c r="DQ10" i="26"/>
  <c r="DZ10" i="26" s="1"/>
  <c r="DN10" i="26"/>
  <c r="DM10" i="26"/>
  <c r="DJ10" i="26"/>
  <c r="DI10" i="26"/>
  <c r="DF10" i="26"/>
  <c r="DE10" i="26"/>
  <c r="DB10" i="26"/>
  <c r="DA10" i="26"/>
  <c r="CX10" i="26"/>
  <c r="CW10" i="26"/>
  <c r="CT10" i="26"/>
  <c r="CS10" i="26"/>
  <c r="CQ10" i="26"/>
  <c r="CK10" i="26"/>
  <c r="CJ10" i="26"/>
  <c r="CH10" i="26"/>
  <c r="CG10" i="26"/>
  <c r="CD10" i="26"/>
  <c r="CC10" i="26"/>
  <c r="BZ10" i="26"/>
  <c r="BY10" i="26"/>
  <c r="BV10" i="26"/>
  <c r="BU10" i="26"/>
  <c r="BR10" i="26"/>
  <c r="BQ10" i="26"/>
  <c r="CM10" i="26" s="1"/>
  <c r="BN10" i="26"/>
  <c r="BN12" i="6" s="1"/>
  <c r="BJ10" i="26"/>
  <c r="BI10" i="26"/>
  <c r="BH10" i="26"/>
  <c r="AZ10" i="26"/>
  <c r="AY10" i="26"/>
  <c r="AU10" i="26"/>
  <c r="AR10" i="26"/>
  <c r="AQ10" i="26"/>
  <c r="AO10" i="26"/>
  <c r="AN10" i="26"/>
  <c r="AJ10" i="26"/>
  <c r="AG10" i="26"/>
  <c r="AF10" i="26"/>
  <c r="AC10" i="26"/>
  <c r="AB10" i="26"/>
  <c r="Y10" i="26"/>
  <c r="AZ10" i="6" s="1"/>
  <c r="BA10" i="6" s="1"/>
  <c r="X10" i="26"/>
  <c r="U10" i="26"/>
  <c r="T10" i="26"/>
  <c r="P10" i="26"/>
  <c r="O10" i="26"/>
  <c r="L10" i="26"/>
  <c r="K10" i="26"/>
  <c r="H10" i="26"/>
  <c r="C10" i="26"/>
  <c r="EC10" i="26" s="1"/>
  <c r="EK9" i="26"/>
  <c r="EG9" i="26"/>
  <c r="ED9" i="26"/>
  <c r="EA9" i="26"/>
  <c r="DV9" i="26"/>
  <c r="DU9" i="26"/>
  <c r="DR9" i="26"/>
  <c r="DQ9" i="26"/>
  <c r="DZ9" i="26" s="1"/>
  <c r="DN9" i="26"/>
  <c r="DM9" i="26"/>
  <c r="DJ9" i="26"/>
  <c r="DI9" i="26"/>
  <c r="DF9" i="26"/>
  <c r="DE9" i="26"/>
  <c r="DB9" i="26"/>
  <c r="DA9" i="26"/>
  <c r="CX9" i="26"/>
  <c r="CW9" i="26"/>
  <c r="CT9" i="26"/>
  <c r="CS9" i="26"/>
  <c r="CQ9" i="26"/>
  <c r="CK9" i="26"/>
  <c r="CJ9" i="26"/>
  <c r="CH9" i="26"/>
  <c r="CG9" i="26"/>
  <c r="CD9" i="26"/>
  <c r="CC9" i="26"/>
  <c r="BZ9" i="26"/>
  <c r="BY9" i="26"/>
  <c r="BV9" i="26"/>
  <c r="BU9" i="26"/>
  <c r="BR9" i="26"/>
  <c r="BQ9" i="26"/>
  <c r="BN9" i="26"/>
  <c r="BN11" i="6" s="1"/>
  <c r="BJ9" i="26"/>
  <c r="BI9" i="26"/>
  <c r="BH9" i="26"/>
  <c r="AZ9" i="26"/>
  <c r="AY9" i="26"/>
  <c r="AU9" i="26"/>
  <c r="AR9" i="26"/>
  <c r="AQ9" i="26"/>
  <c r="AO9" i="26"/>
  <c r="AN9" i="26"/>
  <c r="AJ9" i="26"/>
  <c r="AG9" i="26"/>
  <c r="AF9" i="26"/>
  <c r="AC9" i="26"/>
  <c r="AB9" i="26"/>
  <c r="Y9" i="26"/>
  <c r="AZ9" i="6" s="1"/>
  <c r="BA9" i="6" s="1"/>
  <c r="X9" i="26"/>
  <c r="AV9" i="26" s="1"/>
  <c r="U9" i="26"/>
  <c r="T9" i="26"/>
  <c r="P9" i="26"/>
  <c r="O9" i="26"/>
  <c r="L9" i="26"/>
  <c r="K9" i="26"/>
  <c r="H9" i="26"/>
  <c r="G9" i="26"/>
  <c r="CR9" i="26" s="1"/>
  <c r="C9" i="26"/>
  <c r="EC9" i="26" s="1"/>
  <c r="EK8" i="26"/>
  <c r="EL8" i="6" s="1"/>
  <c r="EG8" i="26"/>
  <c r="EH8" i="6" s="1"/>
  <c r="ED8" i="26"/>
  <c r="EA8" i="26"/>
  <c r="DV8" i="26"/>
  <c r="DU8" i="26"/>
  <c r="DV8" i="6" s="1"/>
  <c r="DR8" i="26"/>
  <c r="DQ8" i="26"/>
  <c r="DN8" i="26"/>
  <c r="DM8" i="26"/>
  <c r="DN8" i="6" s="1"/>
  <c r="DJ8" i="26"/>
  <c r="DI8" i="26"/>
  <c r="DJ8" i="6" s="1"/>
  <c r="DF8" i="26"/>
  <c r="DE8" i="26"/>
  <c r="DF8" i="6" s="1"/>
  <c r="DB8" i="26"/>
  <c r="DA8" i="26"/>
  <c r="DB8" i="6" s="1"/>
  <c r="CX8" i="26"/>
  <c r="CW8" i="26"/>
  <c r="CX8" i="6" s="1"/>
  <c r="CT8" i="26"/>
  <c r="CS8" i="26"/>
  <c r="CQ8" i="26"/>
  <c r="CR8" i="26" s="1"/>
  <c r="CK8" i="26"/>
  <c r="CJ8" i="26"/>
  <c r="CK8" i="6" s="1"/>
  <c r="CH8" i="26"/>
  <c r="CG8" i="26"/>
  <c r="CH8" i="6" s="1"/>
  <c r="CD8" i="26"/>
  <c r="CC8" i="26"/>
  <c r="CD8" i="6" s="1"/>
  <c r="BZ8" i="26"/>
  <c r="BY8" i="26"/>
  <c r="BZ8" i="6" s="1"/>
  <c r="BV8" i="26"/>
  <c r="BU8" i="26"/>
  <c r="BV8" i="6" s="1"/>
  <c r="BR8" i="26"/>
  <c r="BQ8" i="26"/>
  <c r="BN8" i="26"/>
  <c r="BN10" i="6" s="1"/>
  <c r="BJ8" i="26"/>
  <c r="BI8" i="26"/>
  <c r="BH8" i="26"/>
  <c r="AZ8" i="26"/>
  <c r="AY8" i="26"/>
  <c r="AU8" i="26"/>
  <c r="AR8" i="26"/>
  <c r="AQ8" i="26"/>
  <c r="AR8" i="6" s="1"/>
  <c r="AO8" i="26"/>
  <c r="AN8" i="26"/>
  <c r="AJ8" i="26"/>
  <c r="AG8" i="26"/>
  <c r="AF8" i="26"/>
  <c r="AC8" i="26"/>
  <c r="AB8" i="26"/>
  <c r="AC8" i="6" s="1"/>
  <c r="Y8" i="26"/>
  <c r="AZ8" i="6" s="1"/>
  <c r="X8" i="26"/>
  <c r="U8" i="26"/>
  <c r="T8" i="26"/>
  <c r="U8" i="6" s="1"/>
  <c r="P8" i="26"/>
  <c r="O8" i="26"/>
  <c r="P8" i="6" s="1"/>
  <c r="L8" i="26"/>
  <c r="K8" i="26"/>
  <c r="L8" i="6" s="1"/>
  <c r="H8" i="26"/>
  <c r="G8" i="26"/>
  <c r="H8" i="6" s="1"/>
  <c r="C8" i="26"/>
  <c r="EC8" i="26" s="1"/>
  <c r="ED8" i="6" s="1"/>
  <c r="EK7" i="26"/>
  <c r="EL7" i="6" s="1"/>
  <c r="EG7" i="26"/>
  <c r="ED7" i="26"/>
  <c r="EA7" i="26"/>
  <c r="DV7" i="26"/>
  <c r="DU7" i="26"/>
  <c r="DV7" i="6" s="1"/>
  <c r="DR7" i="26"/>
  <c r="DQ7" i="26"/>
  <c r="DN7" i="26"/>
  <c r="DM7" i="26"/>
  <c r="DJ7" i="26"/>
  <c r="DI7" i="26"/>
  <c r="DJ7" i="6" s="1"/>
  <c r="DF7" i="26"/>
  <c r="DE7" i="26"/>
  <c r="DF7" i="6" s="1"/>
  <c r="DB7" i="26"/>
  <c r="DA7" i="26"/>
  <c r="DB7" i="6" s="1"/>
  <c r="CX7" i="26"/>
  <c r="CW7" i="26"/>
  <c r="CT7" i="26"/>
  <c r="CS7" i="26"/>
  <c r="CQ7" i="26"/>
  <c r="CK7" i="26"/>
  <c r="CJ7" i="26"/>
  <c r="CK7" i="6" s="1"/>
  <c r="CH7" i="26"/>
  <c r="CG7" i="26"/>
  <c r="CH7" i="6" s="1"/>
  <c r="CD7" i="26"/>
  <c r="CC7" i="26"/>
  <c r="BZ7" i="26"/>
  <c r="BY7" i="26"/>
  <c r="BZ7" i="6" s="1"/>
  <c r="BV7" i="26"/>
  <c r="BU7" i="26"/>
  <c r="BV7" i="6" s="1"/>
  <c r="BR7" i="26"/>
  <c r="BQ7" i="26"/>
  <c r="CM7" i="26" s="1"/>
  <c r="BN7" i="26"/>
  <c r="BN9" i="6" s="1"/>
  <c r="BJ7" i="26"/>
  <c r="BI7" i="26"/>
  <c r="BH7" i="26"/>
  <c r="AZ7" i="26"/>
  <c r="AY7" i="26"/>
  <c r="AU7" i="26"/>
  <c r="AR7" i="26"/>
  <c r="AQ7" i="26"/>
  <c r="AO7" i="26"/>
  <c r="AN7" i="26"/>
  <c r="AJ7" i="26"/>
  <c r="AG7" i="26"/>
  <c r="AF7" i="26"/>
  <c r="AC7" i="26"/>
  <c r="AB7" i="26"/>
  <c r="AC7" i="6" s="1"/>
  <c r="Y7" i="26"/>
  <c r="AZ7" i="6" s="1"/>
  <c r="X7" i="26"/>
  <c r="AV7" i="26" s="1"/>
  <c r="U7" i="26"/>
  <c r="T7" i="26"/>
  <c r="U7" i="6" s="1"/>
  <c r="P7" i="26"/>
  <c r="O7" i="26"/>
  <c r="P7" i="6" s="1"/>
  <c r="L7" i="26"/>
  <c r="K7" i="26"/>
  <c r="L7" i="6" s="1"/>
  <c r="H7" i="26"/>
  <c r="G7" i="26"/>
  <c r="C7" i="26"/>
  <c r="EC7" i="26" s="1"/>
  <c r="ED7" i="6" s="1"/>
  <c r="EK6" i="26"/>
  <c r="EG6" i="26"/>
  <c r="ED6" i="26"/>
  <c r="EA6" i="26"/>
  <c r="DV6" i="26"/>
  <c r="DU6" i="26"/>
  <c r="DR6" i="26"/>
  <c r="DQ6" i="26"/>
  <c r="DN6" i="26"/>
  <c r="DM6" i="26"/>
  <c r="DM37" i="26" s="1"/>
  <c r="DJ6" i="26"/>
  <c r="DI6" i="26"/>
  <c r="DF6" i="26"/>
  <c r="DE6" i="26"/>
  <c r="DB6" i="26"/>
  <c r="DA6" i="26"/>
  <c r="CX6" i="26"/>
  <c r="CW6" i="26"/>
  <c r="CT6" i="26"/>
  <c r="CS6" i="26"/>
  <c r="CQ6" i="26"/>
  <c r="CQ37" i="26" s="1"/>
  <c r="CK6" i="26"/>
  <c r="CJ6" i="26"/>
  <c r="CH6" i="26"/>
  <c r="CG6" i="26"/>
  <c r="CD6" i="26"/>
  <c r="CC6" i="26"/>
  <c r="CC37" i="26" s="1"/>
  <c r="BZ6" i="26"/>
  <c r="BY6" i="26"/>
  <c r="BV6" i="26"/>
  <c r="BU6" i="26"/>
  <c r="BU37" i="26" s="1"/>
  <c r="BR6" i="26"/>
  <c r="BQ6" i="26"/>
  <c r="BN6" i="26"/>
  <c r="BJ6" i="26"/>
  <c r="BI6" i="26"/>
  <c r="BH6" i="26"/>
  <c r="AZ6" i="26"/>
  <c r="AY6" i="26"/>
  <c r="AU6" i="26"/>
  <c r="AR6" i="26"/>
  <c r="AQ6" i="26"/>
  <c r="AO6" i="26"/>
  <c r="AN6" i="26"/>
  <c r="AJ6" i="26"/>
  <c r="AG6" i="26"/>
  <c r="AF6" i="26"/>
  <c r="AC6" i="26"/>
  <c r="AB6" i="26"/>
  <c r="Y6" i="26"/>
  <c r="X6" i="26"/>
  <c r="U6" i="26"/>
  <c r="T6" i="26"/>
  <c r="P6" i="26"/>
  <c r="O6" i="26"/>
  <c r="L6" i="26"/>
  <c r="K6" i="26"/>
  <c r="H6" i="26"/>
  <c r="C6" i="26"/>
  <c r="G6" i="26" s="1"/>
  <c r="BA28" i="26" l="1"/>
  <c r="BA34" i="26"/>
  <c r="BA12" i="26"/>
  <c r="BA6" i="26"/>
  <c r="BE10" i="5"/>
  <c r="BI10" i="5" s="1"/>
  <c r="BA11" i="26"/>
  <c r="CN16" i="26"/>
  <c r="CN32" i="26"/>
  <c r="BA7" i="26"/>
  <c r="BA8" i="26"/>
  <c r="BA9" i="26"/>
  <c r="BA16" i="26"/>
  <c r="CN20" i="26"/>
  <c r="BA26" i="26"/>
  <c r="BA32" i="26"/>
  <c r="AC37" i="26"/>
  <c r="AV31" i="26"/>
  <c r="AV35" i="26"/>
  <c r="DU37" i="26"/>
  <c r="DZ7" i="26"/>
  <c r="CN8" i="26"/>
  <c r="CS8" i="6" s="1"/>
  <c r="G10" i="26"/>
  <c r="CR10" i="26" s="1"/>
  <c r="BA10" i="26"/>
  <c r="G11" i="26"/>
  <c r="CR11" i="26" s="1"/>
  <c r="AV11" i="26"/>
  <c r="G12" i="26"/>
  <c r="CR12" i="26" s="1"/>
  <c r="AV12" i="26"/>
  <c r="G16" i="26"/>
  <c r="CR16" i="26" s="1"/>
  <c r="G20" i="26"/>
  <c r="CR20" i="26" s="1"/>
  <c r="G24" i="26"/>
  <c r="CR24" i="26" s="1"/>
  <c r="G28" i="26"/>
  <c r="CR28" i="26" s="1"/>
  <c r="G32" i="26"/>
  <c r="CR32" i="26" s="1"/>
  <c r="AV32" i="26"/>
  <c r="AY7" i="6"/>
  <c r="BA7" i="6" s="1"/>
  <c r="BR7" i="6"/>
  <c r="DR7" i="6"/>
  <c r="CR7" i="26"/>
  <c r="AV8" i="26"/>
  <c r="AY8" i="6"/>
  <c r="BA8" i="6" s="1"/>
  <c r="Y8" i="6"/>
  <c r="DZ8" i="26"/>
  <c r="EA8" i="6" s="1"/>
  <c r="DR8" i="6"/>
  <c r="CM9" i="26"/>
  <c r="DZ12" i="26"/>
  <c r="DZ13" i="26"/>
  <c r="CM14" i="26"/>
  <c r="G17" i="26"/>
  <c r="CR17" i="26" s="1"/>
  <c r="CN17" i="26"/>
  <c r="DZ17" i="26"/>
  <c r="CM18" i="26"/>
  <c r="G21" i="26"/>
  <c r="CR21" i="26" s="1"/>
  <c r="CN21" i="26"/>
  <c r="DZ21" i="26"/>
  <c r="CM22" i="26"/>
  <c r="G25" i="26"/>
  <c r="CR25" i="26" s="1"/>
  <c r="CN25" i="26"/>
  <c r="DZ25" i="26"/>
  <c r="CM26" i="26"/>
  <c r="G29" i="26"/>
  <c r="CR29" i="26" s="1"/>
  <c r="CN29" i="26"/>
  <c r="DZ29" i="26"/>
  <c r="CM30" i="26"/>
  <c r="AE33" i="26"/>
  <c r="AV33" i="26"/>
  <c r="CN33" i="26"/>
  <c r="DZ33" i="26"/>
  <c r="CM34" i="26"/>
  <c r="BD9" i="5"/>
  <c r="BH9" i="5" s="1"/>
  <c r="CM8" i="26"/>
  <c r="BR8" i="6"/>
  <c r="CN8" i="6" s="1"/>
  <c r="AG37" i="26"/>
  <c r="AQ37" i="26"/>
  <c r="CJ37" i="26"/>
  <c r="AJ37" i="26"/>
  <c r="AJ40" i="26" s="1"/>
  <c r="AR37" i="26"/>
  <c r="BN37" i="26"/>
  <c r="BN8" i="6"/>
  <c r="BV37" i="26"/>
  <c r="CD37" i="26"/>
  <c r="CK37" i="26"/>
  <c r="CW37" i="26"/>
  <c r="DE37" i="26"/>
  <c r="BA13" i="26"/>
  <c r="G14" i="26"/>
  <c r="CR14" i="26" s="1"/>
  <c r="DZ14" i="26"/>
  <c r="CM15" i="26"/>
  <c r="G18" i="26"/>
  <c r="CR18" i="26" s="1"/>
  <c r="DZ18" i="26"/>
  <c r="CM19" i="26"/>
  <c r="G22" i="26"/>
  <c r="CR22" i="26" s="1"/>
  <c r="DZ22" i="26"/>
  <c r="CM23" i="26"/>
  <c r="G26" i="26"/>
  <c r="CR26" i="26" s="1"/>
  <c r="DZ26" i="26"/>
  <c r="CM27" i="26"/>
  <c r="G30" i="26"/>
  <c r="CR30" i="26" s="1"/>
  <c r="AE30" i="26"/>
  <c r="AV30" i="26"/>
  <c r="DZ30" i="26"/>
  <c r="CM31" i="26"/>
  <c r="G34" i="26"/>
  <c r="CR34" i="26" s="1"/>
  <c r="AV34" i="26"/>
  <c r="H7" i="6"/>
  <c r="Y7" i="6"/>
  <c r="L37" i="26"/>
  <c r="U37" i="26"/>
  <c r="CN14" i="26"/>
  <c r="BA17" i="26"/>
  <c r="CN18" i="26"/>
  <c r="BA21" i="26"/>
  <c r="CN22" i="26"/>
  <c r="BA25" i="26"/>
  <c r="CN26" i="26"/>
  <c r="BA29" i="26"/>
  <c r="CN30" i="26"/>
  <c r="BA33" i="26"/>
  <c r="CN34" i="26"/>
  <c r="AY37" i="26"/>
  <c r="BI37" i="26"/>
  <c r="BR37" i="26"/>
  <c r="BZ37" i="26"/>
  <c r="CH37" i="26"/>
  <c r="CN9" i="26"/>
  <c r="CS9" i="6" s="1"/>
  <c r="CN12" i="26"/>
  <c r="CS12" i="6" s="1"/>
  <c r="BA14" i="26"/>
  <c r="CN15" i="26"/>
  <c r="BA18" i="26"/>
  <c r="CN19" i="26"/>
  <c r="BA22" i="26"/>
  <c r="CN23" i="26"/>
  <c r="CN27" i="26"/>
  <c r="BA30" i="26"/>
  <c r="CN31" i="26"/>
  <c r="CN35" i="26"/>
  <c r="AZ37" i="26"/>
  <c r="BJ37" i="26"/>
  <c r="ED37" i="26"/>
  <c r="BA15" i="26"/>
  <c r="BA19" i="26"/>
  <c r="BA23" i="26"/>
  <c r="BA27" i="26"/>
  <c r="BA31" i="26"/>
  <c r="BA35" i="26"/>
  <c r="AE7" i="26"/>
  <c r="AF7" i="6" s="1"/>
  <c r="AN37" i="26"/>
  <c r="AE11" i="26"/>
  <c r="O37" i="26"/>
  <c r="X37" i="26"/>
  <c r="AV6" i="26"/>
  <c r="AV37" i="26" s="1"/>
  <c r="AE6" i="26"/>
  <c r="CN7" i="26"/>
  <c r="CS7" i="6" s="1"/>
  <c r="AV10" i="26"/>
  <c r="AE10" i="26"/>
  <c r="CN11" i="26"/>
  <c r="CS11" i="6" s="1"/>
  <c r="CR6" i="26"/>
  <c r="CX37" i="26"/>
  <c r="DF37" i="26"/>
  <c r="DN37" i="26"/>
  <c r="DV37" i="26"/>
  <c r="AE9" i="26"/>
  <c r="CN10" i="26"/>
  <c r="CS10" i="6" s="1"/>
  <c r="AE13" i="26"/>
  <c r="AE8" i="26"/>
  <c r="AF8" i="6" s="1"/>
  <c r="AE12" i="26"/>
  <c r="CN13" i="26"/>
  <c r="EK37" i="26"/>
  <c r="P37" i="26"/>
  <c r="AF37" i="26"/>
  <c r="BH37" i="26"/>
  <c r="CG37" i="26"/>
  <c r="DI37" i="26"/>
  <c r="EG37" i="26"/>
  <c r="K37" i="26"/>
  <c r="T37" i="26"/>
  <c r="AB37" i="26"/>
  <c r="AR46" i="26"/>
  <c r="CN6" i="26"/>
  <c r="DB37" i="26"/>
  <c r="DJ37" i="26"/>
  <c r="DR37" i="26"/>
  <c r="EA37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H37" i="26"/>
  <c r="Y37" i="26"/>
  <c r="AO37" i="26"/>
  <c r="AR42" i="26" s="1"/>
  <c r="BQ37" i="26"/>
  <c r="BY37" i="26"/>
  <c r="CM6" i="26"/>
  <c r="DA37" i="26"/>
  <c r="DQ37" i="26"/>
  <c r="DZ6" i="26"/>
  <c r="C39" i="26"/>
  <c r="C37" i="26"/>
  <c r="EC6" i="26"/>
  <c r="EC37" i="26" s="1"/>
  <c r="BA37" i="26" l="1"/>
  <c r="G37" i="26"/>
  <c r="CM37" i="26"/>
  <c r="CR37" i="26"/>
  <c r="DZ37" i="26"/>
  <c r="CN37" i="26"/>
  <c r="AE37" i="26"/>
  <c r="AR44" i="26"/>
  <c r="AR40" i="26"/>
  <c r="AR45" i="26" l="1"/>
  <c r="AR41" i="26"/>
  <c r="ET7" i="6" l="1"/>
  <c r="EQ7" i="6"/>
  <c r="F7" i="6" s="1"/>
  <c r="EK7" i="6"/>
  <c r="EG7" i="6"/>
  <c r="EA7" i="6"/>
  <c r="DU7" i="6"/>
  <c r="DQ7" i="6"/>
  <c r="DM7" i="6"/>
  <c r="DI7" i="6"/>
  <c r="DE7" i="6"/>
  <c r="DA7" i="6"/>
  <c r="CW7" i="6"/>
  <c r="CQ7" i="6"/>
  <c r="CJ7" i="6"/>
  <c r="CG7" i="6"/>
  <c r="CC7" i="6"/>
  <c r="BY7" i="6"/>
  <c r="BU7" i="6"/>
  <c r="CN7" i="6"/>
  <c r="BQ7" i="6"/>
  <c r="BN7" i="6"/>
  <c r="AU7" i="6"/>
  <c r="AO7" i="6"/>
  <c r="AM7" i="6"/>
  <c r="F9" i="5" s="1"/>
  <c r="AG7" i="6"/>
  <c r="AB7" i="6"/>
  <c r="Q9" i="5" s="1"/>
  <c r="X7" i="6"/>
  <c r="T7" i="6"/>
  <c r="O9" i="5" s="1"/>
  <c r="T9" i="5" s="1"/>
  <c r="O7" i="6"/>
  <c r="AB9" i="5" s="1"/>
  <c r="K7" i="6"/>
  <c r="AH9" i="5" s="1"/>
  <c r="AI9" i="5" s="1"/>
  <c r="EC7" i="6"/>
  <c r="AE7" i="6" l="1"/>
  <c r="AV9" i="5" s="1"/>
  <c r="J9" i="5"/>
  <c r="M9" i="5" s="1"/>
  <c r="AC9" i="5"/>
  <c r="AS9" i="5" s="1"/>
  <c r="BA9" i="5" s="1"/>
  <c r="AN9" i="5"/>
  <c r="AZ9" i="5" s="1"/>
  <c r="AV7" i="6"/>
  <c r="G7" i="6"/>
  <c r="DZ7" i="6"/>
  <c r="CM7" i="6"/>
  <c r="E21" i="28"/>
  <c r="AO6" i="6"/>
  <c r="AG6" i="6"/>
  <c r="CR7" i="6" l="1"/>
  <c r="Z9" i="5"/>
  <c r="AY9" i="5" s="1"/>
  <c r="V9" i="5"/>
  <c r="AX9" i="5" s="1"/>
  <c r="AW9" i="5"/>
  <c r="BC8" i="5"/>
  <c r="BG8" i="5"/>
  <c r="BE9" i="5" l="1"/>
  <c r="BI9" i="5" s="1"/>
  <c r="U6" i="6"/>
  <c r="P8" i="5"/>
  <c r="K8" i="5"/>
  <c r="AK8" i="5"/>
  <c r="AJ8" i="5"/>
  <c r="AE8" i="5"/>
  <c r="AD8" i="5"/>
  <c r="X8" i="5"/>
  <c r="W8" i="5"/>
  <c r="BN6" i="6" l="1"/>
  <c r="H6" i="6"/>
  <c r="CC42" i="6" l="1"/>
  <c r="AB42" i="6"/>
  <c r="AB41" i="6"/>
  <c r="AB40" i="6"/>
  <c r="B40" i="6"/>
  <c r="CX37" i="6"/>
  <c r="CT37" i="6"/>
  <c r="CS37" i="6"/>
  <c r="CR37" i="6"/>
  <c r="BL37" i="6"/>
  <c r="BG37" i="6"/>
  <c r="BF37" i="6"/>
  <c r="BE37" i="6"/>
  <c r="BD37" i="6"/>
  <c r="BC37" i="6"/>
  <c r="AK37" i="6"/>
  <c r="AJ42" i="6" s="1"/>
  <c r="AI37" i="6"/>
  <c r="AJ41" i="6" s="1"/>
  <c r="S37" i="6"/>
  <c r="ET6" i="6"/>
  <c r="EQ6" i="6"/>
  <c r="F6" i="6" s="1"/>
  <c r="EL6" i="6"/>
  <c r="EK6" i="6"/>
  <c r="EH6" i="6"/>
  <c r="EG6" i="6"/>
  <c r="ED6" i="6"/>
  <c r="DV6" i="6"/>
  <c r="DU6" i="6"/>
  <c r="DR6" i="6"/>
  <c r="DQ6" i="6"/>
  <c r="DN6" i="6"/>
  <c r="DM6" i="6"/>
  <c r="DJ6" i="6"/>
  <c r="DI6" i="6"/>
  <c r="DF6" i="6"/>
  <c r="DE6" i="6"/>
  <c r="DB6" i="6"/>
  <c r="DA6" i="6"/>
  <c r="CX6" i="6"/>
  <c r="CW6" i="6"/>
  <c r="CT6" i="6"/>
  <c r="CS6" i="6"/>
  <c r="CQ6" i="6"/>
  <c r="CK6" i="6"/>
  <c r="CJ6" i="6"/>
  <c r="CH6" i="6"/>
  <c r="CG6" i="6"/>
  <c r="CD6" i="6"/>
  <c r="CC6" i="6"/>
  <c r="BZ6" i="6"/>
  <c r="BY6" i="6"/>
  <c r="BV6" i="6"/>
  <c r="BU6" i="6"/>
  <c r="BR6" i="6"/>
  <c r="BQ6" i="6"/>
  <c r="BN37" i="6"/>
  <c r="BJ6" i="6"/>
  <c r="BI6" i="6"/>
  <c r="BH6" i="6"/>
  <c r="AZ6" i="6"/>
  <c r="AY6" i="6"/>
  <c r="AU6" i="6"/>
  <c r="AR6" i="6"/>
  <c r="AN6" i="6"/>
  <c r="AM6" i="6"/>
  <c r="AJ6" i="6"/>
  <c r="AF6" i="6"/>
  <c r="AC6" i="6"/>
  <c r="AB6" i="6"/>
  <c r="Y6" i="6"/>
  <c r="X6" i="6"/>
  <c r="T6" i="6"/>
  <c r="P6" i="6"/>
  <c r="O6" i="6"/>
  <c r="L6" i="6"/>
  <c r="K6" i="6"/>
  <c r="C6" i="6"/>
  <c r="G5" i="6"/>
  <c r="AO37" i="6" l="1"/>
  <c r="BJ37" i="6"/>
  <c r="BU37" i="6"/>
  <c r="CC37" i="6"/>
  <c r="CJ37" i="6"/>
  <c r="G6" i="6"/>
  <c r="CR6" i="6" s="1"/>
  <c r="K37" i="6"/>
  <c r="F14" i="28" s="1"/>
  <c r="AZ37" i="6"/>
  <c r="DE37" i="6"/>
  <c r="DU37" i="6"/>
  <c r="CW37" i="6"/>
  <c r="DA37" i="6"/>
  <c r="DZ6" i="6"/>
  <c r="DI37" i="6"/>
  <c r="EG37" i="6"/>
  <c r="CG37" i="6"/>
  <c r="BY37" i="6"/>
  <c r="BQ37" i="6"/>
  <c r="T37" i="6"/>
  <c r="AB37" i="6"/>
  <c r="DQ37" i="6"/>
  <c r="BH37" i="6"/>
  <c r="CM6" i="6"/>
  <c r="CQ37" i="6"/>
  <c r="AG37" i="6"/>
  <c r="AR46" i="6" s="1"/>
  <c r="AJ37" i="6"/>
  <c r="AJ40" i="6" s="1"/>
  <c r="AQ37" i="6"/>
  <c r="C37" i="6"/>
  <c r="AM37" i="6"/>
  <c r="O37" i="6"/>
  <c r="X37" i="6"/>
  <c r="N42" i="6" s="1"/>
  <c r="AN37" i="6"/>
  <c r="BI37" i="6"/>
  <c r="CN6" i="6"/>
  <c r="EK37" i="6"/>
  <c r="C39" i="6"/>
  <c r="AE6" i="6"/>
  <c r="EC6" i="6"/>
  <c r="EC37" i="6" s="1"/>
  <c r="BA6" i="6"/>
  <c r="DM37" i="6"/>
  <c r="AV6" i="6"/>
  <c r="AR42" i="6" l="1"/>
  <c r="DZ37" i="6"/>
  <c r="G37" i="6"/>
  <c r="AV37" i="6"/>
  <c r="CM37" i="6"/>
  <c r="AE37" i="6"/>
  <c r="AR41" i="6" l="1"/>
  <c r="AR45" i="6"/>
  <c r="E55" i="39" l="1"/>
  <c r="D55" i="39"/>
  <c r="E54" i="39"/>
  <c r="D54" i="39"/>
  <c r="C50" i="39"/>
  <c r="B50" i="39"/>
  <c r="F25" i="39"/>
  <c r="F24" i="39"/>
  <c r="B21" i="39"/>
  <c r="B22" i="39" s="1"/>
  <c r="B24" i="39" s="1"/>
  <c r="E19" i="39"/>
  <c r="G18" i="39"/>
  <c r="E18" i="39"/>
  <c r="B18" i="39"/>
  <c r="E16" i="39"/>
  <c r="B16" i="39"/>
  <c r="E15" i="39"/>
  <c r="B15" i="39"/>
  <c r="E13" i="39"/>
  <c r="F12" i="39"/>
  <c r="E12" i="39"/>
  <c r="C12" i="39"/>
  <c r="B12" i="39"/>
  <c r="G10" i="39"/>
  <c r="F10" i="39"/>
  <c r="E10" i="39"/>
  <c r="C10" i="39"/>
  <c r="G9" i="39"/>
  <c r="E9" i="39"/>
  <c r="C9" i="39"/>
  <c r="B2" i="39"/>
  <c r="BC39" i="38"/>
  <c r="AV39" i="38"/>
  <c r="AR39" i="38"/>
  <c r="AM39" i="38"/>
  <c r="AL39" i="38"/>
  <c r="AH39" i="38"/>
  <c r="AG39" i="38"/>
  <c r="AF39" i="38"/>
  <c r="AB39" i="38"/>
  <c r="Z39" i="38"/>
  <c r="Y39" i="38"/>
  <c r="V39" i="38"/>
  <c r="S39" i="38"/>
  <c r="Q39" i="38"/>
  <c r="O39" i="38"/>
  <c r="L39" i="38"/>
  <c r="J39" i="38"/>
  <c r="J42" i="38" s="1"/>
  <c r="J43" i="38" s="1"/>
  <c r="J44" i="38" s="1"/>
  <c r="L44" i="38" s="1"/>
  <c r="L46" i="38" s="1"/>
  <c r="H39" i="38"/>
  <c r="F39" i="38"/>
  <c r="D39" i="38"/>
  <c r="AY37" i="38"/>
  <c r="AX37" i="38"/>
  <c r="AQ37" i="38"/>
  <c r="AO37" i="38"/>
  <c r="AN37" i="38"/>
  <c r="AZ37" i="38" s="1"/>
  <c r="AK37" i="38"/>
  <c r="AJ37" i="38"/>
  <c r="AI37" i="38"/>
  <c r="AE37" i="38"/>
  <c r="AD37" i="38"/>
  <c r="AC37" i="38"/>
  <c r="X37" i="38"/>
  <c r="W37" i="38"/>
  <c r="T37" i="38"/>
  <c r="R37" i="38"/>
  <c r="P37" i="38"/>
  <c r="M37" i="38"/>
  <c r="K37" i="38"/>
  <c r="AY36" i="38"/>
  <c r="AX36" i="38"/>
  <c r="AQ36" i="38"/>
  <c r="AO36" i="38"/>
  <c r="AN36" i="38"/>
  <c r="AZ36" i="38" s="1"/>
  <c r="AK36" i="38"/>
  <c r="AJ36" i="38"/>
  <c r="AI36" i="38"/>
  <c r="AE36" i="38"/>
  <c r="AD36" i="38"/>
  <c r="AC36" i="38"/>
  <c r="X36" i="38"/>
  <c r="W36" i="38"/>
  <c r="T36" i="38"/>
  <c r="R36" i="38"/>
  <c r="P36" i="38"/>
  <c r="M36" i="38"/>
  <c r="K36" i="38"/>
  <c r="AY35" i="38"/>
  <c r="AX35" i="38"/>
  <c r="AQ35" i="38"/>
  <c r="AO35" i="38"/>
  <c r="AN35" i="38"/>
  <c r="AZ35" i="38" s="1"/>
  <c r="AK35" i="38"/>
  <c r="AJ35" i="38"/>
  <c r="AI35" i="38"/>
  <c r="AE35" i="38"/>
  <c r="AD35" i="38"/>
  <c r="AC35" i="38"/>
  <c r="X35" i="38"/>
  <c r="W35" i="38"/>
  <c r="T35" i="38"/>
  <c r="R35" i="38"/>
  <c r="P35" i="38"/>
  <c r="M35" i="38"/>
  <c r="K35" i="38"/>
  <c r="AY34" i="38"/>
  <c r="AX34" i="38"/>
  <c r="AQ34" i="38"/>
  <c r="AO34" i="38"/>
  <c r="AN34" i="38"/>
  <c r="AZ34" i="38" s="1"/>
  <c r="AK34" i="38"/>
  <c r="AJ34" i="38"/>
  <c r="AI34" i="38"/>
  <c r="AE34" i="38"/>
  <c r="AD34" i="38"/>
  <c r="AC34" i="38"/>
  <c r="X34" i="38"/>
  <c r="W34" i="38"/>
  <c r="T34" i="38"/>
  <c r="R34" i="38"/>
  <c r="P34" i="38"/>
  <c r="M34" i="38"/>
  <c r="K34" i="38"/>
  <c r="AY33" i="38"/>
  <c r="AX33" i="38"/>
  <c r="AQ33" i="38"/>
  <c r="AO33" i="38"/>
  <c r="AN33" i="38"/>
  <c r="AZ33" i="38" s="1"/>
  <c r="AK33" i="38"/>
  <c r="AJ33" i="38"/>
  <c r="AI33" i="38"/>
  <c r="AE33" i="38"/>
  <c r="AD33" i="38"/>
  <c r="AC33" i="38"/>
  <c r="X33" i="38"/>
  <c r="W33" i="38"/>
  <c r="T33" i="38"/>
  <c r="R33" i="38"/>
  <c r="P33" i="38"/>
  <c r="M33" i="38"/>
  <c r="K33" i="38"/>
  <c r="AY32" i="38"/>
  <c r="AX32" i="38"/>
  <c r="AQ32" i="38"/>
  <c r="AO32" i="38"/>
  <c r="AN32" i="38"/>
  <c r="AZ32" i="38" s="1"/>
  <c r="AK32" i="38"/>
  <c r="AJ32" i="38"/>
  <c r="AI32" i="38"/>
  <c r="AE32" i="38"/>
  <c r="AD32" i="38"/>
  <c r="AC32" i="38"/>
  <c r="X32" i="38"/>
  <c r="W32" i="38"/>
  <c r="T32" i="38"/>
  <c r="R32" i="38"/>
  <c r="P32" i="38"/>
  <c r="M32" i="38"/>
  <c r="K32" i="38"/>
  <c r="AY31" i="38"/>
  <c r="AX31" i="38"/>
  <c r="AQ31" i="38"/>
  <c r="AO31" i="38"/>
  <c r="AN31" i="38"/>
  <c r="AZ31" i="38" s="1"/>
  <c r="AK31" i="38"/>
  <c r="AJ31" i="38"/>
  <c r="AI31" i="38"/>
  <c r="AE31" i="38"/>
  <c r="AD31" i="38"/>
  <c r="AC31" i="38"/>
  <c r="X31" i="38"/>
  <c r="W31" i="38"/>
  <c r="T31" i="38"/>
  <c r="R31" i="38"/>
  <c r="P31" i="38"/>
  <c r="M31" i="38"/>
  <c r="K31" i="38"/>
  <c r="AY30" i="38"/>
  <c r="AX30" i="38"/>
  <c r="AQ30" i="38"/>
  <c r="AO30" i="38"/>
  <c r="AN30" i="38"/>
  <c r="AZ30" i="38" s="1"/>
  <c r="AK30" i="38"/>
  <c r="AJ30" i="38"/>
  <c r="AI30" i="38"/>
  <c r="AE30" i="38"/>
  <c r="AD30" i="38"/>
  <c r="AC30" i="38"/>
  <c r="X30" i="38"/>
  <c r="W30" i="38"/>
  <c r="T30" i="38"/>
  <c r="R30" i="38"/>
  <c r="P30" i="38"/>
  <c r="M30" i="38"/>
  <c r="K30" i="38"/>
  <c r="AY29" i="38"/>
  <c r="AX29" i="38"/>
  <c r="AQ29" i="38"/>
  <c r="AO29" i="38"/>
  <c r="AN29" i="38"/>
  <c r="AZ29" i="38" s="1"/>
  <c r="AK29" i="38"/>
  <c r="AJ29" i="38"/>
  <c r="AI29" i="38"/>
  <c r="AE29" i="38"/>
  <c r="AD29" i="38"/>
  <c r="AC29" i="38"/>
  <c r="X29" i="38"/>
  <c r="W29" i="38"/>
  <c r="T29" i="38"/>
  <c r="R29" i="38"/>
  <c r="P29" i="38"/>
  <c r="M29" i="38"/>
  <c r="K29" i="38"/>
  <c r="AY28" i="38"/>
  <c r="AX28" i="38"/>
  <c r="AQ28" i="38"/>
  <c r="AO28" i="38"/>
  <c r="AN28" i="38"/>
  <c r="AZ28" i="38" s="1"/>
  <c r="AK28" i="38"/>
  <c r="AJ28" i="38"/>
  <c r="AI28" i="38"/>
  <c r="AE28" i="38"/>
  <c r="AD28" i="38"/>
  <c r="AC28" i="38"/>
  <c r="X28" i="38"/>
  <c r="W28" i="38"/>
  <c r="T28" i="38"/>
  <c r="R28" i="38"/>
  <c r="P28" i="38"/>
  <c r="M28" i="38"/>
  <c r="K28" i="38"/>
  <c r="AY27" i="38"/>
  <c r="AX27" i="38"/>
  <c r="AQ27" i="38"/>
  <c r="AO27" i="38"/>
  <c r="AN27" i="38"/>
  <c r="AZ27" i="38" s="1"/>
  <c r="AK27" i="38"/>
  <c r="AJ27" i="38"/>
  <c r="AI27" i="38"/>
  <c r="AE27" i="38"/>
  <c r="AD27" i="38"/>
  <c r="AC27" i="38"/>
  <c r="X27" i="38"/>
  <c r="W27" i="38"/>
  <c r="T27" i="38"/>
  <c r="R27" i="38"/>
  <c r="P27" i="38"/>
  <c r="M27" i="38"/>
  <c r="K27" i="38"/>
  <c r="AY26" i="38"/>
  <c r="AX26" i="38"/>
  <c r="AQ26" i="38"/>
  <c r="AO26" i="38"/>
  <c r="AN26" i="38"/>
  <c r="AZ26" i="38" s="1"/>
  <c r="AK26" i="38"/>
  <c r="AJ26" i="38"/>
  <c r="AI26" i="38"/>
  <c r="AE26" i="38"/>
  <c r="AD26" i="38"/>
  <c r="AC26" i="38"/>
  <c r="X26" i="38"/>
  <c r="W26" i="38"/>
  <c r="T26" i="38"/>
  <c r="R26" i="38"/>
  <c r="P26" i="38"/>
  <c r="M26" i="38"/>
  <c r="K26" i="38"/>
  <c r="AY25" i="38"/>
  <c r="AX25" i="38"/>
  <c r="AQ25" i="38"/>
  <c r="AO25" i="38"/>
  <c r="AN25" i="38"/>
  <c r="AZ25" i="38" s="1"/>
  <c r="AK25" i="38"/>
  <c r="AJ25" i="38"/>
  <c r="AI25" i="38"/>
  <c r="AE25" i="38"/>
  <c r="AD25" i="38"/>
  <c r="AC25" i="38"/>
  <c r="X25" i="38"/>
  <c r="W25" i="38"/>
  <c r="T25" i="38"/>
  <c r="R25" i="38"/>
  <c r="P25" i="38"/>
  <c r="M25" i="38"/>
  <c r="K25" i="38"/>
  <c r="AY24" i="38"/>
  <c r="AX24" i="38"/>
  <c r="AQ24" i="38"/>
  <c r="AO24" i="38"/>
  <c r="AN24" i="38"/>
  <c r="AZ24" i="38" s="1"/>
  <c r="AK24" i="38"/>
  <c r="AJ24" i="38"/>
  <c r="AI24" i="38"/>
  <c r="AE24" i="38"/>
  <c r="AD24" i="38"/>
  <c r="AC24" i="38"/>
  <c r="X24" i="38"/>
  <c r="W24" i="38"/>
  <c r="T24" i="38"/>
  <c r="R24" i="38"/>
  <c r="P24" i="38"/>
  <c r="M24" i="38"/>
  <c r="K24" i="38"/>
  <c r="AY23" i="38"/>
  <c r="AX23" i="38"/>
  <c r="AQ23" i="38"/>
  <c r="AO23" i="38"/>
  <c r="AN23" i="38"/>
  <c r="AZ23" i="38" s="1"/>
  <c r="AK23" i="38"/>
  <c r="AJ23" i="38"/>
  <c r="AI23" i="38"/>
  <c r="AE23" i="38"/>
  <c r="AD23" i="38"/>
  <c r="AC23" i="38"/>
  <c r="X23" i="38"/>
  <c r="W23" i="38"/>
  <c r="T23" i="38"/>
  <c r="R23" i="38"/>
  <c r="P23" i="38"/>
  <c r="M23" i="38"/>
  <c r="K23" i="38"/>
  <c r="AY22" i="38"/>
  <c r="AX22" i="38"/>
  <c r="AQ22" i="38"/>
  <c r="AO22" i="38"/>
  <c r="AN22" i="38"/>
  <c r="AZ22" i="38" s="1"/>
  <c r="AK22" i="38"/>
  <c r="AJ22" i="38"/>
  <c r="AI22" i="38"/>
  <c r="AE22" i="38"/>
  <c r="AD22" i="38"/>
  <c r="AC22" i="38"/>
  <c r="X22" i="38"/>
  <c r="W22" i="38"/>
  <c r="T22" i="38"/>
  <c r="R22" i="38"/>
  <c r="P22" i="38"/>
  <c r="M22" i="38"/>
  <c r="K22" i="38"/>
  <c r="AY21" i="38"/>
  <c r="AX21" i="38"/>
  <c r="AQ21" i="38"/>
  <c r="AO21" i="38"/>
  <c r="AN21" i="38"/>
  <c r="AZ21" i="38" s="1"/>
  <c r="AK21" i="38"/>
  <c r="AJ21" i="38"/>
  <c r="AI21" i="38"/>
  <c r="AE21" i="38"/>
  <c r="AD21" i="38"/>
  <c r="AC21" i="38"/>
  <c r="X21" i="38"/>
  <c r="W21" i="38"/>
  <c r="T21" i="38"/>
  <c r="R21" i="38"/>
  <c r="P21" i="38"/>
  <c r="M21" i="38"/>
  <c r="K21" i="38"/>
  <c r="AY20" i="38"/>
  <c r="AX20" i="38"/>
  <c r="AQ20" i="38"/>
  <c r="AO20" i="38"/>
  <c r="AN20" i="38"/>
  <c r="AZ20" i="38" s="1"/>
  <c r="AK20" i="38"/>
  <c r="AJ20" i="38"/>
  <c r="AI20" i="38"/>
  <c r="AE20" i="38"/>
  <c r="AD20" i="38"/>
  <c r="AC20" i="38"/>
  <c r="X20" i="38"/>
  <c r="W20" i="38"/>
  <c r="T20" i="38"/>
  <c r="R20" i="38"/>
  <c r="P20" i="38"/>
  <c r="M20" i="38"/>
  <c r="K20" i="38"/>
  <c r="AY19" i="38"/>
  <c r="AX19" i="38"/>
  <c r="AQ19" i="38"/>
  <c r="AO19" i="38"/>
  <c r="AN19" i="38"/>
  <c r="AZ19" i="38" s="1"/>
  <c r="AK19" i="38"/>
  <c r="AJ19" i="38"/>
  <c r="AI19" i="38"/>
  <c r="AE19" i="38"/>
  <c r="AD19" i="38"/>
  <c r="AC19" i="38"/>
  <c r="X19" i="38"/>
  <c r="W19" i="38"/>
  <c r="T19" i="38"/>
  <c r="R19" i="38"/>
  <c r="P19" i="38"/>
  <c r="M19" i="38"/>
  <c r="K19" i="38"/>
  <c r="AY18" i="38"/>
  <c r="AX18" i="38"/>
  <c r="AQ18" i="38"/>
  <c r="AO18" i="38"/>
  <c r="AN18" i="38"/>
  <c r="AZ18" i="38" s="1"/>
  <c r="AK18" i="38"/>
  <c r="AJ18" i="38"/>
  <c r="AI18" i="38"/>
  <c r="AE18" i="38"/>
  <c r="AD18" i="38"/>
  <c r="AC18" i="38"/>
  <c r="X18" i="38"/>
  <c r="W18" i="38"/>
  <c r="T18" i="38"/>
  <c r="R18" i="38"/>
  <c r="P18" i="38"/>
  <c r="M18" i="38"/>
  <c r="K18" i="38"/>
  <c r="AY17" i="38"/>
  <c r="AX17" i="38"/>
  <c r="AQ17" i="38"/>
  <c r="AO17" i="38"/>
  <c r="AN17" i="38"/>
  <c r="AZ17" i="38" s="1"/>
  <c r="AK17" i="38"/>
  <c r="AJ17" i="38"/>
  <c r="AI17" i="38"/>
  <c r="AE17" i="38"/>
  <c r="AD17" i="38"/>
  <c r="AC17" i="38"/>
  <c r="X17" i="38"/>
  <c r="W17" i="38"/>
  <c r="T17" i="38"/>
  <c r="R17" i="38"/>
  <c r="P17" i="38"/>
  <c r="M17" i="38"/>
  <c r="K17" i="38"/>
  <c r="AY16" i="38"/>
  <c r="AX16" i="38"/>
  <c r="AQ16" i="38"/>
  <c r="AO16" i="38"/>
  <c r="AN16" i="38"/>
  <c r="AZ16" i="38" s="1"/>
  <c r="AK16" i="38"/>
  <c r="AJ16" i="38"/>
  <c r="AI16" i="38"/>
  <c r="AE16" i="38"/>
  <c r="AD16" i="38"/>
  <c r="AC16" i="38"/>
  <c r="X16" i="38"/>
  <c r="W16" i="38"/>
  <c r="T16" i="38"/>
  <c r="R16" i="38"/>
  <c r="P16" i="38"/>
  <c r="M16" i="38"/>
  <c r="K16" i="38"/>
  <c r="AY15" i="38"/>
  <c r="AX15" i="38"/>
  <c r="AQ15" i="38"/>
  <c r="AO15" i="38"/>
  <c r="AN15" i="38"/>
  <c r="AZ15" i="38" s="1"/>
  <c r="AK15" i="38"/>
  <c r="AJ15" i="38"/>
  <c r="AI15" i="38"/>
  <c r="AE15" i="38"/>
  <c r="AD15" i="38"/>
  <c r="AC15" i="38"/>
  <c r="X15" i="38"/>
  <c r="W15" i="38"/>
  <c r="T15" i="38"/>
  <c r="R15" i="38"/>
  <c r="P15" i="38"/>
  <c r="M15" i="38"/>
  <c r="K15" i="38"/>
  <c r="AY14" i="38"/>
  <c r="AX14" i="38"/>
  <c r="AQ14" i="38"/>
  <c r="AO14" i="38"/>
  <c r="AN14" i="38"/>
  <c r="AZ14" i="38" s="1"/>
  <c r="AK14" i="38"/>
  <c r="AJ14" i="38"/>
  <c r="AI14" i="38"/>
  <c r="AE14" i="38"/>
  <c r="AD14" i="38"/>
  <c r="AC14" i="38"/>
  <c r="X14" i="38"/>
  <c r="W14" i="38"/>
  <c r="T14" i="38"/>
  <c r="R14" i="38"/>
  <c r="P14" i="38"/>
  <c r="M14" i="38"/>
  <c r="K14" i="38"/>
  <c r="AY13" i="38"/>
  <c r="AX13" i="38"/>
  <c r="AQ13" i="38"/>
  <c r="AO13" i="38"/>
  <c r="AN13" i="38"/>
  <c r="AZ13" i="38" s="1"/>
  <c r="AK13" i="38"/>
  <c r="AJ13" i="38"/>
  <c r="AI13" i="38"/>
  <c r="AE13" i="38"/>
  <c r="AD13" i="38"/>
  <c r="AP13" i="38" s="1"/>
  <c r="AC13" i="38"/>
  <c r="X13" i="38"/>
  <c r="W13" i="38"/>
  <c r="T13" i="38"/>
  <c r="R13" i="38"/>
  <c r="P13" i="38"/>
  <c r="M13" i="38"/>
  <c r="K13" i="38"/>
  <c r="AY12" i="38"/>
  <c r="AX12" i="38"/>
  <c r="AQ12" i="38"/>
  <c r="AO12" i="38"/>
  <c r="AN12" i="38"/>
  <c r="AZ12" i="38" s="1"/>
  <c r="AK12" i="38"/>
  <c r="AJ12" i="38"/>
  <c r="AI12" i="38"/>
  <c r="AE12" i="38"/>
  <c r="AD12" i="38"/>
  <c r="AC12" i="38"/>
  <c r="X12" i="38"/>
  <c r="W12" i="38"/>
  <c r="T12" i="38"/>
  <c r="R12" i="38"/>
  <c r="P12" i="38"/>
  <c r="M12" i="38"/>
  <c r="K12" i="38"/>
  <c r="AY11" i="38"/>
  <c r="AX11" i="38"/>
  <c r="AQ11" i="38"/>
  <c r="AO11" i="38"/>
  <c r="AN11" i="38"/>
  <c r="AZ11" i="38" s="1"/>
  <c r="AK11" i="38"/>
  <c r="AJ11" i="38"/>
  <c r="AI11" i="38"/>
  <c r="AE11" i="38"/>
  <c r="AD11" i="38"/>
  <c r="AC11" i="38"/>
  <c r="X11" i="38"/>
  <c r="W11" i="38"/>
  <c r="T11" i="38"/>
  <c r="R11" i="38"/>
  <c r="P11" i="38"/>
  <c r="M11" i="38"/>
  <c r="K11" i="38"/>
  <c r="AY10" i="38"/>
  <c r="AX10" i="38"/>
  <c r="AQ10" i="38"/>
  <c r="AO10" i="38"/>
  <c r="AN10" i="38"/>
  <c r="AZ10" i="38" s="1"/>
  <c r="AK10" i="38"/>
  <c r="AJ10" i="38"/>
  <c r="AI10" i="38"/>
  <c r="AE10" i="38"/>
  <c r="AD10" i="38"/>
  <c r="AC10" i="38"/>
  <c r="X10" i="38"/>
  <c r="W10" i="38"/>
  <c r="T10" i="38"/>
  <c r="R10" i="38"/>
  <c r="P10" i="38"/>
  <c r="M10" i="38"/>
  <c r="K10" i="38"/>
  <c r="AY9" i="38"/>
  <c r="AX9" i="38"/>
  <c r="AQ9" i="38"/>
  <c r="AO9" i="38"/>
  <c r="AN9" i="38"/>
  <c r="AZ9" i="38" s="1"/>
  <c r="AK9" i="38"/>
  <c r="AJ9" i="38"/>
  <c r="AI9" i="38"/>
  <c r="AM10" i="5" s="1"/>
  <c r="AE9" i="38"/>
  <c r="AD9" i="38"/>
  <c r="AP9" i="38" s="1"/>
  <c r="AC9" i="38"/>
  <c r="AG10" i="5" s="1"/>
  <c r="X9" i="38"/>
  <c r="W9" i="38"/>
  <c r="T9" i="38"/>
  <c r="S10" i="5" s="1"/>
  <c r="R9" i="38"/>
  <c r="P9" i="38"/>
  <c r="M9" i="38"/>
  <c r="L10" i="5" s="1"/>
  <c r="K9" i="38"/>
  <c r="AY8" i="38"/>
  <c r="AX8" i="38"/>
  <c r="AQ8" i="38"/>
  <c r="AO8" i="38"/>
  <c r="AN8" i="38"/>
  <c r="AZ8" i="38" s="1"/>
  <c r="AK8" i="38"/>
  <c r="AJ8" i="38"/>
  <c r="AI8" i="38"/>
  <c r="AM9" i="5" s="1"/>
  <c r="AE8" i="38"/>
  <c r="AD8" i="38"/>
  <c r="AD1" i="38" s="1"/>
  <c r="AC8" i="38"/>
  <c r="AG9" i="5" s="1"/>
  <c r="X8" i="38"/>
  <c r="X1" i="38" s="1"/>
  <c r="W8" i="38"/>
  <c r="T8" i="38"/>
  <c r="S9" i="5" s="1"/>
  <c r="R8" i="38"/>
  <c r="P8" i="38"/>
  <c r="M8" i="38"/>
  <c r="L9" i="5" s="1"/>
  <c r="K8" i="38"/>
  <c r="K1" i="38" s="1"/>
  <c r="AQ1" i="38"/>
  <c r="W1" i="38"/>
  <c r="H1" i="38"/>
  <c r="D16" i="39"/>
  <c r="D15" i="39"/>
  <c r="T42" i="45"/>
  <c r="S42" i="45"/>
  <c r="Q42" i="45"/>
  <c r="K42" i="45"/>
  <c r="J42" i="45"/>
  <c r="I42" i="45"/>
  <c r="H42" i="45"/>
  <c r="K41" i="43"/>
  <c r="J41" i="43"/>
  <c r="H41" i="43"/>
  <c r="G41" i="43"/>
  <c r="D41" i="43"/>
  <c r="K41" i="42"/>
  <c r="J41" i="42"/>
  <c r="I41" i="42"/>
  <c r="H41" i="42"/>
  <c r="G41" i="42"/>
  <c r="D41" i="42"/>
  <c r="K41" i="41"/>
  <c r="J41" i="41"/>
  <c r="I41" i="41"/>
  <c r="H41" i="41"/>
  <c r="G41" i="41"/>
  <c r="D41" i="41"/>
  <c r="K41" i="40"/>
  <c r="J41" i="40"/>
  <c r="I41" i="40"/>
  <c r="H41" i="40"/>
  <c r="G41" i="40"/>
  <c r="D41" i="40"/>
  <c r="N41" i="47"/>
  <c r="M41" i="47"/>
  <c r="L41" i="47"/>
  <c r="J41" i="47"/>
  <c r="H41" i="47"/>
  <c r="I4" i="50"/>
  <c r="M4" i="50"/>
  <c r="K3" i="50"/>
  <c r="I3" i="50"/>
  <c r="AR8" i="5"/>
  <c r="AQ8" i="5"/>
  <c r="AQ1" i="5" s="1"/>
  <c r="AM8" i="5"/>
  <c r="AL8" i="5"/>
  <c r="AJ1" i="5"/>
  <c r="AH8" i="5"/>
  <c r="AI8" i="5" s="1"/>
  <c r="AG8" i="5"/>
  <c r="AF8" i="5"/>
  <c r="C15" i="39"/>
  <c r="AB8" i="5"/>
  <c r="AC8" i="5" s="1"/>
  <c r="Z8" i="5"/>
  <c r="Y8" i="5"/>
  <c r="X1" i="5"/>
  <c r="W1" i="5"/>
  <c r="V8" i="5"/>
  <c r="S8" i="5"/>
  <c r="R8" i="5"/>
  <c r="Q8" i="5"/>
  <c r="C13" i="39"/>
  <c r="O8" i="5"/>
  <c r="T8" i="5" s="1"/>
  <c r="L8" i="5"/>
  <c r="K1" i="5"/>
  <c r="J8" i="5"/>
  <c r="E2" i="50" s="1"/>
  <c r="H8" i="5"/>
  <c r="H1" i="5" s="1"/>
  <c r="F8" i="5"/>
  <c r="D8" i="5"/>
  <c r="AD1" i="5"/>
  <c r="E54" i="28"/>
  <c r="F53" i="28"/>
  <c r="E53" i="28"/>
  <c r="C49" i="28"/>
  <c r="B49" i="28"/>
  <c r="E23" i="28"/>
  <c r="F18" i="28"/>
  <c r="H18" i="28" s="1"/>
  <c r="F17" i="28"/>
  <c r="H17" i="28" s="1"/>
  <c r="H16" i="28"/>
  <c r="H15" i="28"/>
  <c r="F13" i="28"/>
  <c r="C13" i="28"/>
  <c r="F11" i="28"/>
  <c r="I11" i="28" s="1"/>
  <c r="F10" i="28"/>
  <c r="C10" i="28"/>
  <c r="F8" i="28"/>
  <c r="I8" i="28" s="1"/>
  <c r="G8" i="28"/>
  <c r="F7" i="28"/>
  <c r="B1" i="28"/>
  <c r="M31" i="50"/>
  <c r="L31" i="50"/>
  <c r="K31" i="50"/>
  <c r="J31" i="50"/>
  <c r="I31" i="50"/>
  <c r="H31" i="50"/>
  <c r="G31" i="50"/>
  <c r="E31" i="50"/>
  <c r="M30" i="50"/>
  <c r="L30" i="50"/>
  <c r="K30" i="50"/>
  <c r="J30" i="50"/>
  <c r="I30" i="50"/>
  <c r="H30" i="50"/>
  <c r="G30" i="50"/>
  <c r="E30" i="50"/>
  <c r="M29" i="50"/>
  <c r="L29" i="50"/>
  <c r="K29" i="50"/>
  <c r="J29" i="50"/>
  <c r="I29" i="50"/>
  <c r="H29" i="50"/>
  <c r="G29" i="50"/>
  <c r="E29" i="50"/>
  <c r="M28" i="50"/>
  <c r="L28" i="50"/>
  <c r="K28" i="50"/>
  <c r="J28" i="50"/>
  <c r="I28" i="50"/>
  <c r="H28" i="50"/>
  <c r="G28" i="50"/>
  <c r="E28" i="50"/>
  <c r="M27" i="50"/>
  <c r="L27" i="50"/>
  <c r="K27" i="50"/>
  <c r="J27" i="50"/>
  <c r="I27" i="50"/>
  <c r="H27" i="50"/>
  <c r="G27" i="50"/>
  <c r="E27" i="50"/>
  <c r="M26" i="50"/>
  <c r="L26" i="50"/>
  <c r="K26" i="50"/>
  <c r="J26" i="50"/>
  <c r="I26" i="50"/>
  <c r="H26" i="50"/>
  <c r="G26" i="50"/>
  <c r="E26" i="50"/>
  <c r="M25" i="50"/>
  <c r="L25" i="50"/>
  <c r="K25" i="50"/>
  <c r="J25" i="50"/>
  <c r="I25" i="50"/>
  <c r="H25" i="50"/>
  <c r="G25" i="50"/>
  <c r="E25" i="50"/>
  <c r="M24" i="50"/>
  <c r="L24" i="50"/>
  <c r="K24" i="50"/>
  <c r="J24" i="50"/>
  <c r="I24" i="50"/>
  <c r="H24" i="50"/>
  <c r="G24" i="50"/>
  <c r="E24" i="50"/>
  <c r="M23" i="50"/>
  <c r="L23" i="50"/>
  <c r="K23" i="50"/>
  <c r="J23" i="50"/>
  <c r="I23" i="50"/>
  <c r="H23" i="50"/>
  <c r="G23" i="50"/>
  <c r="E23" i="50"/>
  <c r="M22" i="50"/>
  <c r="L22" i="50"/>
  <c r="K22" i="50"/>
  <c r="J22" i="50"/>
  <c r="I22" i="50"/>
  <c r="H22" i="50"/>
  <c r="G22" i="50"/>
  <c r="E22" i="50"/>
  <c r="M21" i="50"/>
  <c r="L21" i="50"/>
  <c r="K21" i="50"/>
  <c r="J21" i="50"/>
  <c r="I21" i="50"/>
  <c r="H21" i="50"/>
  <c r="G21" i="50"/>
  <c r="E21" i="50"/>
  <c r="M20" i="50"/>
  <c r="L20" i="50"/>
  <c r="K20" i="50"/>
  <c r="J20" i="50"/>
  <c r="I20" i="50"/>
  <c r="H20" i="50"/>
  <c r="G20" i="50"/>
  <c r="E20" i="50"/>
  <c r="M19" i="50"/>
  <c r="L19" i="50"/>
  <c r="K19" i="50"/>
  <c r="J19" i="50"/>
  <c r="I19" i="50"/>
  <c r="H19" i="50"/>
  <c r="G19" i="50"/>
  <c r="E19" i="50"/>
  <c r="M18" i="50"/>
  <c r="L18" i="50"/>
  <c r="K18" i="50"/>
  <c r="J18" i="50"/>
  <c r="I18" i="50"/>
  <c r="H18" i="50"/>
  <c r="G18" i="50"/>
  <c r="E18" i="50"/>
  <c r="M17" i="50"/>
  <c r="L17" i="50"/>
  <c r="K17" i="50"/>
  <c r="J17" i="50"/>
  <c r="I17" i="50"/>
  <c r="H17" i="50"/>
  <c r="G17" i="50"/>
  <c r="E17" i="50"/>
  <c r="M16" i="50"/>
  <c r="L16" i="50"/>
  <c r="K16" i="50"/>
  <c r="J16" i="50"/>
  <c r="I16" i="50"/>
  <c r="H16" i="50"/>
  <c r="G16" i="50"/>
  <c r="E16" i="50"/>
  <c r="M15" i="50"/>
  <c r="L15" i="50"/>
  <c r="K15" i="50"/>
  <c r="J15" i="50"/>
  <c r="I15" i="50"/>
  <c r="H15" i="50"/>
  <c r="G15" i="50"/>
  <c r="E15" i="50"/>
  <c r="M14" i="50"/>
  <c r="L14" i="50"/>
  <c r="K14" i="50"/>
  <c r="J14" i="50"/>
  <c r="I14" i="50"/>
  <c r="H14" i="50"/>
  <c r="G14" i="50"/>
  <c r="E14" i="50"/>
  <c r="M13" i="50"/>
  <c r="L13" i="50"/>
  <c r="K13" i="50"/>
  <c r="J13" i="50"/>
  <c r="I13" i="50"/>
  <c r="H13" i="50"/>
  <c r="G13" i="50"/>
  <c r="E13" i="50"/>
  <c r="M12" i="50"/>
  <c r="L12" i="50"/>
  <c r="K12" i="50"/>
  <c r="J12" i="50"/>
  <c r="I12" i="50"/>
  <c r="H12" i="50"/>
  <c r="G12" i="50"/>
  <c r="E12" i="50"/>
  <c r="M11" i="50"/>
  <c r="L11" i="50"/>
  <c r="K11" i="50"/>
  <c r="J11" i="50"/>
  <c r="I11" i="50"/>
  <c r="H11" i="50"/>
  <c r="G11" i="50"/>
  <c r="E11" i="50"/>
  <c r="M10" i="50"/>
  <c r="L10" i="50"/>
  <c r="K10" i="50"/>
  <c r="J10" i="50"/>
  <c r="I10" i="50"/>
  <c r="H10" i="50"/>
  <c r="G10" i="50"/>
  <c r="E10" i="50"/>
  <c r="M9" i="50"/>
  <c r="L9" i="50"/>
  <c r="K9" i="50"/>
  <c r="J9" i="50"/>
  <c r="I9" i="50"/>
  <c r="H9" i="50"/>
  <c r="G9" i="50"/>
  <c r="E9" i="50"/>
  <c r="M8" i="50"/>
  <c r="L8" i="50"/>
  <c r="K8" i="50"/>
  <c r="J8" i="50"/>
  <c r="I8" i="50"/>
  <c r="H8" i="50"/>
  <c r="G8" i="50"/>
  <c r="E8" i="50"/>
  <c r="M7" i="50"/>
  <c r="L7" i="50"/>
  <c r="K7" i="50"/>
  <c r="J7" i="50"/>
  <c r="I7" i="50"/>
  <c r="H7" i="50"/>
  <c r="G7" i="50"/>
  <c r="E7" i="50"/>
  <c r="M6" i="50"/>
  <c r="L6" i="50"/>
  <c r="K6" i="50"/>
  <c r="J6" i="50"/>
  <c r="I6" i="50"/>
  <c r="H6" i="50"/>
  <c r="G6" i="50"/>
  <c r="E6" i="50"/>
  <c r="M5" i="50"/>
  <c r="L5" i="50"/>
  <c r="K5" i="50"/>
  <c r="J5" i="50"/>
  <c r="I5" i="50"/>
  <c r="H5" i="50"/>
  <c r="G5" i="50"/>
  <c r="E5" i="50"/>
  <c r="B3" i="50"/>
  <c r="B4" i="50" s="1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R1" i="5" l="1"/>
  <c r="BD8" i="5"/>
  <c r="BH8" i="5" s="1"/>
  <c r="AX8" i="5"/>
  <c r="AY8" i="5"/>
  <c r="AV8" i="5"/>
  <c r="R54" i="28"/>
  <c r="B19" i="28"/>
  <c r="L3" i="50"/>
  <c r="AS30" i="38"/>
  <c r="BE30" i="38" s="1"/>
  <c r="AP12" i="38"/>
  <c r="AP16" i="38"/>
  <c r="AP20" i="38"/>
  <c r="AP24" i="38"/>
  <c r="AP28" i="38"/>
  <c r="AP32" i="38"/>
  <c r="E4" i="50"/>
  <c r="BD20" i="38"/>
  <c r="BH20" i="38" s="1"/>
  <c r="AW8" i="38"/>
  <c r="AS34" i="38"/>
  <c r="BE34" i="38" s="1"/>
  <c r="AP35" i="38"/>
  <c r="AS26" i="38"/>
  <c r="AS23" i="38"/>
  <c r="AW24" i="38"/>
  <c r="AS27" i="38"/>
  <c r="BE27" i="38" s="1"/>
  <c r="AW28" i="38"/>
  <c r="AW23" i="38"/>
  <c r="C19" i="28"/>
  <c r="K52" i="28" s="1"/>
  <c r="AW36" i="38"/>
  <c r="CD37" i="6"/>
  <c r="L37" i="6"/>
  <c r="G16" i="39" s="1"/>
  <c r="DF37" i="6"/>
  <c r="DV37" i="6"/>
  <c r="BD9" i="38"/>
  <c r="BH9" i="38" s="1"/>
  <c r="BD13" i="38"/>
  <c r="BH13" i="38" s="1"/>
  <c r="BD21" i="38"/>
  <c r="BH21" i="38" s="1"/>
  <c r="AP21" i="38"/>
  <c r="AW31" i="38"/>
  <c r="AP31" i="38"/>
  <c r="AW15" i="38"/>
  <c r="AS18" i="38"/>
  <c r="BE18" i="38" s="1"/>
  <c r="AS20" i="38"/>
  <c r="BE20" i="38" s="1"/>
  <c r="CH37" i="6"/>
  <c r="EH37" i="6"/>
  <c r="P37" i="6"/>
  <c r="G15" i="39" s="1"/>
  <c r="DJ37" i="6"/>
  <c r="AS15" i="38"/>
  <c r="AW16" i="38"/>
  <c r="AS19" i="38"/>
  <c r="AW20" i="38"/>
  <c r="BD30" i="38"/>
  <c r="BH30" i="38" s="1"/>
  <c r="AP30" i="38"/>
  <c r="BZ37" i="6"/>
  <c r="AS22" i="38"/>
  <c r="K39" i="5"/>
  <c r="M48" i="28" s="1"/>
  <c r="U37" i="6"/>
  <c r="G13" i="39" s="1"/>
  <c r="EL37" i="6"/>
  <c r="BV37" i="6"/>
  <c r="AS17" i="38"/>
  <c r="BE17" i="38" s="1"/>
  <c r="AS25" i="38"/>
  <c r="AS29" i="38"/>
  <c r="AS31" i="38"/>
  <c r="BE31" i="38" s="1"/>
  <c r="BD34" i="38"/>
  <c r="BH34" i="38" s="1"/>
  <c r="AP34" i="38"/>
  <c r="AP36" i="38"/>
  <c r="B23" i="39"/>
  <c r="B25" i="39" s="1"/>
  <c r="AR37" i="6"/>
  <c r="CK37" i="6"/>
  <c r="DB37" i="6"/>
  <c r="AW19" i="38"/>
  <c r="AW27" i="38"/>
  <c r="AS35" i="38"/>
  <c r="BE35" i="38" s="1"/>
  <c r="L2" i="50"/>
  <c r="M3" i="50"/>
  <c r="S39" i="5"/>
  <c r="L4" i="50"/>
  <c r="AW12" i="38"/>
  <c r="AS14" i="38"/>
  <c r="BE14" i="38" s="1"/>
  <c r="BD16" i="38"/>
  <c r="BH16" i="38" s="1"/>
  <c r="AW32" i="38"/>
  <c r="AQ39" i="38"/>
  <c r="BD12" i="38"/>
  <c r="BH12" i="38" s="1"/>
  <c r="AW35" i="38"/>
  <c r="W39" i="5"/>
  <c r="G19" i="28" s="1"/>
  <c r="G3" i="50"/>
  <c r="AY39" i="38"/>
  <c r="AS9" i="38"/>
  <c r="AE39" i="38"/>
  <c r="F39" i="5"/>
  <c r="R39" i="5"/>
  <c r="AL39" i="5"/>
  <c r="H39" i="5"/>
  <c r="F9" i="39" s="1"/>
  <c r="Y39" i="5"/>
  <c r="EA6" i="6"/>
  <c r="BD11" i="38"/>
  <c r="BH11" i="38" s="1"/>
  <c r="AP11" i="38"/>
  <c r="AW11" i="38"/>
  <c r="BD19" i="38"/>
  <c r="BH19" i="38" s="1"/>
  <c r="AP19" i="38"/>
  <c r="BD27" i="38"/>
  <c r="BH27" i="38" s="1"/>
  <c r="AP27" i="38"/>
  <c r="BD32" i="38"/>
  <c r="BH32" i="38" s="1"/>
  <c r="AS32" i="38"/>
  <c r="BD33" i="38"/>
  <c r="BH33" i="38" s="1"/>
  <c r="AP33" i="38"/>
  <c r="BD36" i="38"/>
  <c r="BH36" i="38" s="1"/>
  <c r="AS36" i="38"/>
  <c r="BA36" i="38" s="1"/>
  <c r="AP37" i="38"/>
  <c r="AS16" i="38"/>
  <c r="BE16" i="38" s="1"/>
  <c r="BD17" i="38"/>
  <c r="BH17" i="38" s="1"/>
  <c r="AP17" i="38"/>
  <c r="BD24" i="38"/>
  <c r="BH24" i="38" s="1"/>
  <c r="AS24" i="38"/>
  <c r="BD25" i="38"/>
  <c r="BH25" i="38" s="1"/>
  <c r="BE25" i="38"/>
  <c r="AP25" i="38"/>
  <c r="BD28" i="38"/>
  <c r="BH28" i="38" s="1"/>
  <c r="AS28" i="38"/>
  <c r="AP29" i="38"/>
  <c r="AS33" i="38"/>
  <c r="BE33" i="38" s="1"/>
  <c r="AS37" i="38"/>
  <c r="D12" i="39"/>
  <c r="M39" i="38"/>
  <c r="W39" i="38"/>
  <c r="AZ39" i="38"/>
  <c r="AX39" i="38"/>
  <c r="BD10" i="38"/>
  <c r="BH10" i="38" s="1"/>
  <c r="AP10" i="38"/>
  <c r="AS10" i="38"/>
  <c r="BA10" i="38" s="1"/>
  <c r="AS13" i="38"/>
  <c r="BE13" i="38" s="1"/>
  <c r="BD14" i="38"/>
  <c r="BH14" i="38" s="1"/>
  <c r="AP14" i="38"/>
  <c r="AP15" i="38"/>
  <c r="BD18" i="38"/>
  <c r="BH18" i="38" s="1"/>
  <c r="AP18" i="38"/>
  <c r="AS21" i="38"/>
  <c r="BD22" i="38"/>
  <c r="BH22" i="38" s="1"/>
  <c r="AP22" i="38"/>
  <c r="AP23" i="38"/>
  <c r="BD26" i="38"/>
  <c r="BH26" i="38" s="1"/>
  <c r="AP26" i="38"/>
  <c r="H8" i="28"/>
  <c r="AQ39" i="5"/>
  <c r="K4" i="50"/>
  <c r="J48" i="28"/>
  <c r="K48" i="28"/>
  <c r="AI39" i="5"/>
  <c r="P39" i="5"/>
  <c r="F13" i="39" s="1"/>
  <c r="X39" i="5"/>
  <c r="M52" i="28" s="1"/>
  <c r="AW10" i="38"/>
  <c r="AI39" i="38"/>
  <c r="BE26" i="38"/>
  <c r="AW26" i="38"/>
  <c r="M2" i="50"/>
  <c r="E22" i="28"/>
  <c r="Z39" i="5"/>
  <c r="L52" i="28" s="1"/>
  <c r="AE39" i="5"/>
  <c r="C16" i="39"/>
  <c r="AJ39" i="5"/>
  <c r="F16" i="39" s="1"/>
  <c r="AO8" i="5"/>
  <c r="AS12" i="38"/>
  <c r="BE12" i="38" s="1"/>
  <c r="AF39" i="5"/>
  <c r="C11" i="28"/>
  <c r="G11" i="28" s="1"/>
  <c r="H11" i="28" s="1"/>
  <c r="C14" i="28"/>
  <c r="G14" i="28" s="1"/>
  <c r="H14" i="28" s="1"/>
  <c r="P1" i="5"/>
  <c r="D39" i="5"/>
  <c r="Q39" i="5"/>
  <c r="AB39" i="5"/>
  <c r="AK39" i="5"/>
  <c r="AP8" i="5"/>
  <c r="AD39" i="5"/>
  <c r="F15" i="39" s="1"/>
  <c r="AW18" i="38"/>
  <c r="AW34" i="38"/>
  <c r="P39" i="38"/>
  <c r="P1" i="38"/>
  <c r="X39" i="38"/>
  <c r="AO39" i="38"/>
  <c r="AW9" i="38"/>
  <c r="AW17" i="38"/>
  <c r="AW25" i="38"/>
  <c r="AW33" i="38"/>
  <c r="R1" i="38"/>
  <c r="R39" i="38"/>
  <c r="AC39" i="38"/>
  <c r="AS8" i="38"/>
  <c r="AR9" i="5" s="1"/>
  <c r="AJ1" i="38"/>
  <c r="AJ39" i="38"/>
  <c r="AP8" i="38"/>
  <c r="AS11" i="38"/>
  <c r="BE11" i="38" s="1"/>
  <c r="AW14" i="38"/>
  <c r="BD15" i="38"/>
  <c r="BH15" i="38" s="1"/>
  <c r="BE22" i="38"/>
  <c r="AW22" i="38"/>
  <c r="BD23" i="38"/>
  <c r="BH23" i="38" s="1"/>
  <c r="BD29" i="38"/>
  <c r="BH29" i="38" s="1"/>
  <c r="AW30" i="38"/>
  <c r="BD31" i="38"/>
  <c r="BH31" i="38" s="1"/>
  <c r="BD37" i="38"/>
  <c r="BH37" i="38" s="1"/>
  <c r="K39" i="38"/>
  <c r="T39" i="38"/>
  <c r="AD39" i="38"/>
  <c r="AK39" i="38"/>
  <c r="BD8" i="38"/>
  <c r="AW13" i="38"/>
  <c r="AW21" i="38"/>
  <c r="BE23" i="38"/>
  <c r="AW29" i="38"/>
  <c r="BD35" i="38"/>
  <c r="BH35" i="38" s="1"/>
  <c r="AW37" i="38"/>
  <c r="AN39" i="38"/>
  <c r="J2" i="50"/>
  <c r="AS8" i="5"/>
  <c r="BA8" i="5" s="1"/>
  <c r="I2" i="50"/>
  <c r="J4" i="50"/>
  <c r="O39" i="5"/>
  <c r="I32" i="50" s="1"/>
  <c r="J3" i="50"/>
  <c r="J39" i="5"/>
  <c r="AH39" i="5"/>
  <c r="V39" i="5"/>
  <c r="F19" i="28" s="1"/>
  <c r="F21" i="28" s="1"/>
  <c r="H55" i="28" s="1"/>
  <c r="K2" i="50"/>
  <c r="E3" i="50"/>
  <c r="M8" i="5"/>
  <c r="AN8" i="5"/>
  <c r="AZ8" i="5" s="1"/>
  <c r="B11" i="28"/>
  <c r="J7" i="28"/>
  <c r="I7" i="28" s="1"/>
  <c r="B10" i="28"/>
  <c r="B53" i="28"/>
  <c r="B7" i="28"/>
  <c r="D7" i="28" s="1"/>
  <c r="G7" i="28"/>
  <c r="H7" i="28" s="1"/>
  <c r="B8" i="28"/>
  <c r="D8" i="28" s="1"/>
  <c r="C53" i="28"/>
  <c r="J13" i="28"/>
  <c r="I13" i="28" s="1"/>
  <c r="J14" i="28"/>
  <c r="I14" i="28" s="1"/>
  <c r="J19" i="28"/>
  <c r="F54" i="28"/>
  <c r="G10" i="28"/>
  <c r="H10" i="28" s="1"/>
  <c r="B16" i="28"/>
  <c r="D16" i="28" s="1"/>
  <c r="B54" i="28"/>
  <c r="J10" i="28"/>
  <c r="B13" i="28"/>
  <c r="D13" i="28" s="1"/>
  <c r="G13" i="28"/>
  <c r="H13" i="28" s="1"/>
  <c r="B14" i="28"/>
  <c r="B17" i="28"/>
  <c r="D17" i="28" s="1"/>
  <c r="B18" i="28"/>
  <c r="D18" i="28" s="1"/>
  <c r="BE8" i="5" l="1"/>
  <c r="BI8" i="5" s="1"/>
  <c r="BE9" i="38"/>
  <c r="BC10" i="5" s="1"/>
  <c r="AR10" i="5"/>
  <c r="B21" i="28"/>
  <c r="B23" i="28" s="1"/>
  <c r="BE36" i="38"/>
  <c r="BI36" i="38" s="1"/>
  <c r="AW8" i="5"/>
  <c r="DR37" i="6"/>
  <c r="D11" i="28"/>
  <c r="BI30" i="38"/>
  <c r="BA32" i="38"/>
  <c r="BI34" i="38"/>
  <c r="BI35" i="38"/>
  <c r="BI31" i="38"/>
  <c r="D21" i="39"/>
  <c r="D22" i="39" s="1"/>
  <c r="D23" i="39" s="1"/>
  <c r="BA31" i="38"/>
  <c r="BA35" i="38"/>
  <c r="BA34" i="38"/>
  <c r="BA30" i="38"/>
  <c r="BA33" i="38"/>
  <c r="DN37" i="6"/>
  <c r="AM39" i="5"/>
  <c r="BI33" i="38"/>
  <c r="BA24" i="38"/>
  <c r="BA27" i="38"/>
  <c r="BA23" i="38"/>
  <c r="L39" i="5"/>
  <c r="BI27" i="38"/>
  <c r="AC37" i="6"/>
  <c r="BA29" i="38"/>
  <c r="AG39" i="5"/>
  <c r="AV39" i="5"/>
  <c r="BI26" i="38"/>
  <c r="BI25" i="38"/>
  <c r="BA25" i="38"/>
  <c r="BI23" i="38"/>
  <c r="BA28" i="38"/>
  <c r="H4" i="50"/>
  <c r="BA26" i="38"/>
  <c r="F19" i="39"/>
  <c r="BI16" i="38"/>
  <c r="BI22" i="38"/>
  <c r="BA14" i="38"/>
  <c r="BA15" i="38"/>
  <c r="BE15" i="38"/>
  <c r="BI20" i="38"/>
  <c r="AO39" i="5"/>
  <c r="BI17" i="38"/>
  <c r="BE32" i="38"/>
  <c r="ED37" i="6"/>
  <c r="BI14" i="38"/>
  <c r="BA19" i="38"/>
  <c r="BA18" i="38"/>
  <c r="BE19" i="38"/>
  <c r="EA37" i="6"/>
  <c r="BE29" i="38"/>
  <c r="AF37" i="6"/>
  <c r="Y37" i="6"/>
  <c r="BA17" i="38"/>
  <c r="BR37" i="6"/>
  <c r="BA20" i="38"/>
  <c r="BI18" i="38"/>
  <c r="BE10" i="38"/>
  <c r="H3" i="50"/>
  <c r="BA21" i="38"/>
  <c r="BA16" i="38"/>
  <c r="BA37" i="6"/>
  <c r="AY37" i="6"/>
  <c r="CN37" i="6"/>
  <c r="BA22" i="38"/>
  <c r="BI13" i="38"/>
  <c r="BI9" i="38"/>
  <c r="BG10" i="5" s="1"/>
  <c r="G4" i="50"/>
  <c r="BE28" i="38"/>
  <c r="AY39" i="5"/>
  <c r="N52" i="28"/>
  <c r="BA37" i="38"/>
  <c r="BE37" i="38"/>
  <c r="BI37" i="38" s="1"/>
  <c r="BA9" i="38"/>
  <c r="AC39" i="5"/>
  <c r="D14" i="28"/>
  <c r="AX39" i="5"/>
  <c r="BE24" i="38"/>
  <c r="BA13" i="38"/>
  <c r="BE21" i="38"/>
  <c r="O52" i="28"/>
  <c r="C21" i="39"/>
  <c r="BD39" i="5"/>
  <c r="F21" i="39" s="1"/>
  <c r="BH39" i="5"/>
  <c r="BD39" i="38"/>
  <c r="BH8" i="38"/>
  <c r="BH39" i="38" s="1"/>
  <c r="BA8" i="38"/>
  <c r="AS39" i="38"/>
  <c r="AP39" i="5"/>
  <c r="AP1" i="5"/>
  <c r="BE8" i="38"/>
  <c r="BC9" i="5" s="1"/>
  <c r="BA12" i="38"/>
  <c r="AP39" i="38"/>
  <c r="AP1" i="38"/>
  <c r="BI11" i="38"/>
  <c r="AW39" i="38"/>
  <c r="BI12" i="38"/>
  <c r="BA11" i="38"/>
  <c r="BA39" i="5"/>
  <c r="AS39" i="5"/>
  <c r="H2" i="50"/>
  <c r="AN39" i="5"/>
  <c r="G2" i="50"/>
  <c r="J52" i="28"/>
  <c r="H19" i="28"/>
  <c r="T39" i="5"/>
  <c r="J32" i="50" s="1"/>
  <c r="M39" i="5"/>
  <c r="L48" i="28" s="1"/>
  <c r="I52" i="28"/>
  <c r="D19" i="28"/>
  <c r="R55" i="28"/>
  <c r="R56" i="28" s="1"/>
  <c r="J21" i="28"/>
  <c r="I55" i="28" s="1"/>
  <c r="I10" i="28"/>
  <c r="P48" i="28"/>
  <c r="I48" i="28"/>
  <c r="D10" i="28"/>
  <c r="P52" i="28"/>
  <c r="I19" i="28"/>
  <c r="J55" i="28" l="1"/>
  <c r="K55" i="28"/>
  <c r="B22" i="28"/>
  <c r="D21" i="28"/>
  <c r="D24" i="39"/>
  <c r="D25" i="39"/>
  <c r="BI32" i="38"/>
  <c r="BI24" i="38"/>
  <c r="BI29" i="38"/>
  <c r="H37" i="6"/>
  <c r="G19" i="39" s="1"/>
  <c r="BI10" i="38"/>
  <c r="BI28" i="38"/>
  <c r="BI21" i="38"/>
  <c r="AR44" i="6"/>
  <c r="AR40" i="6"/>
  <c r="G12" i="39"/>
  <c r="BI15" i="38"/>
  <c r="BI19" i="38"/>
  <c r="AZ39" i="5"/>
  <c r="F23" i="39"/>
  <c r="F22" i="39"/>
  <c r="AR39" i="5"/>
  <c r="C22" i="39"/>
  <c r="C23" i="39"/>
  <c r="AW39" i="5"/>
  <c r="BE39" i="38"/>
  <c r="BI8" i="38"/>
  <c r="BG9" i="5" s="1"/>
  <c r="C23" i="28"/>
  <c r="D23" i="28" s="1"/>
  <c r="C22" i="28"/>
  <c r="G21" i="28"/>
  <c r="BA39" i="38"/>
  <c r="O48" i="28"/>
  <c r="N48" i="28"/>
  <c r="BE39" i="5"/>
  <c r="BI39" i="5"/>
  <c r="E22" i="39" s="1"/>
  <c r="E24" i="39" s="1"/>
  <c r="R48" i="28"/>
  <c r="Q48" i="28"/>
  <c r="R52" i="28"/>
  <c r="Q52" i="28"/>
  <c r="J23" i="28"/>
  <c r="J22" i="28"/>
  <c r="D22" i="28" l="1"/>
  <c r="BC39" i="5"/>
  <c r="BG39" i="5" s="1"/>
  <c r="G22" i="28"/>
  <c r="G23" i="28"/>
  <c r="BI39" i="38"/>
  <c r="E21" i="39"/>
  <c r="E23" i="39" s="1"/>
  <c r="E25" i="39" s="1"/>
  <c r="G21" i="39" l="1"/>
  <c r="G22" i="39" s="1"/>
  <c r="G23" i="39" s="1"/>
  <c r="G24" i="39" s="1"/>
  <c r="F22" i="28"/>
  <c r="F23" i="28"/>
  <c r="H21" i="28"/>
  <c r="I21" i="28"/>
  <c r="G25" i="39" l="1"/>
  <c r="H23" i="28"/>
  <c r="I23" i="28"/>
  <c r="H22" i="28"/>
  <c r="I22" i="28"/>
</calcChain>
</file>

<file path=xl/sharedStrings.xml><?xml version="1.0" encoding="utf-8"?>
<sst xmlns="http://schemas.openxmlformats.org/spreadsheetml/2006/main" count="1191" uniqueCount="302">
  <si>
    <t>DATE</t>
  </si>
  <si>
    <t>WATER</t>
  </si>
  <si>
    <t>FUEL</t>
  </si>
  <si>
    <t>ELECTRICITY</t>
  </si>
  <si>
    <t>ACTUAL L.E.</t>
  </si>
  <si>
    <t>CONSUMP. LITRE</t>
  </si>
  <si>
    <t>CONSUMP. KWH</t>
  </si>
  <si>
    <t>BUDGET L.E.</t>
  </si>
  <si>
    <t>Date</t>
  </si>
  <si>
    <t>Reading</t>
  </si>
  <si>
    <t>Add</t>
  </si>
  <si>
    <t>Product.</t>
  </si>
  <si>
    <t>Tanks Level</t>
  </si>
  <si>
    <t>TOTAL</t>
  </si>
  <si>
    <t>GENERATORS</t>
  </si>
  <si>
    <t>CONSUMP. M³</t>
  </si>
  <si>
    <t>Occ.</t>
  </si>
  <si>
    <t>Budget</t>
  </si>
  <si>
    <t>Last Year</t>
  </si>
  <si>
    <t>More Data</t>
  </si>
  <si>
    <t>KITCHEN GAS</t>
  </si>
  <si>
    <t>Sold</t>
  </si>
  <si>
    <t>Occupied Rooms</t>
  </si>
  <si>
    <t>GENERATOR KWH</t>
  </si>
  <si>
    <t>NATURAL GAS</t>
  </si>
  <si>
    <t>Cu.Mt. / Occupied Room</t>
  </si>
  <si>
    <t>L.E. / Occupied Room</t>
  </si>
  <si>
    <t>ENERGY BUDGET / OCCUPIED ROOM</t>
  </si>
  <si>
    <t>ENERGY ACTUAL / OCCUPIED ROOM</t>
  </si>
  <si>
    <t>KWH / Occupied Room</t>
  </si>
  <si>
    <t>BUDGET TOTAL ENERGY L.E.</t>
  </si>
  <si>
    <t>ACTUAL TOTAL ENERGY L.E.</t>
  </si>
  <si>
    <t>Occupied Rooms Budget</t>
  </si>
  <si>
    <t>Average/Day</t>
  </si>
  <si>
    <t>Consump. This Year</t>
  </si>
  <si>
    <t>Weather Temperature</t>
  </si>
  <si>
    <t>Rooms Occupied</t>
  </si>
  <si>
    <t>Consump. Last Year</t>
  </si>
  <si>
    <t>TOTAL KWH</t>
  </si>
  <si>
    <t>This Year</t>
  </si>
  <si>
    <t>Max. Demand</t>
  </si>
  <si>
    <t>Occupancy %</t>
  </si>
  <si>
    <t>Buy</t>
  </si>
  <si>
    <t>This Year KW</t>
  </si>
  <si>
    <t>Last Year KW</t>
  </si>
  <si>
    <t>OCCUPANCY - THIS YEAR =</t>
  </si>
  <si>
    <t>OCCUPANCY - LAST YEAR =</t>
  </si>
  <si>
    <t>OCCUPANCY - BUDGET=</t>
  </si>
  <si>
    <t>ENERGY COST / OCCUPIED ROOM - BUDGET =</t>
  </si>
  <si>
    <t>ENERGY COST / OCCUPIED ROOM - LAST YEAR =</t>
  </si>
  <si>
    <t>ENERGY COST / OCCUPIED ROOM - THIS YEAR =</t>
  </si>
  <si>
    <t>L.E.</t>
  </si>
  <si>
    <t>ENERGY LAST YEAR / OCCUPIED ROOM</t>
  </si>
  <si>
    <t>LAST YEAR TOTAL ENERGY L.E.</t>
  </si>
  <si>
    <t>KWH / OCCUPIED ROOM - BUDGET</t>
  </si>
  <si>
    <t>KWH / OCCU[PIED ROOM - THIS YEAR</t>
  </si>
  <si>
    <t>KWH / OCCUPIED ROOM - LAST YEAR</t>
  </si>
  <si>
    <t>KWH / AVAILABLE ROOM - LAST YEAR</t>
  </si>
  <si>
    <t>KWH / AVAILABLE ROOM - THIS YEAR</t>
  </si>
  <si>
    <t>KWH / AVAILABLE ROOM - BUDGET</t>
  </si>
  <si>
    <t>Available Rooms</t>
  </si>
  <si>
    <t>Power Factor</t>
  </si>
  <si>
    <r>
      <t xml:space="preserve">Cos </t>
    </r>
    <r>
      <rPr>
        <b/>
        <sz val="10"/>
        <rFont val="Calibri"/>
        <family val="2"/>
      </rPr>
      <t>Ø</t>
    </r>
  </si>
  <si>
    <t>KVAR Reading</t>
  </si>
  <si>
    <t>KVAR Cons.</t>
  </si>
  <si>
    <t>Energy Consumption</t>
  </si>
  <si>
    <t>Date:</t>
  </si>
  <si>
    <t>Occupancy</t>
  </si>
  <si>
    <t>Today</t>
  </si>
  <si>
    <t>Actual</t>
  </si>
  <si>
    <t>Month To Date</t>
  </si>
  <si>
    <t>Kitchens Gas - Cu. Mt.</t>
  </si>
  <si>
    <t>Water To Staff House - Cu.Mt.</t>
  </si>
  <si>
    <t>Hotel Water - Cu.Mt.</t>
  </si>
  <si>
    <t>Fuel - Liter</t>
  </si>
  <si>
    <t>Boilers Gas - Cu.Mt.</t>
  </si>
  <si>
    <t>Total Energy Cost - L.E.</t>
  </si>
  <si>
    <t>Energy Cost per Occupied Room</t>
  </si>
  <si>
    <t>BUDGET M³</t>
  </si>
  <si>
    <t>BUDGET LITRE</t>
  </si>
  <si>
    <t>TOTAL CONSUMP. M³</t>
  </si>
  <si>
    <t>BOILER CONSUMP. M³</t>
  </si>
  <si>
    <t>BOILER BUDGET CONSUMP. M³</t>
  </si>
  <si>
    <t>KITCHEN CONSUMP. M³</t>
  </si>
  <si>
    <t>KITCHEN BUDGET CONSUMP. M³</t>
  </si>
  <si>
    <t>BUDGET TOTAL CONSUMP. M³</t>
  </si>
  <si>
    <t>Electricity - KWH</t>
  </si>
  <si>
    <t>Month To Date Boilers' Gas Consumption</t>
  </si>
  <si>
    <t>Laundry Performance</t>
  </si>
  <si>
    <t>Month To Date Kitchens' Gas Consumption</t>
  </si>
  <si>
    <t>Kitchens Performance</t>
  </si>
  <si>
    <t>Month To Date Electricity Consumption</t>
  </si>
  <si>
    <t>Comments:</t>
  </si>
  <si>
    <t>Month To Date Energy Cost per Occupied Room</t>
  </si>
  <si>
    <t>Last year</t>
  </si>
  <si>
    <r>
      <t xml:space="preserve">Weather Temperature </t>
    </r>
    <r>
      <rPr>
        <b/>
        <sz val="10"/>
        <rFont val="Calibri"/>
        <family val="2"/>
      </rPr>
      <t>⁰</t>
    </r>
    <r>
      <rPr>
        <b/>
        <sz val="10"/>
        <rFont val="Arial"/>
        <family val="2"/>
      </rPr>
      <t>C</t>
    </r>
  </si>
  <si>
    <t>Target</t>
  </si>
  <si>
    <t>This Period</t>
  </si>
  <si>
    <t>Electricity Maximum Demand KW</t>
  </si>
  <si>
    <t>Last Period Max. Demand:</t>
  </si>
  <si>
    <t>Last Period</t>
  </si>
  <si>
    <t>This Period Max. Demand:</t>
  </si>
  <si>
    <t>Kitchen Water</t>
  </si>
  <si>
    <t>Counter Reading</t>
  </si>
  <si>
    <t>Consumption</t>
  </si>
  <si>
    <t>Laundry Water</t>
  </si>
  <si>
    <t>Fountain Water</t>
  </si>
  <si>
    <t>Consumption Last Year</t>
  </si>
  <si>
    <t>S. Pool Water</t>
  </si>
  <si>
    <t>Humidity %</t>
  </si>
  <si>
    <t>.</t>
  </si>
  <si>
    <t>Total Facilities Cons.</t>
  </si>
  <si>
    <t>Consumption This year</t>
  </si>
  <si>
    <t>Water Sold Last Year</t>
  </si>
  <si>
    <t>STP</t>
  </si>
  <si>
    <t>Reccycled Water Last Year</t>
  </si>
  <si>
    <t>Recycled Water this Year</t>
  </si>
  <si>
    <t>%</t>
  </si>
  <si>
    <t>Dishwasher</t>
  </si>
  <si>
    <t>Staff Kitchen</t>
  </si>
  <si>
    <t>Laundry Water - Cu.Mt.</t>
  </si>
  <si>
    <t>Kitchen Water - Cu.Mt.</t>
  </si>
  <si>
    <t>Laundry Electricity</t>
  </si>
  <si>
    <t>Cons.</t>
  </si>
  <si>
    <t>Cons. Last Year</t>
  </si>
  <si>
    <t>Kit. Equip. Electricity</t>
  </si>
  <si>
    <t>Chiller 1</t>
  </si>
  <si>
    <t>Chiller 2</t>
  </si>
  <si>
    <t>Chiller 3</t>
  </si>
  <si>
    <t>Total Chillers</t>
  </si>
  <si>
    <t>LAST YEAR ACTUAL L.E.</t>
  </si>
  <si>
    <t>BOILER COST L.E.</t>
  </si>
  <si>
    <t>KITCHEN COST L.E.</t>
  </si>
  <si>
    <t>BOILER COST LAST YEAR L.E.</t>
  </si>
  <si>
    <t>KITCHEN COST LAST YEAR L.E.</t>
  </si>
  <si>
    <r>
      <t>TOTAL CONSUMP. LAST YEAR M</t>
    </r>
    <r>
      <rPr>
        <b/>
        <sz val="10"/>
        <rFont val="Calibri"/>
        <family val="2"/>
      </rPr>
      <t>³</t>
    </r>
  </si>
  <si>
    <r>
      <t>BOILER CONSUMP. LAST YEAR M</t>
    </r>
    <r>
      <rPr>
        <b/>
        <sz val="10"/>
        <rFont val="Calibri"/>
        <family val="2"/>
      </rPr>
      <t>³</t>
    </r>
  </si>
  <si>
    <r>
      <t>KITCHEN CONSUMP. LAST YEAR M</t>
    </r>
    <r>
      <rPr>
        <b/>
        <sz val="10"/>
        <rFont val="Calibri"/>
        <family val="2"/>
      </rPr>
      <t>³</t>
    </r>
  </si>
  <si>
    <t>BOILER BUDGET COST L.E.</t>
  </si>
  <si>
    <t>KITCHEN BUDGET COST L.E.</t>
  </si>
  <si>
    <t>Chilled Pumps KWH</t>
  </si>
  <si>
    <t>RO Plant</t>
  </si>
  <si>
    <t>KWH This Year</t>
  </si>
  <si>
    <t>KWH Last Year</t>
  </si>
  <si>
    <t>Staff Kitchen Gas</t>
  </si>
  <si>
    <t>Daily Observations</t>
  </si>
  <si>
    <t>Time</t>
  </si>
  <si>
    <t>Temperature (° C)</t>
  </si>
  <si>
    <t>Dew Point (° C)</t>
  </si>
  <si>
    <t>Humidity (%)</t>
  </si>
  <si>
    <t>Wind Speed (mph)</t>
  </si>
  <si>
    <t>Pressure (Hg)</t>
  </si>
  <si>
    <t>Precipitation (in)</t>
  </si>
  <si>
    <t>Jun</t>
  </si>
  <si>
    <t>Max</t>
  </si>
  <si>
    <t>Avg</t>
  </si>
  <si>
    <t>Min</t>
  </si>
  <si>
    <t>Rotary Oven Gas</t>
  </si>
  <si>
    <t xml:space="preserve">Energy Cost per Available Room  </t>
  </si>
  <si>
    <t xml:space="preserve">Energy Forcast per Occupied Room </t>
  </si>
  <si>
    <t xml:space="preserve">Energy Forcast per Available Room  </t>
  </si>
  <si>
    <t>Forecast</t>
  </si>
  <si>
    <t>Staff Houses Water</t>
  </si>
  <si>
    <t>Last Year January 2021</t>
  </si>
  <si>
    <t xml:space="preserve">Elec.(Kw)/Room </t>
  </si>
  <si>
    <t xml:space="preserve">Water(l)/Room </t>
  </si>
  <si>
    <t>MTD</t>
  </si>
  <si>
    <t>Budgeted</t>
  </si>
  <si>
    <t>Act Vs Bdgt</t>
  </si>
  <si>
    <t>Act Vs Forcast</t>
  </si>
  <si>
    <t>Heated  Pool Water</t>
  </si>
  <si>
    <t>BOILER GAS</t>
  </si>
  <si>
    <t>Act. LE</t>
  </si>
  <si>
    <t>Budget LE</t>
  </si>
  <si>
    <t>Diff</t>
  </si>
  <si>
    <t xml:space="preserve">% Budget </t>
  </si>
  <si>
    <t xml:space="preserve">forcast  </t>
  </si>
  <si>
    <t xml:space="preserve">forcast </t>
  </si>
  <si>
    <t>Act Vs Bdg</t>
  </si>
  <si>
    <t>Act Vs Fos</t>
  </si>
  <si>
    <t xml:space="preserve">%forcast </t>
  </si>
  <si>
    <t>% forcast</t>
  </si>
  <si>
    <t>Engineering Department</t>
  </si>
  <si>
    <t>Main Swimming Pool</t>
  </si>
  <si>
    <t>Month :</t>
  </si>
  <si>
    <t>Pool Parameters</t>
  </si>
  <si>
    <t>Fresh Water Add (M³)</t>
  </si>
  <si>
    <t>Chemicals</t>
  </si>
  <si>
    <t>Backwash</t>
  </si>
  <si>
    <t>Day</t>
  </si>
  <si>
    <t>Calcium Hardness</t>
  </si>
  <si>
    <t>Total Alkalinity</t>
  </si>
  <si>
    <t>PH</t>
  </si>
  <si>
    <t>TDS</t>
  </si>
  <si>
    <t>Cyan. Acid</t>
  </si>
  <si>
    <t>CL</t>
  </si>
  <si>
    <t>T ºc</t>
  </si>
  <si>
    <t>Chlorine 65% (Kg)</t>
  </si>
  <si>
    <t>Chlorine 90% (Kg)</t>
  </si>
  <si>
    <t>Soda Ash PH+ (Kg)</t>
  </si>
  <si>
    <t>HCL       PH- (Lit)</t>
  </si>
  <si>
    <t>Other Chemicals</t>
  </si>
  <si>
    <t xml:space="preserve"> </t>
  </si>
  <si>
    <t>Heated Pool</t>
  </si>
  <si>
    <t>Sda Ash PH+ (Kg)</t>
  </si>
  <si>
    <t>Kids Pool</t>
  </si>
  <si>
    <t>Infinity Pool</t>
  </si>
  <si>
    <t>Fountains, Water Falls and Lagoons</t>
  </si>
  <si>
    <t>Lagoons</t>
  </si>
  <si>
    <t>Water Falls</t>
  </si>
  <si>
    <t>Entrance Fountain</t>
  </si>
  <si>
    <t>Shops Fountain</t>
  </si>
  <si>
    <t>Main Tank</t>
  </si>
  <si>
    <t>Irrigation Tank</t>
  </si>
  <si>
    <t>Boilers Water Parameters</t>
  </si>
  <si>
    <t>Feed Tank</t>
  </si>
  <si>
    <t>Boiler Water</t>
  </si>
  <si>
    <t>Alkalinity</t>
  </si>
  <si>
    <t>Chloride</t>
  </si>
  <si>
    <t>Conduc- tivity</t>
  </si>
  <si>
    <t>Fe</t>
  </si>
  <si>
    <t>TH</t>
  </si>
  <si>
    <t>TºC</t>
  </si>
  <si>
    <t>Po4</t>
  </si>
  <si>
    <t>Na2 So3</t>
  </si>
  <si>
    <t>Boiler No.</t>
  </si>
  <si>
    <t>Company</t>
  </si>
  <si>
    <t>P</t>
  </si>
  <si>
    <t>M</t>
  </si>
  <si>
    <t>OH</t>
  </si>
  <si>
    <t>CL/NaCL</t>
  </si>
  <si>
    <t>Chilled Water Parameters</t>
  </si>
  <si>
    <t>HISTORY</t>
  </si>
  <si>
    <t>Main Chillers</t>
  </si>
  <si>
    <t>Gym &amp; Spa Chillers</t>
  </si>
  <si>
    <t>INH</t>
  </si>
  <si>
    <t>Cu.</t>
  </si>
  <si>
    <t>System Technique</t>
  </si>
  <si>
    <t>Nil</t>
  </si>
  <si>
    <t>&lt;0.1</t>
  </si>
  <si>
    <t>27/102013</t>
  </si>
  <si>
    <t>&lt;0.2</t>
  </si>
  <si>
    <t>29/052016</t>
  </si>
  <si>
    <t>27/07/2021</t>
  </si>
  <si>
    <t>23/08/2021</t>
  </si>
  <si>
    <t>29/09/2021</t>
  </si>
  <si>
    <t>31/10/2021</t>
  </si>
  <si>
    <t>26/12/2021</t>
  </si>
  <si>
    <t>25/01/2022</t>
  </si>
  <si>
    <t>14/02/2022</t>
  </si>
  <si>
    <t>14/03/2022</t>
  </si>
  <si>
    <t>30/11/2022</t>
  </si>
  <si>
    <t>15/01/2023</t>
  </si>
  <si>
    <t>23/5/2023</t>
  </si>
  <si>
    <t>Domestic Water Parameters</t>
  </si>
  <si>
    <t>Hardness</t>
  </si>
  <si>
    <t>Conductivity</t>
  </si>
  <si>
    <t>Production</t>
  </si>
  <si>
    <t>CAL</t>
  </si>
  <si>
    <t>Total</t>
  </si>
  <si>
    <t>CH</t>
  </si>
  <si>
    <t xml:space="preserve">        Energy Cost - October 2023</t>
  </si>
  <si>
    <t>C1</t>
  </si>
  <si>
    <t>C2</t>
  </si>
  <si>
    <t>C3</t>
  </si>
  <si>
    <t>Counters reading</t>
  </si>
  <si>
    <t xml:space="preserve">Water Counter Reading </t>
  </si>
  <si>
    <t>https://www.wunderground.com/history/monthly/eg/sharm-el-shiekh/HESH/date/2024-10</t>
  </si>
  <si>
    <t xml:space="preserve">Ro. Production  </t>
  </si>
  <si>
    <t xml:space="preserve">Hotel consumption </t>
  </si>
  <si>
    <t xml:space="preserve">Diff.  </t>
  </si>
  <si>
    <t xml:space="preserve">Total  </t>
  </si>
  <si>
    <t>Jockey Pump</t>
  </si>
  <si>
    <t xml:space="preserve">Consumption  </t>
  </si>
  <si>
    <t>Last Year OCT 2023</t>
  </si>
  <si>
    <t>Energy - MTD</t>
  </si>
  <si>
    <t xml:space="preserve">Energy - forcast  </t>
  </si>
  <si>
    <t xml:space="preserve">Month To Date Energy Consumption  </t>
  </si>
  <si>
    <t>https://www.wunderground.com/history/monthly/eg/sharm-el-sheikh/HESH/date/2024-02</t>
  </si>
  <si>
    <t>April</t>
  </si>
  <si>
    <t>Energy Cost April 2024</t>
  </si>
  <si>
    <t>Site Name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</si>
  <si>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</si>
  <si>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</si>
  <si>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</si>
  <si>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</si>
  <si>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</si>
  <si>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</si>
  <si>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</si>
  <si>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</si>
  <si>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</si>
  <si>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</si>
  <si>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Total Fuel Oil  (Liter) </t>
  </si>
  <si>
    <t>Fuel Oil  $/Liter</t>
  </si>
  <si>
    <t>Grand Rotana Sharm El Sheikh</t>
  </si>
  <si>
    <t>May</t>
  </si>
  <si>
    <t>Energy Cost May 2025</t>
  </si>
  <si>
    <t xml:space="preserve">        Energy Cost -  May  2024</t>
  </si>
  <si>
    <t>This Year - May  2024</t>
  </si>
  <si>
    <t>Last Year - May 2023</t>
  </si>
  <si>
    <t>This Year - May  2025</t>
  </si>
  <si>
    <t>Last Year -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</si>
</sst>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_(* #,##0.0000_);_(* \(#,##0.0000\);_(* &quot;-&quot;??_);_(@_)"/>
    <numFmt numFmtId="169" formatCode="_(* #,##0.000_);_(* \(#,##0.000\);_(* &quot;-&quot;??_);_(@_)"/>
    <numFmt numFmtId="170" formatCode="0;[Red]0"/>
    <numFmt numFmtId="171" formatCode="#,##0.0_);\(#,##0.0\)"/>
    <numFmt numFmtId="172" formatCode="[$-409]mmmm\ d\,\ yyyy;@"/>
    <numFmt numFmtId="173" formatCode="0.0000"/>
  </numFmts>
  <fonts count="4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17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color indexed="10"/>
      <name val="Arial"/>
      <family val="2"/>
    </font>
    <font>
      <b/>
      <sz val="10"/>
      <color indexed="10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0"/>
      <name val="Calibri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sz val="10"/>
      <color rgb="FFFF0000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theme="9" tint="-0.499984740745262"/>
      <name val="Arial"/>
      <family val="2"/>
    </font>
    <font>
      <sz val="10"/>
      <color theme="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49995422223578601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theme="6" tint="-0.4999542222357860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44">
    <xf numFmtId="0" fontId="0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45" fillId="0" borderId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77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/>
    <xf numFmtId="0" fontId="6" fillId="2" borderId="0" xfId="0" applyFont="1" applyFill="1"/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8" fillId="3" borderId="11" xfId="0" applyNumberFormat="1" applyFont="1" applyFill="1" applyBorder="1" applyAlignment="1">
      <alignment vertical="center"/>
    </xf>
    <xf numFmtId="0" fontId="6" fillId="2" borderId="12" xfId="0" applyFont="1" applyFill="1" applyBorder="1"/>
    <xf numFmtId="3" fontId="6" fillId="2" borderId="12" xfId="0" applyNumberFormat="1" applyFont="1" applyFill="1" applyBorder="1"/>
    <xf numFmtId="0" fontId="7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3" fontId="7" fillId="9" borderId="15" xfId="0" applyNumberFormat="1" applyFont="1" applyFill="1" applyBorder="1" applyAlignment="1">
      <alignment vertical="center"/>
    </xf>
    <xf numFmtId="165" fontId="0" fillId="0" borderId="0" xfId="0" applyNumberFormat="1"/>
    <xf numFmtId="0" fontId="0" fillId="0" borderId="16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10" borderId="0" xfId="0" applyFill="1"/>
    <xf numFmtId="0" fontId="0" fillId="10" borderId="16" xfId="0" applyFill="1" applyBorder="1"/>
    <xf numFmtId="0" fontId="4" fillId="3" borderId="16" xfId="0" applyFont="1" applyFill="1" applyBorder="1"/>
    <xf numFmtId="165" fontId="4" fillId="3" borderId="16" xfId="0" applyNumberFormat="1" applyFont="1" applyFill="1" applyBorder="1"/>
    <xf numFmtId="0" fontId="13" fillId="2" borderId="17" xfId="0" applyFont="1" applyFill="1" applyBorder="1" applyAlignment="1">
      <alignment horizontal="center"/>
    </xf>
    <xf numFmtId="0" fontId="0" fillId="2" borderId="17" xfId="0" applyFill="1" applyBorder="1"/>
    <xf numFmtId="0" fontId="4" fillId="2" borderId="17" xfId="0" applyFont="1" applyFill="1" applyBorder="1" applyAlignment="1">
      <alignment horizontal="center"/>
    </xf>
    <xf numFmtId="0" fontId="0" fillId="0" borderId="0" xfId="0" applyFont="1"/>
    <xf numFmtId="10" fontId="0" fillId="0" borderId="0" xfId="0" applyNumberFormat="1"/>
    <xf numFmtId="10" fontId="15" fillId="0" borderId="0" xfId="0" applyNumberFormat="1" applyFont="1"/>
    <xf numFmtId="3" fontId="0" fillId="0" borderId="0" xfId="0" applyNumberFormat="1"/>
    <xf numFmtId="3" fontId="15" fillId="0" borderId="0" xfId="0" applyNumberFormat="1" applyFont="1"/>
    <xf numFmtId="3" fontId="7" fillId="7" borderId="15" xfId="0" applyNumberFormat="1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vertical="center"/>
    </xf>
    <xf numFmtId="3" fontId="8" fillId="5" borderId="18" xfId="0" applyNumberFormat="1" applyFont="1" applyFill="1" applyBorder="1" applyAlignment="1">
      <alignment vertical="center"/>
    </xf>
    <xf numFmtId="3" fontId="8" fillId="6" borderId="11" xfId="0" applyNumberFormat="1" applyFont="1" applyFill="1" applyBorder="1" applyAlignment="1">
      <alignment vertical="center"/>
    </xf>
    <xf numFmtId="3" fontId="8" fillId="6" borderId="18" xfId="0" applyNumberFormat="1" applyFont="1" applyFill="1" applyBorder="1" applyAlignment="1">
      <alignment vertical="center"/>
    </xf>
    <xf numFmtId="3" fontId="8" fillId="4" borderId="11" xfId="0" applyNumberFormat="1" applyFont="1" applyFill="1" applyBorder="1" applyAlignment="1">
      <alignment vertical="center"/>
    </xf>
    <xf numFmtId="3" fontId="8" fillId="4" borderId="18" xfId="0" applyNumberFormat="1" applyFont="1" applyFill="1" applyBorder="1" applyAlignment="1">
      <alignment vertical="center"/>
    </xf>
    <xf numFmtId="166" fontId="4" fillId="3" borderId="16" xfId="1" applyNumberFormat="1" applyFont="1" applyFill="1" applyBorder="1"/>
    <xf numFmtId="166" fontId="0" fillId="0" borderId="0" xfId="1" applyNumberFormat="1" applyFont="1"/>
    <xf numFmtId="0" fontId="8" fillId="2" borderId="19" xfId="0" applyFont="1" applyFill="1" applyBorder="1" applyAlignment="1">
      <alignment vertical="center" wrapText="1"/>
    </xf>
    <xf numFmtId="0" fontId="0" fillId="2" borderId="0" xfId="0" applyFont="1" applyFill="1"/>
    <xf numFmtId="0" fontId="0" fillId="2" borderId="7" xfId="0" applyFont="1" applyFill="1" applyBorder="1"/>
    <xf numFmtId="0" fontId="0" fillId="2" borderId="12" xfId="0" applyFont="1" applyFill="1" applyBorder="1"/>
    <xf numFmtId="0" fontId="8" fillId="5" borderId="20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2" xfId="0" applyFill="1" applyBorder="1"/>
    <xf numFmtId="0" fontId="8" fillId="11" borderId="10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3" fontId="7" fillId="12" borderId="14" xfId="0" applyNumberFormat="1" applyFont="1" applyFill="1" applyBorder="1" applyAlignment="1">
      <alignment vertical="center"/>
    </xf>
    <xf numFmtId="3" fontId="8" fillId="11" borderId="18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11" borderId="24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0" fillId="2" borderId="19" xfId="0" applyFill="1" applyBorder="1"/>
    <xf numFmtId="0" fontId="5" fillId="0" borderId="0" xfId="0" applyFont="1"/>
    <xf numFmtId="3" fontId="8" fillId="3" borderId="8" xfId="0" applyNumberFormat="1" applyFont="1" applyFill="1" applyBorder="1" applyAlignment="1">
      <alignment vertical="center"/>
    </xf>
    <xf numFmtId="0" fontId="5" fillId="13" borderId="25" xfId="0" applyFont="1" applyFill="1" applyBorder="1" applyAlignment="1">
      <alignment horizontal="center"/>
    </xf>
    <xf numFmtId="9" fontId="8" fillId="3" borderId="8" xfId="0" applyNumberFormat="1" applyFont="1" applyFill="1" applyBorder="1" applyAlignment="1">
      <alignment horizontal="center" vertical="center"/>
    </xf>
    <xf numFmtId="43" fontId="4" fillId="6" borderId="26" xfId="0" applyNumberFormat="1" applyFont="1" applyFill="1" applyBorder="1" applyAlignment="1">
      <alignment vertical="center"/>
    </xf>
    <xf numFmtId="43" fontId="4" fillId="6" borderId="15" xfId="0" applyNumberFormat="1" applyFont="1" applyFill="1" applyBorder="1" applyAlignment="1">
      <alignment vertical="center"/>
    </xf>
    <xf numFmtId="43" fontId="4" fillId="6" borderId="27" xfId="0" applyNumberFormat="1" applyFont="1" applyFill="1" applyBorder="1" applyAlignment="1">
      <alignment vertical="center"/>
    </xf>
    <xf numFmtId="43" fontId="4" fillId="6" borderId="28" xfId="0" applyNumberFormat="1" applyFont="1" applyFill="1" applyBorder="1" applyAlignment="1">
      <alignment vertical="center"/>
    </xf>
    <xf numFmtId="1" fontId="8" fillId="5" borderId="18" xfId="0" applyNumberFormat="1" applyFont="1" applyFill="1" applyBorder="1" applyAlignment="1">
      <alignment vertical="center"/>
    </xf>
    <xf numFmtId="0" fontId="5" fillId="13" borderId="19" xfId="0" applyFont="1" applyFill="1" applyBorder="1"/>
    <xf numFmtId="0" fontId="5" fillId="13" borderId="25" xfId="0" applyFont="1" applyFill="1" applyBorder="1"/>
    <xf numFmtId="0" fontId="6" fillId="2" borderId="2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vertical="center"/>
    </xf>
    <xf numFmtId="3" fontId="6" fillId="2" borderId="6" xfId="0" applyNumberFormat="1" applyFont="1" applyFill="1" applyBorder="1"/>
    <xf numFmtId="2" fontId="16" fillId="3" borderId="8" xfId="0" applyNumberFormat="1" applyFont="1" applyFill="1" applyBorder="1" applyAlignment="1">
      <alignment horizontal="right" vertical="center"/>
    </xf>
    <xf numFmtId="1" fontId="16" fillId="3" borderId="8" xfId="0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5" fontId="8" fillId="2" borderId="21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vertical="center"/>
    </xf>
    <xf numFmtId="0" fontId="0" fillId="2" borderId="21" xfId="0" applyFont="1" applyFill="1" applyBorder="1"/>
    <xf numFmtId="3" fontId="8" fillId="2" borderId="21" xfId="0" applyNumberFormat="1" applyFont="1" applyFill="1" applyBorder="1" applyAlignment="1">
      <alignment vertical="center"/>
    </xf>
    <xf numFmtId="3" fontId="7" fillId="2" borderId="21" xfId="0" applyNumberFormat="1" applyFont="1" applyFill="1" applyBorder="1" applyAlignment="1">
      <alignment vertical="center"/>
    </xf>
    <xf numFmtId="15" fontId="8" fillId="3" borderId="29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166" fontId="4" fillId="0" borderId="30" xfId="1" applyNumberFormat="1" applyFont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66" fontId="18" fillId="3" borderId="16" xfId="1" applyNumberFormat="1" applyFont="1" applyFill="1" applyBorder="1"/>
    <xf numFmtId="0" fontId="4" fillId="0" borderId="30" xfId="1" applyNumberFormat="1" applyFont="1" applyBorder="1" applyAlignment="1">
      <alignment horizontal="center" vertical="center" wrapText="1" shrinkToFit="1"/>
    </xf>
    <xf numFmtId="0" fontId="4" fillId="0" borderId="30" xfId="1" applyNumberFormat="1" applyFont="1" applyBorder="1" applyAlignment="1">
      <alignment horizontal="center" vertical="center" wrapText="1"/>
    </xf>
    <xf numFmtId="0" fontId="0" fillId="2" borderId="21" xfId="0" applyFill="1" applyBorder="1"/>
    <xf numFmtId="0" fontId="0" fillId="2" borderId="32" xfId="0" applyFill="1" applyBorder="1"/>
    <xf numFmtId="3" fontId="7" fillId="2" borderId="33" xfId="0" applyNumberFormat="1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 wrapText="1"/>
    </xf>
    <xf numFmtId="166" fontId="12" fillId="0" borderId="34" xfId="1" applyNumberFormat="1" applyFont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35" xfId="0" applyFont="1" applyFill="1" applyBorder="1" applyAlignment="1">
      <alignment horizontal="center"/>
    </xf>
    <xf numFmtId="0" fontId="4" fillId="14" borderId="35" xfId="0" applyFont="1" applyFill="1" applyBorder="1" applyAlignment="1">
      <alignment horizontal="center" vertical="center" wrapText="1"/>
    </xf>
    <xf numFmtId="166" fontId="4" fillId="14" borderId="35" xfId="1" applyNumberFormat="1" applyFont="1" applyFill="1" applyBorder="1"/>
    <xf numFmtId="166" fontId="12" fillId="3" borderId="16" xfId="1" applyNumberFormat="1" applyFont="1" applyFill="1" applyBorder="1"/>
    <xf numFmtId="166" fontId="10" fillId="3" borderId="16" xfId="1" applyNumberFormat="1" applyFont="1" applyFill="1" applyBorder="1"/>
    <xf numFmtId="0" fontId="4" fillId="2" borderId="30" xfId="0" applyFont="1" applyFill="1" applyBorder="1"/>
    <xf numFmtId="1" fontId="4" fillId="3" borderId="16" xfId="0" applyNumberFormat="1" applyFont="1" applyFill="1" applyBorder="1"/>
    <xf numFmtId="166" fontId="4" fillId="3" borderId="36" xfId="1" applyNumberFormat="1" applyFont="1" applyFill="1" applyBorder="1"/>
    <xf numFmtId="166" fontId="4" fillId="3" borderId="34" xfId="1" applyNumberFormat="1" applyFont="1" applyFill="1" applyBorder="1"/>
    <xf numFmtId="166" fontId="4" fillId="3" borderId="37" xfId="1" applyNumberFormat="1" applyFont="1" applyFill="1" applyBorder="1"/>
    <xf numFmtId="0" fontId="0" fillId="0" borderId="38" xfId="0" applyBorder="1"/>
    <xf numFmtId="43" fontId="0" fillId="0" borderId="39" xfId="1" applyFont="1" applyBorder="1"/>
    <xf numFmtId="0" fontId="0" fillId="0" borderId="40" xfId="0" applyBorder="1"/>
    <xf numFmtId="1" fontId="4" fillId="3" borderId="16" xfId="1" applyNumberFormat="1" applyFont="1" applyFill="1" applyBorder="1"/>
    <xf numFmtId="9" fontId="0" fillId="0" borderId="39" xfId="0" applyNumberFormat="1" applyBorder="1"/>
    <xf numFmtId="2" fontId="0" fillId="0" borderId="40" xfId="0" applyNumberFormat="1" applyBorder="1"/>
    <xf numFmtId="9" fontId="8" fillId="3" borderId="41" xfId="0" applyNumberFormat="1" applyFont="1" applyFill="1" applyBorder="1" applyAlignment="1">
      <alignment horizontal="right" vertical="center"/>
    </xf>
    <xf numFmtId="1" fontId="8" fillId="3" borderId="41" xfId="0" applyNumberFormat="1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vertical="center"/>
    </xf>
    <xf numFmtId="0" fontId="8" fillId="5" borderId="42" xfId="0" applyFont="1" applyFill="1" applyBorder="1" applyAlignment="1">
      <alignment vertical="center"/>
    </xf>
    <xf numFmtId="0" fontId="8" fillId="5" borderId="43" xfId="0" applyFont="1" applyFill="1" applyBorder="1" applyAlignment="1">
      <alignment vertical="center"/>
    </xf>
    <xf numFmtId="3" fontId="7" fillId="7" borderId="14" xfId="0" applyNumberFormat="1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1" fontId="8" fillId="11" borderId="42" xfId="1" applyNumberFormat="1" applyFont="1" applyFill="1" applyBorder="1" applyAlignment="1">
      <alignment vertical="center"/>
    </xf>
    <xf numFmtId="3" fontId="8" fillId="3" borderId="41" xfId="0" applyNumberFormat="1" applyFont="1" applyFill="1" applyBorder="1" applyAlignment="1">
      <alignment vertical="center"/>
    </xf>
    <xf numFmtId="3" fontId="8" fillId="3" borderId="44" xfId="0" applyNumberFormat="1" applyFont="1" applyFill="1" applyBorder="1" applyAlignment="1">
      <alignment vertical="center"/>
    </xf>
    <xf numFmtId="43" fontId="4" fillId="3" borderId="41" xfId="1" applyFont="1" applyFill="1" applyBorder="1"/>
    <xf numFmtId="43" fontId="4" fillId="3" borderId="44" xfId="1" applyFont="1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4" fillId="0" borderId="0" xfId="0" applyFont="1" applyAlignment="1">
      <alignment horizontal="right"/>
    </xf>
    <xf numFmtId="166" fontId="4" fillId="0" borderId="0" xfId="1" applyNumberFormat="1" applyFont="1"/>
    <xf numFmtId="166" fontId="18" fillId="0" borderId="46" xfId="1" applyNumberFormat="1" applyFont="1" applyBorder="1" applyAlignment="1">
      <alignment horizontal="center" vertical="center"/>
    </xf>
    <xf numFmtId="0" fontId="13" fillId="2" borderId="47" xfId="0" applyFont="1" applyFill="1" applyBorder="1"/>
    <xf numFmtId="9" fontId="4" fillId="3" borderId="16" xfId="0" applyNumberFormat="1" applyFont="1" applyFill="1" applyBorder="1"/>
    <xf numFmtId="167" fontId="0" fillId="0" borderId="0" xfId="1" applyNumberFormat="1" applyFont="1"/>
    <xf numFmtId="10" fontId="18" fillId="3" borderId="16" xfId="0" applyNumberFormat="1" applyFont="1" applyFill="1" applyBorder="1"/>
    <xf numFmtId="10" fontId="12" fillId="3" borderId="16" xfId="0" applyNumberFormat="1" applyFont="1" applyFill="1" applyBorder="1"/>
    <xf numFmtId="0" fontId="0" fillId="0" borderId="0" xfId="0" applyAlignment="1">
      <alignment vertical="center"/>
    </xf>
    <xf numFmtId="0" fontId="24" fillId="0" borderId="0" xfId="0" applyFont="1" applyAlignment="1">
      <alignment horizontal="right" vertical="center"/>
    </xf>
    <xf numFmtId="166" fontId="0" fillId="15" borderId="16" xfId="1" applyNumberFormat="1" applyFont="1" applyFill="1" applyBorder="1" applyAlignment="1">
      <alignment vertical="center"/>
    </xf>
    <xf numFmtId="166" fontId="0" fillId="16" borderId="16" xfId="1" applyNumberFormat="1" applyFont="1" applyFill="1" applyBorder="1" applyAlignment="1">
      <alignment vertical="center"/>
    </xf>
    <xf numFmtId="0" fontId="4" fillId="15" borderId="16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0" fillId="17" borderId="16" xfId="0" applyFill="1" applyBorder="1" applyAlignment="1">
      <alignment vertical="center"/>
    </xf>
    <xf numFmtId="0" fontId="22" fillId="17" borderId="16" xfId="0" applyFont="1" applyFill="1" applyBorder="1" applyAlignment="1">
      <alignment vertical="center"/>
    </xf>
    <xf numFmtId="166" fontId="0" fillId="17" borderId="16" xfId="1" applyNumberFormat="1" applyFont="1" applyFill="1" applyBorder="1" applyAlignment="1">
      <alignment vertical="center"/>
    </xf>
    <xf numFmtId="0" fontId="22" fillId="18" borderId="16" xfId="0" applyFont="1" applyFill="1" applyBorder="1" applyAlignment="1">
      <alignment vertical="center"/>
    </xf>
    <xf numFmtId="0" fontId="22" fillId="19" borderId="16" xfId="0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 wrapText="1"/>
    </xf>
    <xf numFmtId="166" fontId="8" fillId="4" borderId="48" xfId="1" applyNumberFormat="1" applyFont="1" applyFill="1" applyBorder="1" applyAlignment="1">
      <alignment vertical="center"/>
    </xf>
    <xf numFmtId="0" fontId="8" fillId="11" borderId="2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1" fontId="8" fillId="11" borderId="43" xfId="1" applyNumberFormat="1" applyFont="1" applyFill="1" applyBorder="1" applyAlignment="1">
      <alignment vertical="center"/>
    </xf>
    <xf numFmtId="1" fontId="8" fillId="11" borderId="26" xfId="0" applyNumberFormat="1" applyFont="1" applyFill="1" applyBorder="1" applyAlignment="1">
      <alignment vertical="center"/>
    </xf>
    <xf numFmtId="0" fontId="8" fillId="11" borderId="49" xfId="0" applyFont="1" applyFill="1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/>
    </xf>
    <xf numFmtId="166" fontId="0" fillId="16" borderId="16" xfId="1" applyNumberFormat="1" applyFont="1" applyFill="1" applyBorder="1" applyAlignment="1" applyProtection="1">
      <alignment vertical="center"/>
    </xf>
    <xf numFmtId="166" fontId="0" fillId="15" borderId="16" xfId="1" applyNumberFormat="1" applyFont="1" applyFill="1" applyBorder="1" applyAlignment="1" applyProtection="1">
      <alignment vertical="center"/>
      <protection locked="0"/>
    </xf>
    <xf numFmtId="3" fontId="8" fillId="11" borderId="48" xfId="0" applyNumberFormat="1" applyFont="1" applyFill="1" applyBorder="1" applyAlignment="1">
      <alignment vertical="center"/>
    </xf>
    <xf numFmtId="9" fontId="0" fillId="15" borderId="16" xfId="7" applyFont="1" applyFill="1" applyBorder="1" applyAlignment="1" applyProtection="1">
      <alignment vertical="center"/>
      <protection locked="0"/>
    </xf>
    <xf numFmtId="9" fontId="0" fillId="15" borderId="16" xfId="7" applyFont="1" applyFill="1" applyBorder="1" applyAlignment="1">
      <alignment vertical="center"/>
    </xf>
    <xf numFmtId="9" fontId="0" fillId="16" borderId="16" xfId="7" applyFont="1" applyFill="1" applyBorder="1" applyAlignment="1">
      <alignment vertical="center"/>
    </xf>
    <xf numFmtId="0" fontId="14" fillId="2" borderId="31" xfId="0" applyFont="1" applyFill="1" applyBorder="1"/>
    <xf numFmtId="0" fontId="0" fillId="2" borderId="31" xfId="0" applyFill="1" applyBorder="1"/>
    <xf numFmtId="166" fontId="0" fillId="0" borderId="16" xfId="1" applyNumberFormat="1" applyFont="1" applyBorder="1"/>
    <xf numFmtId="0" fontId="17" fillId="0" borderId="16" xfId="0" applyFont="1" applyBorder="1"/>
    <xf numFmtId="0" fontId="0" fillId="14" borderId="35" xfId="0" applyFill="1" applyBorder="1"/>
    <xf numFmtId="9" fontId="18" fillId="14" borderId="16" xfId="0" applyNumberFormat="1" applyFont="1" applyFill="1" applyBorder="1"/>
    <xf numFmtId="1" fontId="12" fillId="14" borderId="16" xfId="0" applyNumberFormat="1" applyFont="1" applyFill="1" applyBorder="1" applyAlignment="1">
      <alignment horizontal="center" vertical="center"/>
    </xf>
    <xf numFmtId="1" fontId="0" fillId="0" borderId="16" xfId="0" applyNumberFormat="1" applyBorder="1"/>
    <xf numFmtId="1" fontId="0" fillId="20" borderId="16" xfId="0" applyNumberFormat="1" applyFill="1" applyBorder="1"/>
    <xf numFmtId="0" fontId="25" fillId="0" borderId="0" xfId="0" applyFont="1" applyAlignment="1">
      <alignment vertical="center"/>
    </xf>
    <xf numFmtId="0" fontId="4" fillId="0" borderId="0" xfId="0" applyFont="1"/>
    <xf numFmtId="166" fontId="4" fillId="15" borderId="16" xfId="1" applyNumberFormat="1" applyFont="1" applyFill="1" applyBorder="1" applyAlignment="1" applyProtection="1">
      <alignment vertical="center"/>
      <protection locked="0"/>
    </xf>
    <xf numFmtId="166" fontId="4" fillId="15" borderId="16" xfId="1" applyNumberFormat="1" applyFont="1" applyFill="1" applyBorder="1" applyAlignment="1">
      <alignment vertical="center"/>
    </xf>
    <xf numFmtId="43" fontId="4" fillId="15" borderId="16" xfId="0" applyNumberFormat="1" applyFont="1" applyFill="1" applyBorder="1" applyAlignment="1">
      <alignment vertical="center"/>
    </xf>
    <xf numFmtId="166" fontId="4" fillId="16" borderId="16" xfId="1" applyNumberFormat="1" applyFont="1" applyFill="1" applyBorder="1" applyAlignment="1">
      <alignment vertical="center"/>
    </xf>
    <xf numFmtId="43" fontId="4" fillId="16" borderId="16" xfId="0" applyNumberFormat="1" applyFont="1" applyFill="1" applyBorder="1" applyAlignment="1">
      <alignment vertical="center"/>
    </xf>
    <xf numFmtId="0" fontId="26" fillId="0" borderId="0" xfId="0" applyFont="1"/>
    <xf numFmtId="3" fontId="8" fillId="6" borderId="48" xfId="0" applyNumberFormat="1" applyFont="1" applyFill="1" applyBorder="1" applyAlignment="1">
      <alignment vertical="center"/>
    </xf>
    <xf numFmtId="3" fontId="8" fillId="5" borderId="30" xfId="0" applyNumberFormat="1" applyFont="1" applyFill="1" applyBorder="1" applyAlignment="1">
      <alignment vertical="center"/>
    </xf>
    <xf numFmtId="3" fontId="8" fillId="4" borderId="30" xfId="0" applyNumberFormat="1" applyFont="1" applyFill="1" applyBorder="1" applyAlignment="1">
      <alignment vertical="center"/>
    </xf>
    <xf numFmtId="166" fontId="0" fillId="15" borderId="16" xfId="1" applyNumberFormat="1" applyFont="1" applyFill="1" applyBorder="1" applyAlignment="1" applyProtection="1">
      <alignment vertical="center"/>
      <protection locked="0"/>
    </xf>
    <xf numFmtId="166" fontId="0" fillId="16" borderId="16" xfId="1" applyNumberFormat="1" applyFont="1" applyFill="1" applyBorder="1" applyAlignment="1">
      <alignment vertical="center"/>
    </xf>
    <xf numFmtId="0" fontId="0" fillId="0" borderId="50" xfId="0" applyFont="1" applyBorder="1" applyAlignment="1">
      <alignment horizontal="center"/>
    </xf>
    <xf numFmtId="0" fontId="0" fillId="0" borderId="51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51" xfId="0" applyBorder="1" applyAlignment="1">
      <alignment horizontal="center"/>
    </xf>
    <xf numFmtId="166" fontId="0" fillId="0" borderId="52" xfId="1" applyNumberFormat="1" applyFont="1" applyBorder="1" applyAlignment="1">
      <alignment horizontal="center"/>
    </xf>
    <xf numFmtId="1" fontId="8" fillId="11" borderId="48" xfId="1" applyNumberFormat="1" applyFont="1" applyFill="1" applyBorder="1" applyAlignment="1">
      <alignment vertical="center"/>
    </xf>
    <xf numFmtId="9" fontId="0" fillId="0" borderId="0" xfId="7" applyFont="1"/>
    <xf numFmtId="0" fontId="10" fillId="0" borderId="39" xfId="0" applyFont="1" applyBorder="1" applyAlignment="1">
      <alignment horizontal="center" vertical="center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" fontId="0" fillId="0" borderId="23" xfId="0" applyNumberFormat="1" applyBorder="1" applyAlignment="1">
      <alignment horizontal="center"/>
    </xf>
    <xf numFmtId="0" fontId="0" fillId="0" borderId="39" xfId="0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4" fillId="0" borderId="54" xfId="0" applyFont="1" applyBorder="1" applyAlignment="1">
      <alignment horizontal="right"/>
    </xf>
    <xf numFmtId="39" fontId="0" fillId="0" borderId="55" xfId="0" applyNumberFormat="1" applyBorder="1" applyAlignment="1">
      <alignment horizontal="center" vertical="center"/>
    </xf>
    <xf numFmtId="39" fontId="0" fillId="0" borderId="52" xfId="0" applyNumberFormat="1" applyBorder="1" applyAlignment="1">
      <alignment horizontal="center" vertical="center"/>
    </xf>
    <xf numFmtId="2" fontId="0" fillId="0" borderId="49" xfId="0" applyNumberFormat="1" applyBorder="1" applyAlignment="1" applyProtection="1">
      <alignment horizontal="center"/>
      <protection locked="0"/>
    </xf>
    <xf numFmtId="2" fontId="0" fillId="0" borderId="52" xfId="0" applyNumberFormat="1" applyBorder="1" applyAlignment="1" applyProtection="1">
      <alignment horizontal="center"/>
      <protection locked="0"/>
    </xf>
    <xf numFmtId="166" fontId="0" fillId="0" borderId="56" xfId="1" applyNumberFormat="1" applyFont="1" applyBorder="1" applyAlignment="1" applyProtection="1">
      <alignment horizontal="center"/>
    </xf>
    <xf numFmtId="168" fontId="0" fillId="0" borderId="0" xfId="1" applyNumberFormat="1" applyFont="1"/>
    <xf numFmtId="0" fontId="0" fillId="21" borderId="14" xfId="0" applyFont="1" applyFill="1" applyBorder="1" applyAlignment="1">
      <alignment horizontal="center"/>
    </xf>
    <xf numFmtId="0" fontId="0" fillId="22" borderId="14" xfId="0" applyFill="1" applyBorder="1" applyAlignment="1">
      <alignment horizontal="center"/>
    </xf>
    <xf numFmtId="43" fontId="10" fillId="0" borderId="36" xfId="1" applyFont="1" applyBorder="1" applyAlignment="1">
      <alignment horizontal="center" vertical="center"/>
    </xf>
    <xf numFmtId="3" fontId="7" fillId="9" borderId="57" xfId="0" applyNumberFormat="1" applyFont="1" applyFill="1" applyBorder="1" applyAlignment="1">
      <alignment vertical="center"/>
    </xf>
    <xf numFmtId="43" fontId="21" fillId="15" borderId="16" xfId="0" applyNumberFormat="1" applyFont="1" applyFill="1" applyBorder="1" applyAlignment="1">
      <alignment vertical="center"/>
    </xf>
    <xf numFmtId="43" fontId="21" fillId="16" borderId="16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39" xfId="0" applyBorder="1"/>
    <xf numFmtId="0" fontId="20" fillId="0" borderId="0" xfId="5" applyAlignment="1" applyProtection="1"/>
    <xf numFmtId="0" fontId="45" fillId="0" borderId="16" xfId="72" applyBorder="1"/>
    <xf numFmtId="43" fontId="4" fillId="6" borderId="58" xfId="1" applyFont="1" applyFill="1" applyBorder="1"/>
    <xf numFmtId="43" fontId="4" fillId="6" borderId="59" xfId="1" applyFont="1" applyFill="1" applyBorder="1"/>
    <xf numFmtId="43" fontId="4" fillId="4" borderId="58" xfId="1" applyFont="1" applyFill="1" applyBorder="1"/>
    <xf numFmtId="43" fontId="4" fillId="4" borderId="59" xfId="1" applyFont="1" applyFill="1" applyBorder="1"/>
    <xf numFmtId="43" fontId="4" fillId="11" borderId="60" xfId="1" applyFont="1" applyFill="1" applyBorder="1"/>
    <xf numFmtId="43" fontId="4" fillId="11" borderId="59" xfId="1" applyFont="1" applyFill="1" applyBorder="1"/>
    <xf numFmtId="166" fontId="17" fillId="0" borderId="16" xfId="1" applyNumberFormat="1" applyFont="1" applyBorder="1"/>
    <xf numFmtId="166" fontId="12" fillId="0" borderId="16" xfId="1" applyNumberFormat="1" applyFont="1" applyFill="1" applyBorder="1"/>
    <xf numFmtId="166" fontId="10" fillId="0" borderId="16" xfId="1" applyNumberFormat="1" applyFont="1" applyBorder="1"/>
    <xf numFmtId="166" fontId="18" fillId="0" borderId="16" xfId="1" applyNumberFormat="1" applyFont="1" applyBorder="1"/>
    <xf numFmtId="166" fontId="12" fillId="5" borderId="45" xfId="1" applyNumberFormat="1" applyFont="1" applyFill="1" applyBorder="1"/>
    <xf numFmtId="166" fontId="11" fillId="0" borderId="53" xfId="1" applyNumberFormat="1" applyFont="1" applyBorder="1"/>
    <xf numFmtId="166" fontId="8" fillId="5" borderId="60" xfId="1" applyNumberFormat="1" applyFont="1" applyFill="1" applyBorder="1" applyAlignment="1">
      <alignment vertical="center"/>
    </xf>
    <xf numFmtId="166" fontId="21" fillId="0" borderId="16" xfId="1" applyNumberFormat="1" applyFont="1" applyFill="1" applyBorder="1"/>
    <xf numFmtId="167" fontId="0" fillId="0" borderId="16" xfId="1" applyNumberFormat="1" applyFont="1" applyFill="1" applyBorder="1"/>
    <xf numFmtId="166" fontId="21" fillId="0" borderId="49" xfId="1" applyNumberFormat="1" applyFont="1" applyBorder="1" applyAlignment="1" applyProtection="1">
      <alignment horizontal="center"/>
    </xf>
    <xf numFmtId="166" fontId="21" fillId="16" borderId="16" xfId="1" applyNumberFormat="1" applyFont="1" applyFill="1" applyBorder="1" applyAlignment="1">
      <alignment vertical="center"/>
    </xf>
    <xf numFmtId="166" fontId="21" fillId="15" borderId="16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 wrapText="1"/>
    </xf>
    <xf numFmtId="0" fontId="8" fillId="6" borderId="61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3" fontId="8" fillId="5" borderId="47" xfId="0" applyNumberFormat="1" applyFont="1" applyFill="1" applyBorder="1" applyAlignment="1">
      <alignment vertical="center"/>
    </xf>
    <xf numFmtId="0" fontId="8" fillId="4" borderId="61" xfId="0" applyFont="1" applyFill="1" applyBorder="1" applyAlignment="1">
      <alignment horizontal="center" vertical="center" wrapText="1"/>
    </xf>
    <xf numFmtId="3" fontId="8" fillId="4" borderId="47" xfId="0" applyNumberFormat="1" applyFont="1" applyFill="1" applyBorder="1" applyAlignment="1">
      <alignment vertical="center"/>
    </xf>
    <xf numFmtId="0" fontId="8" fillId="11" borderId="61" xfId="0" applyFont="1" applyFill="1" applyBorder="1" applyAlignment="1">
      <alignment horizontal="center" vertical="center" wrapText="1"/>
    </xf>
    <xf numFmtId="3" fontId="8" fillId="11" borderId="62" xfId="0" applyNumberFormat="1" applyFont="1" applyFill="1" applyBorder="1" applyAlignment="1">
      <alignment vertical="center"/>
    </xf>
    <xf numFmtId="166" fontId="0" fillId="0" borderId="0" xfId="0" applyNumberFormat="1"/>
    <xf numFmtId="0" fontId="4" fillId="0" borderId="0" xfId="0" applyFont="1" applyAlignment="1">
      <alignment horizontal="center"/>
    </xf>
    <xf numFmtId="1" fontId="0" fillId="0" borderId="39" xfId="0" applyNumberFormat="1" applyBorder="1"/>
    <xf numFmtId="9" fontId="0" fillId="0" borderId="39" xfId="7" applyFont="1" applyBorder="1"/>
    <xf numFmtId="43" fontId="0" fillId="0" borderId="0" xfId="1" applyFont="1"/>
    <xf numFmtId="0" fontId="28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0" fillId="0" borderId="16" xfId="0" applyFont="1" applyBorder="1"/>
    <xf numFmtId="0" fontId="22" fillId="20" borderId="0" xfId="0" applyFont="1" applyFill="1" applyAlignment="1">
      <alignment vertical="center"/>
    </xf>
    <xf numFmtId="43" fontId="21" fillId="20" borderId="0" xfId="0" applyNumberFormat="1" applyFont="1" applyFill="1" applyAlignment="1">
      <alignment vertical="center"/>
    </xf>
    <xf numFmtId="43" fontId="4" fillId="20" borderId="0" xfId="0" applyNumberFormat="1" applyFont="1" applyFill="1" applyAlignment="1">
      <alignment vertical="center"/>
    </xf>
    <xf numFmtId="0" fontId="0" fillId="20" borderId="0" xfId="0" applyFont="1" applyFill="1"/>
    <xf numFmtId="0" fontId="0" fillId="20" borderId="0" xfId="0" applyFill="1"/>
    <xf numFmtId="14" fontId="0" fillId="10" borderId="16" xfId="0" applyNumberFormat="1" applyFill="1" applyBorder="1"/>
    <xf numFmtId="9" fontId="0" fillId="15" borderId="16" xfId="7" applyFont="1" applyFill="1" applyBorder="1" applyAlignment="1">
      <alignment vertical="center"/>
    </xf>
    <xf numFmtId="0" fontId="4" fillId="0" borderId="30" xfId="0" applyFont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24" fillId="0" borderId="0" xfId="0" applyNumberFormat="1" applyFont="1" applyAlignment="1" applyProtection="1">
      <alignment horizontal="center" vertical="center"/>
      <protection locked="0"/>
    </xf>
    <xf numFmtId="37" fontId="0" fillId="0" borderId="52" xfId="0" applyNumberFormat="1" applyBorder="1" applyAlignment="1">
      <alignment horizontal="center" vertical="center"/>
    </xf>
    <xf numFmtId="0" fontId="5" fillId="0" borderId="12" xfId="0" applyFont="1" applyBorder="1"/>
    <xf numFmtId="0" fontId="31" fillId="0" borderId="12" xfId="0" applyFont="1" applyBorder="1" applyAlignment="1">
      <alignment horizontal="center" vertical="center"/>
    </xf>
    <xf numFmtId="14" fontId="27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1" fillId="0" borderId="0" xfId="0" applyFont="1"/>
    <xf numFmtId="3" fontId="21" fillId="0" borderId="0" xfId="0" applyNumberFormat="1" applyFont="1"/>
    <xf numFmtId="9" fontId="4" fillId="15" borderId="16" xfId="7" applyFont="1" applyFill="1" applyBorder="1" applyAlignment="1">
      <alignment vertical="center"/>
    </xf>
    <xf numFmtId="166" fontId="4" fillId="17" borderId="16" xfId="1" applyNumberFormat="1" applyFont="1" applyFill="1" applyBorder="1" applyAlignment="1">
      <alignment vertical="center"/>
    </xf>
    <xf numFmtId="41" fontId="0" fillId="16" borderId="16" xfId="1" applyNumberFormat="1" applyFont="1" applyFill="1" applyBorder="1" applyAlignment="1">
      <alignment vertical="center"/>
    </xf>
    <xf numFmtId="9" fontId="4" fillId="15" borderId="16" xfId="7" applyFont="1" applyFill="1" applyBorder="1" applyAlignment="1">
      <alignment horizontal="right" vertical="center"/>
    </xf>
    <xf numFmtId="9" fontId="0" fillId="16" borderId="16" xfId="7" applyFont="1" applyFill="1" applyBorder="1" applyAlignment="1">
      <alignment horizontal="right" vertical="center"/>
    </xf>
    <xf numFmtId="164" fontId="0" fillId="0" borderId="0" xfId="1" applyNumberFormat="1" applyFont="1"/>
    <xf numFmtId="1" fontId="18" fillId="14" borderId="38" xfId="0" applyNumberFormat="1" applyFont="1" applyFill="1" applyBorder="1"/>
    <xf numFmtId="43" fontId="0" fillId="0" borderId="0" xfId="0" applyNumberFormat="1"/>
    <xf numFmtId="3" fontId="27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4" fillId="16" borderId="16" xfId="0" applyNumberFormat="1" applyFont="1" applyFill="1" applyBorder="1" applyAlignment="1">
      <alignment horizontal="center" vertical="center"/>
    </xf>
    <xf numFmtId="3" fontId="0" fillId="17" borderId="16" xfId="0" applyNumberFormat="1" applyFill="1" applyBorder="1" applyAlignment="1">
      <alignment vertical="center"/>
    </xf>
    <xf numFmtId="3" fontId="0" fillId="16" borderId="16" xfId="1" applyNumberFormat="1" applyFont="1" applyFill="1" applyBorder="1" applyAlignment="1">
      <alignment vertical="center"/>
    </xf>
    <xf numFmtId="3" fontId="0" fillId="17" borderId="16" xfId="1" applyNumberFormat="1" applyFont="1" applyFill="1" applyBorder="1" applyAlignment="1">
      <alignment vertical="center"/>
    </xf>
    <xf numFmtId="3" fontId="4" fillId="16" borderId="16" xfId="1" applyNumberFormat="1" applyFont="1" applyFill="1" applyBorder="1" applyAlignment="1">
      <alignment vertical="center"/>
    </xf>
    <xf numFmtId="3" fontId="4" fillId="16" borderId="16" xfId="0" applyNumberFormat="1" applyFont="1" applyFill="1" applyBorder="1" applyAlignment="1">
      <alignment vertical="center"/>
    </xf>
    <xf numFmtId="3" fontId="0" fillId="0" borderId="0" xfId="0" applyNumberFormat="1" applyFont="1"/>
    <xf numFmtId="3" fontId="4" fillId="20" borderId="0" xfId="0" applyNumberFormat="1" applyFont="1" applyFill="1" applyAlignment="1">
      <alignment vertic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40" xfId="0" applyFont="1" applyBorder="1" applyAlignment="1">
      <alignment horizontal="center"/>
    </xf>
    <xf numFmtId="0" fontId="0" fillId="0" borderId="66" xfId="0" applyBorder="1" applyAlignment="1" applyProtection="1">
      <alignment horizontal="center"/>
      <protection locked="0"/>
    </xf>
    <xf numFmtId="2" fontId="0" fillId="0" borderId="67" xfId="0" applyNumberFormat="1" applyBorder="1" applyAlignment="1" applyProtection="1">
      <alignment horizontal="center"/>
      <protection locked="0"/>
    </xf>
    <xf numFmtId="0" fontId="0" fillId="15" borderId="68" xfId="0" applyFont="1" applyFill="1" applyBorder="1" applyAlignment="1">
      <alignment horizontal="center"/>
    </xf>
    <xf numFmtId="166" fontId="32" fillId="15" borderId="16" xfId="1" applyNumberFormat="1" applyFont="1" applyFill="1" applyBorder="1" applyAlignment="1">
      <alignment vertical="center"/>
    </xf>
    <xf numFmtId="9" fontId="32" fillId="15" borderId="16" xfId="7" applyFont="1" applyFill="1" applyBorder="1" applyAlignment="1">
      <alignment vertical="center"/>
    </xf>
    <xf numFmtId="166" fontId="32" fillId="17" borderId="16" xfId="1" applyNumberFormat="1" applyFont="1" applyFill="1" applyBorder="1" applyAlignment="1">
      <alignment vertical="center"/>
    </xf>
    <xf numFmtId="166" fontId="32" fillId="15" borderId="16" xfId="1" applyNumberFormat="1" applyFont="1" applyFill="1" applyBorder="1" applyAlignment="1" applyProtection="1">
      <alignment vertical="center"/>
      <protection locked="0"/>
    </xf>
    <xf numFmtId="43" fontId="32" fillId="15" borderId="16" xfId="0" applyNumberFormat="1" applyFont="1" applyFill="1" applyBorder="1" applyAlignment="1">
      <alignment vertical="center"/>
    </xf>
    <xf numFmtId="3" fontId="28" fillId="16" borderId="16" xfId="1" applyNumberFormat="1" applyFont="1" applyFill="1" applyBorder="1" applyAlignment="1">
      <alignment vertical="center"/>
    </xf>
    <xf numFmtId="166" fontId="28" fillId="17" borderId="16" xfId="1" applyNumberFormat="1" applyFont="1" applyFill="1" applyBorder="1" applyAlignment="1">
      <alignment vertical="center"/>
    </xf>
    <xf numFmtId="9" fontId="28" fillId="16" borderId="16" xfId="1" applyNumberFormat="1" applyFont="1" applyFill="1" applyBorder="1" applyAlignment="1">
      <alignment vertic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39" fontId="0" fillId="0" borderId="69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4" fillId="0" borderId="0" xfId="130" applyFont="1" applyAlignment="1">
      <alignment horizontal="center"/>
    </xf>
    <xf numFmtId="0" fontId="34" fillId="0" borderId="0" xfId="130" applyFont="1"/>
    <xf numFmtId="167" fontId="34" fillId="0" borderId="0" xfId="131" applyNumberFormat="1" applyFont="1"/>
    <xf numFmtId="0" fontId="1" fillId="0" borderId="0" xfId="130"/>
    <xf numFmtId="0" fontId="35" fillId="0" borderId="0" xfId="130" applyFont="1" applyAlignment="1">
      <alignment horizontal="left"/>
    </xf>
    <xf numFmtId="167" fontId="0" fillId="0" borderId="0" xfId="131" applyNumberFormat="1" applyFont="1"/>
    <xf numFmtId="0" fontId="36" fillId="0" borderId="0" xfId="130" applyFont="1" applyAlignment="1">
      <alignment horizontal="right" vertical="center"/>
    </xf>
    <xf numFmtId="0" fontId="36" fillId="0" borderId="0" xfId="130" applyFont="1" applyAlignment="1">
      <alignment horizontal="left" vertical="center"/>
    </xf>
    <xf numFmtId="0" fontId="36" fillId="15" borderId="8" xfId="130" applyFont="1" applyFill="1" applyBorder="1" applyAlignment="1">
      <alignment vertical="center"/>
    </xf>
    <xf numFmtId="0" fontId="36" fillId="23" borderId="11" xfId="130" applyFont="1" applyFill="1" applyBorder="1" applyAlignment="1">
      <alignment horizontal="center" vertical="center" wrapText="1"/>
    </xf>
    <xf numFmtId="0" fontId="36" fillId="22" borderId="8" xfId="130" applyFont="1" applyFill="1" applyBorder="1" applyAlignment="1">
      <alignment horizontal="center" vertical="center" wrapText="1"/>
    </xf>
    <xf numFmtId="0" fontId="36" fillId="24" borderId="19" xfId="130" applyFont="1" applyFill="1" applyBorder="1" applyAlignment="1">
      <alignment horizontal="center" vertical="center" wrapText="1"/>
    </xf>
    <xf numFmtId="0" fontId="36" fillId="15" borderId="8" xfId="130" applyFont="1" applyFill="1" applyBorder="1" applyAlignment="1">
      <alignment horizontal="center" vertical="center" wrapText="1"/>
    </xf>
    <xf numFmtId="0" fontId="36" fillId="25" borderId="8" xfId="130" applyFont="1" applyFill="1" applyBorder="1" applyAlignment="1">
      <alignment horizontal="center" vertical="center" wrapText="1"/>
    </xf>
    <xf numFmtId="167" fontId="36" fillId="26" borderId="25" xfId="131" applyNumberFormat="1" applyFont="1" applyFill="1" applyBorder="1" applyAlignment="1">
      <alignment horizontal="center" vertical="center" wrapText="1"/>
    </xf>
    <xf numFmtId="167" fontId="36" fillId="21" borderId="8" xfId="131" applyNumberFormat="1" applyFont="1" applyFill="1" applyBorder="1" applyAlignment="1">
      <alignment horizontal="center" vertical="center" wrapText="1"/>
    </xf>
    <xf numFmtId="0" fontId="39" fillId="27" borderId="70" xfId="130" applyFont="1" applyFill="1" applyBorder="1" applyAlignment="1">
      <alignment horizontal="center" vertical="center" wrapText="1"/>
    </xf>
    <xf numFmtId="0" fontId="39" fillId="28" borderId="71" xfId="130" applyFont="1" applyFill="1" applyBorder="1" applyAlignment="1">
      <alignment horizontal="center" vertical="center" wrapText="1"/>
    </xf>
    <xf numFmtId="0" fontId="39" fillId="29" borderId="72" xfId="130" applyFont="1" applyFill="1" applyBorder="1" applyAlignment="1">
      <alignment horizontal="center" vertical="center" wrapText="1"/>
    </xf>
    <xf numFmtId="0" fontId="39" fillId="30" borderId="71" xfId="130" applyFont="1" applyFill="1" applyBorder="1" applyAlignment="1">
      <alignment horizontal="center" vertical="center" wrapText="1"/>
    </xf>
    <xf numFmtId="0" fontId="39" fillId="31" borderId="72" xfId="130" applyFont="1" applyFill="1" applyBorder="1" applyAlignment="1">
      <alignment horizontal="center" vertical="center" wrapText="1"/>
    </xf>
    <xf numFmtId="0" fontId="36" fillId="0" borderId="73" xfId="130" applyFont="1" applyBorder="1" applyAlignment="1">
      <alignment horizontal="center"/>
    </xf>
    <xf numFmtId="0" fontId="36" fillId="0" borderId="74" xfId="130" applyFont="1" applyBorder="1" applyAlignment="1">
      <alignment horizontal="center" vertical="center"/>
    </xf>
    <xf numFmtId="167" fontId="36" fillId="0" borderId="74" xfId="131" applyNumberFormat="1" applyFont="1" applyBorder="1" applyAlignment="1">
      <alignment horizontal="center" vertical="center"/>
    </xf>
    <xf numFmtId="0" fontId="36" fillId="0" borderId="75" xfId="130" applyFont="1" applyBorder="1" applyAlignment="1">
      <alignment horizontal="center"/>
    </xf>
    <xf numFmtId="0" fontId="34" fillId="0" borderId="0" xfId="130" applyFont="1" applyAlignment="1">
      <alignment horizontal="center" vertical="center"/>
    </xf>
    <xf numFmtId="0" fontId="34" fillId="0" borderId="76" xfId="130" applyFont="1" applyBorder="1"/>
    <xf numFmtId="167" fontId="34" fillId="0" borderId="0" xfId="130" applyNumberFormat="1" applyFont="1"/>
    <xf numFmtId="0" fontId="1" fillId="0" borderId="0" xfId="130" applyAlignment="1">
      <alignment horizontal="center"/>
    </xf>
    <xf numFmtId="167" fontId="36" fillId="24" borderId="19" xfId="131" applyNumberFormat="1" applyFont="1" applyFill="1" applyBorder="1" applyAlignment="1">
      <alignment horizontal="center" vertical="center" wrapText="1"/>
    </xf>
    <xf numFmtId="0" fontId="36" fillId="26" borderId="25" xfId="130" applyFont="1" applyFill="1" applyBorder="1" applyAlignment="1">
      <alignment horizontal="center" vertical="center" wrapText="1"/>
    </xf>
    <xf numFmtId="0" fontId="36" fillId="21" borderId="8" xfId="130" applyFont="1" applyFill="1" applyBorder="1" applyAlignment="1">
      <alignment horizontal="center" vertical="center" wrapText="1"/>
    </xf>
    <xf numFmtId="0" fontId="36" fillId="20" borderId="74" xfId="130" applyFont="1" applyFill="1" applyBorder="1" applyAlignment="1">
      <alignment horizontal="center" vertical="center"/>
    </xf>
    <xf numFmtId="167" fontId="36" fillId="20" borderId="74" xfId="131" applyNumberFormat="1" applyFont="1" applyFill="1" applyBorder="1" applyAlignment="1">
      <alignment horizontal="center" vertical="center"/>
    </xf>
    <xf numFmtId="169" fontId="36" fillId="20" borderId="74" xfId="131" applyNumberFormat="1" applyFont="1" applyFill="1" applyBorder="1" applyAlignment="1">
      <alignment horizontal="center" vertical="center"/>
    </xf>
    <xf numFmtId="167" fontId="36" fillId="0" borderId="74" xfId="131" applyNumberFormat="1" applyFont="1" applyFill="1" applyBorder="1" applyAlignment="1">
      <alignment horizontal="center" vertical="center"/>
    </xf>
    <xf numFmtId="169" fontId="36" fillId="0" borderId="74" xfId="131" applyNumberFormat="1" applyFont="1" applyBorder="1" applyAlignment="1">
      <alignment horizontal="center" vertical="center"/>
    </xf>
    <xf numFmtId="0" fontId="34" fillId="20" borderId="0" xfId="130" applyFont="1" applyFill="1"/>
    <xf numFmtId="0" fontId="36" fillId="20" borderId="73" xfId="130" applyFont="1" applyFill="1" applyBorder="1" applyAlignment="1">
      <alignment horizontal="center" vertical="center"/>
    </xf>
    <xf numFmtId="0" fontId="33" fillId="0" borderId="0" xfId="130" quotePrefix="1" applyFont="1" applyAlignment="1">
      <alignment vertical="center"/>
    </xf>
    <xf numFmtId="0" fontId="37" fillId="32" borderId="11" xfId="130" applyFont="1" applyFill="1" applyBorder="1" applyAlignment="1">
      <alignment horizontal="center" vertical="center"/>
    </xf>
    <xf numFmtId="0" fontId="36" fillId="15" borderId="8" xfId="130" applyFont="1" applyFill="1" applyBorder="1" applyAlignment="1">
      <alignment horizontal="center" vertical="center"/>
    </xf>
    <xf numFmtId="0" fontId="36" fillId="24" borderId="8" xfId="130" applyFont="1" applyFill="1" applyBorder="1" applyAlignment="1">
      <alignment horizontal="center" vertical="center" wrapText="1"/>
    </xf>
    <xf numFmtId="0" fontId="36" fillId="26" borderId="8" xfId="130" applyFont="1" applyFill="1" applyBorder="1" applyAlignment="1">
      <alignment horizontal="center" vertical="center" wrapText="1"/>
    </xf>
    <xf numFmtId="0" fontId="36" fillId="16" borderId="8" xfId="130" applyFont="1" applyFill="1" applyBorder="1" applyAlignment="1">
      <alignment horizontal="center" vertical="center" wrapText="1"/>
    </xf>
    <xf numFmtId="167" fontId="36" fillId="15" borderId="74" xfId="131" applyNumberFormat="1" applyFont="1" applyFill="1" applyBorder="1" applyAlignment="1">
      <alignment horizontal="center" vertical="center"/>
    </xf>
    <xf numFmtId="0" fontId="37" fillId="0" borderId="0" xfId="130" applyFont="1" applyAlignment="1">
      <alignment horizontal="center"/>
    </xf>
    <xf numFmtId="0" fontId="36" fillId="25" borderId="41" xfId="130" applyFont="1" applyFill="1" applyBorder="1" applyAlignment="1">
      <alignment horizontal="center" vertical="center"/>
    </xf>
    <xf numFmtId="0" fontId="36" fillId="0" borderId="0" xfId="130" applyFont="1" applyAlignment="1">
      <alignment horizontal="center" vertical="center"/>
    </xf>
    <xf numFmtId="0" fontId="36" fillId="33" borderId="49" xfId="130" applyFont="1" applyFill="1" applyBorder="1" applyAlignment="1">
      <alignment horizontal="center" vertical="center"/>
    </xf>
    <xf numFmtId="0" fontId="36" fillId="33" borderId="69" xfId="130" applyFont="1" applyFill="1" applyBorder="1" applyAlignment="1">
      <alignment horizontal="center" vertical="center"/>
    </xf>
    <xf numFmtId="0" fontId="36" fillId="33" borderId="52" xfId="130" applyFont="1" applyFill="1" applyBorder="1" applyAlignment="1">
      <alignment horizontal="center" vertical="center"/>
    </xf>
    <xf numFmtId="0" fontId="36" fillId="32" borderId="77" xfId="130" applyFont="1" applyFill="1" applyBorder="1" applyAlignment="1">
      <alignment horizontal="center" vertical="center"/>
    </xf>
    <xf numFmtId="166" fontId="34" fillId="0" borderId="0" xfId="131" applyNumberFormat="1" applyFont="1"/>
    <xf numFmtId="0" fontId="1" fillId="0" borderId="0" xfId="130" applyAlignment="1">
      <alignment horizontal="center" vertical="center"/>
    </xf>
    <xf numFmtId="0" fontId="35" fillId="0" borderId="0" xfId="130" applyFont="1" applyAlignment="1">
      <alignment horizontal="right" vertical="center"/>
    </xf>
    <xf numFmtId="0" fontId="40" fillId="0" borderId="0" xfId="130" applyFont="1" applyAlignment="1">
      <alignment vertical="center"/>
    </xf>
    <xf numFmtId="0" fontId="37" fillId="0" borderId="0" xfId="130" applyFont="1"/>
    <xf numFmtId="0" fontId="36" fillId="0" borderId="0" xfId="130" applyFont="1" applyAlignment="1">
      <alignment vertical="center"/>
    </xf>
    <xf numFmtId="0" fontId="36" fillId="16" borderId="19" xfId="130" applyFont="1" applyFill="1" applyBorder="1" applyAlignment="1">
      <alignment horizontal="center" vertical="center" wrapText="1"/>
    </xf>
    <xf numFmtId="0" fontId="36" fillId="34" borderId="8" xfId="130" applyFont="1" applyFill="1" applyBorder="1" applyAlignment="1">
      <alignment horizontal="center" vertical="center" wrapText="1"/>
    </xf>
    <xf numFmtId="0" fontId="36" fillId="25" borderId="11" xfId="130" applyFont="1" applyFill="1" applyBorder="1" applyAlignment="1">
      <alignment horizontal="center" vertical="center" wrapText="1"/>
    </xf>
    <xf numFmtId="0" fontId="36" fillId="0" borderId="0" xfId="130" applyFont="1" applyAlignment="1">
      <alignment horizontal="center" vertical="center" wrapText="1"/>
    </xf>
    <xf numFmtId="167" fontId="34" fillId="0" borderId="74" xfId="131" applyNumberFormat="1" applyFont="1" applyBorder="1" applyAlignment="1">
      <alignment vertical="center"/>
    </xf>
    <xf numFmtId="0" fontId="34" fillId="0" borderId="63" xfId="130" applyFont="1" applyBorder="1" applyAlignment="1">
      <alignment vertical="center"/>
    </xf>
    <xf numFmtId="0" fontId="34" fillId="0" borderId="74" xfId="130" applyFont="1" applyBorder="1" applyAlignment="1">
      <alignment vertical="center"/>
    </xf>
    <xf numFmtId="0" fontId="34" fillId="0" borderId="74" xfId="130" applyFont="1" applyBorder="1" applyAlignment="1">
      <alignment horizontal="center" vertical="center"/>
    </xf>
    <xf numFmtId="0" fontId="34" fillId="0" borderId="0" xfId="130" applyFont="1" applyAlignment="1">
      <alignment vertical="center"/>
    </xf>
    <xf numFmtId="167" fontId="34" fillId="0" borderId="73" xfId="131" applyNumberFormat="1" applyFont="1" applyBorder="1" applyAlignment="1">
      <alignment vertical="center"/>
    </xf>
    <xf numFmtId="167" fontId="34" fillId="0" borderId="63" xfId="131" applyNumberFormat="1" applyFont="1" applyBorder="1" applyAlignment="1">
      <alignment vertical="center"/>
    </xf>
    <xf numFmtId="0" fontId="34" fillId="0" borderId="78" xfId="130" applyFont="1" applyBorder="1" applyAlignment="1">
      <alignment horizontal="center" vertical="center"/>
    </xf>
    <xf numFmtId="167" fontId="34" fillId="0" borderId="78" xfId="131" applyNumberFormat="1" applyFont="1" applyBorder="1" applyAlignment="1">
      <alignment vertical="center"/>
    </xf>
    <xf numFmtId="0" fontId="34" fillId="0" borderId="40" xfId="130" applyFont="1" applyBorder="1" applyAlignment="1">
      <alignment vertical="center"/>
    </xf>
    <xf numFmtId="0" fontId="34" fillId="0" borderId="78" xfId="130" applyFont="1" applyBorder="1" applyAlignment="1">
      <alignment vertical="center"/>
    </xf>
    <xf numFmtId="167" fontId="34" fillId="0" borderId="75" xfId="131" applyNumberFormat="1" applyFont="1" applyBorder="1" applyAlignment="1">
      <alignment vertical="center"/>
    </xf>
    <xf numFmtId="167" fontId="34" fillId="0" borderId="40" xfId="131" applyNumberFormat="1" applyFont="1" applyBorder="1" applyAlignment="1">
      <alignment vertical="center"/>
    </xf>
    <xf numFmtId="167" fontId="34" fillId="0" borderId="78" xfId="131" applyNumberFormat="1" applyFont="1" applyBorder="1" applyAlignment="1">
      <alignment horizontal="right" vertical="center"/>
    </xf>
    <xf numFmtId="0" fontId="34" fillId="0" borderId="40" xfId="130" applyFont="1" applyBorder="1" applyAlignment="1">
      <alignment horizontal="right" vertical="center"/>
    </xf>
    <xf numFmtId="0" fontId="34" fillId="0" borderId="78" xfId="130" applyFont="1" applyBorder="1" applyAlignment="1">
      <alignment horizontal="right" vertical="center"/>
    </xf>
    <xf numFmtId="0" fontId="34" fillId="0" borderId="0" xfId="130" applyFont="1" applyAlignment="1">
      <alignment horizontal="right" vertical="center"/>
    </xf>
    <xf numFmtId="167" fontId="34" fillId="0" borderId="75" xfId="131" applyNumberFormat="1" applyFont="1" applyBorder="1" applyAlignment="1">
      <alignment horizontal="right" vertical="center"/>
    </xf>
    <xf numFmtId="167" fontId="34" fillId="25" borderId="40" xfId="131" applyNumberFormat="1" applyFont="1" applyFill="1" applyBorder="1" applyAlignment="1">
      <alignment horizontal="right" vertical="center"/>
    </xf>
    <xf numFmtId="167" fontId="34" fillId="32" borderId="78" xfId="131" applyNumberFormat="1" applyFont="1" applyFill="1" applyBorder="1" applyAlignment="1">
      <alignment vertical="center"/>
    </xf>
    <xf numFmtId="167" fontId="34" fillId="35" borderId="40" xfId="131" applyNumberFormat="1" applyFont="1" applyFill="1" applyBorder="1" applyAlignment="1">
      <alignment vertical="center"/>
    </xf>
    <xf numFmtId="167" fontId="34" fillId="32" borderId="40" xfId="131" applyNumberFormat="1" applyFont="1" applyFill="1" applyBorder="1" applyAlignment="1">
      <alignment vertical="center"/>
    </xf>
    <xf numFmtId="167" fontId="34" fillId="25" borderId="40" xfId="131" applyNumberFormat="1" applyFont="1" applyFill="1" applyBorder="1" applyAlignment="1">
      <alignment vertical="center"/>
    </xf>
    <xf numFmtId="167" fontId="34" fillId="0" borderId="78" xfId="131" applyNumberFormat="1" applyFont="1" applyFill="1" applyBorder="1" applyAlignment="1">
      <alignment vertical="center"/>
    </xf>
    <xf numFmtId="167" fontId="41" fillId="0" borderId="78" xfId="131" applyNumberFormat="1" applyFont="1" applyBorder="1" applyAlignment="1">
      <alignment vertical="center"/>
    </xf>
    <xf numFmtId="0" fontId="41" fillId="0" borderId="40" xfId="130" applyFont="1" applyBorder="1" applyAlignment="1">
      <alignment vertical="center"/>
    </xf>
    <xf numFmtId="0" fontId="41" fillId="0" borderId="78" xfId="130" applyFont="1" applyBorder="1" applyAlignment="1">
      <alignment vertical="center"/>
    </xf>
    <xf numFmtId="0" fontId="41" fillId="0" borderId="78" xfId="130" applyFont="1" applyBorder="1" applyAlignment="1">
      <alignment horizontal="center" vertical="center"/>
    </xf>
    <xf numFmtId="0" fontId="41" fillId="0" borderId="0" xfId="130" applyFont="1" applyAlignment="1">
      <alignment vertical="center"/>
    </xf>
    <xf numFmtId="167" fontId="41" fillId="0" borderId="75" xfId="131" applyNumberFormat="1" applyFont="1" applyBorder="1" applyAlignment="1">
      <alignment vertical="center"/>
    </xf>
    <xf numFmtId="167" fontId="41" fillId="0" borderId="40" xfId="131" applyNumberFormat="1" applyFont="1" applyBorder="1" applyAlignment="1">
      <alignment vertical="center"/>
    </xf>
    <xf numFmtId="167" fontId="34" fillId="0" borderId="79" xfId="131" applyNumberFormat="1" applyFont="1" applyBorder="1" applyAlignment="1">
      <alignment vertical="center"/>
    </xf>
    <xf numFmtId="0" fontId="34" fillId="0" borderId="66" xfId="130" applyFont="1" applyBorder="1" applyAlignment="1">
      <alignment vertical="center"/>
    </xf>
    <xf numFmtId="0" fontId="34" fillId="0" borderId="79" xfId="130" applyFont="1" applyBorder="1" applyAlignment="1">
      <alignment vertical="center"/>
    </xf>
    <xf numFmtId="167" fontId="34" fillId="0" borderId="80" xfId="131" applyNumberFormat="1" applyFont="1" applyBorder="1" applyAlignment="1">
      <alignment vertical="center"/>
    </xf>
    <xf numFmtId="167" fontId="34" fillId="0" borderId="66" xfId="131" applyNumberFormat="1" applyFont="1" applyBorder="1" applyAlignment="1">
      <alignment vertical="center"/>
    </xf>
    <xf numFmtId="0" fontId="34" fillId="0" borderId="79" xfId="130" applyFont="1" applyBorder="1" applyAlignment="1">
      <alignment horizontal="center" vertical="center"/>
    </xf>
    <xf numFmtId="167" fontId="34" fillId="0" borderId="77" xfId="131" applyNumberFormat="1" applyFont="1" applyBorder="1" applyAlignment="1">
      <alignment vertical="center"/>
    </xf>
    <xf numFmtId="0" fontId="34" fillId="0" borderId="67" xfId="130" applyFont="1" applyBorder="1" applyAlignment="1">
      <alignment vertical="center"/>
    </xf>
    <xf numFmtId="0" fontId="34" fillId="0" borderId="77" xfId="130" applyFont="1" applyBorder="1" applyAlignment="1">
      <alignment vertical="center"/>
    </xf>
    <xf numFmtId="0" fontId="34" fillId="0" borderId="77" xfId="130" applyFont="1" applyBorder="1" applyAlignment="1">
      <alignment horizontal="center" vertical="center"/>
    </xf>
    <xf numFmtId="167" fontId="34" fillId="0" borderId="54" xfId="131" applyNumberFormat="1" applyFont="1" applyBorder="1" applyAlignment="1">
      <alignment vertical="center"/>
    </xf>
    <xf numFmtId="167" fontId="34" fillId="0" borderId="67" xfId="131" applyNumberFormat="1" applyFont="1" applyBorder="1" applyAlignment="1">
      <alignment vertical="center"/>
    </xf>
    <xf numFmtId="0" fontId="36" fillId="15" borderId="29" xfId="130" applyFont="1" applyFill="1" applyBorder="1" applyAlignment="1">
      <alignment vertical="center"/>
    </xf>
    <xf numFmtId="0" fontId="36" fillId="15" borderId="71" xfId="130" applyFont="1" applyFill="1" applyBorder="1" applyAlignment="1">
      <alignment vertical="center"/>
    </xf>
    <xf numFmtId="0" fontId="36" fillId="36" borderId="49" xfId="130" applyFont="1" applyFill="1" applyBorder="1" applyAlignment="1">
      <alignment horizontal="center" vertical="center"/>
    </xf>
    <xf numFmtId="0" fontId="36" fillId="37" borderId="52" xfId="130" applyFont="1" applyFill="1" applyBorder="1" applyAlignment="1">
      <alignment horizontal="center" vertical="center"/>
    </xf>
    <xf numFmtId="0" fontId="36" fillId="33" borderId="55" xfId="130" applyFont="1" applyFill="1" applyBorder="1" applyAlignment="1">
      <alignment horizontal="center" vertical="center"/>
    </xf>
    <xf numFmtId="0" fontId="36" fillId="33" borderId="56" xfId="130" applyFont="1" applyFill="1" applyBorder="1" applyAlignment="1">
      <alignment horizontal="center" vertical="center"/>
    </xf>
    <xf numFmtId="167" fontId="34" fillId="0" borderId="0" xfId="130" applyNumberFormat="1" applyFont="1" applyAlignment="1">
      <alignment horizontal="center" vertical="center"/>
    </xf>
    <xf numFmtId="0" fontId="36" fillId="23" borderId="0" xfId="130" applyFont="1" applyFill="1" applyAlignment="1">
      <alignment horizontal="center" vertical="center"/>
    </xf>
    <xf numFmtId="167" fontId="34" fillId="23" borderId="79" xfId="131" applyNumberFormat="1" applyFont="1" applyFill="1" applyBorder="1" applyAlignment="1">
      <alignment vertical="center"/>
    </xf>
    <xf numFmtId="0" fontId="34" fillId="23" borderId="66" xfId="130" applyFont="1" applyFill="1" applyBorder="1" applyAlignment="1">
      <alignment vertical="center"/>
    </xf>
    <xf numFmtId="0" fontId="34" fillId="23" borderId="79" xfId="130" applyFont="1" applyFill="1" applyBorder="1" applyAlignment="1">
      <alignment vertical="center"/>
    </xf>
    <xf numFmtId="0" fontId="34" fillId="23" borderId="79" xfId="130" applyFont="1" applyFill="1" applyBorder="1" applyAlignment="1">
      <alignment horizontal="center" vertical="center"/>
    </xf>
    <xf numFmtId="0" fontId="34" fillId="23" borderId="0" xfId="130" applyFont="1" applyFill="1" applyAlignment="1">
      <alignment vertical="center"/>
    </xf>
    <xf numFmtId="167" fontId="34" fillId="23" borderId="80" xfId="131" applyNumberFormat="1" applyFont="1" applyFill="1" applyBorder="1" applyAlignment="1">
      <alignment vertical="center"/>
    </xf>
    <xf numFmtId="167" fontId="34" fillId="23" borderId="66" xfId="131" applyNumberFormat="1" applyFont="1" applyFill="1" applyBorder="1" applyAlignment="1">
      <alignment vertical="center"/>
    </xf>
    <xf numFmtId="0" fontId="34" fillId="0" borderId="78" xfId="130" applyFont="1" applyBorder="1"/>
    <xf numFmtId="0" fontId="36" fillId="20" borderId="78" xfId="13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6" fillId="20" borderId="74" xfId="130" applyFont="1" applyFill="1" applyBorder="1" applyAlignment="1">
      <alignment horizontal="right" vertical="center"/>
    </xf>
    <xf numFmtId="167" fontId="36" fillId="20" borderId="74" xfId="131" applyNumberFormat="1" applyFont="1" applyFill="1" applyBorder="1" applyAlignment="1">
      <alignment horizontal="right" vertical="center"/>
    </xf>
    <xf numFmtId="167" fontId="36" fillId="20" borderId="74" xfId="131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37" fontId="28" fillId="0" borderId="16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9" fontId="0" fillId="0" borderId="39" xfId="7" applyFont="1" applyBorder="1" applyAlignment="1">
      <alignment horizontal="center" vertical="center"/>
    </xf>
    <xf numFmtId="170" fontId="0" fillId="0" borderId="39" xfId="0" applyNumberFormat="1" applyBorder="1"/>
    <xf numFmtId="0" fontId="34" fillId="20" borderId="0" xfId="130" applyFont="1" applyFill="1" applyAlignment="1">
      <alignment horizontal="center"/>
    </xf>
    <xf numFmtId="0" fontId="36" fillId="20" borderId="75" xfId="130" applyFont="1" applyFill="1" applyBorder="1" applyAlignment="1">
      <alignment horizontal="center"/>
    </xf>
    <xf numFmtId="167" fontId="36" fillId="20" borderId="73" xfId="131" applyNumberFormat="1" applyFont="1" applyFill="1" applyBorder="1" applyAlignment="1">
      <alignment horizontal="center" vertical="center"/>
    </xf>
    <xf numFmtId="171" fontId="36" fillId="20" borderId="74" xfId="131" applyNumberFormat="1" applyFont="1" applyFill="1" applyBorder="1" applyAlignment="1">
      <alignment horizontal="center" vertical="center"/>
    </xf>
    <xf numFmtId="172" fontId="34" fillId="0" borderId="0" xfId="130" applyNumberFormat="1" applyFont="1" applyAlignment="1">
      <alignment horizontal="center"/>
    </xf>
    <xf numFmtId="172" fontId="35" fillId="0" borderId="0" xfId="130" applyNumberFormat="1" applyFont="1" applyAlignment="1">
      <alignment horizontal="left"/>
    </xf>
    <xf numFmtId="172" fontId="36" fillId="0" borderId="74" xfId="130" applyNumberFormat="1" applyFont="1" applyBorder="1" applyAlignment="1">
      <alignment horizontal="center" vertical="center"/>
    </xf>
    <xf numFmtId="172" fontId="36" fillId="0" borderId="78" xfId="130" applyNumberFormat="1" applyFont="1" applyBorder="1" applyAlignment="1">
      <alignment horizontal="center" vertical="center"/>
    </xf>
    <xf numFmtId="172" fontId="36" fillId="0" borderId="79" xfId="130" applyNumberFormat="1" applyFont="1" applyBorder="1" applyAlignment="1">
      <alignment horizontal="center" vertical="center"/>
    </xf>
    <xf numFmtId="172" fontId="36" fillId="23" borderId="79" xfId="130" applyNumberFormat="1" applyFont="1" applyFill="1" applyBorder="1" applyAlignment="1">
      <alignment horizontal="center" vertical="center"/>
    </xf>
    <xf numFmtId="172" fontId="36" fillId="0" borderId="77" xfId="130" applyNumberFormat="1" applyFont="1" applyBorder="1" applyAlignment="1">
      <alignment horizontal="center" vertical="center"/>
    </xf>
    <xf numFmtId="172" fontId="1" fillId="0" borderId="0" xfId="130" applyNumberFormat="1" applyAlignment="1">
      <alignment horizontal="center"/>
    </xf>
    <xf numFmtId="0" fontId="0" fillId="0" borderId="0" xfId="0" applyFont="1" applyAlignment="1">
      <alignment vertical="center"/>
    </xf>
    <xf numFmtId="0" fontId="0" fillId="22" borderId="16" xfId="0" applyFont="1" applyFill="1" applyBorder="1" applyAlignment="1">
      <alignment horizontal="center" vertical="center"/>
    </xf>
    <xf numFmtId="0" fontId="8" fillId="3" borderId="71" xfId="0" applyFont="1" applyFill="1" applyBorder="1" applyAlignment="1">
      <alignment horizontal="center" vertical="center"/>
    </xf>
    <xf numFmtId="0" fontId="0" fillId="5" borderId="16" xfId="0" applyFill="1" applyBorder="1"/>
    <xf numFmtId="2" fontId="0" fillId="5" borderId="16" xfId="0" applyNumberFormat="1" applyFill="1" applyBorder="1"/>
    <xf numFmtId="0" fontId="4" fillId="4" borderId="16" xfId="0" applyFont="1" applyFill="1" applyBorder="1" applyAlignment="1">
      <alignment horizontal="center"/>
    </xf>
    <xf numFmtId="166" fontId="0" fillId="5" borderId="16" xfId="1" applyNumberFormat="1" applyFont="1" applyFill="1" applyBorder="1"/>
    <xf numFmtId="0" fontId="17" fillId="5" borderId="16" xfId="0" applyFont="1" applyFill="1" applyBorder="1"/>
    <xf numFmtId="0" fontId="19" fillId="38" borderId="53" xfId="0" applyFont="1" applyFill="1" applyBorder="1" applyAlignment="1">
      <alignment horizontal="center"/>
    </xf>
    <xf numFmtId="0" fontId="19" fillId="38" borderId="38" xfId="0" applyFont="1" applyFill="1" applyBorder="1" applyAlignment="1">
      <alignment horizontal="center"/>
    </xf>
    <xf numFmtId="0" fontId="4" fillId="39" borderId="45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166" fontId="9" fillId="4" borderId="16" xfId="1" applyNumberFormat="1" applyFont="1" applyFill="1" applyBorder="1"/>
    <xf numFmtId="10" fontId="10" fillId="3" borderId="16" xfId="7" applyNumberFormat="1" applyFont="1" applyFill="1" applyBorder="1"/>
    <xf numFmtId="0" fontId="4" fillId="5" borderId="38" xfId="0" applyFont="1" applyFill="1" applyBorder="1" applyAlignment="1">
      <alignment horizontal="center"/>
    </xf>
    <xf numFmtId="0" fontId="4" fillId="39" borderId="39" xfId="0" applyFont="1" applyFill="1" applyBorder="1" applyAlignment="1">
      <alignment horizontal="center"/>
    </xf>
    <xf numFmtId="0" fontId="4" fillId="40" borderId="53" xfId="0" applyFont="1" applyFill="1" applyBorder="1" applyAlignment="1">
      <alignment horizontal="center"/>
    </xf>
    <xf numFmtId="0" fontId="0" fillId="37" borderId="16" xfId="0" applyFont="1" applyFill="1" applyBorder="1" applyAlignment="1">
      <alignment horizontal="center" vertical="center"/>
    </xf>
    <xf numFmtId="0" fontId="0" fillId="15" borderId="16" xfId="0" applyFont="1" applyFill="1" applyBorder="1" applyAlignment="1">
      <alignment horizontal="center"/>
    </xf>
    <xf numFmtId="0" fontId="0" fillId="22" borderId="16" xfId="0" applyFont="1" applyFill="1" applyBorder="1" applyAlignment="1">
      <alignment horizontal="center"/>
    </xf>
    <xf numFmtId="0" fontId="0" fillId="37" borderId="16" xfId="0" applyFont="1" applyFill="1" applyBorder="1"/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5" applyAlignment="1" applyProtection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33" fillId="0" borderId="63" xfId="143" applyFont="1" applyBorder="1" applyAlignment="1">
      <alignment horizontal="center" vertical="center"/>
    </xf>
    <xf numFmtId="0" fontId="33" fillId="0" borderId="63" xfId="143" applyFont="1" applyBorder="1" applyAlignment="1">
      <alignment horizontal="center" vertical="center" wrapText="1"/>
    </xf>
    <xf numFmtId="2" fontId="43" fillId="0" borderId="63" xfId="143" applyNumberFormat="1" applyFont="1" applyBorder="1" applyAlignment="1">
      <alignment horizontal="center" vertical="center" wrapText="1"/>
    </xf>
    <xf numFmtId="0" fontId="43" fillId="0" borderId="63" xfId="143" applyFont="1" applyBorder="1" applyAlignment="1">
      <alignment horizontal="center" vertical="center" wrapText="1"/>
    </xf>
    <xf numFmtId="0" fontId="33" fillId="0" borderId="0" xfId="143" applyFont="1" applyAlignment="1">
      <alignment horizontal="center" vertical="center"/>
    </xf>
    <xf numFmtId="0" fontId="44" fillId="0" borderId="0" xfId="143" applyFont="1" applyAlignment="1">
      <alignment horizontal="center"/>
    </xf>
    <xf numFmtId="0" fontId="33" fillId="0" borderId="0" xfId="143" applyFont="1" applyAlignment="1">
      <alignment horizontal="center"/>
    </xf>
    <xf numFmtId="1" fontId="1" fillId="0" borderId="0" xfId="143" applyNumberFormat="1" applyAlignment="1">
      <alignment horizontal="center"/>
    </xf>
    <xf numFmtId="2" fontId="42" fillId="0" borderId="0" xfId="143" applyNumberFormat="1" applyFont="1" applyAlignment="1">
      <alignment horizontal="center"/>
    </xf>
    <xf numFmtId="173" fontId="42" fillId="0" borderId="0" xfId="143" applyNumberFormat="1" applyFont="1" applyAlignment="1">
      <alignment horizontal="center"/>
    </xf>
    <xf numFmtId="0" fontId="1" fillId="0" borderId="0" xfId="143" applyAlignment="1">
      <alignment horizontal="center"/>
    </xf>
    <xf numFmtId="0" fontId="33" fillId="0" borderId="0" xfId="143" applyFont="1"/>
    <xf numFmtId="0" fontId="42" fillId="0" borderId="0" xfId="143" applyFont="1" applyAlignment="1">
      <alignment horizontal="center"/>
    </xf>
    <xf numFmtId="0" fontId="1" fillId="0" borderId="0" xfId="143"/>
    <xf numFmtId="0" fontId="4" fillId="45" borderId="16" xfId="0" applyFont="1" applyFill="1" applyBorder="1"/>
    <xf numFmtId="0" fontId="0" fillId="45" borderId="16" xfId="0" applyFill="1" applyBorder="1"/>
    <xf numFmtId="0" fontId="4" fillId="0" borderId="0" xfId="0" applyFont="1" applyFill="1" applyBorder="1" applyAlignment="1">
      <alignment horizontal="center"/>
    </xf>
    <xf numFmtId="0" fontId="4" fillId="45" borderId="16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45" borderId="39" xfId="0" applyFont="1" applyFill="1" applyBorder="1" applyAlignment="1">
      <alignment horizontal="center"/>
    </xf>
    <xf numFmtId="0" fontId="4" fillId="45" borderId="47" xfId="0" applyFont="1" applyFill="1" applyBorder="1" applyAlignment="1">
      <alignment horizontal="center"/>
    </xf>
    <xf numFmtId="0" fontId="4" fillId="45" borderId="63" xfId="0" applyFont="1" applyFill="1" applyBorder="1" applyAlignment="1">
      <alignment horizontal="center"/>
    </xf>
    <xf numFmtId="0" fontId="4" fillId="45" borderId="38" xfId="0" applyFont="1" applyFill="1" applyBorder="1" applyAlignment="1">
      <alignment horizontal="center"/>
    </xf>
    <xf numFmtId="0" fontId="4" fillId="45" borderId="40" xfId="0" applyFont="1" applyFill="1" applyBorder="1" applyAlignment="1">
      <alignment horizontal="center"/>
    </xf>
    <xf numFmtId="0" fontId="4" fillId="46" borderId="30" xfId="0" applyFont="1" applyFill="1" applyBorder="1" applyAlignment="1">
      <alignment horizontal="center" vertical="center" wrapText="1"/>
    </xf>
    <xf numFmtId="0" fontId="0" fillId="45" borderId="16" xfId="0" applyFill="1" applyBorder="1" applyAlignment="1">
      <alignment horizontal="center" vertical="center" wrapText="1"/>
    </xf>
    <xf numFmtId="0" fontId="45" fillId="45" borderId="16" xfId="0" applyFont="1" applyFill="1" applyBorder="1" applyAlignment="1">
      <alignment horizontal="center" vertical="center" wrapText="1"/>
    </xf>
    <xf numFmtId="0" fontId="0" fillId="45" borderId="39" xfId="0" applyFill="1" applyBorder="1" applyAlignment="1">
      <alignment horizontal="center" vertical="center" wrapText="1"/>
    </xf>
    <xf numFmtId="0" fontId="0" fillId="45" borderId="16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6" xfId="0" applyFill="1" applyBorder="1"/>
    <xf numFmtId="0" fontId="45" fillId="46" borderId="16" xfId="72" applyFill="1" applyBorder="1" applyAlignment="1">
      <alignment horizontal="center" vertical="center"/>
    </xf>
    <xf numFmtId="165" fontId="0" fillId="0" borderId="16" xfId="0" applyNumberFormat="1" applyFill="1" applyBorder="1"/>
    <xf numFmtId="10" fontId="10" fillId="0" borderId="16" xfId="0" applyNumberFormat="1" applyFont="1" applyFill="1" applyBorder="1"/>
    <xf numFmtId="9" fontId="12" fillId="0" borderId="16" xfId="0" applyNumberFormat="1" applyFont="1" applyFill="1" applyBorder="1"/>
    <xf numFmtId="1" fontId="21" fillId="0" borderId="16" xfId="0" applyNumberFormat="1" applyFont="1" applyFill="1" applyBorder="1"/>
    <xf numFmtId="1" fontId="0" fillId="0" borderId="16" xfId="0" applyNumberFormat="1" applyFill="1" applyBorder="1"/>
    <xf numFmtId="2" fontId="0" fillId="0" borderId="16" xfId="0" applyNumberFormat="1" applyFill="1" applyBorder="1"/>
    <xf numFmtId="0" fontId="10" fillId="0" borderId="45" xfId="0" applyFont="1" applyFill="1" applyBorder="1" applyAlignment="1">
      <alignment horizontal="center" vertical="center"/>
    </xf>
    <xf numFmtId="1" fontId="12" fillId="0" borderId="16" xfId="0" applyNumberFormat="1" applyFont="1" applyFill="1" applyBorder="1" applyAlignment="1">
      <alignment horizontal="center" vertical="center"/>
    </xf>
    <xf numFmtId="0" fontId="18" fillId="0" borderId="38" xfId="0" applyFont="1" applyFill="1" applyBorder="1" applyAlignment="1">
      <alignment horizontal="center" vertical="center"/>
    </xf>
    <xf numFmtId="0" fontId="46" fillId="0" borderId="53" xfId="0" applyFont="1" applyFill="1" applyBorder="1" applyAlignment="1">
      <alignment horizontal="center" vertical="center"/>
    </xf>
    <xf numFmtId="0" fontId="0" fillId="0" borderId="0" xfId="0" applyBorder="1"/>
    <xf numFmtId="0" fontId="0" fillId="0" borderId="16" xfId="0" applyFill="1" applyBorder="1" applyAlignment="1">
      <alignment horizontal="center" vertical="center"/>
    </xf>
    <xf numFmtId="0" fontId="0" fillId="0" borderId="0" xfId="0" applyFill="1" applyBorder="1"/>
    <xf numFmtId="0" fontId="45" fillId="0" borderId="0" xfId="0" applyFont="1"/>
    <xf numFmtId="0" fontId="0" fillId="0" borderId="0" xfId="0" applyFill="1"/>
    <xf numFmtId="1" fontId="4" fillId="3" borderId="0" xfId="0" applyNumberFormat="1" applyFont="1" applyFill="1" applyBorder="1"/>
    <xf numFmtId="43" fontId="46" fillId="0" borderId="37" xfId="1" applyFont="1" applyBorder="1" applyAlignment="1">
      <alignment horizontal="center" vertical="center"/>
    </xf>
    <xf numFmtId="10" fontId="45" fillId="0" borderId="16" xfId="7" applyNumberFormat="1" applyFont="1" applyFill="1" applyBorder="1"/>
    <xf numFmtId="0" fontId="45" fillId="0" borderId="38" xfId="0" applyFont="1" applyBorder="1"/>
    <xf numFmtId="0" fontId="45" fillId="0" borderId="39" xfId="0" applyFont="1" applyBorder="1"/>
    <xf numFmtId="43" fontId="0" fillId="0" borderId="39" xfId="1" applyNumberFormat="1" applyFont="1" applyBorder="1"/>
    <xf numFmtId="1" fontId="0" fillId="0" borderId="0" xfId="0" applyNumberFormat="1" applyFill="1"/>
    <xf numFmtId="10" fontId="4" fillId="0" borderId="0" xfId="0" applyNumberFormat="1" applyFont="1" applyFill="1" applyBorder="1"/>
    <xf numFmtId="0" fontId="45" fillId="0" borderId="0" xfId="0" applyFont="1" applyBorder="1"/>
    <xf numFmtId="168" fontId="45" fillId="0" borderId="0" xfId="1" applyNumberFormat="1" applyFont="1" applyBorder="1"/>
    <xf numFmtId="168" fontId="45" fillId="0" borderId="0" xfId="0" applyNumberFormat="1" applyFont="1" applyBorder="1"/>
    <xf numFmtId="9" fontId="18" fillId="0" borderId="16" xfId="1" applyNumberFormat="1" applyFont="1" applyBorder="1"/>
    <xf numFmtId="1" fontId="47" fillId="0" borderId="16" xfId="0" applyNumberFormat="1" applyFont="1" applyFill="1" applyBorder="1" applyAlignment="1">
      <alignment horizontal="center" vertical="center"/>
    </xf>
    <xf numFmtId="0" fontId="4" fillId="45" borderId="16" xfId="0" applyFont="1" applyFill="1" applyBorder="1" applyAlignment="1">
      <alignment horizontal="center"/>
    </xf>
    <xf numFmtId="0" fontId="4" fillId="45" borderId="38" xfId="0" applyFont="1" applyFill="1" applyBorder="1" applyAlignment="1">
      <alignment horizontal="center"/>
    </xf>
    <xf numFmtId="0" fontId="4" fillId="45" borderId="40" xfId="0" applyFont="1" applyFill="1" applyBorder="1" applyAlignment="1">
      <alignment horizontal="center"/>
    </xf>
    <xf numFmtId="0" fontId="4" fillId="45" borderId="39" xfId="0" applyFont="1" applyFill="1" applyBorder="1" applyAlignment="1">
      <alignment horizontal="center"/>
    </xf>
    <xf numFmtId="0" fontId="4" fillId="45" borderId="47" xfId="0" applyFont="1" applyFill="1" applyBorder="1" applyAlignment="1">
      <alignment horizontal="center"/>
    </xf>
    <xf numFmtId="0" fontId="4" fillId="45" borderId="63" xfId="0" applyFont="1" applyFill="1" applyBorder="1" applyAlignment="1">
      <alignment horizontal="center"/>
    </xf>
    <xf numFmtId="0" fontId="20" fillId="0" borderId="0" xfId="5" applyAlignment="1" applyProtection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9" fontId="8" fillId="3" borderId="29" xfId="0" applyNumberFormat="1" applyFont="1" applyFill="1" applyBorder="1" applyAlignment="1">
      <alignment horizontal="right" vertical="center"/>
    </xf>
    <xf numFmtId="1" fontId="8" fillId="3" borderId="29" xfId="0" applyNumberFormat="1" applyFont="1" applyFill="1" applyBorder="1" applyAlignment="1">
      <alignment horizontal="center" vertical="center"/>
    </xf>
    <xf numFmtId="15" fontId="8" fillId="2" borderId="0" xfId="0" applyNumberFormat="1" applyFont="1" applyFill="1" applyBorder="1" applyAlignment="1">
      <alignment horizontal="center" vertical="center"/>
    </xf>
    <xf numFmtId="0" fontId="8" fillId="6" borderId="81" xfId="0" applyFont="1" applyFill="1" applyBorder="1" applyAlignment="1">
      <alignment vertical="center"/>
    </xf>
    <xf numFmtId="3" fontId="8" fillId="6" borderId="91" xfId="0" applyNumberFormat="1" applyFont="1" applyFill="1" applyBorder="1" applyAlignment="1">
      <alignment vertical="center"/>
    </xf>
    <xf numFmtId="0" fontId="8" fillId="5" borderId="81" xfId="0" applyFont="1" applyFill="1" applyBorder="1" applyAlignment="1">
      <alignment vertical="center"/>
    </xf>
    <xf numFmtId="166" fontId="8" fillId="5" borderId="92" xfId="1" applyNumberFormat="1" applyFont="1" applyFill="1" applyBorder="1" applyAlignment="1">
      <alignment vertical="center"/>
    </xf>
    <xf numFmtId="0" fontId="8" fillId="5" borderId="93" xfId="0" applyFont="1" applyFill="1" applyBorder="1" applyAlignment="1">
      <alignment vertical="center"/>
    </xf>
    <xf numFmtId="3" fontId="8" fillId="5" borderId="31" xfId="0" applyNumberFormat="1" applyFont="1" applyFill="1" applyBorder="1" applyAlignment="1">
      <alignment vertical="center"/>
    </xf>
    <xf numFmtId="3" fontId="8" fillId="5" borderId="35" xfId="0" applyNumberFormat="1" applyFont="1" applyFill="1" applyBorder="1" applyAlignment="1">
      <alignment vertical="center"/>
    </xf>
    <xf numFmtId="3" fontId="7" fillId="7" borderId="57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vertical="center"/>
    </xf>
    <xf numFmtId="0" fontId="8" fillId="4" borderId="81" xfId="0" applyFont="1" applyFill="1" applyBorder="1" applyAlignment="1">
      <alignment vertical="center"/>
    </xf>
    <xf numFmtId="166" fontId="8" fillId="4" borderId="91" xfId="1" applyNumberFormat="1" applyFont="1" applyFill="1" applyBorder="1" applyAlignment="1">
      <alignment vertical="center"/>
    </xf>
    <xf numFmtId="3" fontId="8" fillId="4" borderId="31" xfId="0" applyNumberFormat="1" applyFont="1" applyFill="1" applyBorder="1" applyAlignment="1">
      <alignment vertical="center"/>
    </xf>
    <xf numFmtId="3" fontId="8" fillId="4" borderId="35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vertical="center"/>
    </xf>
    <xf numFmtId="1" fontId="8" fillId="11" borderId="94" xfId="1" applyNumberFormat="1" applyFont="1" applyFill="1" applyBorder="1" applyAlignment="1">
      <alignment vertical="center"/>
    </xf>
    <xf numFmtId="1" fontId="8" fillId="11" borderId="91" xfId="1" applyNumberFormat="1" applyFont="1" applyFill="1" applyBorder="1" applyAlignment="1">
      <alignment vertical="center"/>
    </xf>
    <xf numFmtId="1" fontId="8" fillId="11" borderId="93" xfId="1" applyNumberFormat="1" applyFont="1" applyFill="1" applyBorder="1" applyAlignment="1">
      <alignment vertical="center"/>
    </xf>
    <xf numFmtId="3" fontId="8" fillId="11" borderId="91" xfId="0" applyNumberFormat="1" applyFont="1" applyFill="1" applyBorder="1" applyAlignment="1">
      <alignment vertical="center"/>
    </xf>
    <xf numFmtId="3" fontId="8" fillId="11" borderId="95" xfId="0" applyNumberFormat="1" applyFont="1" applyFill="1" applyBorder="1" applyAlignment="1">
      <alignment vertical="center"/>
    </xf>
    <xf numFmtId="0" fontId="0" fillId="2" borderId="0" xfId="0" applyFill="1" applyBorder="1"/>
    <xf numFmtId="43" fontId="4" fillId="6" borderId="96" xfId="1" applyFont="1" applyFill="1" applyBorder="1"/>
    <xf numFmtId="43" fontId="4" fillId="6" borderId="35" xfId="1" applyFont="1" applyFill="1" applyBorder="1"/>
    <xf numFmtId="43" fontId="4" fillId="4" borderId="96" xfId="1" applyFont="1" applyFill="1" applyBorder="1"/>
    <xf numFmtId="43" fontId="4" fillId="4" borderId="97" xfId="1" applyFont="1" applyFill="1" applyBorder="1"/>
    <xf numFmtId="43" fontId="4" fillId="11" borderId="92" xfId="1" applyFont="1" applyFill="1" applyBorder="1"/>
    <xf numFmtId="43" fontId="4" fillId="11" borderId="97" xfId="1" applyFont="1" applyFill="1" applyBorder="1"/>
    <xf numFmtId="3" fontId="8" fillId="3" borderId="81" xfId="0" applyNumberFormat="1" applyFont="1" applyFill="1" applyBorder="1" applyAlignment="1">
      <alignment vertical="center"/>
    </xf>
    <xf numFmtId="3" fontId="8" fillId="3" borderId="89" xfId="0" applyNumberFormat="1" applyFont="1" applyFill="1" applyBorder="1" applyAlignment="1">
      <alignment vertical="center"/>
    </xf>
    <xf numFmtId="43" fontId="4" fillId="3" borderId="29" xfId="1" applyFont="1" applyFill="1" applyBorder="1"/>
    <xf numFmtId="43" fontId="4" fillId="3" borderId="89" xfId="1" applyFont="1" applyFill="1" applyBorder="1"/>
    <xf numFmtId="0" fontId="0" fillId="45" borderId="30" xfId="0" applyFill="1" applyBorder="1" applyAlignment="1">
      <alignment vertical="center" wrapText="1"/>
    </xf>
    <xf numFmtId="167" fontId="0" fillId="45" borderId="16" xfId="1" applyNumberFormat="1" applyFont="1" applyFill="1" applyBorder="1"/>
    <xf numFmtId="0" fontId="0" fillId="47" borderId="16" xfId="0" applyFill="1" applyBorder="1"/>
    <xf numFmtId="0" fontId="0" fillId="47" borderId="39" xfId="0" applyFill="1" applyBorder="1"/>
    <xf numFmtId="43" fontId="0" fillId="0" borderId="17" xfId="0" applyNumberFormat="1" applyBorder="1" applyAlignment="1">
      <alignment horizontal="center" vertical="center"/>
    </xf>
    <xf numFmtId="43" fontId="0" fillId="0" borderId="30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9" fontId="0" fillId="0" borderId="16" xfId="0" applyNumberFormat="1" applyFont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30" xfId="0" applyNumberFormat="1" applyBorder="1" applyAlignment="1">
      <alignment horizontal="center" vertical="center"/>
    </xf>
    <xf numFmtId="3" fontId="0" fillId="0" borderId="16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4" fillId="0" borderId="81" xfId="0" applyFont="1" applyBorder="1" applyAlignment="1">
      <alignment horizontal="right" vertical="center"/>
    </xf>
    <xf numFmtId="0" fontId="4" fillId="0" borderId="76" xfId="0" applyFont="1" applyBorder="1" applyAlignment="1">
      <alignment horizontal="right" vertical="center"/>
    </xf>
    <xf numFmtId="0" fontId="0" fillId="15" borderId="82" xfId="0" applyFont="1" applyFill="1" applyBorder="1" applyAlignment="1">
      <alignment horizontal="center"/>
    </xf>
    <xf numFmtId="0" fontId="0" fillId="15" borderId="44" xfId="0" applyFont="1" applyFill="1" applyBorder="1" applyAlignment="1">
      <alignment horizontal="center"/>
    </xf>
    <xf numFmtId="0" fontId="0" fillId="37" borderId="68" xfId="0" applyFont="1" applyFill="1" applyBorder="1" applyAlignment="1">
      <alignment horizontal="center"/>
    </xf>
    <xf numFmtId="0" fontId="0" fillId="37" borderId="4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14" fontId="22" fillId="0" borderId="0" xfId="0" applyNumberFormat="1" applyFont="1" applyAlignment="1" applyProtection="1">
      <alignment horizontal="center" vertical="center"/>
      <protection locked="0"/>
    </xf>
    <xf numFmtId="0" fontId="4" fillId="16" borderId="16" xfId="0" applyFont="1" applyFill="1" applyBorder="1" applyAlignment="1">
      <alignment horizontal="center" vertical="center"/>
    </xf>
    <xf numFmtId="0" fontId="4" fillId="15" borderId="38" xfId="0" applyFont="1" applyFill="1" applyBorder="1" applyAlignment="1">
      <alignment horizontal="center" vertical="center"/>
    </xf>
    <xf numFmtId="0" fontId="4" fillId="15" borderId="40" xfId="0" applyFont="1" applyFill="1" applyBorder="1" applyAlignment="1">
      <alignment horizontal="center" vertical="center"/>
    </xf>
    <xf numFmtId="0" fontId="4" fillId="15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9" xfId="0" applyFont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0" fontId="4" fillId="0" borderId="71" xfId="0" applyFont="1" applyBorder="1" applyAlignment="1">
      <alignment horizontal="right" vertical="center"/>
    </xf>
    <xf numFmtId="0" fontId="28" fillId="37" borderId="16" xfId="0" applyFont="1" applyFill="1" applyBorder="1" applyAlignment="1">
      <alignment horizontal="center" vertical="center"/>
    </xf>
    <xf numFmtId="1" fontId="0" fillId="0" borderId="16" xfId="0" applyNumberFormat="1" applyFont="1" applyBorder="1" applyAlignment="1">
      <alignment horizontal="center" vertical="center"/>
    </xf>
    <xf numFmtId="0" fontId="4" fillId="45" borderId="16" xfId="0" applyFont="1" applyFill="1" applyBorder="1" applyAlignment="1">
      <alignment horizontal="center"/>
    </xf>
    <xf numFmtId="0" fontId="4" fillId="45" borderId="38" xfId="0" applyFont="1" applyFill="1" applyBorder="1" applyAlignment="1">
      <alignment horizontal="center"/>
    </xf>
    <xf numFmtId="0" fontId="4" fillId="45" borderId="40" xfId="0" applyFont="1" applyFill="1" applyBorder="1" applyAlignment="1">
      <alignment horizontal="center"/>
    </xf>
    <xf numFmtId="0" fontId="4" fillId="45" borderId="39" xfId="0" applyFont="1" applyFill="1" applyBorder="1" applyAlignment="1">
      <alignment horizontal="center"/>
    </xf>
    <xf numFmtId="0" fontId="4" fillId="45" borderId="17" xfId="0" applyFont="1" applyFill="1" applyBorder="1" applyAlignment="1">
      <alignment horizontal="center" vertical="center" wrapText="1"/>
    </xf>
    <xf numFmtId="0" fontId="4" fillId="45" borderId="31" xfId="0" applyFont="1" applyFill="1" applyBorder="1" applyAlignment="1">
      <alignment horizontal="center" vertical="center" wrapText="1"/>
    </xf>
    <xf numFmtId="0" fontId="4" fillId="45" borderId="30" xfId="0" applyFont="1" applyFill="1" applyBorder="1" applyAlignment="1">
      <alignment horizontal="center" vertical="center" wrapText="1"/>
    </xf>
    <xf numFmtId="0" fontId="4" fillId="45" borderId="47" xfId="0" applyFont="1" applyFill="1" applyBorder="1" applyAlignment="1">
      <alignment horizontal="center"/>
    </xf>
    <xf numFmtId="0" fontId="4" fillId="45" borderId="63" xfId="0" applyFont="1" applyFill="1" applyBorder="1" applyAlignment="1">
      <alignment horizontal="center"/>
    </xf>
    <xf numFmtId="0" fontId="20" fillId="0" borderId="0" xfId="5" applyAlignment="1" applyProtection="1">
      <alignment horizontal="center"/>
    </xf>
    <xf numFmtId="167" fontId="4" fillId="45" borderId="16" xfId="1" applyNumberFormat="1" applyFont="1" applyFill="1" applyBorder="1" applyAlignment="1">
      <alignment horizontal="center" wrapText="1"/>
    </xf>
    <xf numFmtId="17" fontId="4" fillId="2" borderId="83" xfId="0" applyNumberFormat="1" applyFont="1" applyFill="1" applyBorder="1" applyAlignment="1">
      <alignment horizontal="center" vertical="center" wrapText="1"/>
    </xf>
    <xf numFmtId="17" fontId="4" fillId="2" borderId="84" xfId="0" applyNumberFormat="1" applyFont="1" applyFill="1" applyBorder="1" applyAlignment="1">
      <alignment horizontal="center" vertical="center" wrapText="1"/>
    </xf>
    <xf numFmtId="17" fontId="4" fillId="2" borderId="8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2" borderId="4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/>
    </xf>
    <xf numFmtId="0" fontId="4" fillId="2" borderId="87" xfId="0" applyFont="1" applyFill="1" applyBorder="1" applyAlignment="1">
      <alignment horizontal="center"/>
    </xf>
    <xf numFmtId="0" fontId="4" fillId="2" borderId="88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7" fillId="9" borderId="42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8" borderId="82" xfId="0" applyFont="1" applyFill="1" applyBorder="1" applyAlignment="1">
      <alignment horizontal="center"/>
    </xf>
    <xf numFmtId="0" fontId="7" fillId="8" borderId="68" xfId="0" applyFont="1" applyFill="1" applyBorder="1" applyAlignment="1">
      <alignment horizontal="center"/>
    </xf>
    <xf numFmtId="0" fontId="7" fillId="8" borderId="44" xfId="0" applyFont="1" applyFill="1" applyBorder="1" applyAlignment="1">
      <alignment horizontal="center"/>
    </xf>
    <xf numFmtId="0" fontId="7" fillId="7" borderId="82" xfId="0" applyFont="1" applyFill="1" applyBorder="1" applyAlignment="1">
      <alignment horizontal="center"/>
    </xf>
    <xf numFmtId="0" fontId="7" fillId="7" borderId="68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/>
    </xf>
    <xf numFmtId="0" fontId="7" fillId="9" borderId="82" xfId="0" applyFont="1" applyFill="1" applyBorder="1" applyAlignment="1">
      <alignment horizontal="center"/>
    </xf>
    <xf numFmtId="0" fontId="7" fillId="9" borderId="68" xfId="0" applyFont="1" applyFill="1" applyBorder="1" applyAlignment="1">
      <alignment horizontal="center"/>
    </xf>
    <xf numFmtId="0" fontId="7" fillId="9" borderId="44" xfId="0" applyFont="1" applyFill="1" applyBorder="1" applyAlignment="1">
      <alignment horizontal="center"/>
    </xf>
    <xf numFmtId="0" fontId="7" fillId="12" borderId="82" xfId="0" applyFont="1" applyFill="1" applyBorder="1" applyAlignment="1">
      <alignment horizontal="center"/>
    </xf>
    <xf numFmtId="0" fontId="7" fillId="12" borderId="68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36" fillId="26" borderId="68" xfId="130" applyFont="1" applyFill="1" applyBorder="1" applyAlignment="1">
      <alignment horizontal="center" vertical="center"/>
    </xf>
    <xf numFmtId="0" fontId="36" fillId="26" borderId="67" xfId="130" applyFont="1" applyFill="1" applyBorder="1" applyAlignment="1">
      <alignment horizontal="center" vertical="center"/>
    </xf>
    <xf numFmtId="0" fontId="36" fillId="21" borderId="41" xfId="130" applyFont="1" applyFill="1" applyBorder="1" applyAlignment="1">
      <alignment horizontal="center" vertical="center"/>
    </xf>
    <xf numFmtId="0" fontId="36" fillId="21" borderId="77" xfId="130" applyFont="1" applyFill="1" applyBorder="1" applyAlignment="1">
      <alignment horizontal="center" vertical="center"/>
    </xf>
    <xf numFmtId="0" fontId="36" fillId="15" borderId="89" xfId="130" applyFont="1" applyFill="1" applyBorder="1" applyAlignment="1">
      <alignment horizontal="center" vertical="center"/>
    </xf>
    <xf numFmtId="0" fontId="36" fillId="15" borderId="90" xfId="130" applyFont="1" applyFill="1" applyBorder="1" applyAlignment="1">
      <alignment horizontal="center" vertical="center"/>
    </xf>
    <xf numFmtId="0" fontId="36" fillId="23" borderId="42" xfId="130" applyFont="1" applyFill="1" applyBorder="1" applyAlignment="1">
      <alignment horizontal="center" vertical="center"/>
    </xf>
    <xf numFmtId="0" fontId="36" fillId="23" borderId="14" xfId="130" applyFont="1" applyFill="1" applyBorder="1" applyAlignment="1">
      <alignment horizontal="center" vertical="center"/>
    </xf>
    <xf numFmtId="0" fontId="36" fillId="22" borderId="43" xfId="130" applyFont="1" applyFill="1" applyBorder="1" applyAlignment="1">
      <alignment horizontal="center" vertical="center"/>
    </xf>
    <xf numFmtId="0" fontId="36" fillId="22" borderId="48" xfId="130" applyFont="1" applyFill="1" applyBorder="1" applyAlignment="1">
      <alignment horizontal="center" vertical="center"/>
    </xf>
    <xf numFmtId="0" fontId="36" fillId="22" borderId="62" xfId="130" applyFont="1" applyFill="1" applyBorder="1" applyAlignment="1">
      <alignment horizontal="center" vertical="center"/>
    </xf>
    <xf numFmtId="0" fontId="36" fillId="24" borderId="68" xfId="130" applyFont="1" applyFill="1" applyBorder="1" applyAlignment="1">
      <alignment horizontal="center" vertical="center"/>
    </xf>
    <xf numFmtId="0" fontId="36" fillId="24" borderId="67" xfId="130" applyFont="1" applyFill="1" applyBorder="1" applyAlignment="1">
      <alignment horizontal="center" vertical="center"/>
    </xf>
    <xf numFmtId="0" fontId="36" fillId="41" borderId="41" xfId="130" applyFont="1" applyFill="1" applyBorder="1" applyAlignment="1">
      <alignment horizontal="center" vertical="center"/>
    </xf>
    <xf numFmtId="0" fontId="36" fillId="41" borderId="77" xfId="130" applyFont="1" applyFill="1" applyBorder="1" applyAlignment="1">
      <alignment horizontal="center" vertical="center"/>
    </xf>
    <xf numFmtId="0" fontId="36" fillId="15" borderId="68" xfId="130" applyFont="1" applyFill="1" applyBorder="1" applyAlignment="1">
      <alignment horizontal="center" vertical="center"/>
    </xf>
    <xf numFmtId="0" fontId="36" fillId="15" borderId="67" xfId="130" applyFont="1" applyFill="1" applyBorder="1" applyAlignment="1">
      <alignment horizontal="center" vertical="center"/>
    </xf>
    <xf numFmtId="0" fontId="36" fillId="42" borderId="41" xfId="130" applyFont="1" applyFill="1" applyBorder="1" applyAlignment="1">
      <alignment horizontal="center" vertical="center"/>
    </xf>
    <xf numFmtId="0" fontId="36" fillId="42" borderId="77" xfId="130" applyFont="1" applyFill="1" applyBorder="1" applyAlignment="1">
      <alignment horizontal="center" vertical="center"/>
    </xf>
    <xf numFmtId="0" fontId="37" fillId="32" borderId="11" xfId="130" applyFont="1" applyFill="1" applyBorder="1" applyAlignment="1">
      <alignment horizontal="center"/>
    </xf>
    <xf numFmtId="0" fontId="37" fillId="32" borderId="19" xfId="130" applyFont="1" applyFill="1" applyBorder="1" applyAlignment="1">
      <alignment horizontal="center"/>
    </xf>
    <xf numFmtId="0" fontId="37" fillId="32" borderId="25" xfId="130" applyFont="1" applyFill="1" applyBorder="1" applyAlignment="1">
      <alignment horizontal="center"/>
    </xf>
    <xf numFmtId="0" fontId="38" fillId="15" borderId="29" xfId="130" applyFont="1" applyFill="1" applyBorder="1" applyAlignment="1">
      <alignment horizontal="center" vertical="center" wrapText="1"/>
    </xf>
    <xf numFmtId="0" fontId="38" fillId="15" borderId="71" xfId="130" applyFont="1" applyFill="1" applyBorder="1" applyAlignment="1">
      <alignment horizontal="center" vertical="center" wrapText="1"/>
    </xf>
    <xf numFmtId="0" fontId="37" fillId="40" borderId="11" xfId="130" applyFont="1" applyFill="1" applyBorder="1" applyAlignment="1">
      <alignment horizontal="center"/>
    </xf>
    <xf numFmtId="0" fontId="37" fillId="40" borderId="19" xfId="130" applyFont="1" applyFill="1" applyBorder="1" applyAlignment="1">
      <alignment horizontal="center"/>
    </xf>
    <xf numFmtId="0" fontId="37" fillId="40" borderId="25" xfId="130" applyFont="1" applyFill="1" applyBorder="1" applyAlignment="1">
      <alignment horizontal="center"/>
    </xf>
    <xf numFmtId="0" fontId="37" fillId="16" borderId="29" xfId="130" applyFont="1" applyFill="1" applyBorder="1" applyAlignment="1">
      <alignment horizontal="center" vertical="center" wrapText="1"/>
    </xf>
    <xf numFmtId="0" fontId="37" fillId="16" borderId="71" xfId="130" applyFont="1" applyFill="1" applyBorder="1" applyAlignment="1">
      <alignment horizontal="center" vertical="center" wrapText="1"/>
    </xf>
    <xf numFmtId="0" fontId="34" fillId="20" borderId="76" xfId="130" applyFont="1" applyFill="1" applyBorder="1" applyAlignment="1">
      <alignment horizontal="center"/>
    </xf>
    <xf numFmtId="0" fontId="34" fillId="20" borderId="0" xfId="130" applyFont="1" applyFill="1" applyAlignment="1">
      <alignment horizontal="center"/>
    </xf>
    <xf numFmtId="0" fontId="37" fillId="32" borderId="11" xfId="130" applyFont="1" applyFill="1" applyBorder="1" applyAlignment="1">
      <alignment horizontal="center" vertical="center" wrapText="1"/>
    </xf>
    <xf numFmtId="0" fontId="37" fillId="32" borderId="25" xfId="130" applyFont="1" applyFill="1" applyBorder="1" applyAlignment="1">
      <alignment horizontal="center" vertical="center" wrapText="1"/>
    </xf>
    <xf numFmtId="0" fontId="36" fillId="0" borderId="0" xfId="130" applyFont="1" applyAlignment="1">
      <alignment horizontal="right" vertical="center"/>
    </xf>
    <xf numFmtId="0" fontId="37" fillId="32" borderId="19" xfId="130" applyFont="1" applyFill="1" applyBorder="1" applyAlignment="1">
      <alignment horizontal="center" vertical="center" wrapText="1"/>
    </xf>
    <xf numFmtId="0" fontId="36" fillId="43" borderId="81" xfId="130" applyFont="1" applyFill="1" applyBorder="1" applyAlignment="1">
      <alignment horizontal="center" vertical="center" wrapText="1"/>
    </xf>
    <xf numFmtId="0" fontId="36" fillId="43" borderId="70" xfId="130" applyFont="1" applyFill="1" applyBorder="1" applyAlignment="1">
      <alignment horizontal="center" vertical="center" wrapText="1"/>
    </xf>
    <xf numFmtId="0" fontId="34" fillId="15" borderId="29" xfId="130" applyFont="1" applyFill="1" applyBorder="1" applyAlignment="1">
      <alignment horizontal="center" vertical="center"/>
    </xf>
    <xf numFmtId="0" fontId="34" fillId="15" borderId="71" xfId="130" applyFont="1" applyFill="1" applyBorder="1" applyAlignment="1">
      <alignment horizontal="center" vertical="center"/>
    </xf>
    <xf numFmtId="0" fontId="36" fillId="22" borderId="42" xfId="130" applyFont="1" applyFill="1" applyBorder="1" applyAlignment="1">
      <alignment horizontal="center" vertical="center"/>
    </xf>
    <xf numFmtId="0" fontId="36" fillId="22" borderId="14" xfId="130" applyFont="1" applyFill="1" applyBorder="1" applyAlignment="1">
      <alignment horizontal="center" vertical="center"/>
    </xf>
    <xf numFmtId="0" fontId="36" fillId="41" borderId="29" xfId="130" applyFont="1" applyFill="1" applyBorder="1" applyAlignment="1">
      <alignment horizontal="center" vertical="center" wrapText="1"/>
    </xf>
    <xf numFmtId="0" fontId="36" fillId="41" borderId="71" xfId="130" applyFont="1" applyFill="1" applyBorder="1" applyAlignment="1">
      <alignment horizontal="center" vertical="center" wrapText="1"/>
    </xf>
    <xf numFmtId="0" fontId="36" fillId="15" borderId="29" xfId="130" applyFont="1" applyFill="1" applyBorder="1" applyAlignment="1">
      <alignment horizontal="center" vertical="center"/>
    </xf>
    <xf numFmtId="0" fontId="36" fillId="15" borderId="21" xfId="130" applyFont="1" applyFill="1" applyBorder="1" applyAlignment="1">
      <alignment horizontal="center" vertical="center"/>
    </xf>
    <xf numFmtId="0" fontId="36" fillId="15" borderId="71" xfId="130" applyFont="1" applyFill="1" applyBorder="1" applyAlignment="1">
      <alignment horizontal="center" vertical="center"/>
    </xf>
    <xf numFmtId="0" fontId="37" fillId="34" borderId="11" xfId="130" applyFont="1" applyFill="1" applyBorder="1" applyAlignment="1">
      <alignment horizontal="center"/>
    </xf>
    <xf numFmtId="0" fontId="37" fillId="34" borderId="19" xfId="130" applyFont="1" applyFill="1" applyBorder="1" applyAlignment="1">
      <alignment horizontal="center"/>
    </xf>
    <xf numFmtId="0" fontId="37" fillId="34" borderId="25" xfId="130" applyFont="1" applyFill="1" applyBorder="1" applyAlignment="1">
      <alignment horizontal="center"/>
    </xf>
    <xf numFmtId="0" fontId="37" fillId="44" borderId="11" xfId="130" applyFont="1" applyFill="1" applyBorder="1" applyAlignment="1">
      <alignment horizontal="center"/>
    </xf>
    <xf numFmtId="0" fontId="37" fillId="44" borderId="19" xfId="130" applyFont="1" applyFill="1" applyBorder="1" applyAlignment="1">
      <alignment horizontal="center"/>
    </xf>
    <xf numFmtId="0" fontId="37" fillId="44" borderId="25" xfId="130" applyFont="1" applyFill="1" applyBorder="1" applyAlignment="1">
      <alignment horizontal="center"/>
    </xf>
    <xf numFmtId="167" fontId="36" fillId="24" borderId="68" xfId="131" applyNumberFormat="1" applyFont="1" applyFill="1" applyBorder="1" applyAlignment="1">
      <alignment horizontal="center" vertical="center"/>
    </xf>
    <xf numFmtId="167" fontId="36" fillId="24" borderId="67" xfId="131" applyNumberFormat="1" applyFont="1" applyFill="1" applyBorder="1" applyAlignment="1">
      <alignment horizontal="center" vertical="center"/>
    </xf>
    <xf numFmtId="0" fontId="36" fillId="23" borderId="29" xfId="130" applyFont="1" applyFill="1" applyBorder="1" applyAlignment="1">
      <alignment horizontal="center" vertical="center"/>
    </xf>
    <xf numFmtId="0" fontId="36" fillId="23" borderId="71" xfId="130" applyFont="1" applyFill="1" applyBorder="1" applyAlignment="1">
      <alignment horizontal="center" vertical="center"/>
    </xf>
    <xf numFmtId="0" fontId="36" fillId="44" borderId="89" xfId="130" applyFont="1" applyFill="1" applyBorder="1" applyAlignment="1">
      <alignment horizontal="center" vertical="center"/>
    </xf>
    <xf numFmtId="0" fontId="36" fillId="44" borderId="90" xfId="130" applyFont="1" applyFill="1" applyBorder="1" applyAlignment="1">
      <alignment horizontal="center" vertical="center"/>
    </xf>
    <xf numFmtId="0" fontId="36" fillId="21" borderId="29" xfId="130" applyFont="1" applyFill="1" applyBorder="1" applyAlignment="1">
      <alignment horizontal="center" vertical="center" wrapText="1"/>
    </xf>
    <xf numFmtId="0" fontId="36" fillId="21" borderId="71" xfId="130" applyFont="1" applyFill="1" applyBorder="1" applyAlignment="1">
      <alignment horizontal="center" vertical="center" wrapText="1"/>
    </xf>
    <xf numFmtId="172" fontId="36" fillId="15" borderId="29" xfId="130" applyNumberFormat="1" applyFont="1" applyFill="1" applyBorder="1" applyAlignment="1">
      <alignment horizontal="center" vertical="center"/>
    </xf>
    <xf numFmtId="172" fontId="36" fillId="15" borderId="71" xfId="130" applyNumberFormat="1" applyFont="1" applyFill="1" applyBorder="1" applyAlignment="1">
      <alignment horizontal="center" vertical="center"/>
    </xf>
    <xf numFmtId="0" fontId="36" fillId="15" borderId="29" xfId="130" applyFont="1" applyFill="1" applyBorder="1" applyAlignment="1">
      <alignment horizontal="center" vertical="center" wrapText="1"/>
    </xf>
    <xf numFmtId="0" fontId="36" fillId="15" borderId="71" xfId="13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4" fontId="2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top"/>
    </xf>
  </cellXfs>
  <cellStyles count="144">
    <cellStyle name="Comma" xfId="1" builtinId="3"/>
    <cellStyle name="Comma 2" xfId="2"/>
    <cellStyle name="Comma 2 10" xfId="69"/>
    <cellStyle name="Comma 2 11" xfId="108"/>
    <cellStyle name="Comma 2 12" xfId="94"/>
    <cellStyle name="Comma 2 13" xfId="104"/>
    <cellStyle name="Comma 2 14" xfId="79"/>
    <cellStyle name="Comma 2 15" xfId="93"/>
    <cellStyle name="Comma 2 16" xfId="96"/>
    <cellStyle name="Comma 2 17" xfId="91"/>
    <cellStyle name="Comma 2 18" xfId="107"/>
    <cellStyle name="Comma 2 2" xfId="13"/>
    <cellStyle name="Comma 2 3" xfId="16"/>
    <cellStyle name="Comma 2 4" xfId="23"/>
    <cellStyle name="Comma 2 5" xfId="30"/>
    <cellStyle name="Comma 2 6" xfId="37"/>
    <cellStyle name="Comma 2 7" xfId="44"/>
    <cellStyle name="Comma 2 8" xfId="51"/>
    <cellStyle name="Comma 2 9" xfId="57"/>
    <cellStyle name="Comma 3" xfId="3"/>
    <cellStyle name="Comma 3 10" xfId="70"/>
    <cellStyle name="Comma 3 11" xfId="102"/>
    <cellStyle name="Comma 3 12" xfId="77"/>
    <cellStyle name="Comma 3 13" xfId="106"/>
    <cellStyle name="Comma 3 14" xfId="105"/>
    <cellStyle name="Comma 3 15" xfId="110"/>
    <cellStyle name="Comma 3 16" xfId="81"/>
    <cellStyle name="Comma 3 17" xfId="82"/>
    <cellStyle name="Comma 3 18" xfId="67"/>
    <cellStyle name="Comma 3 2" xfId="14"/>
    <cellStyle name="Comma 3 3" xfId="12"/>
    <cellStyle name="Comma 3 4" xfId="11"/>
    <cellStyle name="Comma 3 5" xfId="18"/>
    <cellStyle name="Comma 3 6" xfId="25"/>
    <cellStyle name="Comma 3 7" xfId="32"/>
    <cellStyle name="Comma 3 8" xfId="39"/>
    <cellStyle name="Comma 3 9" xfId="46"/>
    <cellStyle name="Comma 4" xfId="4"/>
    <cellStyle name="Comma 4 10" xfId="71"/>
    <cellStyle name="Comma 4 11" xfId="97"/>
    <cellStyle name="Comma 4 12" xfId="86"/>
    <cellStyle name="Comma 4 13" xfId="98"/>
    <cellStyle name="Comma 4 14" xfId="80"/>
    <cellStyle name="Comma 4 15" xfId="87"/>
    <cellStyle name="Comma 4 16" xfId="90"/>
    <cellStyle name="Comma 4 17" xfId="112"/>
    <cellStyle name="Comma 4 18" xfId="68"/>
    <cellStyle name="Comma 4 2" xfId="15"/>
    <cellStyle name="Comma 4 3" xfId="22"/>
    <cellStyle name="Comma 4 4" xfId="29"/>
    <cellStyle name="Comma 4 5" xfId="36"/>
    <cellStyle name="Comma 4 6" xfId="43"/>
    <cellStyle name="Comma 4 7" xfId="50"/>
    <cellStyle name="Comma 4 8" xfId="56"/>
    <cellStyle name="Comma 4 9" xfId="62"/>
    <cellStyle name="Comma 5" xfId="8"/>
    <cellStyle name="Comma 5 10" xfId="74"/>
    <cellStyle name="Comma 5 11" xfId="73"/>
    <cellStyle name="Comma 5 12" xfId="84"/>
    <cellStyle name="Comma 5 13" xfId="109"/>
    <cellStyle name="Comma 5 14" xfId="92"/>
    <cellStyle name="Comma 5 15" xfId="101"/>
    <cellStyle name="Comma 5 16" xfId="83"/>
    <cellStyle name="Comma 5 17" xfId="115"/>
    <cellStyle name="Comma 5 18" xfId="118"/>
    <cellStyle name="Comma 5 2" xfId="19"/>
    <cellStyle name="Comma 5 3" xfId="26"/>
    <cellStyle name="Comma 5 4" xfId="33"/>
    <cellStyle name="Comma 5 5" xfId="40"/>
    <cellStyle name="Comma 5 6" xfId="47"/>
    <cellStyle name="Comma 5 7" xfId="53"/>
    <cellStyle name="Comma 5 8" xfId="59"/>
    <cellStyle name="Comma 5 9" xfId="64"/>
    <cellStyle name="Comma 6" xfId="131"/>
    <cellStyle name="Comma 6 2" xfId="137"/>
    <cellStyle name="Comma 6 2 2" xfId="142"/>
    <cellStyle name="Comma 6 3" xfId="134"/>
    <cellStyle name="Comma 6 4" xfId="139"/>
    <cellStyle name="Hyperlink" xfId="5" builtinId="8"/>
    <cellStyle name="Hyperlink 2" xfId="10"/>
    <cellStyle name="Hyperlink 2 10" xfId="76"/>
    <cellStyle name="Hyperlink 2 11" xfId="111"/>
    <cellStyle name="Hyperlink 2 12" xfId="78"/>
    <cellStyle name="Hyperlink 2 13" xfId="95"/>
    <cellStyle name="Hyperlink 2 14" xfId="99"/>
    <cellStyle name="Hyperlink 2 15" xfId="100"/>
    <cellStyle name="Hyperlink 2 16" xfId="88"/>
    <cellStyle name="Hyperlink 2 17" xfId="85"/>
    <cellStyle name="Hyperlink 2 18" xfId="103"/>
    <cellStyle name="Hyperlink 2 2" xfId="21"/>
    <cellStyle name="Hyperlink 2 3" xfId="28"/>
    <cellStyle name="Hyperlink 2 4" xfId="35"/>
    <cellStyle name="Hyperlink 2 5" xfId="42"/>
    <cellStyle name="Hyperlink 2 6" xfId="49"/>
    <cellStyle name="Hyperlink 2 7" xfId="55"/>
    <cellStyle name="Hyperlink 2 8" xfId="61"/>
    <cellStyle name="Hyperlink 2 9" xfId="66"/>
    <cellStyle name="Normal" xfId="0" builtinId="0"/>
    <cellStyle name="Normal 2" xfId="6"/>
    <cellStyle name="Normal 2 10" xfId="72"/>
    <cellStyle name="Normal 2 11" xfId="89"/>
    <cellStyle name="Normal 2 12" xfId="114"/>
    <cellStyle name="Normal 2 13" xfId="117"/>
    <cellStyle name="Normal 2 14" xfId="120"/>
    <cellStyle name="Normal 2 15" xfId="122"/>
    <cellStyle name="Normal 2 16" xfId="124"/>
    <cellStyle name="Normal 2 17" xfId="126"/>
    <cellStyle name="Normal 2 18" xfId="128"/>
    <cellStyle name="Normal 2 2" xfId="17"/>
    <cellStyle name="Normal 2 3" xfId="24"/>
    <cellStyle name="Normal 2 4" xfId="31"/>
    <cellStyle name="Normal 2 5" xfId="38"/>
    <cellStyle name="Normal 2 6" xfId="45"/>
    <cellStyle name="Normal 2 7" xfId="52"/>
    <cellStyle name="Normal 2 8" xfId="58"/>
    <cellStyle name="Normal 2 9" xfId="63"/>
    <cellStyle name="Normal 3" xfId="130"/>
    <cellStyle name="Normal 3 2" xfId="136"/>
    <cellStyle name="Normal 3 2 2" xfId="141"/>
    <cellStyle name="Normal 3 3" xfId="133"/>
    <cellStyle name="Normal 3 3 2" xfId="140"/>
    <cellStyle name="Normal 3 4" xfId="138"/>
    <cellStyle name="Normal 4" xfId="132"/>
    <cellStyle name="Normal 5" xfId="143"/>
    <cellStyle name="Percent" xfId="7" builtinId="5"/>
    <cellStyle name="Percent 2" xfId="9"/>
    <cellStyle name="Percent 2 10" xfId="75"/>
    <cellStyle name="Percent 2 11" xfId="113"/>
    <cellStyle name="Percent 2 12" xfId="116"/>
    <cellStyle name="Percent 2 13" xfId="119"/>
    <cellStyle name="Percent 2 14" xfId="121"/>
    <cellStyle name="Percent 2 15" xfId="123"/>
    <cellStyle name="Percent 2 16" xfId="125"/>
    <cellStyle name="Percent 2 17" xfId="127"/>
    <cellStyle name="Percent 2 18" xfId="129"/>
    <cellStyle name="Percent 2 2" xfId="20"/>
    <cellStyle name="Percent 2 3" xfId="27"/>
    <cellStyle name="Percent 2 4" xfId="34"/>
    <cellStyle name="Percent 2 5" xfId="41"/>
    <cellStyle name="Percent 2 6" xfId="48"/>
    <cellStyle name="Percent 2 7" xfId="54"/>
    <cellStyle name="Percent 2 8" xfId="60"/>
    <cellStyle name="Percent 2 9" xfId="65"/>
    <cellStyle name="Percent 3" xfId="13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4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3.xml"/><Relationship Id="rId20" Type="http://schemas.openxmlformats.org/officeDocument/2006/relationships/worksheet" Target="work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2.xml"/><Relationship Id="rId23" Type="http://schemas.openxmlformats.org/officeDocument/2006/relationships/worksheet" Target="worksheets/sheet19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18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"/>
          <c:y val="5.8500000000000003E-2"/>
          <c:w val="0.65749999999999997"/>
          <c:h val="0.8329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Actual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2B2-4B83-874C-896CCBAE8746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Consumption'!$F$22</c:f>
              <c:numCache>
                <c:formatCode>_(* #,##0.00_);_(* \(#,##0.00\);_(* "-"??_);_(@_)</c:formatCode>
                <c:ptCount val="1"/>
                <c:pt idx="0">
                  <c:v>191.37613254248964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1-4E6D-BD01-789BDFB630AD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Budget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2B2-4B83-874C-896CCBAE8746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Consumption'!$G$22</c:f>
              <c:numCache>
                <c:formatCode>#,##0</c:formatCode>
                <c:ptCount val="1"/>
                <c:pt idx="0">
                  <c:v>301.41360252650571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1-4E6D-BD01-789BDFB630AD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FFFF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2B2-4B83-874C-896CCBAE8746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Consumption'!$J$22</c:f>
              <c:numCache>
                <c:formatCode>_(* #,##0.00_);_(* \(#,##0.00\);_(* "-"??_);_(@_)</c:formatCode>
                <c:ptCount val="1"/>
                <c:pt idx="0">
                  <c:v>209.86282166816861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61-4E6D-BD01-789BDFB6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67816"/>
        <c:axId val="431856448"/>
      </c:barChart>
      <c:catAx>
        <c:axId val="431867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431856448"/>
        <c:crossesAt val="0"/>
        <c:auto val="1"/>
        <c:lblAlgn val="ctr"/>
        <c:lblOffset val="100"/>
        <c:tickLblSkip val="1"/>
        <c:noMultiLvlLbl val="0"/>
      </c:catAx>
      <c:valAx>
        <c:axId val="4318564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spPr>
          <a:ln w="9525" cap="flat" cmpd="sng"/>
        </c:spPr>
        <c:crossAx val="431867816"/>
        <c:crossesAt val="1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legend>
      <c:legendPos val="r"/>
      <c:layout>
        <c:manualLayout>
          <c:xMode val="edge"/>
          <c:yMode val="edge"/>
          <c:x val="0.8155"/>
          <c:y val="0.35275000000000001"/>
          <c:w val="0.15975"/>
          <c:h val="0.17324999999999999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25000000000001"/>
          <c:y val="3.7249999999999998E-2"/>
          <c:w val="0.80174999999999996"/>
          <c:h val="0.85175000000000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BF6-4D34-A9E2-4ABC5925A102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Consumption'!$F$10</c:f>
              <c:numCache>
                <c:formatCode>_(* #,##0_);_(* \(#,##0\);_(* "-"??_);_(@_)</c:formatCode>
                <c:ptCount val="1"/>
                <c:pt idx="0">
                  <c:v>295880.00000000466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E-489F-BD46-103D026F5092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BF6-4D34-A9E2-4ABC5925A102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Consumption'!$G$10</c:f>
              <c:numCache>
                <c:formatCode>#,##0</c:formatCode>
                <c:ptCount val="1"/>
                <c:pt idx="0">
                  <c:v>347931.87096774194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3E-489F-BD46-103D026F5092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BF6-4D34-A9E2-4ABC5925A102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Consumption'!$J$10</c:f>
              <c:numCache>
                <c:formatCode>_(* #,##0_);_(* \(#,##0\);_(* "-"_);_(@_)</c:formatCode>
                <c:ptCount val="1"/>
                <c:pt idx="0">
                  <c:v>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3E-489F-BD46-103D026F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57232"/>
        <c:axId val="431867032"/>
      </c:barChart>
      <c:catAx>
        <c:axId val="431857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1867032"/>
        <c:crosses val="autoZero"/>
        <c:auto val="1"/>
        <c:lblAlgn val="ctr"/>
        <c:lblOffset val="100"/>
        <c:noMultiLvlLbl val="0"/>
      </c:catAx>
      <c:valAx>
        <c:axId val="4318670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1857232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8CF-4AF9-B5F9-D1B7EF96B23E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Consumption'!$F$21</c:f>
              <c:numCache>
                <c:formatCode>_(* #,##0_);_(* \(#,##0\);_(* "-"??_);_(@_)</c:formatCode>
                <c:ptCount val="1"/>
                <c:pt idx="0">
                  <c:v>638631.57000000903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F-46B1-9596-BE1B6C260170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8CF-4AF9-B5F9-D1B7EF96B23E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Consumption'!$G$21</c:f>
              <c:numCache>
                <c:formatCode>#,##0</c:formatCode>
                <c:ptCount val="1"/>
                <c:pt idx="0">
                  <c:v>775838.6129032257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F-46B1-9596-BE1B6C260170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8CF-4AF9-B5F9-D1B7EF96B23E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Consumption'!$J$21</c:f>
              <c:numCache>
                <c:formatCode>_(* #,##0_);_(* \(#,##0\);_(* "-"??_);_(@_)</c:formatCode>
                <c:ptCount val="1"/>
                <c:pt idx="0">
                  <c:v>754524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F-46B1-9596-BE1B6C26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61544"/>
        <c:axId val="431859976"/>
      </c:barChart>
      <c:catAx>
        <c:axId val="431861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1859976"/>
        <c:crosses val="autoZero"/>
        <c:auto val="1"/>
        <c:lblAlgn val="ctr"/>
        <c:lblOffset val="100"/>
        <c:noMultiLvlLbl val="0"/>
      </c:catAx>
      <c:valAx>
        <c:axId val="4318599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1861544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5"/>
          <c:y val="5.1499999999999997E-2"/>
          <c:w val="0.85199999999999998"/>
          <c:h val="0.845999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Consumption'!$F$21</c:f>
              <c:strCache>
                <c:ptCount val="1"/>
                <c:pt idx="0">
                  <c:v> 638,632 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500-4A43-BE93-C86CD3FED4DB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Consumption'!$F$14</c:f>
              <c:numCache>
                <c:formatCode>_(* #,##0_);_(* \(#,##0\);_(* "-"??_);_(@_)</c:formatCode>
                <c:ptCount val="1"/>
                <c:pt idx="0">
                  <c:v>2067.9240000000004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7-486E-B659-D739BF06985A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00-4A43-BE93-C86CD3FED4DB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Consumption'!$G$14</c:f>
              <c:numCache>
                <c:formatCode>#,##0</c:formatCode>
                <c:ptCount val="1"/>
                <c:pt idx="0">
                  <c:v>1568.1774193548388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37-486E-B659-D739BF06985A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layout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500-4A43-BE93-C86CD3FED4DB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Consumption'!$J$14</c:f>
              <c:numCache>
                <c:formatCode>_(* #,##0_);_(* \(#,##0\);_(* "-"??_);_(@_)</c:formatCode>
                <c:ptCount val="1"/>
                <c:pt idx="0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37-486E-B659-D739BF06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58016"/>
        <c:axId val="431858408"/>
      </c:barChart>
      <c:catAx>
        <c:axId val="431858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1858408"/>
        <c:crosses val="autoZero"/>
        <c:auto val="1"/>
        <c:lblAlgn val="ctr"/>
        <c:lblOffset val="100"/>
        <c:noMultiLvlLbl val="0"/>
      </c:catAx>
      <c:valAx>
        <c:axId val="4318584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1858016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Electricity Cosumption March 2021</a:t>
            </a:r>
          </a:p>
        </c:rich>
      </c:tx>
      <c:layout>
        <c:manualLayout>
          <c:xMode val="edge"/>
          <c:yMode val="edge"/>
          <c:x val="0.36599999999999999"/>
          <c:y val="2.0250000000000001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999999999999999E-2"/>
          <c:y val="8.9749999999999996E-2"/>
          <c:w val="0.83150000000000002"/>
          <c:h val="0.7694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v>This Year KWH</c:v>
          </c:tx>
          <c:spPr>
            <a:solidFill>
              <a:srgbClr val="FF00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'Reading.5.25'!$AE$6:$AE$36</c:f>
              <c:numCache>
                <c:formatCode>_(* #,##0_);_(* \(#,##0\);_(* "-"??_);_(@_)</c:formatCode>
                <c:ptCount val="31"/>
                <c:pt idx="0">
                  <c:v>37559.999999997672</c:v>
                </c:pt>
                <c:pt idx="1">
                  <c:v>37720.000000001164</c:v>
                </c:pt>
                <c:pt idx="2">
                  <c:v>37240.000000019791</c:v>
                </c:pt>
                <c:pt idx="3">
                  <c:v>37239.999999990687</c:v>
                </c:pt>
                <c:pt idx="4">
                  <c:v>32320.000000006985</c:v>
                </c:pt>
                <c:pt idx="5">
                  <c:v>35720.000000001164</c:v>
                </c:pt>
                <c:pt idx="6">
                  <c:v>39119.999999995343</c:v>
                </c:pt>
                <c:pt idx="7">
                  <c:v>38959.999999991851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634-B2A4-EC46BD3793D6}"/>
            </c:ext>
          </c:extLst>
        </c:ser>
        <c:ser>
          <c:idx val="2"/>
          <c:order val="1"/>
          <c:tx>
            <c:v>Last Year KWH</c:v>
          </c:tx>
          <c:spPr>
            <a:solidFill>
              <a:srgbClr val="FFFF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'Reading.5.25'!$AF$6:$AF$36</c:f>
              <c:numCache>
                <c:formatCode>_(* #,##0_);_(* \(#,##0\);_(* "-"??_);_(@_)</c:formatCode>
                <c:ptCount val="31"/>
                <c:pt idx="0">
                  <c:v>27720.000000001164</c:v>
                </c:pt>
                <c:pt idx="1">
                  <c:v>37119.999999995343</c:v>
                </c:pt>
                <c:pt idx="2">
                  <c:v>36800.000000017462</c:v>
                </c:pt>
                <c:pt idx="3">
                  <c:v>34879.999999975553</c:v>
                </c:pt>
                <c:pt idx="4">
                  <c:v>36240.000000019791</c:v>
                </c:pt>
                <c:pt idx="5">
                  <c:v>32199.999999982538</c:v>
                </c:pt>
                <c:pt idx="6">
                  <c:v>30880.000000004657</c:v>
                </c:pt>
                <c:pt idx="7">
                  <c:v>31679.999999993015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8-4634-B2A4-EC46BD3793D6}"/>
            </c:ext>
          </c:extLst>
        </c:ser>
        <c:ser>
          <c:idx val="1"/>
          <c:order val="5"/>
          <c:tx>
            <c:v>Budget KWH</c:v>
          </c:tx>
          <c:spPr>
            <a:solidFill>
              <a:srgbClr val="0080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'Reading.5.25'!$AG$6:$AG$36</c:f>
              <c:numCache>
                <c:formatCode>_(* #,##0_);_(* \(#,##0\);_(* "-"??_);_(@_)</c:formatCode>
                <c:ptCount val="31"/>
                <c:pt idx="0">
                  <c:v>38659.096774193546</c:v>
                </c:pt>
                <c:pt idx="1">
                  <c:v>38659.096774193546</c:v>
                </c:pt>
                <c:pt idx="2">
                  <c:v>38659.096774193546</c:v>
                </c:pt>
                <c:pt idx="3">
                  <c:v>38659.096774193546</c:v>
                </c:pt>
                <c:pt idx="4">
                  <c:v>38659.096774193546</c:v>
                </c:pt>
                <c:pt idx="5">
                  <c:v>38659.096774193546</c:v>
                </c:pt>
                <c:pt idx="6">
                  <c:v>38659.096774193546</c:v>
                </c:pt>
                <c:pt idx="7">
                  <c:v>38659.096774193546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59192"/>
        <c:axId val="431858800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 cmpd="sng">
              <a:solidFill>
                <a:srgbClr val="0000FF"/>
              </a:solidFill>
              <a:prstDash val="solid"/>
            </a:ln>
            <a:effectLst/>
          </c:spPr>
          <c:marker>
            <c:symbol val="dot"/>
            <c:size val="2"/>
            <c:spPr>
              <a:noFill/>
              <a:ln w="9525" cap="flat" cmpd="sng">
                <a:solidFill>
                  <a:srgbClr val="0000FF"/>
                </a:solidFill>
                <a:prstDash val="solid"/>
              </a:ln>
              <a:effectLst/>
            </c:spPr>
          </c:marke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'Reading.5.25'!$AI$6:$AI$36</c:f>
              <c:numCache>
                <c:formatCode>0.00%</c:formatCode>
                <c:ptCount val="31"/>
                <c:pt idx="0">
                  <c:v>0.86309999999999998</c:v>
                </c:pt>
                <c:pt idx="1">
                  <c:v>0.86309999999999998</c:v>
                </c:pt>
                <c:pt idx="2">
                  <c:v>0.86309999999999998</c:v>
                </c:pt>
                <c:pt idx="3">
                  <c:v>0.74329999999999996</c:v>
                </c:pt>
                <c:pt idx="4">
                  <c:v>0.71860000000000002</c:v>
                </c:pt>
                <c:pt idx="5">
                  <c:v>0.65969999999999995</c:v>
                </c:pt>
                <c:pt idx="6">
                  <c:v>0.84050000000000002</c:v>
                </c:pt>
                <c:pt idx="7">
                  <c:v>0.79279999999999995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8-4634-B2A4-EC46BD3793D6}"/>
            </c:ext>
          </c:extLst>
        </c:ser>
        <c:ser>
          <c:idx val="4"/>
          <c:order val="3"/>
          <c:tx>
            <c:v>Occ. Last Year</c:v>
          </c:tx>
          <c:spPr>
            <a:ln w="25400" cmpd="sng">
              <a:solidFill>
                <a:srgbClr val="FFCC99"/>
              </a:solidFill>
              <a:prstDash val="solid"/>
            </a:ln>
            <a:effectLst/>
          </c:spPr>
          <c:marker>
            <c:symbol val="dot"/>
            <c:size val="2"/>
            <c:spPr>
              <a:noFill/>
              <a:ln w="9525" cap="flat" cmpd="sng">
                <a:solidFill>
                  <a:srgbClr val="FFCC99"/>
                </a:solidFill>
                <a:prstDash val="solid"/>
              </a:ln>
              <a:effectLst/>
            </c:spPr>
          </c:marke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'Reading.5.25'!$AJ$6:$AJ$36</c:f>
              <c:numCache>
                <c:formatCode>0%</c:formatCode>
                <c:ptCount val="31"/>
                <c:pt idx="0">
                  <c:v>0.52090000000000003</c:v>
                </c:pt>
                <c:pt idx="1">
                  <c:v>0.73509999999999998</c:v>
                </c:pt>
                <c:pt idx="2">
                  <c:v>0.75290000000000001</c:v>
                </c:pt>
                <c:pt idx="3">
                  <c:v>0.6179</c:v>
                </c:pt>
                <c:pt idx="4">
                  <c:v>0.55700000000000005</c:v>
                </c:pt>
                <c:pt idx="5">
                  <c:v>0.44679999999999997</c:v>
                </c:pt>
                <c:pt idx="6">
                  <c:v>0.43730000000000002</c:v>
                </c:pt>
                <c:pt idx="7">
                  <c:v>0.46960000000000002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8-4634-B2A4-EC46BD3793D6}"/>
            </c:ext>
          </c:extLst>
        </c:ser>
        <c:ser>
          <c:idx val="6"/>
          <c:order val="4"/>
          <c:tx>
            <c:v>Occ. Budget</c:v>
          </c:tx>
          <c:spPr>
            <a:ln w="25400" cmpd="sng">
              <a:solidFill>
                <a:srgbClr val="FF6600"/>
              </a:solidFill>
              <a:prstDash val="solid"/>
            </a:ln>
            <a:effectLst/>
          </c:spPr>
          <c:marker>
            <c:symbol val="dot"/>
            <c:size val="7"/>
            <c:spPr>
              <a:noFill/>
              <a:ln w="9525" cap="flat" cmpd="sng">
                <a:solidFill>
                  <a:srgbClr val="993366"/>
                </a:solidFill>
                <a:prstDash val="solid"/>
              </a:ln>
              <a:effectLst/>
            </c:spPr>
          </c:marke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'Reading.5.25'!$AK$6:$AK$36</c:f>
              <c:numCache>
                <c:formatCode>0%</c:formatCode>
                <c:ptCount val="31"/>
                <c:pt idx="0">
                  <c:v>0.54500000000000004</c:v>
                </c:pt>
                <c:pt idx="1">
                  <c:v>0.54500000000000004</c:v>
                </c:pt>
                <c:pt idx="2">
                  <c:v>0.54500000000000004</c:v>
                </c:pt>
                <c:pt idx="3">
                  <c:v>0.54500000000000004</c:v>
                </c:pt>
                <c:pt idx="4">
                  <c:v>0.54500000000000004</c:v>
                </c:pt>
                <c:pt idx="5">
                  <c:v>0.54500000000000004</c:v>
                </c:pt>
                <c:pt idx="6">
                  <c:v>0.54500000000000004</c:v>
                </c:pt>
                <c:pt idx="7">
                  <c:v>0.54500000000000004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68600"/>
        <c:axId val="431866248"/>
      </c:lineChart>
      <c:dateAx>
        <c:axId val="431859192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25000000000002"/>
              <c:y val="0.9117499999999999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58800"/>
        <c:crosses val="autoZero"/>
        <c:auto val="1"/>
        <c:lblOffset val="100"/>
        <c:baseTimeUnit val="days"/>
        <c:majorUnit val="1"/>
        <c:minorUnit val="1"/>
        <c:minorTimeUnit val="days"/>
      </c:dateAx>
      <c:valAx>
        <c:axId val="431858800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4.8500000000000001E-2"/>
              <c:y val="2.8750000000000001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59192"/>
        <c:crosses val="autoZero"/>
        <c:crossBetween val="between"/>
      </c:valAx>
      <c:dateAx>
        <c:axId val="4318686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31866248"/>
        <c:crosses val="autoZero"/>
        <c:auto val="1"/>
        <c:lblOffset val="100"/>
        <c:baseTimeUnit val="days"/>
      </c:dateAx>
      <c:valAx>
        <c:axId val="431866248"/>
        <c:scaling>
          <c:orientation val="minMax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0000000000003"/>
              <c:y val="2.1999999999999999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8600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12825"/>
          <c:y val="0.95425000000000004"/>
          <c:w val="0.75700000000000001"/>
          <c:h val="4.0750000000000001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Boiler Gas Consumption March 2021</a:t>
            </a:r>
          </a:p>
        </c:rich>
      </c:tx>
      <c:layout>
        <c:manualLayout>
          <c:xMode val="edge"/>
          <c:yMode val="edge"/>
          <c:x val="0.34250000000000003"/>
          <c:y val="2.4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25E-2"/>
          <c:y val="0.12225"/>
          <c:w val="0.86899999999999999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This Year Consumption</c:v>
          </c:tx>
          <c:spPr>
            <a:solidFill>
              <a:srgbClr val="E7E2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'Reading.5.25'!$O$6:$O$36</c:f>
              <c:numCache>
                <c:formatCode>_(* #,##0_);_(* \(#,##0\);_(* "-"??_);_(@_)</c:formatCode>
                <c:ptCount val="31"/>
                <c:pt idx="0">
                  <c:v>682.28000000000009</c:v>
                </c:pt>
                <c:pt idx="1">
                  <c:v>673.06000000000006</c:v>
                </c:pt>
                <c:pt idx="2">
                  <c:v>682.28000000000009</c:v>
                </c:pt>
                <c:pt idx="3">
                  <c:v>668.45</c:v>
                </c:pt>
                <c:pt idx="4">
                  <c:v>659.23</c:v>
                </c:pt>
                <c:pt idx="5">
                  <c:v>608.5200000000001</c:v>
                </c:pt>
                <c:pt idx="6">
                  <c:v>622.35</c:v>
                </c:pt>
                <c:pt idx="7">
                  <c:v>709.94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31862328"/>
        <c:axId val="431865072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000080"/>
              </a:solidFill>
              <a:prstDash val="solid"/>
            </a:ln>
            <a:effectLst/>
          </c:spP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'Reading.5.25'!$AI$6:$AI$36</c:f>
              <c:numCache>
                <c:formatCode>0.00%</c:formatCode>
                <c:ptCount val="31"/>
                <c:pt idx="0">
                  <c:v>0.86309999999999998</c:v>
                </c:pt>
                <c:pt idx="1">
                  <c:v>0.86309999999999998</c:v>
                </c:pt>
                <c:pt idx="2">
                  <c:v>0.86309999999999998</c:v>
                </c:pt>
                <c:pt idx="3">
                  <c:v>0.74329999999999996</c:v>
                </c:pt>
                <c:pt idx="4">
                  <c:v>0.71860000000000002</c:v>
                </c:pt>
                <c:pt idx="5">
                  <c:v>0.65969999999999995</c:v>
                </c:pt>
                <c:pt idx="6">
                  <c:v>0.84050000000000002</c:v>
                </c:pt>
                <c:pt idx="7">
                  <c:v>0.79279999999999995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66640"/>
        <c:axId val="431862720"/>
      </c:lineChart>
      <c:dateAx>
        <c:axId val="431862328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51275000000000004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5072"/>
        <c:crosses val="autoZero"/>
        <c:auto val="1"/>
        <c:lblOffset val="100"/>
        <c:baseTimeUnit val="days"/>
        <c:majorUnit val="1"/>
        <c:minorUnit val="1"/>
        <c:minorTimeUnit val="days"/>
      </c:dateAx>
      <c:valAx>
        <c:axId val="431865072"/>
        <c:scaling>
          <c:orientation val="minMax"/>
          <c:max val="200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25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2328"/>
        <c:crosses val="autoZero"/>
        <c:crossBetween val="between"/>
      </c:valAx>
      <c:dateAx>
        <c:axId val="431866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31862720"/>
        <c:crosses val="autoZero"/>
        <c:auto val="1"/>
        <c:lblOffset val="100"/>
        <c:baseTimeUnit val="days"/>
      </c:dateAx>
      <c:valAx>
        <c:axId val="4318627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9525" cap="flat" cmpd="sng"/>
        </c:spPr>
        <c:crossAx val="431866640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40949999999999998"/>
          <c:y val="0.95425000000000004"/>
          <c:w val="0.23749999999999999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Kitchen Gas Consumption March 2021</a:t>
            </a:r>
          </a:p>
        </c:rich>
      </c:tx>
      <c:layout>
        <c:manualLayout>
          <c:xMode val="edge"/>
          <c:yMode val="edge"/>
          <c:x val="0.34075"/>
          <c:y val="2.5999999999999999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2250000000000004E-2"/>
          <c:y val="0.12225"/>
          <c:w val="0.84799999999999998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Kitchen Gas Consumption</c:v>
          </c:tx>
          <c:spPr>
            <a:solidFill>
              <a:srgbClr val="FFFF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'Reading.5.25'!$K$6:$K$36</c:f>
              <c:numCache>
                <c:formatCode>_(* #,##0_);_(* \(#,##0\);_(* "-"??_);_(@_)</c:formatCode>
                <c:ptCount val="31"/>
                <c:pt idx="0">
                  <c:v>252.072</c:v>
                </c:pt>
                <c:pt idx="1">
                  <c:v>424.78800000000001</c:v>
                </c:pt>
                <c:pt idx="2">
                  <c:v>126.036</c:v>
                </c:pt>
                <c:pt idx="3">
                  <c:v>224.06400000000002</c:v>
                </c:pt>
                <c:pt idx="4">
                  <c:v>256.74</c:v>
                </c:pt>
                <c:pt idx="5">
                  <c:v>242.73600000000002</c:v>
                </c:pt>
                <c:pt idx="6">
                  <c:v>270.74400000000003</c:v>
                </c:pt>
                <c:pt idx="7">
                  <c:v>270.74400000000003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63896"/>
        <c:axId val="431864288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'Reading.5.25'!$AI$6:$AI$36</c:f>
              <c:numCache>
                <c:formatCode>0.00%</c:formatCode>
                <c:ptCount val="31"/>
                <c:pt idx="0">
                  <c:v>0.86309999999999998</c:v>
                </c:pt>
                <c:pt idx="1">
                  <c:v>0.86309999999999998</c:v>
                </c:pt>
                <c:pt idx="2">
                  <c:v>0.86309999999999998</c:v>
                </c:pt>
                <c:pt idx="3">
                  <c:v>0.74329999999999996</c:v>
                </c:pt>
                <c:pt idx="4">
                  <c:v>0.71860000000000002</c:v>
                </c:pt>
                <c:pt idx="5">
                  <c:v>0.65969999999999995</c:v>
                </c:pt>
                <c:pt idx="6">
                  <c:v>0.84050000000000002</c:v>
                </c:pt>
                <c:pt idx="7">
                  <c:v>0.79279999999999995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65464"/>
        <c:axId val="431867424"/>
      </c:lineChart>
      <c:catAx>
        <c:axId val="431863896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049999999999999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4288"/>
        <c:crosses val="autoZero"/>
        <c:auto val="0"/>
        <c:lblAlgn val="ctr"/>
        <c:lblOffset val="100"/>
        <c:tickLblSkip val="1"/>
        <c:noMultiLvlLbl val="0"/>
      </c:catAx>
      <c:valAx>
        <c:axId val="431864288"/>
        <c:scaling>
          <c:orientation val="minMax"/>
          <c:max val="40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25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3896"/>
        <c:crosses val="autoZero"/>
        <c:crossBetween val="between"/>
      </c:valAx>
      <c:catAx>
        <c:axId val="4318654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31867424"/>
        <c:crosses val="autoZero"/>
        <c:auto val="0"/>
        <c:lblAlgn val="ctr"/>
        <c:lblOffset val="100"/>
        <c:noMultiLvlLbl val="0"/>
      </c:catAx>
      <c:valAx>
        <c:axId val="431867424"/>
        <c:scaling>
          <c:orientation val="minMax"/>
          <c:min val="0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900000000000004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5464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35625000000000001"/>
          <c:y val="0.95425000000000004"/>
          <c:w val="0.30075000000000002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Water Consumption March 2021</a:t>
            </a:r>
          </a:p>
        </c:rich>
      </c:tx>
      <c:layout>
        <c:manualLayout>
          <c:xMode val="edge"/>
          <c:yMode val="edge"/>
          <c:x val="0.36849999999999999"/>
          <c:y val="1.95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249999999999995E-2"/>
          <c:y val="0.12225"/>
          <c:w val="0.85675000000000001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Water Consumption</c:v>
          </c:tx>
          <c:spPr>
            <a:solidFill>
              <a:srgbClr val="00B05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'Reading.5.25'!$G$6:$G$36</c:f>
              <c:numCache>
                <c:formatCode>General</c:formatCode>
                <c:ptCount val="31"/>
                <c:pt idx="0">
                  <c:v>704</c:v>
                </c:pt>
                <c:pt idx="1">
                  <c:v>712</c:v>
                </c:pt>
                <c:pt idx="2">
                  <c:v>576</c:v>
                </c:pt>
                <c:pt idx="3">
                  <c:v>719</c:v>
                </c:pt>
                <c:pt idx="4">
                  <c:v>688</c:v>
                </c:pt>
                <c:pt idx="5">
                  <c:v>644</c:v>
                </c:pt>
                <c:pt idx="6">
                  <c:v>707</c:v>
                </c:pt>
                <c:pt idx="7">
                  <c:v>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870560"/>
        <c:axId val="431869384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003366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'Reading.5.25'!$A$6:$A$36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'Reading.5.25'!$AI$6:$AI$36</c:f>
              <c:numCache>
                <c:formatCode>0.00%</c:formatCode>
                <c:ptCount val="31"/>
                <c:pt idx="0">
                  <c:v>0.86309999999999998</c:v>
                </c:pt>
                <c:pt idx="1">
                  <c:v>0.86309999999999998</c:v>
                </c:pt>
                <c:pt idx="2">
                  <c:v>0.86309999999999998</c:v>
                </c:pt>
                <c:pt idx="3">
                  <c:v>0.74329999999999996</c:v>
                </c:pt>
                <c:pt idx="4">
                  <c:v>0.71860000000000002</c:v>
                </c:pt>
                <c:pt idx="5">
                  <c:v>0.65969999999999995</c:v>
                </c:pt>
                <c:pt idx="6">
                  <c:v>0.84050000000000002</c:v>
                </c:pt>
                <c:pt idx="7">
                  <c:v>0.79279999999999995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72128"/>
        <c:axId val="431871736"/>
      </c:lineChart>
      <c:catAx>
        <c:axId val="431870560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8499999999999999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69384"/>
        <c:crosses val="autoZero"/>
        <c:auto val="0"/>
        <c:lblAlgn val="ctr"/>
        <c:lblOffset val="100"/>
        <c:tickLblSkip val="1"/>
        <c:noMultiLvlLbl val="0"/>
      </c:catAx>
      <c:valAx>
        <c:axId val="431869384"/>
        <c:scaling>
          <c:orientation val="minMax"/>
          <c:max val="85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2249999999999999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70560"/>
        <c:crosses val="autoZero"/>
        <c:crossBetween val="between"/>
      </c:valAx>
      <c:catAx>
        <c:axId val="4318721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31871736"/>
        <c:crosses val="autoZero"/>
        <c:auto val="0"/>
        <c:lblAlgn val="ctr"/>
        <c:lblOffset val="100"/>
        <c:noMultiLvlLbl val="0"/>
      </c:catAx>
      <c:valAx>
        <c:axId val="431871736"/>
        <c:scaling>
          <c:orientation val="minMax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774999999999995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1872128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37624999999999997"/>
          <c:y val="0.95599999999999996"/>
          <c:w val="0.25974999999999998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42</c:v>
                </c:pt>
                <c:pt idx="2">
                  <c:v>38</c:v>
                </c:pt>
                <c:pt idx="3">
                  <c:v>39</c:v>
                </c:pt>
                <c:pt idx="4">
                  <c:v>38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38</c:v>
                </c:pt>
                <c:pt idx="9">
                  <c:v>41</c:v>
                </c:pt>
                <c:pt idx="10">
                  <c:v>36</c:v>
                </c:pt>
                <c:pt idx="11">
                  <c:v>38</c:v>
                </c:pt>
                <c:pt idx="12">
                  <c:v>35</c:v>
                </c:pt>
                <c:pt idx="13">
                  <c:v>40</c:v>
                </c:pt>
                <c:pt idx="14">
                  <c:v>43</c:v>
                </c:pt>
                <c:pt idx="15">
                  <c:v>42</c:v>
                </c:pt>
                <c:pt idx="16">
                  <c:v>36</c:v>
                </c:pt>
                <c:pt idx="17">
                  <c:v>37</c:v>
                </c:pt>
                <c:pt idx="18">
                  <c:v>52</c:v>
                </c:pt>
                <c:pt idx="19">
                  <c:v>40</c:v>
                </c:pt>
                <c:pt idx="20">
                  <c:v>43</c:v>
                </c:pt>
                <c:pt idx="21">
                  <c:v>34</c:v>
                </c:pt>
                <c:pt idx="22">
                  <c:v>35</c:v>
                </c:pt>
                <c:pt idx="23">
                  <c:v>28</c:v>
                </c:pt>
                <c:pt idx="24">
                  <c:v>37</c:v>
                </c:pt>
                <c:pt idx="25">
                  <c:v>37</c:v>
                </c:pt>
                <c:pt idx="26">
                  <c:v>36</c:v>
                </c:pt>
                <c:pt idx="27">
                  <c:v>36</c:v>
                </c:pt>
                <c:pt idx="28">
                  <c:v>31</c:v>
                </c:pt>
                <c:pt idx="29">
                  <c:v>31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A-4963-AC35-A755FCDD7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69776"/>
        <c:axId val="431870168"/>
      </c:barChart>
      <c:catAx>
        <c:axId val="43186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70168"/>
        <c:crosses val="autoZero"/>
        <c:auto val="1"/>
        <c:lblAlgn val="ctr"/>
        <c:lblOffset val="100"/>
        <c:noMultiLvlLbl val="0"/>
      </c:catAx>
      <c:valAx>
        <c:axId val="43187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6977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40</c:v>
                </c:pt>
                <c:pt idx="2">
                  <c:v>32</c:v>
                </c:pt>
                <c:pt idx="3">
                  <c:v>40</c:v>
                </c:pt>
                <c:pt idx="4">
                  <c:v>38</c:v>
                </c:pt>
                <c:pt idx="5">
                  <c:v>29</c:v>
                </c:pt>
                <c:pt idx="6">
                  <c:v>35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35</c:v>
                </c:pt>
                <c:pt idx="12">
                  <c:v>29</c:v>
                </c:pt>
                <c:pt idx="13">
                  <c:v>32</c:v>
                </c:pt>
                <c:pt idx="14">
                  <c:v>33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38</c:v>
                </c:pt>
                <c:pt idx="19">
                  <c:v>34</c:v>
                </c:pt>
                <c:pt idx="20">
                  <c:v>31</c:v>
                </c:pt>
                <c:pt idx="21">
                  <c:v>33</c:v>
                </c:pt>
                <c:pt idx="22">
                  <c:v>30</c:v>
                </c:pt>
                <c:pt idx="23">
                  <c:v>31</c:v>
                </c:pt>
                <c:pt idx="24">
                  <c:v>34</c:v>
                </c:pt>
                <c:pt idx="25">
                  <c:v>32</c:v>
                </c:pt>
                <c:pt idx="26">
                  <c:v>30</c:v>
                </c:pt>
                <c:pt idx="27">
                  <c:v>26</c:v>
                </c:pt>
                <c:pt idx="28">
                  <c:v>31</c:v>
                </c:pt>
                <c:pt idx="2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5-4C05-ADE0-99A6C357F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347736"/>
        <c:axId val="371350088"/>
      </c:barChart>
      <c:catAx>
        <c:axId val="37134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50088"/>
        <c:crosses val="autoZero"/>
        <c:auto val="1"/>
        <c:lblAlgn val="ctr"/>
        <c:lblOffset val="100"/>
        <c:noMultiLvlLbl val="0"/>
      </c:catAx>
      <c:valAx>
        <c:axId val="37135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4773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31</c:v>
                </c:pt>
                <c:pt idx="1">
                  <c:v>37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20</c:v>
                </c:pt>
                <c:pt idx="9">
                  <c:v>31</c:v>
                </c:pt>
                <c:pt idx="10">
                  <c:v>42</c:v>
                </c:pt>
                <c:pt idx="11">
                  <c:v>33</c:v>
                </c:pt>
                <c:pt idx="12">
                  <c:v>36</c:v>
                </c:pt>
                <c:pt idx="13">
                  <c:v>33</c:v>
                </c:pt>
                <c:pt idx="14">
                  <c:v>32</c:v>
                </c:pt>
                <c:pt idx="15">
                  <c:v>36</c:v>
                </c:pt>
                <c:pt idx="16">
                  <c:v>34</c:v>
                </c:pt>
                <c:pt idx="17">
                  <c:v>30</c:v>
                </c:pt>
                <c:pt idx="18">
                  <c:v>35</c:v>
                </c:pt>
                <c:pt idx="19">
                  <c:v>39</c:v>
                </c:pt>
                <c:pt idx="20">
                  <c:v>29</c:v>
                </c:pt>
                <c:pt idx="21">
                  <c:v>31</c:v>
                </c:pt>
                <c:pt idx="22">
                  <c:v>36</c:v>
                </c:pt>
                <c:pt idx="23">
                  <c:v>30</c:v>
                </c:pt>
                <c:pt idx="24">
                  <c:v>38</c:v>
                </c:pt>
                <c:pt idx="25">
                  <c:v>50</c:v>
                </c:pt>
                <c:pt idx="26">
                  <c:v>52</c:v>
                </c:pt>
                <c:pt idx="27">
                  <c:v>55</c:v>
                </c:pt>
                <c:pt idx="28">
                  <c:v>52</c:v>
                </c:pt>
                <c:pt idx="29">
                  <c:v>63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F-4C0C-BEE1-E9B0099F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921672"/>
        <c:axId val="434824712"/>
      </c:barChart>
      <c:catAx>
        <c:axId val="42692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4712"/>
        <c:crosses val="autoZero"/>
        <c:auto val="1"/>
        <c:lblAlgn val="ctr"/>
        <c:lblOffset val="100"/>
        <c:noMultiLvlLbl val="0"/>
      </c:catAx>
      <c:valAx>
        <c:axId val="43482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216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49</c:v>
                </c:pt>
                <c:pt idx="1">
                  <c:v>54</c:v>
                </c:pt>
                <c:pt idx="2">
                  <c:v>52</c:v>
                </c:pt>
                <c:pt idx="3">
                  <c:v>60</c:v>
                </c:pt>
                <c:pt idx="4">
                  <c:v>46</c:v>
                </c:pt>
                <c:pt idx="5">
                  <c:v>45</c:v>
                </c:pt>
                <c:pt idx="6">
                  <c:v>30</c:v>
                </c:pt>
                <c:pt idx="7">
                  <c:v>36</c:v>
                </c:pt>
                <c:pt idx="8">
                  <c:v>39</c:v>
                </c:pt>
                <c:pt idx="9">
                  <c:v>34</c:v>
                </c:pt>
                <c:pt idx="10">
                  <c:v>39</c:v>
                </c:pt>
                <c:pt idx="11">
                  <c:v>29</c:v>
                </c:pt>
                <c:pt idx="12">
                  <c:v>43</c:v>
                </c:pt>
                <c:pt idx="13">
                  <c:v>36</c:v>
                </c:pt>
                <c:pt idx="14">
                  <c:v>39</c:v>
                </c:pt>
                <c:pt idx="15">
                  <c:v>39</c:v>
                </c:pt>
                <c:pt idx="16">
                  <c:v>43</c:v>
                </c:pt>
                <c:pt idx="17">
                  <c:v>31</c:v>
                </c:pt>
                <c:pt idx="18">
                  <c:v>31</c:v>
                </c:pt>
                <c:pt idx="19">
                  <c:v>54</c:v>
                </c:pt>
                <c:pt idx="20">
                  <c:v>39</c:v>
                </c:pt>
                <c:pt idx="21">
                  <c:v>31</c:v>
                </c:pt>
                <c:pt idx="22">
                  <c:v>41</c:v>
                </c:pt>
                <c:pt idx="23">
                  <c:v>39</c:v>
                </c:pt>
                <c:pt idx="24">
                  <c:v>41</c:v>
                </c:pt>
                <c:pt idx="25">
                  <c:v>37</c:v>
                </c:pt>
                <c:pt idx="26">
                  <c:v>45</c:v>
                </c:pt>
                <c:pt idx="27">
                  <c:v>41</c:v>
                </c:pt>
                <c:pt idx="28">
                  <c:v>44</c:v>
                </c:pt>
                <c:pt idx="29">
                  <c:v>39</c:v>
                </c:pt>
                <c:pt idx="3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5-48FD-8AED-E6D9A42F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3536"/>
        <c:axId val="434817656"/>
      </c:barChart>
      <c:catAx>
        <c:axId val="43482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7656"/>
        <c:crosses val="autoZero"/>
        <c:auto val="1"/>
        <c:lblAlgn val="ctr"/>
        <c:lblOffset val="100"/>
        <c:noMultiLvlLbl val="0"/>
      </c:catAx>
      <c:valAx>
        <c:axId val="43481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353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39</c:v>
                </c:pt>
                <c:pt idx="1">
                  <c:v>41</c:v>
                </c:pt>
                <c:pt idx="2">
                  <c:v>45</c:v>
                </c:pt>
                <c:pt idx="3">
                  <c:v>42</c:v>
                </c:pt>
                <c:pt idx="4">
                  <c:v>34</c:v>
                </c:pt>
                <c:pt idx="5">
                  <c:v>40</c:v>
                </c:pt>
                <c:pt idx="6">
                  <c:v>28</c:v>
                </c:pt>
                <c:pt idx="7">
                  <c:v>39</c:v>
                </c:pt>
                <c:pt idx="8">
                  <c:v>32</c:v>
                </c:pt>
                <c:pt idx="9">
                  <c:v>38</c:v>
                </c:pt>
                <c:pt idx="10">
                  <c:v>35</c:v>
                </c:pt>
                <c:pt idx="11">
                  <c:v>31</c:v>
                </c:pt>
                <c:pt idx="12">
                  <c:v>35</c:v>
                </c:pt>
                <c:pt idx="13">
                  <c:v>36</c:v>
                </c:pt>
                <c:pt idx="14">
                  <c:v>34</c:v>
                </c:pt>
                <c:pt idx="15">
                  <c:v>40</c:v>
                </c:pt>
                <c:pt idx="16">
                  <c:v>44</c:v>
                </c:pt>
                <c:pt idx="17">
                  <c:v>32</c:v>
                </c:pt>
                <c:pt idx="18">
                  <c:v>30</c:v>
                </c:pt>
                <c:pt idx="19">
                  <c:v>36</c:v>
                </c:pt>
                <c:pt idx="20">
                  <c:v>39</c:v>
                </c:pt>
                <c:pt idx="21">
                  <c:v>37</c:v>
                </c:pt>
                <c:pt idx="22">
                  <c:v>37</c:v>
                </c:pt>
                <c:pt idx="23">
                  <c:v>47</c:v>
                </c:pt>
                <c:pt idx="24">
                  <c:v>47</c:v>
                </c:pt>
                <c:pt idx="25">
                  <c:v>17</c:v>
                </c:pt>
                <c:pt idx="26">
                  <c:v>34</c:v>
                </c:pt>
                <c:pt idx="2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E-49F0-B3EB-B0532F26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0792"/>
        <c:axId val="434818048"/>
      </c:barChart>
      <c:catAx>
        <c:axId val="43482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8048"/>
        <c:crosses val="autoZero"/>
        <c:auto val="1"/>
        <c:lblAlgn val="ctr"/>
        <c:lblOffset val="100"/>
        <c:noMultiLvlLbl val="0"/>
      </c:catAx>
      <c:valAx>
        <c:axId val="4348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079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36</c:v>
                </c:pt>
                <c:pt idx="1">
                  <c:v>37</c:v>
                </c:pt>
                <c:pt idx="2">
                  <c:v>43</c:v>
                </c:pt>
                <c:pt idx="3">
                  <c:v>36</c:v>
                </c:pt>
                <c:pt idx="4">
                  <c:v>39</c:v>
                </c:pt>
                <c:pt idx="5">
                  <c:v>38</c:v>
                </c:pt>
                <c:pt idx="6">
                  <c:v>31</c:v>
                </c:pt>
                <c:pt idx="7">
                  <c:v>37</c:v>
                </c:pt>
                <c:pt idx="8">
                  <c:v>36</c:v>
                </c:pt>
                <c:pt idx="9">
                  <c:v>41</c:v>
                </c:pt>
                <c:pt idx="10">
                  <c:v>34</c:v>
                </c:pt>
                <c:pt idx="11">
                  <c:v>39</c:v>
                </c:pt>
                <c:pt idx="12">
                  <c:v>40</c:v>
                </c:pt>
                <c:pt idx="13">
                  <c:v>38</c:v>
                </c:pt>
                <c:pt idx="14">
                  <c:v>34</c:v>
                </c:pt>
                <c:pt idx="15">
                  <c:v>37</c:v>
                </c:pt>
                <c:pt idx="16">
                  <c:v>44</c:v>
                </c:pt>
                <c:pt idx="17">
                  <c:v>35</c:v>
                </c:pt>
                <c:pt idx="18">
                  <c:v>42</c:v>
                </c:pt>
                <c:pt idx="19">
                  <c:v>39</c:v>
                </c:pt>
                <c:pt idx="20">
                  <c:v>35</c:v>
                </c:pt>
                <c:pt idx="21">
                  <c:v>30</c:v>
                </c:pt>
                <c:pt idx="22">
                  <c:v>35</c:v>
                </c:pt>
                <c:pt idx="23">
                  <c:v>42</c:v>
                </c:pt>
                <c:pt idx="24">
                  <c:v>40</c:v>
                </c:pt>
                <c:pt idx="25">
                  <c:v>39</c:v>
                </c:pt>
                <c:pt idx="26">
                  <c:v>41</c:v>
                </c:pt>
                <c:pt idx="27">
                  <c:v>41</c:v>
                </c:pt>
                <c:pt idx="28">
                  <c:v>40</c:v>
                </c:pt>
                <c:pt idx="29">
                  <c:v>33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8-4441-966F-474B12BA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0008"/>
        <c:axId val="434821184"/>
      </c:barChart>
      <c:catAx>
        <c:axId val="43482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1184"/>
        <c:crosses val="autoZero"/>
        <c:auto val="1"/>
        <c:lblAlgn val="ctr"/>
        <c:lblOffset val="100"/>
        <c:noMultiLvlLbl val="0"/>
      </c:catAx>
      <c:valAx>
        <c:axId val="4348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00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42</c:v>
                </c:pt>
                <c:pt idx="2">
                  <c:v>39</c:v>
                </c:pt>
                <c:pt idx="3">
                  <c:v>36</c:v>
                </c:pt>
                <c:pt idx="4">
                  <c:v>33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37</c:v>
                </c:pt>
                <c:pt idx="11">
                  <c:v>37</c:v>
                </c:pt>
                <c:pt idx="12">
                  <c:v>31</c:v>
                </c:pt>
                <c:pt idx="13">
                  <c:v>31</c:v>
                </c:pt>
                <c:pt idx="14">
                  <c:v>35</c:v>
                </c:pt>
                <c:pt idx="15">
                  <c:v>28</c:v>
                </c:pt>
                <c:pt idx="16">
                  <c:v>31</c:v>
                </c:pt>
                <c:pt idx="17">
                  <c:v>32</c:v>
                </c:pt>
                <c:pt idx="18">
                  <c:v>28</c:v>
                </c:pt>
                <c:pt idx="19">
                  <c:v>29</c:v>
                </c:pt>
                <c:pt idx="20">
                  <c:v>35</c:v>
                </c:pt>
                <c:pt idx="21">
                  <c:v>28</c:v>
                </c:pt>
                <c:pt idx="22">
                  <c:v>25</c:v>
                </c:pt>
                <c:pt idx="23">
                  <c:v>31</c:v>
                </c:pt>
                <c:pt idx="24">
                  <c:v>30</c:v>
                </c:pt>
                <c:pt idx="25">
                  <c:v>35</c:v>
                </c:pt>
                <c:pt idx="26">
                  <c:v>28</c:v>
                </c:pt>
                <c:pt idx="27">
                  <c:v>32</c:v>
                </c:pt>
                <c:pt idx="28">
                  <c:v>33</c:v>
                </c:pt>
                <c:pt idx="2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9-47C9-AD10-9C7027D1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18832"/>
        <c:axId val="434826280"/>
      </c:barChart>
      <c:catAx>
        <c:axId val="4348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6280"/>
        <c:crosses val="autoZero"/>
        <c:auto val="1"/>
        <c:lblAlgn val="ctr"/>
        <c:lblOffset val="100"/>
        <c:noMultiLvlLbl val="0"/>
      </c:catAx>
      <c:valAx>
        <c:axId val="43482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883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37</c:v>
                </c:pt>
                <c:pt idx="1">
                  <c:v>33</c:v>
                </c:pt>
                <c:pt idx="2">
                  <c:v>40</c:v>
                </c:pt>
                <c:pt idx="3">
                  <c:v>28</c:v>
                </c:pt>
                <c:pt idx="4">
                  <c:v>37</c:v>
                </c:pt>
                <c:pt idx="5">
                  <c:v>33</c:v>
                </c:pt>
                <c:pt idx="6">
                  <c:v>26</c:v>
                </c:pt>
                <c:pt idx="7">
                  <c:v>24</c:v>
                </c:pt>
                <c:pt idx="8">
                  <c:v>38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35</c:v>
                </c:pt>
                <c:pt idx="13">
                  <c:v>41</c:v>
                </c:pt>
                <c:pt idx="14">
                  <c:v>62</c:v>
                </c:pt>
                <c:pt idx="15">
                  <c:v>23</c:v>
                </c:pt>
                <c:pt idx="16">
                  <c:v>39</c:v>
                </c:pt>
                <c:pt idx="17">
                  <c:v>35</c:v>
                </c:pt>
                <c:pt idx="18">
                  <c:v>39</c:v>
                </c:pt>
                <c:pt idx="19">
                  <c:v>38</c:v>
                </c:pt>
                <c:pt idx="20">
                  <c:v>34</c:v>
                </c:pt>
                <c:pt idx="21">
                  <c:v>41</c:v>
                </c:pt>
                <c:pt idx="22">
                  <c:v>36</c:v>
                </c:pt>
                <c:pt idx="23">
                  <c:v>32</c:v>
                </c:pt>
                <c:pt idx="24">
                  <c:v>34</c:v>
                </c:pt>
                <c:pt idx="25">
                  <c:v>42</c:v>
                </c:pt>
                <c:pt idx="26">
                  <c:v>35</c:v>
                </c:pt>
                <c:pt idx="27">
                  <c:v>34</c:v>
                </c:pt>
                <c:pt idx="28">
                  <c:v>36</c:v>
                </c:pt>
                <c:pt idx="29">
                  <c:v>32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F-4850-95C7-C4A1CA80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18440"/>
        <c:axId val="434823144"/>
      </c:barChart>
      <c:catAx>
        <c:axId val="43481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3144"/>
        <c:crosses val="autoZero"/>
        <c:auto val="1"/>
        <c:lblAlgn val="ctr"/>
        <c:lblOffset val="100"/>
        <c:noMultiLvlLbl val="0"/>
      </c:catAx>
      <c:valAx>
        <c:axId val="43482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84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0"/>
                <c:pt idx="0">
                  <c:v>37</c:v>
                </c:pt>
                <c:pt idx="1">
                  <c:v>37</c:v>
                </c:pt>
                <c:pt idx="2">
                  <c:v>33</c:v>
                </c:pt>
                <c:pt idx="3">
                  <c:v>43</c:v>
                </c:pt>
                <c:pt idx="4">
                  <c:v>35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  <c:pt idx="8">
                  <c:v>37</c:v>
                </c:pt>
                <c:pt idx="9">
                  <c:v>34</c:v>
                </c:pt>
                <c:pt idx="10">
                  <c:v>37</c:v>
                </c:pt>
                <c:pt idx="11">
                  <c:v>37</c:v>
                </c:pt>
                <c:pt idx="12">
                  <c:v>32</c:v>
                </c:pt>
                <c:pt idx="13">
                  <c:v>32</c:v>
                </c:pt>
                <c:pt idx="14">
                  <c:v>35</c:v>
                </c:pt>
                <c:pt idx="15">
                  <c:v>41</c:v>
                </c:pt>
                <c:pt idx="16">
                  <c:v>42</c:v>
                </c:pt>
                <c:pt idx="17">
                  <c:v>28</c:v>
                </c:pt>
                <c:pt idx="18">
                  <c:v>35</c:v>
                </c:pt>
                <c:pt idx="19">
                  <c:v>45</c:v>
                </c:pt>
                <c:pt idx="20">
                  <c:v>35</c:v>
                </c:pt>
                <c:pt idx="21">
                  <c:v>29</c:v>
                </c:pt>
                <c:pt idx="22">
                  <c:v>44</c:v>
                </c:pt>
                <c:pt idx="23">
                  <c:v>46</c:v>
                </c:pt>
                <c:pt idx="24">
                  <c:v>34</c:v>
                </c:pt>
                <c:pt idx="25">
                  <c:v>38</c:v>
                </c:pt>
                <c:pt idx="26">
                  <c:v>38</c:v>
                </c:pt>
                <c:pt idx="27">
                  <c:v>37</c:v>
                </c:pt>
                <c:pt idx="28">
                  <c:v>36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341-AAAE-58BBAD7F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5888"/>
        <c:axId val="434824320"/>
      </c:barChart>
      <c:catAx>
        <c:axId val="43482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4320"/>
        <c:crosses val="autoZero"/>
        <c:auto val="1"/>
        <c:lblAlgn val="ctr"/>
        <c:lblOffset val="100"/>
        <c:noMultiLvlLbl val="0"/>
      </c:catAx>
      <c:valAx>
        <c:axId val="4348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58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34</c:v>
                </c:pt>
                <c:pt idx="1">
                  <c:v>41</c:v>
                </c:pt>
                <c:pt idx="2">
                  <c:v>31</c:v>
                </c:pt>
                <c:pt idx="3">
                  <c:v>36</c:v>
                </c:pt>
                <c:pt idx="4">
                  <c:v>42</c:v>
                </c:pt>
                <c:pt idx="5">
                  <c:v>33</c:v>
                </c:pt>
                <c:pt idx="6">
                  <c:v>35</c:v>
                </c:pt>
                <c:pt idx="7">
                  <c:v>37</c:v>
                </c:pt>
                <c:pt idx="8">
                  <c:v>41</c:v>
                </c:pt>
                <c:pt idx="9">
                  <c:v>40</c:v>
                </c:pt>
                <c:pt idx="10">
                  <c:v>27</c:v>
                </c:pt>
                <c:pt idx="11">
                  <c:v>37</c:v>
                </c:pt>
                <c:pt idx="12">
                  <c:v>32</c:v>
                </c:pt>
                <c:pt idx="13">
                  <c:v>47</c:v>
                </c:pt>
                <c:pt idx="14">
                  <c:v>32</c:v>
                </c:pt>
                <c:pt idx="15">
                  <c:v>39</c:v>
                </c:pt>
                <c:pt idx="16">
                  <c:v>39</c:v>
                </c:pt>
                <c:pt idx="17">
                  <c:v>28</c:v>
                </c:pt>
                <c:pt idx="18">
                  <c:v>36</c:v>
                </c:pt>
                <c:pt idx="19">
                  <c:v>47</c:v>
                </c:pt>
                <c:pt idx="20">
                  <c:v>37</c:v>
                </c:pt>
                <c:pt idx="21">
                  <c:v>39</c:v>
                </c:pt>
                <c:pt idx="22">
                  <c:v>46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36</c:v>
                </c:pt>
                <c:pt idx="27">
                  <c:v>42</c:v>
                </c:pt>
                <c:pt idx="28">
                  <c:v>44</c:v>
                </c:pt>
                <c:pt idx="29">
                  <c:v>56</c:v>
                </c:pt>
                <c:pt idx="3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5-4D2F-B8C2-AC128D44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6672"/>
        <c:axId val="434819616"/>
      </c:barChart>
      <c:catAx>
        <c:axId val="43482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9616"/>
        <c:crosses val="autoZero"/>
        <c:auto val="1"/>
        <c:lblAlgn val="ctr"/>
        <c:lblOffset val="100"/>
        <c:noMultiLvlLbl val="0"/>
      </c:catAx>
      <c:valAx>
        <c:axId val="43481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66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46</c:v>
                </c:pt>
                <c:pt idx="1">
                  <c:v>33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  <c:pt idx="6">
                  <c:v>40</c:v>
                </c:pt>
                <c:pt idx="7">
                  <c:v>37</c:v>
                </c:pt>
                <c:pt idx="8">
                  <c:v>31</c:v>
                </c:pt>
                <c:pt idx="9">
                  <c:v>40</c:v>
                </c:pt>
                <c:pt idx="10">
                  <c:v>39</c:v>
                </c:pt>
                <c:pt idx="11">
                  <c:v>38</c:v>
                </c:pt>
                <c:pt idx="12">
                  <c:v>40</c:v>
                </c:pt>
                <c:pt idx="13">
                  <c:v>37</c:v>
                </c:pt>
                <c:pt idx="14">
                  <c:v>34</c:v>
                </c:pt>
                <c:pt idx="15">
                  <c:v>36</c:v>
                </c:pt>
                <c:pt idx="16">
                  <c:v>35</c:v>
                </c:pt>
                <c:pt idx="17">
                  <c:v>38</c:v>
                </c:pt>
                <c:pt idx="18">
                  <c:v>39</c:v>
                </c:pt>
                <c:pt idx="19">
                  <c:v>45</c:v>
                </c:pt>
                <c:pt idx="20">
                  <c:v>39</c:v>
                </c:pt>
                <c:pt idx="21">
                  <c:v>34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46</c:v>
                </c:pt>
                <c:pt idx="26">
                  <c:v>34</c:v>
                </c:pt>
                <c:pt idx="27">
                  <c:v>42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D-4772-BF82-8CD14511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5496"/>
        <c:axId val="434827064"/>
      </c:barChart>
      <c:catAx>
        <c:axId val="43482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7064"/>
        <c:crosses val="autoZero"/>
        <c:auto val="1"/>
        <c:lblAlgn val="ctr"/>
        <c:lblOffset val="100"/>
        <c:noMultiLvlLbl val="0"/>
      </c:catAx>
      <c:valAx>
        <c:axId val="43482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54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44</c:v>
                </c:pt>
                <c:pt idx="2">
                  <c:v>38</c:v>
                </c:pt>
                <c:pt idx="3">
                  <c:v>39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42</c:v>
                </c:pt>
                <c:pt idx="8">
                  <c:v>36</c:v>
                </c:pt>
                <c:pt idx="9">
                  <c:v>46</c:v>
                </c:pt>
                <c:pt idx="10">
                  <c:v>39</c:v>
                </c:pt>
                <c:pt idx="11">
                  <c:v>38</c:v>
                </c:pt>
                <c:pt idx="12">
                  <c:v>41</c:v>
                </c:pt>
                <c:pt idx="13">
                  <c:v>38</c:v>
                </c:pt>
                <c:pt idx="14">
                  <c:v>37</c:v>
                </c:pt>
                <c:pt idx="15">
                  <c:v>45</c:v>
                </c:pt>
                <c:pt idx="16">
                  <c:v>42</c:v>
                </c:pt>
                <c:pt idx="17">
                  <c:v>42</c:v>
                </c:pt>
                <c:pt idx="18">
                  <c:v>33</c:v>
                </c:pt>
                <c:pt idx="19">
                  <c:v>36</c:v>
                </c:pt>
                <c:pt idx="20">
                  <c:v>41</c:v>
                </c:pt>
                <c:pt idx="21">
                  <c:v>41</c:v>
                </c:pt>
                <c:pt idx="22">
                  <c:v>46</c:v>
                </c:pt>
                <c:pt idx="23">
                  <c:v>44</c:v>
                </c:pt>
                <c:pt idx="24">
                  <c:v>40</c:v>
                </c:pt>
                <c:pt idx="25">
                  <c:v>34</c:v>
                </c:pt>
                <c:pt idx="26">
                  <c:v>45</c:v>
                </c:pt>
                <c:pt idx="27">
                  <c:v>43</c:v>
                </c:pt>
                <c:pt idx="28">
                  <c:v>40</c:v>
                </c:pt>
                <c:pt idx="2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E-4698-B044-71062930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19224"/>
        <c:axId val="434815304"/>
      </c:barChart>
      <c:catAx>
        <c:axId val="43481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5304"/>
        <c:crosses val="autoZero"/>
        <c:auto val="1"/>
        <c:lblAlgn val="ctr"/>
        <c:lblOffset val="100"/>
        <c:noMultiLvlLbl val="0"/>
      </c:catAx>
      <c:valAx>
        <c:axId val="43481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922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15</c:v>
                </c:pt>
                <c:pt idx="1">
                  <c:v>41</c:v>
                </c:pt>
                <c:pt idx="2">
                  <c:v>31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47</c:v>
                </c:pt>
                <c:pt idx="7">
                  <c:v>38</c:v>
                </c:pt>
                <c:pt idx="8">
                  <c:v>37</c:v>
                </c:pt>
                <c:pt idx="9">
                  <c:v>33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40</c:v>
                </c:pt>
                <c:pt idx="16">
                  <c:v>28</c:v>
                </c:pt>
                <c:pt idx="17">
                  <c:v>38</c:v>
                </c:pt>
                <c:pt idx="18">
                  <c:v>38</c:v>
                </c:pt>
                <c:pt idx="19">
                  <c:v>41</c:v>
                </c:pt>
                <c:pt idx="20">
                  <c:v>40</c:v>
                </c:pt>
                <c:pt idx="21">
                  <c:v>43</c:v>
                </c:pt>
                <c:pt idx="22">
                  <c:v>45</c:v>
                </c:pt>
                <c:pt idx="23">
                  <c:v>33</c:v>
                </c:pt>
                <c:pt idx="24">
                  <c:v>38</c:v>
                </c:pt>
                <c:pt idx="25">
                  <c:v>39</c:v>
                </c:pt>
                <c:pt idx="26">
                  <c:v>42</c:v>
                </c:pt>
                <c:pt idx="27">
                  <c:v>46</c:v>
                </c:pt>
                <c:pt idx="28">
                  <c:v>40</c:v>
                </c:pt>
                <c:pt idx="29">
                  <c:v>37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F-4E89-8DCD-0FD71FBF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15696"/>
        <c:axId val="434816480"/>
      </c:barChart>
      <c:catAx>
        <c:axId val="43481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6480"/>
        <c:crosses val="autoZero"/>
        <c:auto val="1"/>
        <c:lblAlgn val="ctr"/>
        <c:lblOffset val="100"/>
        <c:noMultiLvlLbl val="0"/>
      </c:catAx>
      <c:valAx>
        <c:axId val="4348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156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41</c:v>
                </c:pt>
                <c:pt idx="2">
                  <c:v>42</c:v>
                </c:pt>
                <c:pt idx="3">
                  <c:v>46</c:v>
                </c:pt>
                <c:pt idx="4">
                  <c:v>39</c:v>
                </c:pt>
                <c:pt idx="5">
                  <c:v>42</c:v>
                </c:pt>
                <c:pt idx="6">
                  <c:v>63</c:v>
                </c:pt>
                <c:pt idx="7">
                  <c:v>35</c:v>
                </c:pt>
                <c:pt idx="8">
                  <c:v>40</c:v>
                </c:pt>
                <c:pt idx="9">
                  <c:v>43</c:v>
                </c:pt>
                <c:pt idx="10">
                  <c:v>51</c:v>
                </c:pt>
                <c:pt idx="11">
                  <c:v>38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51</c:v>
                </c:pt>
                <c:pt idx="16">
                  <c:v>43</c:v>
                </c:pt>
                <c:pt idx="17">
                  <c:v>52</c:v>
                </c:pt>
                <c:pt idx="18">
                  <c:v>32</c:v>
                </c:pt>
                <c:pt idx="19">
                  <c:v>30</c:v>
                </c:pt>
                <c:pt idx="20">
                  <c:v>55</c:v>
                </c:pt>
                <c:pt idx="21">
                  <c:v>41</c:v>
                </c:pt>
                <c:pt idx="22">
                  <c:v>50</c:v>
                </c:pt>
                <c:pt idx="23">
                  <c:v>41</c:v>
                </c:pt>
                <c:pt idx="24">
                  <c:v>53</c:v>
                </c:pt>
                <c:pt idx="25">
                  <c:v>37</c:v>
                </c:pt>
                <c:pt idx="26">
                  <c:v>45</c:v>
                </c:pt>
                <c:pt idx="27">
                  <c:v>39</c:v>
                </c:pt>
                <c:pt idx="28">
                  <c:v>46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7-4F2B-B9CF-166AAF23A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9416"/>
        <c:axId val="434827456"/>
      </c:barChart>
      <c:catAx>
        <c:axId val="43482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7456"/>
        <c:crosses val="autoZero"/>
        <c:auto val="1"/>
        <c:lblAlgn val="ctr"/>
        <c:lblOffset val="100"/>
        <c:noMultiLvlLbl val="0"/>
      </c:catAx>
      <c:valAx>
        <c:axId val="4348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941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40</c:v>
                </c:pt>
                <c:pt idx="1">
                  <c:v>42</c:v>
                </c:pt>
                <c:pt idx="2">
                  <c:v>47</c:v>
                </c:pt>
                <c:pt idx="3">
                  <c:v>41</c:v>
                </c:pt>
                <c:pt idx="4">
                  <c:v>41</c:v>
                </c:pt>
                <c:pt idx="5">
                  <c:v>43</c:v>
                </c:pt>
                <c:pt idx="6">
                  <c:v>44</c:v>
                </c:pt>
                <c:pt idx="7">
                  <c:v>49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40</c:v>
                </c:pt>
                <c:pt idx="12">
                  <c:v>50</c:v>
                </c:pt>
                <c:pt idx="13">
                  <c:v>35</c:v>
                </c:pt>
                <c:pt idx="14">
                  <c:v>46</c:v>
                </c:pt>
                <c:pt idx="15">
                  <c:v>52</c:v>
                </c:pt>
                <c:pt idx="16">
                  <c:v>43</c:v>
                </c:pt>
                <c:pt idx="17">
                  <c:v>45</c:v>
                </c:pt>
                <c:pt idx="18">
                  <c:v>36</c:v>
                </c:pt>
                <c:pt idx="19">
                  <c:v>40</c:v>
                </c:pt>
                <c:pt idx="20">
                  <c:v>42</c:v>
                </c:pt>
                <c:pt idx="21">
                  <c:v>39</c:v>
                </c:pt>
                <c:pt idx="22">
                  <c:v>47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39</c:v>
                </c:pt>
                <c:pt idx="27">
                  <c:v>47</c:v>
                </c:pt>
                <c:pt idx="28">
                  <c:v>44</c:v>
                </c:pt>
                <c:pt idx="29">
                  <c:v>51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7-4ACD-816A-660E8E6D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9808"/>
        <c:axId val="434830592"/>
      </c:barChart>
      <c:catAx>
        <c:axId val="4348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30592"/>
        <c:crosses val="autoZero"/>
        <c:auto val="1"/>
        <c:lblAlgn val="ctr"/>
        <c:lblOffset val="100"/>
        <c:noMultiLvlLbl val="0"/>
      </c:catAx>
      <c:valAx>
        <c:axId val="4348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98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47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48</c:v>
                </c:pt>
                <c:pt idx="6">
                  <c:v>42</c:v>
                </c:pt>
                <c:pt idx="7">
                  <c:v>34</c:v>
                </c:pt>
                <c:pt idx="8">
                  <c:v>47</c:v>
                </c:pt>
                <c:pt idx="9">
                  <c:v>47</c:v>
                </c:pt>
                <c:pt idx="10">
                  <c:v>46</c:v>
                </c:pt>
                <c:pt idx="11">
                  <c:v>35</c:v>
                </c:pt>
                <c:pt idx="12">
                  <c:v>49</c:v>
                </c:pt>
                <c:pt idx="13">
                  <c:v>36</c:v>
                </c:pt>
                <c:pt idx="14">
                  <c:v>51</c:v>
                </c:pt>
                <c:pt idx="15">
                  <c:v>41</c:v>
                </c:pt>
                <c:pt idx="16">
                  <c:v>53</c:v>
                </c:pt>
                <c:pt idx="17">
                  <c:v>53</c:v>
                </c:pt>
                <c:pt idx="18">
                  <c:v>46</c:v>
                </c:pt>
                <c:pt idx="19">
                  <c:v>53</c:v>
                </c:pt>
                <c:pt idx="20">
                  <c:v>48</c:v>
                </c:pt>
                <c:pt idx="21">
                  <c:v>51</c:v>
                </c:pt>
                <c:pt idx="22">
                  <c:v>42</c:v>
                </c:pt>
                <c:pt idx="23">
                  <c:v>55</c:v>
                </c:pt>
                <c:pt idx="24">
                  <c:v>43</c:v>
                </c:pt>
                <c:pt idx="25">
                  <c:v>41</c:v>
                </c:pt>
                <c:pt idx="26">
                  <c:v>46</c:v>
                </c:pt>
                <c:pt idx="27">
                  <c:v>43</c:v>
                </c:pt>
                <c:pt idx="28">
                  <c:v>33</c:v>
                </c:pt>
                <c:pt idx="29">
                  <c:v>41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A0E-AE95-2511ADB9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828240"/>
        <c:axId val="434828632"/>
      </c:barChart>
      <c:catAx>
        <c:axId val="4348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8632"/>
        <c:crosses val="autoZero"/>
        <c:auto val="1"/>
        <c:lblAlgn val="ctr"/>
        <c:lblOffset val="100"/>
        <c:noMultiLvlLbl val="0"/>
      </c:catAx>
      <c:valAx>
        <c:axId val="43482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82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44</c:v>
                </c:pt>
                <c:pt idx="4">
                  <c:v>38</c:v>
                </c:pt>
                <c:pt idx="5">
                  <c:v>42</c:v>
                </c:pt>
                <c:pt idx="6">
                  <c:v>52</c:v>
                </c:pt>
                <c:pt idx="7">
                  <c:v>40</c:v>
                </c:pt>
                <c:pt idx="8">
                  <c:v>42</c:v>
                </c:pt>
                <c:pt idx="9">
                  <c:v>45</c:v>
                </c:pt>
                <c:pt idx="10">
                  <c:v>42</c:v>
                </c:pt>
                <c:pt idx="11">
                  <c:v>30</c:v>
                </c:pt>
                <c:pt idx="12">
                  <c:v>42</c:v>
                </c:pt>
                <c:pt idx="13">
                  <c:v>46</c:v>
                </c:pt>
                <c:pt idx="14">
                  <c:v>43</c:v>
                </c:pt>
                <c:pt idx="15">
                  <c:v>46</c:v>
                </c:pt>
                <c:pt idx="16">
                  <c:v>47</c:v>
                </c:pt>
                <c:pt idx="17">
                  <c:v>41</c:v>
                </c:pt>
                <c:pt idx="18">
                  <c:v>33</c:v>
                </c:pt>
                <c:pt idx="19">
                  <c:v>51</c:v>
                </c:pt>
                <c:pt idx="20">
                  <c:v>46</c:v>
                </c:pt>
                <c:pt idx="21">
                  <c:v>42</c:v>
                </c:pt>
                <c:pt idx="22">
                  <c:v>43</c:v>
                </c:pt>
                <c:pt idx="23">
                  <c:v>45</c:v>
                </c:pt>
                <c:pt idx="24">
                  <c:v>37</c:v>
                </c:pt>
                <c:pt idx="25">
                  <c:v>40</c:v>
                </c:pt>
                <c:pt idx="26">
                  <c:v>45</c:v>
                </c:pt>
                <c:pt idx="2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1-46F5-BBB3-CC56C904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60760"/>
        <c:axId val="436778608"/>
      </c:barChart>
      <c:catAx>
        <c:axId val="43186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8608"/>
        <c:crosses val="autoZero"/>
        <c:auto val="1"/>
        <c:lblAlgn val="ctr"/>
        <c:lblOffset val="100"/>
        <c:noMultiLvlLbl val="0"/>
      </c:catAx>
      <c:valAx>
        <c:axId val="4367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6076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48</c:v>
                </c:pt>
                <c:pt idx="2">
                  <c:v>54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46</c:v>
                </c:pt>
                <c:pt idx="8">
                  <c:v>46</c:v>
                </c:pt>
                <c:pt idx="9">
                  <c:v>49</c:v>
                </c:pt>
                <c:pt idx="10">
                  <c:v>41</c:v>
                </c:pt>
                <c:pt idx="11">
                  <c:v>38</c:v>
                </c:pt>
                <c:pt idx="12">
                  <c:v>42</c:v>
                </c:pt>
                <c:pt idx="13">
                  <c:v>41</c:v>
                </c:pt>
                <c:pt idx="14">
                  <c:v>48</c:v>
                </c:pt>
                <c:pt idx="15">
                  <c:v>37</c:v>
                </c:pt>
                <c:pt idx="16">
                  <c:v>60</c:v>
                </c:pt>
                <c:pt idx="17">
                  <c:v>40</c:v>
                </c:pt>
                <c:pt idx="18">
                  <c:v>44</c:v>
                </c:pt>
                <c:pt idx="19">
                  <c:v>43</c:v>
                </c:pt>
                <c:pt idx="20">
                  <c:v>43</c:v>
                </c:pt>
                <c:pt idx="21">
                  <c:v>39</c:v>
                </c:pt>
                <c:pt idx="22">
                  <c:v>41</c:v>
                </c:pt>
                <c:pt idx="23">
                  <c:v>50</c:v>
                </c:pt>
                <c:pt idx="24">
                  <c:v>42</c:v>
                </c:pt>
                <c:pt idx="25">
                  <c:v>36</c:v>
                </c:pt>
                <c:pt idx="26">
                  <c:v>38</c:v>
                </c:pt>
                <c:pt idx="27">
                  <c:v>36</c:v>
                </c:pt>
                <c:pt idx="28">
                  <c:v>34</c:v>
                </c:pt>
                <c:pt idx="29">
                  <c:v>33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675-A3AC-5DDC6537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6256"/>
        <c:axId val="436776648"/>
      </c:barChart>
      <c:catAx>
        <c:axId val="43677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6648"/>
        <c:crosses val="autoZero"/>
        <c:auto val="1"/>
        <c:lblAlgn val="ctr"/>
        <c:lblOffset val="100"/>
        <c:noMultiLvlLbl val="0"/>
      </c:catAx>
      <c:valAx>
        <c:axId val="4367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625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31</c:v>
                </c:pt>
                <c:pt idx="1">
                  <c:v>31</c:v>
                </c:pt>
                <c:pt idx="2">
                  <c:v>41</c:v>
                </c:pt>
                <c:pt idx="3">
                  <c:v>32</c:v>
                </c:pt>
                <c:pt idx="4">
                  <c:v>27</c:v>
                </c:pt>
                <c:pt idx="5">
                  <c:v>35</c:v>
                </c:pt>
                <c:pt idx="6">
                  <c:v>44</c:v>
                </c:pt>
                <c:pt idx="7">
                  <c:v>28</c:v>
                </c:pt>
                <c:pt idx="8">
                  <c:v>45</c:v>
                </c:pt>
                <c:pt idx="9">
                  <c:v>29</c:v>
                </c:pt>
                <c:pt idx="10">
                  <c:v>38</c:v>
                </c:pt>
                <c:pt idx="11">
                  <c:v>38</c:v>
                </c:pt>
                <c:pt idx="12">
                  <c:v>33</c:v>
                </c:pt>
                <c:pt idx="13">
                  <c:v>37</c:v>
                </c:pt>
                <c:pt idx="14">
                  <c:v>33</c:v>
                </c:pt>
                <c:pt idx="15">
                  <c:v>37</c:v>
                </c:pt>
                <c:pt idx="16">
                  <c:v>41</c:v>
                </c:pt>
                <c:pt idx="17">
                  <c:v>45</c:v>
                </c:pt>
                <c:pt idx="18">
                  <c:v>42</c:v>
                </c:pt>
                <c:pt idx="19">
                  <c:v>41</c:v>
                </c:pt>
                <c:pt idx="20">
                  <c:v>45</c:v>
                </c:pt>
                <c:pt idx="21">
                  <c:v>39</c:v>
                </c:pt>
                <c:pt idx="22">
                  <c:v>40</c:v>
                </c:pt>
                <c:pt idx="23">
                  <c:v>46</c:v>
                </c:pt>
                <c:pt idx="24">
                  <c:v>47</c:v>
                </c:pt>
                <c:pt idx="25">
                  <c:v>38</c:v>
                </c:pt>
                <c:pt idx="26">
                  <c:v>42</c:v>
                </c:pt>
                <c:pt idx="27">
                  <c:v>40</c:v>
                </c:pt>
                <c:pt idx="28">
                  <c:v>35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2-410B-97C0-8E9C1C78B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5864"/>
        <c:axId val="436775080"/>
      </c:barChart>
      <c:catAx>
        <c:axId val="43677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5080"/>
        <c:crosses val="autoZero"/>
        <c:auto val="1"/>
        <c:lblAlgn val="ctr"/>
        <c:lblOffset val="100"/>
        <c:noMultiLvlLbl val="0"/>
      </c:catAx>
      <c:valAx>
        <c:axId val="43677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586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39</c:v>
                </c:pt>
                <c:pt idx="1">
                  <c:v>56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43</c:v>
                </c:pt>
                <c:pt idx="6">
                  <c:v>43</c:v>
                </c:pt>
                <c:pt idx="7">
                  <c:v>37</c:v>
                </c:pt>
                <c:pt idx="8">
                  <c:v>45</c:v>
                </c:pt>
                <c:pt idx="9">
                  <c:v>46</c:v>
                </c:pt>
                <c:pt idx="10">
                  <c:v>50</c:v>
                </c:pt>
                <c:pt idx="11">
                  <c:v>49</c:v>
                </c:pt>
                <c:pt idx="12">
                  <c:v>43</c:v>
                </c:pt>
                <c:pt idx="13">
                  <c:v>34</c:v>
                </c:pt>
                <c:pt idx="14">
                  <c:v>38</c:v>
                </c:pt>
                <c:pt idx="15">
                  <c:v>37</c:v>
                </c:pt>
                <c:pt idx="16">
                  <c:v>37</c:v>
                </c:pt>
                <c:pt idx="17">
                  <c:v>46</c:v>
                </c:pt>
                <c:pt idx="18">
                  <c:v>62</c:v>
                </c:pt>
                <c:pt idx="19">
                  <c:v>45</c:v>
                </c:pt>
                <c:pt idx="20">
                  <c:v>43</c:v>
                </c:pt>
                <c:pt idx="21">
                  <c:v>37</c:v>
                </c:pt>
                <c:pt idx="22">
                  <c:v>42</c:v>
                </c:pt>
                <c:pt idx="23">
                  <c:v>36</c:v>
                </c:pt>
                <c:pt idx="24">
                  <c:v>38</c:v>
                </c:pt>
                <c:pt idx="25">
                  <c:v>45</c:v>
                </c:pt>
                <c:pt idx="26">
                  <c:v>41</c:v>
                </c:pt>
                <c:pt idx="27">
                  <c:v>46</c:v>
                </c:pt>
                <c:pt idx="28">
                  <c:v>38</c:v>
                </c:pt>
                <c:pt idx="29">
                  <c:v>38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65A-8C90-5349474D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7040"/>
        <c:axId val="436774296"/>
      </c:barChart>
      <c:catAx>
        <c:axId val="4367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4296"/>
        <c:crosses val="autoZero"/>
        <c:auto val="1"/>
        <c:lblAlgn val="ctr"/>
        <c:lblOffset val="100"/>
        <c:noMultiLvlLbl val="0"/>
      </c:catAx>
      <c:valAx>
        <c:axId val="43677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70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36</c:v>
                </c:pt>
                <c:pt idx="1">
                  <c:v>55</c:v>
                </c:pt>
                <c:pt idx="2">
                  <c:v>41</c:v>
                </c:pt>
                <c:pt idx="3">
                  <c:v>52</c:v>
                </c:pt>
                <c:pt idx="4">
                  <c:v>42</c:v>
                </c:pt>
                <c:pt idx="5">
                  <c:v>40</c:v>
                </c:pt>
                <c:pt idx="6">
                  <c:v>47</c:v>
                </c:pt>
                <c:pt idx="7">
                  <c:v>39</c:v>
                </c:pt>
                <c:pt idx="8">
                  <c:v>51</c:v>
                </c:pt>
                <c:pt idx="9">
                  <c:v>54</c:v>
                </c:pt>
                <c:pt idx="10">
                  <c:v>50</c:v>
                </c:pt>
                <c:pt idx="11">
                  <c:v>42</c:v>
                </c:pt>
                <c:pt idx="12">
                  <c:v>40</c:v>
                </c:pt>
                <c:pt idx="13">
                  <c:v>48</c:v>
                </c:pt>
                <c:pt idx="14">
                  <c:v>48</c:v>
                </c:pt>
                <c:pt idx="15">
                  <c:v>52</c:v>
                </c:pt>
                <c:pt idx="16">
                  <c:v>46</c:v>
                </c:pt>
                <c:pt idx="17">
                  <c:v>49</c:v>
                </c:pt>
                <c:pt idx="18">
                  <c:v>47</c:v>
                </c:pt>
                <c:pt idx="19">
                  <c:v>40</c:v>
                </c:pt>
                <c:pt idx="20">
                  <c:v>52</c:v>
                </c:pt>
                <c:pt idx="21">
                  <c:v>45</c:v>
                </c:pt>
                <c:pt idx="22">
                  <c:v>67</c:v>
                </c:pt>
                <c:pt idx="23">
                  <c:v>56</c:v>
                </c:pt>
                <c:pt idx="24">
                  <c:v>54</c:v>
                </c:pt>
                <c:pt idx="25">
                  <c:v>22</c:v>
                </c:pt>
                <c:pt idx="26">
                  <c:v>44</c:v>
                </c:pt>
                <c:pt idx="27">
                  <c:v>51</c:v>
                </c:pt>
                <c:pt idx="28">
                  <c:v>40</c:v>
                </c:pt>
                <c:pt idx="2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6-4EED-ADFD-D7AF6788F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4688"/>
        <c:axId val="436779000"/>
      </c:barChart>
      <c:catAx>
        <c:axId val="43677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9000"/>
        <c:crosses val="autoZero"/>
        <c:auto val="1"/>
        <c:lblAlgn val="ctr"/>
        <c:lblOffset val="100"/>
        <c:noMultiLvlLbl val="0"/>
      </c:catAx>
      <c:valAx>
        <c:axId val="43677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46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48</c:v>
                </c:pt>
                <c:pt idx="2">
                  <c:v>42</c:v>
                </c:pt>
                <c:pt idx="3">
                  <c:v>38</c:v>
                </c:pt>
                <c:pt idx="4">
                  <c:v>46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61</c:v>
                </c:pt>
                <c:pt idx="9">
                  <c:v>46</c:v>
                </c:pt>
                <c:pt idx="10">
                  <c:v>46</c:v>
                </c:pt>
                <c:pt idx="11">
                  <c:v>54</c:v>
                </c:pt>
                <c:pt idx="12">
                  <c:v>30</c:v>
                </c:pt>
                <c:pt idx="13">
                  <c:v>61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43</c:v>
                </c:pt>
                <c:pt idx="18">
                  <c:v>58</c:v>
                </c:pt>
                <c:pt idx="19">
                  <c:v>39</c:v>
                </c:pt>
                <c:pt idx="20">
                  <c:v>59</c:v>
                </c:pt>
                <c:pt idx="21">
                  <c:v>43</c:v>
                </c:pt>
                <c:pt idx="22">
                  <c:v>48</c:v>
                </c:pt>
                <c:pt idx="23">
                  <c:v>47</c:v>
                </c:pt>
                <c:pt idx="24">
                  <c:v>49</c:v>
                </c:pt>
                <c:pt idx="25">
                  <c:v>52</c:v>
                </c:pt>
                <c:pt idx="26">
                  <c:v>54</c:v>
                </c:pt>
                <c:pt idx="27">
                  <c:v>64</c:v>
                </c:pt>
                <c:pt idx="28">
                  <c:v>55</c:v>
                </c:pt>
                <c:pt idx="29">
                  <c:v>46</c:v>
                </c:pt>
                <c:pt idx="3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5B3-A78C-59346C03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7824"/>
        <c:axId val="436778216"/>
      </c:barChart>
      <c:catAx>
        <c:axId val="4367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8216"/>
        <c:crosses val="autoZero"/>
        <c:auto val="1"/>
        <c:lblAlgn val="ctr"/>
        <c:lblOffset val="100"/>
        <c:noMultiLvlLbl val="0"/>
      </c:catAx>
      <c:valAx>
        <c:axId val="43677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782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C-48B9-BDBE-B2A31D6F7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3512"/>
        <c:axId val="436773904"/>
      </c:barChart>
      <c:catAx>
        <c:axId val="43677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3904"/>
        <c:crosses val="autoZero"/>
        <c:auto val="1"/>
        <c:lblAlgn val="ctr"/>
        <c:lblOffset val="100"/>
        <c:noMultiLvlLbl val="0"/>
      </c:catAx>
      <c:valAx>
        <c:axId val="4367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351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7-437D-A54C-7810D298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6656"/>
        <c:axId val="436758224"/>
      </c:barChart>
      <c:catAx>
        <c:axId val="43675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8224"/>
        <c:crosses val="autoZero"/>
        <c:auto val="1"/>
        <c:lblAlgn val="ctr"/>
        <c:lblOffset val="100"/>
        <c:noMultiLvlLbl val="0"/>
      </c:catAx>
      <c:valAx>
        <c:axId val="4367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665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5-4124-80BF-940F4D74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0576"/>
        <c:axId val="436752736"/>
      </c:barChart>
      <c:catAx>
        <c:axId val="43676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2736"/>
        <c:crosses val="autoZero"/>
        <c:auto val="1"/>
        <c:lblAlgn val="ctr"/>
        <c:lblOffset val="100"/>
        <c:noMultiLvlLbl val="0"/>
      </c:catAx>
      <c:valAx>
        <c:axId val="4367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057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63</c:v>
                </c:pt>
                <c:pt idx="1">
                  <c:v>50</c:v>
                </c:pt>
                <c:pt idx="2">
                  <c:v>62</c:v>
                </c:pt>
                <c:pt idx="3">
                  <c:v>64</c:v>
                </c:pt>
                <c:pt idx="4">
                  <c:v>55</c:v>
                </c:pt>
                <c:pt idx="5">
                  <c:v>58</c:v>
                </c:pt>
                <c:pt idx="6">
                  <c:v>48</c:v>
                </c:pt>
                <c:pt idx="7">
                  <c:v>79</c:v>
                </c:pt>
                <c:pt idx="8">
                  <c:v>54</c:v>
                </c:pt>
                <c:pt idx="9">
                  <c:v>57</c:v>
                </c:pt>
                <c:pt idx="10">
                  <c:v>55</c:v>
                </c:pt>
                <c:pt idx="11">
                  <c:v>49</c:v>
                </c:pt>
                <c:pt idx="12">
                  <c:v>53</c:v>
                </c:pt>
                <c:pt idx="13">
                  <c:v>55</c:v>
                </c:pt>
                <c:pt idx="14">
                  <c:v>62</c:v>
                </c:pt>
                <c:pt idx="15">
                  <c:v>49</c:v>
                </c:pt>
                <c:pt idx="16">
                  <c:v>66</c:v>
                </c:pt>
                <c:pt idx="17">
                  <c:v>47</c:v>
                </c:pt>
                <c:pt idx="18">
                  <c:v>43</c:v>
                </c:pt>
                <c:pt idx="19">
                  <c:v>49</c:v>
                </c:pt>
                <c:pt idx="20">
                  <c:v>57</c:v>
                </c:pt>
                <c:pt idx="21">
                  <c:v>45</c:v>
                </c:pt>
                <c:pt idx="22">
                  <c:v>76</c:v>
                </c:pt>
                <c:pt idx="23">
                  <c:v>59</c:v>
                </c:pt>
                <c:pt idx="24">
                  <c:v>46</c:v>
                </c:pt>
                <c:pt idx="25">
                  <c:v>55</c:v>
                </c:pt>
                <c:pt idx="26">
                  <c:v>52</c:v>
                </c:pt>
                <c:pt idx="27">
                  <c:v>55</c:v>
                </c:pt>
                <c:pt idx="28">
                  <c:v>60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845-A78A-6929212BF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3128"/>
        <c:axId val="436749992"/>
      </c:barChart>
      <c:catAx>
        <c:axId val="43675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9992"/>
        <c:crosses val="autoZero"/>
        <c:auto val="1"/>
        <c:lblAlgn val="ctr"/>
        <c:lblOffset val="100"/>
        <c:noMultiLvlLbl val="0"/>
      </c:catAx>
      <c:valAx>
        <c:axId val="43674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312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25</c:v>
                </c:pt>
                <c:pt idx="2">
                  <c:v>20</c:v>
                </c:pt>
                <c:pt idx="3">
                  <c:v>80</c:v>
                </c:pt>
                <c:pt idx="4">
                  <c:v>90</c:v>
                </c:pt>
                <c:pt idx="5">
                  <c:v>17</c:v>
                </c:pt>
                <c:pt idx="6">
                  <c:v>56</c:v>
                </c:pt>
                <c:pt idx="7">
                  <c:v>65</c:v>
                </c:pt>
                <c:pt idx="8">
                  <c:v>54</c:v>
                </c:pt>
                <c:pt idx="9">
                  <c:v>48</c:v>
                </c:pt>
                <c:pt idx="10">
                  <c:v>45</c:v>
                </c:pt>
                <c:pt idx="11">
                  <c:v>25</c:v>
                </c:pt>
                <c:pt idx="12">
                  <c:v>61</c:v>
                </c:pt>
                <c:pt idx="13">
                  <c:v>43</c:v>
                </c:pt>
                <c:pt idx="14">
                  <c:v>46</c:v>
                </c:pt>
                <c:pt idx="15">
                  <c:v>43</c:v>
                </c:pt>
                <c:pt idx="16">
                  <c:v>49</c:v>
                </c:pt>
                <c:pt idx="17">
                  <c:v>51</c:v>
                </c:pt>
                <c:pt idx="18">
                  <c:v>53</c:v>
                </c:pt>
                <c:pt idx="19">
                  <c:v>48</c:v>
                </c:pt>
                <c:pt idx="20">
                  <c:v>46</c:v>
                </c:pt>
                <c:pt idx="21">
                  <c:v>37</c:v>
                </c:pt>
                <c:pt idx="22">
                  <c:v>55</c:v>
                </c:pt>
                <c:pt idx="23">
                  <c:v>55</c:v>
                </c:pt>
                <c:pt idx="24">
                  <c:v>59</c:v>
                </c:pt>
                <c:pt idx="25">
                  <c:v>58</c:v>
                </c:pt>
                <c:pt idx="26">
                  <c:v>69</c:v>
                </c:pt>
                <c:pt idx="27">
                  <c:v>40</c:v>
                </c:pt>
                <c:pt idx="28">
                  <c:v>43</c:v>
                </c:pt>
                <c:pt idx="29">
                  <c:v>53</c:v>
                </c:pt>
                <c:pt idx="3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8-4221-90FE-24F27615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6264"/>
        <c:axId val="436753520"/>
      </c:barChart>
      <c:catAx>
        <c:axId val="43675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3520"/>
        <c:crosses val="autoZero"/>
        <c:auto val="1"/>
        <c:lblAlgn val="ctr"/>
        <c:lblOffset val="100"/>
        <c:noMultiLvlLbl val="0"/>
      </c:catAx>
      <c:valAx>
        <c:axId val="4367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626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52</c:v>
                </c:pt>
                <c:pt idx="1">
                  <c:v>73</c:v>
                </c:pt>
                <c:pt idx="2">
                  <c:v>73</c:v>
                </c:pt>
                <c:pt idx="3">
                  <c:v>45</c:v>
                </c:pt>
                <c:pt idx="4">
                  <c:v>55</c:v>
                </c:pt>
                <c:pt idx="5">
                  <c:v>91</c:v>
                </c:pt>
                <c:pt idx="6">
                  <c:v>35</c:v>
                </c:pt>
                <c:pt idx="7">
                  <c:v>43</c:v>
                </c:pt>
                <c:pt idx="8">
                  <c:v>71</c:v>
                </c:pt>
                <c:pt idx="9">
                  <c:v>54</c:v>
                </c:pt>
                <c:pt idx="10">
                  <c:v>55</c:v>
                </c:pt>
                <c:pt idx="11">
                  <c:v>69</c:v>
                </c:pt>
                <c:pt idx="12">
                  <c:v>71</c:v>
                </c:pt>
                <c:pt idx="13">
                  <c:v>51</c:v>
                </c:pt>
                <c:pt idx="14">
                  <c:v>54</c:v>
                </c:pt>
                <c:pt idx="15">
                  <c:v>72</c:v>
                </c:pt>
                <c:pt idx="16">
                  <c:v>69</c:v>
                </c:pt>
                <c:pt idx="17">
                  <c:v>48</c:v>
                </c:pt>
                <c:pt idx="18">
                  <c:v>54</c:v>
                </c:pt>
                <c:pt idx="19">
                  <c:v>60</c:v>
                </c:pt>
                <c:pt idx="20">
                  <c:v>52</c:v>
                </c:pt>
                <c:pt idx="21">
                  <c:v>71</c:v>
                </c:pt>
                <c:pt idx="22">
                  <c:v>69</c:v>
                </c:pt>
                <c:pt idx="23">
                  <c:v>64</c:v>
                </c:pt>
                <c:pt idx="24">
                  <c:v>60</c:v>
                </c:pt>
                <c:pt idx="25">
                  <c:v>44</c:v>
                </c:pt>
                <c:pt idx="26">
                  <c:v>51</c:v>
                </c:pt>
                <c:pt idx="27">
                  <c:v>51</c:v>
                </c:pt>
                <c:pt idx="28">
                  <c:v>47</c:v>
                </c:pt>
                <c:pt idx="2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6-486A-A24F-44D6E9446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48424"/>
        <c:axId val="436750384"/>
      </c:barChart>
      <c:catAx>
        <c:axId val="43674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0384"/>
        <c:crosses val="autoZero"/>
        <c:auto val="1"/>
        <c:lblAlgn val="ctr"/>
        <c:lblOffset val="100"/>
        <c:noMultiLvlLbl val="0"/>
      </c:catAx>
      <c:valAx>
        <c:axId val="43675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842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57</c:v>
                </c:pt>
                <c:pt idx="1">
                  <c:v>42</c:v>
                </c:pt>
                <c:pt idx="2">
                  <c:v>66</c:v>
                </c:pt>
                <c:pt idx="3">
                  <c:v>69</c:v>
                </c:pt>
                <c:pt idx="4">
                  <c:v>46</c:v>
                </c:pt>
                <c:pt idx="5">
                  <c:v>51</c:v>
                </c:pt>
                <c:pt idx="6">
                  <c:v>54</c:v>
                </c:pt>
                <c:pt idx="7">
                  <c:v>61</c:v>
                </c:pt>
                <c:pt idx="8">
                  <c:v>55</c:v>
                </c:pt>
                <c:pt idx="9">
                  <c:v>58</c:v>
                </c:pt>
                <c:pt idx="10">
                  <c:v>55</c:v>
                </c:pt>
                <c:pt idx="11">
                  <c:v>50</c:v>
                </c:pt>
                <c:pt idx="12">
                  <c:v>69</c:v>
                </c:pt>
                <c:pt idx="13">
                  <c:v>45</c:v>
                </c:pt>
                <c:pt idx="14">
                  <c:v>64</c:v>
                </c:pt>
                <c:pt idx="15">
                  <c:v>70</c:v>
                </c:pt>
                <c:pt idx="16">
                  <c:v>68</c:v>
                </c:pt>
                <c:pt idx="17">
                  <c:v>65</c:v>
                </c:pt>
                <c:pt idx="18">
                  <c:v>59</c:v>
                </c:pt>
                <c:pt idx="19">
                  <c:v>63</c:v>
                </c:pt>
                <c:pt idx="20">
                  <c:v>73</c:v>
                </c:pt>
                <c:pt idx="21">
                  <c:v>65</c:v>
                </c:pt>
                <c:pt idx="22">
                  <c:v>50</c:v>
                </c:pt>
                <c:pt idx="23">
                  <c:v>57</c:v>
                </c:pt>
                <c:pt idx="24">
                  <c:v>63</c:v>
                </c:pt>
                <c:pt idx="25">
                  <c:v>53</c:v>
                </c:pt>
                <c:pt idx="26">
                  <c:v>55</c:v>
                </c:pt>
                <c:pt idx="27">
                  <c:v>44</c:v>
                </c:pt>
                <c:pt idx="28">
                  <c:v>53</c:v>
                </c:pt>
                <c:pt idx="29">
                  <c:v>55</c:v>
                </c:pt>
                <c:pt idx="3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8-4027-9D39-653B5206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7048"/>
        <c:axId val="436754304"/>
      </c:barChart>
      <c:catAx>
        <c:axId val="43675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4304"/>
        <c:crosses val="autoZero"/>
        <c:auto val="1"/>
        <c:lblAlgn val="ctr"/>
        <c:lblOffset val="100"/>
        <c:noMultiLvlLbl val="0"/>
      </c:catAx>
      <c:valAx>
        <c:axId val="4367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704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44</c:v>
                </c:pt>
                <c:pt idx="2">
                  <c:v>46</c:v>
                </c:pt>
                <c:pt idx="3">
                  <c:v>53</c:v>
                </c:pt>
                <c:pt idx="4">
                  <c:v>57</c:v>
                </c:pt>
                <c:pt idx="5">
                  <c:v>53</c:v>
                </c:pt>
                <c:pt idx="6">
                  <c:v>54</c:v>
                </c:pt>
                <c:pt idx="7">
                  <c:v>44</c:v>
                </c:pt>
                <c:pt idx="8">
                  <c:v>50</c:v>
                </c:pt>
                <c:pt idx="9">
                  <c:v>50</c:v>
                </c:pt>
                <c:pt idx="10">
                  <c:v>64</c:v>
                </c:pt>
                <c:pt idx="11">
                  <c:v>59</c:v>
                </c:pt>
                <c:pt idx="12">
                  <c:v>53</c:v>
                </c:pt>
                <c:pt idx="13">
                  <c:v>48</c:v>
                </c:pt>
                <c:pt idx="14">
                  <c:v>51</c:v>
                </c:pt>
                <c:pt idx="15">
                  <c:v>46</c:v>
                </c:pt>
                <c:pt idx="16">
                  <c:v>47</c:v>
                </c:pt>
                <c:pt idx="17">
                  <c:v>61</c:v>
                </c:pt>
                <c:pt idx="18">
                  <c:v>49</c:v>
                </c:pt>
                <c:pt idx="19">
                  <c:v>51</c:v>
                </c:pt>
                <c:pt idx="20">
                  <c:v>36</c:v>
                </c:pt>
                <c:pt idx="21">
                  <c:v>35</c:v>
                </c:pt>
                <c:pt idx="22">
                  <c:v>54</c:v>
                </c:pt>
                <c:pt idx="23">
                  <c:v>43</c:v>
                </c:pt>
                <c:pt idx="24">
                  <c:v>52</c:v>
                </c:pt>
                <c:pt idx="25">
                  <c:v>49</c:v>
                </c:pt>
                <c:pt idx="26">
                  <c:v>40</c:v>
                </c:pt>
                <c:pt idx="27">
                  <c:v>48</c:v>
                </c:pt>
                <c:pt idx="28">
                  <c:v>43</c:v>
                </c:pt>
                <c:pt idx="29">
                  <c:v>41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F-48EF-9565-06D1AEB8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7440"/>
        <c:axId val="436755480"/>
      </c:barChart>
      <c:catAx>
        <c:axId val="4367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5480"/>
        <c:crosses val="autoZero"/>
        <c:auto val="1"/>
        <c:lblAlgn val="ctr"/>
        <c:lblOffset val="100"/>
        <c:noMultiLvlLbl val="0"/>
      </c:catAx>
      <c:valAx>
        <c:axId val="43675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74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59</c:v>
                </c:pt>
                <c:pt idx="1">
                  <c:v>50</c:v>
                </c:pt>
                <c:pt idx="2">
                  <c:v>33</c:v>
                </c:pt>
                <c:pt idx="3">
                  <c:v>50</c:v>
                </c:pt>
                <c:pt idx="4">
                  <c:v>48</c:v>
                </c:pt>
                <c:pt idx="5">
                  <c:v>39</c:v>
                </c:pt>
                <c:pt idx="6">
                  <c:v>39</c:v>
                </c:pt>
                <c:pt idx="7">
                  <c:v>57</c:v>
                </c:pt>
                <c:pt idx="8">
                  <c:v>44</c:v>
                </c:pt>
                <c:pt idx="9">
                  <c:v>35</c:v>
                </c:pt>
                <c:pt idx="10">
                  <c:v>47</c:v>
                </c:pt>
                <c:pt idx="11">
                  <c:v>44</c:v>
                </c:pt>
                <c:pt idx="12">
                  <c:v>36</c:v>
                </c:pt>
                <c:pt idx="13">
                  <c:v>44</c:v>
                </c:pt>
                <c:pt idx="14">
                  <c:v>72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54</c:v>
                </c:pt>
                <c:pt idx="19">
                  <c:v>38</c:v>
                </c:pt>
                <c:pt idx="20">
                  <c:v>47</c:v>
                </c:pt>
                <c:pt idx="21">
                  <c:v>57</c:v>
                </c:pt>
                <c:pt idx="22">
                  <c:v>47</c:v>
                </c:pt>
                <c:pt idx="23">
                  <c:v>44</c:v>
                </c:pt>
                <c:pt idx="24">
                  <c:v>52</c:v>
                </c:pt>
                <c:pt idx="25">
                  <c:v>46</c:v>
                </c:pt>
                <c:pt idx="26">
                  <c:v>38</c:v>
                </c:pt>
                <c:pt idx="2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4-43D1-957E-BB3116B2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8616"/>
        <c:axId val="436754696"/>
      </c:barChart>
      <c:catAx>
        <c:axId val="4367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4696"/>
        <c:crosses val="autoZero"/>
        <c:auto val="1"/>
        <c:lblAlgn val="ctr"/>
        <c:lblOffset val="100"/>
        <c:noMultiLvlLbl val="0"/>
      </c:catAx>
      <c:valAx>
        <c:axId val="43675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861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59</c:v>
                </c:pt>
                <c:pt idx="1">
                  <c:v>59</c:v>
                </c:pt>
                <c:pt idx="2">
                  <c:v>38</c:v>
                </c:pt>
                <c:pt idx="3">
                  <c:v>43</c:v>
                </c:pt>
                <c:pt idx="4">
                  <c:v>51</c:v>
                </c:pt>
                <c:pt idx="5">
                  <c:v>37</c:v>
                </c:pt>
                <c:pt idx="6">
                  <c:v>50</c:v>
                </c:pt>
                <c:pt idx="7">
                  <c:v>69</c:v>
                </c:pt>
                <c:pt idx="8">
                  <c:v>46</c:v>
                </c:pt>
                <c:pt idx="9">
                  <c:v>49</c:v>
                </c:pt>
                <c:pt idx="10">
                  <c:v>38</c:v>
                </c:pt>
                <c:pt idx="11">
                  <c:v>60</c:v>
                </c:pt>
                <c:pt idx="12">
                  <c:v>32</c:v>
                </c:pt>
                <c:pt idx="13">
                  <c:v>43</c:v>
                </c:pt>
                <c:pt idx="14">
                  <c:v>57</c:v>
                </c:pt>
                <c:pt idx="15">
                  <c:v>56</c:v>
                </c:pt>
                <c:pt idx="16">
                  <c:v>41</c:v>
                </c:pt>
                <c:pt idx="17">
                  <c:v>58</c:v>
                </c:pt>
                <c:pt idx="18">
                  <c:v>52</c:v>
                </c:pt>
                <c:pt idx="19">
                  <c:v>43</c:v>
                </c:pt>
                <c:pt idx="20">
                  <c:v>48</c:v>
                </c:pt>
                <c:pt idx="21">
                  <c:v>60</c:v>
                </c:pt>
                <c:pt idx="22">
                  <c:v>38</c:v>
                </c:pt>
                <c:pt idx="23">
                  <c:v>36</c:v>
                </c:pt>
                <c:pt idx="24">
                  <c:v>40</c:v>
                </c:pt>
                <c:pt idx="25">
                  <c:v>30</c:v>
                </c:pt>
                <c:pt idx="26">
                  <c:v>42</c:v>
                </c:pt>
                <c:pt idx="27">
                  <c:v>39</c:v>
                </c:pt>
                <c:pt idx="28">
                  <c:v>42</c:v>
                </c:pt>
                <c:pt idx="29">
                  <c:v>42</c:v>
                </c:pt>
                <c:pt idx="3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37D-A703-FA1C9075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9400"/>
        <c:axId val="436755088"/>
      </c:barChart>
      <c:catAx>
        <c:axId val="43675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5088"/>
        <c:crosses val="autoZero"/>
        <c:auto val="1"/>
        <c:lblAlgn val="ctr"/>
        <c:lblOffset val="100"/>
        <c:noMultiLvlLbl val="0"/>
      </c:catAx>
      <c:valAx>
        <c:axId val="43675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940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46</c:v>
                </c:pt>
                <c:pt idx="3">
                  <c:v>38</c:v>
                </c:pt>
                <c:pt idx="4">
                  <c:v>41</c:v>
                </c:pt>
                <c:pt idx="5">
                  <c:v>37</c:v>
                </c:pt>
                <c:pt idx="6">
                  <c:v>36</c:v>
                </c:pt>
                <c:pt idx="7">
                  <c:v>42</c:v>
                </c:pt>
                <c:pt idx="8">
                  <c:v>34</c:v>
                </c:pt>
                <c:pt idx="9">
                  <c:v>31</c:v>
                </c:pt>
                <c:pt idx="10">
                  <c:v>45</c:v>
                </c:pt>
                <c:pt idx="11">
                  <c:v>36</c:v>
                </c:pt>
                <c:pt idx="12">
                  <c:v>48</c:v>
                </c:pt>
                <c:pt idx="13">
                  <c:v>30</c:v>
                </c:pt>
                <c:pt idx="14">
                  <c:v>39</c:v>
                </c:pt>
                <c:pt idx="15">
                  <c:v>40</c:v>
                </c:pt>
                <c:pt idx="16">
                  <c:v>43</c:v>
                </c:pt>
                <c:pt idx="17">
                  <c:v>51</c:v>
                </c:pt>
                <c:pt idx="18">
                  <c:v>47</c:v>
                </c:pt>
                <c:pt idx="19">
                  <c:v>42</c:v>
                </c:pt>
                <c:pt idx="20">
                  <c:v>48</c:v>
                </c:pt>
                <c:pt idx="21">
                  <c:v>44</c:v>
                </c:pt>
                <c:pt idx="22">
                  <c:v>68</c:v>
                </c:pt>
                <c:pt idx="23">
                  <c:v>48</c:v>
                </c:pt>
                <c:pt idx="24">
                  <c:v>46</c:v>
                </c:pt>
                <c:pt idx="25">
                  <c:v>67</c:v>
                </c:pt>
                <c:pt idx="26">
                  <c:v>46</c:v>
                </c:pt>
                <c:pt idx="27">
                  <c:v>44</c:v>
                </c:pt>
                <c:pt idx="28">
                  <c:v>61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F60-A81A-285783B18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1952"/>
        <c:axId val="436760184"/>
      </c:barChart>
      <c:catAx>
        <c:axId val="43675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0184"/>
        <c:crosses val="autoZero"/>
        <c:auto val="1"/>
        <c:lblAlgn val="ctr"/>
        <c:lblOffset val="100"/>
        <c:noMultiLvlLbl val="0"/>
      </c:catAx>
      <c:valAx>
        <c:axId val="43676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195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57</c:v>
                </c:pt>
                <c:pt idx="1">
                  <c:v>51</c:v>
                </c:pt>
                <c:pt idx="2">
                  <c:v>61</c:v>
                </c:pt>
                <c:pt idx="3">
                  <c:v>45</c:v>
                </c:pt>
                <c:pt idx="4">
                  <c:v>34</c:v>
                </c:pt>
                <c:pt idx="5">
                  <c:v>54</c:v>
                </c:pt>
                <c:pt idx="6">
                  <c:v>57</c:v>
                </c:pt>
                <c:pt idx="7">
                  <c:v>49</c:v>
                </c:pt>
                <c:pt idx="8">
                  <c:v>55</c:v>
                </c:pt>
                <c:pt idx="9">
                  <c:v>54</c:v>
                </c:pt>
                <c:pt idx="10">
                  <c:v>57</c:v>
                </c:pt>
                <c:pt idx="11">
                  <c:v>28</c:v>
                </c:pt>
                <c:pt idx="12">
                  <c:v>52</c:v>
                </c:pt>
                <c:pt idx="13">
                  <c:v>43</c:v>
                </c:pt>
                <c:pt idx="14">
                  <c:v>54</c:v>
                </c:pt>
                <c:pt idx="15">
                  <c:v>47</c:v>
                </c:pt>
                <c:pt idx="16">
                  <c:v>40</c:v>
                </c:pt>
                <c:pt idx="17">
                  <c:v>60</c:v>
                </c:pt>
                <c:pt idx="18">
                  <c:v>28</c:v>
                </c:pt>
                <c:pt idx="19">
                  <c:v>59</c:v>
                </c:pt>
                <c:pt idx="20">
                  <c:v>57</c:v>
                </c:pt>
                <c:pt idx="21">
                  <c:v>40</c:v>
                </c:pt>
                <c:pt idx="22">
                  <c:v>51</c:v>
                </c:pt>
                <c:pt idx="23">
                  <c:v>55</c:v>
                </c:pt>
                <c:pt idx="24">
                  <c:v>53</c:v>
                </c:pt>
                <c:pt idx="25">
                  <c:v>36</c:v>
                </c:pt>
                <c:pt idx="26">
                  <c:v>29</c:v>
                </c:pt>
                <c:pt idx="27">
                  <c:v>46</c:v>
                </c:pt>
                <c:pt idx="28">
                  <c:v>43</c:v>
                </c:pt>
                <c:pt idx="29">
                  <c:v>45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C-4963-AE26-9BF7B99E1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51560"/>
        <c:axId val="436762536"/>
      </c:barChart>
      <c:catAx>
        <c:axId val="43675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2536"/>
        <c:crosses val="autoZero"/>
        <c:auto val="1"/>
        <c:lblAlgn val="ctr"/>
        <c:lblOffset val="100"/>
        <c:noMultiLvlLbl val="0"/>
      </c:catAx>
      <c:valAx>
        <c:axId val="43676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156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37</c:v>
                </c:pt>
                <c:pt idx="1">
                  <c:v>48</c:v>
                </c:pt>
                <c:pt idx="2">
                  <c:v>47</c:v>
                </c:pt>
                <c:pt idx="3">
                  <c:v>37</c:v>
                </c:pt>
                <c:pt idx="4">
                  <c:v>60</c:v>
                </c:pt>
                <c:pt idx="5">
                  <c:v>44</c:v>
                </c:pt>
                <c:pt idx="6">
                  <c:v>39</c:v>
                </c:pt>
                <c:pt idx="7">
                  <c:v>47</c:v>
                </c:pt>
                <c:pt idx="8">
                  <c:v>46</c:v>
                </c:pt>
                <c:pt idx="9">
                  <c:v>48</c:v>
                </c:pt>
                <c:pt idx="10">
                  <c:v>49</c:v>
                </c:pt>
                <c:pt idx="11">
                  <c:v>43</c:v>
                </c:pt>
                <c:pt idx="12">
                  <c:v>48</c:v>
                </c:pt>
                <c:pt idx="13">
                  <c:v>52</c:v>
                </c:pt>
                <c:pt idx="14">
                  <c:v>50</c:v>
                </c:pt>
                <c:pt idx="15">
                  <c:v>43</c:v>
                </c:pt>
                <c:pt idx="16">
                  <c:v>21</c:v>
                </c:pt>
                <c:pt idx="17">
                  <c:v>78</c:v>
                </c:pt>
                <c:pt idx="18">
                  <c:v>47</c:v>
                </c:pt>
                <c:pt idx="19">
                  <c:v>50</c:v>
                </c:pt>
                <c:pt idx="20">
                  <c:v>55</c:v>
                </c:pt>
                <c:pt idx="21">
                  <c:v>46</c:v>
                </c:pt>
                <c:pt idx="22">
                  <c:v>48</c:v>
                </c:pt>
                <c:pt idx="23">
                  <c:v>48</c:v>
                </c:pt>
                <c:pt idx="24">
                  <c:v>63</c:v>
                </c:pt>
                <c:pt idx="25">
                  <c:v>41</c:v>
                </c:pt>
                <c:pt idx="26">
                  <c:v>50</c:v>
                </c:pt>
                <c:pt idx="27">
                  <c:v>62</c:v>
                </c:pt>
                <c:pt idx="28">
                  <c:v>44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4-41A7-BAD9-D5127CB8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1160"/>
        <c:axId val="436772336"/>
      </c:barChart>
      <c:catAx>
        <c:axId val="43677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2336"/>
        <c:crosses val="autoZero"/>
        <c:auto val="1"/>
        <c:lblAlgn val="ctr"/>
        <c:lblOffset val="100"/>
        <c:noMultiLvlLbl val="0"/>
      </c:catAx>
      <c:valAx>
        <c:axId val="4367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116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61</c:v>
                </c:pt>
                <c:pt idx="1">
                  <c:v>42</c:v>
                </c:pt>
                <c:pt idx="2">
                  <c:v>72</c:v>
                </c:pt>
                <c:pt idx="3">
                  <c:v>24</c:v>
                </c:pt>
                <c:pt idx="4">
                  <c:v>54</c:v>
                </c:pt>
                <c:pt idx="5">
                  <c:v>48</c:v>
                </c:pt>
                <c:pt idx="6">
                  <c:v>46</c:v>
                </c:pt>
                <c:pt idx="7">
                  <c:v>55</c:v>
                </c:pt>
                <c:pt idx="8">
                  <c:v>50</c:v>
                </c:pt>
                <c:pt idx="9">
                  <c:v>39</c:v>
                </c:pt>
                <c:pt idx="10">
                  <c:v>45</c:v>
                </c:pt>
                <c:pt idx="11">
                  <c:v>45</c:v>
                </c:pt>
                <c:pt idx="12">
                  <c:v>51</c:v>
                </c:pt>
                <c:pt idx="13">
                  <c:v>47</c:v>
                </c:pt>
                <c:pt idx="14">
                  <c:v>54</c:v>
                </c:pt>
                <c:pt idx="15">
                  <c:v>45</c:v>
                </c:pt>
                <c:pt idx="16">
                  <c:v>54</c:v>
                </c:pt>
                <c:pt idx="17">
                  <c:v>37</c:v>
                </c:pt>
                <c:pt idx="18">
                  <c:v>53</c:v>
                </c:pt>
                <c:pt idx="19">
                  <c:v>50</c:v>
                </c:pt>
                <c:pt idx="20">
                  <c:v>40</c:v>
                </c:pt>
                <c:pt idx="21">
                  <c:v>41</c:v>
                </c:pt>
                <c:pt idx="22">
                  <c:v>45</c:v>
                </c:pt>
                <c:pt idx="23">
                  <c:v>42</c:v>
                </c:pt>
                <c:pt idx="24">
                  <c:v>36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62</c:v>
                </c:pt>
                <c:pt idx="29">
                  <c:v>6</c:v>
                </c:pt>
                <c:pt idx="3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2-453B-AD7E-E3E11052B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7632"/>
        <c:axId val="436771944"/>
      </c:barChart>
      <c:catAx>
        <c:axId val="43676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1944"/>
        <c:crosses val="autoZero"/>
        <c:auto val="1"/>
        <c:lblAlgn val="ctr"/>
        <c:lblOffset val="100"/>
        <c:noMultiLvlLbl val="0"/>
      </c:catAx>
      <c:valAx>
        <c:axId val="43677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763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46</c:v>
                </c:pt>
                <c:pt idx="1">
                  <c:v>69</c:v>
                </c:pt>
                <c:pt idx="2">
                  <c:v>53</c:v>
                </c:pt>
                <c:pt idx="3">
                  <c:v>44</c:v>
                </c:pt>
                <c:pt idx="4">
                  <c:v>62</c:v>
                </c:pt>
                <c:pt idx="5">
                  <c:v>50</c:v>
                </c:pt>
                <c:pt idx="6">
                  <c:v>61</c:v>
                </c:pt>
                <c:pt idx="7">
                  <c:v>56</c:v>
                </c:pt>
                <c:pt idx="8">
                  <c:v>31</c:v>
                </c:pt>
                <c:pt idx="9">
                  <c:v>54</c:v>
                </c:pt>
                <c:pt idx="10">
                  <c:v>44</c:v>
                </c:pt>
                <c:pt idx="11">
                  <c:v>57</c:v>
                </c:pt>
                <c:pt idx="12">
                  <c:v>43</c:v>
                </c:pt>
                <c:pt idx="13">
                  <c:v>49</c:v>
                </c:pt>
                <c:pt idx="14">
                  <c:v>39</c:v>
                </c:pt>
                <c:pt idx="15">
                  <c:v>51</c:v>
                </c:pt>
                <c:pt idx="16">
                  <c:v>49</c:v>
                </c:pt>
                <c:pt idx="17">
                  <c:v>49</c:v>
                </c:pt>
                <c:pt idx="18">
                  <c:v>58</c:v>
                </c:pt>
                <c:pt idx="19">
                  <c:v>57</c:v>
                </c:pt>
                <c:pt idx="20">
                  <c:v>39</c:v>
                </c:pt>
                <c:pt idx="21">
                  <c:v>47</c:v>
                </c:pt>
                <c:pt idx="22">
                  <c:v>44</c:v>
                </c:pt>
                <c:pt idx="23">
                  <c:v>57</c:v>
                </c:pt>
                <c:pt idx="24">
                  <c:v>36</c:v>
                </c:pt>
                <c:pt idx="25">
                  <c:v>55</c:v>
                </c:pt>
                <c:pt idx="26">
                  <c:v>44</c:v>
                </c:pt>
                <c:pt idx="27">
                  <c:v>57</c:v>
                </c:pt>
                <c:pt idx="28">
                  <c:v>45</c:v>
                </c:pt>
                <c:pt idx="29">
                  <c:v>60</c:v>
                </c:pt>
                <c:pt idx="3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7-4243-80B3-CEEA516F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4888"/>
        <c:axId val="436773120"/>
      </c:barChart>
      <c:catAx>
        <c:axId val="43676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3120"/>
        <c:crosses val="autoZero"/>
        <c:auto val="1"/>
        <c:lblAlgn val="ctr"/>
        <c:lblOffset val="100"/>
        <c:noMultiLvlLbl val="0"/>
      </c:catAx>
      <c:valAx>
        <c:axId val="4367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48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20</c:v>
                </c:pt>
                <c:pt idx="1">
                  <c:v>68</c:v>
                </c:pt>
                <c:pt idx="2">
                  <c:v>51</c:v>
                </c:pt>
                <c:pt idx="3">
                  <c:v>47</c:v>
                </c:pt>
                <c:pt idx="4">
                  <c:v>40</c:v>
                </c:pt>
                <c:pt idx="5">
                  <c:v>65</c:v>
                </c:pt>
                <c:pt idx="6">
                  <c:v>73</c:v>
                </c:pt>
                <c:pt idx="7">
                  <c:v>25</c:v>
                </c:pt>
                <c:pt idx="8">
                  <c:v>63</c:v>
                </c:pt>
                <c:pt idx="9">
                  <c:v>68</c:v>
                </c:pt>
                <c:pt idx="10">
                  <c:v>66</c:v>
                </c:pt>
                <c:pt idx="11">
                  <c:v>47</c:v>
                </c:pt>
                <c:pt idx="12">
                  <c:v>28</c:v>
                </c:pt>
                <c:pt idx="13">
                  <c:v>55</c:v>
                </c:pt>
                <c:pt idx="14">
                  <c:v>50</c:v>
                </c:pt>
                <c:pt idx="15">
                  <c:v>59</c:v>
                </c:pt>
                <c:pt idx="16">
                  <c:v>57</c:v>
                </c:pt>
                <c:pt idx="17">
                  <c:v>50</c:v>
                </c:pt>
                <c:pt idx="18">
                  <c:v>39</c:v>
                </c:pt>
                <c:pt idx="19">
                  <c:v>52</c:v>
                </c:pt>
                <c:pt idx="20">
                  <c:v>73</c:v>
                </c:pt>
                <c:pt idx="21">
                  <c:v>40</c:v>
                </c:pt>
                <c:pt idx="22">
                  <c:v>54</c:v>
                </c:pt>
                <c:pt idx="23">
                  <c:v>35</c:v>
                </c:pt>
                <c:pt idx="24">
                  <c:v>84</c:v>
                </c:pt>
                <c:pt idx="25">
                  <c:v>24</c:v>
                </c:pt>
                <c:pt idx="26">
                  <c:v>64</c:v>
                </c:pt>
                <c:pt idx="27">
                  <c:v>50</c:v>
                </c:pt>
                <c:pt idx="28">
                  <c:v>56</c:v>
                </c:pt>
                <c:pt idx="2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6E2-A0C4-7BA0C395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8808"/>
        <c:axId val="436766456"/>
      </c:barChart>
      <c:catAx>
        <c:axId val="43676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6456"/>
        <c:crosses val="autoZero"/>
        <c:auto val="1"/>
        <c:lblAlgn val="ctr"/>
        <c:lblOffset val="100"/>
        <c:noMultiLvlLbl val="0"/>
      </c:catAx>
      <c:valAx>
        <c:axId val="43676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88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2-48DC-8E3A-2E743CD19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1752"/>
        <c:axId val="436762144"/>
      </c:barChart>
      <c:catAx>
        <c:axId val="43676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2144"/>
        <c:crosses val="autoZero"/>
        <c:auto val="1"/>
        <c:lblAlgn val="ctr"/>
        <c:lblOffset val="100"/>
        <c:noMultiLvlLbl val="0"/>
      </c:catAx>
      <c:valAx>
        <c:axId val="4367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175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FEE-B1D7-A70EAF0AD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70376"/>
        <c:axId val="436762928"/>
      </c:barChart>
      <c:catAx>
        <c:axId val="43677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2928"/>
        <c:crosses val="autoZero"/>
        <c:auto val="1"/>
        <c:lblAlgn val="ctr"/>
        <c:lblOffset val="100"/>
        <c:noMultiLvlLbl val="0"/>
      </c:catAx>
      <c:valAx>
        <c:axId val="4367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037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F23-9C93-C8CB692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5280"/>
        <c:axId val="436760968"/>
      </c:barChart>
      <c:catAx>
        <c:axId val="4367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0968"/>
        <c:crosses val="autoZero"/>
        <c:auto val="1"/>
        <c:lblAlgn val="ctr"/>
        <c:lblOffset val="100"/>
        <c:noMultiLvlLbl val="0"/>
      </c:catAx>
      <c:valAx>
        <c:axId val="43676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528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50</c:v>
                </c:pt>
                <c:pt idx="1">
                  <c:v>47</c:v>
                </c:pt>
                <c:pt idx="2">
                  <c:v>42</c:v>
                </c:pt>
                <c:pt idx="3">
                  <c:v>54</c:v>
                </c:pt>
                <c:pt idx="4">
                  <c:v>45</c:v>
                </c:pt>
                <c:pt idx="5">
                  <c:v>56</c:v>
                </c:pt>
                <c:pt idx="6">
                  <c:v>33</c:v>
                </c:pt>
                <c:pt idx="7">
                  <c:v>77</c:v>
                </c:pt>
                <c:pt idx="8">
                  <c:v>46</c:v>
                </c:pt>
                <c:pt idx="9">
                  <c:v>35</c:v>
                </c:pt>
                <c:pt idx="10">
                  <c:v>34</c:v>
                </c:pt>
                <c:pt idx="11">
                  <c:v>47</c:v>
                </c:pt>
                <c:pt idx="12">
                  <c:v>44</c:v>
                </c:pt>
                <c:pt idx="13">
                  <c:v>31</c:v>
                </c:pt>
                <c:pt idx="14">
                  <c:v>60</c:v>
                </c:pt>
                <c:pt idx="15">
                  <c:v>42</c:v>
                </c:pt>
                <c:pt idx="16">
                  <c:v>37</c:v>
                </c:pt>
                <c:pt idx="17">
                  <c:v>49</c:v>
                </c:pt>
                <c:pt idx="18">
                  <c:v>44</c:v>
                </c:pt>
                <c:pt idx="19">
                  <c:v>44</c:v>
                </c:pt>
                <c:pt idx="20">
                  <c:v>36</c:v>
                </c:pt>
                <c:pt idx="21">
                  <c:v>49</c:v>
                </c:pt>
                <c:pt idx="22">
                  <c:v>49</c:v>
                </c:pt>
                <c:pt idx="23">
                  <c:v>41</c:v>
                </c:pt>
                <c:pt idx="24">
                  <c:v>49</c:v>
                </c:pt>
                <c:pt idx="25">
                  <c:v>48</c:v>
                </c:pt>
                <c:pt idx="26">
                  <c:v>48</c:v>
                </c:pt>
                <c:pt idx="27">
                  <c:v>58</c:v>
                </c:pt>
                <c:pt idx="28">
                  <c:v>34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F-4F77-86E9-5DA28FBDD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4104"/>
        <c:axId val="436765672"/>
      </c:barChart>
      <c:catAx>
        <c:axId val="43676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5672"/>
        <c:crosses val="autoZero"/>
        <c:auto val="1"/>
        <c:lblAlgn val="ctr"/>
        <c:lblOffset val="100"/>
        <c:noMultiLvlLbl val="0"/>
      </c:catAx>
      <c:valAx>
        <c:axId val="43676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410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35</c:v>
                </c:pt>
                <c:pt idx="2">
                  <c:v>39</c:v>
                </c:pt>
                <c:pt idx="3">
                  <c:v>46</c:v>
                </c:pt>
                <c:pt idx="4">
                  <c:v>39</c:v>
                </c:pt>
                <c:pt idx="5">
                  <c:v>47</c:v>
                </c:pt>
                <c:pt idx="6">
                  <c:v>40</c:v>
                </c:pt>
                <c:pt idx="7">
                  <c:v>43</c:v>
                </c:pt>
                <c:pt idx="8">
                  <c:v>51</c:v>
                </c:pt>
                <c:pt idx="9">
                  <c:v>47</c:v>
                </c:pt>
                <c:pt idx="10">
                  <c:v>70</c:v>
                </c:pt>
                <c:pt idx="11">
                  <c:v>39</c:v>
                </c:pt>
                <c:pt idx="12">
                  <c:v>48</c:v>
                </c:pt>
                <c:pt idx="13">
                  <c:v>32</c:v>
                </c:pt>
                <c:pt idx="14">
                  <c:v>46</c:v>
                </c:pt>
                <c:pt idx="15">
                  <c:v>75</c:v>
                </c:pt>
                <c:pt idx="16">
                  <c:v>24</c:v>
                </c:pt>
                <c:pt idx="17">
                  <c:v>58</c:v>
                </c:pt>
                <c:pt idx="18">
                  <c:v>23</c:v>
                </c:pt>
                <c:pt idx="19">
                  <c:v>50</c:v>
                </c:pt>
                <c:pt idx="20">
                  <c:v>61</c:v>
                </c:pt>
                <c:pt idx="21">
                  <c:v>41</c:v>
                </c:pt>
                <c:pt idx="22">
                  <c:v>45</c:v>
                </c:pt>
                <c:pt idx="23">
                  <c:v>66</c:v>
                </c:pt>
                <c:pt idx="24">
                  <c:v>22</c:v>
                </c:pt>
                <c:pt idx="25">
                  <c:v>39</c:v>
                </c:pt>
                <c:pt idx="26">
                  <c:v>62</c:v>
                </c:pt>
                <c:pt idx="27">
                  <c:v>68</c:v>
                </c:pt>
                <c:pt idx="28">
                  <c:v>0</c:v>
                </c:pt>
                <c:pt idx="29">
                  <c:v>62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6-44E4-8F7A-4AA84D5CF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6848"/>
        <c:axId val="436767240"/>
      </c:barChart>
      <c:catAx>
        <c:axId val="4367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7240"/>
        <c:crosses val="autoZero"/>
        <c:auto val="1"/>
        <c:lblAlgn val="ctr"/>
        <c:lblOffset val="100"/>
        <c:noMultiLvlLbl val="0"/>
      </c:catAx>
      <c:valAx>
        <c:axId val="43676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684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5-4DAA-B0FA-967DF7CF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768024"/>
        <c:axId val="436768416"/>
      </c:barChart>
      <c:catAx>
        <c:axId val="43676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8416"/>
        <c:crosses val="autoZero"/>
        <c:auto val="1"/>
        <c:lblAlgn val="ctr"/>
        <c:lblOffset val="100"/>
        <c:noMultiLvlLbl val="0"/>
      </c:catAx>
      <c:valAx>
        <c:axId val="4367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802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44</c:v>
                </c:pt>
                <c:pt idx="1">
                  <c:v>37</c:v>
                </c:pt>
                <c:pt idx="2">
                  <c:v>47</c:v>
                </c:pt>
                <c:pt idx="3">
                  <c:v>39</c:v>
                </c:pt>
                <c:pt idx="4">
                  <c:v>41</c:v>
                </c:pt>
                <c:pt idx="5">
                  <c:v>45</c:v>
                </c:pt>
                <c:pt idx="6">
                  <c:v>70</c:v>
                </c:pt>
                <c:pt idx="7">
                  <c:v>41</c:v>
                </c:pt>
                <c:pt idx="8">
                  <c:v>24</c:v>
                </c:pt>
                <c:pt idx="9">
                  <c:v>54</c:v>
                </c:pt>
                <c:pt idx="10">
                  <c:v>45</c:v>
                </c:pt>
                <c:pt idx="11">
                  <c:v>45</c:v>
                </c:pt>
                <c:pt idx="12">
                  <c:v>46</c:v>
                </c:pt>
                <c:pt idx="13">
                  <c:v>62</c:v>
                </c:pt>
                <c:pt idx="14">
                  <c:v>70</c:v>
                </c:pt>
                <c:pt idx="15">
                  <c:v>80</c:v>
                </c:pt>
                <c:pt idx="16">
                  <c:v>22</c:v>
                </c:pt>
                <c:pt idx="17">
                  <c:v>44</c:v>
                </c:pt>
                <c:pt idx="18">
                  <c:v>43</c:v>
                </c:pt>
                <c:pt idx="19">
                  <c:v>61</c:v>
                </c:pt>
                <c:pt idx="20">
                  <c:v>50</c:v>
                </c:pt>
                <c:pt idx="21">
                  <c:v>81</c:v>
                </c:pt>
                <c:pt idx="22">
                  <c:v>44</c:v>
                </c:pt>
                <c:pt idx="23">
                  <c:v>49</c:v>
                </c:pt>
                <c:pt idx="24">
                  <c:v>55</c:v>
                </c:pt>
                <c:pt idx="25">
                  <c:v>61</c:v>
                </c:pt>
                <c:pt idx="26">
                  <c:v>60</c:v>
                </c:pt>
                <c:pt idx="27">
                  <c:v>68</c:v>
                </c:pt>
                <c:pt idx="2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E38-925C-3F77EAA2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18400"/>
        <c:axId val="438610560"/>
      </c:barChart>
      <c:catAx>
        <c:axId val="4386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10560"/>
        <c:crosses val="autoZero"/>
        <c:auto val="1"/>
        <c:lblAlgn val="ctr"/>
        <c:lblOffset val="100"/>
        <c:noMultiLvlLbl val="0"/>
      </c:catAx>
      <c:valAx>
        <c:axId val="4386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1840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40</c:v>
                </c:pt>
                <c:pt idx="1">
                  <c:v>49</c:v>
                </c:pt>
                <c:pt idx="2">
                  <c:v>45</c:v>
                </c:pt>
                <c:pt idx="3">
                  <c:v>59</c:v>
                </c:pt>
                <c:pt idx="4">
                  <c:v>43</c:v>
                </c:pt>
                <c:pt idx="5">
                  <c:v>53</c:v>
                </c:pt>
                <c:pt idx="6">
                  <c:v>65</c:v>
                </c:pt>
                <c:pt idx="7">
                  <c:v>56</c:v>
                </c:pt>
                <c:pt idx="8">
                  <c:v>23</c:v>
                </c:pt>
                <c:pt idx="9">
                  <c:v>53</c:v>
                </c:pt>
                <c:pt idx="10">
                  <c:v>52</c:v>
                </c:pt>
                <c:pt idx="11">
                  <c:v>67</c:v>
                </c:pt>
                <c:pt idx="12">
                  <c:v>59</c:v>
                </c:pt>
                <c:pt idx="13">
                  <c:v>48</c:v>
                </c:pt>
                <c:pt idx="14">
                  <c:v>46</c:v>
                </c:pt>
                <c:pt idx="15">
                  <c:v>46</c:v>
                </c:pt>
                <c:pt idx="16">
                  <c:v>73</c:v>
                </c:pt>
                <c:pt idx="17">
                  <c:v>61</c:v>
                </c:pt>
                <c:pt idx="18">
                  <c:v>57</c:v>
                </c:pt>
                <c:pt idx="19">
                  <c:v>60</c:v>
                </c:pt>
                <c:pt idx="20">
                  <c:v>65</c:v>
                </c:pt>
                <c:pt idx="21">
                  <c:v>61</c:v>
                </c:pt>
                <c:pt idx="22">
                  <c:v>48</c:v>
                </c:pt>
                <c:pt idx="23">
                  <c:v>58</c:v>
                </c:pt>
                <c:pt idx="24">
                  <c:v>55</c:v>
                </c:pt>
                <c:pt idx="25">
                  <c:v>49</c:v>
                </c:pt>
                <c:pt idx="26">
                  <c:v>58</c:v>
                </c:pt>
                <c:pt idx="27">
                  <c:v>60</c:v>
                </c:pt>
                <c:pt idx="28">
                  <c:v>53</c:v>
                </c:pt>
                <c:pt idx="2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B-4609-831A-C80D7AA8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14480"/>
        <c:axId val="438617616"/>
      </c:barChart>
      <c:catAx>
        <c:axId val="4386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17616"/>
        <c:crosses val="autoZero"/>
        <c:auto val="1"/>
        <c:lblAlgn val="ctr"/>
        <c:lblOffset val="100"/>
        <c:noMultiLvlLbl val="0"/>
      </c:catAx>
      <c:valAx>
        <c:axId val="4386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1448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'[2]Reading.5.24'!$EG$6:$EG$36</c:f>
              <c:numCache>
                <c:formatCode>General</c:formatCode>
                <c:ptCount val="31"/>
                <c:pt idx="0">
                  <c:v>50</c:v>
                </c:pt>
                <c:pt idx="1">
                  <c:v>54</c:v>
                </c:pt>
                <c:pt idx="2">
                  <c:v>61</c:v>
                </c:pt>
                <c:pt idx="3">
                  <c:v>60</c:v>
                </c:pt>
                <c:pt idx="4">
                  <c:v>46</c:v>
                </c:pt>
                <c:pt idx="5">
                  <c:v>24</c:v>
                </c:pt>
                <c:pt idx="6">
                  <c:v>49</c:v>
                </c:pt>
                <c:pt idx="7">
                  <c:v>51</c:v>
                </c:pt>
                <c:pt idx="8">
                  <c:v>50</c:v>
                </c:pt>
                <c:pt idx="9">
                  <c:v>54</c:v>
                </c:pt>
                <c:pt idx="10">
                  <c:v>62</c:v>
                </c:pt>
                <c:pt idx="11">
                  <c:v>70</c:v>
                </c:pt>
                <c:pt idx="12">
                  <c:v>23</c:v>
                </c:pt>
                <c:pt idx="13">
                  <c:v>48</c:v>
                </c:pt>
                <c:pt idx="14">
                  <c:v>73</c:v>
                </c:pt>
                <c:pt idx="15">
                  <c:v>50</c:v>
                </c:pt>
                <c:pt idx="16">
                  <c:v>49</c:v>
                </c:pt>
                <c:pt idx="17">
                  <c:v>86</c:v>
                </c:pt>
                <c:pt idx="18">
                  <c:v>30</c:v>
                </c:pt>
                <c:pt idx="19">
                  <c:v>50</c:v>
                </c:pt>
                <c:pt idx="20">
                  <c:v>46</c:v>
                </c:pt>
                <c:pt idx="21">
                  <c:v>46</c:v>
                </c:pt>
                <c:pt idx="22">
                  <c:v>49</c:v>
                </c:pt>
                <c:pt idx="23">
                  <c:v>53</c:v>
                </c:pt>
                <c:pt idx="24">
                  <c:v>58</c:v>
                </c:pt>
                <c:pt idx="25">
                  <c:v>43</c:v>
                </c:pt>
                <c:pt idx="26">
                  <c:v>43</c:v>
                </c:pt>
                <c:pt idx="27">
                  <c:v>43</c:v>
                </c:pt>
                <c:pt idx="28">
                  <c:v>53</c:v>
                </c:pt>
                <c:pt idx="2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C-49E4-AFA3-7115361F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742256"/>
        <c:axId val="458742648"/>
      </c:barChart>
      <c:catAx>
        <c:axId val="45874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42648"/>
        <c:crosses val="autoZero"/>
        <c:auto val="1"/>
        <c:lblAlgn val="ctr"/>
        <c:lblOffset val="100"/>
        <c:noMultiLvlLbl val="0"/>
      </c:catAx>
      <c:valAx>
        <c:axId val="45874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4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24999999999999"/>
          <c:y val="4.2500000000000003E-2"/>
          <c:w val="0.65749999999999997"/>
          <c:h val="0.8329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Actual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A1-4F18-88AD-8C89CBEB375F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new'!$E$22</c:f>
              <c:numCache>
                <c:formatCode>_(* #,##0.00_);_(* \(#,##0.00\);_(* "-"??_);_(@_)</c:formatCode>
                <c:ptCount val="1"/>
                <c:pt idx="0">
                  <c:v>189.86451188446625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D-4AF9-A030-49648E76EDED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Budget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A1-4F18-88AD-8C89CBEB375F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new'!$F$22</c:f>
              <c:numCache>
                <c:formatCode>_(* #,##0.00_);_(* \(#,##0.00\);_(* "-"??_);_(@_)</c:formatCode>
                <c:ptCount val="1"/>
                <c:pt idx="0">
                  <c:v>403.90229736148893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D-4AF9-A030-49648E76EDED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solidFill>
                          <a:srgbClr val="FFFF00"/>
                        </a:solidFill>
                        <a:latin typeface="Arial"/>
                        <a:ea typeface="Arial"/>
                        <a:cs typeface="Arial"/>
                      </a:rPr>
                      <a:t> 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A1-4F18-88AD-8C89CBEB375F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new'!$G$22</c:f>
              <c:numCache>
                <c:formatCode>_(* #,##0.00_);_(* \(#,##0.00\);_(* "-"??_);_(@_)</c:formatCode>
                <c:ptCount val="1"/>
                <c:pt idx="0">
                  <c:v>132.20781212145408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2D-4AF9-A030-49648E76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08992"/>
        <c:axId val="438614088"/>
      </c:barChart>
      <c:catAx>
        <c:axId val="43860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438614088"/>
        <c:crossesAt val="0"/>
        <c:auto val="1"/>
        <c:lblAlgn val="ctr"/>
        <c:lblOffset val="100"/>
        <c:tickLblSkip val="1"/>
        <c:noMultiLvlLbl val="0"/>
      </c:catAx>
      <c:valAx>
        <c:axId val="4386140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spPr>
          <a:ln w="9525" cap="flat" cmpd="sng"/>
        </c:spPr>
        <c:crossAx val="438608992"/>
        <c:crossesAt val="1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E2-4446-8500-F165B13D41D4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new'!$E$12</c:f>
              <c:numCache>
                <c:formatCode>_(* #,##0_);_(* \(#,##0\);_(* "-"??_);_(@_)</c:formatCode>
                <c:ptCount val="1"/>
                <c:pt idx="0">
                  <c:v>295880.00000000466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5-4CE0-BD4A-19F681C361A0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E2-4446-8500-F165B13D41D4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new'!$F$12</c:f>
              <c:numCache>
                <c:formatCode>_(* #,##0_);_(* \(#,##0\);_(* "-"??_);_(@_)</c:formatCode>
                <c:ptCount val="1"/>
                <c:pt idx="0">
                  <c:v>309272.77419354836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5-4CE0-BD4A-19F681C361A0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E2-4446-8500-F165B13D41D4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new'!$G$12</c:f>
              <c:numCache>
                <c:formatCode>_(* #,##0_);_(* \(#,##0\);_(* "-"??_);_(@_)</c:formatCode>
                <c:ptCount val="1"/>
                <c:pt idx="0">
                  <c:v>267519.99999998952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5-4CE0-BD4A-19F681C3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18792"/>
        <c:axId val="438610952"/>
      </c:barChart>
      <c:catAx>
        <c:axId val="438618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8610952"/>
        <c:crosses val="autoZero"/>
        <c:auto val="1"/>
        <c:lblAlgn val="ctr"/>
        <c:lblOffset val="100"/>
        <c:noMultiLvlLbl val="0"/>
      </c:catAx>
      <c:valAx>
        <c:axId val="4386109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8618792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EC-4327-8926-05F645B8423B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new'!$E$15</c:f>
              <c:numCache>
                <c:formatCode>_(* #,##0_);_(* \(#,##0\);_(* "-"??_);_(@_)</c:formatCode>
                <c:ptCount val="1"/>
                <c:pt idx="0">
                  <c:v>5306.1100000000006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3-4ABC-A7D6-38F4A9D19CEC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EC-4327-8926-05F645B8423B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new'!$F$15</c:f>
              <c:numCache>
                <c:formatCode>_(* #,##0_);_(* \(#,##0\);_(* "-"??_);_(@_)</c:formatCode>
                <c:ptCount val="1"/>
                <c:pt idx="0">
                  <c:v>4181.8064516129025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3-4ABC-A7D6-38F4A9D19CEC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EC-4327-8926-05F645B8423B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new'!$G$15</c:f>
              <c:numCache>
                <c:formatCode>_(* #,##0_);_(* \(#,##0\);_(* "-"??_);_(@_)</c:formatCode>
                <c:ptCount val="1"/>
                <c:pt idx="0">
                  <c:v>3881.62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3-4ABC-A7D6-38F4A9D1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14872"/>
        <c:axId val="438611344"/>
      </c:barChart>
      <c:catAx>
        <c:axId val="438614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8611344"/>
        <c:crosses val="autoZero"/>
        <c:auto val="1"/>
        <c:lblAlgn val="ctr"/>
        <c:lblOffset val="100"/>
        <c:noMultiLvlLbl val="0"/>
      </c:catAx>
      <c:valAx>
        <c:axId val="4386113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8614872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42-4884-A12C-4167F200E4ED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new'!$E$16</c:f>
              <c:numCache>
                <c:formatCode>_(* #,##0_);_(* \(#,##0\);_(* "-"??_);_(@_)</c:formatCode>
                <c:ptCount val="1"/>
                <c:pt idx="0">
                  <c:v>2067.9240000000004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A-46EF-BF16-5B8E57544B37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42-4884-A12C-4167F200E4ED}"/>
                </c:ext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new'!$F$16</c:f>
              <c:numCache>
                <c:formatCode>_(* #,##0_);_(* \(#,##0\);_(* "-"??_);_(@_)</c:formatCode>
                <c:ptCount val="1"/>
                <c:pt idx="0">
                  <c:v>1393.9354838709678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A-46EF-BF16-5B8E57544B37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42-4884-A12C-4167F200E4ED}"/>
                </c:ext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new'!$G$16</c:f>
              <c:numCache>
                <c:formatCode>_(* #,##0_);_(* \(#,##0\);_(* "-"??_);_(@_)</c:formatCode>
                <c:ptCount val="1"/>
                <c:pt idx="0">
                  <c:v>1423.7400000000002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BA-46EF-BF16-5B8E5754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13304"/>
        <c:axId val="438613696"/>
      </c:barChart>
      <c:catAx>
        <c:axId val="438613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38613696"/>
        <c:crosses val="autoZero"/>
        <c:auto val="1"/>
        <c:lblAlgn val="ctr"/>
        <c:lblOffset val="100"/>
        <c:noMultiLvlLbl val="0"/>
      </c:catAx>
      <c:valAx>
        <c:axId val="4386136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38613304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5"/>
  <sheetViews>
    <sheetView workbookViewId="0"/>
  </sheetViews>
  <pageMargins left="0.75" right="0.75" top="1" bottom="1" header="0.5" footer="0.5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6"/>
  <sheetViews>
    <sheetView zoomScale="77" workbookViewId="0" zoomToFit="1"/>
  </sheetViews>
  <pageMargins left="0.75" right="0.75" top="1" bottom="1" header="0.5" footer="0.5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7"/>
  <sheetViews>
    <sheetView zoomScale="66" workbookViewId="0"/>
  </sheetViews>
  <pageMargins left="0.75" right="0.75" top="1" bottom="1" header="0.5" footer="0.5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8"/>
  <sheetViews>
    <sheetView zoomScale="69" workbookViewId="0"/>
  </sheetViews>
  <pageMargins left="0.75" right="0.75" top="1" bottom="1" header="0.5" footer="0.5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26" Type="http://schemas.openxmlformats.org/officeDocument/2006/relationships/chart" Target="../charts/chart34.xml"/><Relationship Id="rId39" Type="http://schemas.openxmlformats.org/officeDocument/2006/relationships/chart" Target="../charts/chart47.xml"/><Relationship Id="rId21" Type="http://schemas.openxmlformats.org/officeDocument/2006/relationships/chart" Target="../charts/chart29.xml"/><Relationship Id="rId34" Type="http://schemas.openxmlformats.org/officeDocument/2006/relationships/chart" Target="../charts/chart42.xml"/><Relationship Id="rId42" Type="http://schemas.openxmlformats.org/officeDocument/2006/relationships/chart" Target="../charts/chart50.xml"/><Relationship Id="rId47" Type="http://schemas.openxmlformats.org/officeDocument/2006/relationships/chart" Target="../charts/chart55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29" Type="http://schemas.openxmlformats.org/officeDocument/2006/relationships/chart" Target="../charts/chart37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40" Type="http://schemas.openxmlformats.org/officeDocument/2006/relationships/chart" Target="../charts/chart48.xml"/><Relationship Id="rId45" Type="http://schemas.openxmlformats.org/officeDocument/2006/relationships/chart" Target="../charts/chart53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31" Type="http://schemas.openxmlformats.org/officeDocument/2006/relationships/chart" Target="../charts/chart39.xml"/><Relationship Id="rId44" Type="http://schemas.openxmlformats.org/officeDocument/2006/relationships/chart" Target="../charts/chart52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43" Type="http://schemas.openxmlformats.org/officeDocument/2006/relationships/chart" Target="../charts/chart51.xml"/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5" Type="http://schemas.openxmlformats.org/officeDocument/2006/relationships/chart" Target="../charts/chart33.xml"/><Relationship Id="rId33" Type="http://schemas.openxmlformats.org/officeDocument/2006/relationships/chart" Target="../charts/chart41.xml"/><Relationship Id="rId38" Type="http://schemas.openxmlformats.org/officeDocument/2006/relationships/chart" Target="../charts/chart46.xml"/><Relationship Id="rId46" Type="http://schemas.openxmlformats.org/officeDocument/2006/relationships/chart" Target="../charts/chart54.xml"/><Relationship Id="rId20" Type="http://schemas.openxmlformats.org/officeDocument/2006/relationships/chart" Target="../charts/chart28.xml"/><Relationship Id="rId41" Type="http://schemas.openxmlformats.org/officeDocument/2006/relationships/chart" Target="../charts/chart4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4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147204</xdr:colOff>
      <xdr:row>3</xdr:row>
      <xdr:rowOff>34636</xdr:rowOff>
    </xdr:from>
    <xdr:to>
      <xdr:col>16</xdr:col>
      <xdr:colOff>268432</xdr:colOff>
      <xdr:row>22</xdr:row>
      <xdr:rowOff>103911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590549</xdr:colOff>
      <xdr:row>24</xdr:row>
      <xdr:rowOff>104776</xdr:rowOff>
    </xdr:from>
    <xdr:to>
      <xdr:col>2</xdr:col>
      <xdr:colOff>895350</xdr:colOff>
      <xdr:row>43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418233</xdr:colOff>
      <xdr:row>25</xdr:row>
      <xdr:rowOff>4329</xdr:rowOff>
    </xdr:from>
    <xdr:to>
      <xdr:col>9</xdr:col>
      <xdr:colOff>839932</xdr:colOff>
      <xdr:row>43</xdr:row>
      <xdr:rowOff>90054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1187233</xdr:colOff>
      <xdr:row>24</xdr:row>
      <xdr:rowOff>110186</xdr:rowOff>
    </xdr:from>
    <xdr:to>
      <xdr:col>16</xdr:col>
      <xdr:colOff>288998</xdr:colOff>
      <xdr:row>43</xdr:row>
      <xdr:rowOff>76849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0.03225</cdr:x>
      <cdr:y>0.863</cdr:y>
    </cdr:from>
    <cdr:to>
      <cdr:x>0.12675</cdr:x>
      <cdr:y>0.95725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F9E61F8-0755-4A50-A02A-630D5A85B252}"/>
            </a:ext>
          </a:extLst>
        </cdr:cNvPr>
        <cdr:cNvSpPr txBox="1"/>
      </cdr:nvSpPr>
      <cdr:spPr>
        <a:xfrm xmlns:a="http://schemas.openxmlformats.org/drawingml/2006/main">
          <a:off x="152400" y="3409950"/>
          <a:ext cx="45720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0.05525</cdr:x>
      <cdr:y>0.8705</cdr:y>
    </cdr:from>
    <cdr:to>
      <cdr:x>0.17175</cdr:x>
      <cdr:y>0.96175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72239D4-51DF-4E8F-B471-BF0A7122DB69}"/>
            </a:ext>
          </a:extLst>
        </cdr:cNvPr>
        <cdr:cNvSpPr txBox="1"/>
      </cdr:nvSpPr>
      <cdr:spPr>
        <a:xfrm xmlns:a="http://schemas.openxmlformats.org/drawingml/2006/main">
          <a:off x="200025" y="2619375"/>
          <a:ext cx="4381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0.0145</cdr:x>
      <cdr:y>0.87825</cdr:y>
    </cdr:from>
    <cdr:to>
      <cdr:x>0.19225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A4DB49-5996-4113-819E-7D9DC6BE78DF}"/>
            </a:ext>
          </a:extLst>
        </cdr:cNvPr>
        <cdr:cNvSpPr txBox="1"/>
      </cdr:nvSpPr>
      <cdr:spPr>
        <a:xfrm xmlns:a="http://schemas.openxmlformats.org/drawingml/2006/main">
          <a:off x="85725" y="2628900"/>
          <a:ext cx="1095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0.8895</cdr:y>
    </cdr:from>
    <cdr:to>
      <cdr:x>0.169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9BC50F-2843-4755-879F-F1DC504A3458}"/>
            </a:ext>
          </a:extLst>
        </cdr:cNvPr>
        <cdr:cNvSpPr txBox="1"/>
      </cdr:nvSpPr>
      <cdr:spPr>
        <a:xfrm xmlns:a="http://schemas.openxmlformats.org/drawingml/2006/main">
          <a:off x="0" y="2676525"/>
          <a:ext cx="84772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461385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0</xdr:row>
      <xdr:rowOff>38100</xdr:rowOff>
    </xdr:from>
    <xdr:to>
      <xdr:col>13</xdr:col>
      <xdr:colOff>962025</xdr:colOff>
      <xdr:row>4</xdr:row>
      <xdr:rowOff>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705850" y="381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305857</xdr:colOff>
      <xdr:row>0</xdr:row>
      <xdr:rowOff>161925</xdr:rowOff>
    </xdr:from>
    <xdr:to>
      <xdr:col>15</xdr:col>
      <xdr:colOff>492125</xdr:colOff>
      <xdr:row>4</xdr:row>
      <xdr:rowOff>123825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477375" y="161925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05875" y="762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0</xdr:row>
      <xdr:rowOff>57150</xdr:rowOff>
    </xdr:from>
    <xdr:to>
      <xdr:col>14</xdr:col>
      <xdr:colOff>1019175</xdr:colOff>
      <xdr:row>4</xdr:row>
      <xdr:rowOff>19050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34450" y="5715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05875" y="762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15</xdr:col>
      <xdr:colOff>361950</xdr:colOff>
      <xdr:row>3</xdr:row>
      <xdr:rowOff>97155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505575" y="180975"/>
          <a:ext cx="1447800" cy="676275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371475</xdr:colOff>
      <xdr:row>0</xdr:row>
      <xdr:rowOff>114300</xdr:rowOff>
    </xdr:from>
    <xdr:to>
      <xdr:col>24</xdr:col>
      <xdr:colOff>1381125</xdr:colOff>
      <xdr:row>4</xdr:row>
      <xdr:rowOff>76200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410825" y="1143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0</xdr:row>
      <xdr:rowOff>85725</xdr:rowOff>
    </xdr:from>
    <xdr:to>
      <xdr:col>16</xdr:col>
      <xdr:colOff>1228725</xdr:colOff>
      <xdr:row>4</xdr:row>
      <xdr:rowOff>47625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753475" y="85725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3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86932" cy="58448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86304" cy="58530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" name="Picture 1" descr="Grand 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" name="Picture 2" descr="Grand logo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" name="Picture 4" descr="Grand logo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6" name="Picture 5" descr="Grand logo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7" name="Picture 6" descr="Grand logo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8" name="Picture 7" descr="Grand logo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9" name="Picture 8" descr="Grand logo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0" name="Picture 9" descr="Grand logo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1" name="Picture 10" descr="Grand logo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2" name="Picture 11" descr="Grand logo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3" name="Picture 12" descr="Grand logo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4" name="Picture 13" descr="Grand logo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5" name="Picture 14" descr="Grand logo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6" name="Picture 15" descr="Grand logo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7" name="Picture 16" descr="Grand logo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8" name="Picture 17" descr="Grand logo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9" name="Picture 18" descr="Grand logo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0" name="Picture 19" descr="Grand logo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1" name="Picture 20" descr="Grand logo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2" name="Picture 21" descr="Grand logo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3" name="Picture 22" descr="Grand logo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4" name="Picture 23" descr="Grand logo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5" name="Picture 24" descr="Grand logo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6" name="Picture 25" descr="Grand logo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7" name="Picture 26" descr="Grand logo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8" name="Picture 27" descr="Grand logo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9" name="Picture 28" descr="Grand logo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0" name="Picture 29" descr="Grand logo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1" name="Picture 30" descr="Grand logo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2" name="Picture 31" descr="Grand logo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3" name="Picture 32" descr="Grand logo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4" name="Picture 33" descr="Grand logo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5" name="Picture 34" descr="Grand logo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6" name="Picture 35" descr="Grand logo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7" name="Picture 36" descr="Grand logo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8" name="Picture 37" descr="Grand logo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9" name="Picture 38" descr="Grand logo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0" name="Picture 39" descr="Grand logo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1" name="Picture 40" descr="Grand logo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2" name="Picture 41" descr="Grand logo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3" name="Picture 42" descr="Grand logo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4" name="Picture 43" descr="Grand logo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5" name="Picture 44" descr="Grand logo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6" name="Picture 45" descr="Grand logo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7" name="Picture 46" descr="Grand logo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8" name="Picture 47" descr="Grand logo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9" name="Picture 48" descr="Grand logo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0" name="Picture 49" descr="Grand logo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1" name="Picture 50" descr="Grand logo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2" name="Picture 51" descr="Grand logo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3" name="Picture 52" descr="Grand logo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152400</xdr:rowOff>
    </xdr:from>
    <xdr:to>
      <xdr:col>13</xdr:col>
      <xdr:colOff>561975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26</xdr:row>
      <xdr:rowOff>19050</xdr:rowOff>
    </xdr:from>
    <xdr:to>
      <xdr:col>2</xdr:col>
      <xdr:colOff>438150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676274</xdr:colOff>
      <xdr:row>26</xdr:row>
      <xdr:rowOff>9525</xdr:rowOff>
    </xdr:from>
    <xdr:to>
      <xdr:col>6</xdr:col>
      <xdr:colOff>704849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47626</xdr:colOff>
      <xdr:row>26</xdr:row>
      <xdr:rowOff>19050</xdr:rowOff>
    </xdr:from>
    <xdr:to>
      <xdr:col>13</xdr:col>
      <xdr:colOff>561975</xdr:colOff>
      <xdr:row>44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0.03225</cdr:x>
      <cdr:y>0.863</cdr:y>
    </cdr:from>
    <cdr:to>
      <cdr:x>0.12675</cdr:x>
      <cdr:y>0.95725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C02F87E-79A8-4258-827F-30D943064045}"/>
            </a:ext>
          </a:extLst>
        </cdr:cNvPr>
        <cdr:cNvSpPr txBox="1"/>
      </cdr:nvSpPr>
      <cdr:spPr>
        <a:xfrm xmlns:a="http://schemas.openxmlformats.org/drawingml/2006/main">
          <a:off x="123825" y="2914650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0.05525</cdr:x>
      <cdr:y>0.8705</cdr:y>
    </cdr:from>
    <cdr:to>
      <cdr:x>0.17175</cdr:x>
      <cdr:y>0.96175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B3E13-8F36-4F98-832F-558A83BFB874}"/>
            </a:ext>
          </a:extLst>
        </cdr:cNvPr>
        <cdr:cNvSpPr txBox="1"/>
      </cdr:nvSpPr>
      <cdr:spPr>
        <a:xfrm xmlns:a="http://schemas.openxmlformats.org/drawingml/2006/main">
          <a:off x="209550" y="2619375"/>
          <a:ext cx="44767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0.0145</cdr:x>
      <cdr:y>0.87825</cdr:y>
    </cdr:from>
    <cdr:to>
      <cdr:x>0.19225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DF06E8-3FDC-43B2-A780-AB985ABEE022}"/>
            </a:ext>
          </a:extLst>
        </cdr:cNvPr>
        <cdr:cNvSpPr txBox="1"/>
      </cdr:nvSpPr>
      <cdr:spPr>
        <a:xfrm xmlns:a="http://schemas.openxmlformats.org/drawingml/2006/main">
          <a:off x="47625" y="2628900"/>
          <a:ext cx="65722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0.8895</cdr:y>
    </cdr:from>
    <cdr:to>
      <cdr:x>0.169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5242417-6B01-4A71-A704-89C4AB1FC1B6}"/>
            </a:ext>
          </a:extLst>
        </cdr:cNvPr>
        <cdr:cNvSpPr txBox="1"/>
      </cdr:nvSpPr>
      <cdr:spPr>
        <a:xfrm xmlns:a="http://schemas.openxmlformats.org/drawingml/2006/main">
          <a:off x="0" y="2667000"/>
          <a:ext cx="7048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P%20Daily%20Consumption-%20Apri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L&amp;P%20Consumption%20History%20Yearly/Daily%20consumption/Year%202024/Energy%20Daily%20Consumption%20-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Consumption"/>
      <sheetName val="Reading.4.25"/>
      <sheetName val="cost.4.25"/>
      <sheetName val="Domestic Water"/>
      <sheetName val="Main Pool"/>
      <sheetName val="Heated Pool"/>
      <sheetName val="Kids pool "/>
      <sheetName val="Jacuzzi"/>
      <sheetName val="Fountains &amp; Lagoons"/>
      <sheetName val="Boilers"/>
      <sheetName val="Electricity Chart"/>
      <sheetName val="Chillers"/>
      <sheetName val="Boiler Gas Chart"/>
      <sheetName val="Kitchen Gas Chart"/>
      <sheetName val="Water Consumption"/>
      <sheetName val="Reading.4.24"/>
      <sheetName val="Cost.4.24"/>
      <sheetName val="Sheet1"/>
      <sheetName val="Daily Consumption new"/>
      <sheetName val="Sheet2"/>
      <sheetName val="Sheet3"/>
    </sheetNames>
    <sheetDataSet>
      <sheetData sheetId="0" refreshError="1"/>
      <sheetData sheetId="1" refreshError="1"/>
      <sheetData sheetId="2" refreshError="1">
        <row r="38">
          <cell r="BG38">
            <v>131.93837960960232</v>
          </cell>
          <cell r="BH38">
            <v>334.74341379856344</v>
          </cell>
          <cell r="BI38">
            <v>168.5944867461003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E4" t="str">
            <v>Sold</v>
          </cell>
        </row>
        <row r="6">
          <cell r="G6">
            <v>505</v>
          </cell>
          <cell r="K6">
            <v>112.03200000000001</v>
          </cell>
          <cell r="O6">
            <v>391.85</v>
          </cell>
          <cell r="T6">
            <v>0</v>
          </cell>
          <cell r="X6">
            <v>27720.000000001164</v>
          </cell>
          <cell r="Y6">
            <v>25200.000000011642</v>
          </cell>
          <cell r="AB6">
            <v>0</v>
          </cell>
          <cell r="AE6">
            <v>27720.000000001164</v>
          </cell>
          <cell r="AI6">
            <v>0.52090000000000003</v>
          </cell>
          <cell r="AM6">
            <v>274</v>
          </cell>
          <cell r="AQ6">
            <v>1460</v>
          </cell>
          <cell r="BD6">
            <v>16.100000000000001</v>
          </cell>
          <cell r="BE6">
            <v>12</v>
          </cell>
          <cell r="BF6">
            <v>56</v>
          </cell>
          <cell r="BQ6">
            <v>30</v>
          </cell>
          <cell r="BU6">
            <v>30</v>
          </cell>
          <cell r="BY6">
            <v>11</v>
          </cell>
          <cell r="CC6">
            <v>30</v>
          </cell>
          <cell r="CG6">
            <v>10</v>
          </cell>
          <cell r="CJ6">
            <v>-3</v>
          </cell>
          <cell r="CN6">
            <v>135</v>
          </cell>
          <cell r="CR6">
            <v>0.67920792079207926</v>
          </cell>
          <cell r="CW6">
            <v>2</v>
          </cell>
          <cell r="DA6">
            <v>3</v>
          </cell>
          <cell r="DE6">
            <v>757</v>
          </cell>
          <cell r="DI6">
            <v>1866</v>
          </cell>
          <cell r="DM6">
            <v>3208</v>
          </cell>
          <cell r="DQ6">
            <v>31</v>
          </cell>
          <cell r="DU6">
            <v>31</v>
          </cell>
          <cell r="EC6">
            <v>2158</v>
          </cell>
          <cell r="EG6">
            <v>40</v>
          </cell>
          <cell r="EK6">
            <v>33</v>
          </cell>
        </row>
        <row r="35">
          <cell r="CN35">
            <v>123</v>
          </cell>
        </row>
        <row r="37">
          <cell r="CT37">
            <v>0.52997601918465231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Consumption"/>
      <sheetName val="Cost.5.24"/>
      <sheetName val="Reading.5.24 summary "/>
      <sheetName val="Reading.5.24"/>
      <sheetName val="Domestic Water"/>
      <sheetName val="Main Pool"/>
      <sheetName val="Heated Pool"/>
      <sheetName val="Kids pool "/>
      <sheetName val="Jacuzzi"/>
      <sheetName val="Fountains &amp; Lagoons"/>
      <sheetName val="Boilers"/>
      <sheetName val="Chillers"/>
      <sheetName val="Electricity Chart"/>
      <sheetName val="Boiler Gas Chart"/>
      <sheetName val="Kitchen Gas Chart"/>
      <sheetName val="Water Consumption"/>
      <sheetName val="Energy Per Occ. Room"/>
      <sheetName val="Reading.5.23"/>
      <sheetName val="Cost.5.23"/>
      <sheetName val="Sheet1"/>
      <sheetName val="Daily Consumption new"/>
    </sheetNames>
    <sheetDataSet>
      <sheetData sheetId="0"/>
      <sheetData sheetId="1">
        <row r="39">
          <cell r="BG39">
            <v>150.08854933170167</v>
          </cell>
          <cell r="BH39">
            <v>141.9434296325085</v>
          </cell>
          <cell r="BI39">
            <v>219.97542264406346</v>
          </cell>
        </row>
      </sheetData>
      <sheetData sheetId="2"/>
      <sheetData sheetId="3">
        <row r="6">
          <cell r="EG6">
            <v>50</v>
          </cell>
        </row>
        <row r="7">
          <cell r="EG7">
            <v>54</v>
          </cell>
        </row>
        <row r="8">
          <cell r="EG8">
            <v>61</v>
          </cell>
        </row>
        <row r="9">
          <cell r="EG9">
            <v>60</v>
          </cell>
        </row>
        <row r="10">
          <cell r="EG10">
            <v>46</v>
          </cell>
        </row>
        <row r="11">
          <cell r="EG11">
            <v>24</v>
          </cell>
        </row>
        <row r="12">
          <cell r="EG12">
            <v>49</v>
          </cell>
        </row>
        <row r="13">
          <cell r="EG13">
            <v>51</v>
          </cell>
        </row>
        <row r="14">
          <cell r="EG14">
            <v>50</v>
          </cell>
        </row>
        <row r="15">
          <cell r="EG15">
            <v>54</v>
          </cell>
        </row>
        <row r="16">
          <cell r="EG16">
            <v>62</v>
          </cell>
        </row>
        <row r="17">
          <cell r="EG17">
            <v>70</v>
          </cell>
        </row>
        <row r="18">
          <cell r="EG18">
            <v>23</v>
          </cell>
        </row>
        <row r="19">
          <cell r="EG19">
            <v>48</v>
          </cell>
        </row>
        <row r="20">
          <cell r="EG20">
            <v>73</v>
          </cell>
        </row>
        <row r="21">
          <cell r="EG21">
            <v>50</v>
          </cell>
        </row>
        <row r="22">
          <cell r="EG22">
            <v>49</v>
          </cell>
        </row>
        <row r="23">
          <cell r="EG23">
            <v>86</v>
          </cell>
        </row>
        <row r="24">
          <cell r="EG24">
            <v>30</v>
          </cell>
        </row>
        <row r="25">
          <cell r="EG25">
            <v>50</v>
          </cell>
        </row>
        <row r="26">
          <cell r="EG26">
            <v>46</v>
          </cell>
        </row>
        <row r="27">
          <cell r="EG27">
            <v>46</v>
          </cell>
        </row>
        <row r="28">
          <cell r="EG28">
            <v>49</v>
          </cell>
        </row>
        <row r="29">
          <cell r="EG29">
            <v>53</v>
          </cell>
        </row>
        <row r="30">
          <cell r="EG30">
            <v>58</v>
          </cell>
        </row>
        <row r="31">
          <cell r="EG31">
            <v>43</v>
          </cell>
        </row>
        <row r="32">
          <cell r="EG32">
            <v>43</v>
          </cell>
        </row>
        <row r="33">
          <cell r="EG33">
            <v>43</v>
          </cell>
        </row>
        <row r="34">
          <cell r="EG34">
            <v>53</v>
          </cell>
        </row>
        <row r="35">
          <cell r="EG35">
            <v>54</v>
          </cell>
        </row>
        <row r="36">
          <cell r="EG3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E4" t="str">
            <v>Sold</v>
          </cell>
          <cell r="CO4" t="str">
            <v>%</v>
          </cell>
        </row>
        <row r="5">
          <cell r="E5"/>
          <cell r="CO5"/>
        </row>
        <row r="6">
          <cell r="C6">
            <v>640</v>
          </cell>
          <cell r="E6">
            <v>0</v>
          </cell>
          <cell r="G6">
            <v>660</v>
          </cell>
          <cell r="K6">
            <v>168.048</v>
          </cell>
          <cell r="O6">
            <v>488.66</v>
          </cell>
          <cell r="T6">
            <v>0</v>
          </cell>
          <cell r="X6">
            <v>32040.000000008149</v>
          </cell>
          <cell r="AB6">
            <v>0</v>
          </cell>
          <cell r="AE6">
            <v>32040.000000008149</v>
          </cell>
          <cell r="AI6">
            <v>0.5323</v>
          </cell>
          <cell r="AM6">
            <v>280</v>
          </cell>
          <cell r="AQ6">
            <v>1612</v>
          </cell>
          <cell r="BD6">
            <v>23.8</v>
          </cell>
          <cell r="BE6">
            <v>20</v>
          </cell>
          <cell r="BF6">
            <v>60</v>
          </cell>
          <cell r="BQ6">
            <v>35</v>
          </cell>
          <cell r="BU6">
            <v>33</v>
          </cell>
          <cell r="BY6">
            <v>70</v>
          </cell>
          <cell r="CC6">
            <v>68</v>
          </cell>
          <cell r="CG6">
            <v>0</v>
          </cell>
          <cell r="CN6">
            <v>207</v>
          </cell>
          <cell r="CO6">
            <v>0.31363636363636366</v>
          </cell>
          <cell r="CT6">
            <v>2</v>
          </cell>
          <cell r="CX6">
            <v>6</v>
          </cell>
          <cell r="DB6">
            <v>988</v>
          </cell>
          <cell r="DF6">
            <v>2146</v>
          </cell>
          <cell r="DJ6">
            <v>33</v>
          </cell>
          <cell r="DN6">
            <v>3224</v>
          </cell>
          <cell r="DR6">
            <v>32</v>
          </cell>
          <cell r="DW6">
            <v>4009</v>
          </cell>
        </row>
        <row r="7">
          <cell r="C7">
            <v>569</v>
          </cell>
          <cell r="E7">
            <v>0</v>
          </cell>
          <cell r="G7">
            <v>549</v>
          </cell>
          <cell r="K7">
            <v>200.72400000000002</v>
          </cell>
          <cell r="O7">
            <v>461.00000000000006</v>
          </cell>
          <cell r="T7">
            <v>0</v>
          </cell>
          <cell r="X7">
            <v>32919.999999983702</v>
          </cell>
          <cell r="AB7">
            <v>0</v>
          </cell>
          <cell r="AE7">
            <v>32919.999999983702</v>
          </cell>
          <cell r="AI7">
            <v>0.64539999999999997</v>
          </cell>
          <cell r="AM7">
            <v>339</v>
          </cell>
          <cell r="AQ7">
            <v>1796</v>
          </cell>
          <cell r="BD7">
            <v>26.6</v>
          </cell>
          <cell r="BE7">
            <v>22</v>
          </cell>
          <cell r="BF7">
            <v>57</v>
          </cell>
          <cell r="BQ7">
            <v>35</v>
          </cell>
          <cell r="BU7">
            <v>30</v>
          </cell>
          <cell r="BY7">
            <v>0</v>
          </cell>
          <cell r="CC7">
            <v>66</v>
          </cell>
          <cell r="CG7">
            <v>0</v>
          </cell>
          <cell r="CN7">
            <v>201</v>
          </cell>
          <cell r="CO7">
            <v>0.36612021857923499</v>
          </cell>
          <cell r="CT7">
            <v>2</v>
          </cell>
          <cell r="CX7">
            <v>7</v>
          </cell>
          <cell r="DB7">
            <v>933</v>
          </cell>
          <cell r="DF7">
            <v>2056</v>
          </cell>
          <cell r="DJ7">
            <v>32</v>
          </cell>
          <cell r="DN7">
            <v>3672</v>
          </cell>
          <cell r="DR7">
            <v>32</v>
          </cell>
          <cell r="DW7">
            <v>4456</v>
          </cell>
        </row>
        <row r="8">
          <cell r="C8">
            <v>630</v>
          </cell>
          <cell r="E8">
            <v>0</v>
          </cell>
          <cell r="G8">
            <v>620</v>
          </cell>
          <cell r="K8">
            <v>196.05600000000001</v>
          </cell>
          <cell r="O8">
            <v>530.15000000000009</v>
          </cell>
          <cell r="T8">
            <v>0</v>
          </cell>
          <cell r="X8">
            <v>37279.999999998836</v>
          </cell>
          <cell r="AB8">
            <v>1500</v>
          </cell>
          <cell r="AE8">
            <v>38779.999999998836</v>
          </cell>
          <cell r="AI8">
            <v>0.6502</v>
          </cell>
          <cell r="AM8">
            <v>342</v>
          </cell>
          <cell r="AQ8">
            <v>1892</v>
          </cell>
          <cell r="BD8">
            <v>26.6</v>
          </cell>
          <cell r="BE8">
            <v>22</v>
          </cell>
          <cell r="BF8">
            <v>57</v>
          </cell>
          <cell r="BQ8">
            <v>36</v>
          </cell>
          <cell r="BU8">
            <v>53</v>
          </cell>
          <cell r="BY8">
            <v>0</v>
          </cell>
          <cell r="CC8">
            <v>68</v>
          </cell>
          <cell r="CG8">
            <v>0</v>
          </cell>
          <cell r="CN8">
            <v>277</v>
          </cell>
          <cell r="CO8">
            <v>0.4467741935483871</v>
          </cell>
          <cell r="CT8">
            <v>4</v>
          </cell>
          <cell r="CX8">
            <v>5</v>
          </cell>
          <cell r="DB8">
            <v>1038</v>
          </cell>
          <cell r="DF8">
            <v>1907</v>
          </cell>
          <cell r="DJ8">
            <v>32</v>
          </cell>
          <cell r="DN8">
            <v>4229</v>
          </cell>
          <cell r="DR8">
            <v>32</v>
          </cell>
          <cell r="DW8">
            <v>5013</v>
          </cell>
        </row>
        <row r="9">
          <cell r="C9">
            <v>593</v>
          </cell>
          <cell r="E9">
            <v>0</v>
          </cell>
          <cell r="G9">
            <v>738</v>
          </cell>
          <cell r="K9">
            <v>168.048</v>
          </cell>
          <cell r="O9">
            <v>511.71000000000004</v>
          </cell>
          <cell r="T9">
            <v>0</v>
          </cell>
          <cell r="X9">
            <v>34080.000000016298</v>
          </cell>
          <cell r="AB9">
            <v>2370</v>
          </cell>
          <cell r="AE9">
            <v>36450.000000016298</v>
          </cell>
          <cell r="AI9">
            <v>0.65590000000000004</v>
          </cell>
          <cell r="AM9">
            <v>345</v>
          </cell>
          <cell r="AQ9">
            <v>1892</v>
          </cell>
          <cell r="BD9">
            <v>26.6</v>
          </cell>
          <cell r="BE9">
            <v>22</v>
          </cell>
          <cell r="BF9">
            <v>57</v>
          </cell>
          <cell r="BQ9">
            <v>31</v>
          </cell>
          <cell r="BU9">
            <v>37</v>
          </cell>
          <cell r="BY9">
            <v>0</v>
          </cell>
          <cell r="CC9">
            <v>244</v>
          </cell>
          <cell r="CG9">
            <v>0</v>
          </cell>
          <cell r="CN9">
            <v>261</v>
          </cell>
          <cell r="CO9">
            <v>0.35365853658536583</v>
          </cell>
          <cell r="CT9">
            <v>2</v>
          </cell>
          <cell r="CX9">
            <v>5</v>
          </cell>
          <cell r="DB9">
            <v>1033</v>
          </cell>
          <cell r="DF9">
            <v>1971</v>
          </cell>
          <cell r="DJ9">
            <v>30</v>
          </cell>
          <cell r="DN9">
            <v>4055</v>
          </cell>
          <cell r="DR9">
            <v>29</v>
          </cell>
          <cell r="DW9">
            <v>4834</v>
          </cell>
        </row>
        <row r="10">
          <cell r="C10">
            <v>678</v>
          </cell>
          <cell r="E10">
            <v>0</v>
          </cell>
          <cell r="G10">
            <v>598</v>
          </cell>
          <cell r="K10">
            <v>182.05199999999999</v>
          </cell>
          <cell r="O10">
            <v>474.83000000000004</v>
          </cell>
          <cell r="T10">
            <v>0</v>
          </cell>
          <cell r="X10">
            <v>37760.000000009313</v>
          </cell>
          <cell r="AB10">
            <v>0</v>
          </cell>
          <cell r="AE10">
            <v>37760.000000009313</v>
          </cell>
          <cell r="AI10">
            <v>0.65590000000000004</v>
          </cell>
          <cell r="AM10">
            <v>345</v>
          </cell>
          <cell r="AQ10">
            <v>1952</v>
          </cell>
          <cell r="BD10">
            <v>26</v>
          </cell>
          <cell r="BE10">
            <v>23</v>
          </cell>
          <cell r="BF10">
            <v>57</v>
          </cell>
          <cell r="BQ10">
            <v>38</v>
          </cell>
          <cell r="BU10">
            <v>36</v>
          </cell>
          <cell r="BY10">
            <v>0</v>
          </cell>
          <cell r="CC10">
            <v>110</v>
          </cell>
          <cell r="CG10">
            <v>0</v>
          </cell>
          <cell r="CN10">
            <v>249</v>
          </cell>
          <cell r="CO10">
            <v>0.41638795986622074</v>
          </cell>
          <cell r="CT10">
            <v>3</v>
          </cell>
          <cell r="CX10">
            <v>4</v>
          </cell>
          <cell r="DB10">
            <v>1002</v>
          </cell>
          <cell r="DF10">
            <v>1812</v>
          </cell>
          <cell r="DJ10">
            <v>32</v>
          </cell>
          <cell r="DN10">
            <v>4042</v>
          </cell>
          <cell r="DR10">
            <v>957</v>
          </cell>
          <cell r="DW10">
            <v>5751</v>
          </cell>
        </row>
        <row r="11">
          <cell r="C11">
            <v>567</v>
          </cell>
          <cell r="E11">
            <v>0</v>
          </cell>
          <cell r="G11">
            <v>527</v>
          </cell>
          <cell r="K11">
            <v>149.376</v>
          </cell>
          <cell r="O11">
            <v>479.44000000000005</v>
          </cell>
          <cell r="T11">
            <v>0</v>
          </cell>
          <cell r="X11">
            <v>37839.999999996508</v>
          </cell>
          <cell r="AB11">
            <v>0</v>
          </cell>
          <cell r="AE11">
            <v>37839.999999996508</v>
          </cell>
          <cell r="AI11">
            <v>0.53420000000000001</v>
          </cell>
          <cell r="AM11">
            <v>281</v>
          </cell>
          <cell r="AQ11">
            <v>1956</v>
          </cell>
          <cell r="BD11">
            <v>29.7</v>
          </cell>
          <cell r="BE11">
            <v>24</v>
          </cell>
          <cell r="BF11">
            <v>57</v>
          </cell>
          <cell r="BQ11">
            <v>36</v>
          </cell>
          <cell r="BU11">
            <v>35</v>
          </cell>
          <cell r="BY11">
            <v>0</v>
          </cell>
          <cell r="CC11">
            <v>50</v>
          </cell>
          <cell r="CG11">
            <v>0</v>
          </cell>
          <cell r="CN11">
            <v>260</v>
          </cell>
          <cell r="CO11">
            <v>0.49335863377609107</v>
          </cell>
          <cell r="CT11">
            <v>3</v>
          </cell>
          <cell r="CX11">
            <v>6</v>
          </cell>
          <cell r="DB11">
            <v>1061</v>
          </cell>
          <cell r="DF11">
            <v>1962</v>
          </cell>
          <cell r="DJ11">
            <v>33</v>
          </cell>
          <cell r="DN11">
            <v>3364</v>
          </cell>
          <cell r="DR11">
            <v>1395</v>
          </cell>
          <cell r="DW11">
            <v>5512</v>
          </cell>
        </row>
        <row r="12">
          <cell r="C12">
            <v>575</v>
          </cell>
          <cell r="E12">
            <v>0</v>
          </cell>
          <cell r="G12">
            <v>540</v>
          </cell>
          <cell r="K12">
            <v>172.71600000000001</v>
          </cell>
          <cell r="O12">
            <v>530.15000000000009</v>
          </cell>
          <cell r="T12">
            <v>0</v>
          </cell>
          <cell r="X12">
            <v>35839.999999996508</v>
          </cell>
          <cell r="AB12">
            <v>0</v>
          </cell>
          <cell r="AE12">
            <v>35839.999999996508</v>
          </cell>
          <cell r="AI12">
            <v>0.50590000000000002</v>
          </cell>
          <cell r="AM12">
            <v>268</v>
          </cell>
          <cell r="AQ12">
            <v>1956</v>
          </cell>
          <cell r="BD12">
            <v>29.8</v>
          </cell>
          <cell r="BE12">
            <v>24</v>
          </cell>
          <cell r="BF12">
            <v>41</v>
          </cell>
          <cell r="BQ12">
            <v>39</v>
          </cell>
          <cell r="BU12">
            <v>39</v>
          </cell>
          <cell r="BY12">
            <v>5</v>
          </cell>
          <cell r="CC12">
            <v>55</v>
          </cell>
          <cell r="CG12">
            <v>0</v>
          </cell>
          <cell r="CN12">
            <v>254</v>
          </cell>
          <cell r="CO12">
            <v>0.47037037037037038</v>
          </cell>
          <cell r="CT12">
            <v>3</v>
          </cell>
          <cell r="CX12">
            <v>6</v>
          </cell>
          <cell r="DB12">
            <v>1030</v>
          </cell>
          <cell r="DF12">
            <v>2182</v>
          </cell>
          <cell r="DJ12">
            <v>33</v>
          </cell>
          <cell r="DN12">
            <v>3215</v>
          </cell>
          <cell r="DR12">
            <v>1541</v>
          </cell>
          <cell r="DW12">
            <v>5509</v>
          </cell>
        </row>
        <row r="13">
          <cell r="C13">
            <v>440</v>
          </cell>
          <cell r="E13">
            <v>0</v>
          </cell>
          <cell r="G13">
            <v>535</v>
          </cell>
          <cell r="K13">
            <v>163.38</v>
          </cell>
          <cell r="O13">
            <v>507.1</v>
          </cell>
          <cell r="T13">
            <v>0</v>
          </cell>
          <cell r="X13">
            <v>34359.99999998603</v>
          </cell>
          <cell r="AB13">
            <v>0</v>
          </cell>
          <cell r="AE13">
            <v>34359.99999998603</v>
          </cell>
          <cell r="AI13">
            <v>0.54179999999999995</v>
          </cell>
          <cell r="AM13">
            <v>285</v>
          </cell>
          <cell r="AQ13">
            <v>1956</v>
          </cell>
          <cell r="BD13">
            <v>26.6</v>
          </cell>
          <cell r="BE13">
            <v>23</v>
          </cell>
          <cell r="BF13">
            <v>54</v>
          </cell>
          <cell r="BQ13">
            <v>33</v>
          </cell>
          <cell r="BU13">
            <v>40</v>
          </cell>
          <cell r="BY13">
            <v>0</v>
          </cell>
          <cell r="CC13">
            <v>45</v>
          </cell>
          <cell r="CG13">
            <v>0</v>
          </cell>
          <cell r="CN13">
            <v>169</v>
          </cell>
          <cell r="CO13">
            <v>0.31588785046728973</v>
          </cell>
          <cell r="CT13">
            <v>3</v>
          </cell>
          <cell r="CX13">
            <v>6</v>
          </cell>
          <cell r="DB13">
            <v>1078</v>
          </cell>
          <cell r="DF13">
            <v>1945</v>
          </cell>
          <cell r="DJ13">
            <v>33</v>
          </cell>
          <cell r="DN13">
            <v>3038</v>
          </cell>
          <cell r="DR13">
            <v>1432</v>
          </cell>
          <cell r="DW13">
            <v>5223</v>
          </cell>
        </row>
        <row r="14">
          <cell r="C14">
            <v>553</v>
          </cell>
          <cell r="E14">
            <v>0</v>
          </cell>
          <cell r="G14">
            <v>513</v>
          </cell>
          <cell r="K14">
            <v>154.04400000000001</v>
          </cell>
          <cell r="O14">
            <v>474.83000000000004</v>
          </cell>
          <cell r="T14">
            <v>0</v>
          </cell>
          <cell r="X14">
            <v>36279.999999998836</v>
          </cell>
          <cell r="AB14">
            <v>0</v>
          </cell>
          <cell r="AE14">
            <v>36279.999999998836</v>
          </cell>
          <cell r="AI14">
            <v>0.53039999999999998</v>
          </cell>
          <cell r="AM14">
            <v>279</v>
          </cell>
          <cell r="AQ14">
            <v>1956</v>
          </cell>
          <cell r="BD14">
            <v>29</v>
          </cell>
          <cell r="BE14">
            <v>25</v>
          </cell>
          <cell r="BF14">
            <v>54</v>
          </cell>
          <cell r="BQ14">
            <v>41</v>
          </cell>
          <cell r="BU14">
            <v>38</v>
          </cell>
          <cell r="BY14">
            <v>0</v>
          </cell>
          <cell r="CC14">
            <v>55</v>
          </cell>
          <cell r="CG14">
            <v>0</v>
          </cell>
          <cell r="CN14">
            <v>199</v>
          </cell>
          <cell r="CO14">
            <v>0.38791423001949316</v>
          </cell>
          <cell r="CT14">
            <v>3</v>
          </cell>
          <cell r="CX14">
            <v>6</v>
          </cell>
          <cell r="DB14">
            <v>989</v>
          </cell>
          <cell r="DF14">
            <v>2272</v>
          </cell>
          <cell r="DJ14">
            <v>33</v>
          </cell>
          <cell r="DN14">
            <v>3068</v>
          </cell>
          <cell r="DR14">
            <v>1251</v>
          </cell>
          <cell r="DW14">
            <v>5072</v>
          </cell>
        </row>
        <row r="15">
          <cell r="C15">
            <v>573</v>
          </cell>
          <cell r="E15">
            <v>0</v>
          </cell>
          <cell r="G15">
            <v>543</v>
          </cell>
          <cell r="K15">
            <v>172.71600000000001</v>
          </cell>
          <cell r="O15">
            <v>465.61</v>
          </cell>
          <cell r="T15">
            <v>0</v>
          </cell>
          <cell r="X15">
            <v>33600.000000005821</v>
          </cell>
          <cell r="AB15">
            <v>0</v>
          </cell>
          <cell r="AE15">
            <v>33600.000000005821</v>
          </cell>
          <cell r="AI15">
            <v>0.61980000000000002</v>
          </cell>
          <cell r="AM15">
            <v>326</v>
          </cell>
          <cell r="AQ15">
            <v>1956</v>
          </cell>
          <cell r="BD15">
            <v>29</v>
          </cell>
          <cell r="BE15">
            <v>26</v>
          </cell>
          <cell r="BF15">
            <v>65</v>
          </cell>
          <cell r="BQ15">
            <v>45</v>
          </cell>
          <cell r="BU15">
            <v>38</v>
          </cell>
          <cell r="BY15">
            <v>0</v>
          </cell>
          <cell r="CC15">
            <v>45</v>
          </cell>
          <cell r="CG15">
            <v>0</v>
          </cell>
          <cell r="CN15">
            <v>201</v>
          </cell>
          <cell r="CO15">
            <v>0.37016574585635359</v>
          </cell>
          <cell r="CT15">
            <v>5</v>
          </cell>
          <cell r="CX15">
            <v>4</v>
          </cell>
          <cell r="DB15">
            <v>1013</v>
          </cell>
          <cell r="DF15">
            <v>2214</v>
          </cell>
          <cell r="DJ15">
            <v>32</v>
          </cell>
          <cell r="DN15">
            <v>3188</v>
          </cell>
          <cell r="DR15">
            <v>1421</v>
          </cell>
          <cell r="DW15">
            <v>5361</v>
          </cell>
        </row>
        <row r="16">
          <cell r="C16">
            <v>544</v>
          </cell>
          <cell r="E16">
            <v>0</v>
          </cell>
          <cell r="G16">
            <v>539</v>
          </cell>
          <cell r="K16">
            <v>182.05199999999999</v>
          </cell>
          <cell r="O16">
            <v>479.44000000000005</v>
          </cell>
          <cell r="T16">
            <v>0</v>
          </cell>
          <cell r="X16">
            <v>35320.000000006985</v>
          </cell>
          <cell r="AB16">
            <v>0</v>
          </cell>
          <cell r="AE16">
            <v>35320.000000006985</v>
          </cell>
          <cell r="AI16">
            <v>0.65210000000000001</v>
          </cell>
          <cell r="AM16">
            <v>343</v>
          </cell>
          <cell r="AQ16">
            <v>1956</v>
          </cell>
          <cell r="BD16">
            <v>29</v>
          </cell>
          <cell r="BE16">
            <v>26</v>
          </cell>
          <cell r="BF16">
            <v>65</v>
          </cell>
          <cell r="BQ16">
            <v>39</v>
          </cell>
          <cell r="BU16">
            <v>30</v>
          </cell>
          <cell r="BY16">
            <v>0</v>
          </cell>
          <cell r="CC16">
            <v>90</v>
          </cell>
          <cell r="CG16">
            <v>0</v>
          </cell>
          <cell r="CN16">
            <v>220</v>
          </cell>
          <cell r="CO16">
            <v>0.40816326530612246</v>
          </cell>
          <cell r="CT16">
            <v>3</v>
          </cell>
          <cell r="CX16">
            <v>7</v>
          </cell>
          <cell r="DB16">
            <v>969</v>
          </cell>
          <cell r="DF16">
            <v>2114</v>
          </cell>
          <cell r="DJ16">
            <v>33</v>
          </cell>
          <cell r="DN16">
            <v>3283</v>
          </cell>
          <cell r="DR16">
            <v>1525</v>
          </cell>
          <cell r="DW16">
            <v>5561</v>
          </cell>
        </row>
        <row r="17">
          <cell r="C17">
            <v>543</v>
          </cell>
          <cell r="E17">
            <v>0</v>
          </cell>
          <cell r="G17">
            <v>523</v>
          </cell>
          <cell r="K17">
            <v>144.708</v>
          </cell>
          <cell r="O17">
            <v>461.00000000000006</v>
          </cell>
          <cell r="T17">
            <v>0</v>
          </cell>
          <cell r="X17">
            <v>35639.999999984866</v>
          </cell>
          <cell r="AB17">
            <v>0</v>
          </cell>
          <cell r="AE17">
            <v>35639.999999984866</v>
          </cell>
          <cell r="AI17">
            <v>0.62929999999999997</v>
          </cell>
          <cell r="AM17">
            <v>331</v>
          </cell>
          <cell r="AQ17">
            <v>1956</v>
          </cell>
          <cell r="BD17">
            <v>27</v>
          </cell>
          <cell r="BE17">
            <v>21</v>
          </cell>
          <cell r="BF17">
            <v>65</v>
          </cell>
          <cell r="BQ17">
            <v>28</v>
          </cell>
          <cell r="BU17">
            <v>35</v>
          </cell>
          <cell r="BY17">
            <v>2</v>
          </cell>
          <cell r="CC17">
            <v>40</v>
          </cell>
          <cell r="CG17">
            <v>0</v>
          </cell>
          <cell r="CN17">
            <v>249</v>
          </cell>
          <cell r="CO17">
            <v>0.47609942638623326</v>
          </cell>
          <cell r="CT17">
            <v>3</v>
          </cell>
          <cell r="CX17">
            <v>5</v>
          </cell>
          <cell r="DB17">
            <v>1047</v>
          </cell>
          <cell r="DF17">
            <v>1712</v>
          </cell>
          <cell r="DJ17">
            <v>33</v>
          </cell>
          <cell r="DN17">
            <v>4240</v>
          </cell>
          <cell r="DR17">
            <v>1685</v>
          </cell>
          <cell r="DW17">
            <v>6678</v>
          </cell>
        </row>
        <row r="18">
          <cell r="C18">
            <v>553</v>
          </cell>
          <cell r="E18">
            <v>0</v>
          </cell>
          <cell r="G18">
            <v>533</v>
          </cell>
          <cell r="K18">
            <v>182.05199999999999</v>
          </cell>
          <cell r="O18">
            <v>548.59</v>
          </cell>
          <cell r="T18">
            <v>0</v>
          </cell>
          <cell r="X18">
            <v>36559.999999997672</v>
          </cell>
          <cell r="AB18">
            <v>0</v>
          </cell>
          <cell r="AE18">
            <v>36559.999999997672</v>
          </cell>
          <cell r="AI18">
            <v>0.69579999999999997</v>
          </cell>
          <cell r="AM18">
            <v>366</v>
          </cell>
          <cell r="AQ18">
            <v>1956</v>
          </cell>
          <cell r="BD18">
            <v>27</v>
          </cell>
          <cell r="BE18">
            <v>22</v>
          </cell>
          <cell r="BF18">
            <v>65</v>
          </cell>
          <cell r="BQ18">
            <v>39</v>
          </cell>
          <cell r="BU18">
            <v>43</v>
          </cell>
          <cell r="BY18">
            <v>0</v>
          </cell>
          <cell r="CC18">
            <v>30</v>
          </cell>
          <cell r="CG18">
            <v>0</v>
          </cell>
          <cell r="CN18">
            <v>248</v>
          </cell>
          <cell r="CO18">
            <v>0.46529080675422141</v>
          </cell>
          <cell r="CT18">
            <v>4</v>
          </cell>
          <cell r="CX18">
            <v>6</v>
          </cell>
          <cell r="DB18">
            <v>1156</v>
          </cell>
          <cell r="DF18">
            <v>2586</v>
          </cell>
          <cell r="DJ18">
            <v>33</v>
          </cell>
          <cell r="DN18">
            <v>2157</v>
          </cell>
          <cell r="DR18">
            <v>1708</v>
          </cell>
          <cell r="DW18">
            <v>4618</v>
          </cell>
        </row>
        <row r="19">
          <cell r="C19">
            <v>567</v>
          </cell>
          <cell r="E19">
            <v>0</v>
          </cell>
          <cell r="G19">
            <v>602</v>
          </cell>
          <cell r="K19">
            <v>205.392</v>
          </cell>
          <cell r="O19">
            <v>507.1</v>
          </cell>
          <cell r="T19">
            <v>0</v>
          </cell>
          <cell r="X19">
            <v>36000</v>
          </cell>
          <cell r="AB19">
            <v>0</v>
          </cell>
          <cell r="AE19">
            <v>36000</v>
          </cell>
          <cell r="AI19">
            <v>0.70720000000000005</v>
          </cell>
          <cell r="AM19">
            <v>372</v>
          </cell>
          <cell r="AQ19">
            <v>1956</v>
          </cell>
          <cell r="BD19">
            <v>27</v>
          </cell>
          <cell r="BE19">
            <v>22</v>
          </cell>
          <cell r="BF19">
            <v>69</v>
          </cell>
          <cell r="BQ19">
            <v>31</v>
          </cell>
          <cell r="BU19">
            <v>36</v>
          </cell>
          <cell r="BY19">
            <v>0</v>
          </cell>
          <cell r="CC19">
            <v>60</v>
          </cell>
          <cell r="CG19">
            <v>0</v>
          </cell>
          <cell r="CN19">
            <v>225</v>
          </cell>
          <cell r="CO19">
            <v>0.37375415282392027</v>
          </cell>
          <cell r="CT19">
            <v>3</v>
          </cell>
          <cell r="CX19">
            <v>6</v>
          </cell>
          <cell r="DB19">
            <v>1048</v>
          </cell>
          <cell r="DF19">
            <v>1909</v>
          </cell>
          <cell r="DJ19">
            <v>33</v>
          </cell>
          <cell r="DN19">
            <v>3142</v>
          </cell>
          <cell r="DR19">
            <v>1573</v>
          </cell>
          <cell r="DW19">
            <v>5468</v>
          </cell>
        </row>
        <row r="20">
          <cell r="C20">
            <v>596</v>
          </cell>
          <cell r="E20">
            <v>0</v>
          </cell>
          <cell r="G20">
            <v>561</v>
          </cell>
          <cell r="K20">
            <v>177.38400000000001</v>
          </cell>
          <cell r="O20">
            <v>470.22</v>
          </cell>
          <cell r="T20">
            <v>0</v>
          </cell>
          <cell r="X20">
            <v>37440.000000002328</v>
          </cell>
          <cell r="AB20">
            <v>0</v>
          </cell>
          <cell r="AE20">
            <v>37440.000000002328</v>
          </cell>
          <cell r="AI20">
            <v>0.72619999999999996</v>
          </cell>
          <cell r="AM20">
            <v>382</v>
          </cell>
          <cell r="AQ20">
            <v>1956</v>
          </cell>
          <cell r="BD20">
            <v>28.4</v>
          </cell>
          <cell r="BE20">
            <v>23</v>
          </cell>
          <cell r="BF20">
            <v>61</v>
          </cell>
          <cell r="BQ20">
            <v>37</v>
          </cell>
          <cell r="BU20">
            <v>37</v>
          </cell>
          <cell r="BY20">
            <v>0</v>
          </cell>
          <cell r="CC20">
            <v>60</v>
          </cell>
          <cell r="CG20">
            <v>0</v>
          </cell>
          <cell r="CN20">
            <v>238</v>
          </cell>
          <cell r="CO20">
            <v>0.42424242424242425</v>
          </cell>
          <cell r="CT20">
            <v>2</v>
          </cell>
          <cell r="CX20">
            <v>7</v>
          </cell>
          <cell r="DB20">
            <v>1066</v>
          </cell>
          <cell r="DF20">
            <v>2329</v>
          </cell>
          <cell r="DJ20">
            <v>16</v>
          </cell>
          <cell r="DN20">
            <v>3391</v>
          </cell>
          <cell r="DR20">
            <v>1752</v>
          </cell>
          <cell r="DW20">
            <v>5879</v>
          </cell>
        </row>
        <row r="21">
          <cell r="C21">
            <v>489</v>
          </cell>
          <cell r="E21">
            <v>0</v>
          </cell>
          <cell r="G21">
            <v>549</v>
          </cell>
          <cell r="K21">
            <v>158.71200000000002</v>
          </cell>
          <cell r="O21">
            <v>470.22</v>
          </cell>
          <cell r="T21">
            <v>210</v>
          </cell>
          <cell r="X21">
            <v>37800.000000017462</v>
          </cell>
          <cell r="AB21">
            <v>1430</v>
          </cell>
          <cell r="AE21">
            <v>39230.000000017462</v>
          </cell>
          <cell r="AI21">
            <v>0.79849999999999999</v>
          </cell>
          <cell r="AM21">
            <v>420</v>
          </cell>
          <cell r="AQ21">
            <v>2004</v>
          </cell>
          <cell r="BD21">
            <v>29.7</v>
          </cell>
          <cell r="BE21">
            <v>24</v>
          </cell>
          <cell r="BF21">
            <v>57</v>
          </cell>
          <cell r="BQ21">
            <v>47</v>
          </cell>
          <cell r="BU21">
            <v>35</v>
          </cell>
          <cell r="BY21">
            <v>0</v>
          </cell>
          <cell r="CC21">
            <v>40</v>
          </cell>
          <cell r="CG21">
            <v>0</v>
          </cell>
          <cell r="CN21">
            <v>230</v>
          </cell>
          <cell r="CO21">
            <v>0.41894353369763204</v>
          </cell>
          <cell r="CT21">
            <v>3</v>
          </cell>
          <cell r="CX21">
            <v>7</v>
          </cell>
          <cell r="DB21">
            <v>1023</v>
          </cell>
          <cell r="DF21">
            <v>2347</v>
          </cell>
          <cell r="DJ21">
            <v>16</v>
          </cell>
          <cell r="DN21">
            <v>3801</v>
          </cell>
          <cell r="DR21">
            <v>1846</v>
          </cell>
          <cell r="DW21">
            <v>6383</v>
          </cell>
        </row>
        <row r="22">
          <cell r="C22">
            <v>570</v>
          </cell>
          <cell r="E22">
            <v>0</v>
          </cell>
          <cell r="G22">
            <v>575</v>
          </cell>
          <cell r="K22">
            <v>196.05600000000001</v>
          </cell>
          <cell r="O22">
            <v>502.49</v>
          </cell>
          <cell r="T22">
            <v>0</v>
          </cell>
          <cell r="X22">
            <v>38320.000000006985</v>
          </cell>
          <cell r="AB22">
            <v>0</v>
          </cell>
          <cell r="AE22">
            <v>38320.000000006985</v>
          </cell>
          <cell r="AI22">
            <v>0.81399999999999995</v>
          </cell>
          <cell r="AM22">
            <v>428</v>
          </cell>
          <cell r="AQ22">
            <v>2064</v>
          </cell>
          <cell r="BD22">
            <v>29.2</v>
          </cell>
          <cell r="BE22">
            <v>26</v>
          </cell>
          <cell r="BF22">
            <v>89</v>
          </cell>
          <cell r="BQ22">
            <v>37</v>
          </cell>
          <cell r="BU22">
            <v>35</v>
          </cell>
          <cell r="BY22">
            <v>0</v>
          </cell>
          <cell r="CC22">
            <v>50</v>
          </cell>
          <cell r="CG22">
            <v>0</v>
          </cell>
          <cell r="CN22">
            <v>250</v>
          </cell>
          <cell r="CO22">
            <v>0.43478260869565216</v>
          </cell>
          <cell r="CT22">
            <v>4</v>
          </cell>
          <cell r="CX22">
            <v>4</v>
          </cell>
          <cell r="DB22">
            <v>1176</v>
          </cell>
          <cell r="DF22">
            <v>1879</v>
          </cell>
          <cell r="DJ22">
            <v>30</v>
          </cell>
          <cell r="DN22">
            <v>2366</v>
          </cell>
          <cell r="DR22">
            <v>3259</v>
          </cell>
          <cell r="DW22">
            <v>6375</v>
          </cell>
        </row>
        <row r="23">
          <cell r="C23">
            <v>681</v>
          </cell>
          <cell r="E23">
            <v>0</v>
          </cell>
          <cell r="G23">
            <v>616</v>
          </cell>
          <cell r="K23">
            <v>214.72800000000001</v>
          </cell>
          <cell r="O23">
            <v>659.23</v>
          </cell>
          <cell r="T23">
            <v>0</v>
          </cell>
          <cell r="X23">
            <v>39879.999999975553</v>
          </cell>
          <cell r="AB23">
            <v>0</v>
          </cell>
          <cell r="AE23">
            <v>39879.999999975553</v>
          </cell>
          <cell r="AI23">
            <v>0.80230000000000001</v>
          </cell>
          <cell r="AM23">
            <v>422</v>
          </cell>
          <cell r="AQ23">
            <v>2092</v>
          </cell>
          <cell r="BD23">
            <v>27.8</v>
          </cell>
          <cell r="BE23">
            <v>23</v>
          </cell>
          <cell r="BF23">
            <v>100</v>
          </cell>
          <cell r="BQ23">
            <v>47</v>
          </cell>
          <cell r="BU23">
            <v>53</v>
          </cell>
          <cell r="BY23">
            <v>0</v>
          </cell>
          <cell r="CC23">
            <v>50</v>
          </cell>
          <cell r="CG23">
            <v>0</v>
          </cell>
          <cell r="CN23">
            <v>280</v>
          </cell>
          <cell r="CO23">
            <v>0.45454545454545453</v>
          </cell>
          <cell r="CT23">
            <v>5</v>
          </cell>
          <cell r="CX23">
            <v>8</v>
          </cell>
          <cell r="DB23">
            <v>1058</v>
          </cell>
          <cell r="DF23">
            <v>2338</v>
          </cell>
          <cell r="DJ23">
            <v>32</v>
          </cell>
          <cell r="DN23">
            <v>3361</v>
          </cell>
          <cell r="DR23">
            <v>2294</v>
          </cell>
          <cell r="DW23">
            <v>6407</v>
          </cell>
        </row>
        <row r="24">
          <cell r="C24">
            <v>568</v>
          </cell>
          <cell r="E24">
            <v>0</v>
          </cell>
          <cell r="G24">
            <v>598</v>
          </cell>
          <cell r="K24">
            <v>205.392</v>
          </cell>
          <cell r="O24">
            <v>553.20000000000005</v>
          </cell>
          <cell r="T24">
            <v>0</v>
          </cell>
          <cell r="X24">
            <v>38680.000000022119</v>
          </cell>
          <cell r="AB24">
            <v>0</v>
          </cell>
          <cell r="AE24">
            <v>38680.000000022119</v>
          </cell>
          <cell r="AI24">
            <v>0.76619999999999999</v>
          </cell>
          <cell r="AM24">
            <v>403</v>
          </cell>
          <cell r="AQ24">
            <v>2092</v>
          </cell>
          <cell r="BD24">
            <v>30</v>
          </cell>
          <cell r="BE24">
            <v>24</v>
          </cell>
          <cell r="BF24">
            <v>83</v>
          </cell>
          <cell r="BQ24">
            <v>33</v>
          </cell>
          <cell r="BU24">
            <v>43</v>
          </cell>
          <cell r="BY24">
            <v>0</v>
          </cell>
          <cell r="CC24">
            <v>70</v>
          </cell>
          <cell r="CG24">
            <v>0</v>
          </cell>
          <cell r="CN24">
            <v>250</v>
          </cell>
          <cell r="CO24">
            <v>0.41806020066889632</v>
          </cell>
          <cell r="CT24">
            <v>4</v>
          </cell>
          <cell r="CX24">
            <v>4</v>
          </cell>
          <cell r="DB24">
            <v>1100</v>
          </cell>
          <cell r="DF24">
            <v>1649</v>
          </cell>
          <cell r="DJ24">
            <v>31</v>
          </cell>
          <cell r="DN24">
            <v>3593</v>
          </cell>
          <cell r="DR24">
            <v>1543</v>
          </cell>
          <cell r="DW24">
            <v>5887</v>
          </cell>
        </row>
        <row r="25">
          <cell r="C25">
            <v>635</v>
          </cell>
          <cell r="E25">
            <v>0</v>
          </cell>
          <cell r="G25">
            <v>655</v>
          </cell>
          <cell r="K25">
            <v>196.05600000000001</v>
          </cell>
          <cell r="O25">
            <v>539.37</v>
          </cell>
          <cell r="T25">
            <v>0</v>
          </cell>
          <cell r="X25">
            <v>37119.999999995343</v>
          </cell>
          <cell r="AB25">
            <v>0</v>
          </cell>
          <cell r="AE25">
            <v>37119.999999995343</v>
          </cell>
          <cell r="AI25">
            <v>0.79849999999999999</v>
          </cell>
          <cell r="AM25">
            <v>420</v>
          </cell>
          <cell r="AQ25">
            <v>2092</v>
          </cell>
          <cell r="BD25">
            <v>27</v>
          </cell>
          <cell r="BE25">
            <v>23</v>
          </cell>
          <cell r="BF25">
            <v>57</v>
          </cell>
          <cell r="BQ25">
            <v>59</v>
          </cell>
          <cell r="BU25">
            <v>50</v>
          </cell>
          <cell r="BY25">
            <v>0</v>
          </cell>
          <cell r="CC25">
            <v>70</v>
          </cell>
          <cell r="CG25">
            <v>0</v>
          </cell>
          <cell r="CN25">
            <v>266</v>
          </cell>
          <cell r="CO25">
            <v>0.40610687022900765</v>
          </cell>
          <cell r="CT25">
            <v>5</v>
          </cell>
          <cell r="CX25">
            <v>7</v>
          </cell>
          <cell r="DB25">
            <v>1019</v>
          </cell>
          <cell r="DF25">
            <v>2648</v>
          </cell>
          <cell r="DJ25">
            <v>32</v>
          </cell>
          <cell r="DN25">
            <v>3039</v>
          </cell>
          <cell r="DR25">
            <v>1611</v>
          </cell>
          <cell r="DW25">
            <v>5402</v>
          </cell>
        </row>
        <row r="26">
          <cell r="C26">
            <v>690</v>
          </cell>
          <cell r="E26">
            <v>0</v>
          </cell>
          <cell r="G26">
            <v>630</v>
          </cell>
          <cell r="K26">
            <v>228.732</v>
          </cell>
          <cell r="O26">
            <v>534.76</v>
          </cell>
          <cell r="T26">
            <v>0</v>
          </cell>
          <cell r="X26">
            <v>38079.999999987194</v>
          </cell>
          <cell r="AB26">
            <v>0</v>
          </cell>
          <cell r="AE26">
            <v>38079.999999987194</v>
          </cell>
          <cell r="AI26">
            <v>0.78959999999999997</v>
          </cell>
          <cell r="AM26">
            <v>415</v>
          </cell>
          <cell r="AQ26">
            <v>2092</v>
          </cell>
          <cell r="BD26">
            <v>26.2</v>
          </cell>
          <cell r="BE26">
            <v>22</v>
          </cell>
          <cell r="BF26">
            <v>64</v>
          </cell>
          <cell r="BQ26">
            <v>38</v>
          </cell>
          <cell r="BU26">
            <v>42</v>
          </cell>
          <cell r="BY26">
            <v>0</v>
          </cell>
          <cell r="CC26">
            <v>70</v>
          </cell>
          <cell r="CG26">
            <v>0</v>
          </cell>
          <cell r="CN26">
            <v>250</v>
          </cell>
          <cell r="CO26">
            <v>0.3968253968253968</v>
          </cell>
          <cell r="CT26">
            <v>4</v>
          </cell>
          <cell r="CX26">
            <v>6</v>
          </cell>
          <cell r="DB26">
            <v>958</v>
          </cell>
          <cell r="DF26">
            <v>1927</v>
          </cell>
          <cell r="DJ26">
            <v>31</v>
          </cell>
          <cell r="DN26">
            <v>3042</v>
          </cell>
          <cell r="DR26">
            <v>1857</v>
          </cell>
          <cell r="DW26">
            <v>5650</v>
          </cell>
        </row>
        <row r="27">
          <cell r="C27">
            <v>560</v>
          </cell>
          <cell r="E27">
            <v>0</v>
          </cell>
          <cell r="G27">
            <v>680</v>
          </cell>
          <cell r="K27">
            <v>205.392</v>
          </cell>
          <cell r="O27">
            <v>543.98</v>
          </cell>
          <cell r="T27">
            <v>0</v>
          </cell>
          <cell r="X27">
            <v>38240.000000019791</v>
          </cell>
          <cell r="AB27">
            <v>0</v>
          </cell>
          <cell r="AE27">
            <v>38240.000000019791</v>
          </cell>
          <cell r="AI27">
            <v>0.80989999999999995</v>
          </cell>
          <cell r="AM27">
            <v>426</v>
          </cell>
          <cell r="AQ27">
            <v>2092</v>
          </cell>
          <cell r="BD27">
            <v>28.6</v>
          </cell>
          <cell r="BE27">
            <v>24</v>
          </cell>
          <cell r="BF27">
            <v>57</v>
          </cell>
          <cell r="BQ27">
            <v>35</v>
          </cell>
          <cell r="BU27">
            <v>40</v>
          </cell>
          <cell r="BY27">
            <v>0</v>
          </cell>
          <cell r="CC27">
            <v>100</v>
          </cell>
          <cell r="CG27">
            <v>0</v>
          </cell>
          <cell r="CN27">
            <v>293</v>
          </cell>
          <cell r="CO27">
            <v>0.43088235294117649</v>
          </cell>
          <cell r="CT27">
            <v>3</v>
          </cell>
          <cell r="CX27">
            <v>5</v>
          </cell>
          <cell r="DB27">
            <v>1016</v>
          </cell>
          <cell r="DF27">
            <v>1681</v>
          </cell>
          <cell r="DJ27">
            <v>33</v>
          </cell>
          <cell r="DN27">
            <v>3174</v>
          </cell>
          <cell r="DR27">
            <v>2152</v>
          </cell>
          <cell r="DW27">
            <v>6079</v>
          </cell>
        </row>
        <row r="28">
          <cell r="C28">
            <v>679</v>
          </cell>
          <cell r="E28">
            <v>0</v>
          </cell>
          <cell r="G28">
            <v>559</v>
          </cell>
          <cell r="K28">
            <v>219.39600000000002</v>
          </cell>
          <cell r="O28">
            <v>530.15000000000009</v>
          </cell>
          <cell r="T28">
            <v>0</v>
          </cell>
          <cell r="X28">
            <v>38119.999999995343</v>
          </cell>
          <cell r="AB28">
            <v>0</v>
          </cell>
          <cell r="AE28">
            <v>38119.999999995343</v>
          </cell>
          <cell r="AI28">
            <v>0.80989999999999995</v>
          </cell>
          <cell r="AM28">
            <v>426</v>
          </cell>
          <cell r="AQ28">
            <v>2092</v>
          </cell>
          <cell r="BD28">
            <v>28.6</v>
          </cell>
          <cell r="BE28">
            <v>24</v>
          </cell>
          <cell r="BF28">
            <v>57</v>
          </cell>
          <cell r="BQ28">
            <v>45</v>
          </cell>
          <cell r="BU28">
            <v>40</v>
          </cell>
          <cell r="BY28">
            <v>0</v>
          </cell>
          <cell r="CC28">
            <v>80</v>
          </cell>
          <cell r="CG28">
            <v>0</v>
          </cell>
          <cell r="CN28">
            <v>260</v>
          </cell>
          <cell r="CO28">
            <v>0.46511627906976744</v>
          </cell>
          <cell r="CT28">
            <v>3</v>
          </cell>
          <cell r="CX28">
            <v>6</v>
          </cell>
          <cell r="DB28">
            <v>1080</v>
          </cell>
          <cell r="DF28">
            <v>2191</v>
          </cell>
          <cell r="DJ28">
            <v>31</v>
          </cell>
          <cell r="DN28">
            <v>3281</v>
          </cell>
          <cell r="DR28">
            <v>2224</v>
          </cell>
          <cell r="DW28">
            <v>6256</v>
          </cell>
        </row>
        <row r="29">
          <cell r="C29">
            <v>546</v>
          </cell>
          <cell r="E29">
            <v>0</v>
          </cell>
          <cell r="G29">
            <v>591</v>
          </cell>
          <cell r="K29">
            <v>196.05600000000001</v>
          </cell>
          <cell r="O29">
            <v>479.44000000000005</v>
          </cell>
          <cell r="T29">
            <v>0</v>
          </cell>
          <cell r="X29">
            <v>38519.999999989523</v>
          </cell>
          <cell r="AB29">
            <v>0</v>
          </cell>
          <cell r="AE29">
            <v>38519.999999989523</v>
          </cell>
          <cell r="AI29">
            <v>0.78139999999999998</v>
          </cell>
          <cell r="AM29">
            <v>411</v>
          </cell>
          <cell r="AQ29">
            <v>2092</v>
          </cell>
          <cell r="BD29">
            <v>29.4</v>
          </cell>
          <cell r="BE29">
            <v>25</v>
          </cell>
          <cell r="BF29">
            <v>78</v>
          </cell>
          <cell r="BQ29">
            <v>40</v>
          </cell>
          <cell r="BU29">
            <v>42</v>
          </cell>
          <cell r="BY29">
            <v>0</v>
          </cell>
          <cell r="CC29">
            <v>100</v>
          </cell>
          <cell r="CG29">
            <v>0</v>
          </cell>
          <cell r="CN29">
            <v>280</v>
          </cell>
          <cell r="CO29">
            <v>0.47377326565143824</v>
          </cell>
          <cell r="CT29">
            <v>4</v>
          </cell>
          <cell r="CX29">
            <v>6</v>
          </cell>
          <cell r="DB29">
            <v>1094</v>
          </cell>
          <cell r="DF29">
            <v>1936</v>
          </cell>
          <cell r="DJ29">
            <v>31</v>
          </cell>
          <cell r="DN29">
            <v>3497</v>
          </cell>
          <cell r="DR29">
            <v>1978</v>
          </cell>
          <cell r="DW29">
            <v>6226</v>
          </cell>
        </row>
        <row r="30">
          <cell r="C30">
            <v>521</v>
          </cell>
          <cell r="E30">
            <v>0</v>
          </cell>
          <cell r="G30">
            <v>536</v>
          </cell>
          <cell r="K30">
            <v>191.38800000000001</v>
          </cell>
          <cell r="O30">
            <v>502.49</v>
          </cell>
          <cell r="T30">
            <v>0</v>
          </cell>
          <cell r="X30">
            <v>39279.999999998836</v>
          </cell>
          <cell r="AB30">
            <v>0</v>
          </cell>
          <cell r="AE30">
            <v>39279.999999998836</v>
          </cell>
          <cell r="AI30">
            <v>0.74519999999999997</v>
          </cell>
          <cell r="AM30">
            <v>392</v>
          </cell>
          <cell r="AQ30">
            <v>2092</v>
          </cell>
          <cell r="BD30">
            <v>32.1</v>
          </cell>
          <cell r="BE30">
            <v>26</v>
          </cell>
          <cell r="BF30">
            <v>54</v>
          </cell>
          <cell r="BQ30">
            <v>39</v>
          </cell>
          <cell r="BU30">
            <v>41</v>
          </cell>
          <cell r="BY30">
            <v>0</v>
          </cell>
          <cell r="CC30">
            <v>60</v>
          </cell>
          <cell r="CG30">
            <v>0</v>
          </cell>
          <cell r="CN30">
            <v>251</v>
          </cell>
          <cell r="CO30">
            <v>0.46828358208955223</v>
          </cell>
          <cell r="CT30">
            <v>3</v>
          </cell>
          <cell r="CX30">
            <v>6</v>
          </cell>
          <cell r="DB30">
            <v>1090</v>
          </cell>
          <cell r="DF30">
            <v>1915</v>
          </cell>
          <cell r="DJ30">
            <v>31</v>
          </cell>
          <cell r="DN30">
            <v>3422</v>
          </cell>
          <cell r="DR30">
            <v>2170</v>
          </cell>
          <cell r="DW30">
            <v>6343</v>
          </cell>
        </row>
        <row r="31">
          <cell r="C31">
            <v>620</v>
          </cell>
          <cell r="E31">
            <v>0</v>
          </cell>
          <cell r="G31">
            <v>570</v>
          </cell>
          <cell r="K31">
            <v>182.05199999999999</v>
          </cell>
          <cell r="O31">
            <v>461.00000000000006</v>
          </cell>
          <cell r="T31">
            <v>0</v>
          </cell>
          <cell r="X31">
            <v>37959.999999991851</v>
          </cell>
          <cell r="AB31">
            <v>0</v>
          </cell>
          <cell r="AE31">
            <v>37959.999999991851</v>
          </cell>
          <cell r="AI31">
            <v>0.69579999999999997</v>
          </cell>
          <cell r="AM31">
            <v>366</v>
          </cell>
          <cell r="AQ31">
            <v>2092</v>
          </cell>
          <cell r="BD31">
            <v>31.1</v>
          </cell>
          <cell r="BE31">
            <v>27</v>
          </cell>
          <cell r="BF31">
            <v>54</v>
          </cell>
          <cell r="BQ31">
            <v>40</v>
          </cell>
          <cell r="BU31">
            <v>32</v>
          </cell>
          <cell r="BY31">
            <v>0</v>
          </cell>
          <cell r="CC31">
            <v>50</v>
          </cell>
          <cell r="CG31">
            <v>0</v>
          </cell>
          <cell r="CN31">
            <v>218</v>
          </cell>
          <cell r="CO31">
            <v>0.38245614035087722</v>
          </cell>
          <cell r="CT31">
            <v>4</v>
          </cell>
          <cell r="CX31">
            <v>5</v>
          </cell>
          <cell r="DB31">
            <v>1000</v>
          </cell>
          <cell r="DF31">
            <v>1787</v>
          </cell>
          <cell r="DJ31">
            <v>30</v>
          </cell>
          <cell r="DN31">
            <v>3296</v>
          </cell>
          <cell r="DR31">
            <v>1970</v>
          </cell>
          <cell r="DW31">
            <v>6016</v>
          </cell>
        </row>
        <row r="32">
          <cell r="C32">
            <v>503</v>
          </cell>
          <cell r="E32">
            <v>0</v>
          </cell>
          <cell r="G32">
            <v>538</v>
          </cell>
          <cell r="K32">
            <v>177.38400000000001</v>
          </cell>
          <cell r="O32">
            <v>525.54000000000008</v>
          </cell>
          <cell r="T32">
            <v>0</v>
          </cell>
          <cell r="X32">
            <v>37960.000000020955</v>
          </cell>
          <cell r="AB32">
            <v>0</v>
          </cell>
          <cell r="AE32">
            <v>37960.000000020955</v>
          </cell>
          <cell r="AI32">
            <v>0.61029999999999995</v>
          </cell>
          <cell r="AM32">
            <v>321</v>
          </cell>
          <cell r="AQ32">
            <v>2092</v>
          </cell>
          <cell r="BD32">
            <v>31.1</v>
          </cell>
          <cell r="BE32">
            <v>27</v>
          </cell>
          <cell r="BF32">
            <v>54</v>
          </cell>
          <cell r="BQ32">
            <v>20</v>
          </cell>
          <cell r="BU32">
            <v>41</v>
          </cell>
          <cell r="BY32">
            <v>37</v>
          </cell>
          <cell r="CC32">
            <v>70</v>
          </cell>
          <cell r="CG32">
            <v>0</v>
          </cell>
          <cell r="CN32">
            <v>241</v>
          </cell>
          <cell r="CO32">
            <v>0.44795539033457249</v>
          </cell>
          <cell r="CT32">
            <v>2</v>
          </cell>
          <cell r="CX32">
            <v>4</v>
          </cell>
          <cell r="DB32">
            <v>979</v>
          </cell>
          <cell r="DF32">
            <v>1175</v>
          </cell>
          <cell r="DJ32">
            <v>32</v>
          </cell>
          <cell r="DN32">
            <v>3306</v>
          </cell>
          <cell r="DR32">
            <v>2021</v>
          </cell>
          <cell r="DW32">
            <v>6079</v>
          </cell>
        </row>
        <row r="33">
          <cell r="C33">
            <v>618</v>
          </cell>
          <cell r="E33">
            <v>0</v>
          </cell>
          <cell r="G33">
            <v>613</v>
          </cell>
          <cell r="K33">
            <v>172.71600000000001</v>
          </cell>
          <cell r="O33">
            <v>484.05</v>
          </cell>
          <cell r="T33">
            <v>0</v>
          </cell>
          <cell r="X33">
            <v>36879.999999975553</v>
          </cell>
          <cell r="AB33">
            <v>0</v>
          </cell>
          <cell r="AE33">
            <v>36879.999999975553</v>
          </cell>
          <cell r="AI33">
            <v>0.56999999999999995</v>
          </cell>
          <cell r="AM33">
            <v>298</v>
          </cell>
          <cell r="AQ33">
            <v>2092</v>
          </cell>
          <cell r="BD33">
            <v>31.4</v>
          </cell>
          <cell r="BE33">
            <v>27</v>
          </cell>
          <cell r="BF33">
            <v>54</v>
          </cell>
          <cell r="BQ33">
            <v>40</v>
          </cell>
          <cell r="BU33">
            <v>40</v>
          </cell>
          <cell r="BY33">
            <v>0</v>
          </cell>
          <cell r="CC33">
            <v>130</v>
          </cell>
          <cell r="CG33">
            <v>0</v>
          </cell>
          <cell r="CN33">
            <v>260</v>
          </cell>
          <cell r="CO33">
            <v>0.42414355628058725</v>
          </cell>
          <cell r="CT33">
            <v>4</v>
          </cell>
          <cell r="CX33">
            <v>7</v>
          </cell>
          <cell r="DB33">
            <v>1017</v>
          </cell>
          <cell r="DF33">
            <v>1934</v>
          </cell>
          <cell r="DJ33">
            <v>34</v>
          </cell>
          <cell r="DN33">
            <v>3556</v>
          </cell>
          <cell r="DR33">
            <v>2166</v>
          </cell>
          <cell r="DW33">
            <v>6476</v>
          </cell>
        </row>
        <row r="34">
          <cell r="C34">
            <v>516</v>
          </cell>
          <cell r="G34">
            <v>516</v>
          </cell>
          <cell r="K34">
            <v>186.72</v>
          </cell>
          <cell r="O34">
            <v>511.71000000000004</v>
          </cell>
          <cell r="T34">
            <v>0</v>
          </cell>
          <cell r="X34">
            <v>36640.00000001397</v>
          </cell>
          <cell r="AB34">
            <v>0</v>
          </cell>
          <cell r="AE34">
            <v>36640.00000001397</v>
          </cell>
          <cell r="AI34">
            <v>0.59</v>
          </cell>
          <cell r="AM34">
            <v>308</v>
          </cell>
          <cell r="AQ34">
            <v>2092</v>
          </cell>
          <cell r="BD34">
            <v>31.4</v>
          </cell>
          <cell r="BE34">
            <v>27</v>
          </cell>
          <cell r="BF34">
            <v>54</v>
          </cell>
          <cell r="BQ34">
            <v>41</v>
          </cell>
          <cell r="BU34">
            <v>35</v>
          </cell>
          <cell r="BY34">
            <v>0</v>
          </cell>
          <cell r="CC34">
            <v>60</v>
          </cell>
          <cell r="CG34">
            <v>0</v>
          </cell>
          <cell r="CN34">
            <v>267</v>
          </cell>
          <cell r="CT34">
            <v>2</v>
          </cell>
          <cell r="CX34">
            <v>11</v>
          </cell>
          <cell r="DB34">
            <v>1185</v>
          </cell>
          <cell r="DF34">
            <v>1826</v>
          </cell>
          <cell r="DJ34">
            <v>30</v>
          </cell>
          <cell r="DN34">
            <v>3439</v>
          </cell>
          <cell r="DR34">
            <v>2212</v>
          </cell>
          <cell r="DW34">
            <v>6401</v>
          </cell>
        </row>
        <row r="35">
          <cell r="C35">
            <v>575</v>
          </cell>
          <cell r="G35">
            <v>555</v>
          </cell>
          <cell r="K35">
            <v>182.05199999999999</v>
          </cell>
          <cell r="O35">
            <v>520.93000000000006</v>
          </cell>
          <cell r="T35">
            <v>0</v>
          </cell>
          <cell r="X35">
            <v>37839.999999996508</v>
          </cell>
          <cell r="AB35">
            <v>0</v>
          </cell>
          <cell r="AE35">
            <v>37839.999999996508</v>
          </cell>
          <cell r="AI35">
            <v>0.54</v>
          </cell>
          <cell r="AM35">
            <v>284</v>
          </cell>
          <cell r="AQ35">
            <v>2092</v>
          </cell>
          <cell r="BD35">
            <v>29</v>
          </cell>
          <cell r="BE35">
            <v>26</v>
          </cell>
          <cell r="BF35">
            <v>54</v>
          </cell>
          <cell r="BQ35">
            <v>39</v>
          </cell>
          <cell r="BU35">
            <v>40</v>
          </cell>
          <cell r="BY35">
            <v>0</v>
          </cell>
          <cell r="CC35">
            <v>50</v>
          </cell>
          <cell r="CG35">
            <v>0</v>
          </cell>
          <cell r="CN35">
            <v>231</v>
          </cell>
          <cell r="CO35">
            <v>0.41621621621621624</v>
          </cell>
          <cell r="CT35">
            <v>4</v>
          </cell>
          <cell r="CX35">
            <v>6</v>
          </cell>
          <cell r="DB35">
            <v>1117</v>
          </cell>
          <cell r="DF35">
            <v>1966</v>
          </cell>
          <cell r="DJ35">
            <v>32</v>
          </cell>
          <cell r="DN35">
            <v>3387</v>
          </cell>
          <cell r="DR35">
            <v>2207</v>
          </cell>
          <cell r="DW35">
            <v>6346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history/monthly/eg/sharm-el-shiekh/HESH/date/2024-1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wunderground.com/history/monthly/eg/sharm-el-sheikh/HESH/date/2024-02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workbookViewId="0">
      <selection activeCell="C2" sqref="C2:C32"/>
    </sheetView>
  </sheetViews>
  <sheetFormatPr defaultColWidth="11.5703125" defaultRowHeight="15" x14ac:dyDescent="0.25"/>
  <cols>
    <col min="1" max="1" width="29.140625" style="524" bestFit="1" customWidth="1"/>
    <col min="2" max="3" width="11.5703125" style="519"/>
    <col min="4" max="4" width="13.42578125" style="519" customWidth="1"/>
    <col min="5" max="5" width="12.5703125" style="523" customWidth="1"/>
    <col min="6" max="6" width="12.5703125" style="521" customWidth="1"/>
    <col min="7" max="7" width="11.5703125" style="523"/>
    <col min="8" max="8" width="11.5703125" style="521"/>
    <col min="9" max="9" width="11.5703125" style="523"/>
    <col min="10" max="10" width="11.5703125" style="525"/>
    <col min="11" max="11" width="11.5703125" style="523"/>
    <col min="12" max="12" width="11.5703125" style="525"/>
    <col min="13" max="26" width="11.5703125" style="523"/>
    <col min="27" max="16384" width="11.5703125" style="526"/>
  </cols>
  <sheetData>
    <row r="1" spans="1:14" s="517" customFormat="1" ht="60" x14ac:dyDescent="0.2">
      <c r="A1" s="513" t="s">
        <v>281</v>
      </c>
      <c r="B1" s="513" t="s">
        <v>189</v>
      </c>
      <c r="C1" s="513" t="s">
        <v>282</v>
      </c>
      <c r="D1" s="513" t="s">
        <v>283</v>
      </c>
      <c r="E1" s="514" t="s">
        <v>284</v>
      </c>
      <c r="F1" s="515" t="s">
        <v>285</v>
      </c>
      <c r="G1" s="514" t="s">
        <v>286</v>
      </c>
      <c r="H1" s="515" t="s">
        <v>287</v>
      </c>
      <c r="I1" s="514" t="s">
        <v>292</v>
      </c>
      <c r="J1" s="516" t="s">
        <v>293</v>
      </c>
      <c r="K1" s="514" t="s">
        <v>290</v>
      </c>
      <c r="L1" s="516" t="s">
        <v>291</v>
      </c>
      <c r="M1" s="514" t="s">
        <v>288</v>
      </c>
      <c r="N1" s="514" t="s">
        <v>289</v>
      </c>
    </row>
    <row r="2" spans="1:14" x14ac:dyDescent="0.25">
      <c r="A2" s="518" t="s">
        <v>294</v>
      </c>
      <c r="B2" s="519">
        <v>1</v>
      </c>
      <c r="C2" s="519">
        <v>5</v>
      </c>
      <c r="D2" s="519">
        <v>2025</v>
      </c>
      <c r="E2" s="520">
        <f>'cost.5.25'!J8</f>
        <v>37559.999999997672</v>
      </c>
      <c r="F2" s="521">
        <v>1.49</v>
      </c>
      <c r="G2" s="520">
        <f>'cost.5.25'!AN8</f>
        <v>934.35200000000009</v>
      </c>
      <c r="H2" s="521">
        <f>'cost.5.25'!AS8/'cost.5.25'!AN8</f>
        <v>3.802841327465452</v>
      </c>
      <c r="I2" s="520">
        <f>'cost.5.25'!O8</f>
        <v>0</v>
      </c>
      <c r="J2" s="521" t="e">
        <f>'cost.5.25'!T8/'cost.5.25'!O8</f>
        <v>#DIV/0!</v>
      </c>
      <c r="K2" s="520">
        <f>'cost.5.25'!V8</f>
        <v>704</v>
      </c>
      <c r="L2" s="521">
        <f>'cost.5.25'!Z8/'cost.5.25'!V8</f>
        <v>5.0999999999999996</v>
      </c>
      <c r="M2" s="520">
        <f>'cost.5.25'!F8</f>
        <v>453.99059999999997</v>
      </c>
      <c r="N2" s="520"/>
    </row>
    <row r="3" spans="1:14" x14ac:dyDescent="0.25">
      <c r="A3" s="518" t="s">
        <v>294</v>
      </c>
      <c r="B3" s="519">
        <f>B2+1</f>
        <v>2</v>
      </c>
      <c r="C3" s="519">
        <v>5</v>
      </c>
      <c r="D3" s="519">
        <v>2025</v>
      </c>
      <c r="E3" s="520">
        <f>'cost.5.25'!J9</f>
        <v>37720.000000001164</v>
      </c>
      <c r="F3" s="521">
        <v>1.49</v>
      </c>
      <c r="G3" s="520">
        <f>'cost.5.25'!AN9</f>
        <v>1097.848</v>
      </c>
      <c r="H3" s="521">
        <f>'cost.5.25'!AS9/'cost.5.25'!AN9</f>
        <v>3.8344705277961983</v>
      </c>
      <c r="I3" s="520">
        <f>'cost.5.25'!O9</f>
        <v>0</v>
      </c>
      <c r="J3" s="521" t="e">
        <f>'cost.5.25'!T9/'cost.5.25'!O9</f>
        <v>#DIV/0!</v>
      </c>
      <c r="K3" s="520">
        <f>'cost.5.25'!V9</f>
        <v>712</v>
      </c>
      <c r="L3" s="521">
        <f>'cost.5.25'!Z9/'cost.5.25'!V9</f>
        <v>5.0999999999999996</v>
      </c>
      <c r="M3" s="520">
        <f>'cost.5.25'!F9</f>
        <v>453.99059999999997</v>
      </c>
      <c r="N3" s="520"/>
    </row>
    <row r="4" spans="1:14" x14ac:dyDescent="0.25">
      <c r="A4" s="518" t="s">
        <v>294</v>
      </c>
      <c r="B4" s="519">
        <f t="shared" ref="B4:B32" si="0">B3+1</f>
        <v>3</v>
      </c>
      <c r="C4" s="519">
        <v>5</v>
      </c>
      <c r="D4" s="519">
        <v>2025</v>
      </c>
      <c r="E4" s="520">
        <f>'cost.5.25'!J10</f>
        <v>37240.000000019791</v>
      </c>
      <c r="F4" s="521">
        <v>1.49</v>
      </c>
      <c r="G4" s="520">
        <f>'cost.5.25'!AN10</f>
        <v>808.31600000000003</v>
      </c>
      <c r="H4" s="521">
        <f>'cost.5.25'!AS10/'cost.5.25'!AN10</f>
        <v>3.7720995254331231</v>
      </c>
      <c r="I4" s="520">
        <f>'cost.5.25'!O10</f>
        <v>0</v>
      </c>
      <c r="J4" s="521" t="e">
        <f>'cost.5.25'!T10/'cost.5.25'!O10</f>
        <v>#DIV/0!</v>
      </c>
      <c r="K4" s="520">
        <f>'cost.5.25'!V10</f>
        <v>576</v>
      </c>
      <c r="L4" s="521">
        <f>'cost.5.25'!Z10/'cost.5.25'!V10</f>
        <v>5.0999999999999996</v>
      </c>
      <c r="M4" s="520">
        <f>'cost.5.25'!F10</f>
        <v>453.99059999999997</v>
      </c>
      <c r="N4" s="520"/>
    </row>
    <row r="5" spans="1:14" x14ac:dyDescent="0.25">
      <c r="A5" s="518" t="s">
        <v>294</v>
      </c>
      <c r="B5" s="519">
        <f t="shared" si="0"/>
        <v>4</v>
      </c>
      <c r="C5" s="519">
        <v>5</v>
      </c>
      <c r="D5" s="519">
        <v>2025</v>
      </c>
      <c r="E5" s="520">
        <f>'cost.5.25'!J11</f>
        <v>37239.999999990687</v>
      </c>
      <c r="F5" s="521">
        <v>1.49</v>
      </c>
      <c r="G5" s="520">
        <f>'cost.5.25'!AN11</f>
        <v>892.51400000000012</v>
      </c>
      <c r="H5" s="521">
        <f>'cost.5.25'!AS11/'cost.5.25'!AN11</f>
        <v>3.7977830039640836</v>
      </c>
      <c r="I5" s="520">
        <f>'cost.5.25'!O11</f>
        <v>0</v>
      </c>
      <c r="J5" s="521" t="e">
        <f>'cost.5.25'!T11/'cost.5.25'!O11</f>
        <v>#DIV/0!</v>
      </c>
      <c r="K5" s="520">
        <f>'cost.5.25'!V11</f>
        <v>719</v>
      </c>
      <c r="L5" s="521">
        <f>'cost.5.25'!Z11/'cost.5.25'!V11</f>
        <v>5.0999999999999996</v>
      </c>
      <c r="M5" s="520">
        <f>'cost.5.25'!F11</f>
        <v>390.97579999999999</v>
      </c>
      <c r="N5" s="520"/>
    </row>
    <row r="6" spans="1:14" x14ac:dyDescent="0.25">
      <c r="A6" s="518" t="s">
        <v>294</v>
      </c>
      <c r="B6" s="519">
        <f t="shared" si="0"/>
        <v>5</v>
      </c>
      <c r="C6" s="519">
        <v>5</v>
      </c>
      <c r="D6" s="519">
        <v>2025</v>
      </c>
      <c r="E6" s="520">
        <f>'cost.5.25'!J12</f>
        <v>32320.000000006985</v>
      </c>
      <c r="F6" s="521">
        <v>1.49</v>
      </c>
      <c r="G6" s="520">
        <f>'cost.5.25'!AN12</f>
        <v>915.97</v>
      </c>
      <c r="H6" s="521">
        <f>'cost.5.25'!AS12/'cost.5.25'!AN12</f>
        <v>3.8056791161282577</v>
      </c>
      <c r="I6" s="520">
        <f>'cost.5.25'!O12</f>
        <v>0</v>
      </c>
      <c r="J6" s="521" t="e">
        <f>'cost.5.25'!T12/'cost.5.25'!O12</f>
        <v>#DIV/0!</v>
      </c>
      <c r="K6" s="520">
        <f>'cost.5.25'!V12</f>
        <v>688</v>
      </c>
      <c r="L6" s="521">
        <f>'cost.5.25'!Z12/'cost.5.25'!V12</f>
        <v>5.0999999999999996</v>
      </c>
      <c r="M6" s="520">
        <f>'cost.5.25'!F12</f>
        <v>377.98360000000002</v>
      </c>
      <c r="N6" s="520"/>
    </row>
    <row r="7" spans="1:14" x14ac:dyDescent="0.25">
      <c r="A7" s="518" t="s">
        <v>294</v>
      </c>
      <c r="B7" s="519">
        <f t="shared" si="0"/>
        <v>6</v>
      </c>
      <c r="C7" s="519">
        <v>5</v>
      </c>
      <c r="D7" s="519">
        <v>2025</v>
      </c>
      <c r="E7" s="520">
        <f>'cost.5.25'!J13</f>
        <v>35720.000000001164</v>
      </c>
      <c r="F7" s="521">
        <v>1.49</v>
      </c>
      <c r="G7" s="520">
        <f>'cost.5.25'!AN13</f>
        <v>851.25600000000009</v>
      </c>
      <c r="H7" s="521">
        <f>'cost.5.25'!AS13/'cost.5.25'!AN13</f>
        <v>3.8069906115199186</v>
      </c>
      <c r="I7" s="520">
        <f>'cost.5.25'!O13</f>
        <v>0</v>
      </c>
      <c r="J7" s="521" t="e">
        <f>'cost.5.25'!T13/'cost.5.25'!O13</f>
        <v>#DIV/0!</v>
      </c>
      <c r="K7" s="520">
        <f>'cost.5.25'!V13</f>
        <v>644</v>
      </c>
      <c r="L7" s="521">
        <f>'cost.5.25'!Z13/'cost.5.25'!V13</f>
        <v>5.0999999999999996</v>
      </c>
      <c r="M7" s="520">
        <f>'cost.5.25'!F13</f>
        <v>347.00219999999996</v>
      </c>
      <c r="N7" s="520"/>
    </row>
    <row r="8" spans="1:14" x14ac:dyDescent="0.25">
      <c r="A8" s="518" t="s">
        <v>294</v>
      </c>
      <c r="B8" s="519">
        <f t="shared" si="0"/>
        <v>7</v>
      </c>
      <c r="C8" s="519">
        <v>5</v>
      </c>
      <c r="D8" s="519">
        <v>2025</v>
      </c>
      <c r="E8" s="520">
        <f>'cost.5.25'!J14</f>
        <v>39119.999999995343</v>
      </c>
      <c r="F8" s="521">
        <v>1.49</v>
      </c>
      <c r="G8" s="520">
        <f>'cost.5.25'!AN14</f>
        <v>893.09400000000005</v>
      </c>
      <c r="H8" s="521">
        <f>'cost.5.25'!AS14/'cost.5.25'!AN14</f>
        <v>3.8118512720945383</v>
      </c>
      <c r="I8" s="520">
        <f>'cost.5.25'!O14</f>
        <v>0</v>
      </c>
      <c r="J8" s="521" t="e">
        <f>'cost.5.25'!T14/'cost.5.25'!O14</f>
        <v>#DIV/0!</v>
      </c>
      <c r="K8" s="520">
        <f>'cost.5.25'!V14</f>
        <v>707</v>
      </c>
      <c r="L8" s="521">
        <f>'cost.5.25'!Z14/'cost.5.25'!V14</f>
        <v>5.0999999999999996</v>
      </c>
      <c r="M8" s="520">
        <f>'cost.5.25'!F14</f>
        <v>442.10300000000001</v>
      </c>
      <c r="N8" s="520"/>
    </row>
    <row r="9" spans="1:14" x14ac:dyDescent="0.25">
      <c r="A9" s="518" t="s">
        <v>294</v>
      </c>
      <c r="B9" s="519">
        <f t="shared" si="0"/>
        <v>8</v>
      </c>
      <c r="C9" s="519">
        <v>5</v>
      </c>
      <c r="D9" s="519">
        <v>2025</v>
      </c>
      <c r="E9" s="520">
        <f>'cost.5.25'!J15</f>
        <v>38959.999999991851</v>
      </c>
      <c r="F9" s="521">
        <v>1.49</v>
      </c>
      <c r="G9" s="520">
        <f>'cost.5.25'!AN15</f>
        <v>980.68400000000008</v>
      </c>
      <c r="H9" s="521">
        <f>'cost.5.25'!AS15/'cost.5.25'!AN15</f>
        <v>3.8045407083219467</v>
      </c>
      <c r="I9" s="520">
        <f>'cost.5.25'!O15</f>
        <v>0</v>
      </c>
      <c r="J9" s="521" t="e">
        <f>'cost.5.25'!T15/'cost.5.25'!O15</f>
        <v>#DIV/0!</v>
      </c>
      <c r="K9" s="520">
        <f>'cost.5.25'!V15</f>
        <v>692</v>
      </c>
      <c r="L9" s="521">
        <f>'cost.5.25'!Z15/'cost.5.25'!V15</f>
        <v>5.0999999999999996</v>
      </c>
      <c r="M9" s="520">
        <f>'cost.5.25'!F15</f>
        <v>417.01279999999997</v>
      </c>
      <c r="N9" s="520"/>
    </row>
    <row r="10" spans="1:14" x14ac:dyDescent="0.25">
      <c r="A10" s="518" t="s">
        <v>294</v>
      </c>
      <c r="B10" s="519">
        <f t="shared" si="0"/>
        <v>9</v>
      </c>
      <c r="C10" s="519">
        <v>5</v>
      </c>
      <c r="D10" s="519">
        <v>2025</v>
      </c>
      <c r="E10" s="520">
        <f>'cost.5.25'!J16</f>
        <v>0</v>
      </c>
      <c r="F10" s="521">
        <v>1.49</v>
      </c>
      <c r="G10" s="520">
        <f>'cost.5.25'!AN16</f>
        <v>0</v>
      </c>
      <c r="H10" s="521" t="e">
        <f>'cost.5.25'!AS16/'cost.5.25'!AN16</f>
        <v>#DIV/0!</v>
      </c>
      <c r="I10" s="520">
        <f>'cost.5.25'!O16</f>
        <v>0</v>
      </c>
      <c r="J10" s="521" t="e">
        <f>'cost.5.25'!T16/'cost.5.25'!O16</f>
        <v>#DIV/0!</v>
      </c>
      <c r="K10" s="520">
        <f>'cost.5.25'!V16</f>
        <v>0</v>
      </c>
      <c r="L10" s="521" t="e">
        <f>'cost.5.25'!Z16/'cost.5.25'!V16</f>
        <v>#DIV/0!</v>
      </c>
      <c r="M10" s="520">
        <f>'cost.5.25'!F16</f>
        <v>0</v>
      </c>
      <c r="N10" s="520"/>
    </row>
    <row r="11" spans="1:14" x14ac:dyDescent="0.25">
      <c r="A11" s="518" t="s">
        <v>294</v>
      </c>
      <c r="B11" s="519">
        <f t="shared" si="0"/>
        <v>10</v>
      </c>
      <c r="C11" s="519">
        <v>5</v>
      </c>
      <c r="D11" s="519">
        <v>2025</v>
      </c>
      <c r="E11" s="520">
        <f>'cost.5.25'!J17</f>
        <v>0</v>
      </c>
      <c r="F11" s="521">
        <v>1.49</v>
      </c>
      <c r="G11" s="520">
        <f>'cost.5.25'!AN17</f>
        <v>0</v>
      </c>
      <c r="H11" s="521" t="e">
        <f>'cost.5.25'!AS17/'cost.5.25'!AN17</f>
        <v>#DIV/0!</v>
      </c>
      <c r="I11" s="520">
        <f>'cost.5.25'!O17</f>
        <v>0</v>
      </c>
      <c r="J11" s="521" t="e">
        <f>'cost.5.25'!T17/'cost.5.25'!O17</f>
        <v>#DIV/0!</v>
      </c>
      <c r="K11" s="520">
        <f>'cost.5.25'!V17</f>
        <v>0</v>
      </c>
      <c r="L11" s="521" t="e">
        <f>'cost.5.25'!Z17/'cost.5.25'!V17</f>
        <v>#DIV/0!</v>
      </c>
      <c r="M11" s="520">
        <f>'cost.5.25'!F17</f>
        <v>0</v>
      </c>
      <c r="N11" s="520"/>
    </row>
    <row r="12" spans="1:14" x14ac:dyDescent="0.25">
      <c r="A12" s="518" t="s">
        <v>294</v>
      </c>
      <c r="B12" s="519">
        <f t="shared" si="0"/>
        <v>11</v>
      </c>
      <c r="C12" s="519">
        <v>5</v>
      </c>
      <c r="D12" s="519">
        <v>2025</v>
      </c>
      <c r="E12" s="520">
        <f>'cost.5.25'!J18</f>
        <v>0</v>
      </c>
      <c r="F12" s="521">
        <v>1.49</v>
      </c>
      <c r="G12" s="520">
        <f>'cost.5.25'!AN18</f>
        <v>0</v>
      </c>
      <c r="H12" s="521" t="e">
        <f>'cost.5.25'!AS18/'cost.5.25'!AN18</f>
        <v>#DIV/0!</v>
      </c>
      <c r="I12" s="520">
        <f>'cost.5.25'!O18</f>
        <v>0</v>
      </c>
      <c r="J12" s="521" t="e">
        <f>'cost.5.25'!T18/'cost.5.25'!O18</f>
        <v>#DIV/0!</v>
      </c>
      <c r="K12" s="520">
        <f>'cost.5.25'!V18</f>
        <v>0</v>
      </c>
      <c r="L12" s="521" t="e">
        <f>'cost.5.25'!Z18/'cost.5.25'!V18</f>
        <v>#DIV/0!</v>
      </c>
      <c r="M12" s="520">
        <f>'cost.5.25'!F18</f>
        <v>0</v>
      </c>
      <c r="N12" s="520"/>
    </row>
    <row r="13" spans="1:14" x14ac:dyDescent="0.25">
      <c r="A13" s="518" t="s">
        <v>294</v>
      </c>
      <c r="B13" s="519">
        <f t="shared" si="0"/>
        <v>12</v>
      </c>
      <c r="C13" s="519">
        <v>5</v>
      </c>
      <c r="D13" s="519">
        <v>2025</v>
      </c>
      <c r="E13" s="520">
        <f>'cost.5.25'!J19</f>
        <v>0</v>
      </c>
      <c r="F13" s="521">
        <v>1.49</v>
      </c>
      <c r="G13" s="520">
        <f>'cost.5.25'!AN19</f>
        <v>0</v>
      </c>
      <c r="H13" s="521" t="e">
        <f>'cost.5.25'!AS19/'cost.5.25'!AN19</f>
        <v>#DIV/0!</v>
      </c>
      <c r="I13" s="520">
        <f>'cost.5.25'!O19</f>
        <v>0</v>
      </c>
      <c r="J13" s="521" t="e">
        <f>'cost.5.25'!T19/'cost.5.25'!O19</f>
        <v>#DIV/0!</v>
      </c>
      <c r="K13" s="520">
        <f>'cost.5.25'!V19</f>
        <v>0</v>
      </c>
      <c r="L13" s="521" t="e">
        <f>'cost.5.25'!Z19/'cost.5.25'!V19</f>
        <v>#DIV/0!</v>
      </c>
      <c r="M13" s="520">
        <f>'cost.5.25'!F19</f>
        <v>0</v>
      </c>
      <c r="N13" s="520"/>
    </row>
    <row r="14" spans="1:14" x14ac:dyDescent="0.25">
      <c r="A14" s="518" t="s">
        <v>294</v>
      </c>
      <c r="B14" s="519">
        <f t="shared" si="0"/>
        <v>13</v>
      </c>
      <c r="C14" s="519">
        <v>5</v>
      </c>
      <c r="D14" s="519">
        <v>2025</v>
      </c>
      <c r="E14" s="520">
        <f>'cost.5.25'!J20</f>
        <v>0</v>
      </c>
      <c r="F14" s="521">
        <v>1.49</v>
      </c>
      <c r="G14" s="520">
        <f>'cost.5.25'!AN20</f>
        <v>0</v>
      </c>
      <c r="H14" s="521" t="e">
        <f>'cost.5.25'!AS20/'cost.5.25'!AN20</f>
        <v>#DIV/0!</v>
      </c>
      <c r="I14" s="520">
        <f>'cost.5.25'!O20</f>
        <v>0</v>
      </c>
      <c r="J14" s="521" t="e">
        <f>'cost.5.25'!T20/'cost.5.25'!O20</f>
        <v>#DIV/0!</v>
      </c>
      <c r="K14" s="520">
        <f>'cost.5.25'!V20</f>
        <v>0</v>
      </c>
      <c r="L14" s="521" t="e">
        <f>'cost.5.25'!Z20/'cost.5.25'!V20</f>
        <v>#DIV/0!</v>
      </c>
      <c r="M14" s="520">
        <f>'cost.5.25'!F20</f>
        <v>0</v>
      </c>
      <c r="N14" s="520"/>
    </row>
    <row r="15" spans="1:14" x14ac:dyDescent="0.25">
      <c r="A15" s="518" t="s">
        <v>294</v>
      </c>
      <c r="B15" s="519">
        <f t="shared" si="0"/>
        <v>14</v>
      </c>
      <c r="C15" s="519">
        <v>5</v>
      </c>
      <c r="D15" s="519">
        <v>2025</v>
      </c>
      <c r="E15" s="520">
        <f>'cost.5.25'!J21</f>
        <v>0</v>
      </c>
      <c r="F15" s="521">
        <v>1.49</v>
      </c>
      <c r="G15" s="520">
        <f>'cost.5.25'!AN21</f>
        <v>0</v>
      </c>
      <c r="H15" s="521" t="e">
        <f>'cost.5.25'!AS21/'cost.5.25'!AN21</f>
        <v>#DIV/0!</v>
      </c>
      <c r="I15" s="520">
        <f>'cost.5.25'!O21</f>
        <v>0</v>
      </c>
      <c r="J15" s="521" t="e">
        <f>'cost.5.25'!T21/'cost.5.25'!O21</f>
        <v>#DIV/0!</v>
      </c>
      <c r="K15" s="520">
        <f>'cost.5.25'!V21</f>
        <v>0</v>
      </c>
      <c r="L15" s="521" t="e">
        <f>'cost.5.25'!Z21/'cost.5.25'!V21</f>
        <v>#DIV/0!</v>
      </c>
      <c r="M15" s="520">
        <f>'cost.5.25'!F21</f>
        <v>0</v>
      </c>
      <c r="N15" s="520"/>
    </row>
    <row r="16" spans="1:14" x14ac:dyDescent="0.25">
      <c r="A16" s="518" t="s">
        <v>294</v>
      </c>
      <c r="B16" s="519">
        <f t="shared" si="0"/>
        <v>15</v>
      </c>
      <c r="C16" s="519">
        <v>5</v>
      </c>
      <c r="D16" s="519">
        <v>2025</v>
      </c>
      <c r="E16" s="520">
        <f>'cost.5.25'!J22</f>
        <v>0</v>
      </c>
      <c r="F16" s="521">
        <v>1.49</v>
      </c>
      <c r="G16" s="520">
        <f>'cost.5.25'!AN22</f>
        <v>0</v>
      </c>
      <c r="H16" s="521" t="e">
        <f>'cost.5.25'!AS22/'cost.5.25'!AN22</f>
        <v>#DIV/0!</v>
      </c>
      <c r="I16" s="520">
        <f>'cost.5.25'!O22</f>
        <v>0</v>
      </c>
      <c r="J16" s="521" t="e">
        <f>'cost.5.25'!T22/'cost.5.25'!O22</f>
        <v>#DIV/0!</v>
      </c>
      <c r="K16" s="520">
        <f>'cost.5.25'!V22</f>
        <v>0</v>
      </c>
      <c r="L16" s="521" t="e">
        <f>'cost.5.25'!Z22/'cost.5.25'!V22</f>
        <v>#DIV/0!</v>
      </c>
      <c r="M16" s="520">
        <f>'cost.5.25'!F22</f>
        <v>0</v>
      </c>
      <c r="N16" s="520"/>
    </row>
    <row r="17" spans="1:14" x14ac:dyDescent="0.25">
      <c r="A17" s="518" t="s">
        <v>294</v>
      </c>
      <c r="B17" s="519">
        <f t="shared" si="0"/>
        <v>16</v>
      </c>
      <c r="C17" s="519">
        <v>5</v>
      </c>
      <c r="D17" s="519">
        <v>2025</v>
      </c>
      <c r="E17" s="520">
        <f>'cost.5.25'!J23</f>
        <v>0</v>
      </c>
      <c r="F17" s="521">
        <v>1.49</v>
      </c>
      <c r="G17" s="520">
        <f>'cost.5.25'!AN23</f>
        <v>0</v>
      </c>
      <c r="H17" s="521" t="e">
        <f>'cost.5.25'!AS23/'cost.5.25'!AN23</f>
        <v>#DIV/0!</v>
      </c>
      <c r="I17" s="520">
        <f>'cost.5.25'!O23</f>
        <v>0</v>
      </c>
      <c r="J17" s="521" t="e">
        <f>'cost.5.25'!T23/'cost.5.25'!O23</f>
        <v>#DIV/0!</v>
      </c>
      <c r="K17" s="520">
        <f>'cost.5.25'!V23</f>
        <v>0</v>
      </c>
      <c r="L17" s="521" t="e">
        <f>'cost.5.25'!Z23/'cost.5.25'!V23</f>
        <v>#DIV/0!</v>
      </c>
      <c r="M17" s="520">
        <f>'cost.5.25'!F23</f>
        <v>0</v>
      </c>
      <c r="N17" s="520"/>
    </row>
    <row r="18" spans="1:14" x14ac:dyDescent="0.25">
      <c r="A18" s="518" t="s">
        <v>294</v>
      </c>
      <c r="B18" s="519">
        <f t="shared" si="0"/>
        <v>17</v>
      </c>
      <c r="C18" s="519">
        <v>5</v>
      </c>
      <c r="D18" s="519">
        <v>2025</v>
      </c>
      <c r="E18" s="520">
        <f>'cost.5.25'!J24</f>
        <v>0</v>
      </c>
      <c r="F18" s="521">
        <v>1.49</v>
      </c>
      <c r="G18" s="520">
        <f>'cost.5.25'!AN24</f>
        <v>0</v>
      </c>
      <c r="H18" s="521" t="e">
        <f>'cost.5.25'!AS24/'cost.5.25'!AN24</f>
        <v>#DIV/0!</v>
      </c>
      <c r="I18" s="520">
        <f>'cost.5.25'!O24</f>
        <v>0</v>
      </c>
      <c r="J18" s="521" t="e">
        <f>'cost.5.25'!T24/'cost.5.25'!O24</f>
        <v>#DIV/0!</v>
      </c>
      <c r="K18" s="520">
        <f>'cost.5.25'!V24</f>
        <v>0</v>
      </c>
      <c r="L18" s="521" t="e">
        <f>'cost.5.25'!Z24/'cost.5.25'!V24</f>
        <v>#DIV/0!</v>
      </c>
      <c r="M18" s="520">
        <f>'cost.5.25'!F24</f>
        <v>0</v>
      </c>
      <c r="N18" s="520"/>
    </row>
    <row r="19" spans="1:14" x14ac:dyDescent="0.25">
      <c r="A19" s="518" t="s">
        <v>294</v>
      </c>
      <c r="B19" s="519">
        <f t="shared" si="0"/>
        <v>18</v>
      </c>
      <c r="C19" s="519">
        <v>5</v>
      </c>
      <c r="D19" s="519">
        <v>2025</v>
      </c>
      <c r="E19" s="520">
        <f>'cost.5.25'!J25</f>
        <v>0</v>
      </c>
      <c r="F19" s="521">
        <v>1.49</v>
      </c>
      <c r="G19" s="520">
        <f>'cost.5.25'!AN25</f>
        <v>0</v>
      </c>
      <c r="H19" s="521" t="e">
        <f>'cost.5.25'!AS25/'cost.5.25'!AN25</f>
        <v>#DIV/0!</v>
      </c>
      <c r="I19" s="520">
        <f>'cost.5.25'!O25</f>
        <v>0</v>
      </c>
      <c r="J19" s="521" t="e">
        <f>'cost.5.25'!T25/'cost.5.25'!O25</f>
        <v>#DIV/0!</v>
      </c>
      <c r="K19" s="520">
        <f>'cost.5.25'!V25</f>
        <v>0</v>
      </c>
      <c r="L19" s="521" t="e">
        <f>'cost.5.25'!Z25/'cost.5.25'!V25</f>
        <v>#DIV/0!</v>
      </c>
      <c r="M19" s="520">
        <f>'cost.5.25'!F25</f>
        <v>0</v>
      </c>
      <c r="N19" s="520"/>
    </row>
    <row r="20" spans="1:14" x14ac:dyDescent="0.25">
      <c r="A20" s="518" t="s">
        <v>294</v>
      </c>
      <c r="B20" s="519">
        <f t="shared" si="0"/>
        <v>19</v>
      </c>
      <c r="C20" s="519">
        <v>5</v>
      </c>
      <c r="D20" s="519">
        <v>2025</v>
      </c>
      <c r="E20" s="520">
        <f>'cost.5.25'!J26</f>
        <v>0</v>
      </c>
      <c r="F20" s="521">
        <v>1.49</v>
      </c>
      <c r="G20" s="520">
        <f>'cost.5.25'!AN26</f>
        <v>0</v>
      </c>
      <c r="H20" s="521" t="e">
        <f>'cost.5.25'!AS26/'cost.5.25'!AN26</f>
        <v>#DIV/0!</v>
      </c>
      <c r="I20" s="520">
        <f>'cost.5.25'!O26</f>
        <v>0</v>
      </c>
      <c r="J20" s="521" t="e">
        <f>'cost.5.25'!T26/'cost.5.25'!O26</f>
        <v>#DIV/0!</v>
      </c>
      <c r="K20" s="520">
        <f>'cost.5.25'!V26</f>
        <v>0</v>
      </c>
      <c r="L20" s="521" t="e">
        <f>'cost.5.25'!Z26/'cost.5.25'!V26</f>
        <v>#DIV/0!</v>
      </c>
      <c r="M20" s="520">
        <f>'cost.5.25'!F26</f>
        <v>0</v>
      </c>
      <c r="N20" s="520"/>
    </row>
    <row r="21" spans="1:14" x14ac:dyDescent="0.25">
      <c r="A21" s="518" t="s">
        <v>294</v>
      </c>
      <c r="B21" s="519">
        <f t="shared" si="0"/>
        <v>20</v>
      </c>
      <c r="C21" s="519">
        <v>5</v>
      </c>
      <c r="D21" s="519">
        <v>2025</v>
      </c>
      <c r="E21" s="520">
        <f>'cost.5.25'!J27</f>
        <v>0</v>
      </c>
      <c r="F21" s="521">
        <v>1.49</v>
      </c>
      <c r="G21" s="520">
        <f>'cost.5.25'!AN27</f>
        <v>0</v>
      </c>
      <c r="H21" s="521" t="e">
        <f>'cost.5.25'!AS27/'cost.5.25'!AN27</f>
        <v>#DIV/0!</v>
      </c>
      <c r="I21" s="520">
        <f>'cost.5.25'!O27</f>
        <v>0</v>
      </c>
      <c r="J21" s="521" t="e">
        <f>'cost.5.25'!T27/'cost.5.25'!O27</f>
        <v>#DIV/0!</v>
      </c>
      <c r="K21" s="520">
        <f>'cost.5.25'!V27</f>
        <v>0</v>
      </c>
      <c r="L21" s="521" t="e">
        <f>'cost.5.25'!Z27/'cost.5.25'!V27</f>
        <v>#DIV/0!</v>
      </c>
      <c r="M21" s="520">
        <f>'cost.5.25'!F27</f>
        <v>0</v>
      </c>
      <c r="N21" s="520"/>
    </row>
    <row r="22" spans="1:14" x14ac:dyDescent="0.25">
      <c r="A22" s="518" t="s">
        <v>294</v>
      </c>
      <c r="B22" s="519">
        <f t="shared" si="0"/>
        <v>21</v>
      </c>
      <c r="C22" s="519">
        <v>5</v>
      </c>
      <c r="D22" s="519">
        <v>2025</v>
      </c>
      <c r="E22" s="520">
        <f>'cost.5.25'!J28</f>
        <v>0</v>
      </c>
      <c r="F22" s="521">
        <v>1.49</v>
      </c>
      <c r="G22" s="520">
        <f>'cost.5.25'!AN28</f>
        <v>0</v>
      </c>
      <c r="H22" s="521" t="e">
        <f>'cost.5.25'!AS28/'cost.5.25'!AN28</f>
        <v>#DIV/0!</v>
      </c>
      <c r="I22" s="520">
        <f>'cost.5.25'!O28</f>
        <v>0</v>
      </c>
      <c r="J22" s="521" t="e">
        <f>'cost.5.25'!T28/'cost.5.25'!O28</f>
        <v>#DIV/0!</v>
      </c>
      <c r="K22" s="520">
        <f>'cost.5.25'!V28</f>
        <v>0</v>
      </c>
      <c r="L22" s="521" t="e">
        <f>'cost.5.25'!Z28/'cost.5.25'!V28</f>
        <v>#DIV/0!</v>
      </c>
      <c r="M22" s="520">
        <f>'cost.5.25'!F28</f>
        <v>0</v>
      </c>
      <c r="N22" s="520"/>
    </row>
    <row r="23" spans="1:14" x14ac:dyDescent="0.25">
      <c r="A23" s="518" t="s">
        <v>294</v>
      </c>
      <c r="B23" s="519">
        <f t="shared" si="0"/>
        <v>22</v>
      </c>
      <c r="C23" s="519">
        <v>5</v>
      </c>
      <c r="D23" s="519">
        <v>2025</v>
      </c>
      <c r="E23" s="520">
        <f>'cost.5.25'!J29</f>
        <v>0</v>
      </c>
      <c r="F23" s="521">
        <v>1.49</v>
      </c>
      <c r="G23" s="520">
        <f>'cost.5.25'!AN29</f>
        <v>0</v>
      </c>
      <c r="H23" s="521" t="e">
        <f>'cost.5.25'!AS29/'cost.5.25'!AN29</f>
        <v>#DIV/0!</v>
      </c>
      <c r="I23" s="520">
        <f>'cost.5.25'!O29</f>
        <v>0</v>
      </c>
      <c r="J23" s="521" t="e">
        <f>'cost.5.25'!T29/'cost.5.25'!O29</f>
        <v>#DIV/0!</v>
      </c>
      <c r="K23" s="520">
        <f>'cost.5.25'!V29</f>
        <v>0</v>
      </c>
      <c r="L23" s="521" t="e">
        <f>'cost.5.25'!Z29/'cost.5.25'!V29</f>
        <v>#DIV/0!</v>
      </c>
      <c r="M23" s="520">
        <f>'cost.5.25'!F29</f>
        <v>0</v>
      </c>
      <c r="N23" s="520"/>
    </row>
    <row r="24" spans="1:14" x14ac:dyDescent="0.25">
      <c r="A24" s="518" t="s">
        <v>294</v>
      </c>
      <c r="B24" s="519">
        <f t="shared" si="0"/>
        <v>23</v>
      </c>
      <c r="C24" s="519">
        <v>5</v>
      </c>
      <c r="D24" s="519">
        <v>2025</v>
      </c>
      <c r="E24" s="520">
        <f>'cost.5.25'!J30</f>
        <v>0</v>
      </c>
      <c r="F24" s="521">
        <v>1.49</v>
      </c>
      <c r="G24" s="520">
        <f>'cost.5.25'!AN30</f>
        <v>0</v>
      </c>
      <c r="H24" s="521" t="e">
        <f>'cost.5.25'!AS30/'cost.5.25'!AN30</f>
        <v>#DIV/0!</v>
      </c>
      <c r="I24" s="520">
        <f>'cost.5.25'!O30</f>
        <v>0</v>
      </c>
      <c r="J24" s="521" t="e">
        <f>'cost.5.25'!T30/'cost.5.25'!O30</f>
        <v>#DIV/0!</v>
      </c>
      <c r="K24" s="520">
        <f>'cost.5.25'!V30</f>
        <v>0</v>
      </c>
      <c r="L24" s="521" t="e">
        <f>'cost.5.25'!Z30/'cost.5.25'!V30</f>
        <v>#DIV/0!</v>
      </c>
      <c r="M24" s="520">
        <f>'cost.5.25'!F30</f>
        <v>0</v>
      </c>
      <c r="N24" s="520"/>
    </row>
    <row r="25" spans="1:14" x14ac:dyDescent="0.25">
      <c r="A25" s="518" t="s">
        <v>294</v>
      </c>
      <c r="B25" s="519">
        <f t="shared" si="0"/>
        <v>24</v>
      </c>
      <c r="C25" s="519">
        <v>5</v>
      </c>
      <c r="D25" s="519">
        <v>2025</v>
      </c>
      <c r="E25" s="520">
        <f>'cost.5.25'!J31</f>
        <v>0</v>
      </c>
      <c r="F25" s="521">
        <v>1.49</v>
      </c>
      <c r="G25" s="520">
        <f>'cost.5.25'!AN31</f>
        <v>0</v>
      </c>
      <c r="H25" s="521" t="e">
        <f>'cost.5.25'!AS31/'cost.5.25'!AN31</f>
        <v>#DIV/0!</v>
      </c>
      <c r="I25" s="520">
        <f>'cost.5.25'!O31</f>
        <v>0</v>
      </c>
      <c r="J25" s="521" t="e">
        <f>'cost.5.25'!T31/'cost.5.25'!O31</f>
        <v>#DIV/0!</v>
      </c>
      <c r="K25" s="520">
        <f>'cost.5.25'!V31</f>
        <v>0</v>
      </c>
      <c r="L25" s="521" t="e">
        <f>'cost.5.25'!Z31/'cost.5.25'!V31</f>
        <v>#DIV/0!</v>
      </c>
      <c r="M25" s="520">
        <f>'cost.5.25'!F31</f>
        <v>0</v>
      </c>
      <c r="N25" s="520"/>
    </row>
    <row r="26" spans="1:14" x14ac:dyDescent="0.25">
      <c r="A26" s="518" t="s">
        <v>294</v>
      </c>
      <c r="B26" s="519">
        <f>B25+1</f>
        <v>25</v>
      </c>
      <c r="C26" s="519">
        <v>5</v>
      </c>
      <c r="D26" s="519">
        <v>2025</v>
      </c>
      <c r="E26" s="520">
        <f>'cost.5.25'!J32</f>
        <v>0</v>
      </c>
      <c r="F26" s="521">
        <v>1.49</v>
      </c>
      <c r="G26" s="520">
        <f>'cost.5.25'!AN32</f>
        <v>0</v>
      </c>
      <c r="H26" s="521" t="e">
        <f>'cost.5.25'!AS32/'cost.5.25'!AN32</f>
        <v>#DIV/0!</v>
      </c>
      <c r="I26" s="520">
        <f>'cost.5.25'!O32</f>
        <v>0</v>
      </c>
      <c r="J26" s="521" t="e">
        <f>'cost.5.25'!T32/'cost.5.25'!O32</f>
        <v>#DIV/0!</v>
      </c>
      <c r="K26" s="520">
        <f>'cost.5.25'!V32</f>
        <v>0</v>
      </c>
      <c r="L26" s="521" t="e">
        <f>'cost.5.25'!Z32/'cost.5.25'!V32</f>
        <v>#DIV/0!</v>
      </c>
      <c r="M26" s="520">
        <f>'cost.5.25'!F32</f>
        <v>0</v>
      </c>
      <c r="N26" s="520"/>
    </row>
    <row r="27" spans="1:14" x14ac:dyDescent="0.25">
      <c r="A27" s="518" t="s">
        <v>294</v>
      </c>
      <c r="B27" s="519">
        <f t="shared" si="0"/>
        <v>26</v>
      </c>
      <c r="C27" s="519">
        <v>5</v>
      </c>
      <c r="D27" s="519">
        <v>2025</v>
      </c>
      <c r="E27" s="520">
        <f>'cost.5.25'!J33</f>
        <v>0</v>
      </c>
      <c r="F27" s="521">
        <v>1.49</v>
      </c>
      <c r="G27" s="520">
        <f>'cost.5.25'!AN33</f>
        <v>0</v>
      </c>
      <c r="H27" s="521" t="e">
        <f>'cost.5.25'!AS33/'cost.5.25'!AN33</f>
        <v>#DIV/0!</v>
      </c>
      <c r="I27" s="520">
        <f>'cost.5.25'!O33</f>
        <v>0</v>
      </c>
      <c r="J27" s="521" t="e">
        <f>'cost.5.25'!T33/'cost.5.25'!O33</f>
        <v>#DIV/0!</v>
      </c>
      <c r="K27" s="520">
        <f>'cost.5.25'!V33</f>
        <v>0</v>
      </c>
      <c r="L27" s="521" t="e">
        <f>'cost.5.25'!Z33/'cost.5.25'!V33</f>
        <v>#DIV/0!</v>
      </c>
      <c r="M27" s="520">
        <f>'cost.5.25'!F33</f>
        <v>0</v>
      </c>
      <c r="N27" s="520"/>
    </row>
    <row r="28" spans="1:14" x14ac:dyDescent="0.25">
      <c r="A28" s="518" t="s">
        <v>294</v>
      </c>
      <c r="B28" s="519">
        <f t="shared" si="0"/>
        <v>27</v>
      </c>
      <c r="C28" s="519">
        <v>5</v>
      </c>
      <c r="D28" s="519">
        <v>2025</v>
      </c>
      <c r="E28" s="520">
        <f>'cost.5.25'!J34</f>
        <v>0</v>
      </c>
      <c r="F28" s="521">
        <v>1.49</v>
      </c>
      <c r="G28" s="520">
        <f>'cost.5.25'!AN34</f>
        <v>0</v>
      </c>
      <c r="H28" s="521" t="e">
        <f>'cost.5.25'!AS34/'cost.5.25'!AN34</f>
        <v>#DIV/0!</v>
      </c>
      <c r="I28" s="520">
        <f>'cost.5.25'!O34</f>
        <v>0</v>
      </c>
      <c r="J28" s="521" t="e">
        <f>'cost.5.25'!T34/'cost.5.25'!O34</f>
        <v>#DIV/0!</v>
      </c>
      <c r="K28" s="520">
        <f>'cost.5.25'!V34</f>
        <v>0</v>
      </c>
      <c r="L28" s="521" t="e">
        <f>'cost.5.25'!Z34/'cost.5.25'!V34</f>
        <v>#DIV/0!</v>
      </c>
      <c r="M28" s="520">
        <f>'cost.5.25'!F34</f>
        <v>0</v>
      </c>
      <c r="N28" s="520"/>
    </row>
    <row r="29" spans="1:14" x14ac:dyDescent="0.25">
      <c r="A29" s="518" t="s">
        <v>294</v>
      </c>
      <c r="B29" s="519">
        <f t="shared" si="0"/>
        <v>28</v>
      </c>
      <c r="C29" s="519">
        <v>5</v>
      </c>
      <c r="D29" s="519">
        <v>2025</v>
      </c>
      <c r="E29" s="520">
        <f>'cost.5.25'!J35</f>
        <v>0</v>
      </c>
      <c r="F29" s="521">
        <v>1.49</v>
      </c>
      <c r="G29" s="520">
        <f>'cost.5.25'!AN35</f>
        <v>0</v>
      </c>
      <c r="H29" s="521" t="e">
        <f>'cost.5.25'!AS35/'cost.5.25'!AN35</f>
        <v>#DIV/0!</v>
      </c>
      <c r="I29" s="520">
        <f>'cost.5.25'!O35</f>
        <v>0</v>
      </c>
      <c r="J29" s="521" t="e">
        <f>'cost.5.25'!T35/'cost.5.25'!O35</f>
        <v>#DIV/0!</v>
      </c>
      <c r="K29" s="520">
        <f>'cost.5.25'!V35</f>
        <v>0</v>
      </c>
      <c r="L29" s="521" t="e">
        <f>'cost.5.25'!Z35/'cost.5.25'!V35</f>
        <v>#DIV/0!</v>
      </c>
      <c r="M29" s="520">
        <f>'cost.5.25'!F35</f>
        <v>0</v>
      </c>
      <c r="N29" s="520"/>
    </row>
    <row r="30" spans="1:14" x14ac:dyDescent="0.25">
      <c r="A30" s="518" t="s">
        <v>294</v>
      </c>
      <c r="B30" s="519">
        <f t="shared" si="0"/>
        <v>29</v>
      </c>
      <c r="C30" s="519">
        <v>5</v>
      </c>
      <c r="D30" s="519">
        <v>2025</v>
      </c>
      <c r="E30" s="520">
        <f>'cost.5.25'!J36</f>
        <v>0</v>
      </c>
      <c r="F30" s="521">
        <v>1.49</v>
      </c>
      <c r="G30" s="520">
        <f>'cost.5.25'!AN36</f>
        <v>0</v>
      </c>
      <c r="H30" s="521" t="e">
        <f>'cost.5.25'!AS36/'cost.5.25'!AN36</f>
        <v>#DIV/0!</v>
      </c>
      <c r="I30" s="520">
        <f>'cost.5.25'!O36</f>
        <v>0</v>
      </c>
      <c r="J30" s="521" t="e">
        <f>'cost.5.25'!T36/'cost.5.25'!O36</f>
        <v>#DIV/0!</v>
      </c>
      <c r="K30" s="520">
        <f>'cost.5.25'!V36</f>
        <v>0</v>
      </c>
      <c r="L30" s="521" t="e">
        <f>'cost.5.25'!Z36/'cost.5.25'!V36</f>
        <v>#DIV/0!</v>
      </c>
      <c r="M30" s="520">
        <f>'cost.5.25'!F36</f>
        <v>0</v>
      </c>
      <c r="N30" s="520"/>
    </row>
    <row r="31" spans="1:14" x14ac:dyDescent="0.25">
      <c r="A31" s="518" t="s">
        <v>294</v>
      </c>
      <c r="B31" s="519">
        <f t="shared" si="0"/>
        <v>30</v>
      </c>
      <c r="C31" s="519">
        <v>5</v>
      </c>
      <c r="D31" s="519">
        <v>2025</v>
      </c>
      <c r="E31" s="520">
        <f>'cost.5.25'!J37</f>
        <v>0</v>
      </c>
      <c r="F31" s="521">
        <v>1.49</v>
      </c>
      <c r="G31" s="520">
        <f>'cost.5.25'!AN37</f>
        <v>0</v>
      </c>
      <c r="H31" s="521" t="e">
        <f>'cost.5.25'!AS37/'cost.5.25'!AN37</f>
        <v>#DIV/0!</v>
      </c>
      <c r="I31" s="520">
        <f>'cost.5.25'!O37</f>
        <v>0</v>
      </c>
      <c r="J31" s="521" t="e">
        <f>'cost.5.25'!T37/'cost.5.25'!O37</f>
        <v>#DIV/0!</v>
      </c>
      <c r="K31" s="520">
        <f>'cost.5.25'!V37</f>
        <v>0</v>
      </c>
      <c r="L31" s="521" t="e">
        <f>'cost.5.25'!Z37/'cost.5.25'!V37</f>
        <v>#DIV/0!</v>
      </c>
      <c r="M31" s="520">
        <f>'cost.5.25'!F37</f>
        <v>0</v>
      </c>
      <c r="N31" s="520"/>
    </row>
    <row r="32" spans="1:14" x14ac:dyDescent="0.25">
      <c r="A32" s="518" t="s">
        <v>294</v>
      </c>
      <c r="B32" s="519">
        <f t="shared" si="0"/>
        <v>31</v>
      </c>
      <c r="C32" s="519">
        <v>5</v>
      </c>
      <c r="D32" s="519">
        <v>2025</v>
      </c>
      <c r="E32" s="520"/>
      <c r="G32" s="520"/>
      <c r="I32" s="520">
        <f>'cost.5.25'!O39</f>
        <v>0</v>
      </c>
      <c r="J32" s="521" t="e">
        <f>'cost.5.25'!T39/'cost.5.25'!O39</f>
        <v>#DIV/0!</v>
      </c>
      <c r="K32" s="520"/>
      <c r="L32" s="522"/>
      <c r="M32" s="520"/>
      <c r="N32" s="520"/>
    </row>
    <row r="33" spans="7:7" x14ac:dyDescent="0.25">
      <c r="G33" s="5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W60"/>
  <sheetViews>
    <sheetView tabSelected="1" view="pageBreakPreview" zoomScale="80" zoomScaleNormal="80" zoomScaleSheetLayoutView="80" workbookViewId="0">
      <pane ySplit="5" topLeftCell="A9" activePane="bottomLeft" state="frozen"/>
      <selection activeCell="B5" sqref="B5"/>
      <selection pane="bottomLeft" activeCell="C23" sqref="C23"/>
    </sheetView>
  </sheetViews>
  <sheetFormatPr defaultRowHeight="12.75" x14ac:dyDescent="0.2"/>
  <cols>
    <col min="1" max="1" width="39.28515625" customWidth="1"/>
    <col min="2" max="2" width="13" customWidth="1"/>
    <col min="3" max="3" width="13.7109375" customWidth="1"/>
    <col min="4" max="4" width="13.140625" bestFit="1" customWidth="1"/>
    <col min="5" max="6" width="13.7109375" customWidth="1"/>
    <col min="7" max="7" width="8.140625" style="46" bestFit="1" customWidth="1"/>
    <col min="8" max="8" width="17.140625" style="46" bestFit="1" customWidth="1"/>
    <col min="9" max="9" width="16.5703125" style="46" bestFit="1" customWidth="1"/>
    <col min="10" max="10" width="18" customWidth="1"/>
    <col min="11" max="11" width="10.42578125" customWidth="1"/>
    <col min="12" max="12" width="12.7109375" customWidth="1"/>
    <col min="13" max="13" width="13.42578125" customWidth="1"/>
    <col min="14" max="14" width="11.5703125" customWidth="1"/>
    <col min="15" max="15" width="9.7109375" bestFit="1" customWidth="1"/>
    <col min="16" max="16" width="12.85546875" customWidth="1"/>
    <col min="17" max="17" width="10.140625" customWidth="1"/>
    <col min="18" max="19" width="13.85546875" bestFit="1" customWidth="1"/>
    <col min="22" max="22" width="16.140625" customWidth="1"/>
    <col min="23" max="23" width="17.28515625" customWidth="1"/>
  </cols>
  <sheetData>
    <row r="1" spans="1:23" s="292" customFormat="1" ht="23.25" customHeight="1" x14ac:dyDescent="0.2">
      <c r="A1" s="293" t="s">
        <v>66</v>
      </c>
      <c r="B1" s="644">
        <f ca="1">TODAY()-1</f>
        <v>45786</v>
      </c>
      <c r="C1" s="644"/>
      <c r="D1" s="317"/>
      <c r="E1" s="291" t="s">
        <v>202</v>
      </c>
      <c r="G1" s="304"/>
      <c r="H1" s="304"/>
      <c r="I1" s="304"/>
      <c r="Q1"/>
      <c r="R1"/>
    </row>
    <row r="2" spans="1:23" ht="19.149999999999999" customHeight="1" x14ac:dyDescent="0.2">
      <c r="A2" s="192" t="s">
        <v>65</v>
      </c>
      <c r="B2" s="158"/>
      <c r="C2" s="158"/>
      <c r="D2" s="158"/>
      <c r="E2" s="483"/>
      <c r="F2" s="158"/>
      <c r="G2" s="305"/>
      <c r="H2" s="305"/>
      <c r="I2" s="305"/>
      <c r="J2" s="158"/>
    </row>
    <row r="3" spans="1:23" ht="18.600000000000001" customHeight="1" x14ac:dyDescent="0.2">
      <c r="A3" s="158"/>
      <c r="B3" s="158"/>
      <c r="C3" s="158"/>
      <c r="D3" s="158"/>
      <c r="E3" s="158"/>
      <c r="F3" s="158"/>
      <c r="G3" s="305"/>
      <c r="H3" s="305"/>
      <c r="I3" s="305"/>
      <c r="J3" s="158"/>
      <c r="L3" s="335" t="s">
        <v>93</v>
      </c>
      <c r="M3" s="335"/>
      <c r="N3" s="335"/>
      <c r="O3" s="335"/>
      <c r="U3" s="294"/>
      <c r="V3" s="294"/>
      <c r="W3" s="295"/>
    </row>
    <row r="4" spans="1:23" ht="16.899999999999999" customHeight="1" x14ac:dyDescent="0.2">
      <c r="A4" s="158"/>
      <c r="B4" s="646" t="s">
        <v>68</v>
      </c>
      <c r="C4" s="647"/>
      <c r="D4" s="647"/>
      <c r="E4" s="648"/>
      <c r="F4" s="645" t="s">
        <v>70</v>
      </c>
      <c r="G4" s="645"/>
      <c r="H4" s="645"/>
      <c r="I4" s="645"/>
      <c r="J4" s="645"/>
    </row>
    <row r="5" spans="1:23" x14ac:dyDescent="0.2">
      <c r="A5" s="158"/>
      <c r="B5" s="162" t="s">
        <v>69</v>
      </c>
      <c r="C5" s="162" t="s">
        <v>17</v>
      </c>
      <c r="D5" s="162" t="s">
        <v>168</v>
      </c>
      <c r="E5" s="162" t="s">
        <v>161</v>
      </c>
      <c r="F5" s="163" t="s">
        <v>69</v>
      </c>
      <c r="G5" s="306" t="s">
        <v>17</v>
      </c>
      <c r="H5" s="306" t="s">
        <v>168</v>
      </c>
      <c r="I5" s="306" t="s">
        <v>169</v>
      </c>
      <c r="J5" s="163" t="s">
        <v>161</v>
      </c>
    </row>
    <row r="6" spans="1:23" ht="19.899999999999999" customHeight="1" x14ac:dyDescent="0.2">
      <c r="A6" s="158"/>
      <c r="B6" s="164"/>
      <c r="C6" s="164"/>
      <c r="D6" s="164"/>
      <c r="E6" s="164"/>
      <c r="F6" s="164"/>
      <c r="G6" s="307"/>
      <c r="H6" s="307"/>
      <c r="I6" s="307"/>
      <c r="J6" s="164"/>
    </row>
    <row r="7" spans="1:23" ht="19.899999999999999" customHeight="1" x14ac:dyDescent="0.2">
      <c r="A7" s="167" t="s">
        <v>22</v>
      </c>
      <c r="B7" s="194">
        <f ca="1">VLOOKUP(B1,'Reading.5.25'!A5:EL36,39,FALSE)</f>
        <v>0</v>
      </c>
      <c r="C7" s="195">
        <v>286</v>
      </c>
      <c r="D7" s="323">
        <f ca="1">B7-C7</f>
        <v>-286</v>
      </c>
      <c r="E7" s="195">
        <v>399.48</v>
      </c>
      <c r="F7" s="177">
        <f>'Reading.5.25'!AM37</f>
        <v>3337.0491999999999</v>
      </c>
      <c r="G7" s="308">
        <f ca="1">C7*DAY(B1)</f>
        <v>2574</v>
      </c>
      <c r="H7" s="330">
        <f ca="1">(F7-G7)/F7</f>
        <v>0.22865985913543016</v>
      </c>
      <c r="I7" s="330">
        <f ca="1">(F7-J7)/F7</f>
        <v>-7.7394963190833457E-2</v>
      </c>
      <c r="J7" s="161">
        <f ca="1">E7*DAY(B1)</f>
        <v>3595.32</v>
      </c>
    </row>
    <row r="8" spans="1:23" ht="20.100000000000001" customHeight="1" x14ac:dyDescent="0.2">
      <c r="A8" s="167" t="s">
        <v>67</v>
      </c>
      <c r="B8" s="296">
        <f ca="1">VLOOKUP(B1,'Reading.5.25'!A5:EL36,35,FALSE)</f>
        <v>0</v>
      </c>
      <c r="C8" s="296">
        <v>0.54500000000000004</v>
      </c>
      <c r="D8" s="324">
        <f ca="1">B8-C8</f>
        <v>-0.54500000000000004</v>
      </c>
      <c r="E8" s="299">
        <v>0.75900000000000001</v>
      </c>
      <c r="F8" s="182">
        <f>'Reading.5.25'!AI37</f>
        <v>0.79302499999999987</v>
      </c>
      <c r="G8" s="300">
        <f>C8</f>
        <v>0.54500000000000004</v>
      </c>
      <c r="H8" s="330">
        <f>F8-G8</f>
        <v>0.24802499999999983</v>
      </c>
      <c r="I8" s="330">
        <f>F8-J8</f>
        <v>3.4024999999999861E-2</v>
      </c>
      <c r="J8" s="300">
        <v>0.75900000000000001</v>
      </c>
      <c r="U8" s="43"/>
    </row>
    <row r="9" spans="1:23" ht="6.75" customHeight="1" x14ac:dyDescent="0.2">
      <c r="A9" s="165"/>
      <c r="B9" s="297"/>
      <c r="C9" s="297"/>
      <c r="D9" s="325"/>
      <c r="E9" s="297"/>
      <c r="F9" s="166"/>
      <c r="G9" s="309"/>
      <c r="H9" s="329"/>
      <c r="I9" s="329"/>
      <c r="J9" s="166"/>
    </row>
    <row r="10" spans="1:23" ht="20.100000000000001" customHeight="1" x14ac:dyDescent="0.2">
      <c r="A10" s="167" t="s">
        <v>86</v>
      </c>
      <c r="B10" s="194">
        <f ca="1">VLOOKUP(B1,'Reading.5.25'!A5:EL36,31,FALSE)</f>
        <v>0</v>
      </c>
      <c r="C10" s="195">
        <f>'Reading.5.25'!AG6</f>
        <v>38659.096774193546</v>
      </c>
      <c r="D10" s="323">
        <f ca="1">B10-C10</f>
        <v>-38659.096774193546</v>
      </c>
      <c r="E10" s="195">
        <v>39000</v>
      </c>
      <c r="F10" s="204">
        <f>'Reading.5.25'!AE37</f>
        <v>295880.00000000466</v>
      </c>
      <c r="G10" s="308">
        <f ca="1">C10*DAY(B1)</f>
        <v>347931.87096774194</v>
      </c>
      <c r="H10" s="330">
        <f ca="1">(F10-G10)/F10</f>
        <v>-0.17592223525664616</v>
      </c>
      <c r="I10" s="330">
        <f ca="1">(F10-J10)/F10</f>
        <v>-0.18629173989453318</v>
      </c>
      <c r="J10" s="298">
        <f ca="1">+E10*DAY(B1)</f>
        <v>351000</v>
      </c>
      <c r="R10" s="46"/>
      <c r="S10" s="303"/>
      <c r="U10" s="261"/>
    </row>
    <row r="11" spans="1:23" ht="20.100000000000001" customHeight="1" x14ac:dyDescent="0.2">
      <c r="A11" s="167" t="s">
        <v>74</v>
      </c>
      <c r="B11" s="194">
        <f ca="1">VLOOKUP(B1,'Reading.5.25'!A5:EL36,20,FALSE)</f>
        <v>0</v>
      </c>
      <c r="C11" s="195">
        <f>'cost.5.25'!P8</f>
        <v>0</v>
      </c>
      <c r="D11" s="323">
        <f ca="1">B11-C11</f>
        <v>0</v>
      </c>
      <c r="E11" s="194">
        <v>0</v>
      </c>
      <c r="F11" s="161">
        <f>'Reading.5.25'!T37</f>
        <v>0</v>
      </c>
      <c r="G11" s="308">
        <f ca="1">C11*DAY(B1)</f>
        <v>0</v>
      </c>
      <c r="H11" s="328">
        <f t="shared" ref="H11:H18" ca="1" si="0">F11-G11</f>
        <v>0</v>
      </c>
      <c r="I11" s="328">
        <f>F11-J11</f>
        <v>0</v>
      </c>
      <c r="J11" s="161">
        <v>0</v>
      </c>
    </row>
    <row r="12" spans="1:23" ht="7.5" customHeight="1" x14ac:dyDescent="0.2">
      <c r="A12" s="165"/>
      <c r="B12" s="297"/>
      <c r="C12" s="297"/>
      <c r="D12" s="325"/>
      <c r="E12" s="297"/>
      <c r="F12" s="166"/>
      <c r="G12" s="309"/>
      <c r="H12" s="329"/>
      <c r="I12" s="329"/>
      <c r="J12" s="166"/>
    </row>
    <row r="13" spans="1:23" ht="20.100000000000001" customHeight="1" x14ac:dyDescent="0.2">
      <c r="A13" s="167" t="s">
        <v>75</v>
      </c>
      <c r="B13" s="194">
        <f ca="1">VLOOKUP(B1,'Reading.5.25'!A5:EL36,15,FALSE)</f>
        <v>0</v>
      </c>
      <c r="C13" s="195">
        <f>'cost.5.25'!AD8</f>
        <v>522.72580645161293</v>
      </c>
      <c r="D13" s="323">
        <f ca="1">B13-C13</f>
        <v>-522.72580645161293</v>
      </c>
      <c r="E13" s="194">
        <v>722</v>
      </c>
      <c r="F13" s="161">
        <f>'Reading.5.25'!O37</f>
        <v>5306.1100000000006</v>
      </c>
      <c r="G13" s="308">
        <f ca="1">C13*DAY(B1)</f>
        <v>4704.5322580645161</v>
      </c>
      <c r="H13" s="330">
        <f ca="1">(F13-G13)/F13</f>
        <v>0.11337453274347581</v>
      </c>
      <c r="I13" s="330">
        <f ca="1">(F13-J13)/F13</f>
        <v>-0.22462595008395969</v>
      </c>
      <c r="J13" s="161">
        <f ca="1">E13*DAY(B1)</f>
        <v>6498</v>
      </c>
      <c r="R13" s="303"/>
    </row>
    <row r="14" spans="1:23" ht="20.100000000000001" customHeight="1" x14ac:dyDescent="0.2">
      <c r="A14" s="167" t="s">
        <v>71</v>
      </c>
      <c r="B14" s="194">
        <f ca="1">VLOOKUP(B1,'Reading.5.25'!A5:EL36,11,FALSE)</f>
        <v>0</v>
      </c>
      <c r="C14" s="195">
        <f>'cost.5.25'!AJ8</f>
        <v>174.24193548387098</v>
      </c>
      <c r="D14" s="323">
        <f ca="1">B14-C14</f>
        <v>-174.24193548387098</v>
      </c>
      <c r="E14" s="194">
        <v>240</v>
      </c>
      <c r="F14" s="161">
        <f>'Reading.5.25'!K37</f>
        <v>2067.9240000000004</v>
      </c>
      <c r="G14" s="308">
        <f ca="1">C14*DAY(B1)</f>
        <v>1568.1774193548388</v>
      </c>
      <c r="H14" s="330">
        <f ca="1">(F14-G14)/F14</f>
        <v>0.2416658352266145</v>
      </c>
      <c r="I14" s="330">
        <f ca="1">(F14-J14)/F14</f>
        <v>-4.4525814294915839E-2</v>
      </c>
      <c r="J14" s="161">
        <f ca="1">E14*DAY(B1)</f>
        <v>2160</v>
      </c>
      <c r="R14" s="303"/>
    </row>
    <row r="15" spans="1:23" ht="6" customHeight="1" x14ac:dyDescent="0.2">
      <c r="A15" s="165"/>
      <c r="B15" s="297"/>
      <c r="C15" s="297"/>
      <c r="D15" s="325"/>
      <c r="E15" s="297"/>
      <c r="F15" s="166"/>
      <c r="G15" s="309"/>
      <c r="H15" s="329">
        <f t="shared" si="0"/>
        <v>0</v>
      </c>
      <c r="I15" s="329"/>
      <c r="J15" s="166"/>
    </row>
    <row r="16" spans="1:23" ht="20.100000000000001" customHeight="1" x14ac:dyDescent="0.2">
      <c r="A16" s="167" t="s">
        <v>72</v>
      </c>
      <c r="B16" s="194">
        <f ca="1">VLOOKUP(B1,'Reading.5.25'!A2:EL36,88,FALSE)</f>
        <v>0</v>
      </c>
      <c r="C16" s="195">
        <v>0</v>
      </c>
      <c r="D16" s="323">
        <f ca="1">B16-C16</f>
        <v>0</v>
      </c>
      <c r="E16" s="194">
        <v>0</v>
      </c>
      <c r="F16" s="161">
        <v>0</v>
      </c>
      <c r="G16" s="308">
        <v>0</v>
      </c>
      <c r="H16" s="328">
        <f t="shared" si="0"/>
        <v>0</v>
      </c>
      <c r="I16" s="328"/>
      <c r="J16" s="161">
        <v>0</v>
      </c>
      <c r="R16" s="274"/>
      <c r="S16" s="303"/>
      <c r="V16" s="43"/>
      <c r="W16" s="43"/>
    </row>
    <row r="17" spans="1:22" ht="20.100000000000001" customHeight="1" x14ac:dyDescent="0.2">
      <c r="A17" s="167" t="s">
        <v>120</v>
      </c>
      <c r="B17" s="194">
        <f ca="1">VLOOKUP(B1,'Reading.5.25'!A5:EL36,73,FALSE)</f>
        <v>0</v>
      </c>
      <c r="C17" s="194">
        <v>0</v>
      </c>
      <c r="D17" s="326">
        <f ca="1">-B17-C17</f>
        <v>0</v>
      </c>
      <c r="E17" s="194">
        <v>0</v>
      </c>
      <c r="F17" s="161">
        <f>'Reading.5.25'!BU37</f>
        <v>453</v>
      </c>
      <c r="G17" s="308">
        <v>0</v>
      </c>
      <c r="H17" s="328">
        <f t="shared" si="0"/>
        <v>453</v>
      </c>
      <c r="I17" s="328"/>
      <c r="J17" s="161">
        <v>0</v>
      </c>
      <c r="V17" s="43"/>
    </row>
    <row r="18" spans="1:22" ht="20.100000000000001" customHeight="1" x14ac:dyDescent="0.2">
      <c r="A18" s="167" t="s">
        <v>121</v>
      </c>
      <c r="B18" s="194">
        <f ca="1">VLOOKUP(B1,'Reading.5.25'!A5:EL36,69,FALSE)</f>
        <v>0</v>
      </c>
      <c r="C18" s="194">
        <v>0</v>
      </c>
      <c r="D18" s="326">
        <f ca="1">B18-C18</f>
        <v>0</v>
      </c>
      <c r="E18" s="194">
        <v>0</v>
      </c>
      <c r="F18" s="161">
        <f>'Reading.5.25'!BQ37</f>
        <v>328</v>
      </c>
      <c r="G18" s="308">
        <v>0</v>
      </c>
      <c r="H18" s="328">
        <f t="shared" si="0"/>
        <v>328</v>
      </c>
      <c r="I18" s="328"/>
      <c r="J18" s="161">
        <v>0</v>
      </c>
      <c r="R18" s="274"/>
    </row>
    <row r="19" spans="1:22" ht="20.100000000000001" customHeight="1" x14ac:dyDescent="0.2">
      <c r="A19" s="167" t="s">
        <v>73</v>
      </c>
      <c r="B19" s="194">
        <f ca="1">VLOOKUP(B1,'Reading.5.25'!A5:EL36,6,FALSE)</f>
        <v>0</v>
      </c>
      <c r="C19" s="194">
        <f>'cost.5.25'!W8</f>
        <v>607.90322580645159</v>
      </c>
      <c r="D19" s="326">
        <f ca="1">B19-C19</f>
        <v>-607.90322580645159</v>
      </c>
      <c r="E19" s="194">
        <v>660</v>
      </c>
      <c r="F19" s="161">
        <f>'cost.5.25'!V39</f>
        <v>5442</v>
      </c>
      <c r="G19" s="308">
        <f>'cost.5.25'!W39</f>
        <v>4863.2258064516127</v>
      </c>
      <c r="H19" s="330">
        <f>(F19-G19)/F19</f>
        <v>0.10635321454398884</v>
      </c>
      <c r="I19" s="330">
        <f ca="1">(F19-J19)/F19</f>
        <v>-9.1510474090407939E-2</v>
      </c>
      <c r="J19" s="161">
        <f ca="1">E19*DAY(B1)</f>
        <v>5940</v>
      </c>
    </row>
    <row r="20" spans="1:22" ht="12" customHeight="1" x14ac:dyDescent="0.2">
      <c r="A20" s="158"/>
      <c r="B20" s="158"/>
      <c r="C20" s="158"/>
      <c r="D20" s="266"/>
      <c r="E20" s="158"/>
      <c r="F20" s="158"/>
      <c r="G20" s="305"/>
      <c r="H20" s="266"/>
      <c r="I20" s="266"/>
      <c r="J20" s="158"/>
      <c r="R20" s="261"/>
    </row>
    <row r="21" spans="1:22" ht="15.75" x14ac:dyDescent="0.2">
      <c r="A21" s="168" t="s">
        <v>76</v>
      </c>
      <c r="B21" s="252">
        <f ca="1">VLOOKUP(B1,'cost.5.25'!B8:BI37,56,FALSE)</f>
        <v>0</v>
      </c>
      <c r="C21" s="195">
        <f>'cost.5.25'!BD8</f>
        <v>86204.290322580637</v>
      </c>
      <c r="D21" s="323">
        <f ca="1">B21-C21</f>
        <v>-86204.290322580637</v>
      </c>
      <c r="E21" s="194">
        <f>(E10*1.94)+(E19*5.1)+((E13+E14)*5)</f>
        <v>83836</v>
      </c>
      <c r="F21" s="251">
        <f>+(F10*1.94)+((F13+F14)*5)+(F19*5.1)</f>
        <v>638631.57000000903</v>
      </c>
      <c r="G21" s="310">
        <f ca="1">C21*DAY(B1)</f>
        <v>775838.6129032257</v>
      </c>
      <c r="H21" s="330">
        <f ca="1">(F21-G21)/F21</f>
        <v>-0.2148453808871596</v>
      </c>
      <c r="I21" s="330">
        <f ca="1">(F21-J21)/F21</f>
        <v>-0.18146993578784296</v>
      </c>
      <c r="J21" s="197">
        <f ca="1">+(J10*1.94)+((J13+J14)*5)+(J19*5.1)</f>
        <v>754524</v>
      </c>
      <c r="R21" s="261"/>
      <c r="S21" s="261"/>
    </row>
    <row r="22" spans="1:22" ht="15.75" x14ac:dyDescent="0.2">
      <c r="A22" s="168" t="s">
        <v>77</v>
      </c>
      <c r="B22" s="229" t="e">
        <f t="shared" ref="B22:F22" ca="1" si="1">B21/B7</f>
        <v>#DIV/0!</v>
      </c>
      <c r="C22" s="196">
        <f t="shared" si="1"/>
        <v>301.41360252650571</v>
      </c>
      <c r="D22" s="327" t="e">
        <f ca="1">B22-C22</f>
        <v>#DIV/0!</v>
      </c>
      <c r="E22" s="196">
        <f>E21/E7</f>
        <v>209.86282166816861</v>
      </c>
      <c r="F22" s="230">
        <f t="shared" si="1"/>
        <v>191.37613254248964</v>
      </c>
      <c r="G22" s="311">
        <f ca="1">G21/G7</f>
        <v>301.41360252650571</v>
      </c>
      <c r="H22" s="330">
        <f ca="1">(F22-G22)/F22</f>
        <v>-0.57498011127163606</v>
      </c>
      <c r="I22" s="330">
        <f ca="1">(F22-J22)/F22</f>
        <v>-9.6598718346314782E-2</v>
      </c>
      <c r="J22" s="198">
        <f ca="1">J21/J7</f>
        <v>209.86282166816861</v>
      </c>
      <c r="K22" s="43"/>
      <c r="R22" s="274"/>
      <c r="S22" s="261"/>
      <c r="T22" s="261"/>
    </row>
    <row r="23" spans="1:22" ht="15.75" x14ac:dyDescent="0.2">
      <c r="A23" s="168" t="s">
        <v>158</v>
      </c>
      <c r="B23" s="229">
        <f ca="1">B21/526</f>
        <v>0</v>
      </c>
      <c r="C23" s="196">
        <f>C21/526</f>
        <v>163.88648350300502</v>
      </c>
      <c r="D23" s="327">
        <f ca="1">B23-C23</f>
        <v>-163.88648350300502</v>
      </c>
      <c r="E23" s="196">
        <f>E21/526</f>
        <v>159.38403041825094</v>
      </c>
      <c r="F23" s="230">
        <f ca="1">F21/(526*DAY(B1))</f>
        <v>134.90316223067364</v>
      </c>
      <c r="G23" s="311">
        <f ca="1">G21/(DAY(B1)*526)</f>
        <v>163.886483503005</v>
      </c>
      <c r="H23" s="330">
        <f ca="1">(F23-G23)/F23</f>
        <v>-0.21484538088715951</v>
      </c>
      <c r="I23" s="330">
        <f ca="1">(F23-J23)/F23</f>
        <v>-0.1814699357878429</v>
      </c>
      <c r="J23" s="198">
        <f ca="1">J21/(526*DAY(B1))</f>
        <v>159.38403041825094</v>
      </c>
      <c r="K23" s="43"/>
      <c r="R23" s="303"/>
      <c r="U23" s="261"/>
    </row>
    <row r="24" spans="1:22" ht="7.5" customHeight="1" x14ac:dyDescent="0.2">
      <c r="A24" s="43"/>
      <c r="B24" s="43"/>
      <c r="C24" s="43"/>
      <c r="D24" s="43"/>
      <c r="E24" s="43"/>
      <c r="F24" s="43"/>
      <c r="G24" s="312"/>
      <c r="H24" s="312"/>
      <c r="I24" s="312"/>
      <c r="J24" s="43"/>
      <c r="K24" s="43"/>
    </row>
    <row r="25" spans="1:22" ht="9.75" customHeight="1" x14ac:dyDescent="0.2">
      <c r="A25" s="270"/>
      <c r="B25" s="271"/>
      <c r="C25" s="272"/>
      <c r="D25" s="272"/>
      <c r="E25" s="272"/>
      <c r="F25" s="271"/>
      <c r="G25" s="313"/>
      <c r="H25" s="313"/>
      <c r="I25" s="313"/>
      <c r="J25" s="272"/>
      <c r="K25" s="273"/>
      <c r="L25" s="274"/>
      <c r="M25" s="274"/>
    </row>
    <row r="26" spans="1:22" x14ac:dyDescent="0.2">
      <c r="A26" s="158"/>
      <c r="B26" s="158"/>
      <c r="C26" s="158"/>
      <c r="D26" s="158"/>
      <c r="E26" s="158"/>
      <c r="F26" s="158"/>
      <c r="G26" s="305"/>
      <c r="H26" s="305"/>
      <c r="I26" s="305"/>
      <c r="J26" s="158"/>
    </row>
    <row r="27" spans="1:22" x14ac:dyDescent="0.2">
      <c r="A27" s="158"/>
      <c r="B27" s="158"/>
      <c r="C27" s="158"/>
      <c r="D27" s="158"/>
      <c r="E27" s="158"/>
      <c r="F27" s="158"/>
      <c r="G27" s="305"/>
      <c r="H27" s="305"/>
      <c r="I27" s="305"/>
      <c r="J27" s="158"/>
      <c r="S27" s="261"/>
    </row>
    <row r="28" spans="1:22" x14ac:dyDescent="0.2">
      <c r="A28" s="158"/>
      <c r="B28" s="158"/>
      <c r="C28" s="158"/>
      <c r="D28" s="158"/>
      <c r="E28" s="158"/>
      <c r="F28" s="158"/>
      <c r="G28" s="305"/>
      <c r="H28" s="305"/>
      <c r="I28" s="305"/>
      <c r="J28" s="158"/>
      <c r="S28" s="261"/>
      <c r="T28" s="261"/>
    </row>
    <row r="29" spans="1:22" x14ac:dyDescent="0.2">
      <c r="A29" s="158"/>
      <c r="B29" s="158"/>
      <c r="C29" s="158"/>
      <c r="D29" s="158"/>
      <c r="E29" s="158"/>
      <c r="F29" s="158"/>
      <c r="G29" s="305"/>
      <c r="H29" s="305"/>
      <c r="I29" s="305"/>
      <c r="J29" s="158"/>
      <c r="T29" s="261"/>
    </row>
    <row r="30" spans="1:22" x14ac:dyDescent="0.2">
      <c r="A30" s="158"/>
      <c r="B30" s="158"/>
      <c r="C30" s="158"/>
      <c r="D30" s="158"/>
      <c r="E30" s="158"/>
      <c r="F30" s="158"/>
      <c r="G30" s="305"/>
      <c r="H30" s="305"/>
      <c r="I30" s="305"/>
      <c r="J30" s="158"/>
      <c r="T30" s="261"/>
    </row>
    <row r="31" spans="1:22" x14ac:dyDescent="0.2">
      <c r="A31" s="158"/>
      <c r="B31" s="158"/>
      <c r="C31" s="158"/>
      <c r="D31" s="158"/>
      <c r="E31" s="158"/>
      <c r="F31" s="158"/>
      <c r="G31" s="305"/>
      <c r="H31" s="305"/>
      <c r="I31" s="305"/>
      <c r="J31" s="158"/>
    </row>
    <row r="32" spans="1:22" x14ac:dyDescent="0.2">
      <c r="A32" s="158"/>
      <c r="B32" s="158"/>
      <c r="C32" s="158"/>
      <c r="D32" s="158"/>
      <c r="E32" s="158"/>
      <c r="F32" s="158"/>
      <c r="G32" s="305"/>
      <c r="H32" s="305"/>
      <c r="I32" s="305"/>
      <c r="J32" s="158"/>
      <c r="U32" s="261"/>
    </row>
    <row r="33" spans="1:20" x14ac:dyDescent="0.2">
      <c r="A33" s="158"/>
      <c r="B33" s="158"/>
      <c r="C33" s="158"/>
      <c r="D33" s="158"/>
      <c r="E33" s="158"/>
      <c r="F33" s="158"/>
      <c r="G33" s="305"/>
      <c r="H33" s="305"/>
      <c r="I33" s="305"/>
      <c r="J33" s="158"/>
      <c r="T33" s="261"/>
    </row>
    <row r="34" spans="1:20" x14ac:dyDescent="0.2">
      <c r="A34" s="158"/>
      <c r="B34" s="158"/>
      <c r="C34" s="158"/>
      <c r="D34" s="158"/>
      <c r="E34" s="158"/>
      <c r="F34" s="158"/>
      <c r="G34" s="305"/>
      <c r="H34" s="305"/>
      <c r="I34" s="305"/>
      <c r="J34" s="158"/>
    </row>
    <row r="35" spans="1:20" x14ac:dyDescent="0.2">
      <c r="A35" s="158"/>
      <c r="B35" s="158"/>
      <c r="C35" s="158"/>
      <c r="D35" s="158"/>
      <c r="E35" s="158"/>
      <c r="F35" s="158"/>
      <c r="G35" s="305"/>
      <c r="H35" s="305"/>
      <c r="I35" s="305"/>
      <c r="J35" s="158"/>
    </row>
    <row r="39" spans="1:20" x14ac:dyDescent="0.2">
      <c r="T39" s="303"/>
    </row>
    <row r="45" spans="1:20" ht="18.75" customHeight="1" x14ac:dyDescent="0.2">
      <c r="A45" s="651" t="s">
        <v>91</v>
      </c>
      <c r="B45" s="651"/>
      <c r="C45" s="193"/>
      <c r="D45" s="193"/>
      <c r="E45" s="651" t="s">
        <v>277</v>
      </c>
      <c r="F45" s="651"/>
      <c r="G45" s="651"/>
      <c r="H45" s="651"/>
      <c r="I45" s="651"/>
      <c r="L45" s="651" t="s">
        <v>89</v>
      </c>
      <c r="M45" s="651"/>
      <c r="N45" s="651"/>
      <c r="O45" s="651"/>
    </row>
    <row r="46" spans="1:20" s="158" customFormat="1" ht="24" customHeight="1" thickBot="1" x14ac:dyDescent="0.25">
      <c r="A46" s="315"/>
      <c r="B46" s="315"/>
      <c r="C46" s="316"/>
      <c r="D46" s="316"/>
      <c r="E46" s="649" t="s">
        <v>88</v>
      </c>
      <c r="F46" s="649"/>
      <c r="G46" s="649"/>
      <c r="H46" s="318"/>
      <c r="I46" s="318"/>
      <c r="L46" s="649" t="s">
        <v>90</v>
      </c>
      <c r="M46" s="649"/>
      <c r="N46" s="649"/>
      <c r="O46" s="649"/>
    </row>
    <row r="47" spans="1:20" x14ac:dyDescent="0.2">
      <c r="A47" s="652" t="s">
        <v>98</v>
      </c>
      <c r="B47" s="639" t="s">
        <v>68</v>
      </c>
      <c r="C47" s="650"/>
      <c r="D47" s="322"/>
      <c r="E47" s="226" t="s">
        <v>96</v>
      </c>
      <c r="F47" s="225" t="s">
        <v>18</v>
      </c>
      <c r="G47" s="314"/>
      <c r="H47" s="643" t="s">
        <v>164</v>
      </c>
      <c r="I47" s="502" t="s">
        <v>68</v>
      </c>
      <c r="J47" s="503" t="s">
        <v>166</v>
      </c>
      <c r="K47" s="503" t="s">
        <v>167</v>
      </c>
      <c r="L47" s="504" t="s">
        <v>172</v>
      </c>
      <c r="M47" s="504" t="s">
        <v>173</v>
      </c>
      <c r="N47" s="501" t="s">
        <v>178</v>
      </c>
      <c r="O47" s="501" t="s">
        <v>175</v>
      </c>
      <c r="P47" s="504" t="s">
        <v>176</v>
      </c>
      <c r="Q47" s="504" t="s">
        <v>179</v>
      </c>
      <c r="R47" s="504" t="s">
        <v>180</v>
      </c>
    </row>
    <row r="48" spans="1:20" x14ac:dyDescent="0.2">
      <c r="A48" s="653"/>
      <c r="B48" s="205" t="s">
        <v>69</v>
      </c>
      <c r="C48" s="207" t="s">
        <v>100</v>
      </c>
      <c r="D48" s="207"/>
      <c r="E48" s="208" t="s">
        <v>97</v>
      </c>
      <c r="F48" s="208" t="s">
        <v>97</v>
      </c>
      <c r="G48" s="314"/>
      <c r="H48" s="643"/>
      <c r="I48" s="636" t="e">
        <f ca="1">B10/B7</f>
        <v>#DIV/0!</v>
      </c>
      <c r="J48" s="636">
        <f>F10/F7</f>
        <v>88.665159626655992</v>
      </c>
      <c r="K48" s="636">
        <f>C10/C7</f>
        <v>135.17166704263477</v>
      </c>
      <c r="L48" s="635">
        <f>'cost.5.25'!M39</f>
        <v>574007.20000000903</v>
      </c>
      <c r="M48" s="635">
        <f>'cost.5.25'!K39</f>
        <v>643545.29032258049</v>
      </c>
      <c r="N48" s="635">
        <f>L48-M48</f>
        <v>-69538.090322571457</v>
      </c>
      <c r="O48" s="632">
        <f>(L48/M48)-1</f>
        <v>-0.1080546954010263</v>
      </c>
      <c r="P48" s="635">
        <f ca="1">J10*1.94</f>
        <v>680940</v>
      </c>
      <c r="Q48" s="656">
        <f ca="1">L48-P48</f>
        <v>-106932.79999999097</v>
      </c>
      <c r="R48" s="632">
        <f ca="1">(L48/P48)-1</f>
        <v>-0.15703703703702376</v>
      </c>
    </row>
    <row r="49" spans="1:18" ht="13.5" thickBot="1" x14ac:dyDescent="0.25">
      <c r="A49" s="654"/>
      <c r="B49" s="250">
        <f>'Reading.5.25'!AQ37</f>
        <v>2056</v>
      </c>
      <c r="C49" s="223">
        <f>'Reading.5.25'!AQ38</f>
        <v>2216</v>
      </c>
      <c r="D49" s="223"/>
      <c r="E49" s="209">
        <v>2180</v>
      </c>
      <c r="F49" s="209">
        <v>2120</v>
      </c>
      <c r="G49" s="314"/>
      <c r="H49" s="643"/>
      <c r="I49" s="636"/>
      <c r="J49" s="636"/>
      <c r="K49" s="636"/>
      <c r="L49" s="635"/>
      <c r="M49" s="635"/>
      <c r="N49" s="636"/>
      <c r="O49" s="632"/>
      <c r="P49" s="635"/>
      <c r="Q49" s="656"/>
      <c r="R49" s="632"/>
    </row>
    <row r="50" spans="1:18" ht="13.5" thickBot="1" x14ac:dyDescent="0.25"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18" x14ac:dyDescent="0.2">
      <c r="A51" s="637" t="s">
        <v>95</v>
      </c>
      <c r="B51" s="639" t="s">
        <v>68</v>
      </c>
      <c r="C51" s="640"/>
      <c r="D51" s="322"/>
      <c r="E51" s="641" t="s">
        <v>70</v>
      </c>
      <c r="F51" s="642"/>
      <c r="H51" s="643" t="s">
        <v>165</v>
      </c>
      <c r="I51" s="502" t="s">
        <v>68</v>
      </c>
      <c r="J51" s="503" t="s">
        <v>166</v>
      </c>
      <c r="K51" s="503" t="s">
        <v>167</v>
      </c>
      <c r="L51" s="504" t="s">
        <v>172</v>
      </c>
      <c r="M51" s="504" t="s">
        <v>173</v>
      </c>
      <c r="N51" s="501" t="s">
        <v>174</v>
      </c>
      <c r="O51" s="501" t="s">
        <v>117</v>
      </c>
      <c r="P51" s="504" t="s">
        <v>177</v>
      </c>
      <c r="Q51" s="504" t="s">
        <v>179</v>
      </c>
      <c r="R51" s="504" t="s">
        <v>181</v>
      </c>
    </row>
    <row r="52" spans="1:18" x14ac:dyDescent="0.2">
      <c r="A52" s="638"/>
      <c r="B52" s="205" t="s">
        <v>69</v>
      </c>
      <c r="C52" s="206" t="s">
        <v>94</v>
      </c>
      <c r="D52" s="319"/>
      <c r="E52" s="331" t="s">
        <v>69</v>
      </c>
      <c r="F52" s="206" t="s">
        <v>18</v>
      </c>
      <c r="H52" s="643"/>
      <c r="I52" s="636" t="e">
        <f ca="1">B19/B7</f>
        <v>#DIV/0!</v>
      </c>
      <c r="J52" s="636">
        <f>F19/F7</f>
        <v>1.6307820693803377</v>
      </c>
      <c r="K52" s="636">
        <f>C19/C7</f>
        <v>2.1255357545680127</v>
      </c>
      <c r="L52" s="635">
        <f>'cost.5.25'!Z39</f>
        <v>27754.199999999997</v>
      </c>
      <c r="M52" s="635">
        <f>'cost.5.25'!X39</f>
        <v>24803.096774193549</v>
      </c>
      <c r="N52" s="635">
        <f>L52-M52</f>
        <v>2951.1032258064479</v>
      </c>
      <c r="O52" s="632">
        <f>(L52/M52)-1</f>
        <v>0.11898124063592452</v>
      </c>
      <c r="P52" s="635">
        <f ca="1">J19*5.1</f>
        <v>30293.999999999996</v>
      </c>
      <c r="Q52" s="656">
        <f ca="1">L52-P52</f>
        <v>-2539.7999999999993</v>
      </c>
      <c r="R52" s="632">
        <f ca="1">(L52/P52)-1</f>
        <v>-8.3838383838383823E-2</v>
      </c>
    </row>
    <row r="53" spans="1:18" ht="13.5" customHeight="1" x14ac:dyDescent="0.2">
      <c r="A53" s="638"/>
      <c r="B53" s="213">
        <f ca="1">VLOOKUP(B1,'Reading.5.25'!A5:EL36,55,FALSE)</f>
        <v>0</v>
      </c>
      <c r="C53" s="214">
        <f ca="1">VLOOKUP(B1,'Reading.5.25'!A5:EL36,59,FALSE)</f>
        <v>0</v>
      </c>
      <c r="D53" s="320"/>
      <c r="E53" s="332">
        <f>'Reading.5.25'!BC37</f>
        <v>28.375</v>
      </c>
      <c r="F53" s="215">
        <f>'Reading.5.25'!BG37</f>
        <v>80</v>
      </c>
      <c r="H53" s="643"/>
      <c r="I53" s="636"/>
      <c r="J53" s="636"/>
      <c r="K53" s="636"/>
      <c r="L53" s="635"/>
      <c r="M53" s="635"/>
      <c r="N53" s="636"/>
      <c r="O53" s="632"/>
      <c r="P53" s="635"/>
      <c r="Q53" s="656"/>
      <c r="R53" s="632"/>
    </row>
    <row r="54" spans="1:18" ht="21.75" customHeight="1" thickBot="1" x14ac:dyDescent="0.25">
      <c r="A54" s="218" t="s">
        <v>109</v>
      </c>
      <c r="B54" s="221">
        <f ca="1">VLOOKUP(B1,'Reading.5.25'!A5:EL36,58,FALSE)</f>
        <v>0</v>
      </c>
      <c r="C54" s="222">
        <v>60</v>
      </c>
      <c r="D54" s="321"/>
      <c r="E54" s="333">
        <f>'Reading.5.25'!BF37</f>
        <v>23.75</v>
      </c>
      <c r="F54" s="288">
        <f ca="1">VLOOKUP(B1,'Reading.5.25'!A5:EL36,62,FALSE)</f>
        <v>0</v>
      </c>
      <c r="H54" s="484" t="s">
        <v>275</v>
      </c>
      <c r="I54" s="501" t="s">
        <v>276</v>
      </c>
      <c r="J54" s="501" t="s">
        <v>174</v>
      </c>
      <c r="K54" s="501" t="s">
        <v>117</v>
      </c>
      <c r="O54" s="33"/>
      <c r="P54" s="655" t="s">
        <v>268</v>
      </c>
      <c r="Q54" s="655"/>
      <c r="R54" s="466">
        <f ca="1">VLOOKUP(B1,'Reading.5.25'!A5:EL36,3,FALSE)</f>
        <v>0</v>
      </c>
    </row>
    <row r="55" spans="1:18" ht="15.75" customHeight="1" x14ac:dyDescent="0.2">
      <c r="H55" s="628">
        <f>+F21</f>
        <v>638631.57000000903</v>
      </c>
      <c r="I55" s="630">
        <f ca="1">+J21</f>
        <v>754524</v>
      </c>
      <c r="J55" s="633">
        <f ca="1">+H55-I55</f>
        <v>-115892.42999999097</v>
      </c>
      <c r="K55" s="632">
        <f ca="1">+(H55/I55)-1</f>
        <v>-0.15359674443754068</v>
      </c>
      <c r="O55" s="33"/>
      <c r="P55" s="655" t="s">
        <v>269</v>
      </c>
      <c r="Q55" s="655"/>
      <c r="R55" s="467">
        <f ca="1">+B19</f>
        <v>0</v>
      </c>
    </row>
    <row r="56" spans="1:18" ht="17.25" customHeight="1" x14ac:dyDescent="0.2">
      <c r="A56" s="199" t="s">
        <v>92</v>
      </c>
      <c r="H56" s="629"/>
      <c r="I56" s="631"/>
      <c r="J56" s="634"/>
      <c r="K56" s="632"/>
      <c r="O56" s="33"/>
      <c r="P56" s="655" t="s">
        <v>270</v>
      </c>
      <c r="Q56" s="655"/>
      <c r="R56" s="467">
        <f ca="1">+R54-R55</f>
        <v>0</v>
      </c>
    </row>
    <row r="57" spans="1:18" ht="22.5" customHeight="1" x14ac:dyDescent="0.2">
      <c r="A57" s="43"/>
    </row>
    <row r="58" spans="1:18" ht="22.5" customHeight="1" x14ac:dyDescent="0.2"/>
    <row r="59" spans="1:18" x14ac:dyDescent="0.2">
      <c r="A59" s="43"/>
    </row>
    <row r="60" spans="1:18" x14ac:dyDescent="0.2">
      <c r="A60" s="43"/>
    </row>
  </sheetData>
  <mergeCells count="42">
    <mergeCell ref="P54:Q54"/>
    <mergeCell ref="P55:Q55"/>
    <mergeCell ref="P56:Q56"/>
    <mergeCell ref="R48:R49"/>
    <mergeCell ref="R52:R53"/>
    <mergeCell ref="P48:P49"/>
    <mergeCell ref="Q48:Q49"/>
    <mergeCell ref="P52:P53"/>
    <mergeCell ref="Q52:Q53"/>
    <mergeCell ref="B1:C1"/>
    <mergeCell ref="F4:J4"/>
    <mergeCell ref="B4:E4"/>
    <mergeCell ref="L46:O46"/>
    <mergeCell ref="B47:C47"/>
    <mergeCell ref="L45:O45"/>
    <mergeCell ref="A45:B45"/>
    <mergeCell ref="E46:G46"/>
    <mergeCell ref="A47:A49"/>
    <mergeCell ref="H47:H49"/>
    <mergeCell ref="L48:L49"/>
    <mergeCell ref="K48:K49"/>
    <mergeCell ref="J48:J49"/>
    <mergeCell ref="I48:I49"/>
    <mergeCell ref="N48:N49"/>
    <mergeCell ref="E45:I45"/>
    <mergeCell ref="O48:O49"/>
    <mergeCell ref="O52:O53"/>
    <mergeCell ref="M52:M53"/>
    <mergeCell ref="M48:M49"/>
    <mergeCell ref="A51:A53"/>
    <mergeCell ref="B51:C51"/>
    <mergeCell ref="E51:F51"/>
    <mergeCell ref="L52:L53"/>
    <mergeCell ref="K52:K53"/>
    <mergeCell ref="H51:H53"/>
    <mergeCell ref="I52:I53"/>
    <mergeCell ref="J52:J53"/>
    <mergeCell ref="H55:H56"/>
    <mergeCell ref="I55:I56"/>
    <mergeCell ref="K55:K56"/>
    <mergeCell ref="J55:J56"/>
    <mergeCell ref="N52:N53"/>
  </mergeCells>
  <printOptions horizontalCentered="1" verticalCentered="1"/>
  <pageMargins left="0.43307086614173229" right="0.35433070866141736" top="0.86614173228346458" bottom="0.6692913385826772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O151"/>
  <sheetViews>
    <sheetView zoomScale="115" zoomScaleNormal="115" workbookViewId="0">
      <selection activeCell="EU13" sqref="EU13"/>
    </sheetView>
  </sheetViews>
  <sheetFormatPr defaultRowHeight="12.75" x14ac:dyDescent="0.2"/>
  <cols>
    <col min="1" max="1" width="11.85546875" customWidth="1"/>
    <col min="4" max="4" width="6.5703125" customWidth="1"/>
    <col min="5" max="5" width="7.42578125" customWidth="1"/>
    <col min="6" max="6" width="10.140625" style="506" customWidth="1"/>
    <col min="7" max="7" width="11.28515625" customWidth="1"/>
    <col min="8" max="8" width="9.28515625" bestFit="1" customWidth="1"/>
    <col min="9" max="9" width="1.28515625" customWidth="1"/>
    <col min="10" max="10" width="9" customWidth="1"/>
    <col min="11" max="11" width="11.28515625" style="56" customWidth="1"/>
    <col min="12" max="12" width="9.28515625" style="56" bestFit="1" customWidth="1"/>
    <col min="13" max="13" width="1.28515625" customWidth="1"/>
    <col min="14" max="14" width="16.28515625" customWidth="1"/>
    <col min="15" max="15" width="10.85546875" style="56" bestFit="1" customWidth="1"/>
    <col min="16" max="16" width="8.28515625" style="56" customWidth="1"/>
    <col min="17" max="17" width="1.28515625" customWidth="1"/>
    <col min="19" max="19" width="6.42578125" customWidth="1"/>
    <col min="20" max="20" width="10.7109375" customWidth="1"/>
    <col min="21" max="21" width="8.85546875" customWidth="1"/>
    <col min="22" max="22" width="1.28515625" customWidth="1"/>
    <col min="23" max="23" width="10.42578125" bestFit="1" customWidth="1"/>
    <col min="24" max="24" width="12.5703125" customWidth="1"/>
    <col min="25" max="25" width="10.7109375" customWidth="1"/>
    <col min="26" max="26" width="1.42578125" customWidth="1"/>
    <col min="27" max="27" width="11.85546875" bestFit="1" customWidth="1"/>
    <col min="28" max="29" width="10" customWidth="1"/>
    <col min="30" max="30" width="1.28515625" customWidth="1"/>
    <col min="31" max="31" width="12.28515625" bestFit="1" customWidth="1"/>
    <col min="32" max="32" width="12.28515625" customWidth="1"/>
    <col min="33" max="33" width="11.28515625" customWidth="1"/>
    <col min="34" max="34" width="1.140625" customWidth="1"/>
    <col min="35" max="35" width="8.85546875" customWidth="1"/>
    <col min="36" max="36" width="8.140625" customWidth="1"/>
    <col min="37" max="37" width="8.28515625" customWidth="1"/>
    <col min="38" max="38" width="1.140625" customWidth="1"/>
    <col min="39" max="39" width="10.5703125" customWidth="1"/>
    <col min="40" max="40" width="8.140625" customWidth="1"/>
    <col min="41" max="41" width="8.7109375" customWidth="1"/>
    <col min="42" max="42" width="1.140625" customWidth="1"/>
    <col min="43" max="43" width="9.140625" customWidth="1"/>
    <col min="44" max="44" width="13.28515625" bestFit="1" customWidth="1"/>
    <col min="45" max="45" width="1.28515625" customWidth="1"/>
    <col min="46" max="46" width="9.140625" style="562" customWidth="1"/>
    <col min="47" max="47" width="9" style="562" customWidth="1"/>
    <col min="48" max="48" width="7.140625" style="562" customWidth="1"/>
    <col min="49" max="49" width="1.28515625" style="562" customWidth="1"/>
    <col min="50" max="50" width="4.42578125" customWidth="1"/>
    <col min="51" max="51" width="12.85546875" bestFit="1" customWidth="1"/>
    <col min="52" max="52" width="11.42578125" bestFit="1" customWidth="1"/>
    <col min="53" max="53" width="12.85546875" bestFit="1" customWidth="1"/>
    <col min="54" max="54" width="1.5703125" customWidth="1"/>
    <col min="55" max="55" width="7" bestFit="1" customWidth="1"/>
    <col min="56" max="57" width="6.7109375" customWidth="1"/>
    <col min="58" max="58" width="7.5703125" customWidth="1"/>
    <col min="59" max="59" width="7" bestFit="1" customWidth="1"/>
    <col min="60" max="61" width="6.7109375" customWidth="1"/>
    <col min="62" max="62" width="8.5703125" customWidth="1"/>
    <col min="63" max="63" width="2.5703125" customWidth="1"/>
    <col min="64" max="64" width="10" style="508" customWidth="1"/>
    <col min="65" max="65" width="5.85546875" customWidth="1"/>
    <col min="66" max="66" width="9.140625" style="155"/>
    <col min="67" max="67" width="2" customWidth="1"/>
    <col min="69" max="70" width="12.5703125" customWidth="1"/>
    <col min="71" max="71" width="2" customWidth="1"/>
    <col min="73" max="74" width="12.5703125" customWidth="1"/>
    <col min="75" max="75" width="2" customWidth="1"/>
    <col min="77" max="77" width="12.5703125" customWidth="1"/>
    <col min="78" max="78" width="12" customWidth="1"/>
    <col min="79" max="79" width="2" customWidth="1"/>
    <col min="80" max="80" width="10.140625" bestFit="1" customWidth="1"/>
    <col min="81" max="82" width="11.85546875" customWidth="1"/>
    <col min="83" max="83" width="2" customWidth="1"/>
    <col min="85" max="86" width="11.85546875" customWidth="1"/>
    <col min="88" max="89" width="11.85546875" customWidth="1"/>
    <col min="90" max="90" width="4.140625" customWidth="1"/>
    <col min="91" max="92" width="10.28515625" customWidth="1"/>
    <col min="93" max="93" width="3.5703125" customWidth="1"/>
    <col min="95" max="95" width="13.5703125" customWidth="1"/>
    <col min="96" max="96" width="10.140625" customWidth="1"/>
    <col min="97" max="97" width="15.5703125" customWidth="1"/>
    <col min="99" max="99" width="3.7109375" customWidth="1"/>
    <col min="101" max="102" width="9.140625" customWidth="1"/>
    <col min="103" max="103" width="3.7109375" customWidth="1"/>
    <col min="105" max="106" width="9.140625" customWidth="1"/>
    <col min="107" max="107" width="3.7109375" customWidth="1"/>
    <col min="111" max="111" width="3.7109375" customWidth="1"/>
    <col min="115" max="115" width="3.7109375" customWidth="1"/>
    <col min="119" max="119" width="3.7109375" customWidth="1"/>
    <col min="123" max="123" width="3.7109375" customWidth="1"/>
    <col min="124" max="124" width="12.5703125" bestFit="1" customWidth="1"/>
    <col min="127" max="127" width="3.7109375" customWidth="1"/>
    <col min="129" max="129" width="3.7109375" customWidth="1"/>
    <col min="132" max="132" width="3.7109375" customWidth="1"/>
    <col min="135" max="135" width="3.42578125" customWidth="1"/>
    <col min="139" max="139" width="3.42578125" customWidth="1"/>
    <col min="143" max="143" width="3.42578125" customWidth="1"/>
    <col min="144" max="144" width="9.140625" style="508"/>
    <col min="148" max="148" width="3.42578125" customWidth="1"/>
    <col min="149" max="149" width="13.28515625" style="508" bestFit="1" customWidth="1"/>
    <col min="150" max="150" width="14.42578125" style="508" customWidth="1"/>
  </cols>
  <sheetData>
    <row r="1" spans="1:405" ht="16.899999999999999" customHeight="1" thickBot="1" x14ac:dyDescent="0.25">
      <c r="A1">
        <v>1</v>
      </c>
      <c r="B1">
        <v>2</v>
      </c>
      <c r="C1">
        <v>3</v>
      </c>
      <c r="D1">
        <v>4</v>
      </c>
      <c r="E1">
        <v>5</v>
      </c>
      <c r="F1" s="506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</row>
    <row r="2" spans="1:405" ht="14.25" customHeight="1" thickTop="1" thickBot="1" x14ac:dyDescent="0.25">
      <c r="A2" s="36"/>
      <c r="B2" s="675" t="s">
        <v>1</v>
      </c>
      <c r="C2" s="675"/>
      <c r="D2" s="675"/>
      <c r="E2" s="675"/>
      <c r="F2" s="675"/>
      <c r="G2" s="675"/>
      <c r="H2" s="675"/>
      <c r="I2" s="40"/>
      <c r="J2" s="675" t="s">
        <v>20</v>
      </c>
      <c r="K2" s="675"/>
      <c r="L2" s="675"/>
      <c r="M2" s="42"/>
      <c r="N2" s="675" t="s">
        <v>171</v>
      </c>
      <c r="O2" s="675"/>
      <c r="P2" s="675"/>
      <c r="Q2" s="41"/>
      <c r="R2" s="675" t="s">
        <v>2</v>
      </c>
      <c r="S2" s="675"/>
      <c r="T2" s="675"/>
      <c r="U2" s="675"/>
      <c r="V2" s="34"/>
      <c r="W2" s="682" t="s">
        <v>3</v>
      </c>
      <c r="X2" s="683"/>
      <c r="Y2" s="684"/>
      <c r="Z2" s="34"/>
      <c r="AA2" s="682" t="s">
        <v>14</v>
      </c>
      <c r="AB2" s="683"/>
      <c r="AC2" s="684"/>
      <c r="AD2" s="34"/>
      <c r="AE2" s="675" t="s">
        <v>38</v>
      </c>
      <c r="AF2" s="675"/>
      <c r="AG2" s="675"/>
      <c r="AH2" s="34"/>
      <c r="AI2" s="682" t="s">
        <v>41</v>
      </c>
      <c r="AJ2" s="683"/>
      <c r="AK2" s="684"/>
      <c r="AL2" s="34"/>
      <c r="AM2" s="685" t="s">
        <v>36</v>
      </c>
      <c r="AN2" s="686"/>
      <c r="AO2" s="687"/>
      <c r="AP2" s="34"/>
      <c r="AQ2" s="675" t="s">
        <v>40</v>
      </c>
      <c r="AR2" s="675"/>
      <c r="AS2" s="35"/>
      <c r="AT2" s="675" t="s">
        <v>61</v>
      </c>
      <c r="AU2" s="675"/>
      <c r="AV2" s="675"/>
      <c r="AW2" s="35"/>
      <c r="AX2" s="120"/>
      <c r="AY2" s="679" t="s">
        <v>19</v>
      </c>
      <c r="AZ2" s="680"/>
      <c r="BA2" s="681"/>
      <c r="BC2" s="671" t="s">
        <v>35</v>
      </c>
      <c r="BD2" s="672"/>
      <c r="BE2" s="672"/>
      <c r="BF2" s="672"/>
      <c r="BG2" s="672"/>
      <c r="BH2" s="672"/>
      <c r="BI2" s="672"/>
      <c r="BJ2" s="673"/>
      <c r="BL2" s="661" t="s">
        <v>60</v>
      </c>
      <c r="BN2" s="667" t="s">
        <v>113</v>
      </c>
      <c r="BP2" s="657" t="s">
        <v>102</v>
      </c>
      <c r="BQ2" s="657"/>
      <c r="BR2" s="657"/>
      <c r="BT2" s="657" t="s">
        <v>105</v>
      </c>
      <c r="BU2" s="657"/>
      <c r="BV2" s="657"/>
      <c r="BX2" s="657" t="s">
        <v>106</v>
      </c>
      <c r="BY2" s="657"/>
      <c r="BZ2" s="657"/>
      <c r="CB2" s="657" t="s">
        <v>108</v>
      </c>
      <c r="CC2" s="657"/>
      <c r="CD2" s="657"/>
      <c r="CF2" s="657" t="s">
        <v>170</v>
      </c>
      <c r="CG2" s="657"/>
      <c r="CH2" s="657"/>
      <c r="CI2" s="657" t="s">
        <v>162</v>
      </c>
      <c r="CJ2" s="657"/>
      <c r="CK2" s="657"/>
      <c r="CM2" s="527" t="s">
        <v>111</v>
      </c>
      <c r="CN2" s="528"/>
      <c r="CP2" s="664" t="s">
        <v>114</v>
      </c>
      <c r="CQ2" s="665"/>
      <c r="CR2" s="665"/>
      <c r="CS2" s="665"/>
      <c r="CT2" s="665"/>
      <c r="CV2" s="657" t="s">
        <v>118</v>
      </c>
      <c r="CW2" s="657"/>
      <c r="CX2" s="657"/>
      <c r="CZ2" s="657" t="s">
        <v>119</v>
      </c>
      <c r="DA2" s="657"/>
      <c r="DB2" s="657"/>
      <c r="DD2" s="657" t="s">
        <v>122</v>
      </c>
      <c r="DE2" s="657"/>
      <c r="DF2" s="657"/>
      <c r="DH2" s="657" t="s">
        <v>125</v>
      </c>
      <c r="DI2" s="657"/>
      <c r="DJ2" s="657"/>
      <c r="DL2" s="657" t="s">
        <v>126</v>
      </c>
      <c r="DM2" s="657"/>
      <c r="DN2" s="657"/>
      <c r="DP2" s="657" t="s">
        <v>127</v>
      </c>
      <c r="DQ2" s="657"/>
      <c r="DR2" s="657"/>
      <c r="DT2" s="658" t="s">
        <v>128</v>
      </c>
      <c r="DU2" s="659"/>
      <c r="DV2" s="660"/>
      <c r="DW2" s="529"/>
      <c r="DX2" s="661" t="s">
        <v>140</v>
      </c>
      <c r="DZ2" s="657" t="s">
        <v>129</v>
      </c>
      <c r="EA2" s="657"/>
      <c r="EC2" s="657" t="s">
        <v>141</v>
      </c>
      <c r="ED2" s="657"/>
      <c r="EF2" s="657" t="s">
        <v>144</v>
      </c>
      <c r="EG2" s="657"/>
      <c r="EH2" s="657"/>
      <c r="EJ2" s="657" t="s">
        <v>157</v>
      </c>
      <c r="EK2" s="657"/>
      <c r="EL2" s="657"/>
      <c r="EN2" s="657" t="s">
        <v>266</v>
      </c>
      <c r="EO2" s="657"/>
      <c r="EP2" s="657"/>
      <c r="EQ2" s="657"/>
      <c r="ES2" s="530" t="s">
        <v>272</v>
      </c>
      <c r="ET2" s="530" t="s">
        <v>273</v>
      </c>
    </row>
    <row r="3" spans="1:405" ht="9.75" customHeight="1" thickTop="1" thickBot="1" x14ac:dyDescent="0.25">
      <c r="A3" s="36"/>
      <c r="B3" s="277"/>
      <c r="C3" s="277"/>
      <c r="D3" s="277"/>
      <c r="E3" s="277"/>
      <c r="F3" s="463"/>
      <c r="G3" s="277"/>
      <c r="H3" s="277"/>
      <c r="I3" s="278"/>
      <c r="J3" s="277"/>
      <c r="K3" s="277"/>
      <c r="L3" s="277"/>
      <c r="M3" s="279"/>
      <c r="N3" s="277"/>
      <c r="O3" s="277"/>
      <c r="P3" s="277"/>
      <c r="Q3" s="184"/>
      <c r="R3" s="277"/>
      <c r="S3" s="277"/>
      <c r="T3" s="277"/>
      <c r="U3" s="277"/>
      <c r="V3" s="34"/>
      <c r="W3" s="510"/>
      <c r="X3" s="280"/>
      <c r="Y3" s="281"/>
      <c r="Z3" s="34"/>
      <c r="AA3" s="510"/>
      <c r="AB3" s="280"/>
      <c r="AC3" s="281"/>
      <c r="AD3" s="34"/>
      <c r="AE3" s="277"/>
      <c r="AF3" s="277"/>
      <c r="AG3" s="509"/>
      <c r="AH3" s="34"/>
      <c r="AI3" s="510"/>
      <c r="AJ3" s="511"/>
      <c r="AK3" s="512"/>
      <c r="AL3" s="34"/>
      <c r="AM3" s="531"/>
      <c r="AN3" s="532"/>
      <c r="AO3" s="533"/>
      <c r="AP3" s="34"/>
      <c r="AQ3" s="277"/>
      <c r="AR3" s="277"/>
      <c r="AS3" s="35"/>
      <c r="AT3" s="277"/>
      <c r="AU3" s="277"/>
      <c r="AV3" s="277"/>
      <c r="AW3" s="35"/>
      <c r="AX3" s="120"/>
      <c r="AY3" s="282"/>
      <c r="AZ3" s="283"/>
      <c r="BA3" s="284"/>
      <c r="BC3" s="285"/>
      <c r="BD3" s="534"/>
      <c r="BE3" s="534"/>
      <c r="BF3" s="534"/>
      <c r="BG3" s="534"/>
      <c r="BH3" s="534"/>
      <c r="BI3" s="534"/>
      <c r="BJ3" s="286"/>
      <c r="BL3" s="662"/>
      <c r="BN3" s="667"/>
      <c r="BP3" s="530"/>
      <c r="BQ3" s="530"/>
      <c r="BR3" s="535"/>
      <c r="BT3" s="530"/>
      <c r="BU3" s="530"/>
      <c r="BV3" s="535"/>
      <c r="BX3" s="530"/>
      <c r="BY3" s="530"/>
      <c r="BZ3" s="530"/>
      <c r="CB3" s="530"/>
      <c r="CC3" s="530"/>
      <c r="CD3" s="530"/>
      <c r="CF3" s="530"/>
      <c r="CG3" s="530"/>
      <c r="CH3" s="530"/>
      <c r="CI3" s="530"/>
      <c r="CJ3" s="530"/>
      <c r="CK3" s="530"/>
      <c r="CM3" s="527"/>
      <c r="CN3" s="528"/>
      <c r="CP3" s="536"/>
      <c r="CQ3" s="537"/>
      <c r="CR3" s="537"/>
      <c r="CS3" s="537"/>
      <c r="CT3" s="537"/>
      <c r="CV3" s="530"/>
      <c r="CW3" s="530"/>
      <c r="CX3" s="530"/>
      <c r="CZ3" s="530"/>
      <c r="DA3" s="530"/>
      <c r="DB3" s="530"/>
      <c r="DD3" s="530"/>
      <c r="DE3" s="530"/>
      <c r="DF3" s="530"/>
      <c r="DH3" s="530"/>
      <c r="DI3" s="530"/>
      <c r="DJ3" s="530"/>
      <c r="DL3" s="530"/>
      <c r="DM3" s="530"/>
      <c r="DN3" s="530"/>
      <c r="DP3" s="530"/>
      <c r="DQ3" s="530"/>
      <c r="DR3" s="530"/>
      <c r="DT3" s="538"/>
      <c r="DU3" s="539"/>
      <c r="DV3" s="535"/>
      <c r="DW3" s="529"/>
      <c r="DX3" s="662"/>
      <c r="DZ3" s="530"/>
      <c r="EA3" s="530"/>
      <c r="EC3" s="530"/>
      <c r="ED3" s="530"/>
      <c r="EF3" s="530"/>
      <c r="EG3" s="530"/>
      <c r="EH3" s="530"/>
      <c r="EJ3" s="530"/>
      <c r="EK3" s="530"/>
      <c r="EL3" s="530"/>
      <c r="EN3" s="530"/>
      <c r="EO3" s="530"/>
      <c r="EP3" s="530"/>
      <c r="EQ3" s="530"/>
      <c r="ES3" s="530"/>
      <c r="ET3" s="530"/>
    </row>
    <row r="4" spans="1:405" s="231" customFormat="1" ht="24.75" customHeight="1" thickTop="1" x14ac:dyDescent="0.2">
      <c r="A4" s="102" t="s">
        <v>8</v>
      </c>
      <c r="B4" s="465" t="s">
        <v>9</v>
      </c>
      <c r="C4" s="465" t="s">
        <v>11</v>
      </c>
      <c r="D4" s="465" t="s">
        <v>21</v>
      </c>
      <c r="E4" s="465" t="s">
        <v>12</v>
      </c>
      <c r="F4" s="540" t="s">
        <v>265</v>
      </c>
      <c r="G4" s="112" t="s">
        <v>34</v>
      </c>
      <c r="H4" s="103" t="s">
        <v>18</v>
      </c>
      <c r="I4" s="104"/>
      <c r="J4" s="465" t="s">
        <v>9</v>
      </c>
      <c r="K4" s="112" t="s">
        <v>34</v>
      </c>
      <c r="L4" s="103" t="s">
        <v>18</v>
      </c>
      <c r="M4" s="105"/>
      <c r="N4" s="465" t="s">
        <v>9</v>
      </c>
      <c r="O4" s="113" t="s">
        <v>34</v>
      </c>
      <c r="P4" s="103" t="s">
        <v>18</v>
      </c>
      <c r="Q4" s="106"/>
      <c r="R4" s="465" t="s">
        <v>9</v>
      </c>
      <c r="S4" s="465" t="s">
        <v>10</v>
      </c>
      <c r="T4" s="112" t="s">
        <v>34</v>
      </c>
      <c r="U4" s="103" t="s">
        <v>18</v>
      </c>
      <c r="V4" s="107"/>
      <c r="W4" s="108" t="s">
        <v>9</v>
      </c>
      <c r="X4" s="112" t="s">
        <v>34</v>
      </c>
      <c r="Y4" s="112" t="s">
        <v>37</v>
      </c>
      <c r="Z4" s="109"/>
      <c r="AA4" s="108" t="s">
        <v>9</v>
      </c>
      <c r="AB4" s="112" t="s">
        <v>34</v>
      </c>
      <c r="AC4" s="112" t="s">
        <v>37</v>
      </c>
      <c r="AD4" s="109"/>
      <c r="AE4" s="465" t="s">
        <v>39</v>
      </c>
      <c r="AF4" s="465" t="s">
        <v>18</v>
      </c>
      <c r="AG4" s="108" t="s">
        <v>17</v>
      </c>
      <c r="AH4" s="109"/>
      <c r="AI4" s="108" t="s">
        <v>39</v>
      </c>
      <c r="AJ4" s="119" t="s">
        <v>18</v>
      </c>
      <c r="AK4" s="119" t="s">
        <v>17</v>
      </c>
      <c r="AL4" s="109"/>
      <c r="AM4" s="108" t="s">
        <v>39</v>
      </c>
      <c r="AN4" s="119" t="s">
        <v>18</v>
      </c>
      <c r="AO4" s="119" t="s">
        <v>17</v>
      </c>
      <c r="AP4" s="109"/>
      <c r="AQ4" s="465" t="s">
        <v>43</v>
      </c>
      <c r="AR4" s="465" t="s">
        <v>44</v>
      </c>
      <c r="AS4" s="110"/>
      <c r="AT4" s="465" t="s">
        <v>63</v>
      </c>
      <c r="AU4" s="465" t="s">
        <v>64</v>
      </c>
      <c r="AV4" s="465" t="s">
        <v>62</v>
      </c>
      <c r="AW4" s="110"/>
      <c r="AX4" s="121"/>
      <c r="AY4" s="676" t="s">
        <v>274</v>
      </c>
      <c r="AZ4" s="677"/>
      <c r="BA4" s="678"/>
      <c r="BC4" s="668" t="s">
        <v>300</v>
      </c>
      <c r="BD4" s="669"/>
      <c r="BE4" s="669"/>
      <c r="BF4" s="670"/>
      <c r="BG4" s="668" t="s">
        <v>301</v>
      </c>
      <c r="BH4" s="669"/>
      <c r="BI4" s="669"/>
      <c r="BJ4" s="670"/>
      <c r="BL4" s="662"/>
      <c r="BN4" s="667"/>
      <c r="BP4" s="541" t="s">
        <v>103</v>
      </c>
      <c r="BQ4" s="542" t="s">
        <v>112</v>
      </c>
      <c r="BR4" s="543" t="s">
        <v>107</v>
      </c>
      <c r="BS4" s="253"/>
      <c r="BT4" s="541" t="s">
        <v>103</v>
      </c>
      <c r="BU4" s="541" t="s">
        <v>104</v>
      </c>
      <c r="BV4" s="543" t="s">
        <v>107</v>
      </c>
      <c r="BW4" s="253"/>
      <c r="BX4" s="541" t="s">
        <v>103</v>
      </c>
      <c r="BY4" s="541" t="s">
        <v>104</v>
      </c>
      <c r="BZ4" s="541" t="s">
        <v>107</v>
      </c>
      <c r="CB4" s="541" t="s">
        <v>103</v>
      </c>
      <c r="CC4" s="541" t="s">
        <v>104</v>
      </c>
      <c r="CD4" s="541" t="s">
        <v>107</v>
      </c>
      <c r="CF4" s="541" t="s">
        <v>103</v>
      </c>
      <c r="CG4" s="541" t="s">
        <v>104</v>
      </c>
      <c r="CH4" s="541" t="s">
        <v>107</v>
      </c>
      <c r="CI4" s="541" t="s">
        <v>103</v>
      </c>
      <c r="CJ4" s="541" t="s">
        <v>104</v>
      </c>
      <c r="CK4" s="541" t="s">
        <v>107</v>
      </c>
      <c r="CM4" s="544" t="s">
        <v>39</v>
      </c>
      <c r="CN4" s="544" t="s">
        <v>18</v>
      </c>
      <c r="CP4" s="541" t="s">
        <v>103</v>
      </c>
      <c r="CQ4" s="542" t="s">
        <v>116</v>
      </c>
      <c r="CR4" s="542" t="s">
        <v>117</v>
      </c>
      <c r="CS4" s="542" t="s">
        <v>115</v>
      </c>
      <c r="CT4" s="542" t="s">
        <v>117</v>
      </c>
      <c r="CV4" s="541" t="s">
        <v>103</v>
      </c>
      <c r="CW4" s="541" t="s">
        <v>123</v>
      </c>
      <c r="CX4" s="541" t="s">
        <v>124</v>
      </c>
      <c r="CZ4" s="541" t="s">
        <v>103</v>
      </c>
      <c r="DA4" s="541" t="s">
        <v>123</v>
      </c>
      <c r="DB4" s="541" t="s">
        <v>124</v>
      </c>
      <c r="DD4" s="541" t="s">
        <v>103</v>
      </c>
      <c r="DE4" s="541" t="s">
        <v>123</v>
      </c>
      <c r="DF4" s="541" t="s">
        <v>124</v>
      </c>
      <c r="DH4" s="541" t="s">
        <v>103</v>
      </c>
      <c r="DI4" s="541" t="s">
        <v>123</v>
      </c>
      <c r="DJ4" s="541" t="s">
        <v>124</v>
      </c>
      <c r="DL4" s="541" t="s">
        <v>103</v>
      </c>
      <c r="DM4" s="541" t="s">
        <v>123</v>
      </c>
      <c r="DN4" s="541" t="s">
        <v>124</v>
      </c>
      <c r="DP4" s="541" t="s">
        <v>103</v>
      </c>
      <c r="DQ4" s="541" t="s">
        <v>123</v>
      </c>
      <c r="DR4" s="541" t="s">
        <v>124</v>
      </c>
      <c r="DT4" s="541" t="s">
        <v>103</v>
      </c>
      <c r="DU4" s="541" t="s">
        <v>123</v>
      </c>
      <c r="DV4" s="541" t="s">
        <v>124</v>
      </c>
      <c r="DW4" s="545"/>
      <c r="DX4" s="663"/>
      <c r="DZ4" s="541" t="s">
        <v>123</v>
      </c>
      <c r="EA4" s="541" t="s">
        <v>124</v>
      </c>
      <c r="EC4" s="542" t="s">
        <v>142</v>
      </c>
      <c r="ED4" s="542" t="s">
        <v>143</v>
      </c>
      <c r="EF4" s="541" t="s">
        <v>103</v>
      </c>
      <c r="EG4" s="541" t="s">
        <v>123</v>
      </c>
      <c r="EH4" s="541" t="s">
        <v>124</v>
      </c>
      <c r="EJ4" s="541" t="s">
        <v>103</v>
      </c>
      <c r="EK4" s="541" t="s">
        <v>123</v>
      </c>
      <c r="EL4" s="541" t="s">
        <v>124</v>
      </c>
      <c r="EN4" s="541" t="s">
        <v>262</v>
      </c>
      <c r="EO4" s="541" t="s">
        <v>263</v>
      </c>
      <c r="EP4" s="541" t="s">
        <v>264</v>
      </c>
      <c r="EQ4" s="541" t="s">
        <v>271</v>
      </c>
      <c r="ES4" s="541"/>
      <c r="ET4" s="541"/>
    </row>
    <row r="5" spans="1:405" x14ac:dyDescent="0.2">
      <c r="A5" s="37"/>
      <c r="B5" s="33">
        <v>522960</v>
      </c>
      <c r="C5" s="33"/>
      <c r="D5" s="546"/>
      <c r="E5" s="234">
        <v>740</v>
      </c>
      <c r="F5" s="547"/>
      <c r="G5" s="33">
        <f>F5+ET5</f>
        <v>0</v>
      </c>
      <c r="H5" s="186"/>
      <c r="I5" s="183"/>
      <c r="J5" s="546">
        <v>225832</v>
      </c>
      <c r="K5" s="185"/>
      <c r="L5" s="241"/>
      <c r="M5" s="184"/>
      <c r="N5" s="546">
        <v>774830</v>
      </c>
      <c r="O5" s="185"/>
      <c r="P5" s="241"/>
      <c r="Q5" s="34"/>
      <c r="R5" s="546">
        <v>65800</v>
      </c>
      <c r="S5" s="33"/>
      <c r="T5" s="33"/>
      <c r="U5" s="241"/>
      <c r="V5" s="34"/>
      <c r="W5" s="548">
        <v>49176.42</v>
      </c>
      <c r="X5" s="185"/>
      <c r="Y5" s="241"/>
      <c r="Z5" s="34"/>
      <c r="AA5" s="249">
        <v>536130</v>
      </c>
      <c r="AB5" s="185"/>
      <c r="AC5" s="241"/>
      <c r="AD5" s="34"/>
      <c r="AE5" s="243"/>
      <c r="AF5" s="244"/>
      <c r="AG5" s="242"/>
      <c r="AH5" s="34"/>
      <c r="AI5" s="549"/>
      <c r="AJ5" s="188"/>
      <c r="AK5" s="550"/>
      <c r="AL5" s="34"/>
      <c r="AM5" s="551"/>
      <c r="AN5" s="302"/>
      <c r="AO5" s="189"/>
      <c r="AP5" s="34"/>
      <c r="AQ5" s="248"/>
      <c r="AR5" s="244"/>
      <c r="AS5" s="34"/>
      <c r="AT5" s="552">
        <v>7598.27</v>
      </c>
      <c r="AU5" s="191"/>
      <c r="AV5" s="553"/>
      <c r="AW5" s="34"/>
      <c r="AX5" s="187"/>
      <c r="AY5" s="245"/>
      <c r="AZ5" s="245"/>
      <c r="BA5" s="246"/>
      <c r="BC5" s="554"/>
      <c r="BD5" s="555"/>
      <c r="BE5" s="556"/>
      <c r="BF5" s="557"/>
      <c r="BG5" s="212"/>
      <c r="BH5" s="555"/>
      <c r="BI5" s="555"/>
      <c r="BJ5" s="555"/>
      <c r="BL5" s="149">
        <v>526</v>
      </c>
      <c r="BN5" s="185"/>
      <c r="BP5" s="33">
        <v>81741</v>
      </c>
      <c r="BQ5" s="33"/>
      <c r="BR5" s="232"/>
      <c r="BT5" s="33">
        <v>97835</v>
      </c>
      <c r="BU5" s="33"/>
      <c r="BV5" s="232"/>
      <c r="BX5" s="33">
        <v>4317</v>
      </c>
      <c r="BY5" s="33"/>
      <c r="BZ5" s="232"/>
      <c r="CB5" s="33">
        <v>250320</v>
      </c>
      <c r="CC5" s="33"/>
      <c r="CD5" s="232"/>
      <c r="CF5" s="33">
        <v>9535</v>
      </c>
      <c r="CG5" s="33"/>
      <c r="CH5" s="232"/>
      <c r="CI5" s="33">
        <v>19771</v>
      </c>
      <c r="CJ5" s="33"/>
      <c r="CK5" s="232"/>
      <c r="CM5" s="33"/>
      <c r="CN5" s="33"/>
      <c r="CP5" s="33">
        <v>100020</v>
      </c>
      <c r="CQ5" s="33"/>
      <c r="CR5" s="134"/>
      <c r="CS5" s="232"/>
      <c r="CT5" s="469"/>
      <c r="CV5" s="33">
        <v>465</v>
      </c>
      <c r="CW5" s="33"/>
      <c r="CX5" s="470"/>
      <c r="CZ5" s="33">
        <v>2547</v>
      </c>
      <c r="DA5" s="33"/>
      <c r="DB5" s="232"/>
      <c r="DD5" s="33">
        <v>1768697</v>
      </c>
      <c r="DE5" s="33"/>
      <c r="DF5" s="232"/>
      <c r="DH5" s="33">
        <v>4002500</v>
      </c>
      <c r="DI5" s="33"/>
      <c r="DJ5" s="232"/>
      <c r="DL5" s="33">
        <v>3419475</v>
      </c>
      <c r="DM5" s="33"/>
      <c r="DN5" s="232"/>
      <c r="DP5" s="33">
        <v>2948741</v>
      </c>
      <c r="DQ5" s="33"/>
      <c r="DR5" s="232"/>
      <c r="DT5" s="33">
        <v>3592467</v>
      </c>
      <c r="DU5" s="33"/>
      <c r="DV5" s="232"/>
      <c r="DW5" s="558"/>
      <c r="DX5" s="33">
        <v>720</v>
      </c>
      <c r="DZ5" s="33"/>
      <c r="EA5" s="232"/>
      <c r="EC5" s="190"/>
      <c r="ED5" s="263"/>
      <c r="EF5" s="33">
        <v>71926</v>
      </c>
      <c r="EG5" s="269"/>
      <c r="EH5" s="232"/>
      <c r="EJ5" s="33">
        <v>33433</v>
      </c>
      <c r="EK5" s="269"/>
      <c r="EL5" s="232"/>
      <c r="EN5" s="149">
        <v>41654</v>
      </c>
      <c r="EO5" s="464">
        <v>42689</v>
      </c>
      <c r="EP5" s="559">
        <v>40428</v>
      </c>
      <c r="EQ5" s="468"/>
      <c r="ES5" s="149">
        <v>7950</v>
      </c>
      <c r="ET5" s="149"/>
    </row>
    <row r="6" spans="1:405" x14ac:dyDescent="0.2">
      <c r="A6" s="275">
        <v>45778</v>
      </c>
      <c r="B6" s="33">
        <v>523691</v>
      </c>
      <c r="C6" s="33">
        <f t="shared" ref="C6" si="0">B6-B5</f>
        <v>731</v>
      </c>
      <c r="D6" s="546"/>
      <c r="E6" s="234">
        <v>785</v>
      </c>
      <c r="F6" s="547">
        <f t="shared" ref="F6" si="1">EQ6</f>
        <v>670</v>
      </c>
      <c r="G6" s="33">
        <f>F6+ET6</f>
        <v>704</v>
      </c>
      <c r="H6" s="186">
        <f>'[1]Reading.4.24'!G6</f>
        <v>505</v>
      </c>
      <c r="I6" s="183"/>
      <c r="J6" s="546">
        <v>225886</v>
      </c>
      <c r="K6" s="185">
        <f t="shared" ref="K6" si="2">(J6-J5)*4.668</f>
        <v>252.072</v>
      </c>
      <c r="L6" s="241">
        <f>'[1]Reading.4.24'!K6</f>
        <v>112.03200000000001</v>
      </c>
      <c r="M6" s="184"/>
      <c r="N6" s="546">
        <v>774978</v>
      </c>
      <c r="O6" s="185">
        <f t="shared" ref="O6" si="3">(N6-N5)*4.61</f>
        <v>682.28000000000009</v>
      </c>
      <c r="P6" s="241">
        <f>'[1]Reading.4.24'!O6</f>
        <v>391.85</v>
      </c>
      <c r="Q6" s="34"/>
      <c r="R6" s="546">
        <v>65800</v>
      </c>
      <c r="S6" s="33"/>
      <c r="T6" s="33">
        <f t="shared" ref="T6" si="4">(R5+S5)-R6</f>
        <v>0</v>
      </c>
      <c r="U6" s="241">
        <f>'[1]Reading.4.24'!T6</f>
        <v>0</v>
      </c>
      <c r="V6" s="34"/>
      <c r="W6" s="548">
        <v>49185.81</v>
      </c>
      <c r="X6" s="185">
        <f t="shared" ref="X6" si="5">(W6-W5)*4000</f>
        <v>37559.999999997672</v>
      </c>
      <c r="Y6" s="241">
        <f>'[1]Reading.4.24'!X6</f>
        <v>27720.000000001164</v>
      </c>
      <c r="Z6" s="34"/>
      <c r="AA6" s="249">
        <v>536130</v>
      </c>
      <c r="AB6" s="185">
        <f t="shared" ref="AB6" si="6">AA6-AA5</f>
        <v>0</v>
      </c>
      <c r="AC6" s="241">
        <f>'[1]Reading.4.24'!AB6</f>
        <v>0</v>
      </c>
      <c r="AD6" s="34"/>
      <c r="AE6" s="243">
        <f t="shared" ref="AE6" si="7">+X6+AB6</f>
        <v>37559.999999997672</v>
      </c>
      <c r="AF6" s="244">
        <f>'[1]Reading.4.24'!AE6</f>
        <v>27720.000000001164</v>
      </c>
      <c r="AG6" s="242">
        <f t="shared" ref="AG6:AG13" si="8">1198432/31</f>
        <v>38659.096774193546</v>
      </c>
      <c r="AH6" s="34"/>
      <c r="AI6" s="549">
        <v>0.86309999999999998</v>
      </c>
      <c r="AJ6" s="188">
        <f>'[1]Reading.4.24'!AI6</f>
        <v>0.52090000000000003</v>
      </c>
      <c r="AK6" s="550">
        <v>0.54500000000000004</v>
      </c>
      <c r="AL6" s="34"/>
      <c r="AM6" s="551">
        <f t="shared" ref="AM6" si="9">AI6*526</f>
        <v>453.99059999999997</v>
      </c>
      <c r="AN6" s="302">
        <f>'[1]Reading.4.24'!AM6</f>
        <v>274</v>
      </c>
      <c r="AO6" s="189">
        <f t="shared" ref="AO6:AO13" si="10">8880/31</f>
        <v>286.45161290322579</v>
      </c>
      <c r="AP6" s="34"/>
      <c r="AQ6" s="248">
        <f t="shared" ref="AQ6:AQ8" si="11">514*4</f>
        <v>2056</v>
      </c>
      <c r="AR6" s="244">
        <f>'[1]Reading.4.24'!AQ6</f>
        <v>1460</v>
      </c>
      <c r="AS6" s="34"/>
      <c r="AT6" s="552">
        <v>7599.69</v>
      </c>
      <c r="AU6" s="191">
        <f t="shared" ref="AU6" si="12">(AT6-AT5)*4000</f>
        <v>5679.9999999966531</v>
      </c>
      <c r="AV6" s="553">
        <f t="shared" ref="AV6" si="13">+X6/SQRT(((POWER((X6),2)+(POWER((AU6),2)))))</f>
        <v>0.98875799988858237</v>
      </c>
      <c r="AW6" s="34"/>
      <c r="AX6" s="187"/>
      <c r="AY6" s="245">
        <f>'[1]Reading.4.24'!X6</f>
        <v>27720.000000001164</v>
      </c>
      <c r="AZ6" s="245">
        <f>'[1]Reading.4.24'!Y6</f>
        <v>25200.000000011642</v>
      </c>
      <c r="BA6" s="246">
        <f t="shared" ref="BA6:BA7" si="14">AY6+AZ6</f>
        <v>52920.000000012806</v>
      </c>
      <c r="BC6" s="554">
        <v>27</v>
      </c>
      <c r="BD6" s="555">
        <v>38</v>
      </c>
      <c r="BE6" s="556">
        <v>50</v>
      </c>
      <c r="BF6" s="557">
        <v>25</v>
      </c>
      <c r="BG6" s="212">
        <v>80</v>
      </c>
      <c r="BH6" s="555">
        <f>'[1]Reading.4.24'!BD6</f>
        <v>16.100000000000001</v>
      </c>
      <c r="BI6" s="555">
        <f>'[1]Reading.4.24'!BE6</f>
        <v>12</v>
      </c>
      <c r="BJ6" s="555">
        <f>'[1]Reading.4.24'!BF6</f>
        <v>56</v>
      </c>
      <c r="BL6" s="149">
        <v>526</v>
      </c>
      <c r="BN6" s="575">
        <f>'Reading.5.24'!BN4</f>
        <v>0</v>
      </c>
      <c r="BP6" s="33">
        <v>81780</v>
      </c>
      <c r="BQ6" s="33">
        <f t="shared" ref="BQ6" si="15">BP6-BP5</f>
        <v>39</v>
      </c>
      <c r="BR6" s="232">
        <f>'[1]Reading.4.24'!BQ6</f>
        <v>30</v>
      </c>
      <c r="BT6" s="33">
        <v>97888</v>
      </c>
      <c r="BU6" s="33">
        <f t="shared" ref="BU6" si="16">BT6-BT5</f>
        <v>53</v>
      </c>
      <c r="BV6" s="232">
        <f>'[1]Reading.4.24'!BU6</f>
        <v>30</v>
      </c>
      <c r="BX6" s="33">
        <v>4317</v>
      </c>
      <c r="BY6" s="33">
        <f t="shared" ref="BY6" si="17">BX6-BX5</f>
        <v>0</v>
      </c>
      <c r="BZ6" s="232">
        <f>'[1]Reading.4.24'!BY6</f>
        <v>11</v>
      </c>
      <c r="CB6" s="33">
        <v>250360</v>
      </c>
      <c r="CC6" s="33">
        <f t="shared" ref="CC6" si="18">CB6-CB5</f>
        <v>40</v>
      </c>
      <c r="CD6" s="232">
        <f>'[1]Reading.4.24'!CC6</f>
        <v>30</v>
      </c>
      <c r="CF6" s="33">
        <v>9545</v>
      </c>
      <c r="CG6" s="33">
        <f t="shared" ref="CG6" si="19">CF6-CF5</f>
        <v>10</v>
      </c>
      <c r="CH6" s="232">
        <f>'[1]Reading.4.24'!CG6</f>
        <v>10</v>
      </c>
      <c r="CI6" s="33">
        <v>19771</v>
      </c>
      <c r="CJ6" s="33">
        <f t="shared" ref="CJ6" si="20">CI6-CI5</f>
        <v>0</v>
      </c>
      <c r="CK6" s="232">
        <f>'[1]Reading.4.24'!CJ6</f>
        <v>-3</v>
      </c>
      <c r="CM6" s="33">
        <f t="shared" ref="CM6:CN6" si="21">BQ6+BU6+BY6+CC6+CJ6</f>
        <v>132</v>
      </c>
      <c r="CN6" s="33">
        <f t="shared" si="21"/>
        <v>98</v>
      </c>
      <c r="CP6" s="33">
        <v>100570</v>
      </c>
      <c r="CQ6" s="33">
        <f t="shared" ref="CQ6" si="22">CP6-CP5</f>
        <v>550</v>
      </c>
      <c r="CR6" s="134">
        <f t="shared" ref="CR6" si="23">CQ6/G6</f>
        <v>0.78125</v>
      </c>
      <c r="CS6" s="232">
        <f>'[1]Reading.4.24'!CN6</f>
        <v>135</v>
      </c>
      <c r="CT6" s="469">
        <f>'[1]Reading.4.24'!CR6</f>
        <v>0.67920792079207926</v>
      </c>
      <c r="CV6" s="33">
        <v>466</v>
      </c>
      <c r="CW6" s="33">
        <f t="shared" ref="CW6" si="24">CV6-CV5</f>
        <v>1</v>
      </c>
      <c r="CX6" s="470">
        <f>'[1]Reading.4.24'!CW6</f>
        <v>2</v>
      </c>
      <c r="CZ6" s="33">
        <v>2550</v>
      </c>
      <c r="DA6" s="33">
        <f t="shared" ref="DA6" si="25">CZ6-CZ5</f>
        <v>3</v>
      </c>
      <c r="DB6" s="232">
        <f>'[1]Reading.4.24'!DA6</f>
        <v>3</v>
      </c>
      <c r="DD6" s="33">
        <v>1769802</v>
      </c>
      <c r="DE6" s="33">
        <f t="shared" ref="DE6" si="26">DD6-DD5</f>
        <v>1105</v>
      </c>
      <c r="DF6" s="232">
        <f>'[1]Reading.4.24'!DE6</f>
        <v>757</v>
      </c>
      <c r="DH6" s="33">
        <v>4004282</v>
      </c>
      <c r="DI6" s="33">
        <f t="shared" ref="DI6" si="27">DH6-DH5</f>
        <v>1782</v>
      </c>
      <c r="DJ6" s="232">
        <f>'[1]Reading.4.24'!DI6</f>
        <v>1866</v>
      </c>
      <c r="DL6" s="33">
        <v>3421750</v>
      </c>
      <c r="DM6" s="33">
        <f t="shared" ref="DM6" si="28">DL6-DL5</f>
        <v>2275</v>
      </c>
      <c r="DN6" s="232">
        <f>'[1]Reading.4.24'!DM6</f>
        <v>3208</v>
      </c>
      <c r="DP6" s="33">
        <v>2951324</v>
      </c>
      <c r="DQ6" s="33">
        <f t="shared" ref="DQ6" si="29">DP6-DP5</f>
        <v>2583</v>
      </c>
      <c r="DR6" s="232">
        <f>'[1]Reading.4.24'!DQ6</f>
        <v>31</v>
      </c>
      <c r="DT6" s="33">
        <v>3593676</v>
      </c>
      <c r="DU6" s="33">
        <f t="shared" ref="DU6" si="30">DT6-DT5</f>
        <v>1209</v>
      </c>
      <c r="DV6" s="232">
        <f>'[1]Reading.4.24'!DU6</f>
        <v>31</v>
      </c>
      <c r="DW6" s="558"/>
      <c r="DX6" s="33">
        <v>720</v>
      </c>
      <c r="DZ6" s="33">
        <f t="shared" ref="DZ6" si="31">DM6+DQ6+DU6+DX6</f>
        <v>6787</v>
      </c>
      <c r="EA6" s="232">
        <f>'Reading.5.24'!DZ6</f>
        <v>4474</v>
      </c>
      <c r="EC6" s="190">
        <f t="shared" ref="EC6" si="32">C6*5.2</f>
        <v>3801.2000000000003</v>
      </c>
      <c r="ED6" s="263">
        <f>'[1]Reading.4.24'!EC6</f>
        <v>2158</v>
      </c>
      <c r="EF6" s="33">
        <v>72006</v>
      </c>
      <c r="EG6" s="269">
        <f t="shared" ref="EG6" si="33">EF6-EF5</f>
        <v>80</v>
      </c>
      <c r="EH6" s="232">
        <f>'[1]Reading.4.24'!EG6</f>
        <v>40</v>
      </c>
      <c r="EJ6" s="33">
        <v>33464</v>
      </c>
      <c r="EK6" s="269">
        <f t="shared" ref="EK6" si="34">EJ6-EJ5</f>
        <v>31</v>
      </c>
      <c r="EL6" s="232">
        <f>'[1]Reading.4.24'!EK6</f>
        <v>33</v>
      </c>
      <c r="EN6" s="149">
        <v>41654</v>
      </c>
      <c r="EO6" s="464">
        <v>43359</v>
      </c>
      <c r="EP6" s="559">
        <v>40428</v>
      </c>
      <c r="EQ6" s="468">
        <f t="shared" ref="EQ6" si="35">(EN6-EN5)+(EO6-EO5)+(EP6-EP5)</f>
        <v>670</v>
      </c>
      <c r="ES6" s="149">
        <v>7984</v>
      </c>
      <c r="ET6" s="149">
        <f t="shared" ref="ET6" si="36">+ES6-ES5</f>
        <v>34</v>
      </c>
    </row>
    <row r="7" spans="1:405" x14ac:dyDescent="0.2">
      <c r="A7" s="275">
        <v>45779</v>
      </c>
      <c r="B7" s="33">
        <v>524424</v>
      </c>
      <c r="C7" s="33">
        <f t="shared" ref="C7" si="37">B7-B6</f>
        <v>733</v>
      </c>
      <c r="D7" s="546"/>
      <c r="E7" s="234">
        <v>785</v>
      </c>
      <c r="F7" s="547">
        <f t="shared" ref="F7" si="38">EQ7</f>
        <v>677</v>
      </c>
      <c r="G7" s="33">
        <f>F7+ET7</f>
        <v>712</v>
      </c>
      <c r="H7" s="186">
        <f>'Reading.5.24'!G7</f>
        <v>552</v>
      </c>
      <c r="I7" s="183"/>
      <c r="J7" s="546">
        <v>225977</v>
      </c>
      <c r="K7" s="185">
        <f t="shared" ref="K7" si="39">(J7-J6)*4.668</f>
        <v>424.78800000000001</v>
      </c>
      <c r="L7" s="241">
        <f>'Reading.5.24'!K7</f>
        <v>177.38400000000001</v>
      </c>
      <c r="M7" s="184"/>
      <c r="N7" s="546">
        <v>775124</v>
      </c>
      <c r="O7" s="185">
        <f t="shared" ref="O7" si="40">(N7-N6)*4.61</f>
        <v>673.06000000000006</v>
      </c>
      <c r="P7" s="241">
        <f>'Reading.5.24'!O7</f>
        <v>461.00000000000006</v>
      </c>
      <c r="Q7" s="34"/>
      <c r="R7" s="546">
        <v>65800</v>
      </c>
      <c r="S7" s="33"/>
      <c r="T7" s="33">
        <f t="shared" ref="T7" si="41">(R6+S6)-R7</f>
        <v>0</v>
      </c>
      <c r="U7" s="241">
        <f>'Reading.5.24'!T7</f>
        <v>0</v>
      </c>
      <c r="V7" s="34"/>
      <c r="W7" s="548">
        <v>49195.24</v>
      </c>
      <c r="X7" s="185">
        <f t="shared" ref="X7" si="42">(W7-W6)*4000</f>
        <v>37720.000000001164</v>
      </c>
      <c r="Y7" s="241">
        <f>'Reading.5.24'!X7</f>
        <v>37119.999999995343</v>
      </c>
      <c r="Z7" s="34"/>
      <c r="AA7" s="249">
        <v>536130</v>
      </c>
      <c r="AB7" s="185">
        <f t="shared" ref="AB7" si="43">AA7-AA6</f>
        <v>0</v>
      </c>
      <c r="AC7" s="241">
        <f>'Reading.5.24'!AB7</f>
        <v>0</v>
      </c>
      <c r="AD7" s="34"/>
      <c r="AE7" s="243">
        <f t="shared" ref="AE7" si="44">+X7+AB7</f>
        <v>37720.000000001164</v>
      </c>
      <c r="AF7" s="244">
        <f>'Reading.5.24'!AE7</f>
        <v>37119.999999995343</v>
      </c>
      <c r="AG7" s="242">
        <f t="shared" si="8"/>
        <v>38659.096774193546</v>
      </c>
      <c r="AH7" s="34"/>
      <c r="AI7" s="549">
        <v>0.86309999999999998</v>
      </c>
      <c r="AJ7" s="188">
        <f>'Reading.5.24'!AI7</f>
        <v>0.73509999999999998</v>
      </c>
      <c r="AK7" s="550">
        <v>0.54500000000000004</v>
      </c>
      <c r="AL7" s="34"/>
      <c r="AM7" s="551">
        <f t="shared" ref="AM7" si="45">AI7*526</f>
        <v>453.99059999999997</v>
      </c>
      <c r="AN7" s="302">
        <f>'Reading.5.24'!AM7</f>
        <v>371</v>
      </c>
      <c r="AO7" s="189">
        <f t="shared" si="10"/>
        <v>286.45161290322579</v>
      </c>
      <c r="AP7" s="34"/>
      <c r="AQ7" s="248">
        <f t="shared" si="11"/>
        <v>2056</v>
      </c>
      <c r="AR7" s="244">
        <f>'Reading.5.24'!AQ7</f>
        <v>1804</v>
      </c>
      <c r="AS7" s="34"/>
      <c r="AT7" s="552">
        <v>7601</v>
      </c>
      <c r="AU7" s="191">
        <f t="shared" ref="AU7" si="46">(AT7-AT6)*4000</f>
        <v>5240.0000000016007</v>
      </c>
      <c r="AV7" s="553">
        <f t="shared" ref="AV7" si="47">+X7/SQRT(((POWER((X7),2)+(POWER((AU7),2)))))</f>
        <v>0.99048829714435493</v>
      </c>
      <c r="AW7" s="34"/>
      <c r="AX7" s="187"/>
      <c r="AY7" s="245">
        <f>'Reading.5.24'!X7</f>
        <v>37119.999999995343</v>
      </c>
      <c r="AZ7" s="245">
        <f>'Reading.5.24'!Y7</f>
        <v>32919.999999983702</v>
      </c>
      <c r="BA7" s="246">
        <f t="shared" si="14"/>
        <v>70039.999999979045</v>
      </c>
      <c r="BC7" s="554">
        <v>27</v>
      </c>
      <c r="BD7" s="555">
        <v>38</v>
      </c>
      <c r="BE7" s="556">
        <v>50</v>
      </c>
      <c r="BF7" s="557">
        <v>25</v>
      </c>
      <c r="BG7" s="212">
        <v>80</v>
      </c>
      <c r="BH7" s="555">
        <f>'Reading.5.24'!BD7</f>
        <v>16.100000000000001</v>
      </c>
      <c r="BI7" s="555">
        <f>'Reading.5.24'!BE7</f>
        <v>12</v>
      </c>
      <c r="BJ7" s="555">
        <f>'Reading.5.24'!BF7</f>
        <v>56</v>
      </c>
      <c r="BL7" s="149">
        <v>526</v>
      </c>
      <c r="BN7" s="575">
        <f>'Reading.5.24'!BN5</f>
        <v>0</v>
      </c>
      <c r="BP7" s="33">
        <v>81822</v>
      </c>
      <c r="BQ7" s="33">
        <f t="shared" ref="BQ7" si="48">BP7-BP6</f>
        <v>42</v>
      </c>
      <c r="BR7" s="232">
        <f>'Reading.5.24'!BQ7</f>
        <v>32</v>
      </c>
      <c r="BT7" s="33">
        <v>97947</v>
      </c>
      <c r="BU7" s="33">
        <f t="shared" ref="BU7" si="49">BT7-BT6</f>
        <v>59</v>
      </c>
      <c r="BV7" s="232">
        <f>'Reading.5.24'!BU7</f>
        <v>38</v>
      </c>
      <c r="BX7" s="33">
        <v>4317</v>
      </c>
      <c r="BY7" s="33">
        <f t="shared" ref="BY7" si="50">BX7-BX6</f>
        <v>0</v>
      </c>
      <c r="BZ7" s="232">
        <f>'Reading.5.24'!BY7</f>
        <v>0</v>
      </c>
      <c r="CB7" s="33">
        <v>250400</v>
      </c>
      <c r="CC7" s="33">
        <f t="shared" ref="CC7" si="51">CB7-CB6</f>
        <v>40</v>
      </c>
      <c r="CD7" s="232">
        <f>'Reading.5.24'!CC7</f>
        <v>40</v>
      </c>
      <c r="CF7" s="33">
        <v>9560</v>
      </c>
      <c r="CG7" s="33">
        <f t="shared" ref="CG7" si="52">CF7-CF6</f>
        <v>15</v>
      </c>
      <c r="CH7" s="232">
        <f>'Reading.5.24'!CG7</f>
        <v>10</v>
      </c>
      <c r="CI7" s="33">
        <v>19771</v>
      </c>
      <c r="CJ7" s="33">
        <f t="shared" ref="CJ7" si="53">CI7-CI6</f>
        <v>0</v>
      </c>
      <c r="CK7" s="232">
        <f>'Reading.5.24'!CJ7</f>
        <v>0</v>
      </c>
      <c r="CM7" s="33">
        <f t="shared" ref="CM7" si="54">BQ7+BU7+BY7+CC7+CJ7</f>
        <v>141</v>
      </c>
      <c r="CN7" s="33">
        <f t="shared" ref="CN7" si="55">BR7+BV7+BZ7+CD7+CK7</f>
        <v>110</v>
      </c>
      <c r="CP7" s="33">
        <v>101100</v>
      </c>
      <c r="CQ7" s="33">
        <f t="shared" ref="CQ7" si="56">CP7-CP6</f>
        <v>530</v>
      </c>
      <c r="CR7" s="134">
        <f t="shared" ref="CR7" si="57">CQ7/G7</f>
        <v>0.7443820224719101</v>
      </c>
      <c r="CS7" s="232">
        <f>'Reading.5.24'!CN7</f>
        <v>131</v>
      </c>
      <c r="CT7" s="232">
        <f>'Reading.5.24'!CO7</f>
        <v>0</v>
      </c>
      <c r="CV7" s="33">
        <v>468</v>
      </c>
      <c r="CW7" s="33">
        <f t="shared" ref="CW7" si="58">CV7-CV6</f>
        <v>2</v>
      </c>
      <c r="CX7" s="470">
        <f>'Reading.5.24'!CW7</f>
        <v>1</v>
      </c>
      <c r="CZ7" s="33">
        <v>2555</v>
      </c>
      <c r="DA7" s="33">
        <f t="shared" ref="DA7" si="59">CZ7-CZ6</f>
        <v>5</v>
      </c>
      <c r="DB7" s="232">
        <f>'Reading.5.24'!DA7</f>
        <v>3</v>
      </c>
      <c r="DD7" s="33">
        <v>1770749</v>
      </c>
      <c r="DE7" s="33">
        <f t="shared" ref="DE7" si="60">DD7-DD6</f>
        <v>947</v>
      </c>
      <c r="DF7" s="232">
        <f>'Reading.5.24'!DE7</f>
        <v>744</v>
      </c>
      <c r="DH7" s="33">
        <v>4006293</v>
      </c>
      <c r="DI7" s="33">
        <f t="shared" ref="DI7" si="61">DH7-DH6</f>
        <v>2011</v>
      </c>
      <c r="DJ7" s="232">
        <f>'Reading.5.24'!DI7</f>
        <v>1936</v>
      </c>
      <c r="DL7" s="33">
        <v>3423324</v>
      </c>
      <c r="DM7" s="33">
        <f t="shared" ref="DM7" si="62">DL7-DL6</f>
        <v>1574</v>
      </c>
      <c r="DN7" s="232">
        <f>'Reading.5.24'!DM7</f>
        <v>34</v>
      </c>
      <c r="DP7" s="33">
        <v>2952552</v>
      </c>
      <c r="DQ7" s="33">
        <f t="shared" ref="DQ7" si="63">DP7-DP6</f>
        <v>1228</v>
      </c>
      <c r="DR7" s="232">
        <f>'Reading.5.24'!DQ7</f>
        <v>1988</v>
      </c>
      <c r="DT7" s="33">
        <v>3594869</v>
      </c>
      <c r="DU7" s="33">
        <f t="shared" ref="DU7" si="64">DT7-DT6</f>
        <v>1193</v>
      </c>
      <c r="DV7" s="232">
        <f>'Reading.5.24'!DU7</f>
        <v>2463</v>
      </c>
      <c r="DW7" s="558"/>
      <c r="DX7" s="33">
        <v>720</v>
      </c>
      <c r="DZ7" s="33">
        <f t="shared" ref="DZ7" si="65">DM7+DQ7+DU7+DX7</f>
        <v>4715</v>
      </c>
      <c r="EA7" s="232">
        <f>'Reading.5.24'!DZ7</f>
        <v>5205</v>
      </c>
      <c r="EC7" s="190">
        <f t="shared" ref="EC7" si="66">C7*5.2</f>
        <v>3811.6</v>
      </c>
      <c r="ED7" s="263">
        <f>'Reading.5.24'!EC7</f>
        <v>2584.4</v>
      </c>
      <c r="EF7" s="33">
        <v>72084</v>
      </c>
      <c r="EG7" s="269">
        <f t="shared" ref="EG7" si="67">EF7-EF6</f>
        <v>78</v>
      </c>
      <c r="EH7" s="232">
        <f>'Reading.5.24'!EG7</f>
        <v>54</v>
      </c>
      <c r="EJ7" s="33">
        <v>33492</v>
      </c>
      <c r="EK7" s="269">
        <f t="shared" ref="EK7" si="68">EJ7-EJ6</f>
        <v>28</v>
      </c>
      <c r="EL7" s="232">
        <f>'Reading.5.24'!EK7</f>
        <v>22</v>
      </c>
      <c r="EN7" s="149">
        <v>41886</v>
      </c>
      <c r="EO7" s="464">
        <v>43394</v>
      </c>
      <c r="EP7" s="559">
        <v>40838</v>
      </c>
      <c r="EQ7" s="468">
        <f t="shared" ref="EQ7" si="69">(EN7-EN6)+(EO7-EO6)+(EP7-EP6)</f>
        <v>677</v>
      </c>
      <c r="ES7" s="149">
        <v>8019</v>
      </c>
      <c r="ET7" s="149">
        <f t="shared" ref="ET7" si="70">+ES7-ES6</f>
        <v>35</v>
      </c>
    </row>
    <row r="8" spans="1:405" x14ac:dyDescent="0.2">
      <c r="A8" s="275">
        <v>45780</v>
      </c>
      <c r="B8" s="33">
        <v>525157</v>
      </c>
      <c r="C8" s="33">
        <f t="shared" ref="C8:C9" si="71">B8-B7</f>
        <v>733</v>
      </c>
      <c r="D8" s="546"/>
      <c r="E8" s="234">
        <v>785</v>
      </c>
      <c r="F8" s="547">
        <f t="shared" ref="F8:F9" si="72">EQ8</f>
        <v>544</v>
      </c>
      <c r="G8" s="33">
        <f>F8+ET8</f>
        <v>576</v>
      </c>
      <c r="H8" s="186">
        <f>'Reading.5.24'!G8</f>
        <v>591</v>
      </c>
      <c r="I8" s="183"/>
      <c r="J8" s="546">
        <v>226004</v>
      </c>
      <c r="K8" s="185">
        <f t="shared" ref="K8:K9" si="73">(J8-J7)*4.668</f>
        <v>126.036</v>
      </c>
      <c r="L8" s="241">
        <f>'Reading.5.24'!K8</f>
        <v>214.72800000000001</v>
      </c>
      <c r="M8" s="184"/>
      <c r="N8" s="546">
        <v>775272</v>
      </c>
      <c r="O8" s="185">
        <f t="shared" ref="O8:O9" si="74">(N8-N7)*4.61</f>
        <v>682.28000000000009</v>
      </c>
      <c r="P8" s="241">
        <f>'Reading.5.24'!O8</f>
        <v>451.78000000000003</v>
      </c>
      <c r="Q8" s="34"/>
      <c r="R8" s="546">
        <v>65800</v>
      </c>
      <c r="S8" s="33"/>
      <c r="T8" s="33">
        <f t="shared" ref="T8:T9" si="75">(R7+S7)-R8</f>
        <v>0</v>
      </c>
      <c r="U8" s="241">
        <f>'Reading.5.24'!T8</f>
        <v>0</v>
      </c>
      <c r="V8" s="34"/>
      <c r="W8" s="548">
        <v>49204.55</v>
      </c>
      <c r="X8" s="185">
        <f t="shared" ref="X8:X9" si="76">(W8-W7)*4000</f>
        <v>37240.000000019791</v>
      </c>
      <c r="Y8" s="241">
        <f>'Reading.5.24'!X8</f>
        <v>36800.000000017462</v>
      </c>
      <c r="Z8" s="34"/>
      <c r="AA8" s="249">
        <v>536130</v>
      </c>
      <c r="AB8" s="185">
        <f t="shared" ref="AB8:AB9" si="77">AA8-AA7</f>
        <v>0</v>
      </c>
      <c r="AC8" s="241">
        <f>'Reading.5.24'!AB8</f>
        <v>0</v>
      </c>
      <c r="AD8" s="34"/>
      <c r="AE8" s="243">
        <f t="shared" ref="AE8:AE9" si="78">+X8+AB8</f>
        <v>37240.000000019791</v>
      </c>
      <c r="AF8" s="244">
        <f>'Reading.5.24'!AE8</f>
        <v>36800.000000017462</v>
      </c>
      <c r="AG8" s="242">
        <f t="shared" si="8"/>
        <v>38659.096774193546</v>
      </c>
      <c r="AH8" s="34"/>
      <c r="AI8" s="549">
        <v>0.86309999999999998</v>
      </c>
      <c r="AJ8" s="188">
        <f>'Reading.5.24'!AI8</f>
        <v>0.75290000000000001</v>
      </c>
      <c r="AK8" s="550">
        <v>0.54500000000000004</v>
      </c>
      <c r="AL8" s="34"/>
      <c r="AM8" s="551">
        <f t="shared" ref="AM8:AM9" si="79">AI8*526</f>
        <v>453.99059999999997</v>
      </c>
      <c r="AN8" s="302">
        <f>'Reading.5.24'!AM8</f>
        <v>396</v>
      </c>
      <c r="AO8" s="189">
        <f t="shared" si="10"/>
        <v>286.45161290322579</v>
      </c>
      <c r="AP8" s="34"/>
      <c r="AQ8" s="248">
        <f t="shared" si="11"/>
        <v>2056</v>
      </c>
      <c r="AR8" s="244">
        <f>'Reading.5.24'!AQ8</f>
        <v>1900</v>
      </c>
      <c r="AS8" s="34"/>
      <c r="AT8" s="552">
        <v>7602.51</v>
      </c>
      <c r="AU8" s="191">
        <f t="shared" ref="AU8:AU9" si="80">(AT8-AT7)*4000</f>
        <v>6040.0000000008731</v>
      </c>
      <c r="AV8" s="553">
        <f t="shared" ref="AV8:AV9" si="81">+X8/SQRT(((POWER((X8),2)+(POWER((AU8),2)))))</f>
        <v>0.98710094955708239</v>
      </c>
      <c r="AW8" s="34"/>
      <c r="AX8" s="187"/>
      <c r="AY8" s="245">
        <f>'Reading.5.24'!X8</f>
        <v>36800.000000017462</v>
      </c>
      <c r="AZ8" s="245">
        <f>'Reading.5.24'!Y8</f>
        <v>37279.999999998836</v>
      </c>
      <c r="BA8" s="246">
        <f t="shared" ref="BA8:BA9" si="82">AY8+AZ8</f>
        <v>74080.000000016298</v>
      </c>
      <c r="BC8" s="554">
        <v>27</v>
      </c>
      <c r="BD8" s="555">
        <v>38</v>
      </c>
      <c r="BE8" s="556">
        <v>50</v>
      </c>
      <c r="BF8" s="557">
        <v>25</v>
      </c>
      <c r="BG8" s="212">
        <v>80</v>
      </c>
      <c r="BH8" s="555">
        <f>'Reading.5.24'!BD8</f>
        <v>17</v>
      </c>
      <c r="BI8" s="555">
        <f>'Reading.5.24'!BE8</f>
        <v>14</v>
      </c>
      <c r="BJ8" s="555">
        <f>'Reading.5.24'!BF8</f>
        <v>48</v>
      </c>
      <c r="BL8" s="149">
        <v>526</v>
      </c>
      <c r="BN8" s="575" t="str">
        <f>'Reading.5.24'!BN6</f>
        <v>Sold</v>
      </c>
      <c r="BP8" s="33">
        <v>81863</v>
      </c>
      <c r="BQ8" s="33">
        <f t="shared" ref="BQ8:BQ9" si="83">BP8-BP7</f>
        <v>41</v>
      </c>
      <c r="BR8" s="232">
        <f>'Reading.5.24'!BQ8</f>
        <v>35</v>
      </c>
      <c r="BT8" s="33">
        <v>98000</v>
      </c>
      <c r="BU8" s="33">
        <f t="shared" ref="BU8:BU9" si="84">BT8-BT7</f>
        <v>53</v>
      </c>
      <c r="BV8" s="232">
        <f>'Reading.5.24'!BU8</f>
        <v>40</v>
      </c>
      <c r="BX8" s="33">
        <v>4317</v>
      </c>
      <c r="BY8" s="33">
        <f t="shared" ref="BY8:BY9" si="85">BX8-BX7</f>
        <v>0</v>
      </c>
      <c r="BZ8" s="232">
        <f>'Reading.5.24'!BY8</f>
        <v>0</v>
      </c>
      <c r="CB8" s="33">
        <v>250440</v>
      </c>
      <c r="CC8" s="33">
        <f t="shared" ref="CC8:CC9" si="86">CB8-CB7</f>
        <v>40</v>
      </c>
      <c r="CD8" s="232">
        <f>'Reading.5.24'!CC8</f>
        <v>30</v>
      </c>
      <c r="CF8" s="33">
        <v>9575</v>
      </c>
      <c r="CG8" s="33">
        <f t="shared" ref="CG8:CG9" si="87">CF8-CF7</f>
        <v>15</v>
      </c>
      <c r="CH8" s="232">
        <f>'Reading.5.24'!CG8</f>
        <v>5</v>
      </c>
      <c r="CI8" s="33">
        <v>19771</v>
      </c>
      <c r="CJ8" s="33">
        <f t="shared" ref="CJ8:CJ9" si="88">CI8-CI7</f>
        <v>0</v>
      </c>
      <c r="CK8" s="232">
        <f>'Reading.5.24'!CJ8</f>
        <v>0</v>
      </c>
      <c r="CM8" s="33">
        <f t="shared" ref="CM8:CM9" si="89">BQ8+BU8+BY8+CC8+CJ8</f>
        <v>134</v>
      </c>
      <c r="CN8" s="33">
        <f t="shared" ref="CN8:CN9" si="90">BR8+BV8+BZ8+CD8+CK8</f>
        <v>105</v>
      </c>
      <c r="CP8" s="33">
        <v>101690</v>
      </c>
      <c r="CQ8" s="33">
        <f t="shared" ref="CQ8:CQ9" si="91">CP8-CP7</f>
        <v>590</v>
      </c>
      <c r="CR8" s="134">
        <f t="shared" ref="CR8:CR9" si="92">CQ8/G8</f>
        <v>1.0243055555555556</v>
      </c>
      <c r="CS8" s="232">
        <f>'Reading.5.24'!CN8</f>
        <v>157</v>
      </c>
      <c r="CT8" s="232">
        <f>'Reading.5.24'!CO8</f>
        <v>0</v>
      </c>
      <c r="CV8" s="33">
        <v>470</v>
      </c>
      <c r="CW8" s="33">
        <f t="shared" ref="CW8:CW9" si="93">CV8-CV7</f>
        <v>2</v>
      </c>
      <c r="CX8" s="470">
        <f>'Reading.5.24'!CW8</f>
        <v>2</v>
      </c>
      <c r="CZ8" s="33">
        <v>2559</v>
      </c>
      <c r="DA8" s="33">
        <f t="shared" ref="DA8:DA9" si="94">CZ8-CZ7</f>
        <v>4</v>
      </c>
      <c r="DB8" s="232">
        <f>'Reading.5.24'!DA8</f>
        <v>5</v>
      </c>
      <c r="DD8" s="33">
        <v>1771665</v>
      </c>
      <c r="DE8" s="33">
        <f t="shared" ref="DE8:DE9" si="95">DD8-DD7</f>
        <v>916</v>
      </c>
      <c r="DF8" s="232">
        <f>'Reading.5.24'!DE8</f>
        <v>810</v>
      </c>
      <c r="DH8" s="33">
        <v>4008224</v>
      </c>
      <c r="DI8" s="33">
        <f t="shared" ref="DI8:DI9" si="96">DH8-DH7</f>
        <v>1931</v>
      </c>
      <c r="DJ8" s="232">
        <f>'Reading.5.24'!DI8</f>
        <v>1903</v>
      </c>
      <c r="DL8" s="33">
        <v>3424919</v>
      </c>
      <c r="DM8" s="33">
        <f t="shared" ref="DM8:DM9" si="97">DL8-DL7</f>
        <v>1595</v>
      </c>
      <c r="DN8" s="232">
        <f>'Reading.5.24'!DM8</f>
        <v>33</v>
      </c>
      <c r="DP8" s="33">
        <v>2954025</v>
      </c>
      <c r="DQ8" s="33">
        <f t="shared" ref="DQ8:DQ9" si="98">DP8-DP7</f>
        <v>1473</v>
      </c>
      <c r="DR8" s="232">
        <f>'Reading.5.24'!DQ8</f>
        <v>1973</v>
      </c>
      <c r="DT8" s="33">
        <v>3596112</v>
      </c>
      <c r="DU8" s="33">
        <f t="shared" ref="DU8:DU9" si="99">DT8-DT7</f>
        <v>1243</v>
      </c>
      <c r="DV8" s="232">
        <f>'Reading.5.24'!DU8</f>
        <v>2614</v>
      </c>
      <c r="DW8" s="558"/>
      <c r="DX8" s="33">
        <v>720</v>
      </c>
      <c r="DZ8" s="33">
        <f t="shared" ref="DZ8:DZ9" si="100">DM8+DQ8+DU8+DX8</f>
        <v>5031</v>
      </c>
      <c r="EA8" s="232">
        <f>'Reading.5.24'!DZ8</f>
        <v>5340</v>
      </c>
      <c r="EC8" s="190">
        <f t="shared" ref="EC8:EC9" si="101">C8*5.2</f>
        <v>3811.6</v>
      </c>
      <c r="ED8" s="263">
        <f>'Reading.5.24'!EC8</f>
        <v>3073.2000000000003</v>
      </c>
      <c r="EF8" s="33">
        <v>72174</v>
      </c>
      <c r="EG8" s="269">
        <f t="shared" ref="EG8:EG9" si="102">EF8-EF7</f>
        <v>90</v>
      </c>
      <c r="EH8" s="232">
        <f>'Reading.5.24'!EG8</f>
        <v>61</v>
      </c>
      <c r="EJ8" s="33">
        <v>33518</v>
      </c>
      <c r="EK8" s="269">
        <f t="shared" ref="EK8:EK9" si="103">EJ8-EJ7</f>
        <v>26</v>
      </c>
      <c r="EL8" s="232">
        <f>'Reading.5.24'!EK8</f>
        <v>24</v>
      </c>
      <c r="EN8" s="149">
        <v>42123</v>
      </c>
      <c r="EO8" s="464">
        <v>43395</v>
      </c>
      <c r="EP8" s="559">
        <v>41144</v>
      </c>
      <c r="EQ8" s="468">
        <f t="shared" ref="EQ8:EQ9" si="104">(EN8-EN7)+(EO8-EO7)+(EP8-EP7)</f>
        <v>544</v>
      </c>
      <c r="ES8" s="149">
        <v>8051</v>
      </c>
      <c r="ET8" s="149">
        <f t="shared" ref="ET8:ET9" si="105">+ES8-ES7</f>
        <v>32</v>
      </c>
    </row>
    <row r="9" spans="1:405" x14ac:dyDescent="0.2">
      <c r="A9" s="275">
        <v>45781</v>
      </c>
      <c r="B9" s="33">
        <v>525696</v>
      </c>
      <c r="C9" s="33">
        <f t="shared" si="71"/>
        <v>539</v>
      </c>
      <c r="D9" s="546"/>
      <c r="E9" s="234">
        <v>825</v>
      </c>
      <c r="F9" s="547">
        <f t="shared" si="72"/>
        <v>685</v>
      </c>
      <c r="G9" s="33">
        <f>F9+ET9</f>
        <v>719</v>
      </c>
      <c r="H9" s="186">
        <f>'Reading.5.24'!G9</f>
        <v>617</v>
      </c>
      <c r="I9" s="183"/>
      <c r="J9" s="546">
        <v>226052</v>
      </c>
      <c r="K9" s="185">
        <f t="shared" si="73"/>
        <v>224.06400000000002</v>
      </c>
      <c r="L9" s="241">
        <f>'Reading.5.24'!K9</f>
        <v>186.72</v>
      </c>
      <c r="M9" s="184"/>
      <c r="N9" s="546">
        <v>775417</v>
      </c>
      <c r="O9" s="185">
        <f t="shared" si="74"/>
        <v>668.45</v>
      </c>
      <c r="P9" s="241">
        <f>'Reading.5.24'!O9</f>
        <v>553.20000000000005</v>
      </c>
      <c r="Q9" s="34"/>
      <c r="R9" s="546">
        <v>65800</v>
      </c>
      <c r="S9" s="33"/>
      <c r="T9" s="33">
        <f t="shared" si="75"/>
        <v>0</v>
      </c>
      <c r="U9" s="241">
        <f>'Reading.5.24'!T9</f>
        <v>0</v>
      </c>
      <c r="V9" s="34"/>
      <c r="W9" s="548">
        <v>49213.86</v>
      </c>
      <c r="X9" s="185">
        <f t="shared" si="76"/>
        <v>37239.999999990687</v>
      </c>
      <c r="Y9" s="241">
        <f>'Reading.5.24'!X9</f>
        <v>34879.999999975553</v>
      </c>
      <c r="Z9" s="34"/>
      <c r="AA9" s="249">
        <v>536130</v>
      </c>
      <c r="AB9" s="185">
        <f t="shared" si="77"/>
        <v>0</v>
      </c>
      <c r="AC9" s="241">
        <f>'Reading.5.24'!AB9</f>
        <v>0</v>
      </c>
      <c r="AD9" s="34"/>
      <c r="AE9" s="243">
        <f t="shared" si="78"/>
        <v>37239.999999990687</v>
      </c>
      <c r="AF9" s="244">
        <f>'Reading.5.24'!AE9</f>
        <v>34879.999999975553</v>
      </c>
      <c r="AG9" s="242">
        <f t="shared" si="8"/>
        <v>38659.096774193546</v>
      </c>
      <c r="AH9" s="34"/>
      <c r="AI9" s="549">
        <v>0.74329999999999996</v>
      </c>
      <c r="AJ9" s="188">
        <f>'Reading.5.24'!AI9</f>
        <v>0.6179</v>
      </c>
      <c r="AK9" s="550">
        <v>0.54500000000000004</v>
      </c>
      <c r="AL9" s="34"/>
      <c r="AM9" s="551">
        <f t="shared" si="79"/>
        <v>390.97579999999999</v>
      </c>
      <c r="AN9" s="302">
        <f>'Reading.5.24'!AM9</f>
        <v>325</v>
      </c>
      <c r="AO9" s="189">
        <f t="shared" si="10"/>
        <v>286.45161290322579</v>
      </c>
      <c r="AP9" s="34"/>
      <c r="AQ9" s="248">
        <f>514*4</f>
        <v>2056</v>
      </c>
      <c r="AR9" s="244">
        <f>'Reading.5.24'!AQ9</f>
        <v>1900</v>
      </c>
      <c r="AS9" s="34"/>
      <c r="AT9" s="552">
        <v>7603.86</v>
      </c>
      <c r="AU9" s="191">
        <f t="shared" si="80"/>
        <v>5399.9999999978172</v>
      </c>
      <c r="AV9" s="553">
        <f t="shared" si="81"/>
        <v>0.98964966219739214</v>
      </c>
      <c r="AW9" s="34"/>
      <c r="AX9" s="187"/>
      <c r="AY9" s="245">
        <f>'Reading.5.24'!X9</f>
        <v>34879.999999975553</v>
      </c>
      <c r="AZ9" s="245">
        <f>'Reading.5.24'!Y9</f>
        <v>34080.000000016298</v>
      </c>
      <c r="BA9" s="246">
        <f t="shared" si="82"/>
        <v>68959.999999991851</v>
      </c>
      <c r="BC9" s="554">
        <v>27</v>
      </c>
      <c r="BD9" s="555">
        <v>38</v>
      </c>
      <c r="BE9" s="556">
        <v>50</v>
      </c>
      <c r="BF9" s="557">
        <v>25</v>
      </c>
      <c r="BG9" s="212">
        <v>80</v>
      </c>
      <c r="BH9" s="555">
        <f>'Reading.5.24'!BD9</f>
        <v>18</v>
      </c>
      <c r="BI9" s="555">
        <f>'Reading.5.24'!BE9</f>
        <v>14</v>
      </c>
      <c r="BJ9" s="555">
        <f>'Reading.5.24'!BF9</f>
        <v>52</v>
      </c>
      <c r="BL9" s="149">
        <v>526</v>
      </c>
      <c r="BN9" s="575">
        <f>'Reading.5.24'!BN7</f>
        <v>0</v>
      </c>
      <c r="BP9" s="33">
        <v>81899</v>
      </c>
      <c r="BQ9" s="33">
        <f t="shared" si="83"/>
        <v>36</v>
      </c>
      <c r="BR9" s="232">
        <f>'Reading.5.24'!BQ9</f>
        <v>31</v>
      </c>
      <c r="BT9" s="33">
        <v>98066</v>
      </c>
      <c r="BU9" s="33">
        <f t="shared" si="84"/>
        <v>66</v>
      </c>
      <c r="BV9" s="232">
        <f>'Reading.5.24'!BU9</f>
        <v>33</v>
      </c>
      <c r="BX9" s="33">
        <v>4317</v>
      </c>
      <c r="BY9" s="33">
        <f t="shared" si="85"/>
        <v>0</v>
      </c>
      <c r="BZ9" s="232">
        <f>'Reading.5.24'!BY9</f>
        <v>0</v>
      </c>
      <c r="CB9" s="33">
        <v>250480</v>
      </c>
      <c r="CC9" s="33">
        <f t="shared" si="86"/>
        <v>40</v>
      </c>
      <c r="CD9" s="232">
        <f>'Reading.5.24'!CC9</f>
        <v>40</v>
      </c>
      <c r="CF9" s="33">
        <v>9585</v>
      </c>
      <c r="CG9" s="33">
        <f t="shared" si="87"/>
        <v>10</v>
      </c>
      <c r="CH9" s="232">
        <f>'Reading.5.24'!CG9</f>
        <v>5</v>
      </c>
      <c r="CI9" s="33">
        <v>19771</v>
      </c>
      <c r="CJ9" s="33">
        <f t="shared" si="88"/>
        <v>0</v>
      </c>
      <c r="CK9" s="232">
        <f>'Reading.5.24'!CJ9</f>
        <v>0</v>
      </c>
      <c r="CM9" s="33">
        <f t="shared" si="89"/>
        <v>142</v>
      </c>
      <c r="CN9" s="33">
        <f t="shared" si="90"/>
        <v>104</v>
      </c>
      <c r="CP9" s="33">
        <v>102230</v>
      </c>
      <c r="CQ9" s="33">
        <f t="shared" si="91"/>
        <v>540</v>
      </c>
      <c r="CR9" s="134">
        <f t="shared" si="92"/>
        <v>0.75104311543810853</v>
      </c>
      <c r="CS9" s="232">
        <f>'Reading.5.24'!CN9</f>
        <v>312</v>
      </c>
      <c r="CT9" s="232">
        <f>'Reading.5.24'!CO9</f>
        <v>0</v>
      </c>
      <c r="CV9" s="33">
        <v>471</v>
      </c>
      <c r="CW9" s="33">
        <f t="shared" si="93"/>
        <v>1</v>
      </c>
      <c r="CX9" s="470">
        <f>'Reading.5.24'!CW9</f>
        <v>2</v>
      </c>
      <c r="CZ9" s="33">
        <v>2563</v>
      </c>
      <c r="DA9" s="33">
        <f t="shared" si="94"/>
        <v>4</v>
      </c>
      <c r="DB9" s="232">
        <f>'Reading.5.24'!DA9</f>
        <v>5</v>
      </c>
      <c r="DD9" s="33">
        <v>1772567</v>
      </c>
      <c r="DE9" s="33">
        <f t="shared" si="95"/>
        <v>902</v>
      </c>
      <c r="DF9" s="232">
        <f>'Reading.5.24'!DE9</f>
        <v>1116</v>
      </c>
      <c r="DH9" s="33">
        <v>4010194</v>
      </c>
      <c r="DI9" s="33">
        <f t="shared" si="96"/>
        <v>1970</v>
      </c>
      <c r="DJ9" s="232">
        <f>'Reading.5.24'!DI9</f>
        <v>1821</v>
      </c>
      <c r="DL9" s="33">
        <v>3426463</v>
      </c>
      <c r="DM9" s="33">
        <f t="shared" si="97"/>
        <v>1544</v>
      </c>
      <c r="DN9" s="232">
        <f>'Reading.5.24'!DM9</f>
        <v>15</v>
      </c>
      <c r="DP9" s="33">
        <v>2955419</v>
      </c>
      <c r="DQ9" s="33">
        <f t="shared" si="98"/>
        <v>1394</v>
      </c>
      <c r="DR9" s="232">
        <f>'Reading.5.24'!DQ9</f>
        <v>1907</v>
      </c>
      <c r="DT9" s="33">
        <v>3597401</v>
      </c>
      <c r="DU9" s="33">
        <f t="shared" si="99"/>
        <v>1289</v>
      </c>
      <c r="DV9" s="232">
        <f>'Reading.5.24'!DU9</f>
        <v>2409</v>
      </c>
      <c r="DW9" s="558"/>
      <c r="DX9" s="33">
        <v>720</v>
      </c>
      <c r="DZ9" s="33">
        <f t="shared" si="100"/>
        <v>4947</v>
      </c>
      <c r="EA9" s="232">
        <f>'Reading.5.24'!DZ9</f>
        <v>5051</v>
      </c>
      <c r="EC9" s="190">
        <f t="shared" si="101"/>
        <v>2802.8</v>
      </c>
      <c r="ED9" s="263">
        <f>'Reading.5.24'!EC9</f>
        <v>3208.4</v>
      </c>
      <c r="EF9" s="33">
        <v>72248</v>
      </c>
      <c r="EG9" s="269">
        <f t="shared" si="102"/>
        <v>74</v>
      </c>
      <c r="EH9" s="232">
        <f>'Reading.5.24'!EG9</f>
        <v>60</v>
      </c>
      <c r="EJ9" s="33">
        <v>33543</v>
      </c>
      <c r="EK9" s="269">
        <f t="shared" si="103"/>
        <v>25</v>
      </c>
      <c r="EL9" s="232">
        <f>'Reading.5.24'!EK9</f>
        <v>23</v>
      </c>
      <c r="EN9" s="149">
        <v>42595</v>
      </c>
      <c r="EO9" s="464">
        <v>43400</v>
      </c>
      <c r="EP9" s="559">
        <v>41352</v>
      </c>
      <c r="EQ9" s="468">
        <f t="shared" si="104"/>
        <v>685</v>
      </c>
      <c r="ES9" s="149">
        <v>8085</v>
      </c>
      <c r="ET9" s="149">
        <f t="shared" si="105"/>
        <v>34</v>
      </c>
    </row>
    <row r="10" spans="1:405" x14ac:dyDescent="0.2">
      <c r="A10" s="275">
        <v>45782</v>
      </c>
      <c r="B10" s="33">
        <v>526432</v>
      </c>
      <c r="C10" s="33">
        <f t="shared" ref="C10" si="106">B10-B9</f>
        <v>736</v>
      </c>
      <c r="D10" s="546"/>
      <c r="E10" s="234">
        <v>880</v>
      </c>
      <c r="F10" s="547">
        <f t="shared" ref="F10" si="107">EQ10</f>
        <v>655</v>
      </c>
      <c r="G10" s="33">
        <f>F10+ET10</f>
        <v>688</v>
      </c>
      <c r="H10" s="186">
        <f>'Reading.5.24'!G10</f>
        <v>506</v>
      </c>
      <c r="I10" s="183"/>
      <c r="J10" s="546">
        <v>226107</v>
      </c>
      <c r="K10" s="185">
        <f t="shared" ref="K10" si="108">(J10-J9)*4.668</f>
        <v>256.74</v>
      </c>
      <c r="L10" s="241">
        <f>'Reading.5.24'!K10</f>
        <v>196.05600000000001</v>
      </c>
      <c r="M10" s="184"/>
      <c r="N10" s="546">
        <v>775560</v>
      </c>
      <c r="O10" s="185">
        <f t="shared" ref="O10" si="109">(N10-N9)*4.61</f>
        <v>659.23</v>
      </c>
      <c r="P10" s="241">
        <f>'Reading.5.24'!O10</f>
        <v>534.76</v>
      </c>
      <c r="Q10" s="34"/>
      <c r="R10" s="546">
        <v>65800</v>
      </c>
      <c r="S10" s="33"/>
      <c r="T10" s="33">
        <f t="shared" ref="T10" si="110">(R9+S9)-R10</f>
        <v>0</v>
      </c>
      <c r="U10" s="241">
        <f>'Reading.5.24'!T10</f>
        <v>0</v>
      </c>
      <c r="V10" s="34"/>
      <c r="W10" s="548">
        <v>49221.94</v>
      </c>
      <c r="X10" s="185">
        <f t="shared" ref="X10" si="111">(W10-W9)*4000</f>
        <v>32320.000000006985</v>
      </c>
      <c r="Y10" s="241">
        <f>'Reading.5.24'!X10</f>
        <v>36240.000000019791</v>
      </c>
      <c r="Z10" s="34"/>
      <c r="AA10" s="249">
        <v>536130</v>
      </c>
      <c r="AB10" s="185">
        <f t="shared" ref="AB10" si="112">AA10-AA9</f>
        <v>0</v>
      </c>
      <c r="AC10" s="241">
        <f>'Reading.5.24'!AB10</f>
        <v>0</v>
      </c>
      <c r="AD10" s="34"/>
      <c r="AE10" s="243">
        <f t="shared" ref="AE10" si="113">+X10+AB10</f>
        <v>32320.000000006985</v>
      </c>
      <c r="AF10" s="244">
        <f>'Reading.5.24'!AE10</f>
        <v>36240.000000019791</v>
      </c>
      <c r="AG10" s="242">
        <f t="shared" si="8"/>
        <v>38659.096774193546</v>
      </c>
      <c r="AH10" s="34"/>
      <c r="AI10" s="549">
        <v>0.71860000000000002</v>
      </c>
      <c r="AJ10" s="188">
        <f>'Reading.5.24'!AI10</f>
        <v>0.55700000000000005</v>
      </c>
      <c r="AK10" s="550">
        <v>0.54500000000000004</v>
      </c>
      <c r="AL10" s="34"/>
      <c r="AM10" s="551">
        <f t="shared" ref="AM10" si="114">AI10*526</f>
        <v>377.98360000000002</v>
      </c>
      <c r="AN10" s="302">
        <f>'Reading.5.24'!AM10</f>
        <v>293</v>
      </c>
      <c r="AO10" s="189">
        <f t="shared" si="10"/>
        <v>286.45161290322579</v>
      </c>
      <c r="AP10" s="34"/>
      <c r="AQ10" s="248">
        <f>514*4</f>
        <v>2056</v>
      </c>
      <c r="AR10" s="244">
        <f>'Reading.5.24'!AQ10</f>
        <v>1900</v>
      </c>
      <c r="AS10" s="34"/>
      <c r="AT10" s="552">
        <v>7605.27</v>
      </c>
      <c r="AU10" s="191">
        <f t="shared" ref="AU10" si="115">(AT10-AT9)*4000</f>
        <v>5640.0000000030559</v>
      </c>
      <c r="AV10" s="553">
        <f t="shared" ref="AV10" si="116">+X10/SQRT(((POWER((X10),2)+(POWER((AU10),2)))))</f>
        <v>0.98511316146868921</v>
      </c>
      <c r="AW10" s="34"/>
      <c r="AX10" s="187"/>
      <c r="AY10" s="245">
        <f>'Reading.5.24'!X10</f>
        <v>36240.000000019791</v>
      </c>
      <c r="AZ10" s="245">
        <f>'Reading.5.24'!Y10</f>
        <v>37760.000000009313</v>
      </c>
      <c r="BA10" s="246">
        <f t="shared" ref="BA10" si="117">AY10+AZ10</f>
        <v>74000.000000029104</v>
      </c>
      <c r="BC10" s="554">
        <v>27</v>
      </c>
      <c r="BD10" s="555">
        <v>38</v>
      </c>
      <c r="BE10" s="556">
        <v>50</v>
      </c>
      <c r="BF10" s="557">
        <v>25</v>
      </c>
      <c r="BG10" s="212">
        <v>80</v>
      </c>
      <c r="BH10" s="555">
        <f>'Reading.5.24'!BD10</f>
        <v>17</v>
      </c>
      <c r="BI10" s="555">
        <f>'Reading.5.24'!BE10</f>
        <v>14</v>
      </c>
      <c r="BJ10" s="555">
        <f>'Reading.5.24'!BF10</f>
        <v>50</v>
      </c>
      <c r="BL10" s="149">
        <v>526</v>
      </c>
      <c r="BN10" s="575">
        <f>'Reading.5.24'!BN8</f>
        <v>0</v>
      </c>
      <c r="BP10" s="33">
        <v>81944</v>
      </c>
      <c r="BQ10" s="33">
        <f t="shared" ref="BQ10" si="118">BP10-BP9</f>
        <v>45</v>
      </c>
      <c r="BR10" s="232">
        <f>'Reading.5.24'!BQ10</f>
        <v>33</v>
      </c>
      <c r="BT10" s="33">
        <v>98125</v>
      </c>
      <c r="BU10" s="33">
        <f t="shared" ref="BU10" si="119">BT10-BT9</f>
        <v>59</v>
      </c>
      <c r="BV10" s="232">
        <f>'Reading.5.24'!BU10</f>
        <v>43</v>
      </c>
      <c r="BX10" s="33">
        <v>4317</v>
      </c>
      <c r="BY10" s="33">
        <f t="shared" ref="BY10" si="120">BX10-BX9</f>
        <v>0</v>
      </c>
      <c r="BZ10" s="232">
        <f>'Reading.5.24'!BY10</f>
        <v>0</v>
      </c>
      <c r="CB10" s="33">
        <v>250580</v>
      </c>
      <c r="CC10" s="33">
        <f t="shared" ref="CC10" si="121">CB10-CB9</f>
        <v>100</v>
      </c>
      <c r="CD10" s="232">
        <f>'Reading.5.24'!CC10</f>
        <v>40</v>
      </c>
      <c r="CF10" s="33">
        <v>9595</v>
      </c>
      <c r="CG10" s="33">
        <f t="shared" ref="CG10" si="122">CF10-CF9</f>
        <v>10</v>
      </c>
      <c r="CH10" s="232">
        <f>'Reading.5.24'!CG10</f>
        <v>5</v>
      </c>
      <c r="CI10" s="33">
        <v>19771</v>
      </c>
      <c r="CJ10" s="33">
        <f t="shared" ref="CJ10" si="123">CI10-CI9</f>
        <v>0</v>
      </c>
      <c r="CK10" s="232">
        <f>'Reading.5.24'!CJ10</f>
        <v>0</v>
      </c>
      <c r="CM10" s="33">
        <f t="shared" ref="CM10" si="124">BQ10+BU10+BY10+CC10+CJ10</f>
        <v>204</v>
      </c>
      <c r="CN10" s="33">
        <f t="shared" ref="CN10" si="125">BR10+BV10+BZ10+CD10+CK10</f>
        <v>116</v>
      </c>
      <c r="CP10" s="33">
        <v>102770</v>
      </c>
      <c r="CQ10" s="33">
        <f t="shared" ref="CQ10" si="126">CP10-CP9</f>
        <v>540</v>
      </c>
      <c r="CR10" s="134">
        <f t="shared" ref="CR10" si="127">CQ10/G10</f>
        <v>0.78488372093023251</v>
      </c>
      <c r="CS10" s="232">
        <f>'Reading.5.24'!CN10</f>
        <v>184</v>
      </c>
      <c r="CT10" s="232">
        <f>'Reading.5.24'!CO10</f>
        <v>0</v>
      </c>
      <c r="CV10" s="33">
        <v>473</v>
      </c>
      <c r="CW10" s="33">
        <f t="shared" ref="CW10" si="128">CV10-CV9</f>
        <v>2</v>
      </c>
      <c r="CX10" s="470">
        <f>'Reading.5.24'!CW10</f>
        <v>1</v>
      </c>
      <c r="CZ10" s="33">
        <v>2568</v>
      </c>
      <c r="DA10" s="33">
        <f t="shared" ref="DA10" si="129">CZ10-CZ9</f>
        <v>5</v>
      </c>
      <c r="DB10" s="232">
        <f>'Reading.5.24'!DA10</f>
        <v>4</v>
      </c>
      <c r="DD10" s="33">
        <v>1773398</v>
      </c>
      <c r="DE10" s="33">
        <f t="shared" ref="DE10" si="130">DD10-DD9</f>
        <v>831</v>
      </c>
      <c r="DF10" s="232">
        <f>'Reading.5.24'!DE10</f>
        <v>1106</v>
      </c>
      <c r="DH10" s="33">
        <v>4012159</v>
      </c>
      <c r="DI10" s="33">
        <f t="shared" ref="DI10" si="131">DH10-DH9</f>
        <v>1965</v>
      </c>
      <c r="DJ10" s="232">
        <f>'Reading.5.24'!DI10</f>
        <v>1915</v>
      </c>
      <c r="DL10" s="33">
        <v>3428012</v>
      </c>
      <c r="DM10" s="33">
        <f t="shared" ref="DM10" si="132">DL10-DL9</f>
        <v>1549</v>
      </c>
      <c r="DN10" s="232">
        <f>'Reading.5.24'!DM10</f>
        <v>29</v>
      </c>
      <c r="DP10" s="33">
        <v>2956718</v>
      </c>
      <c r="DQ10" s="33">
        <f t="shared" ref="DQ10" si="133">DP10-DP9</f>
        <v>1299</v>
      </c>
      <c r="DR10" s="232">
        <f>'Reading.5.24'!DQ10</f>
        <v>709</v>
      </c>
      <c r="DT10" s="33">
        <v>3598590</v>
      </c>
      <c r="DU10" s="33">
        <f t="shared" ref="DU10" si="134">DT10-DT9</f>
        <v>1189</v>
      </c>
      <c r="DV10" s="232">
        <f>'Reading.5.24'!DU10</f>
        <v>3500</v>
      </c>
      <c r="DW10" s="558"/>
      <c r="DX10" s="33">
        <v>720</v>
      </c>
      <c r="DZ10" s="33">
        <f t="shared" ref="DZ10" si="135">DM10+DQ10+DU10+DX10</f>
        <v>4757</v>
      </c>
      <c r="EA10" s="232">
        <f>'Reading.5.24'!DZ10</f>
        <v>4958</v>
      </c>
      <c r="EC10" s="190">
        <f t="shared" ref="EC10" si="136">C10*5.2</f>
        <v>3827.2000000000003</v>
      </c>
      <c r="ED10" s="263">
        <f>'Reading.5.24'!EC10</f>
        <v>2631.2000000000003</v>
      </c>
      <c r="EF10" s="33">
        <v>72324</v>
      </c>
      <c r="EG10" s="269">
        <f t="shared" ref="EG10" si="137">EF10-EF9</f>
        <v>76</v>
      </c>
      <c r="EH10" s="232">
        <f>'Reading.5.24'!EG10</f>
        <v>46</v>
      </c>
      <c r="EJ10" s="33">
        <v>33570</v>
      </c>
      <c r="EK10" s="269">
        <f t="shared" ref="EK10" si="138">EJ10-EJ9</f>
        <v>27</v>
      </c>
      <c r="EL10" s="232">
        <f>'Reading.5.24'!EK10</f>
        <v>26</v>
      </c>
      <c r="EN10" s="149">
        <v>42918</v>
      </c>
      <c r="EO10" s="464">
        <v>43401</v>
      </c>
      <c r="EP10" s="559">
        <v>41683</v>
      </c>
      <c r="EQ10" s="468">
        <f t="shared" ref="EQ10" si="139">(EN10-EN9)+(EO10-EO9)+(EP10-EP9)</f>
        <v>655</v>
      </c>
      <c r="ES10" s="149">
        <v>8118</v>
      </c>
      <c r="ET10" s="149">
        <f t="shared" ref="ET10" si="140">+ES10-ES9</f>
        <v>33</v>
      </c>
      <c r="OO10" s="560"/>
    </row>
    <row r="11" spans="1:405" x14ac:dyDescent="0.2">
      <c r="A11" s="275">
        <v>45783</v>
      </c>
      <c r="B11" s="33">
        <v>527024</v>
      </c>
      <c r="C11" s="33">
        <f t="shared" ref="C11" si="141">B11-B10</f>
        <v>592</v>
      </c>
      <c r="D11" s="546"/>
      <c r="E11" s="234">
        <v>860</v>
      </c>
      <c r="F11" s="547">
        <f t="shared" ref="F11" si="142">EQ11</f>
        <v>610</v>
      </c>
      <c r="G11" s="33">
        <f>F11+ET11</f>
        <v>644</v>
      </c>
      <c r="H11" s="186">
        <f>'Reading.5.24'!G11</f>
        <v>570</v>
      </c>
      <c r="I11" s="183"/>
      <c r="J11" s="546">
        <v>226159</v>
      </c>
      <c r="K11" s="185">
        <f t="shared" ref="K11" si="143">(J11-J10)*4.668</f>
        <v>242.73600000000002</v>
      </c>
      <c r="L11" s="241">
        <f>'Reading.5.24'!K11</f>
        <v>154.04400000000001</v>
      </c>
      <c r="M11" s="184"/>
      <c r="N11" s="546">
        <v>775692</v>
      </c>
      <c r="O11" s="185">
        <f t="shared" ref="O11" si="144">(N11-N10)*4.61</f>
        <v>608.5200000000001</v>
      </c>
      <c r="P11" s="241">
        <f>'Reading.5.24'!O11</f>
        <v>507.1</v>
      </c>
      <c r="Q11" s="34"/>
      <c r="R11" s="546">
        <v>65800</v>
      </c>
      <c r="S11" s="33"/>
      <c r="T11" s="33">
        <f t="shared" ref="T11" si="145">(R10+S10)-R11</f>
        <v>0</v>
      </c>
      <c r="U11" s="241">
        <f>'Reading.5.24'!T11</f>
        <v>0</v>
      </c>
      <c r="V11" s="34"/>
      <c r="W11" s="548">
        <v>49230.87</v>
      </c>
      <c r="X11" s="185">
        <f t="shared" ref="X11" si="146">(W11-W10)*4000</f>
        <v>35720.000000001164</v>
      </c>
      <c r="Y11" s="241">
        <f>'Reading.5.24'!X11</f>
        <v>32199.999999982538</v>
      </c>
      <c r="Z11" s="34"/>
      <c r="AA11" s="249">
        <v>536130</v>
      </c>
      <c r="AB11" s="185">
        <f t="shared" ref="AB11:AB12" si="147">AA11-AA10</f>
        <v>0</v>
      </c>
      <c r="AC11" s="241">
        <f>'Reading.5.24'!AB11</f>
        <v>0</v>
      </c>
      <c r="AD11" s="34"/>
      <c r="AE11" s="243">
        <f t="shared" ref="AE11" si="148">+X11+AB11</f>
        <v>35720.000000001164</v>
      </c>
      <c r="AF11" s="244">
        <f>'Reading.5.24'!AE11</f>
        <v>32199.999999982538</v>
      </c>
      <c r="AG11" s="242">
        <f t="shared" si="8"/>
        <v>38659.096774193546</v>
      </c>
      <c r="AH11" s="34"/>
      <c r="AI11" s="549">
        <v>0.65969999999999995</v>
      </c>
      <c r="AJ11" s="188">
        <f>'Reading.5.24'!AI11</f>
        <v>0.44679999999999997</v>
      </c>
      <c r="AK11" s="550">
        <v>0.54500000000000004</v>
      </c>
      <c r="AL11" s="34"/>
      <c r="AM11" s="551">
        <f t="shared" ref="AM11" si="149">AI11*526</f>
        <v>347.00219999999996</v>
      </c>
      <c r="AN11" s="302">
        <f>'Reading.5.24'!AM11</f>
        <v>235</v>
      </c>
      <c r="AO11" s="189">
        <f t="shared" si="10"/>
        <v>286.45161290322579</v>
      </c>
      <c r="AP11" s="34"/>
      <c r="AQ11" s="248">
        <f>514*4</f>
        <v>2056</v>
      </c>
      <c r="AR11" s="244">
        <f>'Reading.5.24'!AQ11</f>
        <v>1900</v>
      </c>
      <c r="AS11" s="34"/>
      <c r="AT11" s="552">
        <v>7606.71</v>
      </c>
      <c r="AU11" s="191">
        <f t="shared" ref="AU11" si="150">(AT11-AT10)*4000</f>
        <v>5759.9999999983993</v>
      </c>
      <c r="AV11" s="553">
        <f t="shared" ref="AV11" si="151">+X11/SQRT(((POWER((X11),2)+(POWER((AU11),2)))))</f>
        <v>0.98724672628458587</v>
      </c>
      <c r="AW11" s="34"/>
      <c r="AX11" s="187"/>
      <c r="AY11" s="245">
        <f>'Reading.5.24'!X11</f>
        <v>32199.999999982538</v>
      </c>
      <c r="AZ11" s="245">
        <f>'Reading.5.24'!Y11</f>
        <v>37839.999999996508</v>
      </c>
      <c r="BA11" s="246">
        <f t="shared" ref="BA11" si="152">AY11+AZ11</f>
        <v>70039.999999979045</v>
      </c>
      <c r="BC11" s="554">
        <v>27</v>
      </c>
      <c r="BD11" s="555">
        <v>38</v>
      </c>
      <c r="BE11" s="556">
        <v>50</v>
      </c>
      <c r="BF11" s="557">
        <v>25</v>
      </c>
      <c r="BG11" s="212">
        <v>80</v>
      </c>
      <c r="BH11" s="555">
        <f>'Reading.5.24'!BD11</f>
        <v>17</v>
      </c>
      <c r="BI11" s="555">
        <f>'Reading.5.24'!BE11</f>
        <v>14</v>
      </c>
      <c r="BJ11" s="555">
        <f>'Reading.5.24'!BF11</f>
        <v>50</v>
      </c>
      <c r="BL11" s="149">
        <v>526</v>
      </c>
      <c r="BN11" s="575">
        <f>'Reading.5.24'!BN9</f>
        <v>0</v>
      </c>
      <c r="BP11" s="33">
        <v>81989</v>
      </c>
      <c r="BQ11" s="33">
        <f t="shared" ref="BQ11" si="153">BP11-BP10</f>
        <v>45</v>
      </c>
      <c r="BR11" s="232">
        <f>'Reading.5.24'!BQ11</f>
        <v>33</v>
      </c>
      <c r="BT11" s="33">
        <v>98177</v>
      </c>
      <c r="BU11" s="33">
        <f t="shared" ref="BU11" si="154">BT11-BT10</f>
        <v>52</v>
      </c>
      <c r="BV11" s="232">
        <f>'Reading.5.24'!BU11</f>
        <v>42</v>
      </c>
      <c r="BX11" s="33">
        <v>4317</v>
      </c>
      <c r="BY11" s="33">
        <f t="shared" ref="BY11" si="155">BX11-BX10</f>
        <v>0</v>
      </c>
      <c r="BZ11" s="232">
        <f>'Reading.5.24'!BY11</f>
        <v>8</v>
      </c>
      <c r="CB11" s="33">
        <v>250620</v>
      </c>
      <c r="CC11" s="33">
        <f t="shared" ref="CC11" si="156">CB11-CB10</f>
        <v>40</v>
      </c>
      <c r="CD11" s="232">
        <f>'Reading.5.24'!CC11</f>
        <v>30</v>
      </c>
      <c r="CF11" s="33">
        <v>9605</v>
      </c>
      <c r="CG11" s="33">
        <f t="shared" ref="CG11" si="157">CF11-CF10</f>
        <v>10</v>
      </c>
      <c r="CH11" s="232">
        <f>'Reading.5.24'!CG11</f>
        <v>10</v>
      </c>
      <c r="CI11" s="33">
        <v>19771</v>
      </c>
      <c r="CJ11" s="33">
        <f t="shared" ref="CJ11" si="158">CI11-CI10</f>
        <v>0</v>
      </c>
      <c r="CK11" s="232">
        <f>'Reading.5.24'!CJ11</f>
        <v>0</v>
      </c>
      <c r="CM11" s="33">
        <f t="shared" ref="CM11" si="159">BQ11+BU11+BY11+CC11+CJ11</f>
        <v>137</v>
      </c>
      <c r="CN11" s="33">
        <f t="shared" ref="CN11" si="160">BR11+BV11+BZ11+CD11+CK11</f>
        <v>113</v>
      </c>
      <c r="CP11" s="33">
        <v>103330</v>
      </c>
      <c r="CQ11" s="33">
        <f t="shared" ref="CQ11" si="161">CP11-CP10</f>
        <v>560</v>
      </c>
      <c r="CR11" s="134">
        <f t="shared" ref="CR11" si="162">CQ11/G11</f>
        <v>0.86956521739130432</v>
      </c>
      <c r="CS11" s="232">
        <f>'Reading.5.24'!CN11</f>
        <v>121</v>
      </c>
      <c r="CT11" s="232">
        <f>'Reading.5.24'!CO11</f>
        <v>0</v>
      </c>
      <c r="CV11" s="33">
        <v>475</v>
      </c>
      <c r="CW11" s="33">
        <f t="shared" ref="CW11" si="163">CV11-CV10</f>
        <v>2</v>
      </c>
      <c r="CX11" s="470">
        <f>'Reading.5.24'!CW11</f>
        <v>0</v>
      </c>
      <c r="CZ11" s="33">
        <v>2573</v>
      </c>
      <c r="DA11" s="33">
        <f t="shared" ref="DA11" si="164">CZ11-CZ10</f>
        <v>5</v>
      </c>
      <c r="DB11" s="232">
        <f>'Reading.5.24'!DA11</f>
        <v>5</v>
      </c>
      <c r="DD11" s="33">
        <v>1774287</v>
      </c>
      <c r="DE11" s="33">
        <f t="shared" ref="DE11" si="165">DD11-DD10</f>
        <v>889</v>
      </c>
      <c r="DF11" s="232">
        <f>'Reading.5.24'!DE11</f>
        <v>848</v>
      </c>
      <c r="DH11" s="33">
        <v>4014124</v>
      </c>
      <c r="DI11" s="33">
        <f t="shared" ref="DI11" si="166">DH11-DH10</f>
        <v>1965</v>
      </c>
      <c r="DJ11" s="232">
        <f>'Reading.5.24'!DI11</f>
        <v>1724</v>
      </c>
      <c r="DL11" s="33">
        <v>3429523</v>
      </c>
      <c r="DM11" s="33">
        <f t="shared" ref="DM11" si="167">DL11-DL10</f>
        <v>1511</v>
      </c>
      <c r="DN11" s="232">
        <f>'Reading.5.24'!DM11</f>
        <v>2756</v>
      </c>
      <c r="DP11" s="33">
        <v>2958102</v>
      </c>
      <c r="DQ11" s="33">
        <f t="shared" ref="DQ11" si="168">DP11-DP10</f>
        <v>1384</v>
      </c>
      <c r="DR11" s="232">
        <f>'Reading.5.24'!DQ11</f>
        <v>-34</v>
      </c>
      <c r="DT11" s="33">
        <v>3599710</v>
      </c>
      <c r="DU11" s="33">
        <f t="shared" ref="DU11" si="169">DT11-DT10</f>
        <v>1120</v>
      </c>
      <c r="DV11" s="232">
        <f>'Reading.5.24'!DU11</f>
        <v>1064</v>
      </c>
      <c r="DW11" s="558"/>
      <c r="DX11" s="33">
        <v>720</v>
      </c>
      <c r="DZ11" s="33">
        <f t="shared" ref="DZ11" si="170">DM11+DQ11+DU11+DX11</f>
        <v>4735</v>
      </c>
      <c r="EA11" s="232">
        <f>'Reading.5.24'!DZ11</f>
        <v>4506</v>
      </c>
      <c r="EC11" s="190">
        <f t="shared" ref="EC11" si="171">C11*5.2</f>
        <v>3078.4</v>
      </c>
      <c r="ED11" s="263">
        <f>'Reading.5.24'!EC11</f>
        <v>3094</v>
      </c>
      <c r="EF11" s="33">
        <v>72400</v>
      </c>
      <c r="EG11" s="269">
        <f t="shared" ref="EG11" si="172">EF11-EF10</f>
        <v>76</v>
      </c>
      <c r="EH11" s="232">
        <f>'Reading.5.24'!EG11</f>
        <v>24</v>
      </c>
      <c r="EJ11" s="33">
        <v>33597</v>
      </c>
      <c r="EK11" s="269">
        <f t="shared" ref="EK11" si="173">EJ11-EJ10</f>
        <v>27</v>
      </c>
      <c r="EL11" s="232">
        <f>'Reading.5.24'!EK11</f>
        <v>22</v>
      </c>
      <c r="EN11" s="149">
        <v>43209</v>
      </c>
      <c r="EO11" s="464">
        <v>43401</v>
      </c>
      <c r="EP11" s="559">
        <v>42002</v>
      </c>
      <c r="EQ11" s="468">
        <f t="shared" ref="EQ11" si="174">(EN11-EN10)+(EO11-EO10)+(EP11-EP10)</f>
        <v>610</v>
      </c>
      <c r="ES11" s="149">
        <v>8152</v>
      </c>
      <c r="ET11" s="149">
        <f t="shared" ref="ET11" si="175">+ES11-ES10</f>
        <v>34</v>
      </c>
    </row>
    <row r="12" spans="1:405" x14ac:dyDescent="0.2">
      <c r="A12" s="275">
        <v>45784</v>
      </c>
      <c r="B12" s="33">
        <v>527698</v>
      </c>
      <c r="C12" s="33">
        <f t="shared" ref="C12" si="176">B12-B11</f>
        <v>674</v>
      </c>
      <c r="D12" s="546"/>
      <c r="E12" s="234">
        <v>860</v>
      </c>
      <c r="F12" s="547">
        <f t="shared" ref="F12" si="177">EQ12</f>
        <v>674</v>
      </c>
      <c r="G12" s="33">
        <f>F12+ET12</f>
        <v>707</v>
      </c>
      <c r="H12" s="186">
        <f>'Reading.5.24'!G12</f>
        <v>620</v>
      </c>
      <c r="I12" s="183"/>
      <c r="J12" s="546">
        <v>226217</v>
      </c>
      <c r="K12" s="185">
        <f t="shared" ref="K12" si="178">(J12-J11)*4.668</f>
        <v>270.74400000000003</v>
      </c>
      <c r="L12" s="241">
        <f>'Reading.5.24'!K12</f>
        <v>177.38400000000001</v>
      </c>
      <c r="M12" s="184"/>
      <c r="N12" s="546">
        <v>775827</v>
      </c>
      <c r="O12" s="185">
        <f t="shared" ref="O12" si="179">(N12-N11)*4.61</f>
        <v>622.35</v>
      </c>
      <c r="P12" s="241">
        <f>'Reading.5.24'!O12</f>
        <v>525.54000000000008</v>
      </c>
      <c r="Q12" s="34"/>
      <c r="R12" s="546">
        <v>65800</v>
      </c>
      <c r="S12" s="33"/>
      <c r="T12" s="33">
        <f t="shared" ref="T12" si="180">(R11+S11)-R12</f>
        <v>0</v>
      </c>
      <c r="U12" s="241">
        <f>'Reading.5.24'!T12</f>
        <v>0</v>
      </c>
      <c r="V12" s="34"/>
      <c r="W12" s="548">
        <v>49240.65</v>
      </c>
      <c r="X12" s="185">
        <f t="shared" ref="X12" si="181">(W12-W11)*4000</f>
        <v>39119.999999995343</v>
      </c>
      <c r="Y12" s="241">
        <f>'Reading.5.24'!X12</f>
        <v>30880.000000004657</v>
      </c>
      <c r="Z12" s="34"/>
      <c r="AA12" s="249">
        <v>536130</v>
      </c>
      <c r="AB12" s="185">
        <f t="shared" si="147"/>
        <v>0</v>
      </c>
      <c r="AC12" s="241">
        <f>'Reading.5.24'!AB12</f>
        <v>0</v>
      </c>
      <c r="AD12" s="34"/>
      <c r="AE12" s="243">
        <f t="shared" ref="AE12" si="182">+X12+AB12</f>
        <v>39119.999999995343</v>
      </c>
      <c r="AF12" s="244">
        <f>'Reading.5.24'!AE12</f>
        <v>30880.000000004657</v>
      </c>
      <c r="AG12" s="242">
        <f t="shared" si="8"/>
        <v>38659.096774193546</v>
      </c>
      <c r="AH12" s="34"/>
      <c r="AI12" s="549">
        <v>0.84050000000000002</v>
      </c>
      <c r="AJ12" s="188">
        <f>'Reading.5.24'!AI12</f>
        <v>0.43730000000000002</v>
      </c>
      <c r="AK12" s="550">
        <v>0.54500000000000004</v>
      </c>
      <c r="AL12" s="34"/>
      <c r="AM12" s="551">
        <f t="shared" ref="AM12" si="183">AI12*526</f>
        <v>442.10300000000001</v>
      </c>
      <c r="AN12" s="302">
        <f>'Reading.5.24'!AM12</f>
        <v>230</v>
      </c>
      <c r="AO12" s="189">
        <f t="shared" si="10"/>
        <v>286.45161290322579</v>
      </c>
      <c r="AP12" s="34"/>
      <c r="AQ12" s="248">
        <f>514*4</f>
        <v>2056</v>
      </c>
      <c r="AR12" s="244">
        <f>'Reading.5.24'!AQ12</f>
        <v>1900</v>
      </c>
      <c r="AS12" s="34"/>
      <c r="AT12" s="552">
        <v>7608.1</v>
      </c>
      <c r="AU12" s="191">
        <f t="shared" ref="AU12" si="184">(AT12-AT11)*4000</f>
        <v>5560.0000000013097</v>
      </c>
      <c r="AV12" s="553">
        <f t="shared" ref="AV12" si="185">+X12/SQRT(((POWER((X12),2)+(POWER((AU12),2)))))</f>
        <v>0.99005047219194664</v>
      </c>
      <c r="AW12" s="34"/>
      <c r="AX12" s="187"/>
      <c r="AY12" s="245">
        <f>'Reading.5.24'!X12</f>
        <v>30880.000000004657</v>
      </c>
      <c r="AZ12" s="245">
        <f>'Reading.5.24'!Y12</f>
        <v>35839.999999996508</v>
      </c>
      <c r="BA12" s="246">
        <f t="shared" ref="BA12" si="186">AY12+AZ12</f>
        <v>66720.000000001164</v>
      </c>
      <c r="BC12" s="554">
        <v>32</v>
      </c>
      <c r="BD12" s="555">
        <v>22</v>
      </c>
      <c r="BE12" s="556">
        <v>50</v>
      </c>
      <c r="BF12" s="557">
        <v>20</v>
      </c>
      <c r="BG12" s="212">
        <v>80</v>
      </c>
      <c r="BH12" s="555">
        <f>'Reading.5.24'!BD12</f>
        <v>21</v>
      </c>
      <c r="BI12" s="555">
        <f>'Reading.5.24'!BE12</f>
        <v>17</v>
      </c>
      <c r="BJ12" s="555">
        <f>'Reading.5.24'!BF12</f>
        <v>50</v>
      </c>
      <c r="BL12" s="149">
        <v>526</v>
      </c>
      <c r="BN12" s="575">
        <f>'Reading.5.24'!BN10</f>
        <v>0</v>
      </c>
      <c r="BP12" s="33">
        <v>82026</v>
      </c>
      <c r="BQ12" s="33">
        <f t="shared" ref="BQ12" si="187">BP12-BP11</f>
        <v>37</v>
      </c>
      <c r="BR12" s="232">
        <f>'Reading.5.24'!BQ12</f>
        <v>32</v>
      </c>
      <c r="BT12" s="33">
        <v>98233</v>
      </c>
      <c r="BU12" s="33">
        <f t="shared" ref="BU12" si="188">BT12-BT11</f>
        <v>56</v>
      </c>
      <c r="BV12" s="232">
        <f>'Reading.5.24'!BU12</f>
        <v>43</v>
      </c>
      <c r="BX12" s="33">
        <v>4317</v>
      </c>
      <c r="BY12" s="33">
        <f t="shared" ref="BY12" si="189">BX12-BX11</f>
        <v>0</v>
      </c>
      <c r="BZ12" s="232">
        <f>'Reading.5.24'!BY12</f>
        <v>0</v>
      </c>
      <c r="CB12" s="33">
        <v>250660</v>
      </c>
      <c r="CC12" s="33">
        <f t="shared" ref="CC12" si="190">CB12-CB11</f>
        <v>40</v>
      </c>
      <c r="CD12" s="232">
        <f>'Reading.5.24'!CC12</f>
        <v>100</v>
      </c>
      <c r="CF12" s="33">
        <v>9620</v>
      </c>
      <c r="CG12" s="33">
        <f t="shared" ref="CG12" si="191">CF12-CF11</f>
        <v>15</v>
      </c>
      <c r="CH12" s="232">
        <f>'Reading.5.24'!CG12</f>
        <v>5</v>
      </c>
      <c r="CI12" s="33">
        <v>19771</v>
      </c>
      <c r="CJ12" s="33">
        <f t="shared" ref="CJ12" si="192">CI12-CI11</f>
        <v>0</v>
      </c>
      <c r="CK12" s="232">
        <f>'Reading.5.24'!CJ12</f>
        <v>0</v>
      </c>
      <c r="CM12" s="33">
        <f t="shared" ref="CM12" si="193">BQ12+BU12+BY12+CC12+CJ12</f>
        <v>133</v>
      </c>
      <c r="CN12" s="33">
        <f t="shared" ref="CN12" si="194">BR12+BV12+BZ12+CD12+CK12</f>
        <v>175</v>
      </c>
      <c r="CP12" s="33">
        <v>103850</v>
      </c>
      <c r="CQ12" s="33">
        <f t="shared" ref="CQ12" si="195">CP12-CP11</f>
        <v>520</v>
      </c>
      <c r="CR12" s="134">
        <f t="shared" ref="CR12" si="196">CQ12/G12</f>
        <v>0.73550212164073547</v>
      </c>
      <c r="CS12" s="232">
        <f>'Reading.5.24'!CN12</f>
        <v>138</v>
      </c>
      <c r="CT12" s="232">
        <f>'Reading.5.24'!CO12</f>
        <v>0</v>
      </c>
      <c r="CV12" s="33">
        <v>477</v>
      </c>
      <c r="CW12" s="33">
        <f t="shared" ref="CW12" si="197">CV12-CV11</f>
        <v>2</v>
      </c>
      <c r="CX12" s="470">
        <f>'Reading.5.24'!CW12</f>
        <v>1</v>
      </c>
      <c r="CZ12" s="33">
        <v>2576</v>
      </c>
      <c r="DA12" s="33">
        <f t="shared" ref="DA12" si="198">CZ12-CZ11</f>
        <v>3</v>
      </c>
      <c r="DB12" s="232">
        <f>'Reading.5.24'!DA12</f>
        <v>6</v>
      </c>
      <c r="DD12" s="33">
        <v>1775170</v>
      </c>
      <c r="DE12" s="33">
        <f t="shared" ref="DE12" si="199">DD12-DD11</f>
        <v>883</v>
      </c>
      <c r="DF12" s="232">
        <f>'Reading.5.24'!DE12</f>
        <v>890</v>
      </c>
      <c r="DH12" s="33">
        <v>4015584</v>
      </c>
      <c r="DI12" s="33">
        <f t="shared" ref="DI12" si="200">DH12-DH11</f>
        <v>1460</v>
      </c>
      <c r="DJ12" s="232">
        <f>'Reading.5.24'!DI12</f>
        <v>1910</v>
      </c>
      <c r="DL12" s="33">
        <v>3431546</v>
      </c>
      <c r="DM12" s="33">
        <f t="shared" ref="DM12" si="201">DL12-DL11</f>
        <v>2023</v>
      </c>
      <c r="DN12" s="232">
        <f>'Reading.5.24'!DM12</f>
        <v>3592</v>
      </c>
      <c r="DP12" s="33">
        <v>2959770</v>
      </c>
      <c r="DQ12" s="33">
        <f t="shared" ref="DQ12" si="202">DP12-DP11</f>
        <v>1668</v>
      </c>
      <c r="DR12" s="232">
        <f>'Reading.5.24'!DQ12</f>
        <v>33</v>
      </c>
      <c r="DT12" s="33">
        <v>3600982</v>
      </c>
      <c r="DU12" s="33">
        <f t="shared" ref="DU12" si="203">DT12-DT11</f>
        <v>1272</v>
      </c>
      <c r="DV12" s="232">
        <f>'Reading.5.24'!DU12</f>
        <v>32</v>
      </c>
      <c r="DW12" s="558"/>
      <c r="DX12" s="33">
        <v>720</v>
      </c>
      <c r="DZ12" s="33">
        <f t="shared" ref="DZ12" si="204">DM12+DQ12+DU12+DX12</f>
        <v>5683</v>
      </c>
      <c r="EA12" s="232">
        <f>'Reading.5.24'!DZ12</f>
        <v>4377</v>
      </c>
      <c r="EC12" s="190">
        <f t="shared" ref="EC12" si="205">C12*5.2</f>
        <v>3504.8</v>
      </c>
      <c r="ED12" s="263">
        <f>'Reading.5.24'!EC12</f>
        <v>3224</v>
      </c>
      <c r="EF12" s="33">
        <v>72483</v>
      </c>
      <c r="EG12" s="269">
        <f t="shared" ref="EG12" si="206">EF12-EF11</f>
        <v>83</v>
      </c>
      <c r="EH12" s="232">
        <f>'Reading.5.24'!EG12</f>
        <v>49</v>
      </c>
      <c r="EJ12" s="33">
        <v>33622</v>
      </c>
      <c r="EK12" s="269">
        <f t="shared" ref="EK12" si="207">EJ12-EJ11</f>
        <v>25</v>
      </c>
      <c r="EL12" s="232">
        <f>'Reading.5.24'!EK12</f>
        <v>24</v>
      </c>
      <c r="EN12" s="149">
        <v>43209</v>
      </c>
      <c r="EO12" s="464">
        <v>43732</v>
      </c>
      <c r="EP12" s="559">
        <v>42345</v>
      </c>
      <c r="EQ12" s="468">
        <f t="shared" ref="EQ12" si="208">(EN12-EN11)+(EO12-EO11)+(EP12-EP11)</f>
        <v>674</v>
      </c>
      <c r="ES12" s="149">
        <v>8185</v>
      </c>
      <c r="ET12" s="149">
        <f t="shared" ref="ET12" si="209">+ES12-ES11</f>
        <v>33</v>
      </c>
    </row>
    <row r="13" spans="1:405" x14ac:dyDescent="0.2">
      <c r="A13" s="275">
        <v>45785</v>
      </c>
      <c r="B13" s="33">
        <v>528333</v>
      </c>
      <c r="C13" s="33">
        <f t="shared" ref="C13" si="210">B13-B12</f>
        <v>635</v>
      </c>
      <c r="D13" s="546"/>
      <c r="E13" s="234">
        <v>860</v>
      </c>
      <c r="F13" s="547">
        <f t="shared" ref="F13" si="211">EQ13</f>
        <v>659</v>
      </c>
      <c r="G13" s="33">
        <f>F13+ET13</f>
        <v>692</v>
      </c>
      <c r="H13" s="186">
        <f>'Reading.5.24'!G13</f>
        <v>489</v>
      </c>
      <c r="I13" s="183"/>
      <c r="J13" s="546">
        <v>226275</v>
      </c>
      <c r="K13" s="185">
        <f t="shared" ref="K13" si="212">(J13-J12)*4.668</f>
        <v>270.74400000000003</v>
      </c>
      <c r="L13" s="241">
        <f>'Reading.5.24'!K13</f>
        <v>205.392</v>
      </c>
      <c r="M13" s="184"/>
      <c r="N13" s="546">
        <v>775981</v>
      </c>
      <c r="O13" s="185">
        <f t="shared" ref="O13" si="213">(N13-N12)*4.61</f>
        <v>709.94</v>
      </c>
      <c r="P13" s="241">
        <f>'Reading.5.24'!O13</f>
        <v>456.39000000000004</v>
      </c>
      <c r="Q13" s="34"/>
      <c r="R13" s="546">
        <v>65800</v>
      </c>
      <c r="S13" s="33"/>
      <c r="T13" s="33">
        <f t="shared" ref="T13" si="214">(R12+S12)-R13</f>
        <v>0</v>
      </c>
      <c r="U13" s="241">
        <f>'Reading.5.24'!T13</f>
        <v>0</v>
      </c>
      <c r="V13" s="34"/>
      <c r="W13" s="548">
        <v>49250.39</v>
      </c>
      <c r="X13" s="185">
        <f t="shared" ref="X13" si="215">(W13-W12)*4000</f>
        <v>38959.999999991851</v>
      </c>
      <c r="Y13" s="241">
        <f>'Reading.5.24'!X13</f>
        <v>31679.999999993015</v>
      </c>
      <c r="Z13" s="34"/>
      <c r="AA13" s="249">
        <v>536130</v>
      </c>
      <c r="AB13" s="185">
        <f t="shared" ref="AB13" si="216">AA13-AA12</f>
        <v>0</v>
      </c>
      <c r="AC13" s="241">
        <f>'Reading.5.24'!AB13</f>
        <v>0</v>
      </c>
      <c r="AD13" s="34"/>
      <c r="AE13" s="243">
        <f t="shared" ref="AE13" si="217">+X13+AB13</f>
        <v>38959.999999991851</v>
      </c>
      <c r="AF13" s="244">
        <f>'Reading.5.24'!AE13</f>
        <v>31679.999999993015</v>
      </c>
      <c r="AG13" s="242">
        <f t="shared" si="8"/>
        <v>38659.096774193546</v>
      </c>
      <c r="AH13" s="34"/>
      <c r="AI13" s="549">
        <v>0.79279999999999995</v>
      </c>
      <c r="AJ13" s="188">
        <f>'Reading.5.24'!AI13</f>
        <v>0.46960000000000002</v>
      </c>
      <c r="AK13" s="550">
        <v>0.54500000000000004</v>
      </c>
      <c r="AL13" s="34"/>
      <c r="AM13" s="551">
        <f t="shared" ref="AM13" si="218">AI13*526</f>
        <v>417.01279999999997</v>
      </c>
      <c r="AN13" s="302">
        <f>'Reading.5.24'!AM13</f>
        <v>247</v>
      </c>
      <c r="AO13" s="189">
        <f t="shared" si="10"/>
        <v>286.45161290322579</v>
      </c>
      <c r="AP13" s="34"/>
      <c r="AQ13" s="248">
        <f>514*4</f>
        <v>2056</v>
      </c>
      <c r="AR13" s="244">
        <f>'Reading.5.24'!AQ13</f>
        <v>1900</v>
      </c>
      <c r="AS13" s="34"/>
      <c r="AT13" s="552">
        <v>7609.44</v>
      </c>
      <c r="AU13" s="191">
        <f t="shared" ref="AU13" si="219">(AT13-AT12)*4000</f>
        <v>5359.9999999969441</v>
      </c>
      <c r="AV13" s="553">
        <f t="shared" ref="AV13" si="220">+X13/SQRT(((POWER((X13),2)+(POWER((AU13),2)))))</f>
        <v>0.99066854266107385</v>
      </c>
      <c r="AW13" s="34"/>
      <c r="AX13" s="187"/>
      <c r="AY13" s="245">
        <f>'Reading.5.24'!X13</f>
        <v>31679.999999993015</v>
      </c>
      <c r="AZ13" s="245">
        <f>'Reading.5.24'!Y13</f>
        <v>34359.99999998603</v>
      </c>
      <c r="BA13" s="246">
        <f t="shared" ref="BA13" si="221">AY13+AZ13</f>
        <v>66039.999999979045</v>
      </c>
      <c r="BC13" s="554">
        <v>33</v>
      </c>
      <c r="BD13" s="555">
        <v>23</v>
      </c>
      <c r="BE13" s="556">
        <v>50</v>
      </c>
      <c r="BF13" s="557">
        <v>20</v>
      </c>
      <c r="BG13" s="212">
        <v>80</v>
      </c>
      <c r="BH13" s="555">
        <f>'Reading.5.24'!BD13</f>
        <v>21</v>
      </c>
      <c r="BI13" s="555">
        <f>'Reading.5.24'!BE13</f>
        <v>17</v>
      </c>
      <c r="BJ13" s="555">
        <f>'Reading.5.24'!BF13</f>
        <v>49</v>
      </c>
      <c r="BL13" s="149">
        <v>526</v>
      </c>
      <c r="BN13" s="575">
        <f>'Reading.5.24'!BN11</f>
        <v>0</v>
      </c>
      <c r="BP13" s="33">
        <v>82069</v>
      </c>
      <c r="BQ13" s="33">
        <f t="shared" ref="BQ13" si="222">BP13-BP12</f>
        <v>43</v>
      </c>
      <c r="BR13" s="232">
        <f>'Reading.5.24'!BQ13</f>
        <v>30</v>
      </c>
      <c r="BT13" s="33">
        <v>98288</v>
      </c>
      <c r="BU13" s="33">
        <f t="shared" ref="BU13" si="223">BT13-BT12</f>
        <v>55</v>
      </c>
      <c r="BV13" s="232">
        <f>'Reading.5.24'!BU13</f>
        <v>35</v>
      </c>
      <c r="BX13" s="33">
        <v>4317</v>
      </c>
      <c r="BY13" s="33">
        <f t="shared" ref="BY13" si="224">BX13-BX12</f>
        <v>0</v>
      </c>
      <c r="BZ13" s="232">
        <f>'Reading.5.24'!BY13</f>
        <v>0</v>
      </c>
      <c r="CB13" s="33">
        <v>250710</v>
      </c>
      <c r="CC13" s="33">
        <f t="shared" ref="CC13" si="225">CB13-CB12</f>
        <v>50</v>
      </c>
      <c r="CD13" s="232">
        <f>'Reading.5.24'!CC13</f>
        <v>40</v>
      </c>
      <c r="CF13" s="33">
        <v>9635</v>
      </c>
      <c r="CG13" s="33">
        <f t="shared" ref="CG13" si="226">CF13-CF12</f>
        <v>15</v>
      </c>
      <c r="CH13" s="232">
        <f>'Reading.5.24'!CG13</f>
        <v>5</v>
      </c>
      <c r="CI13" s="33">
        <v>19771</v>
      </c>
      <c r="CJ13" s="33">
        <f t="shared" ref="CJ13" si="227">CI13-CI12</f>
        <v>0</v>
      </c>
      <c r="CK13" s="232">
        <f>'Reading.5.24'!CJ13</f>
        <v>0</v>
      </c>
      <c r="CM13" s="33">
        <f t="shared" ref="CM13" si="228">BQ13+BU13+BY13+CC13+CJ13</f>
        <v>148</v>
      </c>
      <c r="CN13" s="33">
        <f t="shared" ref="CN13" si="229">BR13+BV13+BZ13+CD13+CK13</f>
        <v>105</v>
      </c>
      <c r="CP13" s="33">
        <v>104440</v>
      </c>
      <c r="CQ13" s="33">
        <f t="shared" ref="CQ13" si="230">CP13-CP12</f>
        <v>590</v>
      </c>
      <c r="CR13" s="134">
        <f t="shared" ref="CR13" si="231">CQ13/G13</f>
        <v>0.85260115606936415</v>
      </c>
      <c r="CS13" s="232">
        <f>'Reading.5.24'!CN13</f>
        <v>118</v>
      </c>
      <c r="CT13" s="232">
        <f>'Reading.5.24'!CO13</f>
        <v>0</v>
      </c>
      <c r="CV13" s="33">
        <v>478</v>
      </c>
      <c r="CW13" s="33">
        <f t="shared" ref="CW13" si="232">CV13-CV12</f>
        <v>1</v>
      </c>
      <c r="CX13" s="470">
        <f>'Reading.5.24'!CW13</f>
        <v>0</v>
      </c>
      <c r="CZ13" s="33">
        <v>2581</v>
      </c>
      <c r="DA13" s="33">
        <f t="shared" ref="DA13" si="233">CZ13-CZ12</f>
        <v>5</v>
      </c>
      <c r="DB13" s="232">
        <f>'Reading.5.24'!DA13</f>
        <v>4</v>
      </c>
      <c r="DD13" s="33">
        <v>1776274</v>
      </c>
      <c r="DE13" s="33">
        <f t="shared" ref="DE13" si="234">DD13-DD12</f>
        <v>1104</v>
      </c>
      <c r="DF13" s="232">
        <f>'Reading.5.24'!DE13</f>
        <v>702</v>
      </c>
      <c r="DH13" s="33">
        <v>4017364</v>
      </c>
      <c r="DI13" s="33">
        <f t="shared" ref="DI13" si="235">DH13-DH12</f>
        <v>1780</v>
      </c>
      <c r="DJ13" s="232">
        <f>'Reading.5.24'!DI13</f>
        <v>1710</v>
      </c>
      <c r="DL13" s="33">
        <v>3433112</v>
      </c>
      <c r="DM13" s="33">
        <f t="shared" ref="DM13" si="236">DL13-DL12</f>
        <v>1566</v>
      </c>
      <c r="DN13" s="232">
        <f>'Reading.5.24'!DM13</f>
        <v>3912</v>
      </c>
      <c r="DP13" s="33">
        <v>2961865</v>
      </c>
      <c r="DQ13" s="33">
        <f t="shared" ref="DQ13" si="237">DP13-DP12</f>
        <v>2095</v>
      </c>
      <c r="DR13" s="232">
        <f>'Reading.5.24'!DQ13</f>
        <v>34</v>
      </c>
      <c r="DT13" s="33">
        <v>3602097</v>
      </c>
      <c r="DU13" s="33">
        <f t="shared" ref="DU13" si="238">DT13-DT12</f>
        <v>1115</v>
      </c>
      <c r="DV13" s="232">
        <f>'Reading.5.24'!DU13</f>
        <v>33</v>
      </c>
      <c r="DW13" s="558"/>
      <c r="DX13" s="33">
        <v>720</v>
      </c>
      <c r="DZ13" s="33">
        <f t="shared" ref="DZ13" si="239">DM13+DQ13+DU13+DX13</f>
        <v>5496</v>
      </c>
      <c r="EA13" s="232">
        <f>'Reading.5.24'!DZ13</f>
        <v>4699</v>
      </c>
      <c r="EC13" s="190">
        <f t="shared" ref="EC13" si="240">C13*5.2</f>
        <v>3302</v>
      </c>
      <c r="ED13" s="263">
        <f>'Reading.5.24'!EC13</f>
        <v>2542.8000000000002</v>
      </c>
      <c r="EF13" s="33">
        <v>72557</v>
      </c>
      <c r="EG13" s="269">
        <f t="shared" ref="EG13" si="241">EF13-EF12</f>
        <v>74</v>
      </c>
      <c r="EH13" s="232">
        <f>'Reading.5.24'!EG13</f>
        <v>51</v>
      </c>
      <c r="EJ13" s="33">
        <v>33648</v>
      </c>
      <c r="EK13" s="269">
        <f t="shared" ref="EK13" si="242">EJ13-EJ12</f>
        <v>26</v>
      </c>
      <c r="EL13" s="232">
        <f>'Reading.5.24'!EK13</f>
        <v>21</v>
      </c>
      <c r="EN13" s="149">
        <v>43209</v>
      </c>
      <c r="EO13" s="464">
        <v>44391</v>
      </c>
      <c r="EP13" s="559">
        <v>42345</v>
      </c>
      <c r="EQ13" s="468">
        <f t="shared" ref="EQ13" si="243">(EN13-EN12)+(EO13-EO12)+(EP13-EP12)</f>
        <v>659</v>
      </c>
      <c r="ES13" s="149">
        <v>8218</v>
      </c>
      <c r="ET13" s="149">
        <f t="shared" ref="ET13" si="244">+ES13-ES12</f>
        <v>33</v>
      </c>
      <c r="FA13" s="561"/>
    </row>
    <row r="14" spans="1:405" x14ac:dyDescent="0.2">
      <c r="A14" s="275">
        <v>45786</v>
      </c>
      <c r="B14" s="33"/>
      <c r="C14" s="33"/>
      <c r="D14" s="546"/>
      <c r="E14" s="234"/>
      <c r="F14" s="547"/>
      <c r="G14" s="33"/>
      <c r="H14" s="186"/>
      <c r="I14" s="183"/>
      <c r="J14" s="546"/>
      <c r="K14" s="185"/>
      <c r="L14" s="241"/>
      <c r="M14" s="184"/>
      <c r="N14" s="546"/>
      <c r="O14" s="185"/>
      <c r="P14" s="241"/>
      <c r="Q14" s="34"/>
      <c r="R14" s="546"/>
      <c r="S14" s="33"/>
      <c r="T14" s="33"/>
      <c r="U14" s="241"/>
      <c r="V14" s="34"/>
      <c r="W14" s="548"/>
      <c r="X14" s="185"/>
      <c r="Y14" s="241"/>
      <c r="Z14" s="34"/>
      <c r="AA14" s="249"/>
      <c r="AB14" s="185"/>
      <c r="AC14" s="241"/>
      <c r="AD14" s="34"/>
      <c r="AE14" s="243"/>
      <c r="AF14" s="241"/>
      <c r="AG14" s="242"/>
      <c r="AH14" s="34"/>
      <c r="AI14" s="549"/>
      <c r="AJ14" s="574"/>
      <c r="AK14" s="550"/>
      <c r="AL14" s="34"/>
      <c r="AM14" s="551"/>
      <c r="AN14" s="241"/>
      <c r="AO14" s="189"/>
      <c r="AP14" s="34"/>
      <c r="AQ14" s="248"/>
      <c r="AR14" s="241"/>
      <c r="AS14" s="34"/>
      <c r="AT14" s="552"/>
      <c r="AU14" s="191"/>
      <c r="AV14" s="553"/>
      <c r="AW14" s="34"/>
      <c r="AX14" s="187"/>
      <c r="AY14" s="245"/>
      <c r="AZ14" s="245"/>
      <c r="BA14" s="246"/>
      <c r="BC14" s="554"/>
      <c r="BD14" s="555"/>
      <c r="BE14" s="556"/>
      <c r="BF14" s="557"/>
      <c r="BG14" s="212"/>
      <c r="BH14" s="555"/>
      <c r="BI14" s="555"/>
      <c r="BJ14" s="555"/>
      <c r="BL14" s="149"/>
      <c r="BN14" s="575"/>
      <c r="BP14" s="33"/>
      <c r="BQ14" s="33"/>
      <c r="BR14" s="232"/>
      <c r="BT14" s="33"/>
      <c r="BU14" s="33"/>
      <c r="BV14" s="232"/>
      <c r="BX14" s="33"/>
      <c r="BY14" s="33"/>
      <c r="BZ14" s="232"/>
      <c r="CB14" s="33"/>
      <c r="CC14" s="33"/>
      <c r="CD14" s="232"/>
      <c r="CF14" s="33"/>
      <c r="CG14" s="33"/>
      <c r="CH14" s="232"/>
      <c r="CI14" s="33"/>
      <c r="CJ14" s="33"/>
      <c r="CK14" s="232"/>
      <c r="CM14" s="33"/>
      <c r="CN14" s="33"/>
      <c r="CP14" s="33"/>
      <c r="CQ14" s="33"/>
      <c r="CR14" s="134"/>
      <c r="CS14" s="232"/>
      <c r="CT14" s="469"/>
      <c r="CV14" s="33"/>
      <c r="CW14" s="33"/>
      <c r="CX14" s="470"/>
      <c r="CZ14" s="33"/>
      <c r="DA14" s="33"/>
      <c r="DB14" s="232"/>
      <c r="DD14" s="33"/>
      <c r="DE14" s="33"/>
      <c r="DF14" s="232"/>
      <c r="DH14" s="33"/>
      <c r="DI14" s="33"/>
      <c r="DJ14" s="232"/>
      <c r="DL14" s="33"/>
      <c r="DM14" s="33"/>
      <c r="DN14" s="232"/>
      <c r="DP14" s="33"/>
      <c r="DQ14" s="33"/>
      <c r="DR14" s="232"/>
      <c r="DT14" s="33"/>
      <c r="DU14" s="33"/>
      <c r="DV14" s="232"/>
      <c r="DW14" s="558"/>
      <c r="DX14" s="33"/>
      <c r="DZ14" s="33"/>
      <c r="EA14" s="232"/>
      <c r="EC14" s="190"/>
      <c r="ED14" s="263"/>
      <c r="EF14" s="33"/>
      <c r="EG14" s="269"/>
      <c r="EH14" s="232"/>
      <c r="EJ14" s="33"/>
      <c r="EK14" s="269"/>
      <c r="EL14" s="232"/>
      <c r="EN14" s="149"/>
      <c r="EO14" s="464"/>
      <c r="EP14" s="559"/>
      <c r="EQ14" s="468"/>
      <c r="ES14" s="149"/>
      <c r="ET14" s="149"/>
    </row>
    <row r="15" spans="1:405" x14ac:dyDescent="0.2">
      <c r="A15" s="275">
        <v>45787</v>
      </c>
      <c r="B15" s="33"/>
      <c r="C15" s="33"/>
      <c r="D15" s="546"/>
      <c r="E15" s="234"/>
      <c r="F15" s="547"/>
      <c r="G15" s="33"/>
      <c r="H15" s="186"/>
      <c r="I15" s="183"/>
      <c r="J15" s="546"/>
      <c r="K15" s="185"/>
      <c r="L15" s="241"/>
      <c r="M15" s="184"/>
      <c r="N15" s="546"/>
      <c r="O15" s="185"/>
      <c r="P15" s="241"/>
      <c r="Q15" s="34"/>
      <c r="R15" s="546"/>
      <c r="S15" s="33"/>
      <c r="T15" s="33"/>
      <c r="U15" s="241"/>
      <c r="V15" s="34"/>
      <c r="W15" s="548"/>
      <c r="X15" s="185"/>
      <c r="Y15" s="241"/>
      <c r="Z15" s="34"/>
      <c r="AA15" s="249"/>
      <c r="AB15" s="185"/>
      <c r="AC15" s="241"/>
      <c r="AD15" s="34"/>
      <c r="AE15" s="243"/>
      <c r="AF15" s="241"/>
      <c r="AG15" s="242"/>
      <c r="AH15" s="34"/>
      <c r="AI15" s="549"/>
      <c r="AJ15" s="574"/>
      <c r="AK15" s="550"/>
      <c r="AL15" s="34"/>
      <c r="AM15" s="551"/>
      <c r="AN15" s="241"/>
      <c r="AO15" s="189"/>
      <c r="AP15" s="34"/>
      <c r="AQ15" s="248"/>
      <c r="AR15" s="241"/>
      <c r="AS15" s="34"/>
      <c r="AT15" s="552"/>
      <c r="AU15" s="191"/>
      <c r="AV15" s="553"/>
      <c r="AW15" s="34"/>
      <c r="AX15" s="187"/>
      <c r="AY15" s="245"/>
      <c r="AZ15" s="245"/>
      <c r="BA15" s="246"/>
      <c r="BC15" s="554"/>
      <c r="BD15" s="555"/>
      <c r="BE15" s="556"/>
      <c r="BF15" s="557"/>
      <c r="BG15" s="212"/>
      <c r="BH15" s="555"/>
      <c r="BI15" s="555"/>
      <c r="BJ15" s="555"/>
      <c r="BL15" s="149"/>
      <c r="BN15" s="575"/>
      <c r="BP15" s="33"/>
      <c r="BQ15" s="33"/>
      <c r="BR15" s="232"/>
      <c r="BT15" s="33"/>
      <c r="BU15" s="33"/>
      <c r="BV15" s="232"/>
      <c r="BX15" s="33"/>
      <c r="BY15" s="33"/>
      <c r="BZ15" s="232"/>
      <c r="CB15" s="33"/>
      <c r="CC15" s="33"/>
      <c r="CD15" s="232"/>
      <c r="CF15" s="33"/>
      <c r="CG15" s="33"/>
      <c r="CH15" s="232"/>
      <c r="CI15" s="33"/>
      <c r="CJ15" s="33"/>
      <c r="CK15" s="232"/>
      <c r="CM15" s="33"/>
      <c r="CN15" s="33"/>
      <c r="CP15" s="33"/>
      <c r="CQ15" s="33"/>
      <c r="CR15" s="134"/>
      <c r="CS15" s="232"/>
      <c r="CT15" s="469"/>
      <c r="CV15" s="33"/>
      <c r="CW15" s="33"/>
      <c r="CX15" s="470"/>
      <c r="CZ15" s="33"/>
      <c r="DA15" s="33"/>
      <c r="DB15" s="232"/>
      <c r="DD15" s="33"/>
      <c r="DE15" s="33"/>
      <c r="DF15" s="232"/>
      <c r="DH15" s="33"/>
      <c r="DI15" s="33"/>
      <c r="DJ15" s="232"/>
      <c r="DL15" s="33"/>
      <c r="DM15" s="33"/>
      <c r="DN15" s="232"/>
      <c r="DP15" s="33"/>
      <c r="DQ15" s="33"/>
      <c r="DR15" s="232"/>
      <c r="DT15" s="33"/>
      <c r="DU15" s="33"/>
      <c r="DV15" s="232"/>
      <c r="DW15" s="558"/>
      <c r="DX15" s="33"/>
      <c r="DZ15" s="33"/>
      <c r="EA15" s="232"/>
      <c r="EC15" s="190"/>
      <c r="ED15" s="263"/>
      <c r="EF15" s="33"/>
      <c r="EG15" s="269"/>
      <c r="EH15" s="232"/>
      <c r="EJ15" s="33"/>
      <c r="EK15" s="269"/>
      <c r="EL15" s="232"/>
      <c r="EN15" s="149"/>
      <c r="EO15" s="464"/>
      <c r="EP15" s="559"/>
      <c r="EQ15" s="468"/>
      <c r="ES15" s="149"/>
      <c r="ET15" s="149"/>
    </row>
    <row r="16" spans="1:405" x14ac:dyDescent="0.2">
      <c r="A16" s="275">
        <v>45788</v>
      </c>
      <c r="B16" s="33"/>
      <c r="C16" s="33"/>
      <c r="D16" s="546"/>
      <c r="E16" s="234"/>
      <c r="F16" s="547"/>
      <c r="G16" s="33"/>
      <c r="H16" s="186"/>
      <c r="I16" s="183"/>
      <c r="J16" s="546"/>
      <c r="K16" s="185"/>
      <c r="L16" s="241"/>
      <c r="M16" s="184"/>
      <c r="N16" s="546"/>
      <c r="O16" s="185"/>
      <c r="P16" s="241"/>
      <c r="Q16" s="34"/>
      <c r="R16" s="546"/>
      <c r="S16" s="33"/>
      <c r="T16" s="33"/>
      <c r="U16" s="241"/>
      <c r="V16" s="34"/>
      <c r="W16" s="548"/>
      <c r="X16" s="185"/>
      <c r="Y16" s="241"/>
      <c r="Z16" s="34"/>
      <c r="AA16" s="249"/>
      <c r="AB16" s="185"/>
      <c r="AC16" s="241"/>
      <c r="AD16" s="34"/>
      <c r="AE16" s="243"/>
      <c r="AF16" s="241"/>
      <c r="AG16" s="242"/>
      <c r="AH16" s="34"/>
      <c r="AI16" s="549"/>
      <c r="AJ16" s="574"/>
      <c r="AK16" s="550"/>
      <c r="AL16" s="34"/>
      <c r="AM16" s="551"/>
      <c r="AN16" s="241"/>
      <c r="AO16" s="189"/>
      <c r="AP16" s="34"/>
      <c r="AQ16" s="248"/>
      <c r="AR16" s="241"/>
      <c r="AS16" s="34"/>
      <c r="AT16" s="552"/>
      <c r="AU16" s="191"/>
      <c r="AV16" s="553"/>
      <c r="AW16" s="34"/>
      <c r="AX16" s="187"/>
      <c r="AY16" s="245"/>
      <c r="AZ16" s="245"/>
      <c r="BA16" s="246"/>
      <c r="BC16" s="554"/>
      <c r="BD16" s="555"/>
      <c r="BE16" s="556"/>
      <c r="BF16" s="557"/>
      <c r="BG16" s="212"/>
      <c r="BH16" s="555"/>
      <c r="BI16" s="555"/>
      <c r="BJ16" s="555"/>
      <c r="BL16" s="149"/>
      <c r="BN16" s="575"/>
      <c r="BP16" s="33"/>
      <c r="BQ16" s="33"/>
      <c r="BR16" s="232"/>
      <c r="BT16" s="33"/>
      <c r="BU16" s="33"/>
      <c r="BV16" s="232"/>
      <c r="BX16" s="33"/>
      <c r="BY16" s="33"/>
      <c r="BZ16" s="232"/>
      <c r="CB16" s="33"/>
      <c r="CC16" s="33"/>
      <c r="CD16" s="232"/>
      <c r="CF16" s="33"/>
      <c r="CG16" s="33"/>
      <c r="CH16" s="232"/>
      <c r="CI16" s="33"/>
      <c r="CJ16" s="33"/>
      <c r="CK16" s="232"/>
      <c r="CM16" s="33"/>
      <c r="CN16" s="33"/>
      <c r="CP16" s="33"/>
      <c r="CQ16" s="33"/>
      <c r="CR16" s="134"/>
      <c r="CS16" s="232"/>
      <c r="CT16" s="469"/>
      <c r="CV16" s="33"/>
      <c r="CW16" s="33"/>
      <c r="CX16" s="470"/>
      <c r="CZ16" s="33"/>
      <c r="DA16" s="33"/>
      <c r="DB16" s="232"/>
      <c r="DD16" s="33"/>
      <c r="DE16" s="33"/>
      <c r="DF16" s="232"/>
      <c r="DH16" s="33"/>
      <c r="DI16" s="33"/>
      <c r="DJ16" s="232"/>
      <c r="DL16" s="33"/>
      <c r="DM16" s="33"/>
      <c r="DN16" s="232"/>
      <c r="DP16" s="33"/>
      <c r="DQ16" s="33"/>
      <c r="DR16" s="232"/>
      <c r="DT16" s="33"/>
      <c r="DU16" s="33"/>
      <c r="DV16" s="232"/>
      <c r="DW16" s="558"/>
      <c r="DX16" s="33"/>
      <c r="DZ16" s="33"/>
      <c r="EA16" s="232"/>
      <c r="EC16" s="190"/>
      <c r="ED16" s="263"/>
      <c r="EF16" s="33"/>
      <c r="EG16" s="269"/>
      <c r="EH16" s="232"/>
      <c r="EJ16" s="33"/>
      <c r="EK16" s="269"/>
      <c r="EL16" s="232"/>
      <c r="EN16" s="149"/>
      <c r="EO16" s="464"/>
      <c r="EP16" s="559"/>
      <c r="EQ16" s="468"/>
      <c r="ES16" s="149"/>
      <c r="ET16" s="149"/>
    </row>
    <row r="17" spans="1:150" x14ac:dyDescent="0.2">
      <c r="A17" s="275">
        <v>45789</v>
      </c>
      <c r="B17" s="33"/>
      <c r="C17" s="33"/>
      <c r="D17" s="546"/>
      <c r="E17" s="234"/>
      <c r="F17" s="547"/>
      <c r="G17" s="33"/>
      <c r="H17" s="186"/>
      <c r="I17" s="183"/>
      <c r="J17" s="546"/>
      <c r="K17" s="185"/>
      <c r="L17" s="241"/>
      <c r="M17" s="184"/>
      <c r="N17" s="546"/>
      <c r="O17" s="185"/>
      <c r="P17" s="241"/>
      <c r="Q17" s="34"/>
      <c r="R17" s="546"/>
      <c r="S17" s="33"/>
      <c r="T17" s="33"/>
      <c r="U17" s="241"/>
      <c r="V17" s="34"/>
      <c r="W17" s="548"/>
      <c r="X17" s="185"/>
      <c r="Y17" s="241"/>
      <c r="Z17" s="34"/>
      <c r="AA17" s="249"/>
      <c r="AB17" s="185"/>
      <c r="AC17" s="241"/>
      <c r="AD17" s="34"/>
      <c r="AE17" s="243"/>
      <c r="AF17" s="241"/>
      <c r="AG17" s="242"/>
      <c r="AH17" s="34"/>
      <c r="AI17" s="549"/>
      <c r="AJ17" s="574"/>
      <c r="AK17" s="550"/>
      <c r="AL17" s="34"/>
      <c r="AM17" s="551"/>
      <c r="AN17" s="241"/>
      <c r="AO17" s="189"/>
      <c r="AP17" s="34"/>
      <c r="AQ17" s="248"/>
      <c r="AR17" s="241"/>
      <c r="AS17" s="34"/>
      <c r="AT17" s="552"/>
      <c r="AU17" s="191"/>
      <c r="AV17" s="553"/>
      <c r="AW17" s="34"/>
      <c r="AX17" s="187"/>
      <c r="AY17" s="245"/>
      <c r="AZ17" s="245"/>
      <c r="BA17" s="246"/>
      <c r="BC17" s="554"/>
      <c r="BD17" s="555"/>
      <c r="BE17" s="556"/>
      <c r="BF17" s="557"/>
      <c r="BG17" s="212"/>
      <c r="BH17" s="555"/>
      <c r="BI17" s="555"/>
      <c r="BJ17" s="555"/>
      <c r="BL17" s="149"/>
      <c r="BN17" s="575"/>
      <c r="BP17" s="33"/>
      <c r="BQ17" s="33"/>
      <c r="BR17" s="232"/>
      <c r="BT17" s="33"/>
      <c r="BU17" s="33"/>
      <c r="BV17" s="232"/>
      <c r="BX17" s="33"/>
      <c r="BY17" s="33"/>
      <c r="BZ17" s="232"/>
      <c r="CB17" s="33"/>
      <c r="CC17" s="33"/>
      <c r="CD17" s="232"/>
      <c r="CF17" s="33"/>
      <c r="CG17" s="33"/>
      <c r="CH17" s="232"/>
      <c r="CI17" s="33"/>
      <c r="CJ17" s="33"/>
      <c r="CK17" s="232"/>
      <c r="CM17" s="33"/>
      <c r="CN17" s="33"/>
      <c r="CP17" s="33"/>
      <c r="CQ17" s="33"/>
      <c r="CR17" s="134"/>
      <c r="CS17" s="232"/>
      <c r="CT17" s="469"/>
      <c r="CV17" s="33"/>
      <c r="CW17" s="33"/>
      <c r="CX17" s="470"/>
      <c r="CZ17" s="33"/>
      <c r="DA17" s="33"/>
      <c r="DB17" s="232"/>
      <c r="DD17" s="33"/>
      <c r="DE17" s="33"/>
      <c r="DF17" s="232"/>
      <c r="DH17" s="33"/>
      <c r="DI17" s="33"/>
      <c r="DJ17" s="232"/>
      <c r="DL17" s="33"/>
      <c r="DM17" s="33"/>
      <c r="DN17" s="232"/>
      <c r="DP17" s="33"/>
      <c r="DQ17" s="33"/>
      <c r="DR17" s="232"/>
      <c r="DT17" s="33"/>
      <c r="DU17" s="33"/>
      <c r="DV17" s="232"/>
      <c r="DW17" s="558"/>
      <c r="DX17" s="33"/>
      <c r="DZ17" s="33"/>
      <c r="EA17" s="232"/>
      <c r="EC17" s="190"/>
      <c r="ED17" s="263"/>
      <c r="EF17" s="33"/>
      <c r="EG17" s="269"/>
      <c r="EH17" s="232"/>
      <c r="EJ17" s="33"/>
      <c r="EK17" s="269"/>
      <c r="EL17" s="232"/>
      <c r="EN17" s="149"/>
      <c r="EO17" s="464"/>
      <c r="EP17" s="559"/>
      <c r="EQ17" s="468"/>
      <c r="ES17" s="149"/>
      <c r="ET17" s="149"/>
    </row>
    <row r="18" spans="1:150" x14ac:dyDescent="0.2">
      <c r="A18" s="275">
        <v>45790</v>
      </c>
      <c r="B18" s="33"/>
      <c r="C18" s="33"/>
      <c r="D18" s="546"/>
      <c r="E18" s="234"/>
      <c r="F18" s="547"/>
      <c r="G18" s="33"/>
      <c r="H18" s="186"/>
      <c r="I18" s="183"/>
      <c r="J18" s="546"/>
      <c r="K18" s="185"/>
      <c r="L18" s="241"/>
      <c r="M18" s="184"/>
      <c r="N18" s="546"/>
      <c r="O18" s="185"/>
      <c r="P18" s="241"/>
      <c r="Q18" s="34"/>
      <c r="R18" s="546"/>
      <c r="S18" s="33"/>
      <c r="T18" s="33"/>
      <c r="U18" s="241"/>
      <c r="V18" s="34"/>
      <c r="W18" s="548"/>
      <c r="X18" s="185"/>
      <c r="Y18" s="241"/>
      <c r="Z18" s="34"/>
      <c r="AA18" s="249"/>
      <c r="AB18" s="185"/>
      <c r="AC18" s="241"/>
      <c r="AD18" s="34"/>
      <c r="AE18" s="243"/>
      <c r="AF18" s="241"/>
      <c r="AG18" s="242"/>
      <c r="AH18" s="34"/>
      <c r="AI18" s="549"/>
      <c r="AJ18" s="574"/>
      <c r="AK18" s="550"/>
      <c r="AL18" s="34"/>
      <c r="AM18" s="551"/>
      <c r="AN18" s="241"/>
      <c r="AO18" s="189"/>
      <c r="AP18" s="34"/>
      <c r="AQ18" s="248"/>
      <c r="AR18" s="241"/>
      <c r="AS18" s="34"/>
      <c r="AT18" s="552"/>
      <c r="AU18" s="191"/>
      <c r="AV18" s="553"/>
      <c r="AW18" s="34"/>
      <c r="AX18" s="187"/>
      <c r="AY18" s="245"/>
      <c r="AZ18" s="245"/>
      <c r="BA18" s="246"/>
      <c r="BC18" s="554"/>
      <c r="BD18" s="555"/>
      <c r="BE18" s="556"/>
      <c r="BF18" s="557"/>
      <c r="BG18" s="212"/>
      <c r="BH18" s="555"/>
      <c r="BI18" s="555"/>
      <c r="BJ18" s="555"/>
      <c r="BL18" s="149"/>
      <c r="BN18" s="575"/>
      <c r="BP18" s="33"/>
      <c r="BQ18" s="33"/>
      <c r="BR18" s="232"/>
      <c r="BT18" s="33"/>
      <c r="BU18" s="33"/>
      <c r="BV18" s="232"/>
      <c r="BX18" s="33"/>
      <c r="BY18" s="33"/>
      <c r="BZ18" s="232"/>
      <c r="CB18" s="33"/>
      <c r="CC18" s="33"/>
      <c r="CD18" s="232"/>
      <c r="CF18" s="33"/>
      <c r="CG18" s="33"/>
      <c r="CH18" s="232"/>
      <c r="CI18" s="33"/>
      <c r="CJ18" s="33"/>
      <c r="CK18" s="232"/>
      <c r="CM18" s="33"/>
      <c r="CN18" s="33"/>
      <c r="CP18" s="33"/>
      <c r="CQ18" s="33"/>
      <c r="CR18" s="134"/>
      <c r="CS18" s="232"/>
      <c r="CT18" s="469"/>
      <c r="CV18" s="33"/>
      <c r="CW18" s="33"/>
      <c r="CX18" s="470"/>
      <c r="CZ18" s="33"/>
      <c r="DA18" s="33"/>
      <c r="DB18" s="232"/>
      <c r="DD18" s="33"/>
      <c r="DE18" s="33"/>
      <c r="DF18" s="232"/>
      <c r="DH18" s="33"/>
      <c r="DI18" s="33"/>
      <c r="DJ18" s="232"/>
      <c r="DL18" s="33"/>
      <c r="DM18" s="33"/>
      <c r="DN18" s="232"/>
      <c r="DP18" s="33"/>
      <c r="DQ18" s="33"/>
      <c r="DR18" s="232"/>
      <c r="DT18" s="33"/>
      <c r="DU18" s="33"/>
      <c r="DV18" s="232"/>
      <c r="DW18" s="558"/>
      <c r="DX18" s="33"/>
      <c r="DZ18" s="33"/>
      <c r="EA18" s="232"/>
      <c r="EC18" s="190"/>
      <c r="ED18" s="263"/>
      <c r="EF18" s="33"/>
      <c r="EG18" s="269"/>
      <c r="EH18" s="232"/>
      <c r="EJ18" s="33"/>
      <c r="EK18" s="269"/>
      <c r="EL18" s="232"/>
      <c r="EN18" s="149"/>
      <c r="EO18" s="464"/>
      <c r="EP18" s="559"/>
      <c r="EQ18" s="468"/>
      <c r="ES18" s="149"/>
      <c r="ET18" s="149"/>
    </row>
    <row r="19" spans="1:150" x14ac:dyDescent="0.2">
      <c r="A19" s="275">
        <v>45791</v>
      </c>
      <c r="B19" s="33"/>
      <c r="C19" s="33"/>
      <c r="D19" s="546"/>
      <c r="E19" s="234"/>
      <c r="F19" s="547"/>
      <c r="G19" s="33"/>
      <c r="H19" s="186"/>
      <c r="I19" s="183"/>
      <c r="J19" s="546"/>
      <c r="K19" s="185"/>
      <c r="L19" s="241"/>
      <c r="M19" s="184"/>
      <c r="N19" s="546"/>
      <c r="O19" s="185"/>
      <c r="P19" s="241"/>
      <c r="Q19" s="34"/>
      <c r="R19" s="546"/>
      <c r="S19" s="33"/>
      <c r="T19" s="33"/>
      <c r="U19" s="241"/>
      <c r="V19" s="34"/>
      <c r="W19" s="548"/>
      <c r="X19" s="185"/>
      <c r="Y19" s="241"/>
      <c r="Z19" s="34"/>
      <c r="AA19" s="249"/>
      <c r="AB19" s="185"/>
      <c r="AC19" s="241"/>
      <c r="AD19" s="34"/>
      <c r="AE19" s="243"/>
      <c r="AF19" s="241"/>
      <c r="AG19" s="242"/>
      <c r="AH19" s="34"/>
      <c r="AI19" s="549"/>
      <c r="AJ19" s="574"/>
      <c r="AK19" s="550"/>
      <c r="AL19" s="34"/>
      <c r="AM19" s="551"/>
      <c r="AN19" s="241"/>
      <c r="AO19" s="189"/>
      <c r="AP19" s="34"/>
      <c r="AQ19" s="248"/>
      <c r="AR19" s="241"/>
      <c r="AS19" s="34"/>
      <c r="AT19" s="552"/>
      <c r="AU19" s="191"/>
      <c r="AV19" s="553"/>
      <c r="AW19" s="34"/>
      <c r="AX19" s="187"/>
      <c r="AY19" s="245"/>
      <c r="AZ19" s="245"/>
      <c r="BA19" s="246"/>
      <c r="BC19" s="554"/>
      <c r="BD19" s="555"/>
      <c r="BE19" s="556"/>
      <c r="BF19" s="557"/>
      <c r="BG19" s="212"/>
      <c r="BH19" s="555"/>
      <c r="BI19" s="555"/>
      <c r="BJ19" s="555"/>
      <c r="BL19" s="149"/>
      <c r="BN19" s="575"/>
      <c r="BP19" s="33"/>
      <c r="BQ19" s="33"/>
      <c r="BR19" s="232"/>
      <c r="BT19" s="33"/>
      <c r="BU19" s="33"/>
      <c r="BV19" s="232"/>
      <c r="BX19" s="33"/>
      <c r="BY19" s="33"/>
      <c r="BZ19" s="232"/>
      <c r="CB19" s="33"/>
      <c r="CC19" s="33"/>
      <c r="CD19" s="232"/>
      <c r="CF19" s="33"/>
      <c r="CG19" s="33"/>
      <c r="CH19" s="232"/>
      <c r="CI19" s="33"/>
      <c r="CJ19" s="33"/>
      <c r="CK19" s="232"/>
      <c r="CM19" s="33"/>
      <c r="CN19" s="33"/>
      <c r="CP19" s="33"/>
      <c r="CQ19" s="33"/>
      <c r="CR19" s="134"/>
      <c r="CS19" s="232"/>
      <c r="CT19" s="469"/>
      <c r="CV19" s="33"/>
      <c r="CW19" s="33"/>
      <c r="CX19" s="470"/>
      <c r="CZ19" s="33"/>
      <c r="DA19" s="33"/>
      <c r="DB19" s="232"/>
      <c r="DD19" s="33"/>
      <c r="DE19" s="33"/>
      <c r="DF19" s="232"/>
      <c r="DH19" s="33"/>
      <c r="DI19" s="33"/>
      <c r="DJ19" s="232"/>
      <c r="DL19" s="33"/>
      <c r="DM19" s="33"/>
      <c r="DN19" s="232"/>
      <c r="DP19" s="33"/>
      <c r="DQ19" s="33"/>
      <c r="DR19" s="232"/>
      <c r="DT19" s="33"/>
      <c r="DU19" s="33"/>
      <c r="DV19" s="232"/>
      <c r="DW19" s="558"/>
      <c r="DX19" s="33"/>
      <c r="DZ19" s="33"/>
      <c r="EA19" s="232"/>
      <c r="EC19" s="190"/>
      <c r="ED19" s="263"/>
      <c r="EF19" s="33"/>
      <c r="EG19" s="269"/>
      <c r="EH19" s="232"/>
      <c r="EJ19" s="33"/>
      <c r="EK19" s="269"/>
      <c r="EL19" s="232"/>
      <c r="EN19" s="149"/>
      <c r="EO19" s="464"/>
      <c r="EP19" s="559"/>
      <c r="EQ19" s="468"/>
      <c r="ES19" s="149"/>
      <c r="ET19" s="149"/>
    </row>
    <row r="20" spans="1:150" x14ac:dyDescent="0.2">
      <c r="A20" s="275">
        <v>45792</v>
      </c>
      <c r="B20" s="33"/>
      <c r="C20" s="33"/>
      <c r="D20" s="546"/>
      <c r="E20" s="234"/>
      <c r="F20" s="547"/>
      <c r="G20" s="33"/>
      <c r="H20" s="186"/>
      <c r="I20" s="183"/>
      <c r="J20" s="546"/>
      <c r="K20" s="185"/>
      <c r="L20" s="241"/>
      <c r="M20" s="184"/>
      <c r="N20" s="546"/>
      <c r="O20" s="185"/>
      <c r="P20" s="241"/>
      <c r="Q20" s="34"/>
      <c r="R20" s="546"/>
      <c r="S20" s="33"/>
      <c r="T20" s="33"/>
      <c r="U20" s="241"/>
      <c r="V20" s="34"/>
      <c r="W20" s="548"/>
      <c r="X20" s="185"/>
      <c r="Y20" s="241"/>
      <c r="Z20" s="34"/>
      <c r="AA20" s="249"/>
      <c r="AB20" s="185"/>
      <c r="AC20" s="241"/>
      <c r="AD20" s="34"/>
      <c r="AE20" s="243"/>
      <c r="AF20" s="241"/>
      <c r="AG20" s="242"/>
      <c r="AH20" s="34"/>
      <c r="AI20" s="549"/>
      <c r="AJ20" s="574"/>
      <c r="AK20" s="550"/>
      <c r="AL20" s="34"/>
      <c r="AM20" s="551"/>
      <c r="AN20" s="241"/>
      <c r="AO20" s="189"/>
      <c r="AP20" s="34"/>
      <c r="AQ20" s="248"/>
      <c r="AR20" s="241"/>
      <c r="AS20" s="34"/>
      <c r="AT20" s="552"/>
      <c r="AU20" s="191"/>
      <c r="AV20" s="553"/>
      <c r="AW20" s="34"/>
      <c r="AX20" s="187"/>
      <c r="AY20" s="245"/>
      <c r="AZ20" s="245"/>
      <c r="BA20" s="246"/>
      <c r="BC20" s="554"/>
      <c r="BD20" s="555"/>
      <c r="BE20" s="556"/>
      <c r="BF20" s="557"/>
      <c r="BG20" s="212"/>
      <c r="BH20" s="555"/>
      <c r="BI20" s="555"/>
      <c r="BJ20" s="555"/>
      <c r="BL20" s="149"/>
      <c r="BN20" s="575"/>
      <c r="BP20" s="33"/>
      <c r="BQ20" s="33"/>
      <c r="BR20" s="232"/>
      <c r="BT20" s="33"/>
      <c r="BU20" s="33"/>
      <c r="BV20" s="232"/>
      <c r="BX20" s="33"/>
      <c r="BY20" s="33"/>
      <c r="BZ20" s="232"/>
      <c r="CB20" s="33"/>
      <c r="CC20" s="33"/>
      <c r="CD20" s="232"/>
      <c r="CF20" s="33"/>
      <c r="CG20" s="33"/>
      <c r="CH20" s="232"/>
      <c r="CI20" s="33"/>
      <c r="CJ20" s="33"/>
      <c r="CK20" s="232"/>
      <c r="CM20" s="33"/>
      <c r="CN20" s="33"/>
      <c r="CP20" s="33"/>
      <c r="CQ20" s="33"/>
      <c r="CR20" s="134"/>
      <c r="CS20" s="232"/>
      <c r="CT20" s="469"/>
      <c r="CV20" s="33"/>
      <c r="CW20" s="33"/>
      <c r="CX20" s="470"/>
      <c r="CZ20" s="33"/>
      <c r="DA20" s="33"/>
      <c r="DB20" s="232"/>
      <c r="DD20" s="33"/>
      <c r="DE20" s="33"/>
      <c r="DF20" s="232"/>
      <c r="DH20" s="33"/>
      <c r="DI20" s="33"/>
      <c r="DJ20" s="232"/>
      <c r="DL20" s="33"/>
      <c r="DM20" s="33"/>
      <c r="DN20" s="232"/>
      <c r="DP20" s="33"/>
      <c r="DQ20" s="33"/>
      <c r="DR20" s="232"/>
      <c r="DT20" s="33"/>
      <c r="DU20" s="33"/>
      <c r="DV20" s="232"/>
      <c r="DW20" s="558"/>
      <c r="DX20" s="33"/>
      <c r="DZ20" s="33"/>
      <c r="EA20" s="232"/>
      <c r="EC20" s="190"/>
      <c r="ED20" s="263"/>
      <c r="EF20" s="33"/>
      <c r="EG20" s="269"/>
      <c r="EH20" s="232"/>
      <c r="EJ20" s="33"/>
      <c r="EK20" s="269"/>
      <c r="EL20" s="232"/>
      <c r="EN20" s="149"/>
      <c r="EO20" s="464"/>
      <c r="EP20" s="559"/>
      <c r="EQ20" s="468"/>
      <c r="ES20" s="149"/>
      <c r="ET20" s="149"/>
    </row>
    <row r="21" spans="1:150" x14ac:dyDescent="0.2">
      <c r="A21" s="275">
        <v>45793</v>
      </c>
      <c r="B21" s="33"/>
      <c r="C21" s="33"/>
      <c r="D21" s="546"/>
      <c r="E21" s="234"/>
      <c r="F21" s="547"/>
      <c r="G21" s="33"/>
      <c r="H21" s="186"/>
      <c r="I21" s="183"/>
      <c r="J21" s="546"/>
      <c r="K21" s="185"/>
      <c r="L21" s="241"/>
      <c r="M21" s="184"/>
      <c r="N21" s="546"/>
      <c r="O21" s="185"/>
      <c r="P21" s="241"/>
      <c r="Q21" s="34"/>
      <c r="R21" s="546"/>
      <c r="S21" s="33"/>
      <c r="T21" s="33"/>
      <c r="U21" s="241"/>
      <c r="V21" s="34"/>
      <c r="W21" s="548"/>
      <c r="X21" s="185"/>
      <c r="Y21" s="241"/>
      <c r="Z21" s="34"/>
      <c r="AA21" s="249"/>
      <c r="AB21" s="185"/>
      <c r="AC21" s="241"/>
      <c r="AD21" s="34"/>
      <c r="AE21" s="243"/>
      <c r="AF21" s="241"/>
      <c r="AG21" s="242"/>
      <c r="AH21" s="34"/>
      <c r="AI21" s="549"/>
      <c r="AJ21" s="574"/>
      <c r="AK21" s="550"/>
      <c r="AL21" s="34"/>
      <c r="AM21" s="551"/>
      <c r="AN21" s="241"/>
      <c r="AO21" s="189"/>
      <c r="AP21" s="34"/>
      <c r="AQ21" s="248"/>
      <c r="AR21" s="241"/>
      <c r="AS21" s="34"/>
      <c r="AT21" s="552"/>
      <c r="AU21" s="191"/>
      <c r="AV21" s="553"/>
      <c r="AW21" s="34"/>
      <c r="AX21" s="187"/>
      <c r="AY21" s="245"/>
      <c r="AZ21" s="245"/>
      <c r="BA21" s="246"/>
      <c r="BC21" s="554"/>
      <c r="BD21" s="555"/>
      <c r="BE21" s="556"/>
      <c r="BF21" s="557"/>
      <c r="BG21" s="212"/>
      <c r="BH21" s="555"/>
      <c r="BI21" s="555"/>
      <c r="BJ21" s="555"/>
      <c r="BL21" s="149"/>
      <c r="BN21" s="575"/>
      <c r="BP21" s="33"/>
      <c r="BQ21" s="33"/>
      <c r="BR21" s="232"/>
      <c r="BT21" s="33"/>
      <c r="BU21" s="33"/>
      <c r="BV21" s="232"/>
      <c r="BX21" s="33"/>
      <c r="BY21" s="33"/>
      <c r="BZ21" s="232"/>
      <c r="CB21" s="33"/>
      <c r="CC21" s="33"/>
      <c r="CD21" s="232"/>
      <c r="CF21" s="33"/>
      <c r="CG21" s="33"/>
      <c r="CH21" s="232"/>
      <c r="CI21" s="33"/>
      <c r="CJ21" s="33"/>
      <c r="CK21" s="232"/>
      <c r="CM21" s="33"/>
      <c r="CN21" s="33"/>
      <c r="CP21" s="33"/>
      <c r="CQ21" s="33"/>
      <c r="CR21" s="134"/>
      <c r="CS21" s="232"/>
      <c r="CT21" s="469"/>
      <c r="CV21" s="33"/>
      <c r="CW21" s="33"/>
      <c r="CX21" s="470"/>
      <c r="CZ21" s="33"/>
      <c r="DA21" s="33"/>
      <c r="DB21" s="232"/>
      <c r="DD21" s="33"/>
      <c r="DE21" s="33"/>
      <c r="DF21" s="232"/>
      <c r="DH21" s="33"/>
      <c r="DI21" s="33"/>
      <c r="DJ21" s="232"/>
      <c r="DL21" s="33"/>
      <c r="DM21" s="33"/>
      <c r="DN21" s="232"/>
      <c r="DP21" s="33"/>
      <c r="DQ21" s="33"/>
      <c r="DR21" s="232"/>
      <c r="DT21" s="33"/>
      <c r="DU21" s="33"/>
      <c r="DV21" s="232"/>
      <c r="DW21" s="558"/>
      <c r="DX21" s="33"/>
      <c r="DZ21" s="33"/>
      <c r="EA21" s="232"/>
      <c r="EC21" s="190"/>
      <c r="ED21" s="263"/>
      <c r="EF21" s="33"/>
      <c r="EG21" s="269"/>
      <c r="EH21" s="232"/>
      <c r="EJ21" s="33"/>
      <c r="EK21" s="269"/>
      <c r="EL21" s="232"/>
      <c r="EN21" s="149"/>
      <c r="EO21" s="464"/>
      <c r="EP21" s="559"/>
      <c r="EQ21" s="468"/>
      <c r="ES21" s="149"/>
      <c r="ET21" s="149"/>
    </row>
    <row r="22" spans="1:150" x14ac:dyDescent="0.2">
      <c r="A22" s="275">
        <v>45794</v>
      </c>
      <c r="B22" s="33"/>
      <c r="C22" s="33"/>
      <c r="D22" s="546"/>
      <c r="E22" s="234"/>
      <c r="F22" s="547"/>
      <c r="G22" s="33"/>
      <c r="H22" s="186"/>
      <c r="I22" s="183"/>
      <c r="J22" s="546"/>
      <c r="K22" s="185"/>
      <c r="L22" s="241"/>
      <c r="M22" s="184"/>
      <c r="N22" s="546"/>
      <c r="O22" s="185"/>
      <c r="P22" s="241"/>
      <c r="Q22" s="34"/>
      <c r="R22" s="546"/>
      <c r="S22" s="33"/>
      <c r="T22" s="33"/>
      <c r="U22" s="241"/>
      <c r="V22" s="34"/>
      <c r="W22" s="548"/>
      <c r="X22" s="185"/>
      <c r="Y22" s="241"/>
      <c r="Z22" s="34"/>
      <c r="AA22" s="249"/>
      <c r="AB22" s="185"/>
      <c r="AC22" s="241"/>
      <c r="AD22" s="34"/>
      <c r="AE22" s="243"/>
      <c r="AF22" s="241"/>
      <c r="AG22" s="242"/>
      <c r="AH22" s="34"/>
      <c r="AI22" s="549"/>
      <c r="AJ22" s="574"/>
      <c r="AK22" s="550"/>
      <c r="AL22" s="34"/>
      <c r="AM22" s="551"/>
      <c r="AN22" s="241"/>
      <c r="AO22" s="189"/>
      <c r="AP22" s="34"/>
      <c r="AQ22" s="248"/>
      <c r="AR22" s="241"/>
      <c r="AS22" s="34"/>
      <c r="AT22" s="552"/>
      <c r="AU22" s="191"/>
      <c r="AV22" s="553"/>
      <c r="AW22" s="34"/>
      <c r="AX22" s="187"/>
      <c r="AY22" s="245"/>
      <c r="AZ22" s="245"/>
      <c r="BA22" s="246"/>
      <c r="BC22" s="554"/>
      <c r="BD22" s="555"/>
      <c r="BE22" s="556"/>
      <c r="BF22" s="557"/>
      <c r="BG22" s="212"/>
      <c r="BH22" s="555"/>
      <c r="BI22" s="555"/>
      <c r="BJ22" s="555"/>
      <c r="BL22" s="149"/>
      <c r="BN22" s="575"/>
      <c r="BP22" s="33"/>
      <c r="BQ22" s="33"/>
      <c r="BR22" s="232"/>
      <c r="BT22" s="33"/>
      <c r="BU22" s="33"/>
      <c r="BV22" s="232"/>
      <c r="BX22" s="33"/>
      <c r="BY22" s="33"/>
      <c r="BZ22" s="232"/>
      <c r="CB22" s="33"/>
      <c r="CC22" s="33"/>
      <c r="CD22" s="232"/>
      <c r="CF22" s="33"/>
      <c r="CG22" s="33"/>
      <c r="CH22" s="232"/>
      <c r="CI22" s="33"/>
      <c r="CJ22" s="33"/>
      <c r="CK22" s="232"/>
      <c r="CM22" s="33"/>
      <c r="CN22" s="33"/>
      <c r="CP22" s="33"/>
      <c r="CQ22" s="33"/>
      <c r="CR22" s="134"/>
      <c r="CS22" s="232"/>
      <c r="CT22" s="469"/>
      <c r="CV22" s="33"/>
      <c r="CW22" s="33"/>
      <c r="CX22" s="470"/>
      <c r="CZ22" s="33"/>
      <c r="DA22" s="33"/>
      <c r="DB22" s="232"/>
      <c r="DD22" s="33"/>
      <c r="DE22" s="33"/>
      <c r="DF22" s="232"/>
      <c r="DH22" s="33"/>
      <c r="DI22" s="33"/>
      <c r="DJ22" s="232"/>
      <c r="DL22" s="33"/>
      <c r="DM22" s="33"/>
      <c r="DN22" s="232"/>
      <c r="DP22" s="33"/>
      <c r="DQ22" s="33"/>
      <c r="DR22" s="232"/>
      <c r="DT22" s="33"/>
      <c r="DU22" s="33"/>
      <c r="DV22" s="232"/>
      <c r="DW22" s="558"/>
      <c r="DX22" s="33"/>
      <c r="DZ22" s="33"/>
      <c r="EA22" s="232"/>
      <c r="EC22" s="190"/>
      <c r="ED22" s="263"/>
      <c r="EF22" s="33"/>
      <c r="EG22" s="269"/>
      <c r="EH22" s="232"/>
      <c r="EJ22" s="33"/>
      <c r="EK22" s="269"/>
      <c r="EL22" s="232"/>
      <c r="EN22" s="149"/>
      <c r="EO22" s="464"/>
      <c r="EP22" s="559"/>
      <c r="EQ22" s="468"/>
      <c r="ES22" s="149"/>
      <c r="ET22" s="149"/>
    </row>
    <row r="23" spans="1:150" x14ac:dyDescent="0.2">
      <c r="A23" s="275">
        <v>45795</v>
      </c>
      <c r="B23" s="33"/>
      <c r="C23" s="33"/>
      <c r="D23" s="546"/>
      <c r="E23" s="234"/>
      <c r="F23" s="547"/>
      <c r="G23" s="33"/>
      <c r="H23" s="186"/>
      <c r="I23" s="183"/>
      <c r="J23" s="546"/>
      <c r="K23" s="185"/>
      <c r="L23" s="241"/>
      <c r="M23" s="184"/>
      <c r="N23" s="546"/>
      <c r="O23" s="185"/>
      <c r="P23" s="241"/>
      <c r="Q23" s="34"/>
      <c r="R23" s="546"/>
      <c r="S23" s="33"/>
      <c r="T23" s="33"/>
      <c r="U23" s="241"/>
      <c r="V23" s="34"/>
      <c r="W23" s="548"/>
      <c r="X23" s="185"/>
      <c r="Y23" s="241"/>
      <c r="Z23" s="34"/>
      <c r="AA23" s="249"/>
      <c r="AB23" s="185"/>
      <c r="AC23" s="241"/>
      <c r="AD23" s="34"/>
      <c r="AE23" s="243"/>
      <c r="AF23" s="241"/>
      <c r="AG23" s="242"/>
      <c r="AH23" s="34"/>
      <c r="AI23" s="549"/>
      <c r="AJ23" s="574"/>
      <c r="AK23" s="550"/>
      <c r="AL23" s="34"/>
      <c r="AM23" s="551"/>
      <c r="AN23" s="241"/>
      <c r="AO23" s="189"/>
      <c r="AP23" s="34"/>
      <c r="AQ23" s="248"/>
      <c r="AR23" s="241"/>
      <c r="AS23" s="34"/>
      <c r="AT23" s="552"/>
      <c r="AU23" s="191"/>
      <c r="AV23" s="553"/>
      <c r="AW23" s="34"/>
      <c r="AX23" s="187"/>
      <c r="AY23" s="245"/>
      <c r="AZ23" s="245"/>
      <c r="BA23" s="246"/>
      <c r="BC23" s="554"/>
      <c r="BD23" s="555"/>
      <c r="BE23" s="556"/>
      <c r="BF23" s="557"/>
      <c r="BG23" s="212"/>
      <c r="BH23" s="555"/>
      <c r="BI23" s="555"/>
      <c r="BJ23" s="555"/>
      <c r="BL23" s="149"/>
      <c r="BN23" s="575"/>
      <c r="BP23" s="33"/>
      <c r="BQ23" s="33"/>
      <c r="BR23" s="232"/>
      <c r="BT23" s="33"/>
      <c r="BU23" s="33"/>
      <c r="BV23" s="232"/>
      <c r="BX23" s="33"/>
      <c r="BY23" s="33"/>
      <c r="BZ23" s="232"/>
      <c r="CB23" s="33"/>
      <c r="CC23" s="33"/>
      <c r="CD23" s="232"/>
      <c r="CF23" s="33"/>
      <c r="CG23" s="33"/>
      <c r="CH23" s="232"/>
      <c r="CI23" s="33"/>
      <c r="CJ23" s="33"/>
      <c r="CK23" s="232"/>
      <c r="CM23" s="33"/>
      <c r="CN23" s="33"/>
      <c r="CP23" s="33"/>
      <c r="CQ23" s="33"/>
      <c r="CR23" s="134"/>
      <c r="CS23" s="232"/>
      <c r="CT23" s="469"/>
      <c r="CV23" s="33"/>
      <c r="CW23" s="33"/>
      <c r="CX23" s="470"/>
      <c r="CZ23" s="33"/>
      <c r="DA23" s="33"/>
      <c r="DB23" s="232"/>
      <c r="DD23" s="33"/>
      <c r="DE23" s="33"/>
      <c r="DF23" s="232"/>
      <c r="DH23" s="33"/>
      <c r="DI23" s="33"/>
      <c r="DJ23" s="232"/>
      <c r="DL23" s="33"/>
      <c r="DM23" s="33"/>
      <c r="DN23" s="232"/>
      <c r="DP23" s="33"/>
      <c r="DQ23" s="33"/>
      <c r="DR23" s="232"/>
      <c r="DT23" s="33"/>
      <c r="DU23" s="33"/>
      <c r="DV23" s="232"/>
      <c r="DW23" s="558"/>
      <c r="DX23" s="33"/>
      <c r="DZ23" s="33"/>
      <c r="EA23" s="232"/>
      <c r="EC23" s="190"/>
      <c r="ED23" s="263"/>
      <c r="EF23" s="33"/>
      <c r="EG23" s="269"/>
      <c r="EH23" s="232"/>
      <c r="EJ23" s="33"/>
      <c r="EK23" s="269"/>
      <c r="EL23" s="232"/>
      <c r="EN23" s="149"/>
      <c r="EO23" s="464"/>
      <c r="EP23" s="559"/>
      <c r="EQ23" s="468"/>
      <c r="ES23" s="149"/>
      <c r="ET23" s="149"/>
    </row>
    <row r="24" spans="1:150" x14ac:dyDescent="0.2">
      <c r="A24" s="275">
        <v>45796</v>
      </c>
      <c r="B24" s="33"/>
      <c r="C24" s="33"/>
      <c r="D24" s="546"/>
      <c r="E24" s="234"/>
      <c r="F24" s="547"/>
      <c r="G24" s="33"/>
      <c r="H24" s="186"/>
      <c r="I24" s="183"/>
      <c r="J24" s="546"/>
      <c r="K24" s="185"/>
      <c r="L24" s="241"/>
      <c r="M24" s="184"/>
      <c r="N24" s="546"/>
      <c r="O24" s="185"/>
      <c r="P24" s="241"/>
      <c r="Q24" s="34"/>
      <c r="R24" s="546"/>
      <c r="S24" s="33"/>
      <c r="T24" s="33"/>
      <c r="U24" s="241"/>
      <c r="V24" s="34"/>
      <c r="W24" s="548"/>
      <c r="X24" s="185"/>
      <c r="Y24" s="241"/>
      <c r="Z24" s="34"/>
      <c r="AA24" s="249"/>
      <c r="AB24" s="185"/>
      <c r="AC24" s="241"/>
      <c r="AD24" s="34"/>
      <c r="AE24" s="243"/>
      <c r="AF24" s="241"/>
      <c r="AG24" s="242"/>
      <c r="AH24" s="34"/>
      <c r="AI24" s="549"/>
      <c r="AJ24" s="574"/>
      <c r="AK24" s="550"/>
      <c r="AL24" s="34"/>
      <c r="AM24" s="551"/>
      <c r="AN24" s="241"/>
      <c r="AO24" s="189"/>
      <c r="AP24" s="34"/>
      <c r="AQ24" s="248"/>
      <c r="AR24" s="241"/>
      <c r="AS24" s="34"/>
      <c r="AT24" s="552"/>
      <c r="AU24" s="191"/>
      <c r="AV24" s="553"/>
      <c r="AW24" s="34"/>
      <c r="AX24" s="187"/>
      <c r="AY24" s="245"/>
      <c r="AZ24" s="245"/>
      <c r="BA24" s="246"/>
      <c r="BC24" s="554"/>
      <c r="BD24" s="555"/>
      <c r="BE24" s="556"/>
      <c r="BF24" s="557"/>
      <c r="BG24" s="212"/>
      <c r="BH24" s="555"/>
      <c r="BI24" s="555"/>
      <c r="BJ24" s="555"/>
      <c r="BL24" s="149"/>
      <c r="BN24" s="575"/>
      <c r="BP24" s="33"/>
      <c r="BQ24" s="33"/>
      <c r="BR24" s="232"/>
      <c r="BT24" s="33"/>
      <c r="BU24" s="33"/>
      <c r="BV24" s="232"/>
      <c r="BX24" s="33"/>
      <c r="BY24" s="33"/>
      <c r="BZ24" s="232"/>
      <c r="CB24" s="33"/>
      <c r="CC24" s="33"/>
      <c r="CD24" s="232"/>
      <c r="CF24" s="33"/>
      <c r="CG24" s="33"/>
      <c r="CH24" s="232"/>
      <c r="CI24" s="33"/>
      <c r="CJ24" s="33"/>
      <c r="CK24" s="232"/>
      <c r="CM24" s="33"/>
      <c r="CN24" s="33"/>
      <c r="CP24" s="33"/>
      <c r="CQ24" s="33"/>
      <c r="CR24" s="134"/>
      <c r="CS24" s="232"/>
      <c r="CT24" s="469"/>
      <c r="CV24" s="33"/>
      <c r="CW24" s="33"/>
      <c r="CX24" s="470"/>
      <c r="CZ24" s="33"/>
      <c r="DA24" s="33"/>
      <c r="DB24" s="232"/>
      <c r="DD24" s="33"/>
      <c r="DE24" s="33"/>
      <c r="DF24" s="232"/>
      <c r="DH24" s="33"/>
      <c r="DI24" s="33"/>
      <c r="DJ24" s="232"/>
      <c r="DL24" s="33"/>
      <c r="DM24" s="33"/>
      <c r="DN24" s="232"/>
      <c r="DP24" s="33"/>
      <c r="DQ24" s="33"/>
      <c r="DR24" s="232"/>
      <c r="DT24" s="33"/>
      <c r="DU24" s="33"/>
      <c r="DV24" s="232"/>
      <c r="DW24" s="558"/>
      <c r="DX24" s="33"/>
      <c r="DZ24" s="33"/>
      <c r="EA24" s="232"/>
      <c r="EC24" s="190"/>
      <c r="ED24" s="263"/>
      <c r="EF24" s="33"/>
      <c r="EG24" s="269"/>
      <c r="EH24" s="232"/>
      <c r="EJ24" s="33"/>
      <c r="EK24" s="269"/>
      <c r="EL24" s="232"/>
      <c r="EN24" s="149"/>
      <c r="EO24" s="464"/>
      <c r="EP24" s="559"/>
      <c r="EQ24" s="468"/>
      <c r="ES24" s="149"/>
      <c r="ET24" s="149"/>
    </row>
    <row r="25" spans="1:150" x14ac:dyDescent="0.2">
      <c r="A25" s="275">
        <v>45797</v>
      </c>
      <c r="B25" s="33"/>
      <c r="C25" s="33"/>
      <c r="D25" s="546"/>
      <c r="E25" s="234"/>
      <c r="F25" s="547"/>
      <c r="G25" s="33"/>
      <c r="H25" s="186"/>
      <c r="I25" s="183"/>
      <c r="J25" s="546"/>
      <c r="K25" s="185"/>
      <c r="L25" s="241"/>
      <c r="M25" s="184"/>
      <c r="N25" s="546"/>
      <c r="O25" s="185"/>
      <c r="P25" s="241"/>
      <c r="Q25" s="34"/>
      <c r="R25" s="546"/>
      <c r="S25" s="33"/>
      <c r="T25" s="33"/>
      <c r="U25" s="241"/>
      <c r="V25" s="34"/>
      <c r="W25" s="548"/>
      <c r="X25" s="185"/>
      <c r="Y25" s="241"/>
      <c r="Z25" s="34"/>
      <c r="AA25" s="249"/>
      <c r="AB25" s="185"/>
      <c r="AC25" s="241"/>
      <c r="AD25" s="34"/>
      <c r="AE25" s="243"/>
      <c r="AF25" s="241"/>
      <c r="AG25" s="242"/>
      <c r="AH25" s="34"/>
      <c r="AI25" s="549"/>
      <c r="AJ25" s="574"/>
      <c r="AK25" s="550"/>
      <c r="AL25" s="34"/>
      <c r="AM25" s="551"/>
      <c r="AN25" s="241"/>
      <c r="AO25" s="189"/>
      <c r="AP25" s="34"/>
      <c r="AQ25" s="248"/>
      <c r="AR25" s="241"/>
      <c r="AS25" s="34"/>
      <c r="AT25" s="552"/>
      <c r="AU25" s="191"/>
      <c r="AV25" s="553"/>
      <c r="AW25" s="34"/>
      <c r="AX25" s="187"/>
      <c r="AY25" s="245"/>
      <c r="AZ25" s="245"/>
      <c r="BA25" s="246"/>
      <c r="BC25" s="554"/>
      <c r="BD25" s="555"/>
      <c r="BE25" s="556"/>
      <c r="BF25" s="557"/>
      <c r="BG25" s="212"/>
      <c r="BH25" s="555"/>
      <c r="BI25" s="555"/>
      <c r="BJ25" s="555"/>
      <c r="BL25" s="149"/>
      <c r="BN25" s="575"/>
      <c r="BP25" s="33"/>
      <c r="BQ25" s="33"/>
      <c r="BR25" s="232"/>
      <c r="BT25" s="33"/>
      <c r="BU25" s="33"/>
      <c r="BV25" s="232"/>
      <c r="BX25" s="33"/>
      <c r="BY25" s="33"/>
      <c r="BZ25" s="232"/>
      <c r="CB25" s="33"/>
      <c r="CC25" s="33"/>
      <c r="CD25" s="232"/>
      <c r="CF25" s="33"/>
      <c r="CG25" s="33"/>
      <c r="CH25" s="232"/>
      <c r="CI25" s="33"/>
      <c r="CJ25" s="33"/>
      <c r="CK25" s="232"/>
      <c r="CM25" s="33"/>
      <c r="CN25" s="33"/>
      <c r="CP25" s="33"/>
      <c r="CQ25" s="33"/>
      <c r="CR25" s="134"/>
      <c r="CS25" s="232"/>
      <c r="CT25" s="469"/>
      <c r="CV25" s="33"/>
      <c r="CW25" s="33"/>
      <c r="CX25" s="470"/>
      <c r="CZ25" s="33"/>
      <c r="DA25" s="33"/>
      <c r="DB25" s="232"/>
      <c r="DD25" s="33"/>
      <c r="DE25" s="33"/>
      <c r="DF25" s="232"/>
      <c r="DH25" s="33"/>
      <c r="DI25" s="33"/>
      <c r="DJ25" s="232"/>
      <c r="DL25" s="33"/>
      <c r="DM25" s="33"/>
      <c r="DN25" s="232"/>
      <c r="DP25" s="33"/>
      <c r="DQ25" s="33"/>
      <c r="DR25" s="232"/>
      <c r="DT25" s="33"/>
      <c r="DU25" s="33"/>
      <c r="DV25" s="232"/>
      <c r="DW25" s="558"/>
      <c r="DX25" s="33"/>
      <c r="DZ25" s="33"/>
      <c r="EA25" s="232"/>
      <c r="EC25" s="190"/>
      <c r="ED25" s="263"/>
      <c r="EF25" s="33"/>
      <c r="EG25" s="269"/>
      <c r="EH25" s="232"/>
      <c r="EJ25" s="33"/>
      <c r="EK25" s="269"/>
      <c r="EL25" s="232"/>
      <c r="EN25" s="149"/>
      <c r="EO25" s="464"/>
      <c r="EP25" s="559"/>
      <c r="EQ25" s="468"/>
      <c r="ES25" s="149"/>
      <c r="ET25" s="149"/>
    </row>
    <row r="26" spans="1:150" x14ac:dyDescent="0.2">
      <c r="A26" s="275">
        <v>45798</v>
      </c>
      <c r="B26" s="33"/>
      <c r="C26" s="33"/>
      <c r="D26" s="546"/>
      <c r="E26" s="234"/>
      <c r="F26" s="547"/>
      <c r="G26" s="33"/>
      <c r="H26" s="186"/>
      <c r="I26" s="183"/>
      <c r="J26" s="546"/>
      <c r="K26" s="185"/>
      <c r="L26" s="241"/>
      <c r="M26" s="184"/>
      <c r="N26" s="546"/>
      <c r="O26" s="185"/>
      <c r="P26" s="241"/>
      <c r="Q26" s="34"/>
      <c r="R26" s="546"/>
      <c r="S26" s="33"/>
      <c r="T26" s="33"/>
      <c r="U26" s="241"/>
      <c r="V26" s="34"/>
      <c r="W26" s="548"/>
      <c r="X26" s="185"/>
      <c r="Y26" s="241"/>
      <c r="Z26" s="34"/>
      <c r="AA26" s="249"/>
      <c r="AB26" s="185"/>
      <c r="AC26" s="241"/>
      <c r="AD26" s="34"/>
      <c r="AE26" s="243"/>
      <c r="AF26" s="241"/>
      <c r="AG26" s="242"/>
      <c r="AH26" s="34"/>
      <c r="AI26" s="549"/>
      <c r="AJ26" s="574"/>
      <c r="AK26" s="550"/>
      <c r="AL26" s="34"/>
      <c r="AM26" s="551"/>
      <c r="AN26" s="241"/>
      <c r="AO26" s="189"/>
      <c r="AP26" s="34"/>
      <c r="AQ26" s="248"/>
      <c r="AR26" s="241"/>
      <c r="AS26" s="34"/>
      <c r="AT26" s="552"/>
      <c r="AU26" s="191"/>
      <c r="AV26" s="553"/>
      <c r="AW26" s="34"/>
      <c r="AX26" s="187"/>
      <c r="AY26" s="245"/>
      <c r="AZ26" s="245"/>
      <c r="BA26" s="246"/>
      <c r="BC26" s="554"/>
      <c r="BD26" s="555"/>
      <c r="BE26" s="556"/>
      <c r="BF26" s="557"/>
      <c r="BG26" s="212"/>
      <c r="BH26" s="555"/>
      <c r="BI26" s="555"/>
      <c r="BJ26" s="555"/>
      <c r="BL26" s="149"/>
      <c r="BN26" s="575"/>
      <c r="BP26" s="33"/>
      <c r="BQ26" s="33"/>
      <c r="BR26" s="232"/>
      <c r="BT26" s="33"/>
      <c r="BU26" s="33"/>
      <c r="BV26" s="232"/>
      <c r="BX26" s="33"/>
      <c r="BY26" s="33"/>
      <c r="BZ26" s="232"/>
      <c r="CB26" s="33"/>
      <c r="CC26" s="33"/>
      <c r="CD26" s="232"/>
      <c r="CF26" s="33"/>
      <c r="CG26" s="33"/>
      <c r="CH26" s="232"/>
      <c r="CI26" s="33"/>
      <c r="CJ26" s="33"/>
      <c r="CK26" s="232"/>
      <c r="CM26" s="33"/>
      <c r="CN26" s="33"/>
      <c r="CP26" s="33"/>
      <c r="CQ26" s="33"/>
      <c r="CR26" s="134"/>
      <c r="CS26" s="232"/>
      <c r="CT26" s="469"/>
      <c r="CV26" s="33"/>
      <c r="CW26" s="33"/>
      <c r="CX26" s="470"/>
      <c r="CZ26" s="33"/>
      <c r="DA26" s="33"/>
      <c r="DB26" s="232"/>
      <c r="DD26" s="33"/>
      <c r="DE26" s="33"/>
      <c r="DF26" s="232"/>
      <c r="DH26" s="33"/>
      <c r="DI26" s="33"/>
      <c r="DJ26" s="232"/>
      <c r="DL26" s="33"/>
      <c r="DM26" s="33"/>
      <c r="DN26" s="232"/>
      <c r="DP26" s="33"/>
      <c r="DQ26" s="33"/>
      <c r="DR26" s="232"/>
      <c r="DT26" s="33"/>
      <c r="DU26" s="33"/>
      <c r="DV26" s="232"/>
      <c r="DW26" s="558"/>
      <c r="DX26" s="33"/>
      <c r="DZ26" s="33"/>
      <c r="EA26" s="232"/>
      <c r="EC26" s="190"/>
      <c r="ED26" s="263"/>
      <c r="EF26" s="33"/>
      <c r="EG26" s="269"/>
      <c r="EH26" s="232"/>
      <c r="EJ26" s="33"/>
      <c r="EK26" s="269"/>
      <c r="EL26" s="232"/>
      <c r="EN26" s="149"/>
      <c r="EO26" s="464"/>
      <c r="EP26" s="559"/>
      <c r="EQ26" s="468"/>
      <c r="ES26" s="149"/>
      <c r="ET26" s="149"/>
    </row>
    <row r="27" spans="1:150" x14ac:dyDescent="0.2">
      <c r="A27" s="275">
        <v>45799</v>
      </c>
      <c r="B27" s="33"/>
      <c r="C27" s="33"/>
      <c r="D27" s="546"/>
      <c r="E27" s="234"/>
      <c r="F27" s="547"/>
      <c r="G27" s="33"/>
      <c r="H27" s="186"/>
      <c r="I27" s="183"/>
      <c r="J27" s="546"/>
      <c r="K27" s="185"/>
      <c r="L27" s="241"/>
      <c r="M27" s="184"/>
      <c r="N27" s="546"/>
      <c r="O27" s="185"/>
      <c r="P27" s="241"/>
      <c r="Q27" s="34"/>
      <c r="R27" s="546"/>
      <c r="S27" s="33"/>
      <c r="T27" s="33"/>
      <c r="U27" s="241"/>
      <c r="V27" s="34"/>
      <c r="W27" s="548"/>
      <c r="X27" s="185"/>
      <c r="Y27" s="241"/>
      <c r="Z27" s="34"/>
      <c r="AA27" s="249"/>
      <c r="AB27" s="185"/>
      <c r="AC27" s="241"/>
      <c r="AD27" s="34"/>
      <c r="AE27" s="243"/>
      <c r="AF27" s="241"/>
      <c r="AG27" s="242"/>
      <c r="AH27" s="34"/>
      <c r="AI27" s="549"/>
      <c r="AJ27" s="574"/>
      <c r="AK27" s="550"/>
      <c r="AL27" s="34"/>
      <c r="AM27" s="551"/>
      <c r="AN27" s="241"/>
      <c r="AO27" s="189"/>
      <c r="AP27" s="34"/>
      <c r="AQ27" s="248"/>
      <c r="AR27" s="241"/>
      <c r="AS27" s="34"/>
      <c r="AT27" s="552"/>
      <c r="AU27" s="191"/>
      <c r="AV27" s="553"/>
      <c r="AW27" s="34"/>
      <c r="AX27" s="187"/>
      <c r="AY27" s="245"/>
      <c r="AZ27" s="245"/>
      <c r="BA27" s="246"/>
      <c r="BC27" s="554"/>
      <c r="BD27" s="555"/>
      <c r="BE27" s="556"/>
      <c r="BF27" s="557"/>
      <c r="BG27" s="212"/>
      <c r="BH27" s="555"/>
      <c r="BI27" s="555"/>
      <c r="BJ27" s="555"/>
      <c r="BL27" s="149"/>
      <c r="BN27" s="575"/>
      <c r="BP27" s="33"/>
      <c r="BQ27" s="33"/>
      <c r="BR27" s="232"/>
      <c r="BT27" s="33"/>
      <c r="BU27" s="33"/>
      <c r="BV27" s="232"/>
      <c r="BX27" s="33"/>
      <c r="BY27" s="33"/>
      <c r="BZ27" s="232"/>
      <c r="CB27" s="33"/>
      <c r="CC27" s="33"/>
      <c r="CD27" s="232"/>
      <c r="CF27" s="33"/>
      <c r="CG27" s="33"/>
      <c r="CH27" s="232"/>
      <c r="CI27" s="33"/>
      <c r="CJ27" s="33"/>
      <c r="CK27" s="232"/>
      <c r="CM27" s="33"/>
      <c r="CN27" s="33"/>
      <c r="CP27" s="33"/>
      <c r="CQ27" s="33"/>
      <c r="CR27" s="134"/>
      <c r="CS27" s="232"/>
      <c r="CT27" s="469"/>
      <c r="CV27" s="33"/>
      <c r="CW27" s="33"/>
      <c r="CX27" s="470"/>
      <c r="CZ27" s="33"/>
      <c r="DA27" s="33"/>
      <c r="DB27" s="232"/>
      <c r="DD27" s="33"/>
      <c r="DE27" s="33"/>
      <c r="DF27" s="232"/>
      <c r="DH27" s="33"/>
      <c r="DI27" s="33"/>
      <c r="DJ27" s="232"/>
      <c r="DL27" s="33"/>
      <c r="DM27" s="33"/>
      <c r="DN27" s="232"/>
      <c r="DP27" s="33"/>
      <c r="DQ27" s="33"/>
      <c r="DR27" s="232"/>
      <c r="DT27" s="33"/>
      <c r="DU27" s="33"/>
      <c r="DV27" s="232"/>
      <c r="DW27" s="558"/>
      <c r="DX27" s="33"/>
      <c r="DZ27" s="33"/>
      <c r="EA27" s="232"/>
      <c r="EC27" s="190"/>
      <c r="ED27" s="263"/>
      <c r="EF27" s="33"/>
      <c r="EG27" s="269"/>
      <c r="EH27" s="232"/>
      <c r="EJ27" s="33"/>
      <c r="EK27" s="269"/>
      <c r="EL27" s="232"/>
      <c r="EN27" s="149"/>
      <c r="EO27" s="464"/>
      <c r="EP27" s="559"/>
      <c r="EQ27" s="468"/>
      <c r="ES27" s="149"/>
      <c r="ET27" s="149"/>
    </row>
    <row r="28" spans="1:150" x14ac:dyDescent="0.2">
      <c r="A28" s="275">
        <v>45800</v>
      </c>
      <c r="B28" s="33"/>
      <c r="C28" s="33"/>
      <c r="D28" s="546"/>
      <c r="E28" s="234"/>
      <c r="F28" s="547"/>
      <c r="G28" s="33"/>
      <c r="H28" s="186"/>
      <c r="I28" s="183"/>
      <c r="J28" s="546"/>
      <c r="K28" s="185"/>
      <c r="L28" s="241"/>
      <c r="M28" s="184"/>
      <c r="N28" s="546"/>
      <c r="O28" s="185"/>
      <c r="P28" s="241"/>
      <c r="Q28" s="34"/>
      <c r="R28" s="546"/>
      <c r="S28" s="33"/>
      <c r="T28" s="33"/>
      <c r="U28" s="241"/>
      <c r="V28" s="34"/>
      <c r="W28" s="548"/>
      <c r="X28" s="185"/>
      <c r="Y28" s="241"/>
      <c r="Z28" s="34"/>
      <c r="AA28" s="249"/>
      <c r="AB28" s="185"/>
      <c r="AC28" s="241"/>
      <c r="AD28" s="34"/>
      <c r="AE28" s="243"/>
      <c r="AF28" s="241"/>
      <c r="AG28" s="242"/>
      <c r="AH28" s="34"/>
      <c r="AI28" s="549"/>
      <c r="AJ28" s="574"/>
      <c r="AK28" s="550"/>
      <c r="AL28" s="34"/>
      <c r="AM28" s="551"/>
      <c r="AN28" s="241"/>
      <c r="AO28" s="189"/>
      <c r="AP28" s="34"/>
      <c r="AQ28" s="248"/>
      <c r="AR28" s="241"/>
      <c r="AS28" s="34"/>
      <c r="AT28" s="552"/>
      <c r="AU28" s="191"/>
      <c r="AV28" s="553"/>
      <c r="AW28" s="34"/>
      <c r="AX28" s="187"/>
      <c r="AY28" s="245"/>
      <c r="AZ28" s="245"/>
      <c r="BA28" s="246"/>
      <c r="BC28" s="554"/>
      <c r="BD28" s="555"/>
      <c r="BE28" s="556"/>
      <c r="BF28" s="557"/>
      <c r="BG28" s="212"/>
      <c r="BH28" s="555"/>
      <c r="BI28" s="555"/>
      <c r="BJ28" s="555"/>
      <c r="BL28" s="149"/>
      <c r="BN28" s="575"/>
      <c r="BP28" s="33"/>
      <c r="BQ28" s="33"/>
      <c r="BR28" s="232"/>
      <c r="BT28" s="33"/>
      <c r="BU28" s="33"/>
      <c r="BV28" s="232"/>
      <c r="BX28" s="33"/>
      <c r="BY28" s="33"/>
      <c r="BZ28" s="232"/>
      <c r="CB28" s="33"/>
      <c r="CC28" s="33"/>
      <c r="CD28" s="232"/>
      <c r="CF28" s="33"/>
      <c r="CG28" s="33"/>
      <c r="CH28" s="232"/>
      <c r="CI28" s="33"/>
      <c r="CJ28" s="33"/>
      <c r="CK28" s="232"/>
      <c r="CM28" s="33"/>
      <c r="CN28" s="33"/>
      <c r="CP28" s="33"/>
      <c r="CQ28" s="33"/>
      <c r="CR28" s="134"/>
      <c r="CS28" s="232"/>
      <c r="CT28" s="469"/>
      <c r="CV28" s="33"/>
      <c r="CW28" s="33"/>
      <c r="CX28" s="470"/>
      <c r="CZ28" s="33"/>
      <c r="DA28" s="33"/>
      <c r="DB28" s="232"/>
      <c r="DD28" s="33"/>
      <c r="DE28" s="33"/>
      <c r="DF28" s="232"/>
      <c r="DH28" s="33"/>
      <c r="DI28" s="33"/>
      <c r="DJ28" s="232"/>
      <c r="DL28" s="33"/>
      <c r="DM28" s="33"/>
      <c r="DN28" s="232"/>
      <c r="DP28" s="33"/>
      <c r="DQ28" s="33"/>
      <c r="DR28" s="232"/>
      <c r="DT28" s="33"/>
      <c r="DU28" s="33"/>
      <c r="DV28" s="232"/>
      <c r="DW28" s="558"/>
      <c r="DX28" s="33"/>
      <c r="DZ28" s="33"/>
      <c r="EA28" s="232"/>
      <c r="EC28" s="190"/>
      <c r="ED28" s="263"/>
      <c r="EF28" s="33"/>
      <c r="EG28" s="269"/>
      <c r="EH28" s="232"/>
      <c r="EJ28" s="33"/>
      <c r="EK28" s="269"/>
      <c r="EL28" s="232"/>
      <c r="EN28" s="149"/>
      <c r="EO28" s="464"/>
      <c r="EP28" s="559"/>
      <c r="EQ28" s="468"/>
      <c r="ES28" s="149"/>
      <c r="ET28" s="149"/>
    </row>
    <row r="29" spans="1:150" x14ac:dyDescent="0.2">
      <c r="A29" s="275">
        <v>45801</v>
      </c>
      <c r="B29" s="33"/>
      <c r="C29" s="33"/>
      <c r="D29" s="546"/>
      <c r="E29" s="234"/>
      <c r="F29" s="547"/>
      <c r="G29" s="33"/>
      <c r="H29" s="186"/>
      <c r="I29" s="183"/>
      <c r="J29" s="546"/>
      <c r="K29" s="185"/>
      <c r="L29" s="241"/>
      <c r="M29" s="184"/>
      <c r="N29" s="546"/>
      <c r="O29" s="185"/>
      <c r="P29" s="241"/>
      <c r="Q29" s="34"/>
      <c r="R29" s="546"/>
      <c r="S29" s="33"/>
      <c r="T29" s="33"/>
      <c r="U29" s="241"/>
      <c r="V29" s="34"/>
      <c r="W29" s="548"/>
      <c r="X29" s="185"/>
      <c r="Y29" s="241"/>
      <c r="Z29" s="34"/>
      <c r="AA29" s="249"/>
      <c r="AB29" s="185"/>
      <c r="AC29" s="241"/>
      <c r="AD29" s="34"/>
      <c r="AE29" s="243"/>
      <c r="AF29" s="241"/>
      <c r="AG29" s="242"/>
      <c r="AH29" s="34"/>
      <c r="AI29" s="549"/>
      <c r="AJ29" s="574"/>
      <c r="AK29" s="550"/>
      <c r="AL29" s="34"/>
      <c r="AM29" s="551"/>
      <c r="AN29" s="241"/>
      <c r="AO29" s="189"/>
      <c r="AP29" s="34"/>
      <c r="AQ29" s="248"/>
      <c r="AR29" s="241"/>
      <c r="AS29" s="34"/>
      <c r="AT29" s="552"/>
      <c r="AU29" s="191"/>
      <c r="AV29" s="553"/>
      <c r="AW29" s="34"/>
      <c r="AX29" s="187"/>
      <c r="AY29" s="245"/>
      <c r="AZ29" s="245"/>
      <c r="BA29" s="246"/>
      <c r="BC29" s="554"/>
      <c r="BD29" s="555"/>
      <c r="BE29" s="556"/>
      <c r="BF29" s="557"/>
      <c r="BG29" s="212"/>
      <c r="BH29" s="555"/>
      <c r="BI29" s="555"/>
      <c r="BJ29" s="555"/>
      <c r="BL29" s="149"/>
      <c r="BN29" s="575"/>
      <c r="BP29" s="33"/>
      <c r="BQ29" s="33"/>
      <c r="BR29" s="232"/>
      <c r="BT29" s="33"/>
      <c r="BU29" s="33"/>
      <c r="BV29" s="232"/>
      <c r="BX29" s="33"/>
      <c r="BY29" s="33"/>
      <c r="BZ29" s="232"/>
      <c r="CB29" s="33"/>
      <c r="CC29" s="33"/>
      <c r="CD29" s="232"/>
      <c r="CF29" s="33"/>
      <c r="CG29" s="33"/>
      <c r="CH29" s="232"/>
      <c r="CI29" s="33"/>
      <c r="CJ29" s="33"/>
      <c r="CK29" s="232"/>
      <c r="CM29" s="33"/>
      <c r="CN29" s="33"/>
      <c r="CP29" s="33"/>
      <c r="CQ29" s="33"/>
      <c r="CR29" s="134"/>
      <c r="CS29" s="232"/>
      <c r="CT29" s="469"/>
      <c r="CV29" s="33"/>
      <c r="CW29" s="33"/>
      <c r="CX29" s="470"/>
      <c r="CZ29" s="33"/>
      <c r="DA29" s="33"/>
      <c r="DB29" s="232"/>
      <c r="DD29" s="33"/>
      <c r="DE29" s="33"/>
      <c r="DF29" s="232"/>
      <c r="DH29" s="33"/>
      <c r="DI29" s="33"/>
      <c r="DJ29" s="232"/>
      <c r="DL29" s="33"/>
      <c r="DM29" s="33"/>
      <c r="DN29" s="232"/>
      <c r="DP29" s="33"/>
      <c r="DQ29" s="33"/>
      <c r="DR29" s="232"/>
      <c r="DT29" s="33"/>
      <c r="DU29" s="33"/>
      <c r="DV29" s="232"/>
      <c r="DW29" s="558"/>
      <c r="DX29" s="33"/>
      <c r="DZ29" s="33"/>
      <c r="EA29" s="232"/>
      <c r="EC29" s="190"/>
      <c r="ED29" s="263"/>
      <c r="EF29" s="33"/>
      <c r="EG29" s="269"/>
      <c r="EH29" s="232"/>
      <c r="EJ29" s="33"/>
      <c r="EK29" s="269"/>
      <c r="EL29" s="232"/>
      <c r="EN29" s="149"/>
      <c r="EO29" s="464"/>
      <c r="EP29" s="559"/>
      <c r="EQ29" s="468"/>
      <c r="ES29" s="149"/>
      <c r="ET29" s="149"/>
    </row>
    <row r="30" spans="1:150" x14ac:dyDescent="0.2">
      <c r="A30" s="275">
        <v>45802</v>
      </c>
      <c r="B30" s="33"/>
      <c r="C30" s="33"/>
      <c r="D30" s="546"/>
      <c r="E30" s="234"/>
      <c r="F30" s="547"/>
      <c r="G30" s="33"/>
      <c r="H30" s="186"/>
      <c r="I30" s="183"/>
      <c r="J30" s="546"/>
      <c r="K30" s="185"/>
      <c r="L30" s="241"/>
      <c r="M30" s="184"/>
      <c r="N30" s="546"/>
      <c r="O30" s="185"/>
      <c r="P30" s="241"/>
      <c r="Q30" s="34"/>
      <c r="R30" s="546"/>
      <c r="S30" s="33"/>
      <c r="T30" s="33"/>
      <c r="U30" s="241"/>
      <c r="V30" s="34"/>
      <c r="W30" s="548"/>
      <c r="X30" s="185"/>
      <c r="Y30" s="241"/>
      <c r="Z30" s="34"/>
      <c r="AA30" s="249"/>
      <c r="AB30" s="185"/>
      <c r="AC30" s="241"/>
      <c r="AD30" s="34"/>
      <c r="AE30" s="243"/>
      <c r="AF30" s="241"/>
      <c r="AG30" s="242"/>
      <c r="AH30" s="34"/>
      <c r="AI30" s="549"/>
      <c r="AJ30" s="574"/>
      <c r="AK30" s="550"/>
      <c r="AL30" s="34"/>
      <c r="AM30" s="551"/>
      <c r="AN30" s="241"/>
      <c r="AO30" s="189"/>
      <c r="AP30" s="34"/>
      <c r="AQ30" s="248"/>
      <c r="AR30" s="241"/>
      <c r="AS30" s="34"/>
      <c r="AT30" s="552"/>
      <c r="AU30" s="191"/>
      <c r="AV30" s="553"/>
      <c r="AW30" s="34"/>
      <c r="AX30" s="187"/>
      <c r="AY30" s="245"/>
      <c r="AZ30" s="245"/>
      <c r="BA30" s="246"/>
      <c r="BC30" s="554"/>
      <c r="BD30" s="555"/>
      <c r="BE30" s="556"/>
      <c r="BF30" s="557"/>
      <c r="BG30" s="212"/>
      <c r="BH30" s="555"/>
      <c r="BI30" s="555"/>
      <c r="BJ30" s="555"/>
      <c r="BL30" s="149"/>
      <c r="BN30" s="575"/>
      <c r="BP30" s="33"/>
      <c r="BQ30" s="33"/>
      <c r="BR30" s="232"/>
      <c r="BT30" s="33"/>
      <c r="BU30" s="33"/>
      <c r="BV30" s="232"/>
      <c r="BX30" s="33"/>
      <c r="BY30" s="33"/>
      <c r="BZ30" s="232"/>
      <c r="CB30" s="33"/>
      <c r="CC30" s="33"/>
      <c r="CD30" s="232"/>
      <c r="CF30" s="33"/>
      <c r="CG30" s="33"/>
      <c r="CH30" s="232"/>
      <c r="CI30" s="33"/>
      <c r="CJ30" s="33"/>
      <c r="CK30" s="232"/>
      <c r="CM30" s="33"/>
      <c r="CN30" s="33"/>
      <c r="CP30" s="33"/>
      <c r="CQ30" s="33"/>
      <c r="CR30" s="134"/>
      <c r="CS30" s="232"/>
      <c r="CT30" s="469"/>
      <c r="CV30" s="33"/>
      <c r="CW30" s="33"/>
      <c r="CX30" s="470"/>
      <c r="CZ30" s="33"/>
      <c r="DA30" s="33"/>
      <c r="DB30" s="232"/>
      <c r="DD30" s="33"/>
      <c r="DE30" s="33"/>
      <c r="DF30" s="232"/>
      <c r="DH30" s="33"/>
      <c r="DI30" s="33"/>
      <c r="DJ30" s="232"/>
      <c r="DL30" s="33"/>
      <c r="DM30" s="33"/>
      <c r="DN30" s="232"/>
      <c r="DP30" s="33"/>
      <c r="DQ30" s="33"/>
      <c r="DR30" s="232"/>
      <c r="DT30" s="33"/>
      <c r="DU30" s="33"/>
      <c r="DV30" s="232"/>
      <c r="DW30" s="558"/>
      <c r="DX30" s="33"/>
      <c r="DZ30" s="33"/>
      <c r="EA30" s="232"/>
      <c r="EC30" s="190"/>
      <c r="ED30" s="263"/>
      <c r="EF30" s="33"/>
      <c r="EG30" s="269"/>
      <c r="EH30" s="232"/>
      <c r="EJ30" s="33"/>
      <c r="EK30" s="269"/>
      <c r="EL30" s="232"/>
      <c r="EN30" s="149"/>
      <c r="EO30" s="464"/>
      <c r="EP30" s="559"/>
      <c r="EQ30" s="468"/>
      <c r="ES30" s="149"/>
      <c r="ET30" s="149"/>
    </row>
    <row r="31" spans="1:150" x14ac:dyDescent="0.2">
      <c r="A31" s="275">
        <v>45803</v>
      </c>
      <c r="B31" s="33"/>
      <c r="C31" s="33"/>
      <c r="D31" s="546"/>
      <c r="E31" s="234"/>
      <c r="F31" s="547"/>
      <c r="G31" s="33"/>
      <c r="H31" s="186"/>
      <c r="I31" s="183"/>
      <c r="J31" s="546"/>
      <c r="K31" s="185"/>
      <c r="L31" s="241"/>
      <c r="M31" s="184"/>
      <c r="N31" s="546"/>
      <c r="O31" s="185"/>
      <c r="P31" s="241"/>
      <c r="Q31" s="34"/>
      <c r="R31" s="546"/>
      <c r="S31" s="33"/>
      <c r="T31" s="33"/>
      <c r="U31" s="241"/>
      <c r="V31" s="34"/>
      <c r="W31" s="548"/>
      <c r="X31" s="185"/>
      <c r="Y31" s="241"/>
      <c r="Z31" s="34"/>
      <c r="AA31" s="249"/>
      <c r="AB31" s="185"/>
      <c r="AC31" s="241"/>
      <c r="AD31" s="34"/>
      <c r="AE31" s="243"/>
      <c r="AF31" s="241"/>
      <c r="AG31" s="242"/>
      <c r="AH31" s="34"/>
      <c r="AI31" s="549"/>
      <c r="AJ31" s="574"/>
      <c r="AK31" s="550"/>
      <c r="AL31" s="34"/>
      <c r="AM31" s="551"/>
      <c r="AN31" s="241"/>
      <c r="AO31" s="189"/>
      <c r="AP31" s="34"/>
      <c r="AQ31" s="248"/>
      <c r="AR31" s="241"/>
      <c r="AS31" s="34"/>
      <c r="AT31" s="552"/>
      <c r="AU31" s="191"/>
      <c r="AV31" s="553"/>
      <c r="AW31" s="34"/>
      <c r="AX31" s="187"/>
      <c r="AY31" s="245"/>
      <c r="AZ31" s="245"/>
      <c r="BA31" s="246"/>
      <c r="BC31" s="554"/>
      <c r="BD31" s="555"/>
      <c r="BE31" s="556"/>
      <c r="BF31" s="557"/>
      <c r="BG31" s="212"/>
      <c r="BH31" s="555"/>
      <c r="BI31" s="555"/>
      <c r="BJ31" s="555"/>
      <c r="BL31" s="149"/>
      <c r="BN31" s="575"/>
      <c r="BP31" s="33"/>
      <c r="BQ31" s="33"/>
      <c r="BR31" s="232"/>
      <c r="BT31" s="33"/>
      <c r="BU31" s="33"/>
      <c r="BV31" s="232"/>
      <c r="BX31" s="33"/>
      <c r="BY31" s="33"/>
      <c r="BZ31" s="232"/>
      <c r="CB31" s="33"/>
      <c r="CC31" s="33"/>
      <c r="CD31" s="232"/>
      <c r="CF31" s="33"/>
      <c r="CG31" s="33"/>
      <c r="CH31" s="232"/>
      <c r="CI31" s="33"/>
      <c r="CJ31" s="33"/>
      <c r="CK31" s="232"/>
      <c r="CM31" s="33"/>
      <c r="CN31" s="33"/>
      <c r="CP31" s="33"/>
      <c r="CQ31" s="33"/>
      <c r="CR31" s="134"/>
      <c r="CS31" s="232"/>
      <c r="CT31" s="469"/>
      <c r="CV31" s="33"/>
      <c r="CW31" s="33"/>
      <c r="CX31" s="470"/>
      <c r="CZ31" s="33"/>
      <c r="DA31" s="33"/>
      <c r="DB31" s="232"/>
      <c r="DD31" s="33"/>
      <c r="DE31" s="33"/>
      <c r="DF31" s="232"/>
      <c r="DH31" s="33"/>
      <c r="DI31" s="33"/>
      <c r="DJ31" s="232"/>
      <c r="DL31" s="33"/>
      <c r="DM31" s="33"/>
      <c r="DN31" s="232"/>
      <c r="DP31" s="33"/>
      <c r="DQ31" s="33"/>
      <c r="DR31" s="232"/>
      <c r="DT31" s="33"/>
      <c r="DU31" s="33"/>
      <c r="DV31" s="232"/>
      <c r="DW31" s="558"/>
      <c r="DX31" s="33"/>
      <c r="DZ31" s="33"/>
      <c r="EA31" s="232"/>
      <c r="EC31" s="190"/>
      <c r="ED31" s="263"/>
      <c r="EF31" s="33"/>
      <c r="EG31" s="269"/>
      <c r="EH31" s="232"/>
      <c r="EJ31" s="33"/>
      <c r="EK31" s="269"/>
      <c r="EL31" s="232"/>
      <c r="EN31" s="149"/>
      <c r="EO31" s="464"/>
      <c r="EP31" s="559"/>
      <c r="EQ31" s="468"/>
      <c r="ES31" s="149"/>
      <c r="ET31" s="149"/>
    </row>
    <row r="32" spans="1:150" x14ac:dyDescent="0.2">
      <c r="A32" s="275">
        <v>45804</v>
      </c>
      <c r="B32" s="33"/>
      <c r="C32" s="33"/>
      <c r="D32" s="546"/>
      <c r="E32" s="234"/>
      <c r="F32" s="547"/>
      <c r="G32" s="33"/>
      <c r="H32" s="186"/>
      <c r="I32" s="183"/>
      <c r="J32" s="546"/>
      <c r="K32" s="185"/>
      <c r="L32" s="241"/>
      <c r="M32" s="184"/>
      <c r="N32" s="546"/>
      <c r="O32" s="185"/>
      <c r="P32" s="241"/>
      <c r="Q32" s="34"/>
      <c r="R32" s="546"/>
      <c r="S32" s="33"/>
      <c r="T32" s="33"/>
      <c r="U32" s="241"/>
      <c r="V32" s="34"/>
      <c r="W32" s="548"/>
      <c r="X32" s="185"/>
      <c r="Y32" s="241"/>
      <c r="Z32" s="34"/>
      <c r="AA32" s="249"/>
      <c r="AB32" s="185"/>
      <c r="AC32" s="241"/>
      <c r="AD32" s="34"/>
      <c r="AE32" s="243"/>
      <c r="AF32" s="241"/>
      <c r="AG32" s="242"/>
      <c r="AH32" s="34"/>
      <c r="AI32" s="549"/>
      <c r="AJ32" s="574"/>
      <c r="AK32" s="550"/>
      <c r="AL32" s="34"/>
      <c r="AM32" s="551"/>
      <c r="AN32" s="241"/>
      <c r="AO32" s="189"/>
      <c r="AP32" s="34"/>
      <c r="AQ32" s="248"/>
      <c r="AR32" s="241"/>
      <c r="AS32" s="34"/>
      <c r="AT32" s="552"/>
      <c r="AU32" s="191"/>
      <c r="AV32" s="553"/>
      <c r="AW32" s="34"/>
      <c r="AX32" s="187"/>
      <c r="AY32" s="245"/>
      <c r="AZ32" s="245"/>
      <c r="BA32" s="246"/>
      <c r="BC32" s="554"/>
      <c r="BD32" s="555"/>
      <c r="BE32" s="556"/>
      <c r="BF32" s="557"/>
      <c r="BG32" s="212"/>
      <c r="BH32" s="555"/>
      <c r="BI32" s="555"/>
      <c r="BJ32" s="555"/>
      <c r="BL32" s="149"/>
      <c r="BN32" s="575"/>
      <c r="BP32" s="33"/>
      <c r="BQ32" s="33"/>
      <c r="BR32" s="232"/>
      <c r="BT32" s="33"/>
      <c r="BU32" s="33"/>
      <c r="BV32" s="232"/>
      <c r="BX32" s="33"/>
      <c r="BY32" s="33"/>
      <c r="BZ32" s="232"/>
      <c r="CB32" s="33"/>
      <c r="CC32" s="33"/>
      <c r="CD32" s="232"/>
      <c r="CF32" s="33"/>
      <c r="CG32" s="33"/>
      <c r="CH32" s="232"/>
      <c r="CI32" s="33"/>
      <c r="CJ32" s="33"/>
      <c r="CK32" s="232"/>
      <c r="CM32" s="33"/>
      <c r="CN32" s="33"/>
      <c r="CP32" s="33"/>
      <c r="CQ32" s="33"/>
      <c r="CR32" s="134"/>
      <c r="CS32" s="232"/>
      <c r="CT32" s="469"/>
      <c r="CV32" s="33"/>
      <c r="CW32" s="33"/>
      <c r="CX32" s="470"/>
      <c r="CZ32" s="33"/>
      <c r="DA32" s="33"/>
      <c r="DB32" s="232"/>
      <c r="DD32" s="33"/>
      <c r="DE32" s="33"/>
      <c r="DF32" s="232"/>
      <c r="DH32" s="33"/>
      <c r="DI32" s="33"/>
      <c r="DJ32" s="232"/>
      <c r="DL32" s="33"/>
      <c r="DM32" s="33"/>
      <c r="DN32" s="232"/>
      <c r="DP32" s="33"/>
      <c r="DQ32" s="33"/>
      <c r="DR32" s="232"/>
      <c r="DT32" s="33"/>
      <c r="DU32" s="33"/>
      <c r="DV32" s="232"/>
      <c r="DW32" s="558"/>
      <c r="DX32" s="33"/>
      <c r="DZ32" s="33"/>
      <c r="EA32" s="232"/>
      <c r="EC32" s="190"/>
      <c r="ED32" s="263"/>
      <c r="EF32" s="33"/>
      <c r="EG32" s="269"/>
      <c r="EH32" s="232"/>
      <c r="EJ32" s="33"/>
      <c r="EK32" s="269"/>
      <c r="EL32" s="232"/>
      <c r="EN32" s="149"/>
      <c r="EO32" s="464"/>
      <c r="EP32" s="559"/>
      <c r="EQ32" s="468"/>
      <c r="ES32" s="149"/>
      <c r="ET32" s="149"/>
    </row>
    <row r="33" spans="1:150" x14ac:dyDescent="0.2">
      <c r="A33" s="275">
        <v>45805</v>
      </c>
      <c r="B33" s="33"/>
      <c r="C33" s="33"/>
      <c r="D33" s="546"/>
      <c r="E33" s="234"/>
      <c r="F33" s="547"/>
      <c r="G33" s="33"/>
      <c r="H33" s="186"/>
      <c r="I33" s="183"/>
      <c r="J33" s="546"/>
      <c r="K33" s="185"/>
      <c r="L33" s="241"/>
      <c r="M33" s="184"/>
      <c r="N33" s="546"/>
      <c r="O33" s="185"/>
      <c r="P33" s="241"/>
      <c r="Q33" s="34"/>
      <c r="R33" s="546"/>
      <c r="S33" s="33"/>
      <c r="T33" s="33"/>
      <c r="U33" s="241"/>
      <c r="V33" s="34"/>
      <c r="W33" s="548"/>
      <c r="X33" s="185"/>
      <c r="Y33" s="241"/>
      <c r="Z33" s="34"/>
      <c r="AA33" s="249"/>
      <c r="AB33" s="185"/>
      <c r="AC33" s="241"/>
      <c r="AD33" s="34"/>
      <c r="AE33" s="243"/>
      <c r="AF33" s="241"/>
      <c r="AG33" s="242"/>
      <c r="AH33" s="34"/>
      <c r="AI33" s="549"/>
      <c r="AJ33" s="574"/>
      <c r="AK33" s="550"/>
      <c r="AL33" s="34"/>
      <c r="AM33" s="551"/>
      <c r="AN33" s="241"/>
      <c r="AO33" s="189"/>
      <c r="AP33" s="34"/>
      <c r="AQ33" s="248"/>
      <c r="AR33" s="241"/>
      <c r="AS33" s="34"/>
      <c r="AT33" s="552"/>
      <c r="AU33" s="191"/>
      <c r="AV33" s="553"/>
      <c r="AW33" s="34"/>
      <c r="AX33" s="187"/>
      <c r="AY33" s="245"/>
      <c r="AZ33" s="245"/>
      <c r="BA33" s="246"/>
      <c r="BC33" s="554"/>
      <c r="BD33" s="555"/>
      <c r="BE33" s="556"/>
      <c r="BF33" s="557"/>
      <c r="BG33" s="212"/>
      <c r="BH33" s="555"/>
      <c r="BI33" s="555"/>
      <c r="BJ33" s="555"/>
      <c r="BL33" s="149"/>
      <c r="BN33" s="575"/>
      <c r="BP33" s="33"/>
      <c r="BQ33" s="33"/>
      <c r="BR33" s="232"/>
      <c r="BT33" s="33"/>
      <c r="BU33" s="33"/>
      <c r="BV33" s="232"/>
      <c r="BX33" s="33"/>
      <c r="BY33" s="33"/>
      <c r="BZ33" s="232"/>
      <c r="CB33" s="33"/>
      <c r="CC33" s="33"/>
      <c r="CD33" s="232"/>
      <c r="CF33" s="33"/>
      <c r="CG33" s="33"/>
      <c r="CH33" s="232"/>
      <c r="CI33" s="33"/>
      <c r="CJ33" s="33"/>
      <c r="CK33" s="232"/>
      <c r="CM33" s="33"/>
      <c r="CN33" s="33"/>
      <c r="CP33" s="33"/>
      <c r="CQ33" s="33"/>
      <c r="CR33" s="134"/>
      <c r="CS33" s="232"/>
      <c r="CT33" s="469"/>
      <c r="CV33" s="33"/>
      <c r="CW33" s="33"/>
      <c r="CX33" s="470"/>
      <c r="CZ33" s="33"/>
      <c r="DA33" s="33"/>
      <c r="DB33" s="232"/>
      <c r="DD33" s="33"/>
      <c r="DE33" s="33"/>
      <c r="DF33" s="232"/>
      <c r="DH33" s="33"/>
      <c r="DI33" s="33"/>
      <c r="DJ33" s="232"/>
      <c r="DL33" s="33"/>
      <c r="DM33" s="33"/>
      <c r="DN33" s="232"/>
      <c r="DP33" s="33"/>
      <c r="DQ33" s="33"/>
      <c r="DR33" s="232"/>
      <c r="DT33" s="33"/>
      <c r="DU33" s="33"/>
      <c r="DV33" s="232"/>
      <c r="DW33" s="558"/>
      <c r="DX33" s="33"/>
      <c r="DZ33" s="33"/>
      <c r="EA33" s="232"/>
      <c r="EC33" s="190"/>
      <c r="ED33" s="263"/>
      <c r="EF33" s="33"/>
      <c r="EG33" s="269"/>
      <c r="EH33" s="232"/>
      <c r="EJ33" s="33"/>
      <c r="EK33" s="269"/>
      <c r="EL33" s="232"/>
      <c r="EN33" s="149"/>
      <c r="EO33" s="464"/>
      <c r="EP33" s="559"/>
      <c r="EQ33" s="468"/>
      <c r="ES33" s="149"/>
      <c r="ET33" s="149"/>
    </row>
    <row r="34" spans="1:150" x14ac:dyDescent="0.2">
      <c r="A34" s="275">
        <v>45806</v>
      </c>
      <c r="B34" s="33"/>
      <c r="C34" s="33"/>
      <c r="D34" s="546"/>
      <c r="E34" s="234"/>
      <c r="F34" s="547"/>
      <c r="G34" s="33"/>
      <c r="H34" s="186"/>
      <c r="I34" s="183"/>
      <c r="J34" s="546"/>
      <c r="K34" s="185"/>
      <c r="L34" s="241"/>
      <c r="M34" s="184"/>
      <c r="N34" s="546"/>
      <c r="O34" s="185"/>
      <c r="P34" s="241"/>
      <c r="Q34" s="34"/>
      <c r="R34" s="546"/>
      <c r="S34" s="33"/>
      <c r="T34" s="33"/>
      <c r="U34" s="241"/>
      <c r="V34" s="34"/>
      <c r="W34" s="548"/>
      <c r="X34" s="185"/>
      <c r="Y34" s="241"/>
      <c r="Z34" s="34"/>
      <c r="AA34" s="249"/>
      <c r="AB34" s="185"/>
      <c r="AC34" s="241"/>
      <c r="AD34" s="34"/>
      <c r="AE34" s="243"/>
      <c r="AF34" s="241"/>
      <c r="AG34" s="242"/>
      <c r="AH34" s="34"/>
      <c r="AI34" s="549"/>
      <c r="AJ34" s="574"/>
      <c r="AK34" s="550"/>
      <c r="AL34" s="34"/>
      <c r="AM34" s="551"/>
      <c r="AN34" s="241"/>
      <c r="AO34" s="189"/>
      <c r="AP34" s="34"/>
      <c r="AQ34" s="248"/>
      <c r="AR34" s="241"/>
      <c r="AS34" s="34"/>
      <c r="AT34" s="552"/>
      <c r="AU34" s="191"/>
      <c r="AV34" s="553"/>
      <c r="AW34" s="34"/>
      <c r="AX34" s="187"/>
      <c r="AY34" s="245"/>
      <c r="AZ34" s="245"/>
      <c r="BA34" s="246"/>
      <c r="BC34" s="554"/>
      <c r="BD34" s="555"/>
      <c r="BE34" s="556"/>
      <c r="BF34" s="557"/>
      <c r="BG34" s="212"/>
      <c r="BH34" s="555"/>
      <c r="BI34" s="555"/>
      <c r="BJ34" s="555"/>
      <c r="BL34" s="149"/>
      <c r="BN34" s="575"/>
      <c r="BP34" s="33"/>
      <c r="BQ34" s="33"/>
      <c r="BR34" s="232"/>
      <c r="BT34" s="33"/>
      <c r="BU34" s="33"/>
      <c r="BV34" s="232"/>
      <c r="BX34" s="33"/>
      <c r="BY34" s="33"/>
      <c r="BZ34" s="232"/>
      <c r="CB34" s="33"/>
      <c r="CC34" s="33"/>
      <c r="CD34" s="232"/>
      <c r="CF34" s="33"/>
      <c r="CG34" s="33"/>
      <c r="CH34" s="232"/>
      <c r="CI34" s="33"/>
      <c r="CJ34" s="33"/>
      <c r="CK34" s="232"/>
      <c r="CM34" s="33"/>
      <c r="CN34" s="33"/>
      <c r="CP34" s="33"/>
      <c r="CQ34" s="33"/>
      <c r="CR34" s="134"/>
      <c r="CS34" s="232"/>
      <c r="CT34" s="469"/>
      <c r="CV34" s="33"/>
      <c r="CW34" s="33"/>
      <c r="CX34" s="470"/>
      <c r="CZ34" s="33"/>
      <c r="DA34" s="33"/>
      <c r="DB34" s="232"/>
      <c r="DD34" s="33"/>
      <c r="DE34" s="33"/>
      <c r="DF34" s="232"/>
      <c r="DH34" s="33"/>
      <c r="DI34" s="33"/>
      <c r="DJ34" s="232"/>
      <c r="DL34" s="33"/>
      <c r="DM34" s="33"/>
      <c r="DN34" s="232"/>
      <c r="DP34" s="33"/>
      <c r="DQ34" s="33"/>
      <c r="DR34" s="232"/>
      <c r="DT34" s="33"/>
      <c r="DU34" s="33"/>
      <c r="DV34" s="232"/>
      <c r="DW34" s="558"/>
      <c r="DX34" s="33"/>
      <c r="DZ34" s="33"/>
      <c r="EA34" s="232"/>
      <c r="EC34" s="190"/>
      <c r="ED34" s="263"/>
      <c r="EF34" s="33"/>
      <c r="EG34" s="269"/>
      <c r="EH34" s="232"/>
      <c r="EJ34" s="33"/>
      <c r="EK34" s="269"/>
      <c r="EL34" s="232"/>
      <c r="EN34" s="149"/>
      <c r="EO34" s="464"/>
      <c r="EP34" s="559"/>
      <c r="EQ34" s="468"/>
      <c r="ES34" s="149"/>
      <c r="ET34" s="149"/>
    </row>
    <row r="35" spans="1:150" x14ac:dyDescent="0.2">
      <c r="A35" s="275">
        <v>45807</v>
      </c>
      <c r="B35" s="33"/>
      <c r="C35" s="33"/>
      <c r="D35" s="546"/>
      <c r="E35" s="234"/>
      <c r="F35" s="547"/>
      <c r="G35" s="33"/>
      <c r="H35" s="186"/>
      <c r="I35" s="183"/>
      <c r="J35" s="546"/>
      <c r="K35" s="185"/>
      <c r="L35" s="241"/>
      <c r="M35" s="184"/>
      <c r="N35" s="546"/>
      <c r="O35" s="185"/>
      <c r="P35" s="241"/>
      <c r="Q35" s="34"/>
      <c r="R35" s="546"/>
      <c r="S35" s="33"/>
      <c r="T35" s="33"/>
      <c r="U35" s="241"/>
      <c r="V35" s="34"/>
      <c r="W35" s="548"/>
      <c r="X35" s="185"/>
      <c r="Y35" s="241"/>
      <c r="Z35" s="34"/>
      <c r="AA35" s="249"/>
      <c r="AB35" s="185"/>
      <c r="AC35" s="241"/>
      <c r="AD35" s="34"/>
      <c r="AE35" s="243"/>
      <c r="AF35" s="241"/>
      <c r="AG35" s="242"/>
      <c r="AH35" s="34"/>
      <c r="AI35" s="549"/>
      <c r="AJ35" s="574"/>
      <c r="AK35" s="550"/>
      <c r="AL35" s="34"/>
      <c r="AM35" s="551"/>
      <c r="AN35" s="241"/>
      <c r="AO35" s="189"/>
      <c r="AP35" s="34"/>
      <c r="AQ35" s="248"/>
      <c r="AR35" s="241"/>
      <c r="AS35" s="34"/>
      <c r="AT35" s="552"/>
      <c r="AU35" s="191"/>
      <c r="AV35" s="553"/>
      <c r="AW35" s="34"/>
      <c r="AX35" s="187"/>
      <c r="AY35" s="245"/>
      <c r="AZ35" s="245"/>
      <c r="BA35" s="246"/>
      <c r="BC35" s="554"/>
      <c r="BD35" s="555"/>
      <c r="BE35" s="556"/>
      <c r="BF35" s="557"/>
      <c r="BG35" s="212"/>
      <c r="BH35" s="555"/>
      <c r="BI35" s="555"/>
      <c r="BJ35" s="555"/>
      <c r="BL35" s="149"/>
      <c r="BN35" s="575"/>
      <c r="BP35" s="33"/>
      <c r="BQ35" s="33"/>
      <c r="BR35" s="232"/>
      <c r="BT35" s="33"/>
      <c r="BU35" s="33"/>
      <c r="BV35" s="232"/>
      <c r="BX35" s="33"/>
      <c r="BY35" s="33"/>
      <c r="BZ35" s="232"/>
      <c r="CB35" s="33"/>
      <c r="CC35" s="33"/>
      <c r="CD35" s="232"/>
      <c r="CF35" s="33"/>
      <c r="CG35" s="33"/>
      <c r="CH35" s="232"/>
      <c r="CI35" s="33"/>
      <c r="CJ35" s="33"/>
      <c r="CK35" s="232"/>
      <c r="CM35" s="33"/>
      <c r="CN35" s="33"/>
      <c r="CP35" s="33"/>
      <c r="CQ35" s="33"/>
      <c r="CR35" s="134"/>
      <c r="CS35" s="232"/>
      <c r="CT35" s="469"/>
      <c r="CV35" s="33"/>
      <c r="CW35" s="33"/>
      <c r="CX35" s="470"/>
      <c r="CZ35" s="33"/>
      <c r="DA35" s="33"/>
      <c r="DB35" s="232"/>
      <c r="DD35" s="33"/>
      <c r="DE35" s="33"/>
      <c r="DF35" s="232"/>
      <c r="DH35" s="33"/>
      <c r="DI35" s="33"/>
      <c r="DJ35" s="232"/>
      <c r="DL35" s="33"/>
      <c r="DM35" s="33"/>
      <c r="DN35" s="232"/>
      <c r="DP35" s="33"/>
      <c r="DQ35" s="33"/>
      <c r="DR35" s="232"/>
      <c r="DT35" s="33"/>
      <c r="DU35" s="33"/>
      <c r="DV35" s="232"/>
      <c r="DW35" s="558"/>
      <c r="DX35" s="33"/>
      <c r="DZ35" s="33"/>
      <c r="EA35" s="232"/>
      <c r="EC35" s="190"/>
      <c r="ED35" s="263"/>
      <c r="EF35" s="33"/>
      <c r="EG35" s="269"/>
      <c r="EH35" s="232"/>
      <c r="EJ35" s="33"/>
      <c r="EK35" s="269"/>
      <c r="EL35" s="232"/>
      <c r="EN35" s="149"/>
      <c r="EO35" s="464"/>
      <c r="EP35" s="559"/>
      <c r="EQ35" s="468"/>
      <c r="ES35" s="149"/>
      <c r="ET35" s="149"/>
    </row>
    <row r="36" spans="1:150" x14ac:dyDescent="0.2">
      <c r="A36" s="275">
        <v>45808</v>
      </c>
      <c r="B36" s="33"/>
      <c r="C36" s="33"/>
      <c r="D36" s="546"/>
      <c r="E36" s="234"/>
      <c r="F36" s="547"/>
      <c r="G36" s="33"/>
      <c r="H36" s="186"/>
      <c r="I36" s="183"/>
      <c r="J36" s="546"/>
      <c r="K36" s="185"/>
      <c r="L36" s="241"/>
      <c r="M36" s="184"/>
      <c r="N36" s="546"/>
      <c r="O36" s="185"/>
      <c r="P36" s="241"/>
      <c r="Q36" s="34"/>
      <c r="R36" s="546"/>
      <c r="S36" s="33"/>
      <c r="T36" s="33"/>
      <c r="U36" s="241"/>
      <c r="V36" s="34"/>
      <c r="W36" s="548"/>
      <c r="X36" s="185"/>
      <c r="Y36" s="241"/>
      <c r="Z36" s="34"/>
      <c r="AA36" s="249"/>
      <c r="AB36" s="185"/>
      <c r="AC36" s="241"/>
      <c r="AD36" s="34"/>
      <c r="AE36" s="243"/>
      <c r="AF36" s="241"/>
      <c r="AG36" s="242"/>
      <c r="AH36" s="34"/>
      <c r="AI36" s="549"/>
      <c r="AJ36" s="574"/>
      <c r="AK36" s="550"/>
      <c r="AL36" s="34"/>
      <c r="AM36" s="551"/>
      <c r="AN36" s="241"/>
      <c r="AO36" s="189"/>
      <c r="AP36" s="34"/>
      <c r="AQ36" s="248"/>
      <c r="AR36" s="241"/>
      <c r="AS36" s="34"/>
      <c r="AT36" s="552"/>
      <c r="AU36" s="191"/>
      <c r="AV36" s="553"/>
      <c r="AW36" s="34"/>
      <c r="AX36" s="187"/>
      <c r="AY36" s="245"/>
      <c r="AZ36" s="245"/>
      <c r="BA36" s="246"/>
      <c r="BC36" s="554"/>
      <c r="BD36" s="555"/>
      <c r="BE36" s="556"/>
      <c r="BF36" s="557"/>
      <c r="BG36" s="212"/>
      <c r="BH36" s="555"/>
      <c r="BI36" s="555"/>
      <c r="BJ36" s="555"/>
      <c r="BL36" s="149"/>
      <c r="BN36" s="575"/>
      <c r="BP36" s="33"/>
      <c r="BQ36" s="33"/>
      <c r="BR36" s="232"/>
      <c r="BT36" s="33"/>
      <c r="BU36" s="33"/>
      <c r="BV36" s="232"/>
      <c r="BX36" s="33"/>
      <c r="BY36" s="33"/>
      <c r="BZ36" s="232"/>
      <c r="CB36" s="33"/>
      <c r="CC36" s="33"/>
      <c r="CD36" s="232"/>
      <c r="CF36" s="33"/>
      <c r="CG36" s="33"/>
      <c r="CH36" s="232"/>
      <c r="CI36" s="33"/>
      <c r="CJ36" s="33"/>
      <c r="CK36" s="232"/>
      <c r="CM36" s="33"/>
      <c r="CN36" s="33"/>
      <c r="CP36" s="33"/>
      <c r="CQ36" s="33"/>
      <c r="CR36" s="134"/>
      <c r="CS36" s="232"/>
      <c r="CT36" s="469"/>
      <c r="CV36" s="33"/>
      <c r="CW36" s="33"/>
      <c r="CX36" s="470"/>
      <c r="CZ36" s="33"/>
      <c r="DA36" s="33"/>
      <c r="DB36" s="232"/>
      <c r="DD36" s="33"/>
      <c r="DE36" s="33"/>
      <c r="DF36" s="232"/>
      <c r="DH36" s="33"/>
      <c r="DI36" s="33"/>
      <c r="DJ36" s="232"/>
      <c r="DL36" s="33"/>
      <c r="DM36" s="33"/>
      <c r="DN36" s="232"/>
      <c r="DP36" s="33"/>
      <c r="DQ36" s="33"/>
      <c r="DR36" s="232"/>
      <c r="DT36" s="33"/>
      <c r="DU36" s="33"/>
      <c r="DV36" s="232"/>
      <c r="DW36" s="558"/>
      <c r="DX36" s="33"/>
      <c r="DZ36" s="33"/>
      <c r="EA36" s="232"/>
      <c r="EC36" s="190"/>
      <c r="ED36" s="263"/>
      <c r="EF36" s="33"/>
      <c r="EG36" s="269"/>
      <c r="EH36" s="232"/>
      <c r="EJ36" s="33"/>
      <c r="EK36" s="269"/>
      <c r="EL36" s="232"/>
      <c r="EN36" s="149"/>
      <c r="EO36" s="464"/>
      <c r="EP36" s="559"/>
      <c r="EQ36" s="468"/>
      <c r="ES36" s="149"/>
      <c r="ET36" s="149"/>
    </row>
    <row r="37" spans="1:150" ht="13.5" thickBot="1" x14ac:dyDescent="0.25">
      <c r="B37" s="562"/>
      <c r="C37" s="126">
        <f>AVERAGE(C6:C36)</f>
        <v>671.625</v>
      </c>
      <c r="D37" s="563"/>
      <c r="G37" s="55">
        <f>SUM(G6:G36)</f>
        <v>5442</v>
      </c>
      <c r="H37" s="111">
        <f>SUM(H6:H36)</f>
        <v>4450</v>
      </c>
      <c r="I37" s="125"/>
      <c r="J37" s="38"/>
      <c r="K37" s="55">
        <f>SUM(K6:K36)</f>
        <v>2067.9240000000004</v>
      </c>
      <c r="L37" s="111">
        <f>SUM(L6:L36)</f>
        <v>1423.7400000000002</v>
      </c>
      <c r="M37" s="125"/>
      <c r="N37" s="38"/>
      <c r="O37" s="55">
        <f>SUM(O6:O36)</f>
        <v>5306.1100000000006</v>
      </c>
      <c r="P37" s="111">
        <f>SUM(P6:P36)</f>
        <v>3881.62</v>
      </c>
      <c r="Q37" s="125"/>
      <c r="R37" s="38"/>
      <c r="S37" s="133">
        <f>SUM(S6:S36)</f>
        <v>0</v>
      </c>
      <c r="T37" s="55">
        <f>SUM(T6:T36)</f>
        <v>0</v>
      </c>
      <c r="U37" s="111">
        <f>SUM(U6:U36)</f>
        <v>0</v>
      </c>
      <c r="V37" s="125"/>
      <c r="W37" s="39"/>
      <c r="X37" s="55">
        <f>SUM(X6:X36)</f>
        <v>295880.00000000466</v>
      </c>
      <c r="Y37" s="111">
        <f>SUM(Y6:Y36)</f>
        <v>267519.99999998952</v>
      </c>
      <c r="Z37" s="125"/>
      <c r="AA37" s="38"/>
      <c r="AB37" s="55">
        <f>SUM(AB6:AB36)</f>
        <v>0</v>
      </c>
      <c r="AC37" s="111">
        <f>SUM(AC6:AC36)</f>
        <v>0</v>
      </c>
      <c r="AD37" s="125"/>
      <c r="AE37" s="124">
        <f>SUM(AE6:AE36)</f>
        <v>295880.00000000466</v>
      </c>
      <c r="AF37" s="111">
        <f>SUM(AF6:AF36)</f>
        <v>267519.99999998952</v>
      </c>
      <c r="AG37" s="123">
        <f>SUM(AG6:AG36)</f>
        <v>309272.77419354836</v>
      </c>
      <c r="AH37" s="125"/>
      <c r="AI37" s="156">
        <f>AVERAGE(AI6:AI36)</f>
        <v>0.79302499999999987</v>
      </c>
      <c r="AJ37" s="156">
        <f>AVERAGE(AJ6:AJ36)</f>
        <v>0.56718749999999996</v>
      </c>
      <c r="AK37" s="157">
        <f>AVERAGE(AK6:AK36)</f>
        <v>0.54500000000000004</v>
      </c>
      <c r="AL37" s="125"/>
      <c r="AM37" s="124">
        <f>SUM(AM6:AM36)</f>
        <v>3337.0491999999999</v>
      </c>
      <c r="AN37" s="111">
        <f>SUM(AN6:AN36)</f>
        <v>2371</v>
      </c>
      <c r="AO37" s="123">
        <f>SUM(AO6:AO36)</f>
        <v>2291.6129032258063</v>
      </c>
      <c r="AP37" s="125"/>
      <c r="AQ37" s="124">
        <f>MAX(AQ6:AQ36)</f>
        <v>2056</v>
      </c>
      <c r="AR37" s="111">
        <f>MAX(AR6:AR36)</f>
        <v>1900</v>
      </c>
      <c r="AS37" s="153"/>
      <c r="AT37" s="154"/>
      <c r="AU37" s="154"/>
      <c r="AV37" s="154">
        <f>AVERAGE(AV6:AV36)</f>
        <v>0.98863447642421343</v>
      </c>
      <c r="AW37" s="153"/>
      <c r="AX37" s="122"/>
      <c r="AY37" s="127">
        <f>SUM(AY6:AY36)</f>
        <v>267519.99999998952</v>
      </c>
      <c r="AZ37" s="128">
        <f>SUM(AZ6:AZ36)</f>
        <v>275279.99999999884</v>
      </c>
      <c r="BA37" s="129">
        <f>SUM(BA6:BA36)</f>
        <v>542799.99999998836</v>
      </c>
      <c r="BC37" s="227">
        <f t="shared" ref="BC37:BJ37" si="245">AVERAGE(BC6:BC36)</f>
        <v>28.375</v>
      </c>
      <c r="BD37" s="118">
        <f t="shared" si="245"/>
        <v>34.125</v>
      </c>
      <c r="BE37" s="152">
        <f t="shared" si="245"/>
        <v>50</v>
      </c>
      <c r="BF37" s="564">
        <f t="shared" si="245"/>
        <v>23.75</v>
      </c>
      <c r="BG37" s="227">
        <f t="shared" si="245"/>
        <v>80</v>
      </c>
      <c r="BH37" s="118">
        <f t="shared" si="245"/>
        <v>17.899999999999999</v>
      </c>
      <c r="BI37" s="152">
        <f t="shared" si="245"/>
        <v>14.25</v>
      </c>
      <c r="BJ37" s="564">
        <f t="shared" si="245"/>
        <v>51.375</v>
      </c>
      <c r="BL37" s="149">
        <f>SUM(BL6:BL36)</f>
        <v>4208</v>
      </c>
      <c r="BN37" s="176">
        <f>SUM(BN6:BN36)</f>
        <v>0</v>
      </c>
      <c r="BP37" s="33"/>
      <c r="BQ37" s="33">
        <f>SUM(BQ6:BQ36)</f>
        <v>328</v>
      </c>
      <c r="BR37" s="232">
        <f>SUM(BR6:BR36)</f>
        <v>256</v>
      </c>
      <c r="BT37" s="33"/>
      <c r="BU37" s="33">
        <f>SUM(BU6:BU36)</f>
        <v>453</v>
      </c>
      <c r="BV37" s="232">
        <f>SUM(BV6:BV36)</f>
        <v>304</v>
      </c>
      <c r="BX37" s="33"/>
      <c r="BY37" s="33">
        <f>SUM(BY6:BY36)</f>
        <v>0</v>
      </c>
      <c r="BZ37" s="232">
        <f>SUM(BZ6:BZ36)</f>
        <v>19</v>
      </c>
      <c r="CB37" s="33"/>
      <c r="CC37" s="33">
        <f>SUM(CC6:CC36)</f>
        <v>390</v>
      </c>
      <c r="CD37" s="232">
        <f>SUM(CD6:CD36)</f>
        <v>350</v>
      </c>
      <c r="CF37" s="33"/>
      <c r="CG37" s="33">
        <f>SUM(CG6:CG36)</f>
        <v>100</v>
      </c>
      <c r="CH37" s="232">
        <f>SUM(CH6:CH36)</f>
        <v>55</v>
      </c>
      <c r="CI37" s="33"/>
      <c r="CJ37" s="33">
        <f>SUM(CJ6:CJ36)</f>
        <v>0</v>
      </c>
      <c r="CK37" s="232">
        <f>SUM(CK6:CK36)</f>
        <v>-3</v>
      </c>
      <c r="CM37" s="33">
        <f>SUM(CM6:CM36)</f>
        <v>1171</v>
      </c>
      <c r="CN37" s="33">
        <f>SUM(CN6:CN36)</f>
        <v>926</v>
      </c>
      <c r="CP37" s="33"/>
      <c r="CQ37" s="33">
        <f>SUM(CQ6:CQ36)</f>
        <v>4420</v>
      </c>
      <c r="CR37" s="565">
        <f>AVERAGE(CR13:CR36)</f>
        <v>0.85260115606936415</v>
      </c>
      <c r="CS37" s="232">
        <f>'[1]Reading.4.24'!CN35</f>
        <v>123</v>
      </c>
      <c r="CT37" s="264" t="e">
        <f>'[1]Reading.4.24'!CO35</f>
        <v>#REF!</v>
      </c>
      <c r="CV37" s="33"/>
      <c r="CW37" s="33">
        <f>SUM(CW6:CW36)</f>
        <v>13</v>
      </c>
      <c r="CX37" s="263">
        <f>'[1]Reading.4.24'!CT37</f>
        <v>0.52997601918465231</v>
      </c>
      <c r="CZ37" s="33"/>
      <c r="DA37" s="33">
        <f>SUM(DA6:DA36)</f>
        <v>34</v>
      </c>
      <c r="DB37" s="232">
        <f>SUM(DB6:DB36)</f>
        <v>35</v>
      </c>
      <c r="DD37" s="33"/>
      <c r="DE37" s="33">
        <f>SUM(DE6:DE36)</f>
        <v>7577</v>
      </c>
      <c r="DF37" s="232">
        <f>SUM(DF6:DF36)</f>
        <v>6973</v>
      </c>
      <c r="DH37" s="33"/>
      <c r="DI37" s="33">
        <f>SUM(DI6:DI36)</f>
        <v>14864</v>
      </c>
      <c r="DJ37" s="232">
        <f>SUM(DJ6:DJ36)</f>
        <v>14785</v>
      </c>
      <c r="DL37" s="33"/>
      <c r="DM37" s="33">
        <f>SUM(DM6:DM36)</f>
        <v>13637</v>
      </c>
      <c r="DN37" s="232">
        <f>SUM(DN6:DN36)</f>
        <v>13579</v>
      </c>
      <c r="DP37" s="33"/>
      <c r="DQ37" s="33">
        <f>SUM(DQ6:DQ36)</f>
        <v>13124</v>
      </c>
      <c r="DR37" s="232">
        <f>SUM(DR6:DR36)</f>
        <v>6641</v>
      </c>
      <c r="DT37" s="33" t="s">
        <v>202</v>
      </c>
      <c r="DU37" s="33">
        <f>SUM(DU6:DU36)</f>
        <v>9630</v>
      </c>
      <c r="DV37" s="232">
        <f>SUM(DV6:DV36)</f>
        <v>12146</v>
      </c>
      <c r="DW37" s="558"/>
      <c r="DX37" s="33"/>
      <c r="DZ37" s="33">
        <f>SUM(DZ6:DZ36)</f>
        <v>42151</v>
      </c>
      <c r="EA37" s="232">
        <f>SUM(EA6:EA36)</f>
        <v>38610</v>
      </c>
      <c r="EC37" s="190">
        <f>SUM(EC6:EC36)</f>
        <v>27939.600000000002</v>
      </c>
      <c r="ED37" s="263">
        <f>SUM(ED6:ED36)</f>
        <v>22516</v>
      </c>
      <c r="EF37" s="33"/>
      <c r="EG37" s="33">
        <f>SUM(EG6:EG36)</f>
        <v>631</v>
      </c>
      <c r="EH37" s="232">
        <f>SUM(EH6:EH36)</f>
        <v>385</v>
      </c>
      <c r="EJ37" s="33"/>
      <c r="EK37" s="33">
        <f>SUM(EK6:EK36)</f>
        <v>215</v>
      </c>
      <c r="EL37" s="232">
        <f>SUM(EL6:EL36)</f>
        <v>195</v>
      </c>
      <c r="EN37" s="149"/>
      <c r="EO37" s="464"/>
      <c r="EP37" s="559"/>
      <c r="EQ37" s="269"/>
      <c r="ES37" s="149"/>
      <c r="ET37" s="149"/>
    </row>
    <row r="38" spans="1:150" ht="13.5" thickTop="1" x14ac:dyDescent="0.2">
      <c r="B38" s="562"/>
      <c r="C38" t="s">
        <v>33</v>
      </c>
      <c r="W38" s="32"/>
      <c r="AP38" s="150" t="s">
        <v>99</v>
      </c>
      <c r="AQ38" s="151">
        <v>2216</v>
      </c>
      <c r="CQ38">
        <v>0</v>
      </c>
    </row>
    <row r="39" spans="1:150" x14ac:dyDescent="0.2">
      <c r="C39">
        <f>SUM(C6:C36)</f>
        <v>5373</v>
      </c>
      <c r="K39" s="301"/>
      <c r="P39" s="301"/>
      <c r="AP39" s="150" t="s">
        <v>101</v>
      </c>
      <c r="AQ39" s="151">
        <v>2160</v>
      </c>
    </row>
    <row r="40" spans="1:150" x14ac:dyDescent="0.2">
      <c r="B40">
        <f>+B31-B30</f>
        <v>0</v>
      </c>
      <c r="G40" s="303"/>
      <c r="U40" s="566" t="s">
        <v>49</v>
      </c>
      <c r="V40" s="132"/>
      <c r="W40" s="132"/>
      <c r="X40" s="132"/>
      <c r="Y40" s="132"/>
      <c r="Z40" s="132"/>
      <c r="AA40" s="132"/>
      <c r="AB40" s="135">
        <f>'[1]cost.4.25'!BG38</f>
        <v>131.93837960960232</v>
      </c>
      <c r="AC40" s="567" t="s">
        <v>51</v>
      </c>
      <c r="AF40" s="33" t="s">
        <v>46</v>
      </c>
      <c r="AG40" s="33"/>
      <c r="AH40" s="33"/>
      <c r="AI40" s="130"/>
      <c r="AJ40" s="134">
        <f>AJ37</f>
        <v>0.56718749999999996</v>
      </c>
      <c r="AM40" s="33" t="s">
        <v>56</v>
      </c>
      <c r="AN40" s="33"/>
      <c r="AO40" s="33"/>
      <c r="AP40" s="130"/>
      <c r="AQ40" s="132"/>
      <c r="AR40" s="131">
        <f>AF37/AN37</f>
        <v>112.83002952340343</v>
      </c>
      <c r="AY40" s="666" t="s">
        <v>267</v>
      </c>
      <c r="AZ40" s="666"/>
      <c r="BA40" s="666"/>
      <c r="BB40" s="666"/>
      <c r="BC40" s="666"/>
      <c r="BD40" s="666"/>
      <c r="BE40" s="666"/>
      <c r="BF40" s="666"/>
      <c r="BG40" s="666"/>
      <c r="BH40" s="666"/>
      <c r="BI40" s="666"/>
      <c r="BJ40" s="507"/>
    </row>
    <row r="41" spans="1:150" x14ac:dyDescent="0.2">
      <c r="U41" s="566" t="s">
        <v>50</v>
      </c>
      <c r="V41" s="132"/>
      <c r="W41" s="132"/>
      <c r="X41" s="132"/>
      <c r="Y41" s="132"/>
      <c r="Z41" s="132"/>
      <c r="AA41" s="132"/>
      <c r="AB41" s="135">
        <f>'[1]cost.4.25'!BI38</f>
        <v>168.5944867461003</v>
      </c>
      <c r="AC41" s="567" t="s">
        <v>51</v>
      </c>
      <c r="AF41" s="33" t="s">
        <v>45</v>
      </c>
      <c r="AG41" s="33"/>
      <c r="AH41" s="33"/>
      <c r="AI41" s="130"/>
      <c r="AJ41" s="134">
        <f>AI37</f>
        <v>0.79302499999999987</v>
      </c>
      <c r="AM41" s="33" t="s">
        <v>55</v>
      </c>
      <c r="AN41" s="33"/>
      <c r="AO41" s="33"/>
      <c r="AP41" s="130"/>
      <c r="AQ41" s="132"/>
      <c r="AR41" s="131">
        <f>AE37/AM37</f>
        <v>88.665159626655992</v>
      </c>
      <c r="AZ41" s="233"/>
      <c r="BA41" s="666">
        <v>7598.27</v>
      </c>
      <c r="BB41" s="666"/>
      <c r="BC41" s="666"/>
      <c r="BD41" s="666"/>
      <c r="BE41" s="666"/>
      <c r="BF41" s="666"/>
      <c r="BG41" s="666"/>
      <c r="BH41" s="666"/>
      <c r="BI41" s="666"/>
      <c r="BJ41" s="666"/>
      <c r="BK41" s="666"/>
    </row>
    <row r="42" spans="1:150" x14ac:dyDescent="0.2">
      <c r="N42" s="303">
        <f>X37*2</f>
        <v>591760.00000000931</v>
      </c>
      <c r="U42" s="566" t="s">
        <v>48</v>
      </c>
      <c r="V42" s="132"/>
      <c r="W42" s="132"/>
      <c r="X42" s="132"/>
      <c r="Y42" s="132"/>
      <c r="Z42" s="132"/>
      <c r="AA42" s="132"/>
      <c r="AB42" s="135">
        <f>'[1]cost.4.25'!BH38</f>
        <v>334.74341379856344</v>
      </c>
      <c r="AC42" s="567" t="s">
        <v>51</v>
      </c>
      <c r="AF42" s="33" t="s">
        <v>47</v>
      </c>
      <c r="AG42" s="33"/>
      <c r="AH42" s="130"/>
      <c r="AI42" s="132"/>
      <c r="AJ42" s="134">
        <f>AK37</f>
        <v>0.54500000000000004</v>
      </c>
      <c r="AM42" s="33" t="s">
        <v>54</v>
      </c>
      <c r="AN42" s="33"/>
      <c r="AO42" s="33"/>
      <c r="AP42" s="130"/>
      <c r="AQ42" s="132"/>
      <c r="AR42" s="131">
        <f>AG37/AO37</f>
        <v>134.95855855855856</v>
      </c>
      <c r="CC42">
        <f>229975+25</f>
        <v>230000</v>
      </c>
    </row>
    <row r="43" spans="1:150" x14ac:dyDescent="0.2">
      <c r="K43" s="265"/>
      <c r="AY43" s="674"/>
      <c r="AZ43" s="674"/>
      <c r="BA43" s="674"/>
      <c r="BB43" s="674"/>
      <c r="BC43" s="674"/>
      <c r="BD43" s="674"/>
      <c r="BE43" s="674"/>
      <c r="BF43" s="674"/>
      <c r="BG43" s="674"/>
      <c r="BH43" s="674"/>
    </row>
    <row r="44" spans="1:150" x14ac:dyDescent="0.2">
      <c r="AM44" s="33" t="s">
        <v>57</v>
      </c>
      <c r="AN44" s="33"/>
      <c r="AO44" s="33"/>
      <c r="AP44" s="130"/>
      <c r="AQ44" s="132"/>
      <c r="AR44" s="568">
        <f>AF37/BL37</f>
        <v>63.574144486689526</v>
      </c>
    </row>
    <row r="45" spans="1:150" x14ac:dyDescent="0.2">
      <c r="AM45" s="33" t="s">
        <v>58</v>
      </c>
      <c r="AN45" s="33"/>
      <c r="AO45" s="33"/>
      <c r="AP45" s="130"/>
      <c r="AQ45" s="132"/>
      <c r="AR45" s="131">
        <f>AE37/BL37</f>
        <v>70.313688212928867</v>
      </c>
      <c r="BA45" s="508"/>
    </row>
    <row r="46" spans="1:150" x14ac:dyDescent="0.2">
      <c r="AM46" s="33" t="s">
        <v>59</v>
      </c>
      <c r="AN46" s="33"/>
      <c r="AO46" s="33"/>
      <c r="AP46" s="130"/>
      <c r="AQ46" s="132"/>
      <c r="AR46" s="131">
        <f>AG37/BL37</f>
        <v>73.496381699987722</v>
      </c>
      <c r="AV46" s="569"/>
    </row>
    <row r="49" spans="37:60" x14ac:dyDescent="0.2">
      <c r="AM49" s="224"/>
    </row>
    <row r="50" spans="37:60" x14ac:dyDescent="0.2">
      <c r="AK50" s="570"/>
      <c r="AL50" s="571"/>
      <c r="AM50" s="572"/>
      <c r="AN50" s="571"/>
    </row>
    <row r="51" spans="37:60" x14ac:dyDescent="0.2">
      <c r="AK51" s="570"/>
      <c r="AL51" s="571"/>
      <c r="AM51" s="572"/>
      <c r="AN51" s="571"/>
    </row>
    <row r="52" spans="37:60" x14ac:dyDescent="0.2">
      <c r="AK52" s="570"/>
      <c r="AL52" s="571"/>
      <c r="AM52" s="572"/>
      <c r="AN52" s="571"/>
    </row>
    <row r="53" spans="37:60" x14ac:dyDescent="0.2">
      <c r="AK53" s="570"/>
      <c r="AL53" s="571"/>
      <c r="AM53" s="572"/>
      <c r="AN53" s="571"/>
    </row>
    <row r="54" spans="37:60" x14ac:dyDescent="0.2">
      <c r="AK54" s="570"/>
      <c r="AL54" s="571"/>
      <c r="AM54" s="572"/>
      <c r="AN54" s="571"/>
    </row>
    <row r="55" spans="37:60" x14ac:dyDescent="0.2">
      <c r="AK55" s="570"/>
      <c r="AL55" s="571"/>
      <c r="AM55" s="572"/>
      <c r="AN55" s="571"/>
    </row>
    <row r="56" spans="37:60" x14ac:dyDescent="0.2">
      <c r="AK56" s="570"/>
      <c r="AL56" s="571"/>
      <c r="AM56" s="572"/>
      <c r="AN56" s="571"/>
    </row>
    <row r="57" spans="37:60" x14ac:dyDescent="0.2">
      <c r="AK57" s="570"/>
      <c r="AL57" s="571"/>
      <c r="AM57" s="572"/>
      <c r="AN57" s="571"/>
    </row>
    <row r="58" spans="37:60" x14ac:dyDescent="0.2">
      <c r="AK58" s="570"/>
      <c r="AL58" s="571"/>
      <c r="AM58" s="572"/>
      <c r="AN58" s="571"/>
      <c r="BF58" s="334"/>
      <c r="BG58" s="334"/>
      <c r="BH58" s="334"/>
    </row>
    <row r="59" spans="37:60" x14ac:dyDescent="0.2">
      <c r="AK59" s="570"/>
      <c r="AL59" s="571"/>
      <c r="AM59" s="572"/>
      <c r="AN59" s="571"/>
      <c r="BF59" s="334"/>
      <c r="BG59" s="334"/>
      <c r="BH59" s="334"/>
    </row>
    <row r="60" spans="37:60" x14ac:dyDescent="0.2">
      <c r="AK60" s="570"/>
      <c r="AL60" s="571"/>
      <c r="AM60" s="572"/>
      <c r="AN60" s="571"/>
      <c r="BF60" s="334"/>
      <c r="BG60" s="334"/>
      <c r="BH60" s="334"/>
    </row>
    <row r="61" spans="37:60" x14ac:dyDescent="0.2">
      <c r="AK61" s="570"/>
      <c r="AL61" s="571"/>
      <c r="AM61" s="572"/>
      <c r="AN61" s="571"/>
      <c r="BF61" s="334"/>
      <c r="BG61" s="334"/>
      <c r="BH61" s="334"/>
    </row>
    <row r="62" spans="37:60" x14ac:dyDescent="0.2">
      <c r="AK62" s="570"/>
      <c r="AL62" s="571"/>
      <c r="AM62" s="572"/>
      <c r="AN62" s="571"/>
      <c r="BF62" s="334"/>
      <c r="BG62" s="334"/>
      <c r="BH62" s="334"/>
    </row>
    <row r="63" spans="37:60" x14ac:dyDescent="0.2">
      <c r="AK63" s="570"/>
      <c r="AL63" s="571"/>
      <c r="AM63" s="572"/>
      <c r="AN63" s="571"/>
      <c r="BF63" s="334"/>
      <c r="BG63" s="334"/>
      <c r="BH63" s="334"/>
    </row>
    <row r="64" spans="37:60" x14ac:dyDescent="0.2">
      <c r="AK64" s="570"/>
      <c r="AL64" s="571"/>
      <c r="AM64" s="572"/>
      <c r="AN64" s="571"/>
      <c r="BF64" s="334"/>
      <c r="BG64" s="334"/>
      <c r="BH64" s="334"/>
    </row>
    <row r="65" spans="37:60" x14ac:dyDescent="0.2">
      <c r="AK65" s="570"/>
      <c r="AL65" s="571"/>
      <c r="AM65" s="572"/>
      <c r="AN65" s="571"/>
      <c r="BF65" s="334"/>
      <c r="BG65" s="334"/>
      <c r="BH65" s="334"/>
    </row>
    <row r="66" spans="37:60" x14ac:dyDescent="0.2">
      <c r="AK66" s="570"/>
      <c r="AL66" s="571"/>
      <c r="AM66" s="572"/>
      <c r="AN66" s="571"/>
      <c r="BF66" s="334"/>
      <c r="BG66" s="334"/>
      <c r="BH66" s="334"/>
    </row>
    <row r="67" spans="37:60" x14ac:dyDescent="0.2">
      <c r="AK67" s="570"/>
      <c r="AL67" s="571"/>
      <c r="AM67" s="572"/>
      <c r="AN67" s="571"/>
      <c r="BF67" s="334"/>
      <c r="BG67" s="334"/>
      <c r="BH67" s="334"/>
    </row>
    <row r="68" spans="37:60" x14ac:dyDescent="0.2">
      <c r="AK68" s="570"/>
      <c r="AL68" s="571"/>
      <c r="AM68" s="572"/>
      <c r="AN68" s="571"/>
      <c r="BF68" s="334"/>
      <c r="BG68" s="334"/>
      <c r="BH68" s="334"/>
    </row>
    <row r="69" spans="37:60" x14ac:dyDescent="0.2">
      <c r="AK69" s="570"/>
      <c r="AL69" s="571"/>
      <c r="AM69" s="572"/>
      <c r="AN69" s="571"/>
      <c r="BF69" s="334"/>
      <c r="BG69" s="334"/>
      <c r="BH69" s="334"/>
    </row>
    <row r="70" spans="37:60" x14ac:dyDescent="0.2">
      <c r="AK70" s="570"/>
      <c r="AL70" s="571"/>
      <c r="AM70" s="572"/>
      <c r="AN70" s="571"/>
      <c r="BF70" s="334"/>
      <c r="BG70" s="334"/>
      <c r="BH70" s="334"/>
    </row>
    <row r="71" spans="37:60" x14ac:dyDescent="0.2">
      <c r="AK71" s="570"/>
      <c r="AL71" s="571"/>
      <c r="AM71" s="572"/>
      <c r="AN71" s="571"/>
      <c r="BF71" s="334"/>
      <c r="BG71" s="334"/>
      <c r="BH71" s="334"/>
    </row>
    <row r="72" spans="37:60" x14ac:dyDescent="0.2">
      <c r="AK72" s="570"/>
      <c r="AL72" s="571"/>
      <c r="AM72" s="572"/>
      <c r="AN72" s="571"/>
      <c r="BF72" s="334"/>
      <c r="BG72" s="334"/>
      <c r="BH72" s="334"/>
    </row>
    <row r="73" spans="37:60" x14ac:dyDescent="0.2">
      <c r="AK73" s="570"/>
      <c r="AL73" s="571"/>
      <c r="AM73" s="573"/>
      <c r="AN73" s="571"/>
      <c r="BF73" s="334"/>
      <c r="BG73" s="334"/>
      <c r="BH73" s="334"/>
    </row>
    <row r="74" spans="37:60" x14ac:dyDescent="0.2">
      <c r="AK74" s="570"/>
      <c r="AL74" s="571"/>
      <c r="AM74" s="571"/>
      <c r="AN74" s="571"/>
      <c r="BF74" s="334"/>
      <c r="BG74" s="334"/>
      <c r="BH74" s="334"/>
    </row>
    <row r="75" spans="37:60" x14ac:dyDescent="0.2">
      <c r="AK75" s="571"/>
      <c r="AL75" s="571"/>
      <c r="AM75" s="571"/>
      <c r="AN75" s="571"/>
      <c r="BF75" s="334"/>
      <c r="BG75" s="334"/>
      <c r="BH75" s="334"/>
    </row>
    <row r="76" spans="37:60" x14ac:dyDescent="0.2">
      <c r="AK76" s="571"/>
      <c r="AL76" s="571"/>
      <c r="AM76" s="571"/>
      <c r="AN76" s="571"/>
      <c r="BF76" s="334"/>
      <c r="BG76" s="334"/>
      <c r="BH76" s="334"/>
    </row>
    <row r="77" spans="37:60" x14ac:dyDescent="0.2">
      <c r="AK77" s="571"/>
      <c r="AL77" s="571"/>
      <c r="AM77" s="571"/>
      <c r="AN77" s="571"/>
      <c r="BF77" s="334"/>
      <c r="BG77" s="334"/>
      <c r="BH77" s="334"/>
    </row>
    <row r="78" spans="37:60" x14ac:dyDescent="0.2">
      <c r="AK78" s="571"/>
      <c r="AL78" s="571"/>
      <c r="AM78" s="571"/>
      <c r="AN78" s="571"/>
      <c r="BF78" s="334"/>
      <c r="BG78" s="334"/>
      <c r="BH78" s="334"/>
    </row>
    <row r="79" spans="37:60" x14ac:dyDescent="0.2">
      <c r="AK79" s="571"/>
      <c r="AL79" s="571"/>
      <c r="AM79" s="571"/>
      <c r="AN79" s="571"/>
      <c r="BF79" s="334"/>
      <c r="BG79" s="334"/>
      <c r="BH79" s="334"/>
    </row>
    <row r="80" spans="37:60" x14ac:dyDescent="0.2">
      <c r="AK80" s="571"/>
      <c r="AL80" s="571"/>
      <c r="AM80" s="571"/>
      <c r="AN80" s="571"/>
      <c r="BF80" s="334"/>
      <c r="BG80" s="334"/>
      <c r="BH80" s="334"/>
    </row>
    <row r="81" spans="37:117" x14ac:dyDescent="0.2">
      <c r="AK81" s="571"/>
      <c r="AL81" s="571"/>
      <c r="AM81" s="571"/>
      <c r="AN81" s="571"/>
      <c r="BF81" s="334"/>
      <c r="BG81" s="334"/>
      <c r="BH81" s="334"/>
      <c r="DM81" t="s">
        <v>110</v>
      </c>
    </row>
    <row r="82" spans="37:117" x14ac:dyDescent="0.2">
      <c r="BF82" s="334"/>
      <c r="BG82" s="334"/>
      <c r="BH82" s="334"/>
    </row>
    <row r="83" spans="37:117" x14ac:dyDescent="0.2">
      <c r="BF83" s="334"/>
      <c r="BG83" s="334"/>
      <c r="BH83" s="334"/>
    </row>
    <row r="88" spans="37:117" x14ac:dyDescent="0.2">
      <c r="AM88" s="211"/>
    </row>
    <row r="89" spans="37:117" x14ac:dyDescent="0.2">
      <c r="AM89" s="211"/>
    </row>
    <row r="90" spans="37:117" x14ac:dyDescent="0.2">
      <c r="AM90" s="211"/>
    </row>
    <row r="91" spans="37:117" x14ac:dyDescent="0.2">
      <c r="AM91" s="211"/>
    </row>
    <row r="92" spans="37:117" x14ac:dyDescent="0.2">
      <c r="AM92" s="211"/>
    </row>
    <row r="93" spans="37:117" x14ac:dyDescent="0.2">
      <c r="AM93" s="211"/>
    </row>
    <row r="94" spans="37:117" x14ac:dyDescent="0.2">
      <c r="AM94" s="211"/>
    </row>
    <row r="95" spans="37:117" x14ac:dyDescent="0.2">
      <c r="AM95" s="211"/>
    </row>
    <row r="96" spans="37:117" x14ac:dyDescent="0.2">
      <c r="AM96" s="211"/>
    </row>
    <row r="97" spans="39:39" x14ac:dyDescent="0.2">
      <c r="AM97" s="211"/>
    </row>
    <row r="98" spans="39:39" x14ac:dyDescent="0.2">
      <c r="AM98" s="211"/>
    </row>
    <row r="99" spans="39:39" x14ac:dyDescent="0.2">
      <c r="AM99" s="211"/>
    </row>
    <row r="100" spans="39:39" x14ac:dyDescent="0.2">
      <c r="AM100" s="211"/>
    </row>
    <row r="101" spans="39:39" x14ac:dyDescent="0.2">
      <c r="AM101" s="211"/>
    </row>
    <row r="102" spans="39:39" x14ac:dyDescent="0.2">
      <c r="AM102" s="211"/>
    </row>
    <row r="103" spans="39:39" x14ac:dyDescent="0.2">
      <c r="AM103" s="211"/>
    </row>
    <row r="104" spans="39:39" x14ac:dyDescent="0.2">
      <c r="AM104" s="211"/>
    </row>
    <row r="105" spans="39:39" x14ac:dyDescent="0.2">
      <c r="AM105" s="211"/>
    </row>
    <row r="106" spans="39:39" x14ac:dyDescent="0.2">
      <c r="AM106" s="211"/>
    </row>
    <row r="107" spans="39:39" x14ac:dyDescent="0.2">
      <c r="AM107" s="211"/>
    </row>
    <row r="108" spans="39:39" x14ac:dyDescent="0.2">
      <c r="AM108" s="211"/>
    </row>
    <row r="109" spans="39:39" x14ac:dyDescent="0.2">
      <c r="AM109" s="211"/>
    </row>
    <row r="110" spans="39:39" x14ac:dyDescent="0.2">
      <c r="AM110" s="211"/>
    </row>
    <row r="151" spans="69:69" x14ac:dyDescent="0.2">
      <c r="BQ151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AY43:BH43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V2:CX2"/>
    <mergeCell ref="CP2:CT2"/>
    <mergeCell ref="BA41:BK41"/>
    <mergeCell ref="CB2:CD2"/>
    <mergeCell ref="CI2:CK2"/>
    <mergeCell ref="BX2:BZ2"/>
    <mergeCell ref="BT2:BV2"/>
    <mergeCell ref="BP2:BR2"/>
    <mergeCell ref="BN2:BN4"/>
    <mergeCell ref="AY40:BI40"/>
    <mergeCell ref="BL2:BL4"/>
    <mergeCell ref="BC4:BF4"/>
    <mergeCell ref="BG4:BJ4"/>
    <mergeCell ref="BC2:BJ2"/>
    <mergeCell ref="CF2:CH2"/>
    <mergeCell ref="EN2:EQ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</mergeCells>
  <hyperlinks>
    <hyperlink ref="AY40" r:id="rId1"/>
  </hyperlinks>
  <pageMargins left="0.75" right="0.75" top="1" bottom="1" header="0.5" footer="0.5"/>
  <pageSetup scale="9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L43"/>
  <sheetViews>
    <sheetView view="pageBreakPreview" zoomScale="91" zoomScaleNormal="91" zoomScaleSheetLayoutView="91" workbookViewId="0">
      <pane ySplit="5" topLeftCell="A6" activePane="bottomLeft" state="frozen"/>
      <selection activeCell="CQ34" activeCellId="6" sqref="CQ27 CS35 CR35 CR35 CP34 CP34 CQ34"/>
      <selection pane="bottomLeft" activeCell="D15" sqref="D15:BI15"/>
    </sheetView>
  </sheetViews>
  <sheetFormatPr defaultRowHeight="12.75" x14ac:dyDescent="0.2"/>
  <cols>
    <col min="1" max="1" width="1.5703125" customWidth="1"/>
    <col min="2" max="2" width="13" bestFit="1" customWidth="1"/>
    <col min="3" max="3" width="1.140625" customWidth="1"/>
    <col min="4" max="4" width="7.85546875" customWidth="1"/>
    <col min="5" max="5" width="1.140625" customWidth="1"/>
    <col min="6" max="6" width="11.140625" customWidth="1"/>
    <col min="7" max="7" width="1.140625" customWidth="1"/>
    <col min="8" max="8" width="11.140625" customWidth="1"/>
    <col min="9" max="9" width="1.140625" customWidth="1"/>
    <col min="10" max="10" width="10.140625" customWidth="1"/>
    <col min="11" max="12" width="9.5703125" customWidth="1"/>
    <col min="13" max="13" width="12.28515625" bestFit="1" customWidth="1"/>
    <col min="14" max="14" width="1.140625" style="43" customWidth="1"/>
    <col min="15" max="16" width="10.28515625" customWidth="1"/>
    <col min="17" max="17" width="12" customWidth="1"/>
    <col min="20" max="20" width="8.140625" customWidth="1"/>
    <col min="21" max="21" width="1.140625" style="43" customWidth="1"/>
    <col min="22" max="23" width="10.28515625" style="43" customWidth="1"/>
    <col min="24" max="26" width="9" style="43" customWidth="1"/>
    <col min="27" max="27" width="1.140625" style="43" customWidth="1"/>
    <col min="28" max="39" width="10.7109375" style="43" customWidth="1"/>
    <col min="40" max="42" width="10.140625" style="43" customWidth="1"/>
    <col min="43" max="44" width="9" style="43" customWidth="1"/>
    <col min="45" max="45" width="9.42578125" customWidth="1"/>
    <col min="46" max="46" width="3.42578125" customWidth="1"/>
    <col min="47" max="47" width="1.85546875" customWidth="1"/>
    <col min="48" max="48" width="12.5703125" customWidth="1"/>
    <col min="49" max="49" width="11.5703125" customWidth="1"/>
    <col min="50" max="50" width="10.28515625" customWidth="1"/>
    <col min="51" max="51" width="11" customWidth="1"/>
    <col min="52" max="52" width="10" customWidth="1"/>
    <col min="53" max="53" width="9.7109375" customWidth="1"/>
    <col min="54" max="54" width="1.7109375" customWidth="1"/>
    <col min="55" max="56" width="11.42578125" customWidth="1"/>
    <col min="57" max="57" width="28.85546875" customWidth="1"/>
    <col min="58" max="58" width="1.42578125" customWidth="1"/>
    <col min="59" max="59" width="11.85546875" customWidth="1"/>
    <col min="60" max="60" width="10.7109375" customWidth="1"/>
    <col min="61" max="61" width="13.7109375" customWidth="1"/>
    <col min="62" max="62" width="1.7109375" customWidth="1"/>
    <col min="63" max="63" width="16.28515625" customWidth="1"/>
  </cols>
  <sheetData>
    <row r="1" spans="1:64" ht="13.5" thickBot="1" x14ac:dyDescent="0.25">
      <c r="H1">
        <f>H8*31</f>
        <v>6616.2857142857138</v>
      </c>
      <c r="K1">
        <f>K8*31</f>
        <v>2493738</v>
      </c>
      <c r="N1"/>
      <c r="P1">
        <f>P8*31</f>
        <v>0</v>
      </c>
      <c r="R1">
        <f>R8*31</f>
        <v>0</v>
      </c>
      <c r="U1"/>
      <c r="V1"/>
      <c r="W1">
        <f>W8*31</f>
        <v>18845</v>
      </c>
      <c r="X1">
        <f>X8*31</f>
        <v>96112</v>
      </c>
      <c r="Y1"/>
      <c r="Z1"/>
      <c r="AA1"/>
      <c r="AB1"/>
      <c r="AC1"/>
      <c r="AD1">
        <f>AD8*31</f>
        <v>16204.5</v>
      </c>
      <c r="AE1"/>
      <c r="AF1"/>
      <c r="AG1"/>
      <c r="AH1"/>
      <c r="AI1"/>
      <c r="AJ1">
        <f>AJ8*31</f>
        <v>5401.5</v>
      </c>
      <c r="AK1"/>
      <c r="AL1"/>
      <c r="AM1"/>
      <c r="AN1"/>
      <c r="AO1"/>
      <c r="AP1">
        <f>AP8*31</f>
        <v>21606</v>
      </c>
      <c r="AQ1">
        <f>AQ8*31</f>
        <v>82483</v>
      </c>
      <c r="AR1"/>
    </row>
    <row r="2" spans="1:64" ht="26.25" thickBot="1" x14ac:dyDescent="0.4">
      <c r="A2" s="690" t="s">
        <v>296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1"/>
      <c r="V2" s="691"/>
      <c r="W2" s="691"/>
      <c r="X2" s="691"/>
      <c r="Y2" s="691"/>
      <c r="Z2" s="691"/>
      <c r="AA2" s="691"/>
      <c r="AB2" s="691"/>
      <c r="AC2" s="691"/>
      <c r="AD2" s="691"/>
      <c r="AE2" s="691"/>
      <c r="AF2" s="691"/>
      <c r="AG2" s="691"/>
      <c r="AH2" s="691"/>
      <c r="AI2" s="691"/>
      <c r="AJ2" s="691"/>
      <c r="AK2" s="691"/>
      <c r="AL2" s="691"/>
      <c r="AM2" s="691"/>
      <c r="AN2" s="691"/>
      <c r="AO2" s="691"/>
      <c r="AP2" s="691"/>
      <c r="AQ2" s="691"/>
      <c r="AR2" s="691"/>
      <c r="AS2" s="691"/>
      <c r="AT2" s="79"/>
      <c r="AU2" s="86"/>
      <c r="AV2" s="86" t="s">
        <v>297</v>
      </c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7"/>
      <c r="BK2" s="77"/>
      <c r="BL2" s="77"/>
    </row>
    <row r="3" spans="1:64" ht="26.25" thickBot="1" x14ac:dyDescent="0.4">
      <c r="A3" s="289"/>
      <c r="B3" s="290">
        <v>1</v>
      </c>
      <c r="C3" s="290">
        <v>2</v>
      </c>
      <c r="D3" s="290">
        <v>3</v>
      </c>
      <c r="E3" s="290">
        <v>4</v>
      </c>
      <c r="F3" s="290">
        <v>5</v>
      </c>
      <c r="G3" s="290">
        <v>6</v>
      </c>
      <c r="H3" s="290">
        <v>7</v>
      </c>
      <c r="I3" s="290">
        <v>8</v>
      </c>
      <c r="J3" s="290">
        <v>9</v>
      </c>
      <c r="K3" s="290">
        <v>10</v>
      </c>
      <c r="L3" s="290">
        <v>11</v>
      </c>
      <c r="M3" s="290">
        <v>12</v>
      </c>
      <c r="N3" s="290">
        <v>13</v>
      </c>
      <c r="O3" s="290">
        <v>14</v>
      </c>
      <c r="P3" s="290">
        <v>15</v>
      </c>
      <c r="Q3" s="290">
        <v>16</v>
      </c>
      <c r="R3" s="290">
        <v>17</v>
      </c>
      <c r="S3" s="290">
        <v>18</v>
      </c>
      <c r="T3" s="290">
        <v>19</v>
      </c>
      <c r="U3" s="290">
        <v>20</v>
      </c>
      <c r="V3" s="290">
        <v>21</v>
      </c>
      <c r="W3" s="290">
        <v>22</v>
      </c>
      <c r="X3" s="290">
        <v>23</v>
      </c>
      <c r="Y3" s="290">
        <v>24</v>
      </c>
      <c r="Z3" s="290">
        <v>25</v>
      </c>
      <c r="AA3" s="290">
        <v>26</v>
      </c>
      <c r="AB3" s="290">
        <v>27</v>
      </c>
      <c r="AC3" s="290">
        <v>28</v>
      </c>
      <c r="AD3" s="290">
        <v>29</v>
      </c>
      <c r="AE3" s="290">
        <v>30</v>
      </c>
      <c r="AF3" s="290">
        <v>31</v>
      </c>
      <c r="AG3" s="290">
        <v>32</v>
      </c>
      <c r="AH3" s="290">
        <v>33</v>
      </c>
      <c r="AI3" s="290">
        <v>34</v>
      </c>
      <c r="AJ3" s="290">
        <v>35</v>
      </c>
      <c r="AK3" s="290">
        <v>36</v>
      </c>
      <c r="AL3" s="290">
        <v>37</v>
      </c>
      <c r="AM3" s="290">
        <v>38</v>
      </c>
      <c r="AN3" s="290">
        <v>39</v>
      </c>
      <c r="AO3" s="290">
        <v>40</v>
      </c>
      <c r="AP3" s="290">
        <v>41</v>
      </c>
      <c r="AQ3" s="290">
        <v>42</v>
      </c>
      <c r="AR3" s="290">
        <v>43</v>
      </c>
      <c r="AS3" s="290">
        <v>44</v>
      </c>
      <c r="AT3" s="290">
        <v>45</v>
      </c>
      <c r="AU3" s="290">
        <v>46</v>
      </c>
      <c r="AV3" s="290">
        <v>47</v>
      </c>
      <c r="AW3" s="290">
        <v>48</v>
      </c>
      <c r="AX3" s="290">
        <v>49</v>
      </c>
      <c r="AY3" s="290">
        <v>50</v>
      </c>
      <c r="AZ3" s="290">
        <v>51</v>
      </c>
      <c r="BA3" s="290">
        <v>52</v>
      </c>
      <c r="BB3" s="290">
        <v>53</v>
      </c>
      <c r="BC3" s="290">
        <v>54</v>
      </c>
      <c r="BD3" s="290">
        <v>55</v>
      </c>
      <c r="BE3" s="290">
        <v>56</v>
      </c>
      <c r="BF3" s="290">
        <v>57</v>
      </c>
      <c r="BG3" s="290">
        <v>58</v>
      </c>
      <c r="BH3" s="290">
        <v>59</v>
      </c>
      <c r="BI3" s="290">
        <v>60</v>
      </c>
      <c r="BJ3" s="289"/>
      <c r="BK3" s="77"/>
      <c r="BL3" s="77"/>
    </row>
    <row r="4" spans="1:64" ht="37.9" customHeight="1" thickTop="1" thickBot="1" x14ac:dyDescent="0.2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8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7"/>
      <c r="BJ4" s="2"/>
    </row>
    <row r="5" spans="1:64" ht="13.5" customHeight="1" thickBot="1" x14ac:dyDescent="0.25">
      <c r="A5" s="3"/>
      <c r="B5" s="8"/>
      <c r="C5" s="8"/>
      <c r="D5" s="8"/>
      <c r="E5" s="8"/>
      <c r="F5" s="8"/>
      <c r="G5" s="8"/>
      <c r="H5" s="8"/>
      <c r="I5" s="8"/>
      <c r="J5" s="704" t="s">
        <v>3</v>
      </c>
      <c r="K5" s="705"/>
      <c r="L5" s="705"/>
      <c r="M5" s="706"/>
      <c r="N5" s="58"/>
      <c r="O5" s="701" t="s">
        <v>2</v>
      </c>
      <c r="P5" s="702"/>
      <c r="Q5" s="702"/>
      <c r="R5" s="702"/>
      <c r="S5" s="702"/>
      <c r="T5" s="703"/>
      <c r="U5" s="9"/>
      <c r="V5" s="698" t="s">
        <v>1</v>
      </c>
      <c r="W5" s="699"/>
      <c r="X5" s="699"/>
      <c r="Y5" s="699"/>
      <c r="Z5" s="700"/>
      <c r="AA5" s="10"/>
      <c r="AB5" s="707" t="s">
        <v>24</v>
      </c>
      <c r="AC5" s="708"/>
      <c r="AD5" s="708"/>
      <c r="AE5" s="708"/>
      <c r="AF5" s="708"/>
      <c r="AG5" s="708"/>
      <c r="AH5" s="708"/>
      <c r="AI5" s="708"/>
      <c r="AJ5" s="708"/>
      <c r="AK5" s="708"/>
      <c r="AL5" s="708"/>
      <c r="AM5" s="708"/>
      <c r="AN5" s="708"/>
      <c r="AO5" s="708"/>
      <c r="AP5" s="708"/>
      <c r="AQ5" s="708"/>
      <c r="AR5" s="708"/>
      <c r="AS5" s="709"/>
      <c r="AT5" s="89"/>
      <c r="AU5" s="34"/>
      <c r="AV5" s="692" t="s">
        <v>3</v>
      </c>
      <c r="AW5" s="693"/>
      <c r="AX5" s="694" t="s">
        <v>1</v>
      </c>
      <c r="AY5" s="695"/>
      <c r="AZ5" s="696" t="s">
        <v>24</v>
      </c>
      <c r="BA5" s="697"/>
      <c r="BB5" s="10"/>
      <c r="BC5" s="688" t="s">
        <v>53</v>
      </c>
      <c r="BD5" s="688" t="s">
        <v>30</v>
      </c>
      <c r="BE5" s="688" t="s">
        <v>31</v>
      </c>
      <c r="BF5" s="69"/>
      <c r="BG5" s="688" t="s">
        <v>52</v>
      </c>
      <c r="BH5" s="688" t="s">
        <v>27</v>
      </c>
      <c r="BI5" s="688" t="s">
        <v>28</v>
      </c>
      <c r="BJ5" s="4"/>
    </row>
    <row r="6" spans="1:64" ht="51.75" thickBot="1" x14ac:dyDescent="0.25">
      <c r="A6" s="3"/>
      <c r="B6" s="11" t="s">
        <v>0</v>
      </c>
      <c r="C6" s="12"/>
      <c r="D6" s="11" t="s">
        <v>16</v>
      </c>
      <c r="E6" s="12"/>
      <c r="F6" s="11" t="s">
        <v>22</v>
      </c>
      <c r="G6" s="12"/>
      <c r="H6" s="11" t="s">
        <v>32</v>
      </c>
      <c r="I6" s="12"/>
      <c r="J6" s="17" t="s">
        <v>6</v>
      </c>
      <c r="K6" s="18" t="s">
        <v>7</v>
      </c>
      <c r="L6" s="254" t="s">
        <v>130</v>
      </c>
      <c r="M6" s="30" t="s">
        <v>4</v>
      </c>
      <c r="N6" s="58"/>
      <c r="O6" s="15" t="s">
        <v>5</v>
      </c>
      <c r="P6" s="61" t="s">
        <v>79</v>
      </c>
      <c r="Q6" s="61" t="s">
        <v>23</v>
      </c>
      <c r="R6" s="16" t="s">
        <v>7</v>
      </c>
      <c r="S6" s="255" t="s">
        <v>130</v>
      </c>
      <c r="T6" s="27" t="s">
        <v>4</v>
      </c>
      <c r="U6" s="12"/>
      <c r="V6" s="13" t="s">
        <v>15</v>
      </c>
      <c r="W6" s="169" t="s">
        <v>78</v>
      </c>
      <c r="X6" s="14" t="s">
        <v>7</v>
      </c>
      <c r="Y6" s="257" t="s">
        <v>130</v>
      </c>
      <c r="Z6" s="28" t="s">
        <v>4</v>
      </c>
      <c r="AA6" s="19"/>
      <c r="AB6" s="175" t="s">
        <v>81</v>
      </c>
      <c r="AC6" s="171" t="s">
        <v>131</v>
      </c>
      <c r="AD6" s="171" t="s">
        <v>82</v>
      </c>
      <c r="AE6" s="171" t="s">
        <v>138</v>
      </c>
      <c r="AF6" s="171" t="s">
        <v>136</v>
      </c>
      <c r="AG6" s="171" t="s">
        <v>133</v>
      </c>
      <c r="AH6" s="171" t="s">
        <v>83</v>
      </c>
      <c r="AI6" s="171" t="s">
        <v>132</v>
      </c>
      <c r="AJ6" s="171" t="s">
        <v>84</v>
      </c>
      <c r="AK6" s="171" t="s">
        <v>139</v>
      </c>
      <c r="AL6" s="171" t="s">
        <v>137</v>
      </c>
      <c r="AM6" s="171" t="s">
        <v>134</v>
      </c>
      <c r="AN6" s="171" t="s">
        <v>80</v>
      </c>
      <c r="AO6" s="171" t="s">
        <v>135</v>
      </c>
      <c r="AP6" s="171" t="s">
        <v>85</v>
      </c>
      <c r="AQ6" s="64" t="s">
        <v>7</v>
      </c>
      <c r="AR6" s="259" t="s">
        <v>130</v>
      </c>
      <c r="AS6" s="65" t="s">
        <v>4</v>
      </c>
      <c r="AT6" s="90"/>
      <c r="AU6" s="34"/>
      <c r="AV6" s="70" t="s">
        <v>29</v>
      </c>
      <c r="AW6" s="71" t="s">
        <v>26</v>
      </c>
      <c r="AX6" s="72" t="s">
        <v>25</v>
      </c>
      <c r="AY6" s="73" t="s">
        <v>26</v>
      </c>
      <c r="AZ6" s="74" t="s">
        <v>25</v>
      </c>
      <c r="BA6" s="75" t="s">
        <v>26</v>
      </c>
      <c r="BB6" s="68"/>
      <c r="BC6" s="689"/>
      <c r="BD6" s="689"/>
      <c r="BE6" s="689"/>
      <c r="BF6" s="69"/>
      <c r="BG6" s="689"/>
      <c r="BH6" s="689"/>
      <c r="BI6" s="689"/>
      <c r="BJ6" s="4"/>
    </row>
    <row r="7" spans="1:64" ht="5.45" customHeight="1" thickBot="1" x14ac:dyDescent="0.25">
      <c r="A7" s="3"/>
      <c r="B7" s="12"/>
      <c r="C7" s="12"/>
      <c r="D7" s="57"/>
      <c r="E7" s="12"/>
      <c r="F7" s="12"/>
      <c r="G7" s="12"/>
      <c r="H7" s="117"/>
      <c r="I7" s="12"/>
      <c r="J7" s="12"/>
      <c r="K7" s="12"/>
      <c r="L7" s="12"/>
      <c r="M7" s="19"/>
      <c r="N7" s="34"/>
      <c r="O7" s="12"/>
      <c r="P7" s="117"/>
      <c r="Q7" s="12"/>
      <c r="R7" s="117"/>
      <c r="S7" s="117"/>
      <c r="T7" s="19"/>
      <c r="U7" s="12"/>
      <c r="V7" s="12"/>
      <c r="W7" s="12"/>
      <c r="X7" s="117"/>
      <c r="Y7" s="117"/>
      <c r="Z7" s="172"/>
      <c r="AA7" s="19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7"/>
      <c r="AQ7" s="12"/>
      <c r="AR7" s="12"/>
      <c r="AS7" s="19"/>
      <c r="AT7" s="90"/>
      <c r="AU7" s="34"/>
      <c r="AV7" s="76"/>
      <c r="AW7" s="76"/>
      <c r="AX7" s="76"/>
      <c r="AY7" s="76"/>
      <c r="AZ7" s="76"/>
      <c r="BA7" s="76"/>
      <c r="BB7" s="34"/>
      <c r="BC7" s="12"/>
      <c r="BD7" s="12"/>
      <c r="BE7" s="12"/>
      <c r="BF7" s="12"/>
      <c r="BG7" s="34"/>
      <c r="BH7" s="34"/>
      <c r="BI7" s="34"/>
      <c r="BJ7" s="4"/>
    </row>
    <row r="8" spans="1:64" ht="13.5" thickBot="1" x14ac:dyDescent="0.25">
      <c r="A8" s="3"/>
      <c r="B8" s="101">
        <v>45778</v>
      </c>
      <c r="C8" s="20"/>
      <c r="D8" s="136">
        <f>'Reading.5.25'!AI6</f>
        <v>0.86309999999999998</v>
      </c>
      <c r="E8" s="96"/>
      <c r="F8" s="137">
        <f>'Reading.5.25'!AM6</f>
        <v>453.99059999999997</v>
      </c>
      <c r="G8" s="95"/>
      <c r="H8" s="137">
        <f t="shared" ref="H8:H15" si="0">5976/28</f>
        <v>213.42857142857142</v>
      </c>
      <c r="I8" s="96"/>
      <c r="J8" s="138">
        <f>'Reading.5.25'!X6</f>
        <v>37559.999999997672</v>
      </c>
      <c r="K8" s="200">
        <f t="shared" ref="K8:K15" si="1">2493738/31</f>
        <v>80443.161290322576</v>
      </c>
      <c r="L8" s="200">
        <f>'Cost.4.24'!M7</f>
        <v>0</v>
      </c>
      <c r="M8" s="228">
        <f t="shared" ref="M8:M13" si="2">J8*1.94</f>
        <v>72866.399999995483</v>
      </c>
      <c r="N8" s="98"/>
      <c r="O8" s="139">
        <f>'Reading.5.25'!T6</f>
        <v>0</v>
      </c>
      <c r="P8" s="247">
        <f t="shared" ref="P8:P15" si="3">0/31</f>
        <v>0</v>
      </c>
      <c r="Q8" s="140">
        <f>'Reading.5.25'!AB6</f>
        <v>0</v>
      </c>
      <c r="R8" s="201">
        <f t="shared" ref="R8:R15" si="4">0/30</f>
        <v>0</v>
      </c>
      <c r="S8" s="256">
        <f>'Cost.4.24'!T7</f>
        <v>0</v>
      </c>
      <c r="T8" s="141">
        <f t="shared" ref="T8:T13" si="5">O8*7.55</f>
        <v>0</v>
      </c>
      <c r="U8" s="99"/>
      <c r="V8" s="142">
        <f>'Reading.5.25'!G6</f>
        <v>704</v>
      </c>
      <c r="W8" s="170">
        <f t="shared" ref="W8:W15" si="6">18845/31</f>
        <v>607.90322580645159</v>
      </c>
      <c r="X8" s="202">
        <f t="shared" ref="X8:X15" si="7">96112/31</f>
        <v>3100.3870967741937</v>
      </c>
      <c r="Y8" s="258">
        <f>'Cost.4.24'!Z7</f>
        <v>0</v>
      </c>
      <c r="Z8" s="29">
        <f>'Reading.5.25'!G6*5.1</f>
        <v>3590.3999999999996</v>
      </c>
      <c r="AA8" s="100"/>
      <c r="AB8" s="143">
        <f>'Reading.5.25'!O6</f>
        <v>682.28000000000009</v>
      </c>
      <c r="AC8" s="210">
        <f t="shared" ref="AC8" si="8">AB8*3.73</f>
        <v>2544.9044000000004</v>
      </c>
      <c r="AD8" s="173">
        <f t="shared" ref="AD8:AD15" si="9">((21606/4)*3)/31</f>
        <v>522.72580645161293</v>
      </c>
      <c r="AE8" s="210">
        <f t="shared" ref="AE8:AE15" si="10">((92472/4)*3)/31</f>
        <v>2237.2258064516127</v>
      </c>
      <c r="AF8" s="210">
        <f>'Cost.4.24'!AB7</f>
        <v>0</v>
      </c>
      <c r="AG8" s="210">
        <f>'Cost.4.24'!AC7</f>
        <v>0</v>
      </c>
      <c r="AH8" s="210">
        <f>'Reading.5.25'!K6</f>
        <v>252.072</v>
      </c>
      <c r="AI8" s="210">
        <f t="shared" ref="AI8" si="11">AH8*4</f>
        <v>1008.288</v>
      </c>
      <c r="AJ8" s="173">
        <f t="shared" ref="AJ8:AJ15" si="12">(21606/4)/31</f>
        <v>174.24193548387098</v>
      </c>
      <c r="AK8" s="210">
        <f t="shared" ref="AK8:AK15" si="13">(96112/4)/31</f>
        <v>775.09677419354841</v>
      </c>
      <c r="AL8" s="210">
        <f>'Cost.4.24'!AH7</f>
        <v>0</v>
      </c>
      <c r="AM8" s="210">
        <f>'Cost.4.24'!AI7</f>
        <v>0</v>
      </c>
      <c r="AN8" s="173">
        <f t="shared" ref="AN8" si="14">AB8+AH8</f>
        <v>934.35200000000009</v>
      </c>
      <c r="AO8" s="173">
        <f t="shared" ref="AO8" si="15">AF8+AL8</f>
        <v>0</v>
      </c>
      <c r="AP8" s="173">
        <f t="shared" ref="AP8" si="16">AD8+AJ8</f>
        <v>696.9677419354839</v>
      </c>
      <c r="AQ8" s="179">
        <f t="shared" ref="AQ8:AQ15" si="17">82483/31</f>
        <v>2660.7419354838707</v>
      </c>
      <c r="AR8" s="260">
        <f>'Cost.4.24'!AS7</f>
        <v>0</v>
      </c>
      <c r="AS8" s="66">
        <f t="shared" ref="AS8" si="18">AC8+AI8</f>
        <v>3553.1924000000004</v>
      </c>
      <c r="AT8" s="116"/>
      <c r="AU8" s="115"/>
      <c r="AV8" s="235">
        <f>'Reading.5.25'!AE6/'cost.5.25'!F8</f>
        <v>82.732990506846775</v>
      </c>
      <c r="AW8" s="236">
        <f t="shared" ref="AW8:AW13" si="19">(M8+T8)/F8</f>
        <v>160.50200158328275</v>
      </c>
      <c r="AX8" s="237">
        <f t="shared" ref="AX8:AX13" si="20">V8/F8</f>
        <v>1.5506928998089389</v>
      </c>
      <c r="AY8" s="238">
        <f t="shared" ref="AY8:AY13" si="21">Z8/F8</f>
        <v>7.9085337890255873</v>
      </c>
      <c r="AZ8" s="239">
        <f t="shared" ref="AZ8:AZ13" si="22">AN8/F8</f>
        <v>2.0580866652305141</v>
      </c>
      <c r="BA8" s="240">
        <f t="shared" ref="BA8:BA13" si="23">AS8/F8</f>
        <v>7.826577026044153</v>
      </c>
      <c r="BB8" s="114"/>
      <c r="BC8" s="144">
        <f>'Cost.4.24'!BE7</f>
        <v>0</v>
      </c>
      <c r="BD8" s="144">
        <f t="shared" ref="BD8:BD13" si="24">K8+R8+X8+AQ8</f>
        <v>86204.290322580637</v>
      </c>
      <c r="BE8" s="145">
        <f t="shared" ref="BE8:BE13" si="25">M8+T8+Z8+AS8</f>
        <v>80009.992399995477</v>
      </c>
      <c r="BF8" s="99"/>
      <c r="BG8" s="146">
        <f>'Cost.4.24'!BI7</f>
        <v>0</v>
      </c>
      <c r="BH8" s="146">
        <f t="shared" ref="BH8:BH13" si="26">BD8/H8</f>
        <v>403.90229736148893</v>
      </c>
      <c r="BI8" s="147">
        <f t="shared" ref="BI8:BI13" si="27">BE8/F8</f>
        <v>176.23711239835248</v>
      </c>
      <c r="BJ8" s="4"/>
    </row>
    <row r="9" spans="1:64" ht="13.5" thickBot="1" x14ac:dyDescent="0.25">
      <c r="A9" s="3"/>
      <c r="B9" s="101">
        <v>45779</v>
      </c>
      <c r="C9" s="20"/>
      <c r="D9" s="136">
        <f>'Reading.5.25'!AI7</f>
        <v>0.86309999999999998</v>
      </c>
      <c r="E9" s="96"/>
      <c r="F9" s="137">
        <f>'Reading.5.25'!AM7</f>
        <v>453.99059999999997</v>
      </c>
      <c r="G9" s="95"/>
      <c r="H9" s="137">
        <f t="shared" si="0"/>
        <v>213.42857142857142</v>
      </c>
      <c r="I9" s="96"/>
      <c r="J9" s="138">
        <f>'Reading.5.25'!X7</f>
        <v>37720.000000001164</v>
      </c>
      <c r="K9" s="200">
        <f t="shared" si="1"/>
        <v>80443.161290322576</v>
      </c>
      <c r="L9" s="200">
        <f>'Cost.4.24'!M8</f>
        <v>38530.800000001618</v>
      </c>
      <c r="M9" s="228">
        <f t="shared" si="2"/>
        <v>73176.800000002258</v>
      </c>
      <c r="N9" s="98"/>
      <c r="O9" s="139">
        <f>'Reading.5.25'!T7</f>
        <v>0</v>
      </c>
      <c r="P9" s="247">
        <f t="shared" si="3"/>
        <v>0</v>
      </c>
      <c r="Q9" s="140">
        <f>'Reading.5.25'!AB7</f>
        <v>0</v>
      </c>
      <c r="R9" s="201">
        <f t="shared" si="4"/>
        <v>0</v>
      </c>
      <c r="S9" s="256">
        <f>'Cost.4.24'!T8</f>
        <v>0</v>
      </c>
      <c r="T9" s="141">
        <f t="shared" si="5"/>
        <v>0</v>
      </c>
      <c r="U9" s="99"/>
      <c r="V9" s="142">
        <f>'Reading.5.25'!G7</f>
        <v>712</v>
      </c>
      <c r="W9" s="170">
        <f t="shared" si="6"/>
        <v>607.90322580645159</v>
      </c>
      <c r="X9" s="202">
        <f t="shared" si="7"/>
        <v>3100.3870967741937</v>
      </c>
      <c r="Y9" s="258">
        <f>'Cost.4.24'!Z8</f>
        <v>2454.3000000000002</v>
      </c>
      <c r="Z9" s="29">
        <f>'Reading.5.25'!G7*5.1</f>
        <v>3631.2</v>
      </c>
      <c r="AA9" s="100"/>
      <c r="AB9" s="143">
        <f>'Reading.5.25'!O7</f>
        <v>673.06000000000006</v>
      </c>
      <c r="AC9" s="210">
        <f t="shared" ref="AC9" si="28">AB9*3.73</f>
        <v>2510.5138000000002</v>
      </c>
      <c r="AD9" s="173">
        <f t="shared" si="9"/>
        <v>522.72580645161293</v>
      </c>
      <c r="AE9" s="210">
        <f t="shared" si="10"/>
        <v>2237.2258064516127</v>
      </c>
      <c r="AF9" s="210">
        <f>'Cost.4.24'!AB8</f>
        <v>391.85</v>
      </c>
      <c r="AG9" s="210">
        <f>'Cost.4.24'!AC8</f>
        <v>1461.6005</v>
      </c>
      <c r="AH9" s="210">
        <f>'Reading.5.25'!K7</f>
        <v>424.78800000000001</v>
      </c>
      <c r="AI9" s="210">
        <f t="shared" ref="AI9" si="29">AH9*4</f>
        <v>1699.152</v>
      </c>
      <c r="AJ9" s="173">
        <f t="shared" si="12"/>
        <v>174.24193548387098</v>
      </c>
      <c r="AK9" s="210">
        <f t="shared" si="13"/>
        <v>775.09677419354841</v>
      </c>
      <c r="AL9" s="210">
        <f>'Cost.4.24'!AH8</f>
        <v>112.03200000000001</v>
      </c>
      <c r="AM9" s="210">
        <f>'Cost.4.24'!AI8</f>
        <v>417.87936000000002</v>
      </c>
      <c r="AN9" s="173">
        <f t="shared" ref="AN9" si="30">AB9+AH9</f>
        <v>1097.848</v>
      </c>
      <c r="AO9" s="173">
        <f t="shared" ref="AO9" si="31">AF9+AL9</f>
        <v>503.88200000000006</v>
      </c>
      <c r="AP9" s="173">
        <f t="shared" ref="AP9" si="32">AD9+AJ9</f>
        <v>696.9677419354839</v>
      </c>
      <c r="AQ9" s="179">
        <f t="shared" si="17"/>
        <v>2660.7419354838707</v>
      </c>
      <c r="AR9" s="260">
        <f>'Cost.4.24'!AS8</f>
        <v>1879.4798599999999</v>
      </c>
      <c r="AS9" s="66">
        <f t="shared" ref="AS9" si="33">AC9+AI9</f>
        <v>4209.6658000000007</v>
      </c>
      <c r="AT9" s="116"/>
      <c r="AU9" s="115"/>
      <c r="AV9" s="235">
        <f>'Reading.5.25'!AE7/'cost.5.25'!F9</f>
        <v>83.085420711356505</v>
      </c>
      <c r="AW9" s="236">
        <f t="shared" si="19"/>
        <v>161.18571618003162</v>
      </c>
      <c r="AX9" s="237">
        <f t="shared" si="20"/>
        <v>1.5683144100340405</v>
      </c>
      <c r="AY9" s="238">
        <f t="shared" si="21"/>
        <v>7.9984034911736055</v>
      </c>
      <c r="AZ9" s="239">
        <f t="shared" si="22"/>
        <v>2.4182174697009144</v>
      </c>
      <c r="BA9" s="240">
        <f t="shared" si="23"/>
        <v>9.2725836173700529</v>
      </c>
      <c r="BB9" s="114"/>
      <c r="BC9" s="144">
        <f>'Cost.4.24'!BE8</f>
        <v>42864.579860001621</v>
      </c>
      <c r="BD9" s="144">
        <f t="shared" si="24"/>
        <v>86204.290322580637</v>
      </c>
      <c r="BE9" s="145">
        <f t="shared" si="25"/>
        <v>81017.665800002258</v>
      </c>
      <c r="BF9" s="99"/>
      <c r="BG9" s="146">
        <f>'Cost.4.24'!BI8</f>
        <v>156.44007248175774</v>
      </c>
      <c r="BH9" s="146">
        <f t="shared" si="26"/>
        <v>403.90229736148893</v>
      </c>
      <c r="BI9" s="147">
        <f t="shared" si="27"/>
        <v>178.45670328857528</v>
      </c>
      <c r="BJ9" s="4"/>
    </row>
    <row r="10" spans="1:64" ht="13.5" thickBot="1" x14ac:dyDescent="0.25">
      <c r="A10" s="3"/>
      <c r="B10" s="101">
        <v>45780</v>
      </c>
      <c r="C10" s="20"/>
      <c r="D10" s="136">
        <f>'Reading.5.25'!AI8</f>
        <v>0.86309999999999998</v>
      </c>
      <c r="E10" s="96"/>
      <c r="F10" s="137">
        <f>'Reading.5.25'!AM8</f>
        <v>453.99059999999997</v>
      </c>
      <c r="G10" s="95"/>
      <c r="H10" s="137">
        <f t="shared" si="0"/>
        <v>213.42857142857142</v>
      </c>
      <c r="I10" s="96"/>
      <c r="J10" s="138">
        <f>'Reading.5.25'!X8</f>
        <v>37240.000000019791</v>
      </c>
      <c r="K10" s="200">
        <f t="shared" si="1"/>
        <v>80443.161290322576</v>
      </c>
      <c r="L10" s="200">
        <f>'Cost.4.24'!M9</f>
        <v>39753.999999967637</v>
      </c>
      <c r="M10" s="228">
        <f t="shared" si="2"/>
        <v>72245.600000038394</v>
      </c>
      <c r="N10" s="98"/>
      <c r="O10" s="139">
        <f>'Reading.5.25'!T8</f>
        <v>0</v>
      </c>
      <c r="P10" s="247">
        <f t="shared" si="3"/>
        <v>0</v>
      </c>
      <c r="Q10" s="140">
        <f>'Reading.5.25'!AB8</f>
        <v>0</v>
      </c>
      <c r="R10" s="201">
        <f t="shared" si="4"/>
        <v>0</v>
      </c>
      <c r="S10" s="256">
        <f>'Cost.4.24'!T9</f>
        <v>0</v>
      </c>
      <c r="T10" s="141">
        <f t="shared" si="5"/>
        <v>0</v>
      </c>
      <c r="U10" s="99"/>
      <c r="V10" s="142">
        <f>'Reading.5.25'!G8</f>
        <v>576</v>
      </c>
      <c r="W10" s="170">
        <f t="shared" si="6"/>
        <v>607.90322580645159</v>
      </c>
      <c r="X10" s="202">
        <f t="shared" si="7"/>
        <v>3100.3870967741937</v>
      </c>
      <c r="Y10" s="258">
        <f>'Cost.4.24'!Z9</f>
        <v>2235.6000000000004</v>
      </c>
      <c r="Z10" s="29">
        <f>'Reading.5.25'!G8*5.1</f>
        <v>2937.6</v>
      </c>
      <c r="AA10" s="100"/>
      <c r="AB10" s="143">
        <f>'Reading.5.25'!O8</f>
        <v>682.28000000000009</v>
      </c>
      <c r="AC10" s="210">
        <f t="shared" ref="AC10" si="34">AB10*3.73</f>
        <v>2544.9044000000004</v>
      </c>
      <c r="AD10" s="173">
        <f t="shared" si="9"/>
        <v>522.72580645161293</v>
      </c>
      <c r="AE10" s="210">
        <f t="shared" si="10"/>
        <v>2237.2258064516127</v>
      </c>
      <c r="AF10" s="210">
        <f>'Cost.4.24'!AB9</f>
        <v>410.29</v>
      </c>
      <c r="AG10" s="210">
        <f>'Cost.4.24'!AC9</f>
        <v>1530.3817000000001</v>
      </c>
      <c r="AH10" s="210">
        <f>'Reading.5.25'!K8</f>
        <v>126.036</v>
      </c>
      <c r="AI10" s="210">
        <f t="shared" ref="AI10" si="35">AH10*4</f>
        <v>504.14400000000001</v>
      </c>
      <c r="AJ10" s="173">
        <f t="shared" si="12"/>
        <v>174.24193548387098</v>
      </c>
      <c r="AK10" s="210">
        <f t="shared" si="13"/>
        <v>775.09677419354841</v>
      </c>
      <c r="AL10" s="210">
        <f>'Cost.4.24'!AH9</f>
        <v>121.36800000000001</v>
      </c>
      <c r="AM10" s="210">
        <f>'Cost.4.24'!AI9</f>
        <v>452.70264000000003</v>
      </c>
      <c r="AN10" s="173">
        <f t="shared" ref="AN10" si="36">AB10+AH10</f>
        <v>808.31600000000003</v>
      </c>
      <c r="AO10" s="173">
        <f t="shared" ref="AO10" si="37">AF10+AL10</f>
        <v>531.65800000000002</v>
      </c>
      <c r="AP10" s="173">
        <f t="shared" ref="AP10" si="38">AD10+AJ10</f>
        <v>696.9677419354839</v>
      </c>
      <c r="AQ10" s="179">
        <f t="shared" si="17"/>
        <v>2660.7419354838707</v>
      </c>
      <c r="AR10" s="260">
        <f>'Cost.4.24'!AS9</f>
        <v>1983.0843400000001</v>
      </c>
      <c r="AS10" s="66">
        <f t="shared" ref="AS10" si="39">AC10+AI10</f>
        <v>3049.0484000000006</v>
      </c>
      <c r="AT10" s="116"/>
      <c r="AU10" s="115"/>
      <c r="AV10" s="235">
        <f>'Reading.5.25'!AE8/'cost.5.25'!F10</f>
        <v>82.028130097891435</v>
      </c>
      <c r="AW10" s="236">
        <f t="shared" si="19"/>
        <v>159.13457238990938</v>
      </c>
      <c r="AX10" s="237">
        <f t="shared" si="20"/>
        <v>1.2687487362073135</v>
      </c>
      <c r="AY10" s="238">
        <f t="shared" si="21"/>
        <v>6.4706185546572996</v>
      </c>
      <c r="AZ10" s="239">
        <f t="shared" si="22"/>
        <v>1.7804685823891511</v>
      </c>
      <c r="BA10" s="240">
        <f t="shared" si="23"/>
        <v>6.7161046946787017</v>
      </c>
      <c r="BB10" s="114"/>
      <c r="BC10" s="144">
        <f>'Cost.4.24'!BE9</f>
        <v>43972.684339967636</v>
      </c>
      <c r="BD10" s="144">
        <f t="shared" si="24"/>
        <v>86204.290322580637</v>
      </c>
      <c r="BE10" s="145">
        <f t="shared" si="25"/>
        <v>78232.248400038399</v>
      </c>
      <c r="BF10" s="99"/>
      <c r="BG10" s="146">
        <f>'Cost.4.24'!BI9</f>
        <v>169.77870401531905</v>
      </c>
      <c r="BH10" s="146">
        <f t="shared" si="26"/>
        <v>403.90229736148893</v>
      </c>
      <c r="BI10" s="147">
        <f t="shared" si="27"/>
        <v>172.32129563924539</v>
      </c>
      <c r="BJ10" s="4"/>
    </row>
    <row r="11" spans="1:64" ht="13.5" thickBot="1" x14ac:dyDescent="0.25">
      <c r="A11" s="3"/>
      <c r="B11" s="101">
        <v>45781</v>
      </c>
      <c r="C11" s="20"/>
      <c r="D11" s="136">
        <f>'Reading.5.25'!AI9</f>
        <v>0.74329999999999996</v>
      </c>
      <c r="E11" s="96"/>
      <c r="F11" s="137">
        <f>'Reading.5.25'!AM9</f>
        <v>390.97579999999999</v>
      </c>
      <c r="G11" s="95"/>
      <c r="H11" s="137">
        <f t="shared" si="0"/>
        <v>213.42857142857142</v>
      </c>
      <c r="I11" s="96"/>
      <c r="J11" s="138">
        <f>'Reading.5.25'!X9</f>
        <v>37239.999999990687</v>
      </c>
      <c r="K11" s="200">
        <f t="shared" si="1"/>
        <v>80443.161290322576</v>
      </c>
      <c r="L11" s="200">
        <f>'Cost.4.24'!M10</f>
        <v>40532.400000004855</v>
      </c>
      <c r="M11" s="228">
        <f t="shared" si="2"/>
        <v>72245.599999981932</v>
      </c>
      <c r="N11" s="98"/>
      <c r="O11" s="139">
        <f>'Reading.5.25'!T9</f>
        <v>0</v>
      </c>
      <c r="P11" s="247">
        <f t="shared" si="3"/>
        <v>0</v>
      </c>
      <c r="Q11" s="140">
        <f>'Reading.5.25'!AB9</f>
        <v>0</v>
      </c>
      <c r="R11" s="201">
        <f t="shared" si="4"/>
        <v>0</v>
      </c>
      <c r="S11" s="256">
        <f>'Cost.4.24'!T10</f>
        <v>0</v>
      </c>
      <c r="T11" s="141">
        <f t="shared" si="5"/>
        <v>0</v>
      </c>
      <c r="U11" s="99"/>
      <c r="V11" s="142">
        <f>'Reading.5.25'!G9</f>
        <v>719</v>
      </c>
      <c r="W11" s="170">
        <f t="shared" si="6"/>
        <v>607.90322580645159</v>
      </c>
      <c r="X11" s="202">
        <f t="shared" si="7"/>
        <v>3100.3870967741937</v>
      </c>
      <c r="Y11" s="258">
        <f>'Cost.4.24'!Z10</f>
        <v>2682.7200000000003</v>
      </c>
      <c r="Z11" s="29">
        <f>'Reading.5.25'!G9*5.1</f>
        <v>3666.8999999999996</v>
      </c>
      <c r="AA11" s="100"/>
      <c r="AB11" s="143">
        <f>'Reading.5.25'!O9</f>
        <v>668.45</v>
      </c>
      <c r="AC11" s="210">
        <f t="shared" ref="AC11" si="40">AB11*3.73</f>
        <v>2493.3185000000003</v>
      </c>
      <c r="AD11" s="173">
        <f t="shared" si="9"/>
        <v>522.72580645161293</v>
      </c>
      <c r="AE11" s="210">
        <f t="shared" si="10"/>
        <v>2237.2258064516127</v>
      </c>
      <c r="AF11" s="210">
        <f>'Cost.4.24'!AB10</f>
        <v>387.24</v>
      </c>
      <c r="AG11" s="210">
        <f>'Cost.4.24'!AC10</f>
        <v>1444.4051999999999</v>
      </c>
      <c r="AH11" s="210">
        <f>'Reading.5.25'!K9</f>
        <v>224.06400000000002</v>
      </c>
      <c r="AI11" s="210">
        <f t="shared" ref="AI11" si="41">AH11*4</f>
        <v>896.25600000000009</v>
      </c>
      <c r="AJ11" s="173">
        <f t="shared" si="12"/>
        <v>174.24193548387098</v>
      </c>
      <c r="AK11" s="210">
        <f t="shared" si="13"/>
        <v>775.09677419354841</v>
      </c>
      <c r="AL11" s="210">
        <f>'Cost.4.24'!AH10</f>
        <v>149.376</v>
      </c>
      <c r="AM11" s="210">
        <f>'Cost.4.24'!AI10</f>
        <v>557.17248000000006</v>
      </c>
      <c r="AN11" s="173">
        <f t="shared" ref="AN11" si="42">AB11+AH11</f>
        <v>892.51400000000012</v>
      </c>
      <c r="AO11" s="173">
        <f t="shared" ref="AO11" si="43">AF11+AL11</f>
        <v>536.61599999999999</v>
      </c>
      <c r="AP11" s="173">
        <f t="shared" ref="AP11" si="44">AD11+AJ11</f>
        <v>696.9677419354839</v>
      </c>
      <c r="AQ11" s="179">
        <f t="shared" si="17"/>
        <v>2660.7419354838707</v>
      </c>
      <c r="AR11" s="260">
        <f>'Cost.4.24'!AS10</f>
        <v>2001.5776799999999</v>
      </c>
      <c r="AS11" s="66">
        <f t="shared" ref="AS11" si="45">AC11+AI11</f>
        <v>3389.5745000000006</v>
      </c>
      <c r="AT11" s="116"/>
      <c r="AU11" s="115"/>
      <c r="AV11" s="235">
        <f>'Reading.5.25'!AE9/'cost.5.25'!F11</f>
        <v>95.248861949999693</v>
      </c>
      <c r="AW11" s="236">
        <f t="shared" si="19"/>
        <v>184.7827921829994</v>
      </c>
      <c r="AX11" s="237">
        <f t="shared" si="20"/>
        <v>1.8389885000555022</v>
      </c>
      <c r="AY11" s="238">
        <f t="shared" si="21"/>
        <v>9.3788413502830608</v>
      </c>
      <c r="AZ11" s="239">
        <f t="shared" si="22"/>
        <v>2.282785788787951</v>
      </c>
      <c r="BA11" s="240">
        <f t="shared" si="23"/>
        <v>8.6695250703496249</v>
      </c>
      <c r="BB11" s="114"/>
      <c r="BC11" s="144">
        <f>'Cost.4.24'!BE10</f>
        <v>45216.697680004858</v>
      </c>
      <c r="BD11" s="144">
        <f t="shared" si="24"/>
        <v>86204.290322580637</v>
      </c>
      <c r="BE11" s="145">
        <f t="shared" si="25"/>
        <v>79302.074499981929</v>
      </c>
      <c r="BF11" s="99"/>
      <c r="BG11" s="146">
        <f>'Cost.4.24'!BI10</f>
        <v>173.91037569232637</v>
      </c>
      <c r="BH11" s="146">
        <f t="shared" si="26"/>
        <v>403.90229736148893</v>
      </c>
      <c r="BI11" s="147">
        <f t="shared" si="27"/>
        <v>202.83115860363208</v>
      </c>
      <c r="BJ11" s="4"/>
    </row>
    <row r="12" spans="1:64" ht="13.5" thickBot="1" x14ac:dyDescent="0.25">
      <c r="A12" s="3"/>
      <c r="B12" s="101">
        <v>45782</v>
      </c>
      <c r="C12" s="20"/>
      <c r="D12" s="136">
        <f>'Reading.5.25'!AI10</f>
        <v>0.71860000000000002</v>
      </c>
      <c r="E12" s="96"/>
      <c r="F12" s="137">
        <f>'Reading.5.25'!AM10</f>
        <v>377.98360000000002</v>
      </c>
      <c r="G12" s="95"/>
      <c r="H12" s="137">
        <f t="shared" si="0"/>
        <v>213.42857142857142</v>
      </c>
      <c r="I12" s="96"/>
      <c r="J12" s="138">
        <f>'Reading.5.25'!X10</f>
        <v>32320.000000006985</v>
      </c>
      <c r="K12" s="200">
        <f t="shared" si="1"/>
        <v>80443.161290322576</v>
      </c>
      <c r="L12" s="200">
        <f>'Cost.4.24'!M11</f>
        <v>39198.000000016182</v>
      </c>
      <c r="M12" s="228">
        <f t="shared" si="2"/>
        <v>62700.800000013551</v>
      </c>
      <c r="N12" s="98"/>
      <c r="O12" s="139">
        <f>'Reading.5.25'!T10</f>
        <v>0</v>
      </c>
      <c r="P12" s="247">
        <f t="shared" si="3"/>
        <v>0</v>
      </c>
      <c r="Q12" s="140">
        <f>'Reading.5.25'!AB10</f>
        <v>0</v>
      </c>
      <c r="R12" s="201">
        <f t="shared" si="4"/>
        <v>0</v>
      </c>
      <c r="S12" s="256">
        <f>'Cost.4.24'!T11</f>
        <v>0</v>
      </c>
      <c r="T12" s="141">
        <f t="shared" si="5"/>
        <v>0</v>
      </c>
      <c r="U12" s="99"/>
      <c r="V12" s="142">
        <f>'Reading.5.25'!G10</f>
        <v>688</v>
      </c>
      <c r="W12" s="170">
        <f t="shared" si="6"/>
        <v>607.90322580645159</v>
      </c>
      <c r="X12" s="202">
        <f t="shared" si="7"/>
        <v>3100.3870967741937</v>
      </c>
      <c r="Y12" s="258">
        <f>'Cost.4.24'!Z11</f>
        <v>2522.34</v>
      </c>
      <c r="Z12" s="29">
        <f>'Reading.5.25'!G10*5.1</f>
        <v>3508.7999999999997</v>
      </c>
      <c r="AA12" s="100"/>
      <c r="AB12" s="143">
        <f>'Reading.5.25'!O10</f>
        <v>659.23</v>
      </c>
      <c r="AC12" s="210">
        <f t="shared" ref="AC12" si="46">AB12*3.73</f>
        <v>2458.9279000000001</v>
      </c>
      <c r="AD12" s="173">
        <f t="shared" si="9"/>
        <v>522.72580645161293</v>
      </c>
      <c r="AE12" s="210">
        <f t="shared" si="10"/>
        <v>2237.2258064516127</v>
      </c>
      <c r="AF12" s="210">
        <f>'Cost.4.24'!AB11</f>
        <v>368.8</v>
      </c>
      <c r="AG12" s="210">
        <f>'Cost.4.24'!AC11</f>
        <v>1375.624</v>
      </c>
      <c r="AH12" s="210">
        <f>'Reading.5.25'!K10</f>
        <v>256.74</v>
      </c>
      <c r="AI12" s="210">
        <f t="shared" ref="AI12" si="47">AH12*4</f>
        <v>1026.96</v>
      </c>
      <c r="AJ12" s="173">
        <f t="shared" si="12"/>
        <v>174.24193548387098</v>
      </c>
      <c r="AK12" s="210">
        <f t="shared" si="13"/>
        <v>775.09677419354841</v>
      </c>
      <c r="AL12" s="210">
        <f>'Cost.4.24'!AH11</f>
        <v>158.71200000000002</v>
      </c>
      <c r="AM12" s="210">
        <f>'Cost.4.24'!AI11</f>
        <v>591.99576000000002</v>
      </c>
      <c r="AN12" s="173">
        <f t="shared" ref="AN12" si="48">AB12+AH12</f>
        <v>915.97</v>
      </c>
      <c r="AO12" s="173">
        <f t="shared" ref="AO12" si="49">AF12+AL12</f>
        <v>527.51200000000006</v>
      </c>
      <c r="AP12" s="173">
        <f t="shared" ref="AP12" si="50">AD12+AJ12</f>
        <v>696.9677419354839</v>
      </c>
      <c r="AQ12" s="179">
        <f t="shared" si="17"/>
        <v>2660.7419354838707</v>
      </c>
      <c r="AR12" s="260">
        <f>'Cost.4.24'!AS11</f>
        <v>1967.61976</v>
      </c>
      <c r="AS12" s="66">
        <f t="shared" ref="AS12" si="51">AC12+AI12</f>
        <v>3485.8879000000002</v>
      </c>
      <c r="AT12" s="116"/>
      <c r="AU12" s="115"/>
      <c r="AV12" s="235">
        <f>'Reading.5.25'!AE10/'cost.5.25'!F12</f>
        <v>85.506355302206188</v>
      </c>
      <c r="AW12" s="236">
        <f t="shared" si="19"/>
        <v>165.88232928628</v>
      </c>
      <c r="AX12" s="237">
        <f t="shared" si="20"/>
        <v>1.8201847910861739</v>
      </c>
      <c r="AY12" s="238">
        <f t="shared" si="21"/>
        <v>9.2829424345394873</v>
      </c>
      <c r="AZ12" s="239">
        <f t="shared" si="22"/>
        <v>2.4233061963534923</v>
      </c>
      <c r="BA12" s="240">
        <f t="shared" si="23"/>
        <v>9.2223257834466885</v>
      </c>
      <c r="BB12" s="114"/>
      <c r="BC12" s="144">
        <f>'Cost.4.24'!BE11</f>
        <v>43687.95976001618</v>
      </c>
      <c r="BD12" s="144">
        <f t="shared" si="24"/>
        <v>86204.290322580637</v>
      </c>
      <c r="BE12" s="145">
        <f t="shared" si="25"/>
        <v>69695.487900013555</v>
      </c>
      <c r="BF12" s="99"/>
      <c r="BG12" s="146">
        <f>'Cost.4.24'!BI11</f>
        <v>152.75510405600062</v>
      </c>
      <c r="BH12" s="146">
        <f t="shared" si="26"/>
        <v>403.90229736148893</v>
      </c>
      <c r="BI12" s="147">
        <f t="shared" si="27"/>
        <v>184.38759750426618</v>
      </c>
      <c r="BJ12" s="4"/>
    </row>
    <row r="13" spans="1:64" ht="13.5" thickBot="1" x14ac:dyDescent="0.25">
      <c r="A13" s="3"/>
      <c r="B13" s="101">
        <v>45783</v>
      </c>
      <c r="C13" s="20"/>
      <c r="D13" s="136">
        <f>'Reading.5.25'!AI11</f>
        <v>0.65969999999999995</v>
      </c>
      <c r="E13" s="96"/>
      <c r="F13" s="137">
        <f>'Reading.5.25'!AM11</f>
        <v>347.00219999999996</v>
      </c>
      <c r="G13" s="95"/>
      <c r="H13" s="137">
        <f t="shared" si="0"/>
        <v>213.42857142857142</v>
      </c>
      <c r="I13" s="96"/>
      <c r="J13" s="138">
        <f>'Reading.5.25'!X11</f>
        <v>35720.000000001164</v>
      </c>
      <c r="K13" s="200">
        <f t="shared" si="1"/>
        <v>80443.161290322576</v>
      </c>
      <c r="L13" s="200">
        <f>'Cost.4.24'!M12</f>
        <v>41811.1999999822</v>
      </c>
      <c r="M13" s="228">
        <f t="shared" si="2"/>
        <v>69296.800000002258</v>
      </c>
      <c r="N13" s="98"/>
      <c r="O13" s="139">
        <f>'Reading.5.25'!T11</f>
        <v>0</v>
      </c>
      <c r="P13" s="247">
        <f t="shared" si="3"/>
        <v>0</v>
      </c>
      <c r="Q13" s="140">
        <f>'Reading.5.25'!AB11</f>
        <v>0</v>
      </c>
      <c r="R13" s="201">
        <f t="shared" si="4"/>
        <v>0</v>
      </c>
      <c r="S13" s="256">
        <f>'Cost.4.24'!T12</f>
        <v>0</v>
      </c>
      <c r="T13" s="141">
        <f t="shared" si="5"/>
        <v>0</v>
      </c>
      <c r="U13" s="99"/>
      <c r="V13" s="142">
        <f>'Reading.5.25'!G11</f>
        <v>644</v>
      </c>
      <c r="W13" s="170">
        <f t="shared" si="6"/>
        <v>607.90322580645159</v>
      </c>
      <c r="X13" s="202">
        <f t="shared" si="7"/>
        <v>3100.3870967741937</v>
      </c>
      <c r="Y13" s="258">
        <f>'Cost.4.24'!Z12</f>
        <v>2668.1400000000003</v>
      </c>
      <c r="Z13" s="29">
        <f>'Reading.5.25'!G11*5.1</f>
        <v>3284.3999999999996</v>
      </c>
      <c r="AA13" s="100"/>
      <c r="AB13" s="143">
        <f>'Reading.5.25'!O11</f>
        <v>608.5200000000001</v>
      </c>
      <c r="AC13" s="210">
        <f t="shared" ref="AC13" si="52">AB13*3.73</f>
        <v>2269.7796000000003</v>
      </c>
      <c r="AD13" s="173">
        <f t="shared" si="9"/>
        <v>522.72580645161293</v>
      </c>
      <c r="AE13" s="210">
        <f t="shared" si="10"/>
        <v>2237.2258064516127</v>
      </c>
      <c r="AF13" s="210">
        <f>'Cost.4.24'!AB12</f>
        <v>414.9</v>
      </c>
      <c r="AG13" s="210">
        <f>'Cost.4.24'!AC12</f>
        <v>1547.577</v>
      </c>
      <c r="AH13" s="210">
        <f>'Reading.5.25'!K11</f>
        <v>242.73600000000002</v>
      </c>
      <c r="AI13" s="210">
        <f t="shared" ref="AI13" si="53">AH13*4</f>
        <v>970.94400000000007</v>
      </c>
      <c r="AJ13" s="173">
        <f t="shared" si="12"/>
        <v>174.24193548387098</v>
      </c>
      <c r="AK13" s="210">
        <f t="shared" si="13"/>
        <v>775.09677419354841</v>
      </c>
      <c r="AL13" s="210">
        <f>'Cost.4.24'!AH12</f>
        <v>158.71200000000002</v>
      </c>
      <c r="AM13" s="210">
        <f>'Cost.4.24'!AI12</f>
        <v>591.99576000000002</v>
      </c>
      <c r="AN13" s="173">
        <f t="shared" ref="AN13" si="54">AB13+AH13</f>
        <v>851.25600000000009</v>
      </c>
      <c r="AO13" s="173">
        <f t="shared" ref="AO13" si="55">AF13+AL13</f>
        <v>573.61199999999997</v>
      </c>
      <c r="AP13" s="173">
        <f t="shared" ref="AP13" si="56">AD13+AJ13</f>
        <v>696.9677419354839</v>
      </c>
      <c r="AQ13" s="179">
        <f t="shared" si="17"/>
        <v>2660.7419354838707</v>
      </c>
      <c r="AR13" s="260">
        <f>'Cost.4.24'!AS12</f>
        <v>2139.57276</v>
      </c>
      <c r="AS13" s="66">
        <f t="shared" ref="AS13" si="57">AC13+AI13</f>
        <v>3240.7236000000003</v>
      </c>
      <c r="AT13" s="116"/>
      <c r="AU13" s="115"/>
      <c r="AV13" s="235">
        <f>'Reading.5.25'!AE11/'cost.5.25'!F13</f>
        <v>102.9388286299083</v>
      </c>
      <c r="AW13" s="236">
        <f t="shared" si="19"/>
        <v>199.70132754202211</v>
      </c>
      <c r="AX13" s="237">
        <f t="shared" si="20"/>
        <v>1.8558960144921273</v>
      </c>
      <c r="AY13" s="238">
        <f t="shared" si="21"/>
        <v>9.4650696739098485</v>
      </c>
      <c r="AZ13" s="239">
        <f t="shared" si="22"/>
        <v>2.4531717666343331</v>
      </c>
      <c r="BA13" s="240">
        <f t="shared" si="23"/>
        <v>9.3392018840226392</v>
      </c>
      <c r="BB13" s="114"/>
      <c r="BC13" s="144">
        <f>'Cost.4.24'!BE12</f>
        <v>46618.912759982202</v>
      </c>
      <c r="BD13" s="144">
        <f t="shared" si="24"/>
        <v>86204.290322580637</v>
      </c>
      <c r="BE13" s="145">
        <f t="shared" si="25"/>
        <v>75821.92360000225</v>
      </c>
      <c r="BF13" s="99"/>
      <c r="BG13" s="146">
        <f>'Cost.4.24'!BI12</f>
        <v>184.26447731218261</v>
      </c>
      <c r="BH13" s="146">
        <f t="shared" si="26"/>
        <v>403.90229736148893</v>
      </c>
      <c r="BI13" s="147">
        <f t="shared" si="27"/>
        <v>218.50559909995457</v>
      </c>
      <c r="BJ13" s="4"/>
    </row>
    <row r="14" spans="1:64" ht="13.5" thickBot="1" x14ac:dyDescent="0.25">
      <c r="A14" s="3"/>
      <c r="B14" s="101">
        <v>45784</v>
      </c>
      <c r="C14" s="20"/>
      <c r="D14" s="136">
        <f>'Reading.5.25'!AI12</f>
        <v>0.84050000000000002</v>
      </c>
      <c r="E14" s="96"/>
      <c r="F14" s="137">
        <f>'Reading.5.25'!AM12</f>
        <v>442.10300000000001</v>
      </c>
      <c r="G14" s="95"/>
      <c r="H14" s="137">
        <f t="shared" si="0"/>
        <v>213.42857142857142</v>
      </c>
      <c r="I14" s="96"/>
      <c r="J14" s="138">
        <f>'Reading.5.25'!X12</f>
        <v>39119.999999995343</v>
      </c>
      <c r="K14" s="200">
        <f t="shared" si="1"/>
        <v>80443.161290322576</v>
      </c>
      <c r="L14" s="200">
        <f>'Cost.4.24'!M13</f>
        <v>41922.400000004855</v>
      </c>
      <c r="M14" s="228">
        <f t="shared" ref="M14" si="58">J14*1.94</f>
        <v>75892.799999990966</v>
      </c>
      <c r="N14" s="98"/>
      <c r="O14" s="139">
        <f>'Reading.5.25'!T12</f>
        <v>0</v>
      </c>
      <c r="P14" s="247">
        <f t="shared" si="3"/>
        <v>0</v>
      </c>
      <c r="Q14" s="140">
        <f>'Reading.5.25'!AB12</f>
        <v>0</v>
      </c>
      <c r="R14" s="201">
        <f t="shared" si="4"/>
        <v>0</v>
      </c>
      <c r="S14" s="256">
        <f>'Cost.4.24'!T13</f>
        <v>0</v>
      </c>
      <c r="T14" s="141">
        <f t="shared" ref="T14" si="59">O14*7.55</f>
        <v>0</v>
      </c>
      <c r="U14" s="99"/>
      <c r="V14" s="142">
        <f>'Reading.5.25'!G12</f>
        <v>707</v>
      </c>
      <c r="W14" s="170">
        <f t="shared" si="6"/>
        <v>607.90322580645159</v>
      </c>
      <c r="X14" s="202">
        <f t="shared" si="7"/>
        <v>3100.3870967741937</v>
      </c>
      <c r="Y14" s="258">
        <f>'Cost.4.24'!Z13</f>
        <v>2551.5</v>
      </c>
      <c r="Z14" s="29">
        <f>'Reading.5.25'!G12*5.1</f>
        <v>3605.7</v>
      </c>
      <c r="AA14" s="100"/>
      <c r="AB14" s="143">
        <f>'Reading.5.25'!O12</f>
        <v>622.35</v>
      </c>
      <c r="AC14" s="210">
        <f t="shared" ref="AC14" si="60">AB14*3.73</f>
        <v>2321.3654999999999</v>
      </c>
      <c r="AD14" s="173">
        <f t="shared" si="9"/>
        <v>522.72580645161293</v>
      </c>
      <c r="AE14" s="210">
        <f t="shared" si="10"/>
        <v>2237.2258064516127</v>
      </c>
      <c r="AF14" s="210">
        <f>'Cost.4.24'!AB13</f>
        <v>428.73</v>
      </c>
      <c r="AG14" s="210">
        <f>'Cost.4.24'!AC13</f>
        <v>1599.1629</v>
      </c>
      <c r="AH14" s="210">
        <f>'Reading.5.25'!K12</f>
        <v>270.74400000000003</v>
      </c>
      <c r="AI14" s="210">
        <f t="shared" ref="AI14" si="61">AH14*4</f>
        <v>1082.9760000000001</v>
      </c>
      <c r="AJ14" s="173">
        <f t="shared" si="12"/>
        <v>174.24193548387098</v>
      </c>
      <c r="AK14" s="210">
        <f t="shared" si="13"/>
        <v>775.09677419354841</v>
      </c>
      <c r="AL14" s="210">
        <f>'Cost.4.24'!AH13</f>
        <v>149.376</v>
      </c>
      <c r="AM14" s="210">
        <f>'Cost.4.24'!AI13</f>
        <v>557.17248000000006</v>
      </c>
      <c r="AN14" s="173">
        <f t="shared" ref="AN14" si="62">AB14+AH14</f>
        <v>893.09400000000005</v>
      </c>
      <c r="AO14" s="173">
        <f t="shared" ref="AO14" si="63">AF14+AL14</f>
        <v>578.10599999999999</v>
      </c>
      <c r="AP14" s="173">
        <f t="shared" ref="AP14" si="64">AD14+AJ14</f>
        <v>696.9677419354839</v>
      </c>
      <c r="AQ14" s="179">
        <f t="shared" si="17"/>
        <v>2660.7419354838707</v>
      </c>
      <c r="AR14" s="260">
        <f>'Cost.4.24'!AS13</f>
        <v>2156.33538</v>
      </c>
      <c r="AS14" s="66">
        <f t="shared" ref="AS14" si="65">AC14+AI14</f>
        <v>3404.3415</v>
      </c>
      <c r="AT14" s="116"/>
      <c r="AU14" s="115"/>
      <c r="AV14" s="235">
        <f>'Reading.5.25'!AE12/'cost.5.25'!F14</f>
        <v>88.486167250607537</v>
      </c>
      <c r="AW14" s="236">
        <f t="shared" ref="AW14" si="66">(M14+T14)/F14</f>
        <v>171.66316446617861</v>
      </c>
      <c r="AX14" s="237">
        <f t="shared" ref="AX14" si="67">V14/F14</f>
        <v>1.5991748529188898</v>
      </c>
      <c r="AY14" s="238">
        <f t="shared" ref="AY14" si="68">Z14/F14</f>
        <v>8.1557917498863386</v>
      </c>
      <c r="AZ14" s="239">
        <f t="shared" ref="AZ14" si="69">AN14/F14</f>
        <v>2.0201039124366948</v>
      </c>
      <c r="BA14" s="240">
        <f t="shared" ref="BA14" si="70">AS14/F14</f>
        <v>7.7003356683849686</v>
      </c>
      <c r="BB14" s="114"/>
      <c r="BC14" s="144">
        <f>'Cost.4.24'!BE13</f>
        <v>46630.235380004851</v>
      </c>
      <c r="BD14" s="144">
        <f t="shared" ref="BD14" si="71">K14+R14+X14+AQ14</f>
        <v>86204.290322580637</v>
      </c>
      <c r="BE14" s="145">
        <f t="shared" ref="BE14" si="72">M14+T14+Z14+AS14</f>
        <v>82902.841499990958</v>
      </c>
      <c r="BF14" s="99"/>
      <c r="BG14" s="146">
        <f>'Cost.4.24'!BI13</f>
        <v>170.80672300368079</v>
      </c>
      <c r="BH14" s="146">
        <f t="shared" ref="BH14" si="73">BD14/H14</f>
        <v>403.90229736148893</v>
      </c>
      <c r="BI14" s="147">
        <f t="shared" ref="BI14" si="74">BE14/F14</f>
        <v>187.5192918844499</v>
      </c>
      <c r="BJ14" s="4"/>
    </row>
    <row r="15" spans="1:64" ht="13.5" thickBot="1" x14ac:dyDescent="0.25">
      <c r="A15" s="3"/>
      <c r="B15" s="101">
        <v>45785</v>
      </c>
      <c r="C15" s="20"/>
      <c r="D15" s="136">
        <f>'Reading.5.25'!AI13</f>
        <v>0.79279999999999995</v>
      </c>
      <c r="E15" s="96"/>
      <c r="F15" s="137">
        <f>'Reading.5.25'!AM13</f>
        <v>417.01279999999997</v>
      </c>
      <c r="G15" s="95"/>
      <c r="H15" s="137">
        <f t="shared" si="0"/>
        <v>213.42857142857142</v>
      </c>
      <c r="I15" s="96"/>
      <c r="J15" s="138">
        <f>'Reading.5.25'!X13</f>
        <v>38959.999999991851</v>
      </c>
      <c r="K15" s="200">
        <f t="shared" si="1"/>
        <v>80443.161290322576</v>
      </c>
      <c r="L15" s="200">
        <f>'Cost.4.24'!M14</f>
        <v>39865.199999990291</v>
      </c>
      <c r="M15" s="228">
        <f t="shared" ref="M15" si="75">J15*1.94</f>
        <v>75582.399999984191</v>
      </c>
      <c r="N15" s="98"/>
      <c r="O15" s="139">
        <f>'Reading.5.25'!T13</f>
        <v>0</v>
      </c>
      <c r="P15" s="247">
        <f t="shared" si="3"/>
        <v>0</v>
      </c>
      <c r="Q15" s="140">
        <f>'Reading.5.25'!AB13</f>
        <v>0</v>
      </c>
      <c r="R15" s="201">
        <f t="shared" si="4"/>
        <v>0</v>
      </c>
      <c r="S15" s="256">
        <f>'Cost.4.24'!T14</f>
        <v>0</v>
      </c>
      <c r="T15" s="141">
        <f t="shared" ref="T15" si="76">O15*7.55</f>
        <v>0</v>
      </c>
      <c r="U15" s="99"/>
      <c r="V15" s="142">
        <f>'Reading.5.25'!G13</f>
        <v>692</v>
      </c>
      <c r="W15" s="170">
        <f t="shared" si="6"/>
        <v>607.90322580645159</v>
      </c>
      <c r="X15" s="202">
        <f t="shared" si="7"/>
        <v>3100.3870967741937</v>
      </c>
      <c r="Y15" s="258">
        <f>'Cost.4.24'!Z14</f>
        <v>2468.88</v>
      </c>
      <c r="Z15" s="29">
        <f>'Reading.5.25'!G13*5.1</f>
        <v>3529.2</v>
      </c>
      <c r="AA15" s="100"/>
      <c r="AB15" s="143">
        <f>'Reading.5.25'!O13</f>
        <v>709.94</v>
      </c>
      <c r="AC15" s="210">
        <f t="shared" ref="AC15" si="77">AB15*3.73</f>
        <v>2648.0762</v>
      </c>
      <c r="AD15" s="173">
        <f t="shared" si="9"/>
        <v>522.72580645161293</v>
      </c>
      <c r="AE15" s="210">
        <f t="shared" si="10"/>
        <v>2237.2258064516127</v>
      </c>
      <c r="AF15" s="210">
        <f>'Cost.4.24'!AB14</f>
        <v>414.9</v>
      </c>
      <c r="AG15" s="210">
        <f>'Cost.4.24'!AC14</f>
        <v>1547.577</v>
      </c>
      <c r="AH15" s="210">
        <f>'Reading.5.25'!K13</f>
        <v>270.74400000000003</v>
      </c>
      <c r="AI15" s="210">
        <f t="shared" ref="AI15" si="78">AH15*4</f>
        <v>1082.9760000000001</v>
      </c>
      <c r="AJ15" s="173">
        <f t="shared" si="12"/>
        <v>174.24193548387098</v>
      </c>
      <c r="AK15" s="210">
        <f t="shared" si="13"/>
        <v>775.09677419354841</v>
      </c>
      <c r="AL15" s="210">
        <f>'Cost.4.24'!AH14</f>
        <v>158.71200000000002</v>
      </c>
      <c r="AM15" s="210">
        <f>'Cost.4.24'!AI14</f>
        <v>591.99576000000002</v>
      </c>
      <c r="AN15" s="173">
        <f t="shared" ref="AN15" si="79">AB15+AH15</f>
        <v>980.68400000000008</v>
      </c>
      <c r="AO15" s="173">
        <f t="shared" ref="AO15" si="80">AF15+AL15</f>
        <v>573.61199999999997</v>
      </c>
      <c r="AP15" s="173">
        <f t="shared" ref="AP15" si="81">AD15+AJ15</f>
        <v>696.9677419354839</v>
      </c>
      <c r="AQ15" s="179">
        <f t="shared" si="17"/>
        <v>2660.7419354838707</v>
      </c>
      <c r="AR15" s="260">
        <f>'Cost.4.24'!AS14</f>
        <v>2139.57276</v>
      </c>
      <c r="AS15" s="66">
        <f t="shared" ref="AS15" si="82">AC15+AI15</f>
        <v>3731.0522000000001</v>
      </c>
      <c r="AT15" s="116"/>
      <c r="AU15" s="115"/>
      <c r="AV15" s="235">
        <f>'Reading.5.25'!AE13/'cost.5.25'!F15</f>
        <v>93.426388830251383</v>
      </c>
      <c r="AW15" s="236">
        <f t="shared" ref="AW15" si="83">(M15+T15)/F15</f>
        <v>181.24719433068768</v>
      </c>
      <c r="AX15" s="237">
        <f t="shared" ref="AX15" si="84">V15/F15</f>
        <v>1.6594214853836622</v>
      </c>
      <c r="AY15" s="238">
        <f t="shared" ref="AY15" si="85">Z15/F15</f>
        <v>8.4630495754566759</v>
      </c>
      <c r="AZ15" s="239">
        <f t="shared" ref="AZ15" si="86">AN15/F15</f>
        <v>2.3516880057398724</v>
      </c>
      <c r="BA15" s="240">
        <f t="shared" ref="BA15" si="87">AS15/F15</f>
        <v>8.9470927511097997</v>
      </c>
      <c r="BB15" s="114"/>
      <c r="BC15" s="144">
        <f>'Cost.4.24'!BE14</f>
        <v>44473.652759990291</v>
      </c>
      <c r="BD15" s="144">
        <f t="shared" ref="BD15" si="88">K15+R15+X15+AQ15</f>
        <v>86204.290322580637</v>
      </c>
      <c r="BE15" s="145">
        <f t="shared" ref="BE15" si="89">M15+T15+Z15+AS15</f>
        <v>82842.652199984193</v>
      </c>
      <c r="BF15" s="99"/>
      <c r="BG15" s="146">
        <f>'Cost.4.24'!BI14</f>
        <v>177.89461103996118</v>
      </c>
      <c r="BH15" s="146">
        <f t="shared" ref="BH15" si="90">BD15/H15</f>
        <v>403.90229736148893</v>
      </c>
      <c r="BI15" s="147">
        <f t="shared" ref="BI15" si="91">BE15/F15</f>
        <v>198.65733665725418</v>
      </c>
      <c r="BJ15" s="4"/>
    </row>
    <row r="16" spans="1:64" ht="13.5" thickBot="1" x14ac:dyDescent="0.25">
      <c r="A16" s="3"/>
      <c r="B16" s="101">
        <v>45786</v>
      </c>
      <c r="C16" s="20"/>
      <c r="D16" s="136"/>
      <c r="E16" s="96"/>
      <c r="F16" s="137"/>
      <c r="G16" s="95"/>
      <c r="H16" s="137"/>
      <c r="I16" s="96"/>
      <c r="J16" s="138"/>
      <c r="K16" s="200"/>
      <c r="L16" s="200"/>
      <c r="M16" s="228"/>
      <c r="N16" s="98"/>
      <c r="O16" s="139"/>
      <c r="P16" s="247"/>
      <c r="Q16" s="140"/>
      <c r="R16" s="201"/>
      <c r="S16" s="256"/>
      <c r="T16" s="141"/>
      <c r="U16" s="99"/>
      <c r="V16" s="142"/>
      <c r="W16" s="170"/>
      <c r="X16" s="202"/>
      <c r="Y16" s="258"/>
      <c r="Z16" s="29"/>
      <c r="AA16" s="100"/>
      <c r="AB16" s="143"/>
      <c r="AC16" s="210"/>
      <c r="AD16" s="173"/>
      <c r="AE16" s="210"/>
      <c r="AF16" s="210"/>
      <c r="AG16" s="210"/>
      <c r="AH16" s="210"/>
      <c r="AI16" s="210"/>
      <c r="AJ16" s="173"/>
      <c r="AK16" s="210"/>
      <c r="AL16" s="210"/>
      <c r="AM16" s="210"/>
      <c r="AN16" s="173"/>
      <c r="AO16" s="173"/>
      <c r="AP16" s="173"/>
      <c r="AQ16" s="179"/>
      <c r="AR16" s="260"/>
      <c r="AS16" s="66"/>
      <c r="AT16" s="116"/>
      <c r="AU16" s="115"/>
      <c r="AV16" s="235"/>
      <c r="AW16" s="236"/>
      <c r="AX16" s="237"/>
      <c r="AY16" s="238"/>
      <c r="AZ16" s="239"/>
      <c r="BA16" s="240"/>
      <c r="BB16" s="114"/>
      <c r="BC16" s="144"/>
      <c r="BD16" s="144"/>
      <c r="BE16" s="145"/>
      <c r="BF16" s="99"/>
      <c r="BG16" s="146"/>
      <c r="BH16" s="146"/>
      <c r="BI16" s="147"/>
      <c r="BJ16" s="4"/>
    </row>
    <row r="17" spans="1:62" ht="13.5" thickBot="1" x14ac:dyDescent="0.25">
      <c r="A17" s="3"/>
      <c r="B17" s="101">
        <v>45787</v>
      </c>
      <c r="C17" s="20"/>
      <c r="D17" s="136"/>
      <c r="E17" s="96"/>
      <c r="F17" s="137"/>
      <c r="G17" s="95"/>
      <c r="H17" s="137"/>
      <c r="I17" s="96"/>
      <c r="J17" s="138"/>
      <c r="K17" s="200"/>
      <c r="L17" s="200"/>
      <c r="M17" s="228"/>
      <c r="N17" s="98"/>
      <c r="O17" s="139"/>
      <c r="P17" s="247"/>
      <c r="Q17" s="140"/>
      <c r="R17" s="201"/>
      <c r="S17" s="256"/>
      <c r="T17" s="141"/>
      <c r="U17" s="99"/>
      <c r="V17" s="142"/>
      <c r="W17" s="170"/>
      <c r="X17" s="202"/>
      <c r="Y17" s="258"/>
      <c r="Z17" s="29"/>
      <c r="AA17" s="100"/>
      <c r="AB17" s="143"/>
      <c r="AC17" s="210"/>
      <c r="AD17" s="173"/>
      <c r="AE17" s="210"/>
      <c r="AF17" s="210"/>
      <c r="AG17" s="210"/>
      <c r="AH17" s="210"/>
      <c r="AI17" s="210"/>
      <c r="AJ17" s="173"/>
      <c r="AK17" s="210"/>
      <c r="AL17" s="210"/>
      <c r="AM17" s="210"/>
      <c r="AN17" s="173"/>
      <c r="AO17" s="173"/>
      <c r="AP17" s="173"/>
      <c r="AQ17" s="179"/>
      <c r="AR17" s="260"/>
      <c r="AS17" s="66"/>
      <c r="AT17" s="116"/>
      <c r="AU17" s="115"/>
      <c r="AV17" s="235"/>
      <c r="AW17" s="236"/>
      <c r="AX17" s="237"/>
      <c r="AY17" s="238"/>
      <c r="AZ17" s="239"/>
      <c r="BA17" s="240"/>
      <c r="BB17" s="114"/>
      <c r="BC17" s="144"/>
      <c r="BD17" s="144"/>
      <c r="BE17" s="145"/>
      <c r="BF17" s="99"/>
      <c r="BG17" s="146"/>
      <c r="BH17" s="146"/>
      <c r="BI17" s="147"/>
      <c r="BJ17" s="4"/>
    </row>
    <row r="18" spans="1:62" ht="13.5" thickBot="1" x14ac:dyDescent="0.25">
      <c r="A18" s="3"/>
      <c r="B18" s="101">
        <v>45788</v>
      </c>
      <c r="C18" s="20"/>
      <c r="D18" s="136"/>
      <c r="E18" s="96"/>
      <c r="F18" s="137"/>
      <c r="G18" s="95"/>
      <c r="H18" s="137"/>
      <c r="I18" s="96"/>
      <c r="J18" s="138"/>
      <c r="K18" s="200"/>
      <c r="L18" s="200"/>
      <c r="M18" s="228"/>
      <c r="N18" s="98"/>
      <c r="O18" s="139"/>
      <c r="P18" s="247"/>
      <c r="Q18" s="140"/>
      <c r="R18" s="201"/>
      <c r="S18" s="256"/>
      <c r="T18" s="141"/>
      <c r="U18" s="99"/>
      <c r="V18" s="142"/>
      <c r="W18" s="170"/>
      <c r="X18" s="202"/>
      <c r="Y18" s="258"/>
      <c r="Z18" s="29"/>
      <c r="AA18" s="100"/>
      <c r="AB18" s="143"/>
      <c r="AC18" s="210"/>
      <c r="AD18" s="173"/>
      <c r="AE18" s="210"/>
      <c r="AF18" s="210"/>
      <c r="AG18" s="210"/>
      <c r="AH18" s="210"/>
      <c r="AI18" s="210"/>
      <c r="AJ18" s="173"/>
      <c r="AK18" s="210"/>
      <c r="AL18" s="210"/>
      <c r="AM18" s="210"/>
      <c r="AN18" s="173"/>
      <c r="AO18" s="173"/>
      <c r="AP18" s="173"/>
      <c r="AQ18" s="179"/>
      <c r="AR18" s="260"/>
      <c r="AS18" s="66"/>
      <c r="AT18" s="116"/>
      <c r="AU18" s="115"/>
      <c r="AV18" s="235"/>
      <c r="AW18" s="236"/>
      <c r="AX18" s="237"/>
      <c r="AY18" s="238"/>
      <c r="AZ18" s="239"/>
      <c r="BA18" s="240"/>
      <c r="BB18" s="114"/>
      <c r="BC18" s="144"/>
      <c r="BD18" s="144"/>
      <c r="BE18" s="145"/>
      <c r="BF18" s="99"/>
      <c r="BG18" s="146"/>
      <c r="BH18" s="146"/>
      <c r="BI18" s="147"/>
      <c r="BJ18" s="4"/>
    </row>
    <row r="19" spans="1:62" ht="13.5" thickBot="1" x14ac:dyDescent="0.25">
      <c r="A19" s="3"/>
      <c r="B19" s="101">
        <v>45789</v>
      </c>
      <c r="C19" s="20"/>
      <c r="D19" s="136"/>
      <c r="E19" s="96"/>
      <c r="F19" s="137"/>
      <c r="G19" s="95"/>
      <c r="H19" s="137"/>
      <c r="I19" s="96"/>
      <c r="J19" s="138"/>
      <c r="K19" s="200"/>
      <c r="L19" s="200"/>
      <c r="M19" s="228"/>
      <c r="N19" s="98"/>
      <c r="O19" s="139"/>
      <c r="P19" s="247"/>
      <c r="Q19" s="140"/>
      <c r="R19" s="201"/>
      <c r="S19" s="256"/>
      <c r="T19" s="141"/>
      <c r="U19" s="99"/>
      <c r="V19" s="142"/>
      <c r="W19" s="170"/>
      <c r="X19" s="202"/>
      <c r="Y19" s="258"/>
      <c r="Z19" s="29"/>
      <c r="AA19" s="100"/>
      <c r="AB19" s="143"/>
      <c r="AC19" s="210"/>
      <c r="AD19" s="173"/>
      <c r="AE19" s="210"/>
      <c r="AF19" s="210"/>
      <c r="AG19" s="210"/>
      <c r="AH19" s="210"/>
      <c r="AI19" s="210"/>
      <c r="AJ19" s="173"/>
      <c r="AK19" s="210"/>
      <c r="AL19" s="210"/>
      <c r="AM19" s="210"/>
      <c r="AN19" s="173"/>
      <c r="AO19" s="173"/>
      <c r="AP19" s="173"/>
      <c r="AQ19" s="179"/>
      <c r="AR19" s="260"/>
      <c r="AS19" s="66"/>
      <c r="AT19" s="116"/>
      <c r="AU19" s="115"/>
      <c r="AV19" s="235"/>
      <c r="AW19" s="236"/>
      <c r="AX19" s="237"/>
      <c r="AY19" s="238"/>
      <c r="AZ19" s="239"/>
      <c r="BA19" s="240"/>
      <c r="BB19" s="114"/>
      <c r="BC19" s="144"/>
      <c r="BD19" s="144"/>
      <c r="BE19" s="145"/>
      <c r="BF19" s="99"/>
      <c r="BG19" s="146"/>
      <c r="BH19" s="146"/>
      <c r="BI19" s="147"/>
      <c r="BJ19" s="4"/>
    </row>
    <row r="20" spans="1:62" ht="13.5" thickBot="1" x14ac:dyDescent="0.25">
      <c r="A20" s="3"/>
      <c r="B20" s="101">
        <v>45790</v>
      </c>
      <c r="C20" s="20"/>
      <c r="D20" s="136"/>
      <c r="E20" s="96"/>
      <c r="F20" s="137"/>
      <c r="G20" s="95"/>
      <c r="H20" s="137"/>
      <c r="I20" s="96"/>
      <c r="J20" s="138"/>
      <c r="K20" s="200"/>
      <c r="L20" s="200"/>
      <c r="M20" s="228"/>
      <c r="N20" s="98"/>
      <c r="O20" s="139"/>
      <c r="P20" s="247"/>
      <c r="Q20" s="140"/>
      <c r="R20" s="201"/>
      <c r="S20" s="256"/>
      <c r="T20" s="141"/>
      <c r="U20" s="99"/>
      <c r="V20" s="142"/>
      <c r="W20" s="170"/>
      <c r="X20" s="202"/>
      <c r="Y20" s="258"/>
      <c r="Z20" s="29"/>
      <c r="AA20" s="100"/>
      <c r="AB20" s="143"/>
      <c r="AC20" s="210"/>
      <c r="AD20" s="173"/>
      <c r="AE20" s="210"/>
      <c r="AF20" s="210"/>
      <c r="AG20" s="210"/>
      <c r="AH20" s="210"/>
      <c r="AI20" s="210"/>
      <c r="AJ20" s="173"/>
      <c r="AK20" s="210"/>
      <c r="AL20" s="210"/>
      <c r="AM20" s="210"/>
      <c r="AN20" s="173"/>
      <c r="AO20" s="173"/>
      <c r="AP20" s="173"/>
      <c r="AQ20" s="179"/>
      <c r="AR20" s="260"/>
      <c r="AS20" s="66"/>
      <c r="AT20" s="116"/>
      <c r="AU20" s="115"/>
      <c r="AV20" s="235"/>
      <c r="AW20" s="236"/>
      <c r="AX20" s="237"/>
      <c r="AY20" s="238"/>
      <c r="AZ20" s="239"/>
      <c r="BA20" s="240"/>
      <c r="BB20" s="114"/>
      <c r="BC20" s="144"/>
      <c r="BD20" s="144"/>
      <c r="BE20" s="145"/>
      <c r="BF20" s="99"/>
      <c r="BG20" s="146"/>
      <c r="BH20" s="146"/>
      <c r="BI20" s="147"/>
      <c r="BJ20" s="4"/>
    </row>
    <row r="21" spans="1:62" ht="13.5" thickBot="1" x14ac:dyDescent="0.25">
      <c r="A21" s="3"/>
      <c r="B21" s="101">
        <v>45791</v>
      </c>
      <c r="C21" s="20"/>
      <c r="D21" s="136"/>
      <c r="E21" s="96"/>
      <c r="F21" s="137"/>
      <c r="G21" s="95"/>
      <c r="H21" s="137"/>
      <c r="I21" s="96"/>
      <c r="J21" s="138"/>
      <c r="K21" s="200"/>
      <c r="L21" s="200"/>
      <c r="M21" s="228"/>
      <c r="N21" s="98"/>
      <c r="O21" s="139"/>
      <c r="P21" s="247"/>
      <c r="Q21" s="140"/>
      <c r="R21" s="201"/>
      <c r="S21" s="256"/>
      <c r="T21" s="141"/>
      <c r="U21" s="99"/>
      <c r="V21" s="142"/>
      <c r="W21" s="170"/>
      <c r="X21" s="202"/>
      <c r="Y21" s="258"/>
      <c r="Z21" s="29"/>
      <c r="AA21" s="100"/>
      <c r="AB21" s="143"/>
      <c r="AC21" s="210"/>
      <c r="AD21" s="173"/>
      <c r="AE21" s="210"/>
      <c r="AF21" s="210"/>
      <c r="AG21" s="210"/>
      <c r="AH21" s="210"/>
      <c r="AI21" s="210"/>
      <c r="AJ21" s="173"/>
      <c r="AK21" s="210"/>
      <c r="AL21" s="210"/>
      <c r="AM21" s="210"/>
      <c r="AN21" s="173"/>
      <c r="AO21" s="173"/>
      <c r="AP21" s="173"/>
      <c r="AQ21" s="179"/>
      <c r="AR21" s="260"/>
      <c r="AS21" s="66"/>
      <c r="AT21" s="116"/>
      <c r="AU21" s="115"/>
      <c r="AV21" s="235"/>
      <c r="AW21" s="236"/>
      <c r="AX21" s="237"/>
      <c r="AY21" s="238"/>
      <c r="AZ21" s="239"/>
      <c r="BA21" s="240"/>
      <c r="BB21" s="114"/>
      <c r="BC21" s="144"/>
      <c r="BD21" s="144"/>
      <c r="BE21" s="145"/>
      <c r="BF21" s="99"/>
      <c r="BG21" s="146"/>
      <c r="BH21" s="146"/>
      <c r="BI21" s="147"/>
      <c r="BJ21" s="4"/>
    </row>
    <row r="22" spans="1:62" ht="13.5" thickBot="1" x14ac:dyDescent="0.25">
      <c r="A22" s="3"/>
      <c r="B22" s="101">
        <v>45792</v>
      </c>
      <c r="C22" s="20"/>
      <c r="D22" s="136"/>
      <c r="E22" s="96"/>
      <c r="F22" s="137"/>
      <c r="G22" s="95"/>
      <c r="H22" s="137"/>
      <c r="I22" s="96"/>
      <c r="J22" s="138"/>
      <c r="K22" s="200"/>
      <c r="L22" s="200"/>
      <c r="M22" s="228"/>
      <c r="N22" s="98"/>
      <c r="O22" s="139"/>
      <c r="P22" s="247"/>
      <c r="Q22" s="140"/>
      <c r="R22" s="201"/>
      <c r="S22" s="256"/>
      <c r="T22" s="141"/>
      <c r="U22" s="99"/>
      <c r="V22" s="142"/>
      <c r="W22" s="170"/>
      <c r="X22" s="202"/>
      <c r="Y22" s="258"/>
      <c r="Z22" s="29"/>
      <c r="AA22" s="100"/>
      <c r="AB22" s="143"/>
      <c r="AC22" s="210"/>
      <c r="AD22" s="173"/>
      <c r="AE22" s="210"/>
      <c r="AF22" s="210"/>
      <c r="AG22" s="210"/>
      <c r="AH22" s="210"/>
      <c r="AI22" s="210"/>
      <c r="AJ22" s="173"/>
      <c r="AK22" s="210"/>
      <c r="AL22" s="210"/>
      <c r="AM22" s="210"/>
      <c r="AN22" s="173"/>
      <c r="AO22" s="173"/>
      <c r="AP22" s="173"/>
      <c r="AQ22" s="179"/>
      <c r="AR22" s="260"/>
      <c r="AS22" s="66"/>
      <c r="AT22" s="116"/>
      <c r="AU22" s="115"/>
      <c r="AV22" s="235"/>
      <c r="AW22" s="236"/>
      <c r="AX22" s="237"/>
      <c r="AY22" s="238"/>
      <c r="AZ22" s="239"/>
      <c r="BA22" s="240"/>
      <c r="BB22" s="114"/>
      <c r="BC22" s="144"/>
      <c r="BD22" s="144"/>
      <c r="BE22" s="145"/>
      <c r="BF22" s="99"/>
      <c r="BG22" s="146"/>
      <c r="BH22" s="146"/>
      <c r="BI22" s="147"/>
      <c r="BJ22" s="4"/>
    </row>
    <row r="23" spans="1:62" ht="15" customHeight="1" thickBot="1" x14ac:dyDescent="0.25">
      <c r="A23" s="3"/>
      <c r="B23" s="101">
        <v>45793</v>
      </c>
      <c r="C23" s="20"/>
      <c r="D23" s="136"/>
      <c r="E23" s="96"/>
      <c r="F23" s="137"/>
      <c r="G23" s="95"/>
      <c r="H23" s="137"/>
      <c r="I23" s="96"/>
      <c r="J23" s="138"/>
      <c r="K23" s="200"/>
      <c r="L23" s="200"/>
      <c r="M23" s="228"/>
      <c r="N23" s="98"/>
      <c r="O23" s="139"/>
      <c r="P23" s="247"/>
      <c r="Q23" s="140"/>
      <c r="R23" s="201"/>
      <c r="S23" s="256"/>
      <c r="T23" s="141"/>
      <c r="U23" s="99"/>
      <c r="V23" s="142"/>
      <c r="W23" s="170"/>
      <c r="X23" s="202"/>
      <c r="Y23" s="258"/>
      <c r="Z23" s="29"/>
      <c r="AA23" s="100"/>
      <c r="AB23" s="143"/>
      <c r="AC23" s="210"/>
      <c r="AD23" s="173"/>
      <c r="AE23" s="210"/>
      <c r="AF23" s="210"/>
      <c r="AG23" s="210"/>
      <c r="AH23" s="210"/>
      <c r="AI23" s="210"/>
      <c r="AJ23" s="173"/>
      <c r="AK23" s="210"/>
      <c r="AL23" s="210"/>
      <c r="AM23" s="210"/>
      <c r="AN23" s="173"/>
      <c r="AO23" s="173"/>
      <c r="AP23" s="173"/>
      <c r="AQ23" s="179"/>
      <c r="AR23" s="260"/>
      <c r="AS23" s="66"/>
      <c r="AT23" s="116"/>
      <c r="AU23" s="115"/>
      <c r="AV23" s="235"/>
      <c r="AW23" s="236"/>
      <c r="AX23" s="237"/>
      <c r="AY23" s="238"/>
      <c r="AZ23" s="239"/>
      <c r="BA23" s="240"/>
      <c r="BB23" s="114"/>
      <c r="BC23" s="144"/>
      <c r="BD23" s="144"/>
      <c r="BE23" s="145"/>
      <c r="BF23" s="99"/>
      <c r="BG23" s="146"/>
      <c r="BH23" s="146"/>
      <c r="BI23" s="147"/>
      <c r="BJ23" s="4"/>
    </row>
    <row r="24" spans="1:62" ht="13.5" thickBot="1" x14ac:dyDescent="0.25">
      <c r="A24" s="3"/>
      <c r="B24" s="101">
        <v>45794</v>
      </c>
      <c r="C24" s="20"/>
      <c r="D24" s="136"/>
      <c r="E24" s="96"/>
      <c r="F24" s="137"/>
      <c r="G24" s="95"/>
      <c r="H24" s="137"/>
      <c r="I24" s="96"/>
      <c r="J24" s="138"/>
      <c r="K24" s="200"/>
      <c r="L24" s="200"/>
      <c r="M24" s="228"/>
      <c r="N24" s="98"/>
      <c r="O24" s="139"/>
      <c r="P24" s="247"/>
      <c r="Q24" s="140"/>
      <c r="R24" s="201"/>
      <c r="S24" s="256"/>
      <c r="T24" s="141"/>
      <c r="U24" s="99"/>
      <c r="V24" s="142"/>
      <c r="W24" s="170"/>
      <c r="X24" s="202"/>
      <c r="Y24" s="258"/>
      <c r="Z24" s="29"/>
      <c r="AA24" s="100"/>
      <c r="AB24" s="143"/>
      <c r="AC24" s="210"/>
      <c r="AD24" s="173"/>
      <c r="AE24" s="210"/>
      <c r="AF24" s="210"/>
      <c r="AG24" s="210"/>
      <c r="AH24" s="210"/>
      <c r="AI24" s="210"/>
      <c r="AJ24" s="173"/>
      <c r="AK24" s="210"/>
      <c r="AL24" s="210"/>
      <c r="AM24" s="210"/>
      <c r="AN24" s="173"/>
      <c r="AO24" s="173"/>
      <c r="AP24" s="173"/>
      <c r="AQ24" s="179"/>
      <c r="AR24" s="260"/>
      <c r="AS24" s="66"/>
      <c r="AT24" s="116"/>
      <c r="AU24" s="115"/>
      <c r="AV24" s="235"/>
      <c r="AW24" s="236"/>
      <c r="AX24" s="237"/>
      <c r="AY24" s="238"/>
      <c r="AZ24" s="239"/>
      <c r="BA24" s="240"/>
      <c r="BB24" s="114"/>
      <c r="BC24" s="144"/>
      <c r="BD24" s="144"/>
      <c r="BE24" s="145"/>
      <c r="BF24" s="99"/>
      <c r="BG24" s="146"/>
      <c r="BH24" s="146"/>
      <c r="BI24" s="147"/>
      <c r="BJ24" s="4"/>
    </row>
    <row r="25" spans="1:62" ht="13.5" thickBot="1" x14ac:dyDescent="0.25">
      <c r="A25" s="3"/>
      <c r="B25" s="101">
        <v>45795</v>
      </c>
      <c r="C25" s="20"/>
      <c r="D25" s="136"/>
      <c r="E25" s="96"/>
      <c r="F25" s="137"/>
      <c r="G25" s="95"/>
      <c r="H25" s="137"/>
      <c r="I25" s="96"/>
      <c r="J25" s="138"/>
      <c r="K25" s="200"/>
      <c r="L25" s="200"/>
      <c r="M25" s="228"/>
      <c r="N25" s="98"/>
      <c r="O25" s="139"/>
      <c r="P25" s="247"/>
      <c r="Q25" s="140"/>
      <c r="R25" s="201"/>
      <c r="S25" s="256"/>
      <c r="T25" s="141"/>
      <c r="U25" s="99"/>
      <c r="V25" s="142"/>
      <c r="W25" s="170"/>
      <c r="X25" s="202"/>
      <c r="Y25" s="258"/>
      <c r="Z25" s="29"/>
      <c r="AA25" s="100"/>
      <c r="AB25" s="143"/>
      <c r="AC25" s="210"/>
      <c r="AD25" s="173"/>
      <c r="AE25" s="210"/>
      <c r="AF25" s="210"/>
      <c r="AG25" s="210"/>
      <c r="AH25" s="210"/>
      <c r="AI25" s="210"/>
      <c r="AJ25" s="173"/>
      <c r="AK25" s="210"/>
      <c r="AL25" s="210"/>
      <c r="AM25" s="210"/>
      <c r="AN25" s="173"/>
      <c r="AO25" s="173"/>
      <c r="AP25" s="173"/>
      <c r="AQ25" s="179"/>
      <c r="AR25" s="260"/>
      <c r="AS25" s="66"/>
      <c r="AT25" s="116"/>
      <c r="AU25" s="115"/>
      <c r="AV25" s="235"/>
      <c r="AW25" s="236"/>
      <c r="AX25" s="237"/>
      <c r="AY25" s="238"/>
      <c r="AZ25" s="239"/>
      <c r="BA25" s="240"/>
      <c r="BB25" s="114"/>
      <c r="BC25" s="144"/>
      <c r="BD25" s="144"/>
      <c r="BE25" s="145"/>
      <c r="BF25" s="99"/>
      <c r="BG25" s="146"/>
      <c r="BH25" s="146"/>
      <c r="BI25" s="147"/>
      <c r="BJ25" s="4"/>
    </row>
    <row r="26" spans="1:62" ht="12.75" customHeight="1" thickBot="1" x14ac:dyDescent="0.25">
      <c r="A26" s="3"/>
      <c r="B26" s="101">
        <v>45796</v>
      </c>
      <c r="C26" s="20"/>
      <c r="D26" s="136"/>
      <c r="E26" s="96"/>
      <c r="F26" s="137"/>
      <c r="G26" s="95"/>
      <c r="H26" s="137"/>
      <c r="I26" s="96"/>
      <c r="J26" s="138"/>
      <c r="K26" s="200"/>
      <c r="L26" s="200"/>
      <c r="M26" s="228"/>
      <c r="N26" s="98"/>
      <c r="O26" s="139"/>
      <c r="P26" s="247"/>
      <c r="Q26" s="140"/>
      <c r="R26" s="201"/>
      <c r="S26" s="256"/>
      <c r="T26" s="141"/>
      <c r="U26" s="99"/>
      <c r="V26" s="142"/>
      <c r="W26" s="170"/>
      <c r="X26" s="202"/>
      <c r="Y26" s="258"/>
      <c r="Z26" s="29"/>
      <c r="AA26" s="100"/>
      <c r="AB26" s="143"/>
      <c r="AC26" s="210"/>
      <c r="AD26" s="173"/>
      <c r="AE26" s="210"/>
      <c r="AF26" s="210"/>
      <c r="AG26" s="210"/>
      <c r="AH26" s="210"/>
      <c r="AI26" s="210"/>
      <c r="AJ26" s="173"/>
      <c r="AK26" s="210"/>
      <c r="AL26" s="210"/>
      <c r="AM26" s="210"/>
      <c r="AN26" s="173"/>
      <c r="AO26" s="173"/>
      <c r="AP26" s="173"/>
      <c r="AQ26" s="179"/>
      <c r="AR26" s="260"/>
      <c r="AS26" s="66"/>
      <c r="AT26" s="116"/>
      <c r="AU26" s="115"/>
      <c r="AV26" s="235"/>
      <c r="AW26" s="236"/>
      <c r="AX26" s="237"/>
      <c r="AY26" s="238"/>
      <c r="AZ26" s="239"/>
      <c r="BA26" s="240"/>
      <c r="BB26" s="114"/>
      <c r="BC26" s="144"/>
      <c r="BD26" s="144"/>
      <c r="BE26" s="145"/>
      <c r="BF26" s="99"/>
      <c r="BG26" s="146"/>
      <c r="BH26" s="146"/>
      <c r="BI26" s="147"/>
      <c r="BJ26" s="4"/>
    </row>
    <row r="27" spans="1:62" ht="13.5" thickBot="1" x14ac:dyDescent="0.25">
      <c r="A27" s="3"/>
      <c r="B27" s="101">
        <v>45797</v>
      </c>
      <c r="C27" s="20"/>
      <c r="D27" s="136"/>
      <c r="E27" s="96"/>
      <c r="F27" s="137"/>
      <c r="G27" s="95"/>
      <c r="H27" s="137"/>
      <c r="I27" s="96"/>
      <c r="J27" s="138"/>
      <c r="K27" s="200"/>
      <c r="L27" s="200"/>
      <c r="M27" s="228"/>
      <c r="N27" s="98"/>
      <c r="O27" s="139"/>
      <c r="P27" s="247"/>
      <c r="Q27" s="140"/>
      <c r="R27" s="201"/>
      <c r="S27" s="256"/>
      <c r="T27" s="141"/>
      <c r="U27" s="99"/>
      <c r="V27" s="142"/>
      <c r="W27" s="170"/>
      <c r="X27" s="202"/>
      <c r="Y27" s="258"/>
      <c r="Z27" s="29"/>
      <c r="AA27" s="100"/>
      <c r="AB27" s="143"/>
      <c r="AC27" s="210"/>
      <c r="AD27" s="173"/>
      <c r="AE27" s="210"/>
      <c r="AF27" s="210"/>
      <c r="AG27" s="210"/>
      <c r="AH27" s="210"/>
      <c r="AI27" s="210"/>
      <c r="AJ27" s="173"/>
      <c r="AK27" s="210"/>
      <c r="AL27" s="210"/>
      <c r="AM27" s="210"/>
      <c r="AN27" s="173"/>
      <c r="AO27" s="173"/>
      <c r="AP27" s="173"/>
      <c r="AQ27" s="179"/>
      <c r="AR27" s="260"/>
      <c r="AS27" s="66"/>
      <c r="AT27" s="116"/>
      <c r="AU27" s="115"/>
      <c r="AV27" s="235"/>
      <c r="AW27" s="236"/>
      <c r="AX27" s="237"/>
      <c r="AY27" s="238"/>
      <c r="AZ27" s="239"/>
      <c r="BA27" s="240"/>
      <c r="BB27" s="114"/>
      <c r="BC27" s="144"/>
      <c r="BD27" s="144"/>
      <c r="BE27" s="145"/>
      <c r="BF27" s="99"/>
      <c r="BG27" s="146"/>
      <c r="BH27" s="146"/>
      <c r="BI27" s="147"/>
      <c r="BJ27" s="4"/>
    </row>
    <row r="28" spans="1:62" ht="13.5" thickBot="1" x14ac:dyDescent="0.25">
      <c r="A28" s="3"/>
      <c r="B28" s="101">
        <v>45798</v>
      </c>
      <c r="C28" s="20"/>
      <c r="D28" s="136"/>
      <c r="E28" s="96"/>
      <c r="F28" s="137"/>
      <c r="G28" s="95"/>
      <c r="H28" s="137"/>
      <c r="I28" s="96"/>
      <c r="J28" s="138"/>
      <c r="K28" s="200"/>
      <c r="L28" s="200"/>
      <c r="M28" s="228"/>
      <c r="N28" s="98"/>
      <c r="O28" s="139"/>
      <c r="P28" s="247"/>
      <c r="Q28" s="140"/>
      <c r="R28" s="201"/>
      <c r="S28" s="256"/>
      <c r="T28" s="141"/>
      <c r="U28" s="99"/>
      <c r="V28" s="142"/>
      <c r="W28" s="170"/>
      <c r="X28" s="202"/>
      <c r="Y28" s="258"/>
      <c r="Z28" s="29"/>
      <c r="AA28" s="100"/>
      <c r="AB28" s="143"/>
      <c r="AC28" s="210"/>
      <c r="AD28" s="173"/>
      <c r="AE28" s="210"/>
      <c r="AF28" s="210"/>
      <c r="AG28" s="210"/>
      <c r="AH28" s="210"/>
      <c r="AI28" s="210"/>
      <c r="AJ28" s="173"/>
      <c r="AK28" s="210"/>
      <c r="AL28" s="210"/>
      <c r="AM28" s="210"/>
      <c r="AN28" s="173"/>
      <c r="AO28" s="173"/>
      <c r="AP28" s="173"/>
      <c r="AQ28" s="179"/>
      <c r="AR28" s="260"/>
      <c r="AS28" s="66"/>
      <c r="AT28" s="116"/>
      <c r="AU28" s="115"/>
      <c r="AV28" s="235"/>
      <c r="AW28" s="236"/>
      <c r="AX28" s="237"/>
      <c r="AY28" s="238"/>
      <c r="AZ28" s="239"/>
      <c r="BA28" s="240"/>
      <c r="BB28" s="114"/>
      <c r="BC28" s="144"/>
      <c r="BD28" s="144"/>
      <c r="BE28" s="145"/>
      <c r="BF28" s="99"/>
      <c r="BG28" s="146"/>
      <c r="BH28" s="146"/>
      <c r="BI28" s="147"/>
      <c r="BJ28" s="4"/>
    </row>
    <row r="29" spans="1:62" ht="13.5" thickBot="1" x14ac:dyDescent="0.25">
      <c r="A29" s="3"/>
      <c r="B29" s="101">
        <v>45799</v>
      </c>
      <c r="C29" s="20"/>
      <c r="D29" s="136"/>
      <c r="E29" s="96"/>
      <c r="F29" s="137"/>
      <c r="G29" s="95"/>
      <c r="H29" s="137"/>
      <c r="I29" s="96"/>
      <c r="J29" s="138"/>
      <c r="K29" s="200"/>
      <c r="L29" s="200"/>
      <c r="M29" s="228"/>
      <c r="N29" s="98"/>
      <c r="O29" s="139"/>
      <c r="P29" s="247"/>
      <c r="Q29" s="140"/>
      <c r="R29" s="201"/>
      <c r="S29" s="256"/>
      <c r="T29" s="141"/>
      <c r="U29" s="99"/>
      <c r="V29" s="142"/>
      <c r="W29" s="170"/>
      <c r="X29" s="202"/>
      <c r="Y29" s="258"/>
      <c r="Z29" s="29"/>
      <c r="AA29" s="100"/>
      <c r="AB29" s="143"/>
      <c r="AC29" s="210"/>
      <c r="AD29" s="173"/>
      <c r="AE29" s="210"/>
      <c r="AF29" s="210"/>
      <c r="AG29" s="210"/>
      <c r="AH29" s="210"/>
      <c r="AI29" s="210"/>
      <c r="AJ29" s="173"/>
      <c r="AK29" s="210"/>
      <c r="AL29" s="210"/>
      <c r="AM29" s="210"/>
      <c r="AN29" s="173"/>
      <c r="AO29" s="173"/>
      <c r="AP29" s="173"/>
      <c r="AQ29" s="179"/>
      <c r="AR29" s="260"/>
      <c r="AS29" s="66"/>
      <c r="AT29" s="116"/>
      <c r="AU29" s="115"/>
      <c r="AV29" s="235"/>
      <c r="AW29" s="236"/>
      <c r="AX29" s="237"/>
      <c r="AY29" s="238"/>
      <c r="AZ29" s="239"/>
      <c r="BA29" s="240"/>
      <c r="BB29" s="114"/>
      <c r="BC29" s="144"/>
      <c r="BD29" s="144"/>
      <c r="BE29" s="145"/>
      <c r="BF29" s="99"/>
      <c r="BG29" s="146"/>
      <c r="BH29" s="146"/>
      <c r="BI29" s="147"/>
      <c r="BJ29" s="4"/>
    </row>
    <row r="30" spans="1:62" ht="13.5" thickBot="1" x14ac:dyDescent="0.25">
      <c r="A30" s="3"/>
      <c r="B30" s="101">
        <v>45800</v>
      </c>
      <c r="C30" s="20"/>
      <c r="D30" s="136"/>
      <c r="E30" s="96"/>
      <c r="F30" s="137"/>
      <c r="G30" s="95"/>
      <c r="H30" s="137"/>
      <c r="I30" s="96"/>
      <c r="J30" s="138"/>
      <c r="K30" s="200"/>
      <c r="L30" s="200"/>
      <c r="M30" s="228"/>
      <c r="N30" s="98"/>
      <c r="O30" s="139"/>
      <c r="P30" s="247"/>
      <c r="Q30" s="140"/>
      <c r="R30" s="201"/>
      <c r="S30" s="256"/>
      <c r="T30" s="141"/>
      <c r="U30" s="99"/>
      <c r="V30" s="142"/>
      <c r="W30" s="170"/>
      <c r="X30" s="202"/>
      <c r="Y30" s="258"/>
      <c r="Z30" s="29"/>
      <c r="AA30" s="100"/>
      <c r="AB30" s="143"/>
      <c r="AC30" s="210"/>
      <c r="AD30" s="173"/>
      <c r="AE30" s="210"/>
      <c r="AF30" s="210"/>
      <c r="AG30" s="210"/>
      <c r="AH30" s="210"/>
      <c r="AI30" s="210"/>
      <c r="AJ30" s="173"/>
      <c r="AK30" s="210"/>
      <c r="AL30" s="210"/>
      <c r="AM30" s="210"/>
      <c r="AN30" s="173"/>
      <c r="AO30" s="173"/>
      <c r="AP30" s="173"/>
      <c r="AQ30" s="179"/>
      <c r="AR30" s="260"/>
      <c r="AS30" s="66"/>
      <c r="AT30" s="116"/>
      <c r="AU30" s="115"/>
      <c r="AV30" s="235"/>
      <c r="AW30" s="236"/>
      <c r="AX30" s="237"/>
      <c r="AY30" s="238"/>
      <c r="AZ30" s="239"/>
      <c r="BA30" s="240"/>
      <c r="BB30" s="114"/>
      <c r="BC30" s="144"/>
      <c r="BD30" s="144"/>
      <c r="BE30" s="145"/>
      <c r="BF30" s="99"/>
      <c r="BG30" s="146"/>
      <c r="BH30" s="146"/>
      <c r="BI30" s="147"/>
      <c r="BJ30" s="4"/>
    </row>
    <row r="31" spans="1:62" ht="13.5" thickBot="1" x14ac:dyDescent="0.25">
      <c r="A31" s="3"/>
      <c r="B31" s="101">
        <v>45801</v>
      </c>
      <c r="C31" s="20"/>
      <c r="D31" s="136"/>
      <c r="E31" s="96"/>
      <c r="F31" s="137"/>
      <c r="G31" s="95"/>
      <c r="H31" s="137"/>
      <c r="I31" s="96"/>
      <c r="J31" s="138"/>
      <c r="K31" s="200"/>
      <c r="L31" s="200"/>
      <c r="M31" s="228"/>
      <c r="N31" s="98"/>
      <c r="O31" s="139"/>
      <c r="P31" s="247"/>
      <c r="Q31" s="140"/>
      <c r="R31" s="201"/>
      <c r="S31" s="256"/>
      <c r="T31" s="141"/>
      <c r="U31" s="99"/>
      <c r="V31" s="142"/>
      <c r="W31" s="170"/>
      <c r="X31" s="202"/>
      <c r="Y31" s="258"/>
      <c r="Z31" s="29"/>
      <c r="AA31" s="100"/>
      <c r="AB31" s="143"/>
      <c r="AC31" s="210"/>
      <c r="AD31" s="173"/>
      <c r="AE31" s="210"/>
      <c r="AF31" s="210"/>
      <c r="AG31" s="210"/>
      <c r="AH31" s="210"/>
      <c r="AI31" s="210"/>
      <c r="AJ31" s="173"/>
      <c r="AK31" s="210"/>
      <c r="AL31" s="210"/>
      <c r="AM31" s="210"/>
      <c r="AN31" s="173"/>
      <c r="AO31" s="173"/>
      <c r="AP31" s="173"/>
      <c r="AQ31" s="179"/>
      <c r="AR31" s="260"/>
      <c r="AS31" s="66"/>
      <c r="AT31" s="116"/>
      <c r="AU31" s="115"/>
      <c r="AV31" s="235"/>
      <c r="AW31" s="236"/>
      <c r="AX31" s="237"/>
      <c r="AY31" s="238"/>
      <c r="AZ31" s="239"/>
      <c r="BA31" s="240"/>
      <c r="BB31" s="114"/>
      <c r="BC31" s="144"/>
      <c r="BD31" s="144"/>
      <c r="BE31" s="145"/>
      <c r="BF31" s="99"/>
      <c r="BG31" s="146"/>
      <c r="BH31" s="146"/>
      <c r="BI31" s="147"/>
      <c r="BJ31" s="4"/>
    </row>
    <row r="32" spans="1:62" ht="13.5" thickBot="1" x14ac:dyDescent="0.25">
      <c r="A32" s="3"/>
      <c r="B32" s="101">
        <v>45802</v>
      </c>
      <c r="C32" s="20"/>
      <c r="D32" s="136"/>
      <c r="E32" s="96"/>
      <c r="F32" s="137"/>
      <c r="G32" s="95"/>
      <c r="H32" s="137"/>
      <c r="I32" s="96"/>
      <c r="J32" s="138"/>
      <c r="K32" s="200"/>
      <c r="L32" s="200"/>
      <c r="M32" s="228"/>
      <c r="N32" s="98"/>
      <c r="O32" s="139"/>
      <c r="P32" s="247"/>
      <c r="Q32" s="140"/>
      <c r="R32" s="201"/>
      <c r="S32" s="256"/>
      <c r="T32" s="141"/>
      <c r="U32" s="99"/>
      <c r="V32" s="142"/>
      <c r="W32" s="170"/>
      <c r="X32" s="202"/>
      <c r="Y32" s="258"/>
      <c r="Z32" s="29"/>
      <c r="AA32" s="100"/>
      <c r="AB32" s="143"/>
      <c r="AC32" s="210"/>
      <c r="AD32" s="173"/>
      <c r="AE32" s="210"/>
      <c r="AF32" s="210"/>
      <c r="AG32" s="210"/>
      <c r="AH32" s="210"/>
      <c r="AI32" s="210"/>
      <c r="AJ32" s="173"/>
      <c r="AK32" s="210"/>
      <c r="AL32" s="210"/>
      <c r="AM32" s="210"/>
      <c r="AN32" s="173"/>
      <c r="AO32" s="173"/>
      <c r="AP32" s="173"/>
      <c r="AQ32" s="179"/>
      <c r="AR32" s="260"/>
      <c r="AS32" s="66"/>
      <c r="AT32" s="116"/>
      <c r="AU32" s="115"/>
      <c r="AV32" s="235"/>
      <c r="AW32" s="236"/>
      <c r="AX32" s="237"/>
      <c r="AY32" s="238"/>
      <c r="AZ32" s="239"/>
      <c r="BA32" s="240"/>
      <c r="BB32" s="114"/>
      <c r="BC32" s="144"/>
      <c r="BD32" s="144"/>
      <c r="BE32" s="145"/>
      <c r="BF32" s="99"/>
      <c r="BG32" s="146"/>
      <c r="BH32" s="146"/>
      <c r="BI32" s="147"/>
      <c r="BJ32" s="4"/>
    </row>
    <row r="33" spans="1:62" ht="13.5" thickBot="1" x14ac:dyDescent="0.25">
      <c r="A33" s="3"/>
      <c r="B33" s="101">
        <v>45803</v>
      </c>
      <c r="C33" s="20"/>
      <c r="D33" s="136"/>
      <c r="E33" s="96"/>
      <c r="F33" s="137"/>
      <c r="G33" s="95"/>
      <c r="H33" s="137"/>
      <c r="I33" s="96"/>
      <c r="J33" s="138"/>
      <c r="K33" s="200"/>
      <c r="L33" s="200"/>
      <c r="M33" s="228"/>
      <c r="N33" s="98"/>
      <c r="O33" s="139"/>
      <c r="P33" s="247"/>
      <c r="Q33" s="140"/>
      <c r="R33" s="201"/>
      <c r="S33" s="256"/>
      <c r="T33" s="141"/>
      <c r="U33" s="99"/>
      <c r="V33" s="142"/>
      <c r="W33" s="170"/>
      <c r="X33" s="202"/>
      <c r="Y33" s="258"/>
      <c r="Z33" s="29"/>
      <c r="AA33" s="100"/>
      <c r="AB33" s="143"/>
      <c r="AC33" s="210"/>
      <c r="AD33" s="173"/>
      <c r="AE33" s="210"/>
      <c r="AF33" s="210"/>
      <c r="AG33" s="210"/>
      <c r="AH33" s="210"/>
      <c r="AI33" s="210"/>
      <c r="AJ33" s="173"/>
      <c r="AK33" s="210"/>
      <c r="AL33" s="210"/>
      <c r="AM33" s="210"/>
      <c r="AN33" s="173"/>
      <c r="AO33" s="173"/>
      <c r="AP33" s="173"/>
      <c r="AQ33" s="179"/>
      <c r="AR33" s="260"/>
      <c r="AS33" s="66"/>
      <c r="AT33" s="116"/>
      <c r="AU33" s="115"/>
      <c r="AV33" s="235"/>
      <c r="AW33" s="236"/>
      <c r="AX33" s="237"/>
      <c r="AY33" s="238"/>
      <c r="AZ33" s="239"/>
      <c r="BA33" s="240"/>
      <c r="BB33" s="114"/>
      <c r="BC33" s="144"/>
      <c r="BD33" s="144"/>
      <c r="BE33" s="145"/>
      <c r="BF33" s="99"/>
      <c r="BG33" s="146"/>
      <c r="BH33" s="146"/>
      <c r="BI33" s="147"/>
      <c r="BJ33" s="4"/>
    </row>
    <row r="34" spans="1:62" ht="13.5" thickBot="1" x14ac:dyDescent="0.25">
      <c r="A34" s="3"/>
      <c r="B34" s="101">
        <v>45804</v>
      </c>
      <c r="C34" s="20"/>
      <c r="D34" s="136"/>
      <c r="E34" s="96"/>
      <c r="F34" s="137"/>
      <c r="G34" s="95"/>
      <c r="H34" s="137"/>
      <c r="I34" s="96"/>
      <c r="J34" s="138"/>
      <c r="K34" s="200"/>
      <c r="L34" s="200"/>
      <c r="M34" s="228"/>
      <c r="N34" s="98"/>
      <c r="O34" s="139"/>
      <c r="P34" s="247"/>
      <c r="Q34" s="140"/>
      <c r="R34" s="201"/>
      <c r="S34" s="256"/>
      <c r="T34" s="141"/>
      <c r="U34" s="99"/>
      <c r="V34" s="142"/>
      <c r="W34" s="170"/>
      <c r="X34" s="202"/>
      <c r="Y34" s="258"/>
      <c r="Z34" s="29"/>
      <c r="AA34" s="100"/>
      <c r="AB34" s="143"/>
      <c r="AC34" s="210"/>
      <c r="AD34" s="173"/>
      <c r="AE34" s="210"/>
      <c r="AF34" s="210"/>
      <c r="AG34" s="210"/>
      <c r="AH34" s="210"/>
      <c r="AI34" s="210"/>
      <c r="AJ34" s="173"/>
      <c r="AK34" s="210"/>
      <c r="AL34" s="210"/>
      <c r="AM34" s="210"/>
      <c r="AN34" s="173"/>
      <c r="AO34" s="173"/>
      <c r="AP34" s="173"/>
      <c r="AQ34" s="179"/>
      <c r="AR34" s="260"/>
      <c r="AS34" s="66"/>
      <c r="AT34" s="116"/>
      <c r="AU34" s="115"/>
      <c r="AV34" s="235"/>
      <c r="AW34" s="236"/>
      <c r="AX34" s="237"/>
      <c r="AY34" s="238"/>
      <c r="AZ34" s="239"/>
      <c r="BA34" s="240"/>
      <c r="BB34" s="114"/>
      <c r="BC34" s="144"/>
      <c r="BD34" s="144"/>
      <c r="BE34" s="145"/>
      <c r="BF34" s="99"/>
      <c r="BG34" s="146"/>
      <c r="BH34" s="146"/>
      <c r="BI34" s="147"/>
      <c r="BJ34" s="4"/>
    </row>
    <row r="35" spans="1:62" ht="13.5" thickBot="1" x14ac:dyDescent="0.25">
      <c r="A35" s="3"/>
      <c r="B35" s="101">
        <v>45805</v>
      </c>
      <c r="C35" s="20"/>
      <c r="D35" s="136"/>
      <c r="E35" s="96"/>
      <c r="F35" s="137"/>
      <c r="G35" s="95"/>
      <c r="H35" s="137"/>
      <c r="I35" s="96"/>
      <c r="J35" s="138"/>
      <c r="K35" s="200"/>
      <c r="L35" s="200"/>
      <c r="M35" s="228"/>
      <c r="N35" s="98"/>
      <c r="O35" s="139"/>
      <c r="P35" s="247"/>
      <c r="Q35" s="140"/>
      <c r="R35" s="201"/>
      <c r="S35" s="256"/>
      <c r="T35" s="141"/>
      <c r="U35" s="99"/>
      <c r="V35" s="142"/>
      <c r="W35" s="170"/>
      <c r="X35" s="202"/>
      <c r="Y35" s="258"/>
      <c r="Z35" s="29"/>
      <c r="AA35" s="100"/>
      <c r="AB35" s="143"/>
      <c r="AC35" s="210"/>
      <c r="AD35" s="173"/>
      <c r="AE35" s="210"/>
      <c r="AF35" s="210"/>
      <c r="AG35" s="210"/>
      <c r="AH35" s="210"/>
      <c r="AI35" s="210"/>
      <c r="AJ35" s="173"/>
      <c r="AK35" s="210"/>
      <c r="AL35" s="210"/>
      <c r="AM35" s="210"/>
      <c r="AN35" s="173"/>
      <c r="AO35" s="173"/>
      <c r="AP35" s="173"/>
      <c r="AQ35" s="179"/>
      <c r="AR35" s="260"/>
      <c r="AS35" s="66"/>
      <c r="AT35" s="116"/>
      <c r="AU35" s="115"/>
      <c r="AV35" s="235"/>
      <c r="AW35" s="236"/>
      <c r="AX35" s="237"/>
      <c r="AY35" s="238"/>
      <c r="AZ35" s="239"/>
      <c r="BA35" s="240"/>
      <c r="BB35" s="114"/>
      <c r="BC35" s="144"/>
      <c r="BD35" s="144"/>
      <c r="BE35" s="145"/>
      <c r="BF35" s="99"/>
      <c r="BG35" s="146"/>
      <c r="BH35" s="146"/>
      <c r="BI35" s="147"/>
      <c r="BJ35" s="4"/>
    </row>
    <row r="36" spans="1:62" ht="13.5" thickBot="1" x14ac:dyDescent="0.25">
      <c r="A36" s="3"/>
      <c r="B36" s="101">
        <v>45806</v>
      </c>
      <c r="C36" s="20"/>
      <c r="D36" s="136"/>
      <c r="E36" s="96"/>
      <c r="F36" s="137"/>
      <c r="G36" s="95"/>
      <c r="H36" s="137"/>
      <c r="I36" s="96"/>
      <c r="J36" s="138"/>
      <c r="K36" s="200"/>
      <c r="L36" s="200"/>
      <c r="M36" s="228"/>
      <c r="N36" s="98"/>
      <c r="O36" s="139"/>
      <c r="P36" s="247"/>
      <c r="Q36" s="140"/>
      <c r="R36" s="201"/>
      <c r="S36" s="256"/>
      <c r="T36" s="141"/>
      <c r="U36" s="99"/>
      <c r="V36" s="142"/>
      <c r="W36" s="170"/>
      <c r="X36" s="202"/>
      <c r="Y36" s="258"/>
      <c r="Z36" s="29"/>
      <c r="AA36" s="100"/>
      <c r="AB36" s="143"/>
      <c r="AC36" s="210"/>
      <c r="AD36" s="173"/>
      <c r="AE36" s="210"/>
      <c r="AF36" s="210"/>
      <c r="AG36" s="210"/>
      <c r="AH36" s="210"/>
      <c r="AI36" s="210"/>
      <c r="AJ36" s="173"/>
      <c r="AK36" s="210"/>
      <c r="AL36" s="210"/>
      <c r="AM36" s="210"/>
      <c r="AN36" s="173"/>
      <c r="AO36" s="173"/>
      <c r="AP36" s="173"/>
      <c r="AQ36" s="179"/>
      <c r="AR36" s="260"/>
      <c r="AS36" s="66"/>
      <c r="AT36" s="116"/>
      <c r="AU36" s="115"/>
      <c r="AV36" s="235"/>
      <c r="AW36" s="236"/>
      <c r="AX36" s="237"/>
      <c r="AY36" s="238"/>
      <c r="AZ36" s="239"/>
      <c r="BA36" s="240"/>
      <c r="BB36" s="114"/>
      <c r="BC36" s="144"/>
      <c r="BD36" s="144"/>
      <c r="BE36" s="145"/>
      <c r="BF36" s="99"/>
      <c r="BG36" s="146"/>
      <c r="BH36" s="146"/>
      <c r="BI36" s="147"/>
      <c r="BJ36" s="4"/>
    </row>
    <row r="37" spans="1:62" ht="13.5" thickBot="1" x14ac:dyDescent="0.25">
      <c r="A37" s="3"/>
      <c r="B37" s="101">
        <v>45807</v>
      </c>
      <c r="C37" s="20"/>
      <c r="D37" s="136"/>
      <c r="E37" s="96"/>
      <c r="F37" s="137"/>
      <c r="G37" s="95"/>
      <c r="H37" s="137"/>
      <c r="I37" s="96"/>
      <c r="J37" s="138"/>
      <c r="K37" s="200"/>
      <c r="L37" s="200"/>
      <c r="M37" s="228"/>
      <c r="N37" s="98"/>
      <c r="O37" s="139"/>
      <c r="P37" s="247"/>
      <c r="Q37" s="140"/>
      <c r="R37" s="201"/>
      <c r="S37" s="256"/>
      <c r="T37" s="141"/>
      <c r="U37" s="99"/>
      <c r="V37" s="142"/>
      <c r="W37" s="170"/>
      <c r="X37" s="202"/>
      <c r="Y37" s="258"/>
      <c r="Z37" s="29"/>
      <c r="AA37" s="100"/>
      <c r="AB37" s="143"/>
      <c r="AC37" s="210"/>
      <c r="AD37" s="173"/>
      <c r="AE37" s="210"/>
      <c r="AF37" s="210"/>
      <c r="AG37" s="210"/>
      <c r="AH37" s="210"/>
      <c r="AI37" s="210"/>
      <c r="AJ37" s="173"/>
      <c r="AK37" s="210"/>
      <c r="AL37" s="210"/>
      <c r="AM37" s="210"/>
      <c r="AN37" s="173"/>
      <c r="AO37" s="173"/>
      <c r="AP37" s="173"/>
      <c r="AQ37" s="179"/>
      <c r="AR37" s="260"/>
      <c r="AS37" s="66"/>
      <c r="AT37" s="116"/>
      <c r="AU37" s="115"/>
      <c r="AV37" s="235"/>
      <c r="AW37" s="236"/>
      <c r="AX37" s="237"/>
      <c r="AY37" s="238"/>
      <c r="AZ37" s="239"/>
      <c r="BA37" s="240"/>
      <c r="BB37" s="114"/>
      <c r="BC37" s="144"/>
      <c r="BD37" s="144"/>
      <c r="BE37" s="145"/>
      <c r="BF37" s="99"/>
      <c r="BG37" s="146"/>
      <c r="BH37" s="146"/>
      <c r="BI37" s="147"/>
      <c r="BJ37" s="4"/>
    </row>
    <row r="38" spans="1:62" ht="13.5" thickBot="1" x14ac:dyDescent="0.25">
      <c r="A38" s="3"/>
      <c r="B38" s="101">
        <v>45808</v>
      </c>
      <c r="C38" s="20"/>
      <c r="D38" s="591"/>
      <c r="E38" s="96"/>
      <c r="F38" s="592"/>
      <c r="G38" s="95"/>
      <c r="H38" s="592"/>
      <c r="I38" s="593"/>
      <c r="J38" s="594"/>
      <c r="K38" s="595"/>
      <c r="L38" s="595"/>
      <c r="M38" s="228"/>
      <c r="N38" s="98"/>
      <c r="O38" s="596"/>
      <c r="P38" s="597"/>
      <c r="Q38" s="598"/>
      <c r="R38" s="599"/>
      <c r="S38" s="600"/>
      <c r="T38" s="601"/>
      <c r="U38" s="602"/>
      <c r="V38" s="603"/>
      <c r="W38" s="604"/>
      <c r="X38" s="605"/>
      <c r="Y38" s="606"/>
      <c r="Z38" s="29"/>
      <c r="AA38" s="607"/>
      <c r="AB38" s="608"/>
      <c r="AC38" s="609"/>
      <c r="AD38" s="610"/>
      <c r="AE38" s="609"/>
      <c r="AF38" s="609"/>
      <c r="AG38" s="609"/>
      <c r="AH38" s="609"/>
      <c r="AI38" s="609"/>
      <c r="AJ38" s="610"/>
      <c r="AK38" s="609"/>
      <c r="AL38" s="609"/>
      <c r="AM38" s="609"/>
      <c r="AN38" s="610"/>
      <c r="AO38" s="610"/>
      <c r="AP38" s="610"/>
      <c r="AQ38" s="611"/>
      <c r="AR38" s="612"/>
      <c r="AS38" s="66"/>
      <c r="AT38" s="91"/>
      <c r="AU38" s="613"/>
      <c r="AV38" s="614"/>
      <c r="AW38" s="615"/>
      <c r="AX38" s="616"/>
      <c r="AY38" s="617"/>
      <c r="AZ38" s="618"/>
      <c r="BA38" s="619"/>
      <c r="BB38" s="613"/>
      <c r="BC38" s="620"/>
      <c r="BD38" s="620"/>
      <c r="BE38" s="621"/>
      <c r="BF38" s="99"/>
      <c r="BG38" s="622"/>
      <c r="BH38" s="622"/>
      <c r="BI38" s="623"/>
      <c r="BJ38" s="4"/>
    </row>
    <row r="39" spans="1:62" ht="27" customHeight="1" thickBot="1" x14ac:dyDescent="0.25">
      <c r="A39" s="3"/>
      <c r="B39" s="459" t="s">
        <v>13</v>
      </c>
      <c r="C39" s="23"/>
      <c r="D39" s="80">
        <f>AVERAGE(D8:D37)</f>
        <v>0.79302499999999987</v>
      </c>
      <c r="E39" s="97"/>
      <c r="F39" s="94">
        <f>SUM(F8:F37)</f>
        <v>3337.0491999999999</v>
      </c>
      <c r="G39" s="95"/>
      <c r="H39" s="94">
        <f>+SUM(H8:H37)</f>
        <v>1707.4285714285711</v>
      </c>
      <c r="I39" s="23"/>
      <c r="J39" s="51">
        <f>SUM(J8:J37)</f>
        <v>295880.00000000466</v>
      </c>
      <c r="K39" s="52">
        <f>SUM(K8:K37)</f>
        <v>643545.29032258049</v>
      </c>
      <c r="L39" s="52">
        <f>SUM(L8:L37)</f>
        <v>281613.99999996764</v>
      </c>
      <c r="M39" s="31">
        <f>SUM(M8:M37)</f>
        <v>574007.20000000903</v>
      </c>
      <c r="N39" s="98"/>
      <c r="O39" s="49">
        <f t="shared" ref="O39:T39" si="92">SUM(O8:O37)</f>
        <v>0</v>
      </c>
      <c r="P39" s="85">
        <f t="shared" si="92"/>
        <v>0</v>
      </c>
      <c r="Q39" s="85">
        <f t="shared" si="92"/>
        <v>0</v>
      </c>
      <c r="R39" s="50">
        <f t="shared" si="92"/>
        <v>0</v>
      </c>
      <c r="S39" s="50">
        <f t="shared" si="92"/>
        <v>0</v>
      </c>
      <c r="T39" s="48">
        <f t="shared" si="92"/>
        <v>0</v>
      </c>
      <c r="U39" s="21"/>
      <c r="V39" s="53">
        <f>SUM(V8:V37)</f>
        <v>5442</v>
      </c>
      <c r="W39" s="54">
        <f>SUM(W8:W37)</f>
        <v>4863.2258064516127</v>
      </c>
      <c r="X39" s="54">
        <f>SUM(X8:X37)</f>
        <v>24803.096774193549</v>
      </c>
      <c r="Y39" s="54">
        <f>SUM(Y8:Y37)</f>
        <v>17583.480000000003</v>
      </c>
      <c r="Z39" s="29">
        <f>SUM(Z8:Z37)</f>
        <v>27754.199999999997</v>
      </c>
      <c r="AA39" s="22"/>
      <c r="AB39" s="174">
        <f t="shared" ref="AB39:AS39" si="93">SUM(AB8:AB37)</f>
        <v>5306.1100000000006</v>
      </c>
      <c r="AC39" s="67">
        <f t="shared" si="93"/>
        <v>19791.790300000001</v>
      </c>
      <c r="AD39" s="67">
        <f t="shared" si="93"/>
        <v>4181.8064516129025</v>
      </c>
      <c r="AE39" s="67">
        <f t="shared" si="93"/>
        <v>17897.806451612905</v>
      </c>
      <c r="AF39" s="67">
        <f t="shared" si="93"/>
        <v>2816.71</v>
      </c>
      <c r="AG39" s="67">
        <f t="shared" si="93"/>
        <v>10506.328299999999</v>
      </c>
      <c r="AH39" s="67">
        <f t="shared" si="93"/>
        <v>2067.9240000000004</v>
      </c>
      <c r="AI39" s="67">
        <f t="shared" si="93"/>
        <v>8271.6960000000017</v>
      </c>
      <c r="AJ39" s="67">
        <f t="shared" si="93"/>
        <v>1393.9354838709678</v>
      </c>
      <c r="AK39" s="67">
        <f t="shared" si="93"/>
        <v>6200.7741935483873</v>
      </c>
      <c r="AL39" s="67">
        <f t="shared" si="93"/>
        <v>1008.288</v>
      </c>
      <c r="AM39" s="67">
        <f t="shared" si="93"/>
        <v>3760.9142400000001</v>
      </c>
      <c r="AN39" s="67">
        <f t="shared" si="93"/>
        <v>7374.0340000000006</v>
      </c>
      <c r="AO39" s="67">
        <f t="shared" si="93"/>
        <v>3824.9980000000005</v>
      </c>
      <c r="AP39" s="67">
        <f t="shared" si="93"/>
        <v>5575.7419354838712</v>
      </c>
      <c r="AQ39" s="67">
        <f t="shared" si="93"/>
        <v>21285.935483870966</v>
      </c>
      <c r="AR39" s="67">
        <f t="shared" si="93"/>
        <v>14267.242539999999</v>
      </c>
      <c r="AS39" s="66">
        <f t="shared" si="93"/>
        <v>28063.486300000004</v>
      </c>
      <c r="AT39" s="91"/>
      <c r="AU39" s="34"/>
      <c r="AV39" s="81">
        <f t="shared" ref="AV39:BA39" si="94">AVERAGE(AV8:AV37)</f>
        <v>89.181642909883479</v>
      </c>
      <c r="AW39" s="83">
        <f t="shared" si="94"/>
        <v>173.01238724517395</v>
      </c>
      <c r="AX39" s="81">
        <f t="shared" si="94"/>
        <v>1.645177711248331</v>
      </c>
      <c r="AY39" s="82">
        <f t="shared" si="94"/>
        <v>8.3904063273664882</v>
      </c>
      <c r="AZ39" s="84">
        <f t="shared" si="94"/>
        <v>2.2234785484091155</v>
      </c>
      <c r="BA39" s="82">
        <f t="shared" si="94"/>
        <v>8.4617183119258286</v>
      </c>
      <c r="BB39" s="34"/>
      <c r="BC39" s="24">
        <f>SUM(BC8:BC37)</f>
        <v>313464.72253996762</v>
      </c>
      <c r="BD39" s="24">
        <f>SUM(BD8:BD37)</f>
        <v>689634.32258064498</v>
      </c>
      <c r="BE39" s="78">
        <f>SUM(BE8:BE37)</f>
        <v>629824.88630000909</v>
      </c>
      <c r="BF39" s="99"/>
      <c r="BG39" s="93">
        <f>BC39/'Reading.5.25'!AN37</f>
        <v>132.20781212145408</v>
      </c>
      <c r="BH39" s="93">
        <f>AVERAGE(BH8:BH37)</f>
        <v>403.90229736148888</v>
      </c>
      <c r="BI39" s="93">
        <f>AVERAGE(BI8:BI37)</f>
        <v>189.86451188446625</v>
      </c>
      <c r="BJ39" s="4"/>
    </row>
    <row r="40" spans="1:62" ht="7.5" customHeight="1" thickBot="1" x14ac:dyDescent="0.25">
      <c r="A40" s="5"/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60"/>
      <c r="O40" s="25"/>
      <c r="P40" s="25"/>
      <c r="Q40" s="25"/>
      <c r="R40" s="26"/>
      <c r="S40" s="26"/>
      <c r="T40" s="26"/>
      <c r="U40" s="26"/>
      <c r="V40" s="25"/>
      <c r="W40" s="25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92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26"/>
      <c r="BJ40" s="6"/>
    </row>
    <row r="41" spans="1:62" ht="13.5" thickTop="1" x14ac:dyDescent="0.2"/>
    <row r="42" spans="1:62" x14ac:dyDescent="0.2">
      <c r="M42" s="46"/>
      <c r="N42"/>
      <c r="T42" s="47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BG42" s="46"/>
      <c r="BH42" s="46"/>
    </row>
    <row r="43" spans="1:62" x14ac:dyDescent="0.2">
      <c r="M43" s="44"/>
      <c r="N43" s="44"/>
      <c r="O43" s="44"/>
      <c r="P43" s="44"/>
      <c r="Q43" s="44"/>
      <c r="R43" s="44"/>
      <c r="S43" s="44"/>
      <c r="T43" s="45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</row>
  </sheetData>
  <mergeCells count="14">
    <mergeCell ref="BH5:BH6"/>
    <mergeCell ref="BC5:BC6"/>
    <mergeCell ref="BG5:BG6"/>
    <mergeCell ref="BI5:BI6"/>
    <mergeCell ref="A2:AS2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ageMargins left="0.36" right="0.16" top="0.28999999999999998" bottom="0.39" header="0.28000000000000003" footer="0.34"/>
  <pageSetup paperSize="9" scale="23" fitToHeight="0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23"/>
  <sheetViews>
    <sheetView showGridLines="0" workbookViewId="0">
      <pane ySplit="9" topLeftCell="A10" activePane="bottomLeft" state="frozen"/>
      <selection activeCell="A9" sqref="A9"/>
      <selection pane="bottomLeft" activeCell="O5" sqref="O5"/>
    </sheetView>
  </sheetViews>
  <sheetFormatPr defaultColWidth="9.140625" defaultRowHeight="15" x14ac:dyDescent="0.25"/>
  <cols>
    <col min="1" max="1" width="6.140625" style="364" customWidth="1"/>
    <col min="2" max="6" width="10.28515625" style="339" customWidth="1"/>
    <col min="7" max="7" width="13.7109375" style="339" customWidth="1"/>
    <col min="8" max="8" width="10.28515625" style="390" customWidth="1"/>
    <col min="9" max="9" width="13.7109375" style="339" customWidth="1"/>
    <col min="10" max="12" width="10.28515625" style="339" customWidth="1"/>
    <col min="13" max="13" width="11.7109375" style="339" bestFit="1" customWidth="1"/>
    <col min="14" max="14" width="16.5703125" style="339" customWidth="1"/>
    <col min="15" max="15" width="17.28515625" style="339" customWidth="1"/>
    <col min="16" max="16" width="11" style="339" customWidth="1"/>
    <col min="17" max="16384" width="9.140625" style="339"/>
  </cols>
  <sheetData>
    <row r="1" spans="1:16" x14ac:dyDescent="0.25">
      <c r="A1" s="336"/>
      <c r="B1" s="337"/>
      <c r="C1" s="337"/>
      <c r="D1" s="337"/>
      <c r="E1" s="337"/>
      <c r="F1" s="337"/>
      <c r="G1" s="337"/>
      <c r="H1" s="361"/>
      <c r="I1" s="337"/>
      <c r="J1" s="337"/>
      <c r="K1" s="337"/>
      <c r="L1" s="337"/>
      <c r="M1" s="337"/>
      <c r="N1" s="337"/>
      <c r="O1" s="337"/>
    </row>
    <row r="2" spans="1:16" x14ac:dyDescent="0.25">
      <c r="A2" s="336"/>
      <c r="B2" s="337"/>
      <c r="C2" s="337"/>
      <c r="D2" s="337"/>
      <c r="E2" s="337"/>
      <c r="F2" s="337"/>
      <c r="G2" s="337"/>
      <c r="H2" s="361"/>
      <c r="I2" s="337"/>
      <c r="J2" s="337"/>
      <c r="K2" s="337"/>
      <c r="L2" s="337"/>
      <c r="M2" s="337"/>
      <c r="N2" s="337"/>
      <c r="O2" s="337"/>
    </row>
    <row r="3" spans="1:16" x14ac:dyDescent="0.25">
      <c r="A3" s="336"/>
      <c r="B3" s="337"/>
      <c r="C3" s="337"/>
      <c r="D3" s="337"/>
      <c r="E3" s="337"/>
      <c r="F3" s="337"/>
      <c r="G3" s="337"/>
      <c r="H3" s="361"/>
      <c r="I3" s="337"/>
      <c r="J3" s="337"/>
      <c r="K3" s="337"/>
      <c r="L3" s="337"/>
      <c r="M3" s="337"/>
      <c r="N3" s="337"/>
      <c r="O3" s="337"/>
    </row>
    <row r="4" spans="1:16" x14ac:dyDescent="0.25">
      <c r="A4" s="336"/>
      <c r="B4" s="337"/>
      <c r="C4" s="337"/>
      <c r="D4" s="337"/>
      <c r="E4" s="337"/>
      <c r="F4" s="337"/>
      <c r="G4" s="337"/>
      <c r="H4" s="361"/>
      <c r="I4" s="337"/>
      <c r="J4" s="337"/>
      <c r="K4" s="337"/>
      <c r="L4" s="337"/>
      <c r="M4" s="337"/>
      <c r="N4" s="337"/>
      <c r="O4" s="337"/>
    </row>
    <row r="5" spans="1:16" ht="20.25" x14ac:dyDescent="0.3">
      <c r="A5" s="340" t="s">
        <v>182</v>
      </c>
      <c r="B5" s="337"/>
      <c r="C5" s="337"/>
      <c r="D5" s="337"/>
      <c r="E5" s="337"/>
      <c r="F5" s="337"/>
      <c r="G5" s="337"/>
      <c r="H5" s="361"/>
      <c r="I5" s="337"/>
      <c r="J5" s="337"/>
      <c r="K5" s="337"/>
      <c r="L5" s="337"/>
      <c r="M5" s="337"/>
      <c r="N5" s="337"/>
      <c r="O5" s="337"/>
    </row>
    <row r="6" spans="1:16" ht="16.149999999999999" customHeight="1" x14ac:dyDescent="0.3">
      <c r="A6" s="340" t="s">
        <v>254</v>
      </c>
      <c r="B6" s="337"/>
      <c r="C6" s="337"/>
      <c r="D6" s="337"/>
      <c r="E6" s="337"/>
      <c r="F6" s="337"/>
      <c r="G6" s="337"/>
      <c r="H6" s="361"/>
      <c r="I6" s="337"/>
      <c r="J6" s="337"/>
      <c r="L6" s="342" t="s">
        <v>184</v>
      </c>
      <c r="M6" s="342" t="s">
        <v>295</v>
      </c>
      <c r="N6" s="343">
        <v>2025</v>
      </c>
      <c r="O6" s="337"/>
    </row>
    <row r="7" spans="1:16" ht="15.75" thickBot="1" x14ac:dyDescent="0.3">
      <c r="A7" s="336"/>
      <c r="B7" s="337"/>
      <c r="C7" s="337"/>
      <c r="D7" s="337"/>
      <c r="E7" s="337"/>
      <c r="F7" s="337"/>
      <c r="G7" s="337"/>
      <c r="H7" s="361"/>
      <c r="I7" s="337"/>
      <c r="J7" s="337"/>
      <c r="K7" s="337"/>
      <c r="L7" s="337"/>
      <c r="M7" s="337"/>
      <c r="N7" s="337"/>
      <c r="O7" s="337"/>
    </row>
    <row r="8" spans="1:16" ht="25.15" customHeight="1" x14ac:dyDescent="0.25">
      <c r="A8" s="442" t="s">
        <v>189</v>
      </c>
      <c r="B8" s="716" t="s">
        <v>255</v>
      </c>
      <c r="C8" s="717"/>
      <c r="D8" s="718" t="s">
        <v>217</v>
      </c>
      <c r="E8" s="719"/>
      <c r="F8" s="720"/>
      <c r="G8" s="383" t="s">
        <v>218</v>
      </c>
      <c r="H8" s="721" t="s">
        <v>192</v>
      </c>
      <c r="I8" s="723" t="s">
        <v>256</v>
      </c>
      <c r="J8" s="725" t="s">
        <v>193</v>
      </c>
      <c r="K8" s="727" t="s">
        <v>220</v>
      </c>
      <c r="L8" s="710" t="s">
        <v>195</v>
      </c>
      <c r="M8" s="712" t="s">
        <v>196</v>
      </c>
      <c r="N8" s="714" t="s">
        <v>257</v>
      </c>
      <c r="O8" s="337"/>
    </row>
    <row r="9" spans="1:16" ht="15.75" thickBot="1" x14ac:dyDescent="0.3">
      <c r="A9" s="443"/>
      <c r="B9" s="444" t="s">
        <v>258</v>
      </c>
      <c r="C9" s="445" t="s">
        <v>259</v>
      </c>
      <c r="D9" s="446" t="s">
        <v>227</v>
      </c>
      <c r="E9" s="386" t="s">
        <v>228</v>
      </c>
      <c r="F9" s="447" t="s">
        <v>260</v>
      </c>
      <c r="G9" s="388" t="s">
        <v>230</v>
      </c>
      <c r="H9" s="722"/>
      <c r="I9" s="724"/>
      <c r="J9" s="726"/>
      <c r="K9" s="728"/>
      <c r="L9" s="711"/>
      <c r="M9" s="713"/>
      <c r="N9" s="715"/>
      <c r="O9" s="337"/>
    </row>
    <row r="10" spans="1:16" x14ac:dyDescent="0.25">
      <c r="A10" s="357">
        <v>1</v>
      </c>
      <c r="B10" s="358"/>
      <c r="C10" s="358"/>
      <c r="D10" s="358"/>
      <c r="E10" s="358"/>
      <c r="F10" s="358"/>
      <c r="G10" s="358"/>
      <c r="H10" s="371"/>
      <c r="I10" s="358"/>
      <c r="J10" s="358"/>
      <c r="K10" s="358"/>
      <c r="L10" s="371"/>
      <c r="M10" s="371"/>
      <c r="N10" s="358"/>
      <c r="O10" s="337"/>
    </row>
    <row r="11" spans="1:16" x14ac:dyDescent="0.25">
      <c r="A11" s="360">
        <v>2</v>
      </c>
      <c r="B11" s="358"/>
      <c r="C11" s="358"/>
      <c r="D11" s="358"/>
      <c r="E11" s="358"/>
      <c r="F11" s="358"/>
      <c r="G11" s="358"/>
      <c r="H11" s="371"/>
      <c r="I11" s="358"/>
      <c r="J11" s="358"/>
      <c r="K11" s="358"/>
      <c r="L11" s="371"/>
      <c r="M11" s="371"/>
      <c r="N11" s="358"/>
      <c r="O11" s="337"/>
    </row>
    <row r="12" spans="1:16" x14ac:dyDescent="0.25">
      <c r="A12" s="357">
        <v>3</v>
      </c>
      <c r="B12" s="358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37"/>
    </row>
    <row r="13" spans="1:16" x14ac:dyDescent="0.25">
      <c r="A13" s="472">
        <v>4</v>
      </c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8"/>
      <c r="O13" s="373"/>
      <c r="P13" s="373"/>
    </row>
    <row r="14" spans="1:16" x14ac:dyDescent="0.25">
      <c r="A14" s="357">
        <v>5</v>
      </c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</row>
    <row r="15" spans="1:16" x14ac:dyDescent="0.25">
      <c r="A15" s="360">
        <v>6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</row>
    <row r="16" spans="1:16" x14ac:dyDescent="0.25">
      <c r="A16" s="357">
        <v>7</v>
      </c>
      <c r="B16" s="358"/>
      <c r="C16" s="358"/>
      <c r="D16" s="358"/>
      <c r="E16" s="358"/>
      <c r="F16" s="358"/>
      <c r="G16" s="358"/>
      <c r="H16" s="358"/>
      <c r="I16" s="358"/>
      <c r="J16" s="358"/>
      <c r="K16" s="358"/>
      <c r="L16" s="358"/>
      <c r="M16" s="358"/>
      <c r="N16" s="358"/>
      <c r="O16" s="337"/>
    </row>
    <row r="17" spans="1:15" x14ac:dyDescent="0.25">
      <c r="A17" s="360">
        <v>8</v>
      </c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8"/>
      <c r="N17" s="358"/>
      <c r="O17" s="337"/>
    </row>
    <row r="18" spans="1:15" x14ac:dyDescent="0.25">
      <c r="A18" s="357">
        <v>9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37"/>
    </row>
    <row r="19" spans="1:15" x14ac:dyDescent="0.25">
      <c r="A19" s="360">
        <v>10</v>
      </c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37"/>
    </row>
    <row r="20" spans="1:15" x14ac:dyDescent="0.25">
      <c r="A20" s="357">
        <v>11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37"/>
    </row>
    <row r="21" spans="1:15" x14ac:dyDescent="0.25">
      <c r="A21" s="360">
        <v>12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37"/>
    </row>
    <row r="22" spans="1:15" x14ac:dyDescent="0.25">
      <c r="A22" s="357">
        <v>13</v>
      </c>
      <c r="B22" s="358"/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37"/>
    </row>
    <row r="23" spans="1:15" x14ac:dyDescent="0.25">
      <c r="A23" s="360">
        <v>14</v>
      </c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8"/>
      <c r="O23" s="337"/>
    </row>
    <row r="24" spans="1:15" x14ac:dyDescent="0.25">
      <c r="A24" s="357">
        <v>15</v>
      </c>
      <c r="B24" s="358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8"/>
      <c r="O24" s="337"/>
    </row>
    <row r="25" spans="1:15" x14ac:dyDescent="0.25">
      <c r="A25" s="360">
        <v>16</v>
      </c>
      <c r="B25" s="358"/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37"/>
    </row>
    <row r="26" spans="1:15" x14ac:dyDescent="0.25">
      <c r="A26" s="357">
        <v>17</v>
      </c>
      <c r="B26" s="358"/>
      <c r="C26" s="358"/>
      <c r="D26" s="358"/>
      <c r="E26" s="358"/>
      <c r="F26" s="358"/>
      <c r="G26" s="358"/>
      <c r="H26" s="358"/>
      <c r="I26" s="358"/>
      <c r="J26" s="358"/>
      <c r="K26" s="358"/>
      <c r="L26" s="358"/>
      <c r="M26" s="358"/>
      <c r="N26" s="358"/>
      <c r="O26" s="337"/>
    </row>
    <row r="27" spans="1:15" x14ac:dyDescent="0.25">
      <c r="A27" s="360">
        <v>18</v>
      </c>
      <c r="B27" s="358"/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8"/>
      <c r="N27" s="505"/>
      <c r="O27" s="337"/>
    </row>
    <row r="28" spans="1:15" x14ac:dyDescent="0.25">
      <c r="A28" s="357">
        <v>19</v>
      </c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37"/>
    </row>
    <row r="29" spans="1:15" x14ac:dyDescent="0.25">
      <c r="A29" s="360">
        <v>20</v>
      </c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37"/>
    </row>
    <row r="30" spans="1:15" x14ac:dyDescent="0.25">
      <c r="A30" s="357">
        <v>21</v>
      </c>
      <c r="B30" s="35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37"/>
    </row>
    <row r="31" spans="1:15" x14ac:dyDescent="0.25">
      <c r="A31" s="360">
        <v>22</v>
      </c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8"/>
      <c r="O31" s="337"/>
    </row>
    <row r="32" spans="1:15" x14ac:dyDescent="0.25">
      <c r="A32" s="357">
        <v>23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37"/>
    </row>
    <row r="33" spans="1:15" x14ac:dyDescent="0.25">
      <c r="A33" s="360">
        <v>24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471"/>
    </row>
    <row r="34" spans="1:15" x14ac:dyDescent="0.25">
      <c r="A34" s="357">
        <v>25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37"/>
    </row>
    <row r="35" spans="1:15" x14ac:dyDescent="0.25">
      <c r="A35" s="360">
        <v>26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</row>
    <row r="36" spans="1:15" x14ac:dyDescent="0.25">
      <c r="A36" s="357">
        <v>27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37"/>
    </row>
    <row r="37" spans="1:15" x14ac:dyDescent="0.25">
      <c r="A37" s="360">
        <v>28</v>
      </c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37"/>
    </row>
    <row r="38" spans="1:15" x14ac:dyDescent="0.25">
      <c r="A38" s="357">
        <v>29</v>
      </c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</row>
    <row r="39" spans="1:15" x14ac:dyDescent="0.25">
      <c r="A39" s="360">
        <v>30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</row>
    <row r="40" spans="1:15" x14ac:dyDescent="0.25">
      <c r="A40" s="357">
        <v>31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37"/>
    </row>
    <row r="41" spans="1:15" x14ac:dyDescent="0.25">
      <c r="A41" s="336"/>
      <c r="B41" s="337"/>
      <c r="C41" s="337"/>
      <c r="D41" s="337"/>
      <c r="E41" s="337"/>
      <c r="F41" s="337"/>
      <c r="G41" s="337"/>
      <c r="H41" s="448" t="e">
        <f>AVERAGE(H10:H40)</f>
        <v>#DIV/0!</v>
      </c>
      <c r="I41" s="337"/>
      <c r="J41" s="363" t="e">
        <f>AVERAGE(J10:J40)</f>
        <v>#DIV/0!</v>
      </c>
      <c r="K41" s="337"/>
      <c r="L41" s="363" t="e">
        <f>AVERAGE(L10:L40)</f>
        <v>#DIV/0!</v>
      </c>
      <c r="M41" s="363" t="e">
        <f>AVERAGE(M10:M40)</f>
        <v>#DIV/0!</v>
      </c>
      <c r="N41" s="337">
        <f>SUM(N10:N40)</f>
        <v>0</v>
      </c>
      <c r="O41" s="337"/>
    </row>
    <row r="42" spans="1:15" x14ac:dyDescent="0.25">
      <c r="A42" s="336"/>
      <c r="B42" s="337"/>
      <c r="C42" s="337"/>
      <c r="D42" s="337"/>
      <c r="E42" s="337"/>
      <c r="F42" s="337"/>
      <c r="G42" s="337"/>
      <c r="H42" s="361"/>
      <c r="I42" s="337"/>
      <c r="J42" s="337"/>
      <c r="K42" s="337"/>
      <c r="L42" s="337"/>
      <c r="M42" s="337"/>
      <c r="N42" s="337"/>
      <c r="O42" s="337"/>
    </row>
    <row r="43" spans="1:15" x14ac:dyDescent="0.25">
      <c r="A43" s="336"/>
      <c r="B43" s="337"/>
      <c r="C43" s="337"/>
      <c r="D43" s="337"/>
      <c r="E43" s="337"/>
      <c r="F43" s="337"/>
      <c r="G43" s="337"/>
      <c r="H43" s="361"/>
      <c r="I43" s="337"/>
      <c r="J43" s="337"/>
      <c r="K43" s="337"/>
      <c r="L43" s="337"/>
      <c r="M43" s="337"/>
      <c r="N43" s="337"/>
      <c r="O43" s="337"/>
    </row>
    <row r="44" spans="1:15" x14ac:dyDescent="0.25">
      <c r="A44" s="336"/>
      <c r="B44" s="337"/>
      <c r="C44" s="337"/>
      <c r="D44" s="337"/>
      <c r="E44" s="337"/>
      <c r="F44" s="337"/>
      <c r="G44" s="337"/>
      <c r="H44" s="361"/>
      <c r="I44" s="337"/>
      <c r="J44" s="337"/>
      <c r="K44" s="337"/>
      <c r="L44" s="337"/>
      <c r="M44" s="337"/>
      <c r="N44" s="337"/>
      <c r="O44" s="337"/>
    </row>
    <row r="45" spans="1:15" x14ac:dyDescent="0.25">
      <c r="A45" s="336"/>
      <c r="B45" s="337"/>
      <c r="C45" s="337"/>
      <c r="D45" s="337"/>
      <c r="E45" s="337"/>
      <c r="F45" s="337"/>
      <c r="G45" s="337"/>
      <c r="H45" s="361"/>
      <c r="I45" s="337"/>
      <c r="J45" s="337"/>
      <c r="K45" s="337"/>
      <c r="L45" s="337"/>
      <c r="M45" s="337"/>
      <c r="N45" s="337"/>
      <c r="O45" s="337"/>
    </row>
    <row r="46" spans="1:15" x14ac:dyDescent="0.25">
      <c r="A46" s="336"/>
      <c r="B46" s="337"/>
      <c r="C46" s="337"/>
      <c r="D46" s="337"/>
      <c r="E46" s="337"/>
      <c r="F46" s="337"/>
      <c r="G46" s="337"/>
      <c r="H46" s="361"/>
      <c r="I46" s="337"/>
      <c r="J46" s="337"/>
      <c r="K46" s="337"/>
      <c r="L46" s="337"/>
      <c r="M46" s="337"/>
      <c r="N46" s="337"/>
      <c r="O46" s="337"/>
    </row>
    <row r="47" spans="1:15" x14ac:dyDescent="0.25">
      <c r="A47" s="336"/>
      <c r="B47" s="337"/>
      <c r="C47" s="337"/>
      <c r="D47" s="337"/>
      <c r="E47" s="337"/>
      <c r="F47" s="337"/>
      <c r="G47" s="337"/>
      <c r="H47" s="361"/>
      <c r="I47" s="337"/>
      <c r="J47" s="337"/>
      <c r="K47" s="337"/>
      <c r="L47" s="337"/>
      <c r="M47" s="337"/>
      <c r="N47" s="337"/>
      <c r="O47" s="337"/>
    </row>
    <row r="48" spans="1:15" x14ac:dyDescent="0.25">
      <c r="A48" s="336"/>
      <c r="B48" s="337"/>
      <c r="C48" s="337"/>
      <c r="D48" s="337"/>
      <c r="E48" s="337"/>
      <c r="F48" s="337"/>
      <c r="G48" s="337"/>
      <c r="H48" s="361"/>
      <c r="I48" s="337"/>
      <c r="J48" s="337"/>
      <c r="K48" s="337"/>
      <c r="L48" s="337"/>
      <c r="M48" s="337"/>
      <c r="N48" s="337"/>
      <c r="O48" s="337"/>
    </row>
    <row r="49" spans="1:15" x14ac:dyDescent="0.25">
      <c r="A49" s="336"/>
      <c r="B49" s="337"/>
      <c r="C49" s="337"/>
      <c r="D49" s="337"/>
      <c r="E49" s="337"/>
      <c r="F49" s="337"/>
      <c r="G49" s="337"/>
      <c r="H49" s="361"/>
      <c r="I49" s="337"/>
      <c r="J49" s="337"/>
      <c r="K49" s="337"/>
      <c r="L49" s="337"/>
      <c r="M49" s="337"/>
      <c r="N49" s="337"/>
      <c r="O49" s="337"/>
    </row>
    <row r="50" spans="1:15" x14ac:dyDescent="0.25">
      <c r="A50" s="336"/>
      <c r="B50" s="337"/>
      <c r="C50" s="337"/>
      <c r="D50" s="337"/>
      <c r="E50" s="337"/>
      <c r="F50" s="337"/>
      <c r="G50" s="337"/>
      <c r="H50" s="361"/>
      <c r="I50" s="337"/>
      <c r="J50" s="337"/>
      <c r="K50" s="337"/>
      <c r="L50" s="337"/>
      <c r="M50" s="337"/>
      <c r="N50" s="337"/>
      <c r="O50" s="337"/>
    </row>
    <row r="51" spans="1:15" x14ac:dyDescent="0.25">
      <c r="A51" s="336"/>
      <c r="B51" s="337"/>
      <c r="C51" s="337"/>
      <c r="D51" s="337"/>
      <c r="E51" s="337"/>
      <c r="F51" s="337"/>
      <c r="G51" s="337"/>
      <c r="H51" s="361"/>
      <c r="I51" s="337"/>
      <c r="J51" s="337"/>
      <c r="K51" s="337"/>
      <c r="L51" s="337"/>
      <c r="M51" s="337"/>
      <c r="N51" s="337"/>
      <c r="O51" s="337"/>
    </row>
    <row r="52" spans="1:15" x14ac:dyDescent="0.25">
      <c r="A52" s="336"/>
      <c r="B52" s="337"/>
      <c r="C52" s="337"/>
      <c r="D52" s="337"/>
      <c r="E52" s="337"/>
      <c r="F52" s="337"/>
      <c r="G52" s="337"/>
      <c r="H52" s="361"/>
      <c r="I52" s="337"/>
      <c r="J52" s="337"/>
      <c r="K52" s="337"/>
      <c r="L52" s="337"/>
      <c r="M52" s="337"/>
      <c r="N52" s="337"/>
      <c r="O52" s="337"/>
    </row>
    <row r="53" spans="1:15" x14ac:dyDescent="0.25">
      <c r="A53" s="336"/>
      <c r="B53" s="337"/>
      <c r="C53" s="337"/>
      <c r="D53" s="337"/>
      <c r="E53" s="337"/>
      <c r="F53" s="337"/>
      <c r="G53" s="337"/>
      <c r="H53" s="361"/>
      <c r="I53" s="337"/>
      <c r="J53" s="337"/>
      <c r="K53" s="337"/>
      <c r="L53" s="337"/>
      <c r="M53" s="337"/>
      <c r="N53" s="337"/>
      <c r="O53" s="337"/>
    </row>
    <row r="54" spans="1:15" x14ac:dyDescent="0.25">
      <c r="A54" s="336"/>
      <c r="B54" s="337"/>
      <c r="C54" s="337"/>
      <c r="D54" s="337"/>
      <c r="E54" s="337"/>
      <c r="F54" s="337"/>
      <c r="G54" s="337"/>
      <c r="H54" s="361"/>
      <c r="I54" s="337"/>
      <c r="J54" s="337"/>
      <c r="K54" s="337"/>
      <c r="L54" s="337"/>
      <c r="M54" s="337"/>
      <c r="N54" s="337"/>
      <c r="O54" s="337"/>
    </row>
    <row r="55" spans="1:15" x14ac:dyDescent="0.25">
      <c r="A55" s="336"/>
      <c r="B55" s="337"/>
      <c r="C55" s="337"/>
      <c r="D55" s="337"/>
      <c r="E55" s="337"/>
      <c r="F55" s="337"/>
      <c r="G55" s="337"/>
      <c r="H55" s="361"/>
      <c r="I55" s="337"/>
      <c r="J55" s="337"/>
      <c r="K55" s="337"/>
      <c r="L55" s="337"/>
      <c r="M55" s="337"/>
      <c r="N55" s="337"/>
      <c r="O55" s="337"/>
    </row>
    <row r="56" spans="1:15" x14ac:dyDescent="0.25">
      <c r="A56" s="336"/>
      <c r="B56" s="337"/>
      <c r="C56" s="337"/>
      <c r="D56" s="337"/>
      <c r="E56" s="337"/>
      <c r="F56" s="337"/>
      <c r="G56" s="337"/>
      <c r="H56" s="361"/>
      <c r="I56" s="337"/>
      <c r="J56" s="337"/>
      <c r="K56" s="337"/>
      <c r="L56" s="337"/>
      <c r="M56" s="337"/>
      <c r="N56" s="337"/>
      <c r="O56" s="337"/>
    </row>
    <row r="57" spans="1:15" x14ac:dyDescent="0.25">
      <c r="A57" s="336"/>
      <c r="B57" s="337"/>
      <c r="C57" s="337"/>
      <c r="D57" s="337"/>
      <c r="E57" s="337"/>
      <c r="F57" s="337"/>
      <c r="G57" s="337"/>
      <c r="H57" s="361"/>
      <c r="I57" s="337"/>
      <c r="J57" s="337"/>
      <c r="K57" s="337"/>
      <c r="L57" s="337"/>
      <c r="M57" s="337"/>
      <c r="N57" s="337"/>
      <c r="O57" s="337"/>
    </row>
    <row r="58" spans="1:15" x14ac:dyDescent="0.25">
      <c r="A58" s="336"/>
      <c r="B58" s="337"/>
      <c r="C58" s="337"/>
      <c r="D58" s="337"/>
      <c r="E58" s="337"/>
      <c r="F58" s="337"/>
      <c r="G58" s="337"/>
      <c r="H58" s="361"/>
      <c r="I58" s="337"/>
      <c r="J58" s="337"/>
      <c r="K58" s="337"/>
      <c r="L58" s="337"/>
      <c r="M58" s="337"/>
      <c r="N58" s="337"/>
      <c r="O58" s="337"/>
    </row>
    <row r="59" spans="1:15" x14ac:dyDescent="0.25">
      <c r="A59" s="336"/>
      <c r="B59" s="337"/>
      <c r="C59" s="337"/>
      <c r="D59" s="337"/>
      <c r="E59" s="337"/>
      <c r="F59" s="337"/>
      <c r="G59" s="337"/>
      <c r="H59" s="361"/>
      <c r="I59" s="337"/>
      <c r="J59" s="337"/>
      <c r="K59" s="337"/>
      <c r="L59" s="337"/>
      <c r="M59" s="337"/>
      <c r="N59" s="337"/>
      <c r="O59" s="337"/>
    </row>
    <row r="60" spans="1:15" x14ac:dyDescent="0.25">
      <c r="A60" s="336"/>
      <c r="B60" s="337"/>
      <c r="C60" s="337"/>
      <c r="D60" s="337"/>
      <c r="E60" s="337"/>
      <c r="F60" s="337"/>
      <c r="G60" s="337"/>
      <c r="H60" s="361"/>
      <c r="I60" s="337"/>
      <c r="J60" s="337"/>
      <c r="K60" s="337"/>
      <c r="L60" s="337"/>
      <c r="M60" s="337"/>
      <c r="N60" s="337"/>
      <c r="O60" s="337"/>
    </row>
    <row r="61" spans="1:15" x14ac:dyDescent="0.25">
      <c r="A61" s="336"/>
      <c r="B61" s="337"/>
      <c r="C61" s="337"/>
      <c r="D61" s="337"/>
      <c r="E61" s="337"/>
      <c r="F61" s="337"/>
      <c r="G61" s="337"/>
      <c r="H61" s="361"/>
      <c r="I61" s="337"/>
      <c r="J61" s="337"/>
      <c r="K61" s="337"/>
      <c r="L61" s="337"/>
      <c r="M61" s="337"/>
      <c r="N61" s="337"/>
      <c r="O61" s="337"/>
    </row>
    <row r="62" spans="1:15" x14ac:dyDescent="0.25">
      <c r="A62" s="336"/>
      <c r="B62" s="337"/>
      <c r="C62" s="337"/>
      <c r="D62" s="337"/>
      <c r="E62" s="337"/>
      <c r="F62" s="337"/>
      <c r="G62" s="337"/>
      <c r="H62" s="361"/>
      <c r="I62" s="337"/>
      <c r="J62" s="337"/>
      <c r="K62" s="337"/>
      <c r="L62" s="337"/>
      <c r="M62" s="337"/>
      <c r="N62" s="337"/>
      <c r="O62" s="337"/>
    </row>
    <row r="63" spans="1:15" x14ac:dyDescent="0.25">
      <c r="A63" s="336"/>
      <c r="B63" s="337"/>
      <c r="C63" s="337"/>
      <c r="D63" s="337"/>
      <c r="E63" s="337"/>
      <c r="F63" s="337"/>
      <c r="G63" s="337"/>
      <c r="H63" s="361"/>
      <c r="I63" s="337"/>
      <c r="J63" s="337"/>
      <c r="K63" s="337"/>
      <c r="L63" s="337"/>
      <c r="M63" s="337"/>
      <c r="N63" s="337"/>
      <c r="O63" s="337"/>
    </row>
    <row r="64" spans="1:15" x14ac:dyDescent="0.25">
      <c r="A64" s="336"/>
      <c r="B64" s="337"/>
      <c r="C64" s="337"/>
      <c r="D64" s="337"/>
      <c r="E64" s="337"/>
      <c r="F64" s="337"/>
      <c r="G64" s="337"/>
      <c r="H64" s="361"/>
      <c r="I64" s="337"/>
      <c r="J64" s="337"/>
      <c r="K64" s="337"/>
      <c r="L64" s="337"/>
      <c r="M64" s="337"/>
      <c r="N64" s="337"/>
      <c r="O64" s="337"/>
    </row>
    <row r="65" spans="1:15" x14ac:dyDescent="0.25">
      <c r="A65" s="336"/>
      <c r="B65" s="337"/>
      <c r="C65" s="337"/>
      <c r="D65" s="337"/>
      <c r="E65" s="337"/>
      <c r="F65" s="337"/>
      <c r="G65" s="337"/>
      <c r="H65" s="361"/>
      <c r="I65" s="337"/>
      <c r="J65" s="337"/>
      <c r="K65" s="337"/>
      <c r="L65" s="337"/>
      <c r="M65" s="337"/>
      <c r="N65" s="337"/>
      <c r="O65" s="337"/>
    </row>
    <row r="66" spans="1:15" x14ac:dyDescent="0.25">
      <c r="A66" s="336"/>
      <c r="B66" s="337"/>
      <c r="C66" s="337"/>
      <c r="D66" s="337"/>
      <c r="E66" s="337"/>
      <c r="F66" s="337"/>
      <c r="G66" s="337"/>
      <c r="H66" s="361"/>
      <c r="I66" s="337"/>
      <c r="J66" s="337"/>
      <c r="K66" s="337"/>
      <c r="L66" s="337"/>
      <c r="M66" s="337"/>
      <c r="N66" s="337"/>
      <c r="O66" s="337"/>
    </row>
    <row r="67" spans="1:15" x14ac:dyDescent="0.25">
      <c r="A67" s="336"/>
      <c r="B67" s="337"/>
      <c r="C67" s="337"/>
      <c r="D67" s="337"/>
      <c r="E67" s="337"/>
      <c r="F67" s="337"/>
      <c r="G67" s="337"/>
      <c r="H67" s="361"/>
      <c r="I67" s="337"/>
      <c r="J67" s="337"/>
      <c r="K67" s="337"/>
      <c r="L67" s="337"/>
      <c r="M67" s="337"/>
      <c r="N67" s="337"/>
      <c r="O67" s="337"/>
    </row>
    <row r="68" spans="1:15" x14ac:dyDescent="0.25">
      <c r="A68" s="336"/>
      <c r="B68" s="337"/>
      <c r="C68" s="337"/>
      <c r="D68" s="337"/>
      <c r="E68" s="337"/>
      <c r="F68" s="337"/>
      <c r="G68" s="337"/>
      <c r="H68" s="361"/>
      <c r="I68" s="337"/>
      <c r="J68" s="337"/>
      <c r="K68" s="337"/>
      <c r="L68" s="337"/>
      <c r="M68" s="337"/>
      <c r="N68" s="337"/>
      <c r="O68" s="337"/>
    </row>
    <row r="69" spans="1:15" x14ac:dyDescent="0.25">
      <c r="A69" s="336"/>
      <c r="B69" s="337"/>
      <c r="C69" s="337"/>
      <c r="D69" s="337"/>
      <c r="E69" s="337"/>
      <c r="F69" s="337"/>
      <c r="G69" s="337"/>
      <c r="H69" s="361"/>
      <c r="I69" s="337"/>
      <c r="J69" s="337"/>
      <c r="K69" s="337"/>
      <c r="L69" s="337"/>
      <c r="M69" s="337"/>
      <c r="N69" s="337"/>
      <c r="O69" s="337"/>
    </row>
    <row r="70" spans="1:15" x14ac:dyDescent="0.25">
      <c r="A70" s="336"/>
      <c r="B70" s="337"/>
      <c r="C70" s="337"/>
      <c r="D70" s="337"/>
      <c r="E70" s="337"/>
      <c r="F70" s="337"/>
      <c r="G70" s="337"/>
      <c r="H70" s="361"/>
      <c r="I70" s="337"/>
      <c r="J70" s="337"/>
      <c r="K70" s="337"/>
      <c r="L70" s="337"/>
      <c r="M70" s="337"/>
      <c r="N70" s="337"/>
      <c r="O70" s="337"/>
    </row>
    <row r="71" spans="1:15" x14ac:dyDescent="0.25">
      <c r="A71" s="336"/>
      <c r="B71" s="337"/>
      <c r="C71" s="337"/>
      <c r="D71" s="337"/>
      <c r="E71" s="337"/>
      <c r="F71" s="337"/>
      <c r="G71" s="337"/>
      <c r="H71" s="361"/>
      <c r="I71" s="337"/>
      <c r="J71" s="337"/>
      <c r="K71" s="337"/>
      <c r="L71" s="337"/>
      <c r="M71" s="337"/>
      <c r="N71" s="337"/>
      <c r="O71" s="337"/>
    </row>
    <row r="72" spans="1:15" x14ac:dyDescent="0.25">
      <c r="A72" s="336"/>
      <c r="B72" s="337"/>
      <c r="C72" s="337"/>
      <c r="D72" s="337"/>
      <c r="E72" s="337"/>
      <c r="F72" s="337"/>
      <c r="G72" s="337"/>
      <c r="H72" s="361"/>
      <c r="I72" s="337"/>
      <c r="J72" s="337"/>
      <c r="K72" s="337"/>
      <c r="L72" s="337"/>
      <c r="M72" s="337"/>
      <c r="N72" s="337"/>
      <c r="O72" s="337"/>
    </row>
    <row r="73" spans="1:15" x14ac:dyDescent="0.25">
      <c r="A73" s="336"/>
      <c r="B73" s="337"/>
      <c r="C73" s="337"/>
      <c r="D73" s="337"/>
      <c r="E73" s="337"/>
      <c r="F73" s="337"/>
      <c r="G73" s="337"/>
      <c r="H73" s="361"/>
      <c r="I73" s="337"/>
      <c r="J73" s="337"/>
      <c r="K73" s="337"/>
      <c r="L73" s="337"/>
      <c r="M73" s="337"/>
      <c r="N73" s="337"/>
      <c r="O73" s="337"/>
    </row>
    <row r="74" spans="1:15" x14ac:dyDescent="0.25">
      <c r="A74" s="336"/>
      <c r="B74" s="337"/>
      <c r="C74" s="337"/>
      <c r="D74" s="337"/>
      <c r="E74" s="337"/>
      <c r="F74" s="337"/>
      <c r="G74" s="337"/>
      <c r="H74" s="361"/>
      <c r="I74" s="337"/>
      <c r="J74" s="337"/>
      <c r="K74" s="337"/>
      <c r="L74" s="337"/>
      <c r="M74" s="337"/>
      <c r="N74" s="337"/>
      <c r="O74" s="337"/>
    </row>
    <row r="75" spans="1:15" x14ac:dyDescent="0.25">
      <c r="A75" s="336"/>
      <c r="B75" s="337"/>
      <c r="C75" s="337"/>
      <c r="D75" s="337"/>
      <c r="E75" s="337"/>
      <c r="F75" s="337"/>
      <c r="G75" s="337"/>
      <c r="H75" s="361"/>
      <c r="I75" s="337"/>
      <c r="J75" s="337"/>
      <c r="K75" s="337"/>
      <c r="L75" s="337"/>
      <c r="M75" s="337"/>
      <c r="N75" s="337"/>
      <c r="O75" s="337"/>
    </row>
    <row r="76" spans="1:15" x14ac:dyDescent="0.25">
      <c r="A76" s="336"/>
      <c r="B76" s="337"/>
      <c r="C76" s="337"/>
      <c r="D76" s="337"/>
      <c r="E76" s="337"/>
      <c r="F76" s="337"/>
      <c r="G76" s="337"/>
      <c r="H76" s="361"/>
      <c r="I76" s="337"/>
      <c r="J76" s="337"/>
      <c r="K76" s="337"/>
      <c r="L76" s="337"/>
      <c r="M76" s="337"/>
      <c r="N76" s="337"/>
      <c r="O76" s="337"/>
    </row>
    <row r="77" spans="1:15" x14ac:dyDescent="0.25">
      <c r="A77" s="336"/>
      <c r="B77" s="337"/>
      <c r="C77" s="337"/>
      <c r="D77" s="337"/>
      <c r="E77" s="337"/>
      <c r="F77" s="337"/>
      <c r="G77" s="337"/>
      <c r="H77" s="361"/>
      <c r="I77" s="337"/>
      <c r="J77" s="337"/>
      <c r="K77" s="337"/>
      <c r="L77" s="337"/>
      <c r="M77" s="337"/>
      <c r="N77" s="337"/>
      <c r="O77" s="337"/>
    </row>
    <row r="78" spans="1:15" x14ac:dyDescent="0.25">
      <c r="A78" s="336"/>
      <c r="B78" s="337"/>
      <c r="C78" s="337"/>
      <c r="D78" s="337"/>
      <c r="E78" s="337"/>
      <c r="F78" s="337"/>
      <c r="G78" s="337"/>
      <c r="H78" s="361"/>
      <c r="I78" s="337"/>
      <c r="J78" s="337"/>
      <c r="K78" s="337"/>
      <c r="L78" s="337"/>
      <c r="M78" s="337"/>
      <c r="N78" s="337"/>
      <c r="O78" s="337"/>
    </row>
    <row r="79" spans="1:15" x14ac:dyDescent="0.25">
      <c r="A79" s="336"/>
      <c r="B79" s="337"/>
      <c r="C79" s="337"/>
      <c r="D79" s="337"/>
      <c r="E79" s="337"/>
      <c r="F79" s="337"/>
      <c r="G79" s="337"/>
      <c r="H79" s="361"/>
      <c r="I79" s="337"/>
      <c r="J79" s="337"/>
      <c r="K79" s="337"/>
      <c r="L79" s="337"/>
      <c r="M79" s="337"/>
      <c r="N79" s="337"/>
      <c r="O79" s="337"/>
    </row>
    <row r="80" spans="1:15" x14ac:dyDescent="0.25">
      <c r="A80" s="336"/>
      <c r="B80" s="337"/>
      <c r="C80" s="337"/>
      <c r="D80" s="337"/>
      <c r="E80" s="337"/>
      <c r="F80" s="337"/>
      <c r="G80" s="337"/>
      <c r="H80" s="361"/>
      <c r="I80" s="337"/>
      <c r="J80" s="337"/>
      <c r="K80" s="337"/>
      <c r="L80" s="337"/>
      <c r="M80" s="337"/>
      <c r="N80" s="337"/>
      <c r="O80" s="337"/>
    </row>
    <row r="81" spans="1:15" x14ac:dyDescent="0.25">
      <c r="A81" s="336"/>
      <c r="B81" s="337"/>
      <c r="C81" s="337"/>
      <c r="D81" s="337"/>
      <c r="E81" s="337"/>
      <c r="F81" s="337"/>
      <c r="G81" s="337"/>
      <c r="H81" s="361"/>
      <c r="I81" s="337"/>
      <c r="J81" s="337"/>
      <c r="K81" s="337"/>
      <c r="L81" s="337"/>
      <c r="M81" s="337"/>
      <c r="N81" s="337"/>
      <c r="O81" s="337"/>
    </row>
    <row r="82" spans="1:15" x14ac:dyDescent="0.25">
      <c r="A82" s="336"/>
      <c r="B82" s="337"/>
      <c r="C82" s="337"/>
      <c r="D82" s="337"/>
      <c r="E82" s="337"/>
      <c r="F82" s="337"/>
      <c r="G82" s="337"/>
      <c r="H82" s="361"/>
      <c r="I82" s="337"/>
      <c r="J82" s="337"/>
      <c r="K82" s="337"/>
      <c r="L82" s="337"/>
      <c r="M82" s="337"/>
      <c r="N82" s="337"/>
      <c r="O82" s="337"/>
    </row>
    <row r="83" spans="1:15" x14ac:dyDescent="0.25">
      <c r="A83" s="336"/>
      <c r="B83" s="337"/>
      <c r="C83" s="337"/>
      <c r="D83" s="337"/>
      <c r="E83" s="337"/>
      <c r="F83" s="337"/>
      <c r="G83" s="337"/>
      <c r="H83" s="361"/>
      <c r="I83" s="337"/>
      <c r="J83" s="337"/>
      <c r="K83" s="337"/>
      <c r="L83" s="337"/>
      <c r="M83" s="337"/>
      <c r="N83" s="337"/>
      <c r="O83" s="337"/>
    </row>
    <row r="84" spans="1:15" x14ac:dyDescent="0.25">
      <c r="A84" s="336"/>
      <c r="B84" s="337"/>
      <c r="C84" s="337"/>
      <c r="D84" s="337"/>
      <c r="E84" s="337"/>
      <c r="F84" s="337"/>
      <c r="G84" s="337"/>
      <c r="H84" s="361"/>
      <c r="I84" s="337"/>
      <c r="J84" s="337"/>
      <c r="K84" s="337"/>
      <c r="L84" s="337"/>
      <c r="M84" s="337"/>
      <c r="N84" s="337"/>
      <c r="O84" s="337"/>
    </row>
    <row r="85" spans="1:15" x14ac:dyDescent="0.25">
      <c r="A85" s="336"/>
      <c r="B85" s="337"/>
      <c r="C85" s="337"/>
      <c r="D85" s="337"/>
      <c r="E85" s="337"/>
      <c r="F85" s="337"/>
      <c r="G85" s="337"/>
      <c r="H85" s="361"/>
      <c r="I85" s="337"/>
      <c r="J85" s="337"/>
      <c r="K85" s="337"/>
      <c r="L85" s="337"/>
      <c r="M85" s="337"/>
      <c r="N85" s="337"/>
      <c r="O85" s="337"/>
    </row>
    <row r="86" spans="1:15" x14ac:dyDescent="0.25">
      <c r="A86" s="336"/>
      <c r="B86" s="337"/>
      <c r="C86" s="337"/>
      <c r="D86" s="337"/>
      <c r="E86" s="337"/>
      <c r="F86" s="337"/>
      <c r="G86" s="337"/>
      <c r="H86" s="361"/>
      <c r="I86" s="337"/>
      <c r="J86" s="337"/>
      <c r="K86" s="337"/>
      <c r="L86" s="337"/>
      <c r="M86" s="337"/>
      <c r="N86" s="337"/>
      <c r="O86" s="337"/>
    </row>
    <row r="87" spans="1:15" x14ac:dyDescent="0.25">
      <c r="A87" s="336"/>
      <c r="B87" s="337"/>
      <c r="C87" s="337"/>
      <c r="D87" s="337"/>
      <c r="E87" s="337"/>
      <c r="F87" s="337"/>
      <c r="G87" s="337"/>
      <c r="H87" s="361"/>
      <c r="I87" s="337"/>
      <c r="J87" s="337"/>
      <c r="K87" s="337"/>
      <c r="L87" s="337"/>
      <c r="M87" s="337"/>
      <c r="N87" s="337"/>
      <c r="O87" s="337"/>
    </row>
    <row r="88" spans="1:15" x14ac:dyDescent="0.25">
      <c r="A88" s="336"/>
      <c r="B88" s="337"/>
      <c r="C88" s="337"/>
      <c r="D88" s="337"/>
      <c r="E88" s="337"/>
      <c r="F88" s="337"/>
      <c r="G88" s="337"/>
      <c r="H88" s="361"/>
      <c r="I88" s="337"/>
      <c r="J88" s="337"/>
      <c r="K88" s="337"/>
      <c r="L88" s="337"/>
      <c r="M88" s="337"/>
      <c r="N88" s="337"/>
      <c r="O88" s="337"/>
    </row>
    <row r="89" spans="1:15" x14ac:dyDescent="0.25">
      <c r="A89" s="336"/>
      <c r="B89" s="337"/>
      <c r="C89" s="337"/>
      <c r="D89" s="337"/>
      <c r="E89" s="337"/>
      <c r="F89" s="337"/>
      <c r="G89" s="337"/>
      <c r="H89" s="361"/>
      <c r="I89" s="337"/>
      <c r="J89" s="337"/>
      <c r="K89" s="337"/>
      <c r="L89" s="337"/>
      <c r="M89" s="337"/>
      <c r="N89" s="337"/>
      <c r="O89" s="337"/>
    </row>
    <row r="90" spans="1:15" x14ac:dyDescent="0.25">
      <c r="A90" s="336"/>
      <c r="B90" s="337"/>
      <c r="C90" s="337"/>
      <c r="D90" s="337"/>
      <c r="E90" s="337"/>
      <c r="F90" s="337"/>
      <c r="G90" s="337"/>
      <c r="H90" s="361"/>
      <c r="I90" s="337"/>
      <c r="J90" s="337"/>
      <c r="K90" s="337"/>
      <c r="L90" s="337"/>
      <c r="M90" s="337"/>
      <c r="N90" s="337"/>
      <c r="O90" s="337"/>
    </row>
    <row r="91" spans="1:15" x14ac:dyDescent="0.25">
      <c r="A91" s="336"/>
      <c r="B91" s="337"/>
      <c r="C91" s="337"/>
      <c r="D91" s="337"/>
      <c r="E91" s="337"/>
      <c r="F91" s="337"/>
      <c r="G91" s="337"/>
      <c r="H91" s="361"/>
      <c r="I91" s="337"/>
      <c r="J91" s="337"/>
      <c r="K91" s="337"/>
      <c r="L91" s="337"/>
      <c r="M91" s="337"/>
      <c r="N91" s="337"/>
      <c r="O91" s="337"/>
    </row>
    <row r="92" spans="1:15" x14ac:dyDescent="0.25">
      <c r="A92" s="336"/>
      <c r="B92" s="337"/>
      <c r="C92" s="337"/>
      <c r="D92" s="337"/>
      <c r="E92" s="337"/>
      <c r="F92" s="337"/>
      <c r="G92" s="337"/>
      <c r="H92" s="361"/>
      <c r="I92" s="337"/>
      <c r="J92" s="337"/>
      <c r="K92" s="337"/>
      <c r="L92" s="337"/>
      <c r="M92" s="337"/>
      <c r="N92" s="337"/>
      <c r="O92" s="337"/>
    </row>
    <row r="93" spans="1:15" x14ac:dyDescent="0.25">
      <c r="A93" s="336"/>
      <c r="B93" s="337"/>
      <c r="C93" s="337"/>
      <c r="D93" s="337"/>
      <c r="E93" s="337"/>
      <c r="F93" s="337"/>
      <c r="G93" s="337"/>
      <c r="H93" s="361"/>
      <c r="I93" s="337"/>
      <c r="J93" s="337"/>
      <c r="K93" s="337"/>
      <c r="L93" s="337"/>
      <c r="M93" s="337"/>
      <c r="N93" s="337"/>
      <c r="O93" s="337"/>
    </row>
    <row r="94" spans="1:15" x14ac:dyDescent="0.25">
      <c r="A94" s="336"/>
      <c r="B94" s="337"/>
      <c r="C94" s="337"/>
      <c r="D94" s="337"/>
      <c r="E94" s="337"/>
      <c r="F94" s="337"/>
      <c r="G94" s="337"/>
      <c r="H94" s="361"/>
      <c r="I94" s="337"/>
      <c r="J94" s="337"/>
      <c r="K94" s="337"/>
      <c r="L94" s="337"/>
      <c r="M94" s="337"/>
      <c r="N94" s="337"/>
      <c r="O94" s="337"/>
    </row>
    <row r="95" spans="1:15" x14ac:dyDescent="0.25">
      <c r="A95" s="336"/>
      <c r="B95" s="337"/>
      <c r="C95" s="337"/>
      <c r="D95" s="337"/>
      <c r="E95" s="337"/>
      <c r="F95" s="337"/>
      <c r="G95" s="337"/>
      <c r="H95" s="361"/>
      <c r="I95" s="337"/>
      <c r="J95" s="337"/>
      <c r="K95" s="337"/>
      <c r="L95" s="337"/>
      <c r="M95" s="337"/>
      <c r="N95" s="337"/>
      <c r="O95" s="337"/>
    </row>
    <row r="96" spans="1:15" x14ac:dyDescent="0.25">
      <c r="A96" s="336"/>
      <c r="B96" s="337"/>
      <c r="C96" s="337"/>
      <c r="D96" s="337"/>
      <c r="E96" s="337"/>
      <c r="F96" s="337"/>
      <c r="G96" s="337"/>
      <c r="H96" s="361"/>
      <c r="I96" s="337"/>
      <c r="J96" s="337"/>
      <c r="K96" s="337"/>
      <c r="L96" s="337"/>
      <c r="M96" s="337"/>
      <c r="N96" s="337"/>
      <c r="O96" s="337"/>
    </row>
    <row r="97" spans="1:15" x14ac:dyDescent="0.25">
      <c r="A97" s="336"/>
      <c r="B97" s="337"/>
      <c r="C97" s="337"/>
      <c r="D97" s="337"/>
      <c r="E97" s="337"/>
      <c r="F97" s="337"/>
      <c r="G97" s="337"/>
      <c r="H97" s="361"/>
      <c r="I97" s="337"/>
      <c r="J97" s="337"/>
      <c r="K97" s="337"/>
      <c r="L97" s="337"/>
      <c r="M97" s="337"/>
      <c r="N97" s="337"/>
      <c r="O97" s="337"/>
    </row>
    <row r="98" spans="1:15" x14ac:dyDescent="0.25">
      <c r="A98" s="336"/>
      <c r="B98" s="337"/>
      <c r="C98" s="337"/>
      <c r="D98" s="337"/>
      <c r="E98" s="337"/>
      <c r="F98" s="337"/>
      <c r="G98" s="337"/>
      <c r="H98" s="361"/>
      <c r="I98" s="337"/>
      <c r="J98" s="337"/>
      <c r="K98" s="337"/>
      <c r="L98" s="337"/>
      <c r="M98" s="337"/>
      <c r="N98" s="337"/>
      <c r="O98" s="337"/>
    </row>
    <row r="99" spans="1:15" x14ac:dyDescent="0.25">
      <c r="A99" s="336"/>
      <c r="B99" s="337"/>
      <c r="C99" s="337"/>
      <c r="D99" s="337"/>
      <c r="E99" s="337"/>
      <c r="F99" s="337"/>
      <c r="G99" s="337"/>
      <c r="H99" s="361"/>
      <c r="I99" s="337"/>
      <c r="J99" s="337"/>
      <c r="K99" s="337"/>
      <c r="L99" s="337"/>
      <c r="M99" s="337"/>
      <c r="N99" s="337"/>
      <c r="O99" s="337"/>
    </row>
    <row r="100" spans="1:15" x14ac:dyDescent="0.25">
      <c r="A100" s="336"/>
      <c r="B100" s="337"/>
      <c r="C100" s="337"/>
      <c r="D100" s="337"/>
      <c r="E100" s="337"/>
      <c r="F100" s="337"/>
      <c r="G100" s="337"/>
      <c r="H100" s="361"/>
      <c r="I100" s="337"/>
      <c r="J100" s="337"/>
      <c r="K100" s="337"/>
      <c r="L100" s="337"/>
      <c r="M100" s="337"/>
      <c r="N100" s="337"/>
      <c r="O100" s="337"/>
    </row>
    <row r="101" spans="1:15" x14ac:dyDescent="0.25">
      <c r="A101" s="336"/>
      <c r="B101" s="337"/>
      <c r="C101" s="337"/>
      <c r="D101" s="337"/>
      <c r="E101" s="337"/>
      <c r="F101" s="337"/>
      <c r="G101" s="337"/>
      <c r="H101" s="361"/>
      <c r="I101" s="337"/>
      <c r="J101" s="337"/>
      <c r="K101" s="337"/>
      <c r="L101" s="337"/>
      <c r="M101" s="337"/>
      <c r="N101" s="337"/>
      <c r="O101" s="337"/>
    </row>
    <row r="102" spans="1:15" x14ac:dyDescent="0.25">
      <c r="A102" s="336"/>
      <c r="B102" s="337"/>
      <c r="C102" s="337"/>
      <c r="D102" s="337"/>
      <c r="E102" s="337"/>
      <c r="F102" s="337"/>
      <c r="G102" s="337"/>
      <c r="H102" s="361"/>
      <c r="I102" s="337"/>
      <c r="J102" s="337"/>
      <c r="K102" s="337"/>
      <c r="L102" s="337"/>
      <c r="M102" s="337"/>
      <c r="N102" s="337"/>
      <c r="O102" s="337"/>
    </row>
    <row r="103" spans="1:15" x14ac:dyDescent="0.25">
      <c r="A103" s="336"/>
      <c r="B103" s="337"/>
      <c r="C103" s="337"/>
      <c r="D103" s="337"/>
      <c r="E103" s="337"/>
      <c r="F103" s="337"/>
      <c r="G103" s="337"/>
      <c r="H103" s="361"/>
      <c r="I103" s="337"/>
      <c r="J103" s="337"/>
      <c r="K103" s="337"/>
      <c r="L103" s="337"/>
      <c r="M103" s="337"/>
      <c r="N103" s="337"/>
      <c r="O103" s="337"/>
    </row>
    <row r="104" spans="1:15" x14ac:dyDescent="0.25">
      <c r="A104" s="336"/>
      <c r="B104" s="337"/>
      <c r="C104" s="337"/>
      <c r="D104" s="337"/>
      <c r="E104" s="337"/>
      <c r="F104" s="337"/>
      <c r="G104" s="337"/>
      <c r="H104" s="361"/>
      <c r="I104" s="337"/>
      <c r="J104" s="337"/>
      <c r="K104" s="337"/>
      <c r="L104" s="337"/>
      <c r="M104" s="337"/>
      <c r="N104" s="337"/>
      <c r="O104" s="337"/>
    </row>
    <row r="105" spans="1:15" x14ac:dyDescent="0.25">
      <c r="A105" s="336"/>
      <c r="B105" s="337"/>
      <c r="C105" s="337"/>
      <c r="D105" s="337"/>
      <c r="E105" s="337"/>
      <c r="F105" s="337"/>
      <c r="G105" s="337"/>
      <c r="H105" s="361"/>
      <c r="I105" s="337"/>
      <c r="J105" s="337"/>
      <c r="K105" s="337"/>
      <c r="L105" s="337"/>
      <c r="M105" s="337"/>
      <c r="N105" s="337"/>
      <c r="O105" s="337"/>
    </row>
    <row r="106" spans="1:15" x14ac:dyDescent="0.25">
      <c r="A106" s="336"/>
      <c r="B106" s="337"/>
      <c r="C106" s="337"/>
      <c r="D106" s="337"/>
      <c r="E106" s="337"/>
      <c r="F106" s="337"/>
      <c r="G106" s="337"/>
      <c r="H106" s="361"/>
      <c r="I106" s="337"/>
      <c r="J106" s="337"/>
      <c r="K106" s="337"/>
      <c r="L106" s="337"/>
      <c r="M106" s="337"/>
      <c r="N106" s="337"/>
      <c r="O106" s="337"/>
    </row>
    <row r="107" spans="1:15" x14ac:dyDescent="0.25">
      <c r="A107" s="336"/>
      <c r="B107" s="337"/>
      <c r="C107" s="337"/>
      <c r="D107" s="337"/>
      <c r="E107" s="337"/>
      <c r="F107" s="337"/>
      <c r="G107" s="337"/>
      <c r="H107" s="361"/>
      <c r="I107" s="337"/>
      <c r="J107" s="337"/>
      <c r="K107" s="337"/>
      <c r="L107" s="337"/>
      <c r="M107" s="337"/>
      <c r="N107" s="337"/>
      <c r="O107" s="337"/>
    </row>
    <row r="108" spans="1:15" x14ac:dyDescent="0.25">
      <c r="A108" s="336"/>
      <c r="B108" s="337"/>
      <c r="C108" s="337"/>
      <c r="D108" s="337"/>
      <c r="E108" s="337"/>
      <c r="F108" s="337"/>
      <c r="G108" s="337"/>
      <c r="H108" s="361"/>
      <c r="I108" s="337"/>
      <c r="J108" s="337"/>
      <c r="K108" s="337"/>
      <c r="L108" s="337"/>
      <c r="M108" s="337"/>
      <c r="N108" s="337"/>
      <c r="O108" s="337"/>
    </row>
    <row r="109" spans="1:15" x14ac:dyDescent="0.25">
      <c r="A109" s="336"/>
      <c r="B109" s="337"/>
      <c r="C109" s="337"/>
      <c r="D109" s="337"/>
      <c r="E109" s="337"/>
      <c r="F109" s="337"/>
      <c r="G109" s="337"/>
      <c r="H109" s="361"/>
      <c r="I109" s="337"/>
      <c r="J109" s="337"/>
      <c r="K109" s="337"/>
      <c r="L109" s="337"/>
      <c r="M109" s="337"/>
      <c r="N109" s="337"/>
      <c r="O109" s="337"/>
    </row>
    <row r="110" spans="1:15" x14ac:dyDescent="0.25">
      <c r="A110" s="336"/>
      <c r="B110" s="337"/>
      <c r="C110" s="337"/>
      <c r="D110" s="337"/>
      <c r="E110" s="337"/>
      <c r="F110" s="337"/>
      <c r="G110" s="337"/>
      <c r="H110" s="361"/>
      <c r="I110" s="337"/>
      <c r="J110" s="337"/>
      <c r="K110" s="337"/>
      <c r="L110" s="337"/>
      <c r="M110" s="337"/>
      <c r="N110" s="337"/>
      <c r="O110" s="337"/>
    </row>
    <row r="111" spans="1:15" x14ac:dyDescent="0.25">
      <c r="A111" s="336"/>
      <c r="B111" s="337"/>
      <c r="C111" s="337"/>
      <c r="D111" s="337"/>
      <c r="E111" s="337"/>
      <c r="F111" s="337"/>
      <c r="G111" s="337"/>
      <c r="H111" s="361"/>
      <c r="I111" s="337"/>
      <c r="J111" s="337"/>
      <c r="K111" s="337"/>
      <c r="L111" s="337"/>
      <c r="M111" s="337"/>
      <c r="N111" s="337"/>
      <c r="O111" s="337"/>
    </row>
    <row r="112" spans="1:15" x14ac:dyDescent="0.25">
      <c r="A112" s="336"/>
      <c r="B112" s="337"/>
      <c r="C112" s="337"/>
      <c r="D112" s="337"/>
      <c r="E112" s="337"/>
      <c r="F112" s="337"/>
      <c r="G112" s="337"/>
      <c r="H112" s="361"/>
      <c r="I112" s="337"/>
      <c r="J112" s="337"/>
      <c r="K112" s="337"/>
      <c r="L112" s="337"/>
      <c r="M112" s="337"/>
      <c r="N112" s="337"/>
      <c r="O112" s="337"/>
    </row>
    <row r="113" spans="1:15" x14ac:dyDescent="0.25">
      <c r="A113" s="336"/>
      <c r="B113" s="337"/>
      <c r="C113" s="337"/>
      <c r="D113" s="337"/>
      <c r="E113" s="337"/>
      <c r="F113" s="337"/>
      <c r="G113" s="337"/>
      <c r="H113" s="361"/>
      <c r="I113" s="337"/>
      <c r="J113" s="337"/>
      <c r="K113" s="337"/>
      <c r="L113" s="337"/>
      <c r="M113" s="337"/>
      <c r="N113" s="337"/>
      <c r="O113" s="337"/>
    </row>
    <row r="114" spans="1:15" x14ac:dyDescent="0.25">
      <c r="A114" s="336"/>
      <c r="B114" s="337"/>
      <c r="C114" s="337"/>
      <c r="D114" s="337"/>
      <c r="E114" s="337"/>
      <c r="F114" s="337"/>
      <c r="G114" s="337"/>
      <c r="H114" s="361"/>
      <c r="I114" s="337"/>
      <c r="J114" s="337"/>
      <c r="K114" s="337"/>
      <c r="L114" s="337"/>
      <c r="M114" s="337"/>
      <c r="N114" s="337"/>
      <c r="O114" s="337"/>
    </row>
    <row r="115" spans="1:15" x14ac:dyDescent="0.25">
      <c r="A115" s="336"/>
      <c r="B115" s="337"/>
      <c r="C115" s="337"/>
      <c r="D115" s="337"/>
      <c r="E115" s="337"/>
      <c r="F115" s="337"/>
      <c r="G115" s="337"/>
      <c r="H115" s="361"/>
      <c r="I115" s="337"/>
      <c r="J115" s="337"/>
      <c r="K115" s="337"/>
      <c r="L115" s="337"/>
      <c r="M115" s="337"/>
      <c r="N115" s="337"/>
      <c r="O115" s="337"/>
    </row>
    <row r="116" spans="1:15" x14ac:dyDescent="0.25">
      <c r="A116" s="336"/>
      <c r="B116" s="337"/>
      <c r="C116" s="337"/>
      <c r="D116" s="337"/>
      <c r="E116" s="337"/>
      <c r="F116" s="337"/>
      <c r="G116" s="337"/>
      <c r="H116" s="361"/>
      <c r="I116" s="337"/>
      <c r="J116" s="337"/>
      <c r="K116" s="337"/>
      <c r="L116" s="337"/>
      <c r="M116" s="337"/>
      <c r="N116" s="337"/>
      <c r="O116" s="337"/>
    </row>
    <row r="117" spans="1:15" x14ac:dyDescent="0.25">
      <c r="A117" s="336"/>
      <c r="B117" s="337"/>
      <c r="C117" s="337"/>
      <c r="D117" s="337"/>
      <c r="E117" s="337"/>
      <c r="F117" s="337"/>
      <c r="G117" s="337"/>
      <c r="H117" s="361"/>
      <c r="I117" s="337"/>
      <c r="J117" s="337"/>
      <c r="K117" s="337"/>
      <c r="L117" s="337"/>
      <c r="M117" s="337"/>
      <c r="N117" s="337"/>
      <c r="O117" s="337"/>
    </row>
    <row r="118" spans="1:15" x14ac:dyDescent="0.25">
      <c r="A118" s="336"/>
      <c r="B118" s="337"/>
      <c r="C118" s="337"/>
      <c r="D118" s="337"/>
      <c r="E118" s="337"/>
      <c r="F118" s="337"/>
      <c r="G118" s="337"/>
      <c r="H118" s="361"/>
      <c r="I118" s="337"/>
      <c r="J118" s="337"/>
      <c r="K118" s="337"/>
      <c r="L118" s="337"/>
      <c r="M118" s="337"/>
      <c r="N118" s="337"/>
      <c r="O118" s="337"/>
    </row>
    <row r="119" spans="1:15" x14ac:dyDescent="0.25">
      <c r="A119" s="336"/>
      <c r="B119" s="337"/>
      <c r="C119" s="337"/>
      <c r="D119" s="337"/>
      <c r="E119" s="337"/>
      <c r="F119" s="337"/>
      <c r="G119" s="337"/>
      <c r="H119" s="361"/>
      <c r="I119" s="337"/>
      <c r="J119" s="337"/>
      <c r="K119" s="337"/>
      <c r="L119" s="337"/>
      <c r="M119" s="337"/>
      <c r="N119" s="337"/>
      <c r="O119" s="337"/>
    </row>
    <row r="120" spans="1:15" x14ac:dyDescent="0.25">
      <c r="A120" s="336"/>
      <c r="B120" s="337"/>
      <c r="C120" s="337"/>
      <c r="D120" s="337"/>
      <c r="E120" s="337"/>
      <c r="F120" s="337"/>
      <c r="G120" s="337"/>
      <c r="H120" s="361"/>
      <c r="I120" s="337"/>
      <c r="J120" s="337"/>
      <c r="K120" s="337"/>
      <c r="L120" s="337"/>
      <c r="M120" s="337"/>
      <c r="N120" s="337"/>
      <c r="O120" s="337"/>
    </row>
    <row r="121" spans="1:15" x14ac:dyDescent="0.25">
      <c r="A121" s="336"/>
      <c r="B121" s="337"/>
      <c r="C121" s="337"/>
      <c r="D121" s="337"/>
      <c r="E121" s="337"/>
      <c r="F121" s="337"/>
      <c r="G121" s="337"/>
      <c r="H121" s="361"/>
      <c r="I121" s="337"/>
      <c r="J121" s="337"/>
      <c r="K121" s="337"/>
      <c r="L121" s="337"/>
      <c r="M121" s="337"/>
      <c r="N121" s="337"/>
      <c r="O121" s="337"/>
    </row>
    <row r="122" spans="1:15" x14ac:dyDescent="0.25">
      <c r="A122" s="336"/>
      <c r="B122" s="337"/>
      <c r="C122" s="337"/>
      <c r="D122" s="337"/>
      <c r="E122" s="337"/>
      <c r="F122" s="337"/>
      <c r="G122" s="337"/>
      <c r="H122" s="361"/>
      <c r="I122" s="337"/>
      <c r="J122" s="337"/>
      <c r="K122" s="337"/>
      <c r="L122" s="337"/>
      <c r="M122" s="337"/>
      <c r="N122" s="337"/>
      <c r="O122" s="337"/>
    </row>
    <row r="123" spans="1:15" x14ac:dyDescent="0.25">
      <c r="A123" s="336"/>
      <c r="B123" s="337"/>
      <c r="C123" s="337"/>
      <c r="D123" s="337"/>
      <c r="E123" s="337"/>
      <c r="F123" s="337"/>
      <c r="G123" s="337"/>
      <c r="H123" s="361"/>
      <c r="I123" s="337"/>
      <c r="J123" s="337"/>
      <c r="K123" s="337"/>
      <c r="L123" s="337"/>
      <c r="M123" s="337"/>
      <c r="N123" s="337"/>
      <c r="O123" s="337"/>
    </row>
  </sheetData>
  <mergeCells count="9">
    <mergeCell ref="L8:L9"/>
    <mergeCell ref="M8:M9"/>
    <mergeCell ref="N8:N9"/>
    <mergeCell ref="B8:C8"/>
    <mergeCell ref="D8:F8"/>
    <mergeCell ref="H8:H9"/>
    <mergeCell ref="I8:I9"/>
    <mergeCell ref="J8:J9"/>
    <mergeCell ref="K8:K9"/>
  </mergeCells>
  <pageMargins left="0.4" right="0.36" top="0.45" bottom="0.55000000000000004" header="0.3" footer="0.3"/>
  <pageSetup scale="65" fitToWidth="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123"/>
  <sheetViews>
    <sheetView showGridLines="0" zoomScale="90" zoomScaleNormal="9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5" x14ac:dyDescent="0.25"/>
  <cols>
    <col min="1" max="1" width="6.140625" style="364" customWidth="1"/>
    <col min="2" max="3" width="10.28515625" style="339" customWidth="1"/>
    <col min="4" max="6" width="7.7109375" style="339" customWidth="1"/>
    <col min="7" max="8" width="7.7109375" style="341" customWidth="1"/>
    <col min="9" max="9" width="14.28515625" style="339" customWidth="1"/>
    <col min="10" max="10" width="12.5703125" style="339" customWidth="1"/>
    <col min="11" max="11" width="11.5703125" style="339" customWidth="1"/>
    <col min="12" max="12" width="11.140625" style="339" customWidth="1"/>
    <col min="13" max="13" width="10.140625" style="339" customWidth="1"/>
    <col min="14" max="14" width="12.5703125" style="339" customWidth="1"/>
    <col min="15" max="15" width="18.85546875" style="339" customWidth="1"/>
    <col min="16" max="16384" width="9.140625" style="339"/>
  </cols>
  <sheetData>
    <row r="1" spans="1:18" x14ac:dyDescent="0.25">
      <c r="A1" s="336"/>
      <c r="B1" s="337"/>
      <c r="C1" s="337"/>
      <c r="D1" s="337"/>
      <c r="E1" s="337"/>
      <c r="F1" s="337"/>
      <c r="G1" s="338"/>
      <c r="H1" s="338"/>
      <c r="I1" s="337"/>
      <c r="J1" s="337"/>
      <c r="K1" s="337"/>
      <c r="L1" s="337"/>
      <c r="M1" s="337"/>
      <c r="N1" s="337"/>
      <c r="O1" s="337"/>
      <c r="P1" s="337"/>
      <c r="Q1" s="337"/>
      <c r="R1" s="337"/>
    </row>
    <row r="2" spans="1:18" x14ac:dyDescent="0.25">
      <c r="A2" s="336"/>
      <c r="B2" s="337"/>
      <c r="C2" s="337"/>
      <c r="D2" s="337"/>
      <c r="E2" s="337"/>
      <c r="F2" s="337"/>
      <c r="G2" s="338"/>
      <c r="H2" s="338"/>
      <c r="I2" s="337"/>
      <c r="J2" s="337"/>
      <c r="K2" s="337"/>
      <c r="L2" s="337"/>
      <c r="M2" s="337"/>
      <c r="N2" s="337"/>
      <c r="O2" s="337"/>
      <c r="P2" s="337"/>
      <c r="Q2" s="337"/>
      <c r="R2" s="337"/>
    </row>
    <row r="3" spans="1:18" x14ac:dyDescent="0.25">
      <c r="A3" s="336"/>
      <c r="B3" s="337"/>
      <c r="C3" s="337"/>
      <c r="D3" s="337"/>
      <c r="E3" s="337"/>
      <c r="F3" s="337"/>
      <c r="G3" s="338"/>
      <c r="H3" s="338"/>
      <c r="I3" s="337"/>
      <c r="J3" s="337"/>
      <c r="K3" s="337"/>
      <c r="L3" s="337"/>
      <c r="M3" s="337"/>
      <c r="N3" s="337"/>
      <c r="O3" s="337"/>
      <c r="P3" s="337"/>
      <c r="Q3" s="337"/>
      <c r="R3" s="337"/>
    </row>
    <row r="4" spans="1:18" x14ac:dyDescent="0.25">
      <c r="A4" s="336"/>
      <c r="B4" s="337"/>
      <c r="C4" s="337"/>
      <c r="D4" s="337"/>
      <c r="E4" s="337"/>
      <c r="F4" s="337"/>
      <c r="G4" s="338"/>
      <c r="H4" s="338"/>
      <c r="I4" s="337"/>
      <c r="J4" s="337"/>
      <c r="K4" s="337"/>
      <c r="L4" s="337"/>
      <c r="M4" s="337"/>
      <c r="N4" s="337"/>
      <c r="O4" s="337"/>
      <c r="P4" s="337"/>
      <c r="Q4" s="337"/>
      <c r="R4" s="337"/>
    </row>
    <row r="5" spans="1:18" ht="20.25" x14ac:dyDescent="0.3">
      <c r="A5" s="340" t="s">
        <v>182</v>
      </c>
      <c r="B5" s="337"/>
      <c r="C5" s="337"/>
      <c r="D5" s="337"/>
      <c r="E5" s="337"/>
      <c r="F5" s="337"/>
      <c r="G5" s="338"/>
      <c r="H5" s="338"/>
      <c r="I5" s="337"/>
      <c r="J5" s="337"/>
      <c r="K5" s="337"/>
      <c r="L5" s="337"/>
      <c r="M5" s="337"/>
      <c r="N5" s="337"/>
      <c r="O5" s="337"/>
      <c r="P5" s="337"/>
      <c r="Q5" s="337"/>
      <c r="R5" s="337"/>
    </row>
    <row r="6" spans="1:18" ht="20.25" x14ac:dyDescent="0.3">
      <c r="A6" s="340" t="s">
        <v>183</v>
      </c>
      <c r="B6" s="337"/>
      <c r="C6" s="337"/>
      <c r="D6" s="337"/>
      <c r="E6" s="337"/>
      <c r="F6" s="337"/>
      <c r="J6" s="337"/>
      <c r="K6" s="337"/>
      <c r="L6" s="337"/>
      <c r="M6" s="342" t="s">
        <v>184</v>
      </c>
      <c r="N6" s="342" t="s">
        <v>279</v>
      </c>
      <c r="O6" s="343">
        <v>2025</v>
      </c>
      <c r="P6" s="337"/>
      <c r="Q6" s="337"/>
      <c r="R6" s="337"/>
    </row>
    <row r="7" spans="1:18" ht="6.75" customHeight="1" thickBot="1" x14ac:dyDescent="0.35">
      <c r="A7" s="340"/>
      <c r="B7" s="337"/>
      <c r="C7" s="337"/>
      <c r="D7" s="337"/>
      <c r="E7" s="337"/>
      <c r="F7" s="337"/>
      <c r="J7" s="337"/>
      <c r="K7" s="337"/>
      <c r="L7" s="337"/>
      <c r="M7" s="337"/>
      <c r="N7" s="337"/>
      <c r="O7" s="337"/>
      <c r="P7" s="337"/>
      <c r="Q7" s="337"/>
      <c r="R7" s="337"/>
    </row>
    <row r="8" spans="1:18" ht="21" customHeight="1" thickBot="1" x14ac:dyDescent="0.35">
      <c r="A8" s="729" t="s">
        <v>185</v>
      </c>
      <c r="B8" s="730"/>
      <c r="C8" s="730"/>
      <c r="D8" s="730"/>
      <c r="E8" s="730"/>
      <c r="F8" s="730"/>
      <c r="G8" s="730"/>
      <c r="H8" s="731"/>
      <c r="I8" s="732" t="s">
        <v>186</v>
      </c>
      <c r="J8" s="734" t="s">
        <v>187</v>
      </c>
      <c r="K8" s="735"/>
      <c r="L8" s="735"/>
      <c r="M8" s="735"/>
      <c r="N8" s="736"/>
      <c r="O8" s="737" t="s">
        <v>188</v>
      </c>
      <c r="P8" s="337"/>
      <c r="Q8" s="337"/>
      <c r="R8" s="337"/>
    </row>
    <row r="9" spans="1:18" ht="29.25" thickBot="1" x14ac:dyDescent="0.3">
      <c r="A9" s="344" t="s">
        <v>189</v>
      </c>
      <c r="B9" s="345" t="s">
        <v>190</v>
      </c>
      <c r="C9" s="346" t="s">
        <v>191</v>
      </c>
      <c r="D9" s="347" t="s">
        <v>192</v>
      </c>
      <c r="E9" s="348" t="s">
        <v>193</v>
      </c>
      <c r="F9" s="349" t="s">
        <v>194</v>
      </c>
      <c r="G9" s="350" t="s">
        <v>195</v>
      </c>
      <c r="H9" s="351" t="s">
        <v>196</v>
      </c>
      <c r="I9" s="733"/>
      <c r="J9" s="352" t="s">
        <v>197</v>
      </c>
      <c r="K9" s="353" t="s">
        <v>198</v>
      </c>
      <c r="L9" s="354" t="s">
        <v>199</v>
      </c>
      <c r="M9" s="355" t="s">
        <v>200</v>
      </c>
      <c r="N9" s="356" t="s">
        <v>201</v>
      </c>
      <c r="O9" s="738"/>
      <c r="P9" s="337"/>
      <c r="Q9" s="337"/>
      <c r="R9" s="337"/>
    </row>
    <row r="10" spans="1:18" x14ac:dyDescent="0.25">
      <c r="A10" s="357">
        <v>1</v>
      </c>
      <c r="B10" s="368"/>
      <c r="C10" s="368"/>
      <c r="D10" s="368"/>
      <c r="E10" s="368"/>
      <c r="F10" s="368"/>
      <c r="G10" s="369"/>
      <c r="H10" s="369"/>
      <c r="I10" s="368"/>
      <c r="J10" s="370"/>
      <c r="K10" s="370"/>
      <c r="L10" s="369"/>
      <c r="M10" s="369"/>
      <c r="N10" s="369"/>
      <c r="O10" s="368"/>
      <c r="P10" s="337"/>
      <c r="Q10" s="337"/>
      <c r="R10" s="337"/>
    </row>
    <row r="11" spans="1:18" x14ac:dyDescent="0.25">
      <c r="A11" s="360">
        <v>2</v>
      </c>
      <c r="B11" s="368"/>
      <c r="C11" s="368"/>
      <c r="D11" s="368"/>
      <c r="E11" s="368"/>
      <c r="F11" s="368"/>
      <c r="G11" s="369"/>
      <c r="H11" s="369"/>
      <c r="I11" s="368"/>
      <c r="J11" s="370"/>
      <c r="K11" s="370"/>
      <c r="L11" s="369"/>
      <c r="M11" s="369"/>
      <c r="N11" s="369"/>
      <c r="O11" s="368"/>
      <c r="P11" s="337"/>
      <c r="Q11" s="337"/>
      <c r="R11" s="337"/>
    </row>
    <row r="12" spans="1:18" x14ac:dyDescent="0.25">
      <c r="A12" s="360">
        <v>3</v>
      </c>
      <c r="B12" s="368"/>
      <c r="C12" s="368"/>
      <c r="D12" s="368"/>
      <c r="E12" s="368"/>
      <c r="F12" s="368"/>
      <c r="G12" s="369"/>
      <c r="H12" s="369"/>
      <c r="I12" s="368"/>
      <c r="J12" s="370"/>
      <c r="K12" s="370"/>
      <c r="L12" s="369"/>
      <c r="M12" s="369"/>
      <c r="N12" s="369"/>
      <c r="O12" s="368"/>
      <c r="P12" s="337"/>
      <c r="Q12" s="337"/>
      <c r="R12" s="337"/>
    </row>
    <row r="13" spans="1:18" x14ac:dyDescent="0.25">
      <c r="A13" s="472">
        <v>4</v>
      </c>
      <c r="B13" s="368"/>
      <c r="C13" s="368"/>
      <c r="D13" s="368"/>
      <c r="E13" s="368"/>
      <c r="F13" s="368"/>
      <c r="G13" s="369"/>
      <c r="H13" s="369"/>
      <c r="I13" s="368"/>
      <c r="J13" s="370"/>
      <c r="K13" s="370"/>
      <c r="L13" s="369"/>
      <c r="M13" s="369"/>
      <c r="N13" s="369"/>
      <c r="O13" s="368"/>
      <c r="P13" s="337"/>
      <c r="Q13" s="337"/>
      <c r="R13" s="337"/>
    </row>
    <row r="14" spans="1:18" x14ac:dyDescent="0.25">
      <c r="A14" s="360">
        <v>5</v>
      </c>
      <c r="B14" s="368"/>
      <c r="C14" s="368"/>
      <c r="D14" s="368"/>
      <c r="E14" s="368"/>
      <c r="F14" s="368"/>
      <c r="G14" s="369"/>
      <c r="H14" s="369"/>
      <c r="I14" s="368"/>
      <c r="J14" s="370"/>
      <c r="K14" s="370"/>
      <c r="L14" s="369"/>
      <c r="M14" s="369"/>
      <c r="N14" s="369"/>
      <c r="O14" s="368"/>
      <c r="P14" s="337"/>
      <c r="Q14" s="337"/>
      <c r="R14" s="337"/>
    </row>
    <row r="15" spans="1:18" x14ac:dyDescent="0.25">
      <c r="A15" s="360">
        <v>6</v>
      </c>
      <c r="B15" s="368"/>
      <c r="C15" s="368"/>
      <c r="D15" s="368"/>
      <c r="E15" s="368"/>
      <c r="F15" s="368"/>
      <c r="G15" s="369"/>
      <c r="H15" s="369"/>
      <c r="I15" s="368"/>
      <c r="J15" s="370"/>
      <c r="K15" s="370"/>
      <c r="L15" s="369"/>
      <c r="M15" s="369"/>
      <c r="N15" s="369"/>
      <c r="O15" s="368"/>
      <c r="P15" s="337"/>
      <c r="Q15" s="337"/>
      <c r="R15" s="337"/>
    </row>
    <row r="16" spans="1:18" x14ac:dyDescent="0.25">
      <c r="A16" s="360">
        <v>7</v>
      </c>
      <c r="B16" s="368"/>
      <c r="C16" s="368"/>
      <c r="D16" s="368"/>
      <c r="E16" s="368"/>
      <c r="F16" s="368"/>
      <c r="G16" s="369"/>
      <c r="H16" s="369"/>
      <c r="I16" s="368"/>
      <c r="J16" s="370"/>
      <c r="K16" s="370"/>
      <c r="L16" s="369"/>
      <c r="M16" s="369"/>
      <c r="N16" s="369"/>
      <c r="O16" s="368"/>
      <c r="P16" s="361"/>
      <c r="Q16" s="337"/>
      <c r="R16" s="337"/>
    </row>
    <row r="17" spans="1:18" x14ac:dyDescent="0.25">
      <c r="A17" s="360">
        <v>8</v>
      </c>
      <c r="B17" s="368"/>
      <c r="C17" s="368"/>
      <c r="D17" s="368"/>
      <c r="E17" s="368"/>
      <c r="F17" s="368"/>
      <c r="G17" s="369"/>
      <c r="H17" s="369"/>
      <c r="I17" s="368"/>
      <c r="J17" s="370"/>
      <c r="K17" s="370"/>
      <c r="L17" s="369"/>
      <c r="M17" s="369"/>
      <c r="N17" s="369"/>
      <c r="O17" s="368"/>
      <c r="P17" s="337"/>
      <c r="Q17" s="337"/>
      <c r="R17" s="337"/>
    </row>
    <row r="18" spans="1:18" x14ac:dyDescent="0.25">
      <c r="A18" s="360">
        <v>9</v>
      </c>
      <c r="B18" s="368"/>
      <c r="C18" s="368"/>
      <c r="D18" s="368"/>
      <c r="E18" s="368"/>
      <c r="F18" s="368"/>
      <c r="G18" s="369"/>
      <c r="H18" s="369"/>
      <c r="I18" s="368"/>
      <c r="J18" s="370"/>
      <c r="K18" s="370"/>
      <c r="L18" s="369"/>
      <c r="M18" s="369"/>
      <c r="N18" s="369"/>
      <c r="O18" s="368"/>
      <c r="P18" s="337"/>
      <c r="Q18" s="337"/>
      <c r="R18" s="337"/>
    </row>
    <row r="19" spans="1:18" x14ac:dyDescent="0.25">
      <c r="A19" s="360">
        <v>10</v>
      </c>
      <c r="B19" s="368"/>
      <c r="C19" s="368"/>
      <c r="D19" s="368"/>
      <c r="E19" s="368"/>
      <c r="F19" s="368"/>
      <c r="G19" s="369"/>
      <c r="H19" s="369"/>
      <c r="I19" s="368"/>
      <c r="J19" s="370"/>
      <c r="K19" s="370"/>
      <c r="L19" s="369"/>
      <c r="M19" s="369"/>
      <c r="N19" s="369"/>
      <c r="O19" s="368"/>
      <c r="P19" s="337"/>
      <c r="Q19" s="337"/>
      <c r="R19" s="337"/>
    </row>
    <row r="20" spans="1:18" x14ac:dyDescent="0.25">
      <c r="A20" s="360">
        <v>11</v>
      </c>
      <c r="B20" s="368"/>
      <c r="C20" s="368"/>
      <c r="D20" s="368"/>
      <c r="E20" s="368"/>
      <c r="F20" s="368"/>
      <c r="G20" s="369"/>
      <c r="H20" s="369"/>
      <c r="I20" s="368"/>
      <c r="J20" s="370"/>
      <c r="K20" s="370"/>
      <c r="L20" s="369"/>
      <c r="M20" s="369"/>
      <c r="N20" s="369"/>
      <c r="O20" s="368"/>
      <c r="P20" s="337"/>
      <c r="Q20" s="337"/>
      <c r="R20" s="337"/>
    </row>
    <row r="21" spans="1:18" x14ac:dyDescent="0.25">
      <c r="A21" s="360">
        <v>12</v>
      </c>
      <c r="B21" s="368"/>
      <c r="C21" s="368"/>
      <c r="D21" s="368"/>
      <c r="E21" s="368"/>
      <c r="F21" s="368"/>
      <c r="G21" s="369"/>
      <c r="H21" s="369"/>
      <c r="I21" s="368"/>
      <c r="J21" s="370"/>
      <c r="K21" s="370"/>
      <c r="L21" s="369"/>
      <c r="M21" s="369"/>
      <c r="N21" s="369"/>
      <c r="O21" s="368"/>
      <c r="P21" s="337"/>
      <c r="Q21" s="337"/>
      <c r="R21" s="337"/>
    </row>
    <row r="22" spans="1:18" x14ac:dyDescent="0.25">
      <c r="A22" s="360">
        <v>13</v>
      </c>
      <c r="B22" s="368"/>
      <c r="C22" s="368"/>
      <c r="D22" s="368"/>
      <c r="E22" s="368"/>
      <c r="F22" s="368"/>
      <c r="G22" s="369"/>
      <c r="H22" s="369"/>
      <c r="I22" s="368"/>
      <c r="J22" s="370"/>
      <c r="K22" s="370"/>
      <c r="L22" s="369"/>
      <c r="M22" s="369"/>
      <c r="N22" s="369"/>
      <c r="O22" s="368"/>
      <c r="P22" s="337"/>
      <c r="Q22" s="337"/>
      <c r="R22" s="337"/>
    </row>
    <row r="23" spans="1:18" x14ac:dyDescent="0.25">
      <c r="A23" s="360">
        <v>14</v>
      </c>
      <c r="B23" s="368"/>
      <c r="C23" s="368"/>
      <c r="D23" s="368"/>
      <c r="E23" s="368"/>
      <c r="F23" s="368"/>
      <c r="G23" s="369"/>
      <c r="H23" s="369"/>
      <c r="I23" s="368"/>
      <c r="J23" s="370"/>
      <c r="K23" s="370"/>
      <c r="L23" s="369"/>
      <c r="M23" s="369"/>
      <c r="N23" s="369"/>
      <c r="O23" s="368"/>
      <c r="P23" s="337"/>
      <c r="Q23" s="337"/>
      <c r="R23" s="337"/>
    </row>
    <row r="24" spans="1:18" x14ac:dyDescent="0.25">
      <c r="A24" s="360">
        <v>15</v>
      </c>
      <c r="B24" s="368"/>
      <c r="C24" s="368"/>
      <c r="D24" s="368"/>
      <c r="E24" s="368"/>
      <c r="F24" s="368"/>
      <c r="G24" s="369"/>
      <c r="H24" s="369"/>
      <c r="I24" s="368"/>
      <c r="J24" s="370"/>
      <c r="K24" s="370"/>
      <c r="L24" s="369"/>
      <c r="M24" s="369"/>
      <c r="N24" s="369"/>
      <c r="O24" s="368"/>
      <c r="P24" s="337"/>
      <c r="Q24" s="337"/>
      <c r="R24" s="337"/>
    </row>
    <row r="25" spans="1:18" x14ac:dyDescent="0.25">
      <c r="A25" s="360">
        <v>16</v>
      </c>
      <c r="B25" s="368"/>
      <c r="C25" s="368"/>
      <c r="D25" s="368"/>
      <c r="E25" s="368"/>
      <c r="F25" s="368"/>
      <c r="G25" s="369"/>
      <c r="H25" s="369"/>
      <c r="I25" s="368"/>
      <c r="J25" s="370"/>
      <c r="K25" s="370"/>
      <c r="L25" s="369"/>
      <c r="M25" s="369"/>
      <c r="N25" s="369"/>
      <c r="O25" s="368"/>
      <c r="P25" s="337"/>
      <c r="Q25" s="337"/>
      <c r="R25" s="337"/>
    </row>
    <row r="26" spans="1:18" x14ac:dyDescent="0.25">
      <c r="A26" s="472">
        <v>17</v>
      </c>
      <c r="B26" s="368"/>
      <c r="C26" s="368"/>
      <c r="D26" s="368"/>
      <c r="E26" s="368"/>
      <c r="F26" s="368"/>
      <c r="G26" s="369"/>
      <c r="H26" s="369"/>
      <c r="I26" s="368"/>
      <c r="J26" s="370"/>
      <c r="K26" s="370"/>
      <c r="L26" s="369"/>
      <c r="M26" s="369"/>
      <c r="N26" s="369"/>
      <c r="O26" s="368"/>
      <c r="P26" s="337"/>
      <c r="Q26" s="337"/>
      <c r="R26" s="337"/>
    </row>
    <row r="27" spans="1:18" x14ac:dyDescent="0.25">
      <c r="A27" s="360">
        <v>18</v>
      </c>
      <c r="B27" s="368"/>
      <c r="C27" s="368"/>
      <c r="D27" s="368"/>
      <c r="E27" s="368"/>
      <c r="F27" s="368"/>
      <c r="G27" s="369"/>
      <c r="H27" s="369"/>
      <c r="I27" s="368"/>
      <c r="J27" s="370"/>
      <c r="K27" s="370"/>
      <c r="L27" s="369"/>
      <c r="M27" s="369"/>
      <c r="N27" s="369"/>
      <c r="O27" s="368"/>
      <c r="P27" s="337"/>
      <c r="Q27" s="337"/>
      <c r="R27" s="337"/>
    </row>
    <row r="28" spans="1:18" x14ac:dyDescent="0.25">
      <c r="A28" s="360">
        <v>19</v>
      </c>
      <c r="B28" s="368"/>
      <c r="C28" s="368"/>
      <c r="D28" s="368"/>
      <c r="E28" s="368"/>
      <c r="F28" s="368"/>
      <c r="G28" s="369"/>
      <c r="H28" s="369"/>
      <c r="I28" s="368"/>
      <c r="J28" s="370"/>
      <c r="K28" s="370"/>
      <c r="L28" s="369"/>
      <c r="M28" s="369"/>
      <c r="N28" s="369"/>
      <c r="O28" s="368"/>
      <c r="P28" s="337"/>
      <c r="Q28" s="337"/>
      <c r="R28" s="337"/>
    </row>
    <row r="29" spans="1:18" x14ac:dyDescent="0.25">
      <c r="A29" s="360">
        <v>20</v>
      </c>
      <c r="B29" s="368"/>
      <c r="C29" s="368"/>
      <c r="D29" s="368"/>
      <c r="E29" s="368"/>
      <c r="F29" s="368"/>
      <c r="G29" s="369"/>
      <c r="H29" s="369"/>
      <c r="I29" s="368"/>
      <c r="J29" s="370"/>
      <c r="K29" s="370"/>
      <c r="L29" s="369"/>
      <c r="M29" s="369"/>
      <c r="N29" s="369"/>
      <c r="O29" s="368"/>
      <c r="P29" s="337"/>
      <c r="Q29" s="337"/>
      <c r="R29" s="337"/>
    </row>
    <row r="30" spans="1:18" x14ac:dyDescent="0.25">
      <c r="A30" s="360">
        <v>21</v>
      </c>
      <c r="B30" s="368"/>
      <c r="C30" s="368"/>
      <c r="D30" s="368"/>
      <c r="E30" s="368"/>
      <c r="F30" s="368"/>
      <c r="G30" s="369"/>
      <c r="H30" s="369"/>
      <c r="I30" s="368"/>
      <c r="J30" s="370"/>
      <c r="K30" s="370"/>
      <c r="L30" s="369"/>
      <c r="M30" s="369"/>
      <c r="N30" s="369"/>
      <c r="O30" s="368"/>
      <c r="P30" s="337"/>
      <c r="Q30" s="337"/>
      <c r="R30" s="337"/>
    </row>
    <row r="31" spans="1:18" x14ac:dyDescent="0.25">
      <c r="A31" s="360">
        <v>22</v>
      </c>
      <c r="B31" s="368"/>
      <c r="C31" s="368"/>
      <c r="D31" s="368"/>
      <c r="E31" s="368"/>
      <c r="F31" s="368"/>
      <c r="G31" s="369"/>
      <c r="H31" s="369"/>
      <c r="I31" s="368"/>
      <c r="J31" s="370"/>
      <c r="K31" s="370"/>
      <c r="L31" s="369"/>
      <c r="M31" s="369"/>
      <c r="N31" s="369"/>
      <c r="O31" s="368"/>
      <c r="P31" s="337"/>
      <c r="Q31" s="337"/>
      <c r="R31" s="337"/>
    </row>
    <row r="32" spans="1:18" x14ac:dyDescent="0.25">
      <c r="A32" s="360">
        <v>23</v>
      </c>
      <c r="B32" s="368"/>
      <c r="C32" s="368"/>
      <c r="D32" s="368"/>
      <c r="E32" s="368"/>
      <c r="F32" s="368"/>
      <c r="G32" s="369"/>
      <c r="H32" s="369"/>
      <c r="I32" s="368"/>
      <c r="J32" s="370"/>
      <c r="K32" s="370"/>
      <c r="L32" s="369"/>
      <c r="M32" s="369"/>
      <c r="N32" s="369"/>
      <c r="O32" s="368"/>
      <c r="P32" s="362"/>
      <c r="Q32" s="337"/>
      <c r="R32" s="337"/>
    </row>
    <row r="33" spans="1:18" x14ac:dyDescent="0.25">
      <c r="A33" s="472">
        <v>24</v>
      </c>
      <c r="B33" s="368"/>
      <c r="C33" s="368"/>
      <c r="D33" s="368"/>
      <c r="E33" s="368"/>
      <c r="F33" s="368"/>
      <c r="G33" s="369"/>
      <c r="H33" s="369"/>
      <c r="I33" s="368"/>
      <c r="J33" s="370"/>
      <c r="K33" s="370"/>
      <c r="L33" s="369"/>
      <c r="M33" s="369"/>
      <c r="N33" s="369"/>
      <c r="O33" s="368"/>
      <c r="P33" s="739"/>
      <c r="Q33" s="740"/>
      <c r="R33" s="337"/>
    </row>
    <row r="34" spans="1:18" x14ac:dyDescent="0.25">
      <c r="A34" s="360">
        <v>25</v>
      </c>
      <c r="B34" s="368"/>
      <c r="C34" s="368"/>
      <c r="D34" s="368"/>
      <c r="E34" s="368"/>
      <c r="F34" s="368"/>
      <c r="G34" s="369"/>
      <c r="H34" s="369"/>
      <c r="I34" s="368"/>
      <c r="J34" s="370"/>
      <c r="K34" s="370"/>
      <c r="L34" s="369"/>
      <c r="M34" s="369"/>
      <c r="N34" s="369"/>
      <c r="O34" s="368"/>
      <c r="P34" s="337"/>
      <c r="Q34" s="337"/>
      <c r="R34" s="337"/>
    </row>
    <row r="35" spans="1:18" x14ac:dyDescent="0.25">
      <c r="A35" s="360">
        <v>26</v>
      </c>
      <c r="B35" s="368"/>
      <c r="C35" s="368"/>
      <c r="D35" s="368"/>
      <c r="E35" s="368"/>
      <c r="F35" s="368"/>
      <c r="G35" s="369"/>
      <c r="H35" s="369"/>
      <c r="I35" s="368"/>
      <c r="J35" s="370"/>
      <c r="K35" s="370"/>
      <c r="L35" s="369"/>
      <c r="M35" s="369"/>
      <c r="N35" s="369"/>
      <c r="O35" s="368"/>
      <c r="P35" s="337"/>
      <c r="Q35" s="337"/>
      <c r="R35" s="337"/>
    </row>
    <row r="36" spans="1:18" x14ac:dyDescent="0.25">
      <c r="A36" s="360">
        <v>27</v>
      </c>
      <c r="B36" s="368"/>
      <c r="C36" s="368"/>
      <c r="D36" s="368"/>
      <c r="E36" s="368"/>
      <c r="F36" s="368"/>
      <c r="G36" s="369"/>
      <c r="H36" s="369"/>
      <c r="I36" s="368"/>
      <c r="J36" s="370"/>
      <c r="K36" s="370"/>
      <c r="L36" s="369"/>
      <c r="M36" s="369"/>
      <c r="N36" s="369"/>
      <c r="O36" s="368"/>
      <c r="P36" s="337"/>
      <c r="Q36" s="337"/>
      <c r="R36" s="337"/>
    </row>
    <row r="37" spans="1:18" x14ac:dyDescent="0.25">
      <c r="A37" s="360">
        <v>28</v>
      </c>
      <c r="B37" s="368"/>
      <c r="C37" s="368"/>
      <c r="D37" s="368"/>
      <c r="E37" s="368"/>
      <c r="F37" s="368"/>
      <c r="G37" s="369"/>
      <c r="H37" s="369"/>
      <c r="I37" s="368"/>
      <c r="J37" s="370"/>
      <c r="K37" s="370"/>
      <c r="L37" s="369"/>
      <c r="M37" s="369"/>
      <c r="N37" s="369"/>
      <c r="O37" s="368"/>
      <c r="P37" s="337"/>
      <c r="Q37" s="337"/>
      <c r="R37" s="337"/>
    </row>
    <row r="38" spans="1:18" x14ac:dyDescent="0.25">
      <c r="A38" s="360">
        <v>29</v>
      </c>
      <c r="B38" s="368"/>
      <c r="C38" s="368"/>
      <c r="D38" s="368"/>
      <c r="E38" s="368"/>
      <c r="F38" s="368"/>
      <c r="G38" s="369"/>
      <c r="H38" s="369"/>
      <c r="I38" s="368"/>
      <c r="J38" s="370"/>
      <c r="K38" s="370"/>
      <c r="L38" s="369"/>
      <c r="M38" s="369"/>
      <c r="N38" s="369"/>
      <c r="O38" s="368"/>
      <c r="P38" s="337"/>
      <c r="Q38" s="337"/>
      <c r="R38" s="337"/>
    </row>
    <row r="39" spans="1:18" x14ac:dyDescent="0.25">
      <c r="A39" s="360">
        <v>30</v>
      </c>
      <c r="B39" s="368"/>
      <c r="C39" s="368"/>
      <c r="D39" s="368"/>
      <c r="E39" s="368"/>
      <c r="F39" s="368"/>
      <c r="G39" s="369"/>
      <c r="H39" s="369"/>
      <c r="I39" s="368"/>
      <c r="J39" s="370"/>
      <c r="K39" s="370"/>
      <c r="L39" s="369"/>
      <c r="M39" s="369"/>
      <c r="N39" s="369"/>
      <c r="O39" s="368"/>
      <c r="P39" s="337"/>
      <c r="Q39" s="337"/>
      <c r="R39" s="337"/>
    </row>
    <row r="40" spans="1:18" x14ac:dyDescent="0.25">
      <c r="A40" s="360">
        <v>31</v>
      </c>
      <c r="B40" s="368"/>
      <c r="C40" s="368"/>
      <c r="D40" s="368"/>
      <c r="E40" s="368"/>
      <c r="F40" s="368"/>
      <c r="G40" s="369"/>
      <c r="H40" s="369"/>
      <c r="I40" s="368"/>
      <c r="J40" s="370"/>
      <c r="K40" s="370"/>
      <c r="L40" s="369"/>
      <c r="M40" s="369"/>
      <c r="N40" s="369"/>
      <c r="O40" s="368"/>
      <c r="P40" s="337"/>
      <c r="Q40" s="337"/>
      <c r="R40" s="337"/>
    </row>
    <row r="41" spans="1:18" x14ac:dyDescent="0.25">
      <c r="A41" s="336"/>
      <c r="B41" s="337"/>
      <c r="C41" s="337"/>
      <c r="D41" s="338" t="e">
        <f>AVERAGE(D10:D40)</f>
        <v>#DIV/0!</v>
      </c>
      <c r="E41" s="337"/>
      <c r="F41" s="337"/>
      <c r="G41" s="338" t="e">
        <f>AVERAGE(G10:G40)</f>
        <v>#DIV/0!</v>
      </c>
      <c r="H41" s="338" t="e">
        <f>AVERAGE(H10:H40)</f>
        <v>#DIV/0!</v>
      </c>
      <c r="I41" s="363">
        <f>SUM(I10:I40)</f>
        <v>0</v>
      </c>
      <c r="J41" s="363">
        <f>SUM(J10:J40)</f>
        <v>0</v>
      </c>
      <c r="K41" s="363">
        <f>SUM(K10:K40)</f>
        <v>0</v>
      </c>
      <c r="L41" s="337"/>
      <c r="M41" s="337"/>
      <c r="N41" s="337"/>
      <c r="O41" s="337"/>
      <c r="P41" s="337"/>
      <c r="Q41" s="337"/>
      <c r="R41" s="337"/>
    </row>
    <row r="42" spans="1:18" x14ac:dyDescent="0.25">
      <c r="A42" s="336"/>
      <c r="B42" s="337"/>
      <c r="C42" s="337"/>
      <c r="D42" s="337"/>
      <c r="E42" s="337"/>
      <c r="F42" s="337"/>
      <c r="G42" s="338"/>
      <c r="H42" s="338"/>
      <c r="I42" s="337"/>
      <c r="J42" s="337"/>
      <c r="K42" s="337"/>
      <c r="L42" s="337"/>
      <c r="M42" s="337"/>
      <c r="N42" s="337"/>
      <c r="O42" s="337"/>
      <c r="P42" s="337"/>
      <c r="Q42" s="337"/>
      <c r="R42" s="337"/>
    </row>
    <row r="43" spans="1:18" x14ac:dyDescent="0.25">
      <c r="A43" s="336"/>
      <c r="B43" s="337"/>
      <c r="C43" s="337"/>
      <c r="D43" s="337"/>
      <c r="E43" s="337"/>
      <c r="F43" s="337"/>
      <c r="G43" s="338"/>
      <c r="H43" s="338"/>
      <c r="I43" s="337"/>
      <c r="J43" s="337"/>
      <c r="K43" s="337"/>
      <c r="L43" s="337"/>
      <c r="M43" s="337"/>
      <c r="N43" s="337"/>
      <c r="O43" s="337"/>
      <c r="P43" s="337"/>
      <c r="Q43" s="337"/>
      <c r="R43" s="337"/>
    </row>
    <row r="44" spans="1:18" x14ac:dyDescent="0.25">
      <c r="A44" s="336"/>
      <c r="B44" s="337"/>
      <c r="C44" s="337"/>
      <c r="D44" s="337"/>
      <c r="E44" s="337"/>
      <c r="F44" s="337"/>
      <c r="G44" s="338"/>
      <c r="H44" s="338"/>
      <c r="I44" s="337"/>
      <c r="J44" s="337"/>
      <c r="K44" s="337"/>
      <c r="L44" s="337"/>
      <c r="M44" s="337"/>
      <c r="N44" s="337"/>
      <c r="O44" s="337"/>
      <c r="P44" s="337"/>
      <c r="Q44" s="337"/>
      <c r="R44" s="337"/>
    </row>
    <row r="45" spans="1:18" x14ac:dyDescent="0.25">
      <c r="A45" s="336"/>
      <c r="B45" s="337"/>
      <c r="C45" s="337"/>
      <c r="D45" s="337"/>
      <c r="E45" s="337"/>
      <c r="F45" s="337"/>
      <c r="G45" s="338"/>
      <c r="H45" s="338"/>
      <c r="I45" s="337"/>
      <c r="J45" s="337"/>
      <c r="K45" s="337"/>
      <c r="L45" s="337"/>
      <c r="M45" s="337"/>
      <c r="N45" s="337"/>
      <c r="O45" s="337"/>
      <c r="P45" s="337"/>
      <c r="Q45" s="337"/>
      <c r="R45" s="337"/>
    </row>
    <row r="46" spans="1:18" x14ac:dyDescent="0.25">
      <c r="A46" s="336"/>
      <c r="B46" s="337"/>
      <c r="C46" s="337"/>
      <c r="D46" s="337"/>
      <c r="E46" s="337"/>
      <c r="F46" s="337"/>
      <c r="G46" s="338"/>
      <c r="H46" s="338"/>
      <c r="I46" s="337"/>
      <c r="J46" s="337"/>
      <c r="K46" s="337"/>
      <c r="L46" s="337"/>
      <c r="M46" s="337"/>
      <c r="N46" s="337"/>
      <c r="O46" s="337"/>
      <c r="P46" s="337"/>
      <c r="Q46" s="337"/>
      <c r="R46" s="337"/>
    </row>
    <row r="47" spans="1:18" x14ac:dyDescent="0.25">
      <c r="A47" s="336"/>
      <c r="B47" s="337"/>
      <c r="C47" s="337"/>
      <c r="D47" s="337"/>
      <c r="E47" s="337"/>
      <c r="F47" s="337"/>
      <c r="G47" s="338"/>
      <c r="H47" s="338"/>
      <c r="I47" s="337"/>
      <c r="J47" s="337"/>
      <c r="K47" s="337"/>
      <c r="L47" s="337"/>
      <c r="M47" s="337"/>
      <c r="N47" s="337"/>
      <c r="O47" s="337"/>
      <c r="P47" s="337"/>
      <c r="Q47" s="337"/>
      <c r="R47" s="337"/>
    </row>
    <row r="48" spans="1:18" x14ac:dyDescent="0.25">
      <c r="A48" s="336"/>
      <c r="B48" s="337"/>
      <c r="C48" s="337"/>
      <c r="D48" s="337"/>
      <c r="E48" s="337"/>
      <c r="F48" s="337"/>
      <c r="G48" s="338"/>
      <c r="H48" s="338"/>
      <c r="I48" s="337"/>
      <c r="J48" s="337"/>
      <c r="K48" s="337"/>
      <c r="L48" s="337"/>
      <c r="M48" s="337"/>
      <c r="N48" s="337"/>
      <c r="O48" s="337"/>
      <c r="P48" s="337"/>
      <c r="Q48" s="337"/>
      <c r="R48" s="337"/>
    </row>
    <row r="49" spans="1:18" x14ac:dyDescent="0.25">
      <c r="A49" s="336"/>
      <c r="B49" s="337"/>
      <c r="C49" s="337"/>
      <c r="D49" s="337"/>
      <c r="E49" s="337"/>
      <c r="F49" s="337"/>
      <c r="G49" s="338"/>
      <c r="H49" s="338"/>
      <c r="I49" s="337"/>
      <c r="J49" s="337"/>
      <c r="K49" s="337"/>
      <c r="L49" s="337"/>
      <c r="M49" s="337"/>
      <c r="N49" s="337"/>
      <c r="O49" s="337"/>
      <c r="P49" s="337"/>
      <c r="Q49" s="337"/>
      <c r="R49" s="337"/>
    </row>
    <row r="50" spans="1:18" x14ac:dyDescent="0.25">
      <c r="A50" s="336"/>
      <c r="B50" s="337"/>
      <c r="C50" s="337"/>
      <c r="D50" s="337"/>
      <c r="E50" s="337"/>
      <c r="F50" s="337"/>
      <c r="G50" s="338"/>
      <c r="H50" s="338"/>
      <c r="I50" s="337"/>
      <c r="J50" s="337"/>
      <c r="K50" s="337"/>
      <c r="L50" s="337"/>
      <c r="M50" s="337"/>
      <c r="N50" s="337"/>
      <c r="O50" s="337"/>
      <c r="P50" s="337"/>
      <c r="Q50" s="337"/>
      <c r="R50" s="337"/>
    </row>
    <row r="51" spans="1:18" x14ac:dyDescent="0.25">
      <c r="A51" s="336"/>
      <c r="B51" s="337"/>
      <c r="C51" s="337"/>
      <c r="D51" s="337"/>
      <c r="E51" s="337"/>
      <c r="F51" s="337"/>
      <c r="G51" s="338"/>
      <c r="H51" s="338"/>
      <c r="I51" s="337"/>
      <c r="J51" s="337"/>
      <c r="K51" s="337"/>
      <c r="L51" s="337"/>
      <c r="M51" s="337"/>
      <c r="N51" s="337"/>
      <c r="O51" s="337"/>
      <c r="P51" s="337"/>
      <c r="Q51" s="337"/>
      <c r="R51" s="337"/>
    </row>
    <row r="52" spans="1:18" x14ac:dyDescent="0.25">
      <c r="A52" s="336"/>
      <c r="B52" s="337"/>
      <c r="C52" s="337"/>
      <c r="D52" s="337"/>
      <c r="E52" s="337"/>
      <c r="F52" s="337"/>
      <c r="G52" s="338"/>
      <c r="H52" s="338"/>
      <c r="I52" s="337"/>
      <c r="J52" s="337"/>
      <c r="K52" s="337"/>
      <c r="L52" s="337"/>
      <c r="M52" s="337"/>
      <c r="N52" s="337"/>
      <c r="O52" s="337"/>
      <c r="P52" s="337"/>
      <c r="Q52" s="337"/>
      <c r="R52" s="337"/>
    </row>
    <row r="53" spans="1:18" x14ac:dyDescent="0.25">
      <c r="A53" s="336"/>
      <c r="B53" s="337"/>
      <c r="C53" s="337"/>
      <c r="D53" s="337"/>
      <c r="E53" s="337"/>
      <c r="F53" s="337"/>
      <c r="G53" s="338"/>
      <c r="H53" s="338"/>
      <c r="I53" s="337"/>
      <c r="J53" s="337"/>
      <c r="K53" s="337"/>
      <c r="L53" s="337"/>
      <c r="M53" s="337"/>
      <c r="N53" s="337"/>
      <c r="O53" s="337"/>
      <c r="P53" s="337"/>
      <c r="Q53" s="337"/>
      <c r="R53" s="337"/>
    </row>
    <row r="54" spans="1:18" x14ac:dyDescent="0.25">
      <c r="A54" s="336"/>
      <c r="B54" s="337"/>
      <c r="C54" s="337"/>
      <c r="D54" s="337"/>
      <c r="E54" s="337"/>
      <c r="F54" s="337"/>
      <c r="G54" s="338"/>
      <c r="H54" s="338"/>
      <c r="I54" s="337"/>
      <c r="J54" s="337"/>
      <c r="K54" s="337"/>
      <c r="L54" s="337"/>
      <c r="M54" s="337"/>
      <c r="N54" s="337"/>
      <c r="O54" s="337"/>
      <c r="P54" s="337"/>
      <c r="Q54" s="337"/>
      <c r="R54" s="337"/>
    </row>
    <row r="55" spans="1:18" x14ac:dyDescent="0.25">
      <c r="A55" s="336"/>
      <c r="B55" s="337"/>
      <c r="C55" s="337"/>
      <c r="D55" s="337"/>
      <c r="E55" s="337"/>
      <c r="F55" s="337"/>
      <c r="G55" s="338"/>
      <c r="H55" s="338"/>
      <c r="I55" s="337"/>
      <c r="J55" s="337"/>
      <c r="K55" s="337"/>
      <c r="L55" s="337"/>
      <c r="M55" s="337"/>
      <c r="N55" s="337"/>
      <c r="O55" s="337"/>
      <c r="P55" s="337"/>
      <c r="Q55" s="337"/>
      <c r="R55" s="337"/>
    </row>
    <row r="56" spans="1:18" x14ac:dyDescent="0.25">
      <c r="A56" s="336"/>
      <c r="B56" s="337"/>
      <c r="C56" s="337"/>
      <c r="D56" s="337"/>
      <c r="E56" s="337"/>
      <c r="F56" s="337"/>
      <c r="G56" s="338"/>
      <c r="H56" s="338"/>
      <c r="I56" s="337"/>
      <c r="J56" s="337"/>
      <c r="K56" s="337"/>
      <c r="L56" s="337"/>
      <c r="M56" s="337"/>
      <c r="N56" s="337"/>
      <c r="O56" s="337"/>
      <c r="P56" s="337"/>
      <c r="Q56" s="337"/>
      <c r="R56" s="337"/>
    </row>
    <row r="57" spans="1:18" x14ac:dyDescent="0.25">
      <c r="A57" s="336"/>
      <c r="B57" s="337"/>
      <c r="C57" s="337"/>
      <c r="D57" s="337"/>
      <c r="E57" s="337"/>
      <c r="F57" s="337"/>
      <c r="G57" s="338"/>
      <c r="H57" s="338"/>
      <c r="I57" s="337"/>
      <c r="J57" s="337"/>
      <c r="K57" s="337"/>
      <c r="L57" s="337"/>
      <c r="M57" s="337"/>
      <c r="N57" s="337"/>
      <c r="O57" s="337"/>
      <c r="P57" s="337"/>
      <c r="Q57" s="337"/>
      <c r="R57" s="337"/>
    </row>
    <row r="58" spans="1:18" x14ac:dyDescent="0.25">
      <c r="A58" s="336"/>
      <c r="B58" s="337"/>
      <c r="C58" s="337"/>
      <c r="D58" s="337"/>
      <c r="E58" s="337"/>
      <c r="F58" s="337"/>
      <c r="G58" s="338"/>
      <c r="H58" s="338"/>
      <c r="I58" s="337"/>
      <c r="J58" s="337"/>
      <c r="K58" s="337"/>
      <c r="L58" s="337"/>
      <c r="M58" s="337"/>
      <c r="N58" s="337"/>
      <c r="O58" s="337"/>
      <c r="P58" s="337"/>
      <c r="Q58" s="337"/>
      <c r="R58" s="337"/>
    </row>
    <row r="59" spans="1:18" x14ac:dyDescent="0.25">
      <c r="A59" s="336"/>
      <c r="B59" s="337"/>
      <c r="C59" s="337"/>
      <c r="D59" s="337"/>
      <c r="E59" s="337"/>
      <c r="F59" s="337"/>
      <c r="G59" s="338"/>
      <c r="H59" s="338"/>
      <c r="I59" s="337"/>
      <c r="J59" s="337"/>
      <c r="K59" s="337"/>
      <c r="L59" s="337"/>
      <c r="M59" s="337"/>
      <c r="N59" s="337"/>
      <c r="O59" s="337"/>
      <c r="P59" s="337"/>
      <c r="Q59" s="337"/>
      <c r="R59" s="337"/>
    </row>
    <row r="60" spans="1:18" x14ac:dyDescent="0.25">
      <c r="A60" s="336"/>
      <c r="B60" s="337"/>
      <c r="C60" s="337"/>
      <c r="D60" s="337"/>
      <c r="E60" s="337"/>
      <c r="F60" s="337"/>
      <c r="G60" s="338"/>
      <c r="H60" s="338"/>
      <c r="I60" s="337"/>
      <c r="J60" s="337"/>
      <c r="K60" s="337"/>
      <c r="L60" s="337"/>
      <c r="M60" s="337"/>
      <c r="N60" s="337"/>
      <c r="O60" s="337"/>
      <c r="P60" s="337"/>
      <c r="Q60" s="337"/>
      <c r="R60" s="337"/>
    </row>
    <row r="61" spans="1:18" x14ac:dyDescent="0.25">
      <c r="A61" s="336"/>
      <c r="B61" s="337"/>
      <c r="C61" s="337"/>
      <c r="D61" s="337"/>
      <c r="E61" s="337"/>
      <c r="F61" s="337"/>
      <c r="G61" s="338"/>
      <c r="H61" s="338"/>
      <c r="I61" s="337"/>
      <c r="J61" s="337"/>
    </row>
    <row r="62" spans="1:18" x14ac:dyDescent="0.25">
      <c r="A62" s="336"/>
      <c r="B62" s="337"/>
      <c r="C62" s="337"/>
      <c r="D62" s="337"/>
      <c r="E62" s="337"/>
      <c r="F62" s="337"/>
      <c r="G62" s="338"/>
      <c r="H62" s="338"/>
      <c r="I62" s="337"/>
      <c r="J62" s="337"/>
    </row>
    <row r="63" spans="1:18" x14ac:dyDescent="0.25">
      <c r="A63" s="336"/>
      <c r="B63" s="337"/>
      <c r="C63" s="337"/>
      <c r="D63" s="337"/>
      <c r="E63" s="337"/>
      <c r="F63" s="337"/>
      <c r="G63" s="338"/>
      <c r="H63" s="338"/>
      <c r="I63" s="337"/>
      <c r="J63" s="337"/>
    </row>
    <row r="64" spans="1:18" x14ac:dyDescent="0.25">
      <c r="A64" s="336"/>
      <c r="B64" s="337"/>
      <c r="C64" s="337"/>
      <c r="D64" s="337"/>
      <c r="E64" s="337"/>
      <c r="F64" s="337"/>
      <c r="G64" s="338"/>
      <c r="H64" s="338"/>
      <c r="I64" s="337"/>
      <c r="J64" s="337"/>
    </row>
    <row r="65" spans="1:10" x14ac:dyDescent="0.25">
      <c r="A65" s="336"/>
      <c r="B65" s="337"/>
      <c r="C65" s="337"/>
      <c r="D65" s="337"/>
      <c r="E65" s="337"/>
      <c r="F65" s="337"/>
      <c r="G65" s="338"/>
      <c r="H65" s="338"/>
      <c r="I65" s="337"/>
      <c r="J65" s="337"/>
    </row>
    <row r="66" spans="1:10" x14ac:dyDescent="0.25">
      <c r="A66" s="336"/>
      <c r="B66" s="337"/>
      <c r="C66" s="337"/>
      <c r="D66" s="337"/>
      <c r="E66" s="337"/>
      <c r="F66" s="337"/>
      <c r="G66" s="338"/>
      <c r="H66" s="338"/>
      <c r="I66" s="337"/>
      <c r="J66" s="337"/>
    </row>
    <row r="67" spans="1:10" x14ac:dyDescent="0.25">
      <c r="A67" s="336"/>
      <c r="B67" s="337"/>
      <c r="C67" s="337"/>
      <c r="D67" s="337"/>
      <c r="E67" s="337"/>
      <c r="F67" s="337"/>
      <c r="G67" s="338"/>
      <c r="H67" s="338"/>
      <c r="I67" s="337"/>
      <c r="J67" s="337"/>
    </row>
    <row r="68" spans="1:10" x14ac:dyDescent="0.25">
      <c r="A68" s="336"/>
      <c r="B68" s="337"/>
      <c r="C68" s="337"/>
      <c r="D68" s="337"/>
      <c r="E68" s="337"/>
      <c r="F68" s="337"/>
      <c r="G68" s="338"/>
      <c r="H68" s="338"/>
      <c r="I68" s="337"/>
      <c r="J68" s="337"/>
    </row>
    <row r="69" spans="1:10" x14ac:dyDescent="0.25">
      <c r="A69" s="336"/>
      <c r="B69" s="337"/>
      <c r="C69" s="337"/>
      <c r="D69" s="337"/>
      <c r="E69" s="337"/>
      <c r="F69" s="337"/>
      <c r="G69" s="338"/>
      <c r="H69" s="338"/>
      <c r="I69" s="337"/>
      <c r="J69" s="337"/>
    </row>
    <row r="70" spans="1:10" x14ac:dyDescent="0.25">
      <c r="A70" s="336"/>
      <c r="B70" s="337"/>
      <c r="C70" s="337"/>
      <c r="D70" s="337"/>
      <c r="E70" s="337"/>
      <c r="F70" s="337"/>
      <c r="G70" s="338"/>
      <c r="H70" s="338"/>
      <c r="I70" s="337"/>
      <c r="J70" s="337"/>
    </row>
    <row r="71" spans="1:10" x14ac:dyDescent="0.25">
      <c r="A71" s="336"/>
      <c r="B71" s="337"/>
      <c r="C71" s="337"/>
      <c r="D71" s="337"/>
      <c r="E71" s="337"/>
      <c r="F71" s="337"/>
      <c r="G71" s="338"/>
      <c r="H71" s="338"/>
      <c r="I71" s="337"/>
      <c r="J71" s="337"/>
    </row>
    <row r="72" spans="1:10" x14ac:dyDescent="0.25">
      <c r="A72" s="336"/>
      <c r="B72" s="337"/>
      <c r="C72" s="337"/>
      <c r="D72" s="337"/>
      <c r="E72" s="337"/>
      <c r="F72" s="337"/>
      <c r="G72" s="338"/>
      <c r="H72" s="338"/>
      <c r="I72" s="337"/>
      <c r="J72" s="337"/>
    </row>
    <row r="73" spans="1:10" x14ac:dyDescent="0.25">
      <c r="A73" s="336"/>
      <c r="B73" s="337"/>
      <c r="C73" s="337"/>
      <c r="D73" s="337"/>
      <c r="E73" s="337"/>
      <c r="F73" s="337"/>
      <c r="G73" s="338"/>
      <c r="H73" s="338"/>
      <c r="I73" s="337"/>
      <c r="J73" s="337"/>
    </row>
    <row r="74" spans="1:10" x14ac:dyDescent="0.25">
      <c r="A74" s="336"/>
      <c r="B74" s="337"/>
      <c r="C74" s="337"/>
      <c r="D74" s="337"/>
      <c r="E74" s="337"/>
      <c r="F74" s="337"/>
      <c r="G74" s="338"/>
      <c r="H74" s="338"/>
      <c r="I74" s="337"/>
      <c r="J74" s="337"/>
    </row>
    <row r="75" spans="1:10" x14ac:dyDescent="0.25">
      <c r="A75" s="336"/>
      <c r="B75" s="337"/>
      <c r="C75" s="337"/>
      <c r="D75" s="337"/>
      <c r="E75" s="337"/>
      <c r="F75" s="337"/>
      <c r="G75" s="338"/>
      <c r="H75" s="338"/>
      <c r="I75" s="337"/>
      <c r="J75" s="337"/>
    </row>
    <row r="76" spans="1:10" x14ac:dyDescent="0.25">
      <c r="A76" s="336"/>
      <c r="B76" s="337"/>
      <c r="C76" s="337"/>
      <c r="D76" s="337"/>
      <c r="E76" s="337"/>
      <c r="F76" s="337"/>
      <c r="G76" s="338"/>
      <c r="H76" s="338"/>
      <c r="I76" s="337"/>
      <c r="J76" s="337"/>
    </row>
    <row r="77" spans="1:10" x14ac:dyDescent="0.25">
      <c r="A77" s="336"/>
      <c r="B77" s="337"/>
      <c r="C77" s="337"/>
      <c r="D77" s="337"/>
      <c r="E77" s="337"/>
      <c r="F77" s="337"/>
      <c r="G77" s="338"/>
      <c r="H77" s="338"/>
      <c r="I77" s="337"/>
      <c r="J77" s="337"/>
    </row>
    <row r="78" spans="1:10" x14ac:dyDescent="0.25">
      <c r="A78" s="336"/>
      <c r="B78" s="337"/>
      <c r="C78" s="337"/>
      <c r="D78" s="337"/>
      <c r="E78" s="337"/>
      <c r="F78" s="337"/>
      <c r="G78" s="338"/>
      <c r="H78" s="338"/>
      <c r="I78" s="337"/>
      <c r="J78" s="337"/>
    </row>
    <row r="79" spans="1:10" x14ac:dyDescent="0.25">
      <c r="A79" s="336"/>
      <c r="B79" s="337"/>
      <c r="C79" s="337"/>
      <c r="D79" s="337"/>
      <c r="E79" s="337"/>
      <c r="F79" s="337"/>
      <c r="G79" s="338"/>
      <c r="H79" s="338"/>
      <c r="I79" s="337"/>
      <c r="J79" s="337"/>
    </row>
    <row r="80" spans="1:10" x14ac:dyDescent="0.25">
      <c r="A80" s="336"/>
      <c r="B80" s="337"/>
      <c r="C80" s="337"/>
      <c r="D80" s="337"/>
      <c r="E80" s="337"/>
      <c r="F80" s="337"/>
      <c r="G80" s="338"/>
      <c r="H80" s="338"/>
      <c r="I80" s="337"/>
      <c r="J80" s="337"/>
    </row>
    <row r="81" spans="1:10" x14ac:dyDescent="0.25">
      <c r="A81" s="336"/>
      <c r="B81" s="337"/>
      <c r="C81" s="337"/>
      <c r="D81" s="337"/>
      <c r="E81" s="337"/>
      <c r="F81" s="337"/>
      <c r="G81" s="338"/>
      <c r="H81" s="338"/>
      <c r="I81" s="337"/>
      <c r="J81" s="337"/>
    </row>
    <row r="82" spans="1:10" x14ac:dyDescent="0.25">
      <c r="A82" s="336"/>
      <c r="B82" s="337"/>
      <c r="C82" s="337"/>
      <c r="D82" s="337"/>
      <c r="E82" s="337"/>
      <c r="F82" s="337"/>
      <c r="G82" s="338"/>
      <c r="H82" s="338"/>
      <c r="I82" s="337"/>
      <c r="J82" s="337"/>
    </row>
    <row r="83" spans="1:10" x14ac:dyDescent="0.25">
      <c r="A83" s="336"/>
      <c r="B83" s="337"/>
      <c r="C83" s="337"/>
      <c r="D83" s="337"/>
      <c r="E83" s="337"/>
      <c r="F83" s="337"/>
      <c r="G83" s="338"/>
      <c r="H83" s="338"/>
      <c r="I83" s="337"/>
      <c r="J83" s="337"/>
    </row>
    <row r="84" spans="1:10" x14ac:dyDescent="0.25">
      <c r="A84" s="336"/>
      <c r="B84" s="337"/>
      <c r="C84" s="337"/>
      <c r="D84" s="337"/>
      <c r="E84" s="337"/>
      <c r="F84" s="337"/>
      <c r="G84" s="338"/>
      <c r="H84" s="338"/>
      <c r="I84" s="337"/>
      <c r="J84" s="337"/>
    </row>
    <row r="85" spans="1:10" x14ac:dyDescent="0.25">
      <c r="A85" s="336"/>
      <c r="B85" s="337"/>
      <c r="C85" s="337"/>
      <c r="D85" s="337"/>
      <c r="E85" s="337"/>
      <c r="F85" s="337"/>
      <c r="G85" s="338"/>
      <c r="H85" s="338"/>
      <c r="I85" s="337"/>
      <c r="J85" s="337"/>
    </row>
    <row r="86" spans="1:10" x14ac:dyDescent="0.25">
      <c r="A86" s="336"/>
      <c r="B86" s="337"/>
      <c r="C86" s="337"/>
      <c r="D86" s="337"/>
      <c r="E86" s="337"/>
      <c r="F86" s="337"/>
      <c r="G86" s="338"/>
      <c r="H86" s="338"/>
      <c r="I86" s="337"/>
      <c r="J86" s="337"/>
    </row>
    <row r="87" spans="1:10" x14ac:dyDescent="0.25">
      <c r="A87" s="336"/>
      <c r="B87" s="337"/>
      <c r="C87" s="337"/>
      <c r="D87" s="337"/>
      <c r="E87" s="337"/>
      <c r="F87" s="337"/>
      <c r="G87" s="338"/>
      <c r="H87" s="338"/>
      <c r="I87" s="337"/>
      <c r="J87" s="337"/>
    </row>
    <row r="88" spans="1:10" x14ac:dyDescent="0.25">
      <c r="A88" s="336"/>
      <c r="B88" s="337"/>
      <c r="C88" s="337"/>
      <c r="D88" s="337"/>
      <c r="E88" s="337"/>
      <c r="F88" s="337"/>
      <c r="G88" s="338"/>
      <c r="H88" s="338"/>
      <c r="I88" s="337"/>
      <c r="J88" s="337"/>
    </row>
    <row r="89" spans="1:10" x14ac:dyDescent="0.25">
      <c r="A89" s="336"/>
      <c r="B89" s="337"/>
      <c r="C89" s="337"/>
      <c r="D89" s="337"/>
      <c r="E89" s="337"/>
      <c r="F89" s="337"/>
      <c r="G89" s="338"/>
      <c r="H89" s="338"/>
      <c r="I89" s="337"/>
      <c r="J89" s="337"/>
    </row>
    <row r="90" spans="1:10" x14ac:dyDescent="0.25">
      <c r="A90" s="336"/>
      <c r="B90" s="337"/>
      <c r="C90" s="337"/>
      <c r="D90" s="337"/>
      <c r="E90" s="337"/>
      <c r="F90" s="337"/>
      <c r="G90" s="338"/>
      <c r="H90" s="338"/>
      <c r="I90" s="337"/>
      <c r="J90" s="337"/>
    </row>
    <row r="91" spans="1:10" x14ac:dyDescent="0.25">
      <c r="A91" s="336"/>
      <c r="B91" s="337"/>
      <c r="C91" s="337"/>
      <c r="D91" s="337"/>
      <c r="E91" s="337"/>
      <c r="F91" s="337"/>
      <c r="G91" s="338"/>
      <c r="H91" s="338"/>
      <c r="I91" s="337"/>
      <c r="J91" s="337"/>
    </row>
    <row r="92" spans="1:10" x14ac:dyDescent="0.25">
      <c r="A92" s="336"/>
      <c r="B92" s="337"/>
      <c r="C92" s="337"/>
      <c r="D92" s="337"/>
      <c r="E92" s="337"/>
      <c r="F92" s="337"/>
      <c r="G92" s="338"/>
      <c r="H92" s="338"/>
      <c r="I92" s="337"/>
      <c r="J92" s="337"/>
    </row>
    <row r="93" spans="1:10" x14ac:dyDescent="0.25">
      <c r="A93" s="336"/>
      <c r="B93" s="337"/>
      <c r="C93" s="337"/>
      <c r="D93" s="337"/>
      <c r="E93" s="337"/>
      <c r="F93" s="337"/>
      <c r="G93" s="338"/>
      <c r="H93" s="338"/>
      <c r="I93" s="337"/>
      <c r="J93" s="337"/>
    </row>
    <row r="94" spans="1:10" x14ac:dyDescent="0.25">
      <c r="A94" s="336"/>
      <c r="B94" s="337"/>
      <c r="C94" s="337"/>
      <c r="D94" s="337"/>
      <c r="E94" s="337"/>
      <c r="F94" s="337"/>
      <c r="G94" s="338"/>
      <c r="H94" s="338"/>
      <c r="I94" s="337"/>
      <c r="J94" s="337"/>
    </row>
    <row r="95" spans="1:10" x14ac:dyDescent="0.25">
      <c r="A95" s="336"/>
      <c r="B95" s="337"/>
      <c r="C95" s="337"/>
      <c r="D95" s="337"/>
      <c r="E95" s="337"/>
      <c r="F95" s="337"/>
      <c r="G95" s="338"/>
      <c r="H95" s="338"/>
      <c r="I95" s="337"/>
      <c r="J95" s="337"/>
    </row>
    <row r="96" spans="1:10" x14ac:dyDescent="0.25">
      <c r="A96" s="336"/>
      <c r="B96" s="337"/>
      <c r="C96" s="337"/>
      <c r="D96" s="337"/>
      <c r="E96" s="337"/>
      <c r="F96" s="337"/>
      <c r="G96" s="338"/>
      <c r="H96" s="338"/>
      <c r="I96" s="337"/>
      <c r="J96" s="337"/>
    </row>
    <row r="97" spans="1:10" x14ac:dyDescent="0.25">
      <c r="A97" s="336"/>
      <c r="B97" s="337"/>
      <c r="C97" s="337"/>
      <c r="D97" s="337"/>
      <c r="E97" s="337"/>
      <c r="F97" s="337"/>
      <c r="G97" s="338"/>
      <c r="H97" s="338"/>
      <c r="I97" s="337"/>
      <c r="J97" s="337"/>
    </row>
    <row r="98" spans="1:10" x14ac:dyDescent="0.25">
      <c r="A98" s="336"/>
      <c r="B98" s="337"/>
      <c r="C98" s="337"/>
      <c r="D98" s="337"/>
      <c r="E98" s="337"/>
      <c r="F98" s="337"/>
      <c r="G98" s="338"/>
      <c r="H98" s="338"/>
      <c r="I98" s="337"/>
      <c r="J98" s="337"/>
    </row>
    <row r="99" spans="1:10" x14ac:dyDescent="0.25">
      <c r="A99" s="336"/>
      <c r="B99" s="337"/>
      <c r="C99" s="337"/>
      <c r="D99" s="337"/>
      <c r="E99" s="337"/>
      <c r="F99" s="337"/>
      <c r="G99" s="338"/>
      <c r="H99" s="338"/>
      <c r="I99" s="337"/>
      <c r="J99" s="337"/>
    </row>
    <row r="100" spans="1:10" x14ac:dyDescent="0.25">
      <c r="A100" s="336"/>
      <c r="B100" s="337"/>
      <c r="C100" s="337"/>
      <c r="D100" s="337"/>
      <c r="E100" s="337"/>
      <c r="F100" s="337"/>
      <c r="G100" s="338"/>
      <c r="H100" s="338"/>
      <c r="I100" s="337"/>
      <c r="J100" s="337"/>
    </row>
    <row r="101" spans="1:10" x14ac:dyDescent="0.25">
      <c r="A101" s="336"/>
      <c r="B101" s="337"/>
      <c r="C101" s="337"/>
      <c r="D101" s="337"/>
      <c r="E101" s="337"/>
      <c r="F101" s="337"/>
      <c r="G101" s="338"/>
      <c r="H101" s="338"/>
      <c r="I101" s="337"/>
      <c r="J101" s="337"/>
    </row>
    <row r="102" spans="1:10" x14ac:dyDescent="0.25">
      <c r="A102" s="336"/>
      <c r="B102" s="337"/>
      <c r="C102" s="337"/>
      <c r="D102" s="337"/>
      <c r="E102" s="337"/>
      <c r="F102" s="337"/>
      <c r="G102" s="338"/>
      <c r="H102" s="338"/>
      <c r="I102" s="337"/>
      <c r="J102" s="337"/>
    </row>
    <row r="103" spans="1:10" x14ac:dyDescent="0.25">
      <c r="A103" s="336"/>
      <c r="B103" s="337"/>
      <c r="C103" s="337"/>
      <c r="D103" s="337"/>
      <c r="E103" s="337"/>
      <c r="F103" s="337"/>
      <c r="G103" s="338"/>
      <c r="H103" s="338"/>
      <c r="I103" s="337"/>
      <c r="J103" s="337"/>
    </row>
    <row r="104" spans="1:10" x14ac:dyDescent="0.25">
      <c r="A104" s="336"/>
      <c r="B104" s="337"/>
      <c r="C104" s="337"/>
      <c r="D104" s="337"/>
      <c r="E104" s="337"/>
      <c r="F104" s="337"/>
      <c r="G104" s="338"/>
      <c r="H104" s="338"/>
      <c r="I104" s="337"/>
      <c r="J104" s="337"/>
    </row>
    <row r="105" spans="1:10" x14ac:dyDescent="0.25">
      <c r="A105" s="336"/>
      <c r="B105" s="337"/>
      <c r="C105" s="337"/>
      <c r="D105" s="337"/>
      <c r="E105" s="337"/>
      <c r="F105" s="337"/>
      <c r="G105" s="338"/>
      <c r="H105" s="338"/>
      <c r="I105" s="337"/>
      <c r="J105" s="337"/>
    </row>
    <row r="106" spans="1:10" x14ac:dyDescent="0.25">
      <c r="A106" s="336"/>
      <c r="B106" s="337"/>
      <c r="C106" s="337"/>
      <c r="D106" s="337"/>
      <c r="E106" s="337"/>
      <c r="F106" s="337"/>
      <c r="G106" s="338"/>
      <c r="H106" s="338"/>
      <c r="I106" s="337"/>
      <c r="J106" s="337"/>
    </row>
    <row r="107" spans="1:10" x14ac:dyDescent="0.25">
      <c r="A107" s="336"/>
      <c r="B107" s="337"/>
      <c r="C107" s="337"/>
      <c r="D107" s="337"/>
      <c r="E107" s="337"/>
      <c r="F107" s="337"/>
      <c r="G107" s="338"/>
      <c r="H107" s="338"/>
      <c r="I107" s="337"/>
      <c r="J107" s="337"/>
    </row>
    <row r="108" spans="1:10" x14ac:dyDescent="0.25">
      <c r="A108" s="336"/>
      <c r="B108" s="337"/>
      <c r="C108" s="337"/>
      <c r="D108" s="337"/>
      <c r="E108" s="337"/>
      <c r="F108" s="337"/>
      <c r="G108" s="338"/>
      <c r="H108" s="338"/>
      <c r="I108" s="337"/>
      <c r="J108" s="337"/>
    </row>
    <row r="109" spans="1:10" x14ac:dyDescent="0.25">
      <c r="A109" s="336"/>
      <c r="B109" s="337"/>
      <c r="C109" s="337"/>
      <c r="D109" s="337"/>
      <c r="E109" s="337"/>
      <c r="F109" s="337"/>
      <c r="G109" s="338"/>
      <c r="H109" s="338"/>
      <c r="I109" s="337"/>
      <c r="J109" s="337"/>
    </row>
    <row r="110" spans="1:10" x14ac:dyDescent="0.25">
      <c r="A110" s="336"/>
      <c r="B110" s="337"/>
      <c r="C110" s="337"/>
      <c r="D110" s="337"/>
      <c r="E110" s="337"/>
      <c r="F110" s="337"/>
      <c r="G110" s="338"/>
      <c r="H110" s="338"/>
      <c r="I110" s="337"/>
      <c r="J110" s="337"/>
    </row>
    <row r="111" spans="1:10" x14ac:dyDescent="0.25">
      <c r="A111" s="336"/>
      <c r="B111" s="337"/>
      <c r="C111" s="337"/>
      <c r="D111" s="337"/>
      <c r="E111" s="337"/>
      <c r="F111" s="337"/>
      <c r="G111" s="338"/>
      <c r="H111" s="338"/>
      <c r="I111" s="337"/>
      <c r="J111" s="337"/>
    </row>
    <row r="112" spans="1:10" x14ac:dyDescent="0.25">
      <c r="A112" s="336"/>
      <c r="B112" s="337"/>
      <c r="C112" s="337"/>
      <c r="D112" s="337"/>
      <c r="E112" s="337"/>
      <c r="F112" s="337"/>
      <c r="G112" s="338"/>
      <c r="H112" s="338"/>
      <c r="I112" s="337"/>
      <c r="J112" s="337"/>
    </row>
    <row r="113" spans="1:10" x14ac:dyDescent="0.25">
      <c r="A113" s="336"/>
      <c r="B113" s="337"/>
      <c r="C113" s="337"/>
      <c r="D113" s="337"/>
      <c r="E113" s="337"/>
      <c r="F113" s="337"/>
      <c r="G113" s="338"/>
      <c r="H113" s="338"/>
      <c r="I113" s="337"/>
      <c r="J113" s="337"/>
    </row>
    <row r="114" spans="1:10" x14ac:dyDescent="0.25">
      <c r="A114" s="336"/>
      <c r="B114" s="337"/>
      <c r="C114" s="337"/>
      <c r="D114" s="337"/>
      <c r="E114" s="337"/>
      <c r="F114" s="337"/>
      <c r="G114" s="338"/>
      <c r="H114" s="338"/>
      <c r="I114" s="337"/>
      <c r="J114" s="337"/>
    </row>
    <row r="115" spans="1:10" x14ac:dyDescent="0.25">
      <c r="A115" s="336"/>
      <c r="B115" s="337"/>
      <c r="C115" s="337"/>
      <c r="D115" s="337"/>
      <c r="E115" s="337"/>
      <c r="F115" s="337"/>
      <c r="G115" s="338"/>
      <c r="H115" s="338"/>
      <c r="I115" s="337"/>
      <c r="J115" s="337"/>
    </row>
    <row r="116" spans="1:10" x14ac:dyDescent="0.25">
      <c r="A116" s="336"/>
      <c r="B116" s="337"/>
      <c r="C116" s="337"/>
      <c r="D116" s="337"/>
      <c r="E116" s="337"/>
      <c r="F116" s="337"/>
      <c r="G116" s="338"/>
      <c r="H116" s="338"/>
      <c r="I116" s="337"/>
      <c r="J116" s="337"/>
    </row>
    <row r="117" spans="1:10" x14ac:dyDescent="0.25">
      <c r="A117" s="336"/>
      <c r="B117" s="337"/>
      <c r="C117" s="337"/>
      <c r="D117" s="337"/>
      <c r="E117" s="337"/>
      <c r="F117" s="337"/>
      <c r="G117" s="338"/>
      <c r="H117" s="338"/>
      <c r="I117" s="337"/>
      <c r="J117" s="337"/>
    </row>
    <row r="118" spans="1:10" x14ac:dyDescent="0.25">
      <c r="A118" s="336"/>
      <c r="B118" s="337"/>
      <c r="C118" s="337"/>
      <c r="D118" s="337"/>
      <c r="E118" s="337"/>
      <c r="F118" s="337"/>
      <c r="G118" s="338"/>
      <c r="H118" s="338"/>
      <c r="I118" s="337"/>
      <c r="J118" s="337"/>
    </row>
    <row r="119" spans="1:10" x14ac:dyDescent="0.25">
      <c r="A119" s="336"/>
      <c r="B119" s="337"/>
      <c r="C119" s="337"/>
      <c r="D119" s="337"/>
      <c r="E119" s="337"/>
      <c r="F119" s="337"/>
      <c r="G119" s="338"/>
      <c r="H119" s="338"/>
      <c r="I119" s="337"/>
      <c r="J119" s="337"/>
    </row>
    <row r="120" spans="1:10" x14ac:dyDescent="0.25">
      <c r="A120" s="336"/>
      <c r="B120" s="337"/>
      <c r="C120" s="337"/>
      <c r="D120" s="337"/>
      <c r="E120" s="337"/>
      <c r="F120" s="337"/>
      <c r="G120" s="338"/>
      <c r="H120" s="338"/>
      <c r="I120" s="337"/>
      <c r="J120" s="337"/>
    </row>
    <row r="121" spans="1:10" x14ac:dyDescent="0.25">
      <c r="A121" s="336"/>
      <c r="B121" s="337"/>
      <c r="C121" s="337"/>
      <c r="D121" s="337"/>
      <c r="E121" s="337"/>
      <c r="F121" s="337"/>
      <c r="G121" s="338"/>
      <c r="H121" s="338"/>
      <c r="I121" s="337"/>
      <c r="J121" s="337"/>
    </row>
    <row r="122" spans="1:10" x14ac:dyDescent="0.25">
      <c r="A122" s="336"/>
      <c r="B122" s="337"/>
      <c r="C122" s="337"/>
      <c r="D122" s="337"/>
      <c r="E122" s="337"/>
      <c r="F122" s="337"/>
      <c r="G122" s="338"/>
      <c r="H122" s="338"/>
      <c r="I122" s="337"/>
      <c r="J122" s="337"/>
    </row>
    <row r="123" spans="1:10" x14ac:dyDescent="0.25">
      <c r="A123" s="336"/>
      <c r="B123" s="337"/>
      <c r="C123" s="337"/>
      <c r="D123" s="337"/>
      <c r="E123" s="337"/>
      <c r="F123" s="337"/>
      <c r="G123" s="338"/>
      <c r="H123" s="338"/>
      <c r="I123" s="337"/>
      <c r="J123" s="337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5" x14ac:dyDescent="0.25"/>
  <cols>
    <col min="1" max="1" width="6.140625" style="364" customWidth="1"/>
    <col min="2" max="3" width="10.28515625" style="339" customWidth="1"/>
    <col min="4" max="4" width="7.7109375" style="341" customWidth="1"/>
    <col min="5" max="6" width="7.7109375" style="339" customWidth="1"/>
    <col min="7" max="7" width="8.85546875" style="339" customWidth="1"/>
    <col min="8" max="8" width="9.85546875" style="339" customWidth="1"/>
    <col min="9" max="9" width="14.28515625" style="339" customWidth="1"/>
    <col min="10" max="10" width="12.5703125" style="339" customWidth="1"/>
    <col min="11" max="11" width="11.5703125" style="339" customWidth="1"/>
    <col min="12" max="12" width="11.140625" style="339" customWidth="1"/>
    <col min="13" max="13" width="10.140625" style="339" customWidth="1"/>
    <col min="14" max="14" width="12.140625" style="339" customWidth="1"/>
    <col min="15" max="15" width="16.85546875" style="339" customWidth="1"/>
    <col min="16" max="16384" width="9.140625" style="339"/>
  </cols>
  <sheetData>
    <row r="1" spans="1:18" x14ac:dyDescent="0.25">
      <c r="A1" s="336"/>
      <c r="B1" s="337"/>
      <c r="C1" s="337"/>
      <c r="D1" s="338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</row>
    <row r="2" spans="1:18" x14ac:dyDescent="0.25">
      <c r="A2" s="336"/>
      <c r="B2" s="337"/>
      <c r="C2" s="337"/>
      <c r="D2" s="338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</row>
    <row r="3" spans="1:18" x14ac:dyDescent="0.25">
      <c r="A3" s="336"/>
      <c r="B3" s="337"/>
      <c r="C3" s="337"/>
      <c r="D3" s="338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</row>
    <row r="4" spans="1:18" x14ac:dyDescent="0.25">
      <c r="A4" s="336"/>
      <c r="B4" s="337"/>
      <c r="C4" s="337"/>
      <c r="D4" s="338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</row>
    <row r="5" spans="1:18" ht="20.25" x14ac:dyDescent="0.3">
      <c r="A5" s="340" t="s">
        <v>182</v>
      </c>
      <c r="B5" s="337"/>
      <c r="C5" s="337"/>
      <c r="D5" s="338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</row>
    <row r="6" spans="1:18" ht="20.25" x14ac:dyDescent="0.3">
      <c r="A6" s="340" t="s">
        <v>203</v>
      </c>
      <c r="B6" s="337"/>
      <c r="C6" s="337"/>
      <c r="D6" s="338"/>
      <c r="E6" s="337"/>
      <c r="F6" s="337"/>
      <c r="J6" s="337"/>
      <c r="K6" s="337"/>
      <c r="L6" s="337"/>
      <c r="M6" s="342" t="s">
        <v>184</v>
      </c>
      <c r="N6" s="342" t="s">
        <v>279</v>
      </c>
      <c r="O6" s="343">
        <v>2025</v>
      </c>
      <c r="P6" s="337"/>
      <c r="Q6" s="337"/>
    </row>
    <row r="7" spans="1:18" ht="6.75" customHeight="1" thickBot="1" x14ac:dyDescent="0.35">
      <c r="A7" s="340"/>
      <c r="B7" s="337"/>
      <c r="C7" s="337"/>
      <c r="D7" s="338"/>
      <c r="E7" s="337"/>
      <c r="F7" s="337"/>
      <c r="J7" s="337"/>
      <c r="K7" s="337"/>
      <c r="L7" s="337"/>
      <c r="M7" s="337"/>
      <c r="N7" s="337"/>
      <c r="O7" s="337"/>
      <c r="P7" s="337"/>
      <c r="Q7" s="337"/>
    </row>
    <row r="8" spans="1:18" ht="21" customHeight="1" thickBot="1" x14ac:dyDescent="0.35">
      <c r="A8" s="729" t="s">
        <v>185</v>
      </c>
      <c r="B8" s="730"/>
      <c r="C8" s="730"/>
      <c r="D8" s="730"/>
      <c r="E8" s="730"/>
      <c r="F8" s="730"/>
      <c r="G8" s="730"/>
      <c r="H8" s="731"/>
      <c r="I8" s="732" t="s">
        <v>186</v>
      </c>
      <c r="J8" s="734" t="s">
        <v>187</v>
      </c>
      <c r="K8" s="735"/>
      <c r="L8" s="735"/>
      <c r="M8" s="735"/>
      <c r="N8" s="736"/>
      <c r="O8" s="737" t="s">
        <v>188</v>
      </c>
      <c r="P8" s="337"/>
      <c r="Q8" s="337"/>
    </row>
    <row r="9" spans="1:18" ht="29.25" thickBot="1" x14ac:dyDescent="0.3">
      <c r="A9" s="344" t="s">
        <v>189</v>
      </c>
      <c r="B9" s="345" t="s">
        <v>190</v>
      </c>
      <c r="C9" s="346" t="s">
        <v>191</v>
      </c>
      <c r="D9" s="365" t="s">
        <v>192</v>
      </c>
      <c r="E9" s="348" t="s">
        <v>193</v>
      </c>
      <c r="F9" s="349" t="s">
        <v>194</v>
      </c>
      <c r="G9" s="366" t="s">
        <v>195</v>
      </c>
      <c r="H9" s="367" t="s">
        <v>196</v>
      </c>
      <c r="I9" s="733"/>
      <c r="J9" s="352" t="s">
        <v>197</v>
      </c>
      <c r="K9" s="353" t="s">
        <v>198</v>
      </c>
      <c r="L9" s="354" t="s">
        <v>204</v>
      </c>
      <c r="M9" s="355" t="s">
        <v>200</v>
      </c>
      <c r="N9" s="356" t="s">
        <v>201</v>
      </c>
      <c r="O9" s="738"/>
      <c r="P9" s="337"/>
      <c r="Q9" s="337"/>
    </row>
    <row r="10" spans="1:18" x14ac:dyDescent="0.25">
      <c r="A10" s="360">
        <v>1</v>
      </c>
      <c r="B10" s="368"/>
      <c r="C10" s="368"/>
      <c r="D10" s="369"/>
      <c r="E10" s="368"/>
      <c r="F10" s="368"/>
      <c r="G10" s="369"/>
      <c r="H10" s="369"/>
      <c r="I10" s="368"/>
      <c r="J10" s="474"/>
      <c r="K10" s="474"/>
      <c r="L10" s="369"/>
      <c r="M10" s="369"/>
      <c r="N10" s="369"/>
      <c r="O10" s="368"/>
      <c r="P10" s="337"/>
      <c r="Q10" s="337"/>
    </row>
    <row r="11" spans="1:18" x14ac:dyDescent="0.25">
      <c r="A11" s="360">
        <v>2</v>
      </c>
      <c r="B11" s="368"/>
      <c r="C11" s="368"/>
      <c r="D11" s="369"/>
      <c r="E11" s="368"/>
      <c r="F11" s="368"/>
      <c r="G11" s="369"/>
      <c r="H11" s="369"/>
      <c r="I11" s="368"/>
      <c r="J11" s="474"/>
      <c r="K11" s="474"/>
      <c r="L11" s="369"/>
      <c r="M11" s="369"/>
      <c r="N11" s="369"/>
      <c r="O11" s="368"/>
      <c r="P11" s="337"/>
      <c r="Q11" s="337"/>
    </row>
    <row r="12" spans="1:18" x14ac:dyDescent="0.25">
      <c r="A12" s="360">
        <v>3</v>
      </c>
      <c r="B12" s="368"/>
      <c r="C12" s="368"/>
      <c r="D12" s="369"/>
      <c r="E12" s="368"/>
      <c r="F12" s="368"/>
      <c r="G12" s="369"/>
      <c r="H12" s="369"/>
      <c r="I12" s="368"/>
      <c r="J12" s="474"/>
      <c r="K12" s="474"/>
      <c r="L12" s="369"/>
      <c r="M12" s="369"/>
      <c r="N12" s="369"/>
      <c r="O12" s="368"/>
      <c r="P12" s="337"/>
      <c r="Q12" s="337"/>
    </row>
    <row r="13" spans="1:18" x14ac:dyDescent="0.25">
      <c r="A13" s="472">
        <v>4</v>
      </c>
      <c r="B13" s="368"/>
      <c r="C13" s="368"/>
      <c r="D13" s="369"/>
      <c r="E13" s="368"/>
      <c r="F13" s="368"/>
      <c r="G13" s="369"/>
      <c r="H13" s="369"/>
      <c r="I13" s="368"/>
      <c r="J13" s="474"/>
      <c r="K13" s="474"/>
      <c r="L13" s="369"/>
      <c r="M13" s="369"/>
      <c r="N13" s="369"/>
      <c r="O13" s="368"/>
      <c r="P13" s="337"/>
      <c r="Q13" s="337"/>
    </row>
    <row r="14" spans="1:18" x14ac:dyDescent="0.25">
      <c r="A14" s="360">
        <v>5</v>
      </c>
      <c r="B14" s="368"/>
      <c r="C14" s="368"/>
      <c r="D14" s="369"/>
      <c r="E14" s="368"/>
      <c r="F14" s="368"/>
      <c r="G14" s="369"/>
      <c r="H14" s="369"/>
      <c r="I14" s="368"/>
      <c r="J14" s="474"/>
      <c r="K14" s="474"/>
      <c r="L14" s="369"/>
      <c r="M14" s="369"/>
      <c r="N14" s="369"/>
      <c r="O14" s="368"/>
      <c r="P14" s="337"/>
      <c r="Q14" s="337"/>
    </row>
    <row r="15" spans="1:18" x14ac:dyDescent="0.25">
      <c r="A15" s="360">
        <v>6</v>
      </c>
      <c r="B15" s="368"/>
      <c r="C15" s="368"/>
      <c r="D15" s="369"/>
      <c r="E15" s="368"/>
      <c r="F15" s="368"/>
      <c r="G15" s="369"/>
      <c r="H15" s="369"/>
      <c r="I15" s="368"/>
      <c r="J15" s="474"/>
      <c r="K15" s="474"/>
      <c r="L15" s="369"/>
      <c r="M15" s="369"/>
      <c r="N15" s="369"/>
      <c r="O15" s="368"/>
      <c r="P15" s="337"/>
      <c r="Q15" s="337"/>
    </row>
    <row r="16" spans="1:18" x14ac:dyDescent="0.25">
      <c r="A16" s="360">
        <v>7</v>
      </c>
      <c r="B16" s="368"/>
      <c r="C16" s="368"/>
      <c r="D16" s="369"/>
      <c r="E16" s="368"/>
      <c r="F16" s="368"/>
      <c r="G16" s="369"/>
      <c r="H16" s="369"/>
      <c r="I16" s="368"/>
      <c r="J16" s="474"/>
      <c r="K16" s="474"/>
      <c r="L16" s="369"/>
      <c r="M16" s="369"/>
      <c r="N16" s="369"/>
      <c r="O16" s="368"/>
      <c r="P16" s="337"/>
      <c r="Q16" s="337"/>
      <c r="R16" s="337"/>
    </row>
    <row r="17" spans="1:18" x14ac:dyDescent="0.25">
      <c r="A17" s="360">
        <v>8</v>
      </c>
      <c r="B17" s="368"/>
      <c r="C17" s="368"/>
      <c r="D17" s="369"/>
      <c r="E17" s="368"/>
      <c r="F17" s="368"/>
      <c r="G17" s="369"/>
      <c r="H17" s="369"/>
      <c r="I17" s="368"/>
      <c r="J17" s="474"/>
      <c r="K17" s="474"/>
      <c r="L17" s="369"/>
      <c r="M17" s="369"/>
      <c r="N17" s="369"/>
      <c r="O17" s="368"/>
      <c r="P17" s="337"/>
      <c r="Q17" s="337"/>
      <c r="R17" s="337"/>
    </row>
    <row r="18" spans="1:18" x14ac:dyDescent="0.25">
      <c r="A18" s="360">
        <v>9</v>
      </c>
      <c r="B18" s="368"/>
      <c r="C18" s="368"/>
      <c r="D18" s="369"/>
      <c r="E18" s="368"/>
      <c r="F18" s="368"/>
      <c r="G18" s="369"/>
      <c r="H18" s="369"/>
      <c r="I18" s="368"/>
      <c r="J18" s="474"/>
      <c r="K18" s="474"/>
      <c r="L18" s="369"/>
      <c r="M18" s="369"/>
      <c r="N18" s="369"/>
      <c r="O18" s="368"/>
      <c r="P18" s="337"/>
      <c r="Q18" s="337"/>
      <c r="R18" s="337"/>
    </row>
    <row r="19" spans="1:18" x14ac:dyDescent="0.25">
      <c r="A19" s="360">
        <v>10</v>
      </c>
      <c r="B19" s="368"/>
      <c r="C19" s="368"/>
      <c r="D19" s="369"/>
      <c r="E19" s="368"/>
      <c r="F19" s="368"/>
      <c r="G19" s="369"/>
      <c r="H19" s="369"/>
      <c r="I19" s="368"/>
      <c r="J19" s="474"/>
      <c r="K19" s="474"/>
      <c r="L19" s="369"/>
      <c r="M19" s="369"/>
      <c r="N19" s="369"/>
      <c r="O19" s="368"/>
      <c r="P19" s="337"/>
      <c r="Q19" s="337"/>
      <c r="R19" s="337"/>
    </row>
    <row r="20" spans="1:18" x14ac:dyDescent="0.25">
      <c r="A20" s="360">
        <v>11</v>
      </c>
      <c r="B20" s="368"/>
      <c r="C20" s="368"/>
      <c r="D20" s="369"/>
      <c r="E20" s="368"/>
      <c r="F20" s="368"/>
      <c r="G20" s="369"/>
      <c r="H20" s="369"/>
      <c r="I20" s="368"/>
      <c r="J20" s="474"/>
      <c r="K20" s="474"/>
      <c r="L20" s="369"/>
      <c r="M20" s="369"/>
      <c r="N20" s="369"/>
      <c r="O20" s="368"/>
      <c r="P20" s="337"/>
      <c r="Q20" s="337"/>
    </row>
    <row r="21" spans="1:18" x14ac:dyDescent="0.25">
      <c r="A21" s="360">
        <v>12</v>
      </c>
      <c r="B21" s="368"/>
      <c r="C21" s="368"/>
      <c r="D21" s="369"/>
      <c r="E21" s="368"/>
      <c r="F21" s="368"/>
      <c r="G21" s="369"/>
      <c r="H21" s="369"/>
      <c r="I21" s="368"/>
      <c r="J21" s="474"/>
      <c r="K21" s="474"/>
      <c r="L21" s="369"/>
      <c r="M21" s="369"/>
      <c r="N21" s="369"/>
      <c r="O21" s="368"/>
      <c r="P21" s="337"/>
      <c r="Q21" s="337"/>
    </row>
    <row r="22" spans="1:18" x14ac:dyDescent="0.25">
      <c r="A22" s="360">
        <v>13</v>
      </c>
      <c r="B22" s="368"/>
      <c r="C22" s="368"/>
      <c r="D22" s="369"/>
      <c r="E22" s="368"/>
      <c r="F22" s="368"/>
      <c r="G22" s="369"/>
      <c r="H22" s="369"/>
      <c r="I22" s="368"/>
      <c r="J22" s="474"/>
      <c r="K22" s="474"/>
      <c r="L22" s="369"/>
      <c r="M22" s="369"/>
      <c r="N22" s="369"/>
      <c r="O22" s="368"/>
      <c r="P22" s="337"/>
      <c r="Q22" s="337"/>
    </row>
    <row r="23" spans="1:18" x14ac:dyDescent="0.25">
      <c r="A23" s="360">
        <v>14</v>
      </c>
      <c r="B23" s="368"/>
      <c r="C23" s="368"/>
      <c r="D23" s="369"/>
      <c r="E23" s="368"/>
      <c r="F23" s="368"/>
      <c r="G23" s="369"/>
      <c r="H23" s="369"/>
      <c r="I23" s="368"/>
      <c r="J23" s="474"/>
      <c r="K23" s="474"/>
      <c r="L23" s="369"/>
      <c r="M23" s="369"/>
      <c r="N23" s="369"/>
      <c r="O23" s="368"/>
      <c r="P23" s="337"/>
      <c r="Q23" s="337"/>
    </row>
    <row r="24" spans="1:18" x14ac:dyDescent="0.25">
      <c r="A24" s="360">
        <v>15</v>
      </c>
      <c r="B24" s="368"/>
      <c r="C24" s="368"/>
      <c r="D24" s="369"/>
      <c r="E24" s="368"/>
      <c r="F24" s="368"/>
      <c r="G24" s="369"/>
      <c r="H24" s="369"/>
      <c r="I24" s="368"/>
      <c r="J24" s="474"/>
      <c r="K24" s="474"/>
      <c r="L24" s="369"/>
      <c r="M24" s="369"/>
      <c r="N24" s="369"/>
      <c r="O24" s="368"/>
      <c r="P24" s="337"/>
      <c r="Q24" s="337"/>
    </row>
    <row r="25" spans="1:18" x14ac:dyDescent="0.25">
      <c r="A25" s="360">
        <v>16</v>
      </c>
      <c r="B25" s="368"/>
      <c r="C25" s="368"/>
      <c r="D25" s="369"/>
      <c r="E25" s="368"/>
      <c r="F25" s="368"/>
      <c r="G25" s="369"/>
      <c r="H25" s="369"/>
      <c r="I25" s="368"/>
      <c r="J25" s="474"/>
      <c r="K25" s="474"/>
      <c r="L25" s="369"/>
      <c r="M25" s="369"/>
      <c r="N25" s="369"/>
      <c r="O25" s="368"/>
      <c r="Q25" s="337"/>
    </row>
    <row r="26" spans="1:18" x14ac:dyDescent="0.25">
      <c r="A26" s="472">
        <v>17</v>
      </c>
      <c r="B26" s="368"/>
      <c r="C26" s="368"/>
      <c r="D26" s="369"/>
      <c r="E26" s="368"/>
      <c r="F26" s="368"/>
      <c r="G26" s="369"/>
      <c r="H26" s="369"/>
      <c r="I26" s="368"/>
      <c r="J26" s="474"/>
      <c r="K26" s="474"/>
      <c r="L26" s="369"/>
      <c r="M26" s="369"/>
      <c r="N26" s="369"/>
      <c r="O26" s="368"/>
      <c r="Q26" s="337"/>
    </row>
    <row r="27" spans="1:18" x14ac:dyDescent="0.25">
      <c r="A27" s="360">
        <v>18</v>
      </c>
      <c r="B27" s="368"/>
      <c r="C27" s="368"/>
      <c r="D27" s="369"/>
      <c r="E27" s="368"/>
      <c r="F27" s="368"/>
      <c r="G27" s="369"/>
      <c r="H27" s="369"/>
      <c r="I27" s="368"/>
      <c r="J27" s="474"/>
      <c r="K27" s="474"/>
      <c r="L27" s="369"/>
      <c r="M27" s="369"/>
      <c r="N27" s="369"/>
      <c r="O27" s="368"/>
      <c r="P27" s="337"/>
      <c r="Q27" s="337"/>
    </row>
    <row r="28" spans="1:18" x14ac:dyDescent="0.25">
      <c r="A28" s="360">
        <v>19</v>
      </c>
      <c r="B28" s="368"/>
      <c r="C28" s="368"/>
      <c r="D28" s="369"/>
      <c r="E28" s="368"/>
      <c r="F28" s="368"/>
      <c r="G28" s="369"/>
      <c r="H28" s="369"/>
      <c r="I28" s="368"/>
      <c r="J28" s="474"/>
      <c r="K28" s="474"/>
      <c r="L28" s="369"/>
      <c r="M28" s="369"/>
      <c r="N28" s="369"/>
      <c r="O28" s="368"/>
      <c r="P28" s="337"/>
      <c r="Q28" s="337"/>
    </row>
    <row r="29" spans="1:18" x14ac:dyDescent="0.25">
      <c r="A29" s="360">
        <v>20</v>
      </c>
      <c r="B29" s="368"/>
      <c r="C29" s="368"/>
      <c r="D29" s="369"/>
      <c r="E29" s="368"/>
      <c r="F29" s="368"/>
      <c r="G29" s="369"/>
      <c r="H29" s="369"/>
      <c r="I29" s="368"/>
      <c r="J29" s="474"/>
      <c r="K29" s="474"/>
      <c r="L29" s="369"/>
      <c r="M29" s="369"/>
      <c r="N29" s="369"/>
      <c r="O29" s="368"/>
      <c r="P29" s="337"/>
      <c r="Q29" s="337"/>
    </row>
    <row r="30" spans="1:18" x14ac:dyDescent="0.25">
      <c r="A30" s="360">
        <v>21</v>
      </c>
      <c r="B30" s="368"/>
      <c r="C30" s="368"/>
      <c r="D30" s="369"/>
      <c r="E30" s="368"/>
      <c r="F30" s="368"/>
      <c r="G30" s="369"/>
      <c r="H30" s="369"/>
      <c r="I30" s="368"/>
      <c r="J30" s="474"/>
      <c r="K30" s="474"/>
      <c r="L30" s="369"/>
      <c r="M30" s="369"/>
      <c r="N30" s="369"/>
      <c r="O30" s="368"/>
      <c r="P30" s="337"/>
      <c r="Q30" s="337"/>
    </row>
    <row r="31" spans="1:18" x14ac:dyDescent="0.25">
      <c r="A31" s="360">
        <v>22</v>
      </c>
      <c r="B31" s="368"/>
      <c r="C31" s="368"/>
      <c r="D31" s="369"/>
      <c r="E31" s="368"/>
      <c r="F31" s="368"/>
      <c r="G31" s="369"/>
      <c r="H31" s="369"/>
      <c r="I31" s="368"/>
      <c r="J31" s="474"/>
      <c r="K31" s="474"/>
      <c r="L31" s="369"/>
      <c r="M31" s="369"/>
      <c r="N31" s="369"/>
      <c r="O31" s="368"/>
      <c r="P31" s="337"/>
      <c r="Q31" s="337"/>
    </row>
    <row r="32" spans="1:18" x14ac:dyDescent="0.25">
      <c r="A32" s="360">
        <v>23</v>
      </c>
      <c r="B32" s="368"/>
      <c r="C32" s="368"/>
      <c r="D32" s="368"/>
      <c r="E32" s="368"/>
      <c r="F32" s="368"/>
      <c r="G32" s="369"/>
      <c r="H32" s="369"/>
      <c r="I32" s="368"/>
      <c r="J32" s="474"/>
      <c r="K32" s="474"/>
      <c r="L32" s="369"/>
      <c r="M32" s="369"/>
      <c r="N32" s="369"/>
      <c r="O32" s="368"/>
      <c r="P32" s="337"/>
      <c r="Q32" s="337"/>
    </row>
    <row r="33" spans="1:17" x14ac:dyDescent="0.25">
      <c r="A33" s="472">
        <v>24</v>
      </c>
      <c r="B33" s="368"/>
      <c r="C33" s="368"/>
      <c r="D33" s="369"/>
      <c r="E33" s="368"/>
      <c r="F33" s="368"/>
      <c r="G33" s="369"/>
      <c r="H33" s="369"/>
      <c r="I33" s="368"/>
      <c r="J33" s="474"/>
      <c r="K33" s="474"/>
      <c r="L33" s="369"/>
      <c r="M33" s="369"/>
      <c r="N33" s="473"/>
      <c r="O33" s="368"/>
      <c r="P33" s="740"/>
      <c r="Q33" s="740"/>
    </row>
    <row r="34" spans="1:17" x14ac:dyDescent="0.25">
      <c r="A34" s="360">
        <v>25</v>
      </c>
      <c r="B34" s="368"/>
      <c r="C34" s="368"/>
      <c r="D34" s="369"/>
      <c r="E34" s="368"/>
      <c r="F34" s="368"/>
      <c r="G34" s="369"/>
      <c r="H34" s="369"/>
      <c r="I34" s="368"/>
      <c r="J34" s="474"/>
      <c r="K34" s="474"/>
      <c r="L34" s="369"/>
      <c r="M34" s="369"/>
      <c r="N34" s="369"/>
      <c r="O34" s="368"/>
      <c r="P34" s="337"/>
      <c r="Q34" s="337"/>
    </row>
    <row r="35" spans="1:17" x14ac:dyDescent="0.25">
      <c r="A35" s="360">
        <v>26</v>
      </c>
      <c r="B35" s="368"/>
      <c r="C35" s="368"/>
      <c r="D35" s="369"/>
      <c r="E35" s="368"/>
      <c r="F35" s="368"/>
      <c r="G35" s="369"/>
      <c r="H35" s="369"/>
      <c r="I35" s="368"/>
      <c r="J35" s="474"/>
      <c r="K35" s="474"/>
      <c r="L35" s="369"/>
      <c r="M35" s="369"/>
      <c r="N35" s="369"/>
      <c r="O35" s="368"/>
      <c r="P35" s="337"/>
      <c r="Q35" s="337"/>
    </row>
    <row r="36" spans="1:17" x14ac:dyDescent="0.25">
      <c r="A36" s="360">
        <v>27</v>
      </c>
      <c r="B36" s="368"/>
      <c r="C36" s="368"/>
      <c r="D36" s="369"/>
      <c r="E36" s="368"/>
      <c r="F36" s="368"/>
      <c r="G36" s="369"/>
      <c r="H36" s="369"/>
      <c r="I36" s="368"/>
      <c r="J36" s="474"/>
      <c r="K36" s="474"/>
      <c r="L36" s="369"/>
      <c r="M36" s="369"/>
      <c r="N36" s="369"/>
      <c r="O36" s="368"/>
      <c r="P36" s="337"/>
      <c r="Q36" s="337"/>
    </row>
    <row r="37" spans="1:17" x14ac:dyDescent="0.25">
      <c r="A37" s="360">
        <v>28</v>
      </c>
      <c r="B37" s="368"/>
      <c r="C37" s="368"/>
      <c r="D37" s="369"/>
      <c r="E37" s="368"/>
      <c r="F37" s="368"/>
      <c r="G37" s="369"/>
      <c r="H37" s="369"/>
      <c r="I37" s="368"/>
      <c r="J37" s="474"/>
      <c r="K37" s="474"/>
      <c r="L37" s="369"/>
      <c r="M37" s="369"/>
      <c r="N37" s="369"/>
      <c r="O37" s="368"/>
      <c r="P37" s="337"/>
      <c r="Q37" s="337"/>
    </row>
    <row r="38" spans="1:17" x14ac:dyDescent="0.25">
      <c r="A38" s="360">
        <v>29</v>
      </c>
      <c r="B38" s="368"/>
      <c r="C38" s="368"/>
      <c r="D38" s="369"/>
      <c r="E38" s="368"/>
      <c r="F38" s="368"/>
      <c r="G38" s="369"/>
      <c r="H38" s="369"/>
      <c r="I38" s="368"/>
      <c r="J38" s="370"/>
      <c r="K38" s="370"/>
      <c r="L38" s="369"/>
      <c r="M38" s="369"/>
      <c r="N38" s="369"/>
      <c r="O38" s="368"/>
      <c r="P38" s="337"/>
      <c r="Q38" s="337"/>
    </row>
    <row r="39" spans="1:17" x14ac:dyDescent="0.25">
      <c r="A39" s="360">
        <v>30</v>
      </c>
      <c r="B39" s="368"/>
      <c r="C39" s="368"/>
      <c r="D39" s="369"/>
      <c r="E39" s="368"/>
      <c r="F39" s="368"/>
      <c r="G39" s="369"/>
      <c r="H39" s="369"/>
      <c r="I39" s="368"/>
      <c r="J39" s="370"/>
      <c r="K39" s="370"/>
      <c r="L39" s="369"/>
      <c r="M39" s="369"/>
      <c r="N39" s="369"/>
      <c r="O39" s="368"/>
      <c r="P39" s="337"/>
      <c r="Q39" s="337"/>
    </row>
    <row r="40" spans="1:17" x14ac:dyDescent="0.25">
      <c r="A40" s="360">
        <v>31</v>
      </c>
      <c r="B40" s="368"/>
      <c r="C40" s="368"/>
      <c r="D40" s="369"/>
      <c r="E40" s="368"/>
      <c r="F40" s="368"/>
      <c r="G40" s="369"/>
      <c r="H40" s="369"/>
      <c r="I40" s="368"/>
      <c r="J40" s="370"/>
      <c r="K40" s="370"/>
      <c r="L40" s="369"/>
      <c r="M40" s="369"/>
      <c r="N40" s="369"/>
      <c r="O40" s="368"/>
      <c r="P40" s="337"/>
      <c r="Q40" s="337"/>
    </row>
    <row r="41" spans="1:17" x14ac:dyDescent="0.25">
      <c r="A41" s="336"/>
      <c r="B41" s="337"/>
      <c r="C41" s="337"/>
      <c r="D41" s="338" t="e">
        <f>AVERAGE(D10:D40)</f>
        <v>#DIV/0!</v>
      </c>
      <c r="E41" s="337"/>
      <c r="F41" s="337"/>
      <c r="G41" s="363" t="e">
        <f>AVERAGE(G10:G40)</f>
        <v>#DIV/0!</v>
      </c>
      <c r="H41" s="363" t="e">
        <f>AVERAGE(H10:H40)</f>
        <v>#DIV/0!</v>
      </c>
      <c r="I41" s="363" t="e">
        <f>AVERAGE(I10:I40)</f>
        <v>#DIV/0!</v>
      </c>
      <c r="J41" s="363">
        <f>SUM(J10:J40)</f>
        <v>0</v>
      </c>
      <c r="K41" s="363">
        <f>SUM(K10:K40)</f>
        <v>0</v>
      </c>
      <c r="L41" s="337"/>
      <c r="M41" s="337"/>
      <c r="N41" s="337"/>
      <c r="O41" s="337"/>
      <c r="P41" s="337"/>
      <c r="Q41" s="337"/>
    </row>
    <row r="42" spans="1:17" x14ac:dyDescent="0.25">
      <c r="A42" s="336"/>
      <c r="B42" s="337"/>
      <c r="C42" s="337"/>
      <c r="D42" s="338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</row>
    <row r="43" spans="1:17" x14ac:dyDescent="0.25">
      <c r="A43" s="336"/>
      <c r="B43" s="337"/>
      <c r="C43" s="337"/>
      <c r="D43" s="338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</row>
    <row r="44" spans="1:17" x14ac:dyDescent="0.25">
      <c r="A44" s="336"/>
      <c r="B44" s="337"/>
      <c r="C44" s="337"/>
      <c r="D44" s="338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</row>
    <row r="45" spans="1:17" x14ac:dyDescent="0.25">
      <c r="A45" s="336"/>
      <c r="B45" s="337"/>
      <c r="C45" s="337"/>
      <c r="D45" s="338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</row>
    <row r="46" spans="1:17" x14ac:dyDescent="0.25">
      <c r="A46" s="336"/>
      <c r="B46" s="337"/>
      <c r="C46" s="337"/>
      <c r="D46" s="338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</row>
    <row r="47" spans="1:17" x14ac:dyDescent="0.25">
      <c r="A47" s="336"/>
      <c r="B47" s="337"/>
      <c r="C47" s="337"/>
      <c r="D47" s="338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</row>
    <row r="48" spans="1:17" x14ac:dyDescent="0.25">
      <c r="A48" s="336"/>
      <c r="B48" s="337"/>
      <c r="C48" s="337"/>
      <c r="D48" s="338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</row>
    <row r="49" spans="1:17" x14ac:dyDescent="0.25">
      <c r="A49" s="336"/>
      <c r="B49" s="337"/>
      <c r="C49" s="337"/>
      <c r="D49" s="338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</row>
    <row r="50" spans="1:17" x14ac:dyDescent="0.25">
      <c r="A50" s="336"/>
      <c r="B50" s="337"/>
      <c r="C50" s="337"/>
      <c r="D50" s="338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</row>
    <row r="51" spans="1:17" x14ac:dyDescent="0.25">
      <c r="A51" s="336"/>
      <c r="B51" s="337"/>
      <c r="C51" s="337"/>
      <c r="D51" s="338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</row>
    <row r="52" spans="1:17" x14ac:dyDescent="0.25">
      <c r="A52" s="336"/>
      <c r="B52" s="337"/>
      <c r="C52" s="337"/>
      <c r="D52" s="338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</row>
    <row r="53" spans="1:17" x14ac:dyDescent="0.25">
      <c r="A53" s="336"/>
      <c r="B53" s="337"/>
      <c r="C53" s="337"/>
      <c r="D53" s="338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</row>
    <row r="54" spans="1:17" x14ac:dyDescent="0.25">
      <c r="A54" s="336"/>
      <c r="B54" s="337"/>
      <c r="C54" s="337"/>
      <c r="D54" s="338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</row>
    <row r="55" spans="1:17" x14ac:dyDescent="0.25">
      <c r="A55" s="336"/>
      <c r="B55" s="337"/>
      <c r="C55" s="337"/>
      <c r="D55" s="338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</row>
    <row r="56" spans="1:17" x14ac:dyDescent="0.25">
      <c r="A56" s="336"/>
      <c r="B56" s="337"/>
      <c r="C56" s="337"/>
      <c r="D56" s="338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</row>
    <row r="57" spans="1:17" x14ac:dyDescent="0.25">
      <c r="A57" s="336"/>
      <c r="B57" s="337"/>
      <c r="C57" s="337"/>
      <c r="D57" s="338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</row>
    <row r="58" spans="1:17" x14ac:dyDescent="0.25">
      <c r="A58" s="336"/>
      <c r="B58" s="337"/>
      <c r="C58" s="337"/>
      <c r="D58" s="338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</row>
    <row r="59" spans="1:17" x14ac:dyDescent="0.25">
      <c r="A59" s="336"/>
      <c r="B59" s="337"/>
      <c r="C59" s="337"/>
      <c r="D59" s="338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</row>
    <row r="60" spans="1:17" x14ac:dyDescent="0.25">
      <c r="A60" s="336"/>
      <c r="B60" s="337"/>
      <c r="C60" s="337"/>
      <c r="D60" s="338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</row>
    <row r="61" spans="1:17" x14ac:dyDescent="0.25">
      <c r="A61" s="336"/>
      <c r="B61" s="337"/>
      <c r="C61" s="337"/>
      <c r="D61" s="338"/>
      <c r="E61" s="337"/>
      <c r="F61" s="337"/>
      <c r="G61" s="337"/>
      <c r="H61" s="337"/>
      <c r="I61" s="337"/>
      <c r="J61" s="337"/>
    </row>
    <row r="62" spans="1:17" x14ac:dyDescent="0.25">
      <c r="A62" s="336"/>
      <c r="B62" s="337"/>
      <c r="C62" s="337"/>
      <c r="D62" s="338"/>
      <c r="E62" s="337"/>
      <c r="F62" s="337"/>
      <c r="G62" s="337"/>
      <c r="H62" s="337"/>
      <c r="I62" s="337"/>
      <c r="J62" s="337"/>
    </row>
    <row r="63" spans="1:17" x14ac:dyDescent="0.25">
      <c r="A63" s="336"/>
      <c r="B63" s="337"/>
      <c r="C63" s="337"/>
      <c r="D63" s="338"/>
      <c r="E63" s="337"/>
      <c r="F63" s="337"/>
      <c r="G63" s="337"/>
      <c r="H63" s="337"/>
      <c r="I63" s="337"/>
      <c r="J63" s="337"/>
    </row>
    <row r="64" spans="1:17" x14ac:dyDescent="0.25">
      <c r="A64" s="336"/>
      <c r="B64" s="337"/>
      <c r="C64" s="337"/>
      <c r="D64" s="338"/>
      <c r="E64" s="337"/>
      <c r="F64" s="337"/>
      <c r="G64" s="337"/>
      <c r="H64" s="337"/>
      <c r="I64" s="337"/>
      <c r="J64" s="337"/>
    </row>
    <row r="65" spans="1:10" x14ac:dyDescent="0.25">
      <c r="A65" s="336"/>
      <c r="B65" s="337"/>
      <c r="C65" s="337"/>
      <c r="D65" s="338"/>
      <c r="E65" s="337"/>
      <c r="F65" s="337"/>
      <c r="G65" s="337"/>
      <c r="H65" s="337"/>
      <c r="I65" s="337"/>
      <c r="J65" s="337"/>
    </row>
    <row r="66" spans="1:10" x14ac:dyDescent="0.25">
      <c r="A66" s="336"/>
      <c r="B66" s="337"/>
      <c r="C66" s="337"/>
      <c r="D66" s="338"/>
      <c r="E66" s="337"/>
      <c r="F66" s="337"/>
      <c r="G66" s="337"/>
      <c r="H66" s="337"/>
      <c r="I66" s="337"/>
      <c r="J66" s="337"/>
    </row>
    <row r="67" spans="1:10" x14ac:dyDescent="0.25">
      <c r="A67" s="336"/>
      <c r="B67" s="337"/>
      <c r="C67" s="337"/>
      <c r="D67" s="338"/>
      <c r="E67" s="337"/>
      <c r="F67" s="337"/>
      <c r="G67" s="337"/>
      <c r="H67" s="337"/>
      <c r="I67" s="337"/>
      <c r="J67" s="337"/>
    </row>
    <row r="68" spans="1:10" x14ac:dyDescent="0.25">
      <c r="A68" s="336"/>
      <c r="B68" s="337"/>
      <c r="C68" s="337"/>
      <c r="D68" s="338"/>
      <c r="E68" s="337"/>
      <c r="F68" s="337"/>
      <c r="G68" s="337"/>
      <c r="H68" s="337"/>
      <c r="I68" s="337"/>
      <c r="J68" s="337"/>
    </row>
    <row r="69" spans="1:10" x14ac:dyDescent="0.25">
      <c r="A69" s="336"/>
      <c r="B69" s="337"/>
      <c r="C69" s="337"/>
      <c r="D69" s="338"/>
      <c r="E69" s="337"/>
      <c r="F69" s="337"/>
      <c r="G69" s="337"/>
      <c r="H69" s="337"/>
      <c r="I69" s="337"/>
      <c r="J69" s="337"/>
    </row>
    <row r="70" spans="1:10" x14ac:dyDescent="0.25">
      <c r="A70" s="336"/>
      <c r="B70" s="337"/>
      <c r="C70" s="337"/>
      <c r="D70" s="338"/>
      <c r="E70" s="337"/>
      <c r="F70" s="337"/>
      <c r="G70" s="337"/>
      <c r="H70" s="337"/>
      <c r="I70" s="337"/>
      <c r="J70" s="337"/>
    </row>
    <row r="71" spans="1:10" x14ac:dyDescent="0.25">
      <c r="A71" s="336"/>
      <c r="B71" s="337"/>
      <c r="C71" s="337"/>
      <c r="D71" s="338"/>
      <c r="E71" s="337"/>
      <c r="F71" s="337"/>
      <c r="G71" s="337"/>
      <c r="H71" s="337"/>
      <c r="I71" s="337"/>
      <c r="J71" s="337"/>
    </row>
    <row r="72" spans="1:10" x14ac:dyDescent="0.25">
      <c r="A72" s="336"/>
      <c r="B72" s="337"/>
      <c r="C72" s="337"/>
      <c r="D72" s="338"/>
      <c r="E72" s="337"/>
      <c r="F72" s="337"/>
      <c r="G72" s="337"/>
      <c r="H72" s="337"/>
      <c r="I72" s="337"/>
      <c r="J72" s="337"/>
    </row>
    <row r="73" spans="1:10" x14ac:dyDescent="0.25">
      <c r="A73" s="336"/>
      <c r="B73" s="337"/>
      <c r="C73" s="337"/>
      <c r="D73" s="338"/>
      <c r="E73" s="337"/>
      <c r="F73" s="337"/>
      <c r="G73" s="337"/>
      <c r="H73" s="337"/>
      <c r="I73" s="337"/>
      <c r="J73" s="337"/>
    </row>
    <row r="74" spans="1:10" x14ac:dyDescent="0.25">
      <c r="A74" s="336"/>
      <c r="B74" s="337"/>
      <c r="C74" s="337"/>
      <c r="D74" s="338"/>
      <c r="E74" s="337"/>
      <c r="F74" s="337"/>
      <c r="G74" s="337"/>
      <c r="H74" s="337"/>
      <c r="I74" s="337"/>
      <c r="J74" s="337"/>
    </row>
    <row r="75" spans="1:10" x14ac:dyDescent="0.25">
      <c r="A75" s="336"/>
      <c r="B75" s="337"/>
      <c r="C75" s="337"/>
      <c r="D75" s="338"/>
      <c r="E75" s="337"/>
      <c r="F75" s="337"/>
      <c r="G75" s="337"/>
      <c r="H75" s="337"/>
      <c r="I75" s="337"/>
      <c r="J75" s="337"/>
    </row>
    <row r="76" spans="1:10" x14ac:dyDescent="0.25">
      <c r="A76" s="336"/>
      <c r="B76" s="337"/>
      <c r="C76" s="337"/>
      <c r="D76" s="338"/>
      <c r="E76" s="337"/>
      <c r="F76" s="337"/>
      <c r="G76" s="337"/>
      <c r="H76" s="337"/>
      <c r="I76" s="337"/>
      <c r="J76" s="337"/>
    </row>
    <row r="77" spans="1:10" x14ac:dyDescent="0.25">
      <c r="A77" s="336"/>
      <c r="B77" s="337"/>
      <c r="C77" s="337"/>
      <c r="D77" s="338"/>
      <c r="E77" s="337"/>
      <c r="F77" s="337"/>
      <c r="G77" s="337"/>
      <c r="H77" s="337"/>
      <c r="I77" s="337"/>
      <c r="J77" s="337"/>
    </row>
    <row r="78" spans="1:10" x14ac:dyDescent="0.25">
      <c r="A78" s="336"/>
      <c r="B78" s="337"/>
      <c r="C78" s="337"/>
      <c r="D78" s="338"/>
      <c r="E78" s="337"/>
      <c r="F78" s="337"/>
      <c r="G78" s="337"/>
      <c r="H78" s="337"/>
      <c r="I78" s="337"/>
      <c r="J78" s="337"/>
    </row>
    <row r="79" spans="1:10" x14ac:dyDescent="0.25">
      <c r="A79" s="336"/>
      <c r="B79" s="337"/>
      <c r="C79" s="337"/>
      <c r="D79" s="338"/>
      <c r="E79" s="337"/>
      <c r="F79" s="337"/>
      <c r="G79" s="337"/>
      <c r="H79" s="337"/>
      <c r="I79" s="337"/>
      <c r="J79" s="337"/>
    </row>
    <row r="80" spans="1:10" x14ac:dyDescent="0.25">
      <c r="A80" s="336"/>
      <c r="B80" s="337"/>
      <c r="C80" s="337"/>
      <c r="D80" s="338"/>
      <c r="E80" s="337"/>
      <c r="F80" s="337"/>
      <c r="G80" s="337"/>
      <c r="H80" s="337"/>
      <c r="I80" s="337"/>
      <c r="J80" s="337"/>
    </row>
    <row r="81" spans="1:10" x14ac:dyDescent="0.25">
      <c r="A81" s="336"/>
      <c r="B81" s="337"/>
      <c r="C81" s="337"/>
      <c r="D81" s="338"/>
      <c r="E81" s="337"/>
      <c r="F81" s="337"/>
      <c r="G81" s="337"/>
      <c r="H81" s="337"/>
      <c r="I81" s="337"/>
      <c r="J81" s="337"/>
    </row>
    <row r="82" spans="1:10" x14ac:dyDescent="0.25">
      <c r="A82" s="336"/>
      <c r="B82" s="337"/>
      <c r="C82" s="337"/>
      <c r="D82" s="338"/>
      <c r="E82" s="337"/>
      <c r="F82" s="337"/>
      <c r="G82" s="337"/>
      <c r="H82" s="337"/>
      <c r="I82" s="337"/>
      <c r="J82" s="337"/>
    </row>
    <row r="83" spans="1:10" x14ac:dyDescent="0.25">
      <c r="A83" s="336"/>
      <c r="B83" s="337"/>
      <c r="C83" s="337"/>
      <c r="D83" s="338"/>
      <c r="E83" s="337"/>
      <c r="F83" s="337"/>
      <c r="G83" s="337"/>
      <c r="H83" s="337"/>
      <c r="I83" s="337"/>
      <c r="J83" s="337"/>
    </row>
    <row r="84" spans="1:10" x14ac:dyDescent="0.25">
      <c r="A84" s="336"/>
      <c r="B84" s="337"/>
      <c r="C84" s="337"/>
      <c r="D84" s="338"/>
      <c r="E84" s="337"/>
      <c r="F84" s="337"/>
      <c r="G84" s="337"/>
      <c r="H84" s="337"/>
      <c r="I84" s="337"/>
      <c r="J84" s="337"/>
    </row>
    <row r="85" spans="1:10" x14ac:dyDescent="0.25">
      <c r="A85" s="336"/>
      <c r="B85" s="337"/>
      <c r="C85" s="337"/>
      <c r="D85" s="338"/>
      <c r="E85" s="337"/>
      <c r="F85" s="337"/>
      <c r="G85" s="337"/>
      <c r="H85" s="337"/>
      <c r="I85" s="337"/>
      <c r="J85" s="337"/>
    </row>
    <row r="86" spans="1:10" x14ac:dyDescent="0.25">
      <c r="A86" s="336"/>
      <c r="B86" s="337"/>
      <c r="C86" s="337"/>
      <c r="D86" s="338"/>
      <c r="E86" s="337"/>
      <c r="F86" s="337"/>
      <c r="G86" s="337"/>
      <c r="H86" s="337"/>
      <c r="I86" s="337"/>
      <c r="J86" s="337"/>
    </row>
    <row r="87" spans="1:10" x14ac:dyDescent="0.25">
      <c r="A87" s="336"/>
      <c r="B87" s="337"/>
      <c r="C87" s="337"/>
      <c r="D87" s="338"/>
      <c r="E87" s="337"/>
      <c r="F87" s="337"/>
      <c r="G87" s="337"/>
      <c r="H87" s="337"/>
      <c r="I87" s="337"/>
      <c r="J87" s="337"/>
    </row>
    <row r="88" spans="1:10" x14ac:dyDescent="0.25">
      <c r="A88" s="336"/>
      <c r="B88" s="337"/>
      <c r="C88" s="337"/>
      <c r="D88" s="338"/>
      <c r="E88" s="337"/>
      <c r="F88" s="337"/>
      <c r="G88" s="337"/>
      <c r="H88" s="337"/>
      <c r="I88" s="337"/>
      <c r="J88" s="337"/>
    </row>
    <row r="89" spans="1:10" x14ac:dyDescent="0.25">
      <c r="A89" s="336"/>
      <c r="B89" s="337"/>
      <c r="C89" s="337"/>
      <c r="D89" s="338"/>
      <c r="E89" s="337"/>
      <c r="F89" s="337"/>
      <c r="G89" s="337"/>
      <c r="H89" s="337"/>
      <c r="I89" s="337"/>
      <c r="J89" s="337"/>
    </row>
    <row r="90" spans="1:10" x14ac:dyDescent="0.25">
      <c r="A90" s="336"/>
      <c r="B90" s="337"/>
      <c r="C90" s="337"/>
      <c r="D90" s="338"/>
      <c r="E90" s="337"/>
      <c r="F90" s="337"/>
      <c r="G90" s="337"/>
      <c r="H90" s="337"/>
      <c r="I90" s="337"/>
      <c r="J90" s="337"/>
    </row>
    <row r="91" spans="1:10" x14ac:dyDescent="0.25">
      <c r="A91" s="336"/>
      <c r="B91" s="337"/>
      <c r="C91" s="337"/>
      <c r="D91" s="338"/>
      <c r="E91" s="337"/>
      <c r="F91" s="337"/>
      <c r="G91" s="337"/>
      <c r="H91" s="337"/>
      <c r="I91" s="337"/>
      <c r="J91" s="337"/>
    </row>
    <row r="92" spans="1:10" x14ac:dyDescent="0.25">
      <c r="A92" s="336"/>
      <c r="B92" s="337"/>
      <c r="C92" s="337"/>
      <c r="D92" s="338"/>
      <c r="E92" s="337"/>
      <c r="F92" s="337"/>
      <c r="G92" s="337"/>
      <c r="H92" s="337"/>
      <c r="I92" s="337"/>
      <c r="J92" s="337"/>
    </row>
    <row r="93" spans="1:10" x14ac:dyDescent="0.25">
      <c r="A93" s="336"/>
      <c r="B93" s="337"/>
      <c r="C93" s="337"/>
      <c r="D93" s="338"/>
      <c r="E93" s="337"/>
      <c r="F93" s="337"/>
      <c r="G93" s="337"/>
      <c r="H93" s="337"/>
      <c r="I93" s="337"/>
      <c r="J93" s="337"/>
    </row>
    <row r="94" spans="1:10" x14ac:dyDescent="0.25">
      <c r="A94" s="336"/>
      <c r="B94" s="337"/>
      <c r="C94" s="337"/>
      <c r="D94" s="338"/>
      <c r="E94" s="337"/>
      <c r="F94" s="337"/>
      <c r="G94" s="337"/>
      <c r="H94" s="337"/>
      <c r="I94" s="337"/>
      <c r="J94" s="337"/>
    </row>
    <row r="95" spans="1:10" x14ac:dyDescent="0.25">
      <c r="A95" s="336"/>
      <c r="B95" s="337"/>
      <c r="C95" s="337"/>
      <c r="D95" s="338"/>
      <c r="E95" s="337"/>
      <c r="F95" s="337"/>
      <c r="G95" s="337"/>
      <c r="H95" s="337"/>
      <c r="I95" s="337"/>
      <c r="J95" s="337"/>
    </row>
    <row r="96" spans="1:10" x14ac:dyDescent="0.25">
      <c r="A96" s="336"/>
      <c r="B96" s="337"/>
      <c r="C96" s="337"/>
      <c r="D96" s="338"/>
      <c r="E96" s="337"/>
      <c r="F96" s="337"/>
      <c r="G96" s="337"/>
      <c r="H96" s="337"/>
      <c r="I96" s="337"/>
      <c r="J96" s="337"/>
    </row>
    <row r="97" spans="1:10" x14ac:dyDescent="0.25">
      <c r="A97" s="336"/>
      <c r="B97" s="337"/>
      <c r="C97" s="337"/>
      <c r="D97" s="338"/>
      <c r="E97" s="337"/>
      <c r="F97" s="337"/>
      <c r="G97" s="337"/>
      <c r="H97" s="337"/>
      <c r="I97" s="337"/>
      <c r="J97" s="337"/>
    </row>
    <row r="98" spans="1:10" x14ac:dyDescent="0.25">
      <c r="A98" s="336"/>
      <c r="B98" s="337"/>
      <c r="C98" s="337"/>
      <c r="D98" s="338"/>
      <c r="E98" s="337"/>
      <c r="F98" s="337"/>
      <c r="G98" s="337"/>
      <c r="H98" s="337"/>
      <c r="I98" s="337"/>
      <c r="J98" s="337"/>
    </row>
    <row r="99" spans="1:10" x14ac:dyDescent="0.25">
      <c r="A99" s="336"/>
      <c r="B99" s="337"/>
      <c r="C99" s="337"/>
      <c r="D99" s="338"/>
      <c r="E99" s="337"/>
      <c r="F99" s="337"/>
      <c r="G99" s="337"/>
      <c r="H99" s="337"/>
      <c r="I99" s="337"/>
      <c r="J99" s="337"/>
    </row>
    <row r="100" spans="1:10" x14ac:dyDescent="0.25">
      <c r="A100" s="336"/>
      <c r="B100" s="337"/>
      <c r="C100" s="337"/>
      <c r="D100" s="338"/>
      <c r="E100" s="337"/>
      <c r="F100" s="337"/>
      <c r="G100" s="337"/>
      <c r="H100" s="337"/>
      <c r="I100" s="337"/>
      <c r="J100" s="337"/>
    </row>
    <row r="101" spans="1:10" x14ac:dyDescent="0.25">
      <c r="A101" s="336"/>
      <c r="B101" s="337"/>
      <c r="C101" s="337"/>
      <c r="D101" s="338"/>
      <c r="E101" s="337"/>
      <c r="F101" s="337"/>
      <c r="G101" s="337"/>
      <c r="H101" s="337"/>
      <c r="I101" s="337"/>
      <c r="J101" s="337"/>
    </row>
    <row r="102" spans="1:10" x14ac:dyDescent="0.25">
      <c r="A102" s="336"/>
      <c r="B102" s="337"/>
      <c r="C102" s="337"/>
      <c r="D102" s="338"/>
      <c r="E102" s="337"/>
      <c r="F102" s="337"/>
      <c r="G102" s="337"/>
      <c r="H102" s="337"/>
      <c r="I102" s="337"/>
      <c r="J102" s="337"/>
    </row>
    <row r="103" spans="1:10" x14ac:dyDescent="0.25">
      <c r="A103" s="336"/>
      <c r="B103" s="337"/>
      <c r="C103" s="337"/>
      <c r="D103" s="338"/>
      <c r="E103" s="337"/>
      <c r="F103" s="337"/>
      <c r="G103" s="337"/>
      <c r="H103" s="337"/>
      <c r="I103" s="337"/>
      <c r="J103" s="337"/>
    </row>
    <row r="104" spans="1:10" x14ac:dyDescent="0.25">
      <c r="A104" s="336"/>
      <c r="B104" s="337"/>
      <c r="C104" s="337"/>
      <c r="D104" s="338"/>
      <c r="E104" s="337"/>
      <c r="F104" s="337"/>
      <c r="G104" s="337"/>
      <c r="H104" s="337"/>
      <c r="I104" s="337"/>
      <c r="J104" s="337"/>
    </row>
    <row r="105" spans="1:10" x14ac:dyDescent="0.25">
      <c r="A105" s="336"/>
      <c r="B105" s="337"/>
      <c r="C105" s="337"/>
      <c r="D105" s="338"/>
      <c r="E105" s="337"/>
      <c r="F105" s="337"/>
      <c r="G105" s="337"/>
      <c r="H105" s="337"/>
      <c r="I105" s="337"/>
      <c r="J105" s="337"/>
    </row>
    <row r="106" spans="1:10" x14ac:dyDescent="0.25">
      <c r="A106" s="336"/>
      <c r="B106" s="337"/>
      <c r="C106" s="337"/>
      <c r="D106" s="338"/>
      <c r="E106" s="337"/>
      <c r="F106" s="337"/>
      <c r="G106" s="337"/>
      <c r="H106" s="337"/>
      <c r="I106" s="337"/>
      <c r="J106" s="337"/>
    </row>
    <row r="107" spans="1:10" x14ac:dyDescent="0.25">
      <c r="A107" s="336"/>
      <c r="B107" s="337"/>
      <c r="C107" s="337"/>
      <c r="D107" s="338"/>
      <c r="E107" s="337"/>
      <c r="F107" s="337"/>
      <c r="G107" s="337"/>
      <c r="H107" s="337"/>
      <c r="I107" s="337"/>
      <c r="J107" s="337"/>
    </row>
    <row r="108" spans="1:10" x14ac:dyDescent="0.25">
      <c r="A108" s="336"/>
      <c r="B108" s="337"/>
      <c r="C108" s="337"/>
      <c r="D108" s="338"/>
      <c r="E108" s="337"/>
      <c r="F108" s="337"/>
      <c r="G108" s="337"/>
      <c r="H108" s="337"/>
      <c r="I108" s="337"/>
      <c r="J108" s="337"/>
    </row>
    <row r="109" spans="1:10" x14ac:dyDescent="0.25">
      <c r="A109" s="336"/>
      <c r="B109" s="337"/>
      <c r="C109" s="337"/>
      <c r="D109" s="338"/>
      <c r="E109" s="337"/>
      <c r="F109" s="337"/>
      <c r="G109" s="337"/>
      <c r="H109" s="337"/>
      <c r="I109" s="337"/>
      <c r="J109" s="337"/>
    </row>
    <row r="110" spans="1:10" x14ac:dyDescent="0.25">
      <c r="A110" s="336"/>
      <c r="B110" s="337"/>
      <c r="C110" s="337"/>
      <c r="D110" s="338"/>
      <c r="E110" s="337"/>
      <c r="F110" s="337"/>
      <c r="G110" s="337"/>
      <c r="H110" s="337"/>
      <c r="I110" s="337"/>
      <c r="J110" s="337"/>
    </row>
    <row r="111" spans="1:10" x14ac:dyDescent="0.25">
      <c r="A111" s="336"/>
      <c r="B111" s="337"/>
      <c r="C111" s="337"/>
      <c r="D111" s="338"/>
      <c r="E111" s="337"/>
      <c r="F111" s="337"/>
      <c r="G111" s="337"/>
      <c r="H111" s="337"/>
      <c r="I111" s="337"/>
      <c r="J111" s="337"/>
    </row>
    <row r="112" spans="1:10" x14ac:dyDescent="0.25">
      <c r="A112" s="336"/>
      <c r="B112" s="337"/>
      <c r="C112" s="337"/>
      <c r="D112" s="338"/>
      <c r="E112" s="337"/>
      <c r="F112" s="337"/>
      <c r="G112" s="337"/>
      <c r="H112" s="337"/>
      <c r="I112" s="337"/>
      <c r="J112" s="337"/>
    </row>
    <row r="113" spans="1:10" x14ac:dyDescent="0.25">
      <c r="A113" s="336"/>
      <c r="B113" s="337"/>
      <c r="C113" s="337"/>
      <c r="D113" s="338"/>
      <c r="E113" s="337"/>
      <c r="F113" s="337"/>
      <c r="G113" s="337"/>
      <c r="H113" s="337"/>
      <c r="I113" s="337"/>
      <c r="J113" s="337"/>
    </row>
    <row r="114" spans="1:10" x14ac:dyDescent="0.25">
      <c r="A114" s="336"/>
      <c r="B114" s="337"/>
      <c r="C114" s="337"/>
      <c r="D114" s="338"/>
      <c r="E114" s="337"/>
      <c r="F114" s="337"/>
      <c r="G114" s="337"/>
      <c r="H114" s="337"/>
      <c r="I114" s="337"/>
      <c r="J114" s="337"/>
    </row>
    <row r="115" spans="1:10" x14ac:dyDescent="0.25">
      <c r="A115" s="336"/>
      <c r="B115" s="337"/>
      <c r="C115" s="337"/>
      <c r="D115" s="338"/>
      <c r="E115" s="337"/>
      <c r="F115" s="337"/>
      <c r="G115" s="337"/>
      <c r="H115" s="337"/>
      <c r="I115" s="337"/>
      <c r="J115" s="337"/>
    </row>
    <row r="116" spans="1:10" x14ac:dyDescent="0.25">
      <c r="A116" s="336"/>
      <c r="B116" s="337"/>
      <c r="C116" s="337"/>
      <c r="D116" s="338"/>
      <c r="E116" s="337"/>
      <c r="F116" s="337"/>
      <c r="G116" s="337"/>
      <c r="H116" s="337"/>
      <c r="I116" s="337"/>
      <c r="J116" s="337"/>
    </row>
    <row r="117" spans="1:10" x14ac:dyDescent="0.25">
      <c r="A117" s="336"/>
      <c r="B117" s="337"/>
      <c r="C117" s="337"/>
      <c r="D117" s="338"/>
      <c r="E117" s="337"/>
      <c r="F117" s="337"/>
      <c r="G117" s="337"/>
      <c r="H117" s="337"/>
      <c r="I117" s="337"/>
      <c r="J117" s="337"/>
    </row>
    <row r="118" spans="1:10" x14ac:dyDescent="0.25">
      <c r="A118" s="336"/>
      <c r="B118" s="337"/>
      <c r="C118" s="337"/>
      <c r="D118" s="338"/>
      <c r="E118" s="337"/>
      <c r="F118" s="337"/>
      <c r="G118" s="337"/>
      <c r="H118" s="337"/>
      <c r="I118" s="337"/>
      <c r="J118" s="337"/>
    </row>
    <row r="119" spans="1:10" x14ac:dyDescent="0.25">
      <c r="A119" s="336"/>
      <c r="B119" s="337"/>
      <c r="C119" s="337"/>
      <c r="D119" s="338"/>
      <c r="E119" s="337"/>
      <c r="F119" s="337"/>
      <c r="G119" s="337"/>
      <c r="H119" s="337"/>
      <c r="I119" s="337"/>
      <c r="J119" s="337"/>
    </row>
    <row r="120" spans="1:10" x14ac:dyDescent="0.25">
      <c r="A120" s="336"/>
      <c r="B120" s="337"/>
      <c r="C120" s="337"/>
      <c r="D120" s="338"/>
      <c r="E120" s="337"/>
      <c r="F120" s="337"/>
      <c r="G120" s="337"/>
      <c r="H120" s="337"/>
      <c r="I120" s="337"/>
      <c r="J120" s="337"/>
    </row>
    <row r="121" spans="1:10" x14ac:dyDescent="0.25">
      <c r="A121" s="336"/>
      <c r="B121" s="337"/>
      <c r="C121" s="337"/>
      <c r="D121" s="338"/>
      <c r="E121" s="337"/>
      <c r="F121" s="337"/>
      <c r="G121" s="337"/>
      <c r="H121" s="337"/>
      <c r="I121" s="337"/>
      <c r="J121" s="337"/>
    </row>
    <row r="122" spans="1:10" x14ac:dyDescent="0.25">
      <c r="A122" s="336"/>
      <c r="B122" s="337"/>
      <c r="C122" s="337"/>
      <c r="D122" s="338"/>
      <c r="E122" s="337"/>
      <c r="F122" s="337"/>
      <c r="G122" s="337"/>
      <c r="H122" s="337"/>
      <c r="I122" s="337"/>
      <c r="J122" s="337"/>
    </row>
    <row r="123" spans="1:10" x14ac:dyDescent="0.25">
      <c r="A123" s="336"/>
      <c r="B123" s="337"/>
      <c r="C123" s="337"/>
      <c r="D123" s="338"/>
      <c r="E123" s="337"/>
      <c r="F123" s="337"/>
      <c r="G123" s="337"/>
      <c r="H123" s="337"/>
      <c r="I123" s="337"/>
      <c r="J123" s="337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5" x14ac:dyDescent="0.25"/>
  <cols>
    <col min="1" max="1" width="6.140625" style="364" customWidth="1"/>
    <col min="2" max="3" width="10.28515625" style="339" customWidth="1"/>
    <col min="4" max="6" width="7.7109375" style="339" customWidth="1"/>
    <col min="7" max="7" width="8.85546875" style="339" customWidth="1"/>
    <col min="8" max="8" width="9.85546875" style="339" customWidth="1"/>
    <col min="9" max="9" width="14.28515625" style="339" customWidth="1"/>
    <col min="10" max="10" width="12.5703125" style="339" customWidth="1"/>
    <col min="11" max="11" width="11.5703125" style="339" customWidth="1"/>
    <col min="12" max="12" width="11.140625" style="339" customWidth="1"/>
    <col min="13" max="13" width="10.140625" style="339" customWidth="1"/>
    <col min="14" max="14" width="12.140625" style="339" customWidth="1"/>
    <col min="15" max="15" width="16.140625" style="339" customWidth="1"/>
    <col min="16" max="16384" width="9.140625" style="339"/>
  </cols>
  <sheetData>
    <row r="1" spans="1:18" x14ac:dyDescent="0.25">
      <c r="A1" s="336"/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</row>
    <row r="2" spans="1:18" x14ac:dyDescent="0.25">
      <c r="A2" s="336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</row>
    <row r="3" spans="1:18" x14ac:dyDescent="0.25">
      <c r="A3" s="336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</row>
    <row r="4" spans="1:18" x14ac:dyDescent="0.25">
      <c r="A4" s="336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</row>
    <row r="5" spans="1:18" ht="20.25" x14ac:dyDescent="0.3">
      <c r="A5" s="340" t="s">
        <v>182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</row>
    <row r="6" spans="1:18" ht="20.25" x14ac:dyDescent="0.3">
      <c r="A6" s="340" t="s">
        <v>205</v>
      </c>
      <c r="B6" s="337"/>
      <c r="C6" s="337"/>
      <c r="D6" s="337"/>
      <c r="E6" s="337"/>
      <c r="F6" s="337"/>
      <c r="J6" s="337"/>
      <c r="K6" s="337"/>
      <c r="L6" s="337"/>
      <c r="M6" s="342" t="s">
        <v>184</v>
      </c>
      <c r="N6" s="342" t="s">
        <v>279</v>
      </c>
      <c r="O6" s="343">
        <v>2025</v>
      </c>
      <c r="P6" s="337"/>
      <c r="Q6" s="337"/>
      <c r="R6" s="337"/>
    </row>
    <row r="7" spans="1:18" ht="6.75" customHeight="1" thickBot="1" x14ac:dyDescent="0.35">
      <c r="A7" s="340"/>
      <c r="B7" s="337"/>
      <c r="C7" s="337"/>
      <c r="D7" s="337"/>
      <c r="E7" s="337"/>
      <c r="F7" s="337"/>
      <c r="J7" s="337"/>
      <c r="K7" s="337"/>
      <c r="L7" s="337"/>
      <c r="M7" s="337"/>
      <c r="N7" s="337"/>
      <c r="O7" s="337"/>
      <c r="P7" s="337"/>
      <c r="Q7" s="337"/>
      <c r="R7" s="337"/>
    </row>
    <row r="8" spans="1:18" ht="21" customHeight="1" thickBot="1" x14ac:dyDescent="0.35">
      <c r="A8" s="729" t="s">
        <v>185</v>
      </c>
      <c r="B8" s="730"/>
      <c r="C8" s="730"/>
      <c r="D8" s="730"/>
      <c r="E8" s="730"/>
      <c r="F8" s="730"/>
      <c r="G8" s="730"/>
      <c r="H8" s="731"/>
      <c r="I8" s="732" t="s">
        <v>186</v>
      </c>
      <c r="J8" s="734" t="s">
        <v>187</v>
      </c>
      <c r="K8" s="735"/>
      <c r="L8" s="735"/>
      <c r="M8" s="735"/>
      <c r="N8" s="736"/>
      <c r="O8" s="737" t="s">
        <v>188</v>
      </c>
      <c r="P8" s="337"/>
      <c r="Q8" s="337"/>
      <c r="R8" s="337"/>
    </row>
    <row r="9" spans="1:18" ht="29.25" thickBot="1" x14ac:dyDescent="0.3">
      <c r="A9" s="344" t="s">
        <v>189</v>
      </c>
      <c r="B9" s="345" t="s">
        <v>190</v>
      </c>
      <c r="C9" s="346" t="s">
        <v>191</v>
      </c>
      <c r="D9" s="347" t="s">
        <v>192</v>
      </c>
      <c r="E9" s="348" t="s">
        <v>193</v>
      </c>
      <c r="F9" s="349" t="s">
        <v>194</v>
      </c>
      <c r="G9" s="366" t="s">
        <v>195</v>
      </c>
      <c r="H9" s="367" t="s">
        <v>196</v>
      </c>
      <c r="I9" s="733"/>
      <c r="J9" s="352" t="s">
        <v>197</v>
      </c>
      <c r="K9" s="353" t="s">
        <v>198</v>
      </c>
      <c r="L9" s="354" t="s">
        <v>204</v>
      </c>
      <c r="M9" s="355" t="s">
        <v>200</v>
      </c>
      <c r="N9" s="356" t="s">
        <v>201</v>
      </c>
      <c r="O9" s="738"/>
      <c r="P9" s="337"/>
      <c r="Q9" s="337"/>
      <c r="R9" s="337"/>
    </row>
    <row r="10" spans="1:18" x14ac:dyDescent="0.25">
      <c r="A10" s="357">
        <v>1</v>
      </c>
      <c r="B10" s="358"/>
      <c r="C10" s="358"/>
      <c r="D10" s="371"/>
      <c r="E10" s="371"/>
      <c r="F10" s="371"/>
      <c r="G10" s="371"/>
      <c r="H10" s="371"/>
      <c r="I10" s="358"/>
      <c r="J10" s="372"/>
      <c r="K10" s="372"/>
      <c r="L10" s="371"/>
      <c r="M10" s="371"/>
      <c r="N10" s="371"/>
      <c r="O10" s="358"/>
      <c r="P10" s="337"/>
      <c r="Q10" s="337"/>
      <c r="R10" s="337"/>
    </row>
    <row r="11" spans="1:18" x14ac:dyDescent="0.25">
      <c r="A11" s="360">
        <v>2</v>
      </c>
      <c r="B11" s="368"/>
      <c r="C11" s="368"/>
      <c r="D11" s="369"/>
      <c r="E11" s="369"/>
      <c r="F11" s="369"/>
      <c r="G11" s="369"/>
      <c r="H11" s="369"/>
      <c r="I11" s="368"/>
      <c r="J11" s="370"/>
      <c r="K11" s="370"/>
      <c r="L11" s="369"/>
      <c r="M11" s="369"/>
      <c r="N11" s="369"/>
      <c r="O11" s="358"/>
      <c r="P11" s="337"/>
      <c r="Q11" s="337"/>
      <c r="R11" s="337"/>
    </row>
    <row r="12" spans="1:18" x14ac:dyDescent="0.25">
      <c r="A12" s="360">
        <v>3</v>
      </c>
      <c r="B12" s="368"/>
      <c r="C12" s="368"/>
      <c r="D12" s="369"/>
      <c r="E12" s="369"/>
      <c r="F12" s="369"/>
      <c r="G12" s="369"/>
      <c r="H12" s="369"/>
      <c r="I12" s="368"/>
      <c r="J12" s="370"/>
      <c r="K12" s="370"/>
      <c r="L12" s="369"/>
      <c r="M12" s="369"/>
      <c r="N12" s="369"/>
      <c r="O12" s="358"/>
      <c r="P12" s="337"/>
      <c r="Q12" s="337"/>
      <c r="R12" s="337"/>
    </row>
    <row r="13" spans="1:18" x14ac:dyDescent="0.25">
      <c r="A13" s="472">
        <v>4</v>
      </c>
      <c r="B13" s="368"/>
      <c r="C13" s="368"/>
      <c r="D13" s="369"/>
      <c r="E13" s="369"/>
      <c r="F13" s="369"/>
      <c r="G13" s="369"/>
      <c r="H13" s="369"/>
      <c r="I13" s="368"/>
      <c r="J13" s="370"/>
      <c r="K13" s="370"/>
      <c r="L13" s="369"/>
      <c r="M13" s="369"/>
      <c r="N13" s="369"/>
      <c r="O13" s="358"/>
      <c r="P13" s="337"/>
      <c r="Q13" s="337"/>
      <c r="R13" s="337"/>
    </row>
    <row r="14" spans="1:18" x14ac:dyDescent="0.25">
      <c r="A14" s="360">
        <v>5</v>
      </c>
      <c r="B14" s="368"/>
      <c r="C14" s="368"/>
      <c r="D14" s="369"/>
      <c r="E14" s="369"/>
      <c r="F14" s="369"/>
      <c r="G14" s="369"/>
      <c r="H14" s="369"/>
      <c r="I14" s="368"/>
      <c r="J14" s="370"/>
      <c r="K14" s="370"/>
      <c r="L14" s="369"/>
      <c r="M14" s="369"/>
      <c r="N14" s="369"/>
      <c r="O14" s="358"/>
      <c r="P14" s="337"/>
      <c r="Q14" s="337"/>
      <c r="R14" s="337"/>
    </row>
    <row r="15" spans="1:18" x14ac:dyDescent="0.25">
      <c r="A15" s="360">
        <v>6</v>
      </c>
      <c r="B15" s="368"/>
      <c r="C15" s="368"/>
      <c r="D15" s="369"/>
      <c r="E15" s="369"/>
      <c r="F15" s="369"/>
      <c r="G15" s="369"/>
      <c r="H15" s="369"/>
      <c r="I15" s="368"/>
      <c r="J15" s="370"/>
      <c r="K15" s="370"/>
      <c r="L15" s="369"/>
      <c r="M15" s="369"/>
      <c r="N15" s="369"/>
      <c r="O15" s="358"/>
      <c r="P15" s="337"/>
      <c r="Q15" s="337"/>
      <c r="R15" s="337"/>
    </row>
    <row r="16" spans="1:18" x14ac:dyDescent="0.25">
      <c r="A16" s="360">
        <v>7</v>
      </c>
      <c r="B16" s="368"/>
      <c r="C16" s="368"/>
      <c r="D16" s="369"/>
      <c r="E16" s="369"/>
      <c r="F16" s="369"/>
      <c r="G16" s="369"/>
      <c r="H16" s="369"/>
      <c r="I16" s="368"/>
      <c r="J16" s="370"/>
      <c r="K16" s="370"/>
      <c r="L16" s="369"/>
      <c r="M16" s="369"/>
      <c r="N16" s="369"/>
      <c r="O16" s="358"/>
      <c r="P16" s="337"/>
      <c r="Q16" s="337"/>
      <c r="R16" s="337"/>
    </row>
    <row r="17" spans="1:18" x14ac:dyDescent="0.25">
      <c r="A17" s="360">
        <v>8</v>
      </c>
      <c r="B17" s="368"/>
      <c r="C17" s="368"/>
      <c r="D17" s="369"/>
      <c r="E17" s="369"/>
      <c r="F17" s="369"/>
      <c r="G17" s="369"/>
      <c r="H17" s="369"/>
      <c r="I17" s="368"/>
      <c r="J17" s="370"/>
      <c r="K17" s="370"/>
      <c r="L17" s="369"/>
      <c r="M17" s="369"/>
      <c r="N17" s="369"/>
      <c r="O17" s="358"/>
      <c r="P17" s="337"/>
      <c r="Q17" s="337"/>
      <c r="R17" s="337"/>
    </row>
    <row r="18" spans="1:18" x14ac:dyDescent="0.25">
      <c r="A18" s="360">
        <v>9</v>
      </c>
      <c r="B18" s="368"/>
      <c r="C18" s="368"/>
      <c r="D18" s="369"/>
      <c r="E18" s="369"/>
      <c r="F18" s="369"/>
      <c r="G18" s="369"/>
      <c r="H18" s="369"/>
      <c r="I18" s="368"/>
      <c r="J18" s="370"/>
      <c r="K18" s="370"/>
      <c r="L18" s="369"/>
      <c r="M18" s="369"/>
      <c r="N18" s="369"/>
      <c r="O18" s="358"/>
      <c r="P18" s="337"/>
      <c r="Q18" s="337"/>
      <c r="R18" s="337"/>
    </row>
    <row r="19" spans="1:18" x14ac:dyDescent="0.25">
      <c r="A19" s="360">
        <v>10</v>
      </c>
      <c r="B19" s="368"/>
      <c r="C19" s="368"/>
      <c r="D19" s="369"/>
      <c r="E19" s="369"/>
      <c r="F19" s="369"/>
      <c r="G19" s="369"/>
      <c r="H19" s="369"/>
      <c r="I19" s="368"/>
      <c r="J19" s="370"/>
      <c r="K19" s="370"/>
      <c r="L19" s="369"/>
      <c r="M19" s="369"/>
      <c r="N19" s="369"/>
      <c r="O19" s="358"/>
      <c r="P19" s="337"/>
      <c r="Q19" s="337"/>
      <c r="R19" s="337"/>
    </row>
    <row r="20" spans="1:18" x14ac:dyDescent="0.25">
      <c r="A20" s="360">
        <v>11</v>
      </c>
      <c r="B20" s="368"/>
      <c r="C20" s="368"/>
      <c r="D20" s="369"/>
      <c r="E20" s="369"/>
      <c r="F20" s="369"/>
      <c r="G20" s="369"/>
      <c r="H20" s="369"/>
      <c r="I20" s="368"/>
      <c r="J20" s="370"/>
      <c r="K20" s="370"/>
      <c r="L20" s="369"/>
      <c r="M20" s="369"/>
      <c r="N20" s="369"/>
      <c r="O20" s="358"/>
      <c r="P20" s="337"/>
      <c r="Q20" s="337"/>
      <c r="R20" s="337"/>
    </row>
    <row r="21" spans="1:18" x14ac:dyDescent="0.25">
      <c r="A21" s="360">
        <v>12</v>
      </c>
      <c r="B21" s="368"/>
      <c r="C21" s="368"/>
      <c r="D21" s="369"/>
      <c r="E21" s="371"/>
      <c r="F21" s="371"/>
      <c r="G21" s="371"/>
      <c r="H21" s="369"/>
      <c r="I21" s="368"/>
      <c r="J21" s="372"/>
      <c r="K21" s="372"/>
      <c r="L21" s="369"/>
      <c r="M21" s="369"/>
      <c r="N21" s="369"/>
      <c r="O21" s="358"/>
      <c r="P21" s="337"/>
      <c r="Q21" s="337"/>
      <c r="R21" s="337"/>
    </row>
    <row r="22" spans="1:18" x14ac:dyDescent="0.25">
      <c r="A22" s="360">
        <v>13</v>
      </c>
      <c r="B22" s="368"/>
      <c r="C22" s="368"/>
      <c r="D22" s="369"/>
      <c r="E22" s="369"/>
      <c r="F22" s="369"/>
      <c r="G22" s="369"/>
      <c r="H22" s="369"/>
      <c r="I22" s="368"/>
      <c r="J22" s="370"/>
      <c r="K22" s="370"/>
      <c r="L22" s="369"/>
      <c r="M22" s="369"/>
      <c r="N22" s="369"/>
      <c r="O22" s="358"/>
      <c r="P22" s="337"/>
      <c r="Q22" s="337"/>
      <c r="R22" s="337"/>
    </row>
    <row r="23" spans="1:18" x14ac:dyDescent="0.25">
      <c r="A23" s="360">
        <v>14</v>
      </c>
      <c r="B23" s="368"/>
      <c r="C23" s="368"/>
      <c r="D23" s="369"/>
      <c r="E23" s="369"/>
      <c r="F23" s="369"/>
      <c r="G23" s="369"/>
      <c r="H23" s="369"/>
      <c r="I23" s="368"/>
      <c r="J23" s="370"/>
      <c r="K23" s="370"/>
      <c r="L23" s="369"/>
      <c r="M23" s="369"/>
      <c r="N23" s="369"/>
      <c r="O23" s="358"/>
      <c r="P23" s="337"/>
      <c r="Q23" s="337"/>
      <c r="R23" s="337"/>
    </row>
    <row r="24" spans="1:18" x14ac:dyDescent="0.25">
      <c r="A24" s="360">
        <v>15</v>
      </c>
      <c r="B24" s="368"/>
      <c r="C24" s="368"/>
      <c r="D24" s="369"/>
      <c r="E24" s="369"/>
      <c r="F24" s="369"/>
      <c r="G24" s="369"/>
      <c r="H24" s="369"/>
      <c r="I24" s="368"/>
      <c r="J24" s="370"/>
      <c r="K24" s="370"/>
      <c r="L24" s="369"/>
      <c r="M24" s="369"/>
      <c r="N24" s="369"/>
      <c r="O24" s="358"/>
      <c r="P24" s="337"/>
      <c r="Q24" s="337"/>
      <c r="R24" s="337"/>
    </row>
    <row r="25" spans="1:18" x14ac:dyDescent="0.25">
      <c r="A25" s="360">
        <v>16</v>
      </c>
      <c r="B25" s="368"/>
      <c r="C25" s="368"/>
      <c r="D25" s="369"/>
      <c r="E25" s="369"/>
      <c r="F25" s="369"/>
      <c r="G25" s="369"/>
      <c r="H25" s="369"/>
      <c r="I25" s="368"/>
      <c r="J25" s="370"/>
      <c r="K25" s="370"/>
      <c r="L25" s="369"/>
      <c r="M25" s="369"/>
      <c r="N25" s="369"/>
      <c r="O25" s="358"/>
      <c r="P25" s="337"/>
      <c r="Q25" s="337"/>
      <c r="R25" s="337"/>
    </row>
    <row r="26" spans="1:18" x14ac:dyDescent="0.25">
      <c r="A26" s="472">
        <v>17</v>
      </c>
      <c r="B26" s="368"/>
      <c r="C26" s="368"/>
      <c r="D26" s="369"/>
      <c r="E26" s="369"/>
      <c r="F26" s="369"/>
      <c r="G26" s="369"/>
      <c r="H26" s="369"/>
      <c r="I26" s="368"/>
      <c r="J26" s="370"/>
      <c r="K26" s="370"/>
      <c r="L26" s="369"/>
      <c r="M26" s="369"/>
      <c r="N26" s="369"/>
      <c r="O26" s="358"/>
      <c r="P26" s="739"/>
      <c r="Q26" s="740"/>
      <c r="R26" s="337"/>
    </row>
    <row r="27" spans="1:18" x14ac:dyDescent="0.25">
      <c r="A27" s="360">
        <v>18</v>
      </c>
      <c r="B27" s="368"/>
      <c r="C27" s="368"/>
      <c r="D27" s="369"/>
      <c r="E27" s="369"/>
      <c r="F27" s="369"/>
      <c r="G27" s="369"/>
      <c r="H27" s="369"/>
      <c r="I27" s="368"/>
      <c r="J27" s="370"/>
      <c r="K27" s="370"/>
      <c r="L27" s="369"/>
      <c r="M27" s="369"/>
      <c r="N27" s="369"/>
      <c r="O27" s="358"/>
      <c r="P27" s="337"/>
      <c r="Q27" s="337"/>
      <c r="R27" s="337"/>
    </row>
    <row r="28" spans="1:18" x14ac:dyDescent="0.25">
      <c r="A28" s="360">
        <v>19</v>
      </c>
      <c r="B28" s="368"/>
      <c r="C28" s="368"/>
      <c r="D28" s="369"/>
      <c r="E28" s="369"/>
      <c r="F28" s="369"/>
      <c r="G28" s="369"/>
      <c r="H28" s="369"/>
      <c r="I28" s="368"/>
      <c r="J28" s="370"/>
      <c r="K28" s="370"/>
      <c r="L28" s="369"/>
      <c r="M28" s="369"/>
      <c r="N28" s="369"/>
      <c r="O28" s="358"/>
      <c r="P28" s="337"/>
      <c r="Q28" s="337"/>
      <c r="R28" s="337"/>
    </row>
    <row r="29" spans="1:18" x14ac:dyDescent="0.25">
      <c r="A29" s="360">
        <v>20</v>
      </c>
      <c r="B29" s="368"/>
      <c r="C29" s="368"/>
      <c r="D29" s="369"/>
      <c r="E29" s="369"/>
      <c r="F29" s="369"/>
      <c r="G29" s="369"/>
      <c r="H29" s="369"/>
      <c r="I29" s="368"/>
      <c r="J29" s="370"/>
      <c r="K29" s="370"/>
      <c r="L29" s="369"/>
      <c r="M29" s="369"/>
      <c r="N29" s="369"/>
      <c r="O29" s="358"/>
      <c r="P29" s="337"/>
      <c r="Q29" s="337"/>
      <c r="R29" s="337"/>
    </row>
    <row r="30" spans="1:18" x14ac:dyDescent="0.25">
      <c r="A30" s="360">
        <v>21</v>
      </c>
      <c r="B30" s="368"/>
      <c r="C30" s="368"/>
      <c r="D30" s="369"/>
      <c r="E30" s="369"/>
      <c r="F30" s="369"/>
      <c r="G30" s="369"/>
      <c r="H30" s="369"/>
      <c r="I30" s="368"/>
      <c r="J30" s="370"/>
      <c r="K30" s="370"/>
      <c r="L30" s="369"/>
      <c r="M30" s="369"/>
      <c r="N30" s="369"/>
      <c r="O30" s="358"/>
      <c r="P30" s="337"/>
      <c r="Q30" s="337"/>
      <c r="R30" s="337"/>
    </row>
    <row r="31" spans="1:18" x14ac:dyDescent="0.25">
      <c r="A31" s="360">
        <v>22</v>
      </c>
      <c r="B31" s="368"/>
      <c r="C31" s="368"/>
      <c r="D31" s="369"/>
      <c r="E31" s="369"/>
      <c r="F31" s="369"/>
      <c r="G31" s="369"/>
      <c r="H31" s="369"/>
      <c r="I31" s="368"/>
      <c r="J31" s="370"/>
      <c r="K31" s="370"/>
      <c r="L31" s="369"/>
      <c r="M31" s="369"/>
      <c r="N31" s="369"/>
      <c r="O31" s="358"/>
      <c r="P31" s="337"/>
      <c r="Q31" s="337"/>
      <c r="R31" s="337"/>
    </row>
    <row r="32" spans="1:18" x14ac:dyDescent="0.25">
      <c r="A32" s="360">
        <v>23</v>
      </c>
      <c r="B32" s="368"/>
      <c r="C32" s="368"/>
      <c r="D32" s="369"/>
      <c r="E32" s="369"/>
      <c r="F32" s="369"/>
      <c r="G32" s="369"/>
      <c r="H32" s="369"/>
      <c r="I32" s="368"/>
      <c r="J32" s="370"/>
      <c r="K32" s="370"/>
      <c r="L32" s="369"/>
      <c r="M32" s="369"/>
      <c r="N32" s="369"/>
      <c r="O32" s="358"/>
      <c r="P32" s="337"/>
      <c r="Q32" s="337"/>
      <c r="R32" s="337"/>
    </row>
    <row r="33" spans="1:18" x14ac:dyDescent="0.25">
      <c r="A33" s="472">
        <v>24</v>
      </c>
      <c r="B33" s="368"/>
      <c r="C33" s="368"/>
      <c r="D33" s="369"/>
      <c r="E33" s="369"/>
      <c r="F33" s="369"/>
      <c r="G33" s="369"/>
      <c r="H33" s="369"/>
      <c r="I33" s="368"/>
      <c r="J33" s="370"/>
      <c r="K33" s="370"/>
      <c r="L33" s="369"/>
      <c r="M33" s="369"/>
      <c r="N33" s="369"/>
      <c r="O33" s="358"/>
      <c r="P33" s="739"/>
      <c r="Q33" s="740"/>
      <c r="R33" s="337"/>
    </row>
    <row r="34" spans="1:18" x14ac:dyDescent="0.25">
      <c r="A34" s="360">
        <v>25</v>
      </c>
      <c r="B34" s="368"/>
      <c r="C34" s="368"/>
      <c r="D34" s="369"/>
      <c r="E34" s="369"/>
      <c r="F34" s="369"/>
      <c r="G34" s="369"/>
      <c r="H34" s="369"/>
      <c r="I34" s="368"/>
      <c r="J34" s="370"/>
      <c r="K34" s="370"/>
      <c r="L34" s="369"/>
      <c r="M34" s="369"/>
      <c r="N34" s="369"/>
      <c r="O34" s="358"/>
      <c r="P34" s="337"/>
      <c r="Q34" s="337"/>
      <c r="R34" s="337"/>
    </row>
    <row r="35" spans="1:18" x14ac:dyDescent="0.25">
      <c r="A35" s="360">
        <v>26</v>
      </c>
      <c r="B35" s="368"/>
      <c r="C35" s="368"/>
      <c r="D35" s="369"/>
      <c r="E35" s="371"/>
      <c r="F35" s="371"/>
      <c r="G35" s="371"/>
      <c r="H35" s="371"/>
      <c r="I35" s="358"/>
      <c r="J35" s="372"/>
      <c r="K35" s="372"/>
      <c r="L35" s="369"/>
      <c r="M35" s="369"/>
      <c r="N35" s="369"/>
      <c r="O35" s="358"/>
      <c r="P35" s="337"/>
      <c r="Q35" s="337"/>
      <c r="R35" s="337"/>
    </row>
    <row r="36" spans="1:18" x14ac:dyDescent="0.25">
      <c r="A36" s="360">
        <v>27</v>
      </c>
      <c r="B36" s="368"/>
      <c r="C36" s="368"/>
      <c r="D36" s="369"/>
      <c r="E36" s="369"/>
      <c r="F36" s="369"/>
      <c r="G36" s="369"/>
      <c r="H36" s="369"/>
      <c r="I36" s="368"/>
      <c r="J36" s="370"/>
      <c r="K36" s="370"/>
      <c r="L36" s="369"/>
      <c r="M36" s="369"/>
      <c r="N36" s="369"/>
      <c r="O36" s="358"/>
      <c r="P36" s="337"/>
      <c r="Q36" s="337"/>
      <c r="R36" s="337"/>
    </row>
    <row r="37" spans="1:18" x14ac:dyDescent="0.25">
      <c r="A37" s="360">
        <v>28</v>
      </c>
      <c r="B37" s="368"/>
      <c r="C37" s="368"/>
      <c r="D37" s="369"/>
      <c r="E37" s="369"/>
      <c r="F37" s="369"/>
      <c r="G37" s="369"/>
      <c r="H37" s="369"/>
      <c r="I37" s="368"/>
      <c r="J37" s="370"/>
      <c r="K37" s="370"/>
      <c r="L37" s="369"/>
      <c r="M37" s="369"/>
      <c r="N37" s="369"/>
      <c r="O37" s="358"/>
      <c r="P37" s="337"/>
      <c r="Q37" s="337"/>
      <c r="R37" s="337"/>
    </row>
    <row r="38" spans="1:18" x14ac:dyDescent="0.25">
      <c r="A38" s="360">
        <v>29</v>
      </c>
      <c r="B38" s="368"/>
      <c r="C38" s="368"/>
      <c r="D38" s="369"/>
      <c r="E38" s="369"/>
      <c r="F38" s="369"/>
      <c r="G38" s="369"/>
      <c r="H38" s="369"/>
      <c r="I38" s="368"/>
      <c r="J38" s="370"/>
      <c r="K38" s="370"/>
      <c r="L38" s="369"/>
      <c r="M38" s="369"/>
      <c r="N38" s="369"/>
      <c r="O38" s="358"/>
      <c r="P38" s="337"/>
      <c r="Q38" s="337"/>
      <c r="R38" s="337"/>
    </row>
    <row r="39" spans="1:18" x14ac:dyDescent="0.25">
      <c r="A39" s="360">
        <v>30</v>
      </c>
      <c r="B39" s="368"/>
      <c r="C39" s="368"/>
      <c r="D39" s="369"/>
      <c r="E39" s="369"/>
      <c r="F39" s="369"/>
      <c r="G39" s="369"/>
      <c r="H39" s="369"/>
      <c r="I39" s="368"/>
      <c r="J39" s="370"/>
      <c r="K39" s="370"/>
      <c r="L39" s="369"/>
      <c r="M39" s="369"/>
      <c r="N39" s="369"/>
      <c r="O39" s="358"/>
      <c r="P39" s="337"/>
      <c r="Q39" s="337"/>
      <c r="R39" s="337"/>
    </row>
    <row r="40" spans="1:18" x14ac:dyDescent="0.25">
      <c r="A40" s="360">
        <v>31</v>
      </c>
      <c r="B40" s="368"/>
      <c r="C40" s="368"/>
      <c r="D40" s="369"/>
      <c r="E40" s="369"/>
      <c r="F40" s="369"/>
      <c r="G40" s="369"/>
      <c r="H40" s="369"/>
      <c r="I40" s="368"/>
      <c r="J40" s="370"/>
      <c r="K40" s="370"/>
      <c r="L40" s="369"/>
      <c r="M40" s="369"/>
      <c r="N40" s="369"/>
      <c r="O40" s="358"/>
      <c r="P40" s="337"/>
      <c r="Q40" s="337"/>
      <c r="R40" s="337"/>
    </row>
    <row r="41" spans="1:18" x14ac:dyDescent="0.25">
      <c r="A41" s="336"/>
      <c r="B41" s="337"/>
      <c r="C41" s="337"/>
      <c r="D41" s="363" t="e">
        <f>AVERAGE(D10:D40)</f>
        <v>#DIV/0!</v>
      </c>
      <c r="E41" s="337"/>
      <c r="F41" s="337"/>
      <c r="G41" s="363" t="e">
        <f>AVERAGE(G10:G40)</f>
        <v>#DIV/0!</v>
      </c>
      <c r="H41" s="363" t="e">
        <f>AVERAGE(H10:H40)</f>
        <v>#DIV/0!</v>
      </c>
      <c r="I41" s="363" t="e">
        <f>AVERAGE(I10:I40)</f>
        <v>#DIV/0!</v>
      </c>
      <c r="J41" s="363">
        <f>SUM(J10:J40)</f>
        <v>0</v>
      </c>
      <c r="K41" s="363">
        <f>SUM(K10:K40)</f>
        <v>0</v>
      </c>
      <c r="L41" s="337"/>
      <c r="M41" s="337"/>
      <c r="N41" s="337"/>
      <c r="O41" s="337"/>
      <c r="P41" s="337"/>
      <c r="Q41" s="337"/>
      <c r="R41" s="337"/>
    </row>
    <row r="42" spans="1:18" x14ac:dyDescent="0.25">
      <c r="A42" s="336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</row>
    <row r="43" spans="1:18" x14ac:dyDescent="0.25">
      <c r="A43" s="336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</row>
    <row r="44" spans="1:18" x14ac:dyDescent="0.25">
      <c r="A44" s="336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</row>
    <row r="45" spans="1:18" x14ac:dyDescent="0.25">
      <c r="A45" s="336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</row>
    <row r="46" spans="1:18" x14ac:dyDescent="0.25">
      <c r="A46" s="336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</row>
    <row r="47" spans="1:18" x14ac:dyDescent="0.25">
      <c r="A47" s="336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</row>
    <row r="48" spans="1:18" x14ac:dyDescent="0.25">
      <c r="A48" s="336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</row>
    <row r="49" spans="1:18" x14ac:dyDescent="0.25">
      <c r="A49" s="336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</row>
    <row r="50" spans="1:18" x14ac:dyDescent="0.25">
      <c r="A50" s="336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</row>
    <row r="51" spans="1:18" x14ac:dyDescent="0.25">
      <c r="A51" s="336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</row>
    <row r="52" spans="1:18" x14ac:dyDescent="0.25">
      <c r="A52" s="336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</row>
    <row r="53" spans="1:18" x14ac:dyDescent="0.25">
      <c r="A53" s="336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</row>
    <row r="54" spans="1:18" x14ac:dyDescent="0.25">
      <c r="A54" s="336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</row>
    <row r="55" spans="1:18" x14ac:dyDescent="0.25">
      <c r="A55" s="336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</row>
    <row r="56" spans="1:18" x14ac:dyDescent="0.25">
      <c r="A56" s="336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</row>
    <row r="57" spans="1:18" x14ac:dyDescent="0.25">
      <c r="A57" s="336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</row>
    <row r="58" spans="1:18" x14ac:dyDescent="0.25">
      <c r="A58" s="336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</row>
    <row r="59" spans="1:18" x14ac:dyDescent="0.25">
      <c r="A59" s="336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</row>
    <row r="60" spans="1:18" x14ac:dyDescent="0.25">
      <c r="A60" s="336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</row>
    <row r="61" spans="1:18" x14ac:dyDescent="0.25">
      <c r="A61" s="336"/>
      <c r="B61" s="337"/>
      <c r="C61" s="337"/>
      <c r="D61" s="337"/>
      <c r="E61" s="337"/>
      <c r="F61" s="337"/>
      <c r="G61" s="337"/>
      <c r="H61" s="337"/>
      <c r="I61" s="337"/>
      <c r="J61" s="337"/>
    </row>
    <row r="62" spans="1:18" x14ac:dyDescent="0.25">
      <c r="A62" s="336"/>
      <c r="B62" s="337"/>
      <c r="C62" s="337"/>
      <c r="D62" s="337"/>
      <c r="E62" s="337"/>
      <c r="F62" s="337"/>
      <c r="G62" s="337"/>
      <c r="H62" s="337"/>
      <c r="I62" s="337"/>
      <c r="J62" s="337"/>
    </row>
    <row r="63" spans="1:18" x14ac:dyDescent="0.25">
      <c r="A63" s="336"/>
      <c r="B63" s="337"/>
      <c r="C63" s="337"/>
      <c r="D63" s="337"/>
      <c r="E63" s="337"/>
      <c r="F63" s="337"/>
      <c r="G63" s="337"/>
      <c r="H63" s="337"/>
      <c r="I63" s="337"/>
      <c r="J63" s="337"/>
    </row>
    <row r="64" spans="1:18" x14ac:dyDescent="0.25">
      <c r="A64" s="336"/>
      <c r="B64" s="337"/>
      <c r="C64" s="337"/>
      <c r="D64" s="337"/>
      <c r="E64" s="337"/>
      <c r="F64" s="337"/>
      <c r="G64" s="337"/>
      <c r="H64" s="337"/>
      <c r="I64" s="337"/>
      <c r="J64" s="337"/>
    </row>
    <row r="65" spans="1:10" x14ac:dyDescent="0.25">
      <c r="A65" s="336"/>
      <c r="B65" s="337"/>
      <c r="C65" s="337"/>
      <c r="D65" s="337"/>
      <c r="E65" s="337"/>
      <c r="F65" s="337"/>
      <c r="G65" s="337"/>
      <c r="H65" s="337"/>
      <c r="I65" s="337"/>
      <c r="J65" s="337"/>
    </row>
    <row r="66" spans="1:10" x14ac:dyDescent="0.25">
      <c r="A66" s="336"/>
      <c r="B66" s="337"/>
      <c r="C66" s="337"/>
      <c r="D66" s="337"/>
      <c r="E66" s="337"/>
      <c r="F66" s="337"/>
      <c r="G66" s="337"/>
      <c r="H66" s="337"/>
      <c r="I66" s="337"/>
      <c r="J66" s="337"/>
    </row>
    <row r="67" spans="1:10" x14ac:dyDescent="0.25">
      <c r="A67" s="336"/>
      <c r="B67" s="337"/>
      <c r="C67" s="337"/>
      <c r="D67" s="337"/>
      <c r="E67" s="337"/>
      <c r="F67" s="337"/>
      <c r="G67" s="337"/>
      <c r="H67" s="337"/>
      <c r="I67" s="337"/>
      <c r="J67" s="337"/>
    </row>
    <row r="68" spans="1:10" x14ac:dyDescent="0.25">
      <c r="A68" s="336"/>
      <c r="B68" s="337"/>
      <c r="C68" s="337"/>
      <c r="D68" s="337"/>
      <c r="E68" s="337"/>
      <c r="F68" s="337"/>
      <c r="G68" s="337"/>
      <c r="H68" s="337"/>
      <c r="I68" s="337"/>
      <c r="J68" s="337"/>
    </row>
    <row r="69" spans="1:10" x14ac:dyDescent="0.25">
      <c r="A69" s="336"/>
      <c r="B69" s="337"/>
      <c r="C69" s="337"/>
      <c r="D69" s="337"/>
      <c r="E69" s="337"/>
      <c r="F69" s="337"/>
      <c r="G69" s="337"/>
      <c r="H69" s="337"/>
      <c r="I69" s="337"/>
      <c r="J69" s="337"/>
    </row>
    <row r="70" spans="1:10" x14ac:dyDescent="0.25">
      <c r="A70" s="336"/>
      <c r="B70" s="337"/>
      <c r="C70" s="337"/>
      <c r="D70" s="337"/>
      <c r="E70" s="337"/>
      <c r="F70" s="337"/>
      <c r="G70" s="337"/>
      <c r="H70" s="337"/>
      <c r="I70" s="337"/>
      <c r="J70" s="337"/>
    </row>
    <row r="71" spans="1:10" x14ac:dyDescent="0.25">
      <c r="A71" s="336"/>
      <c r="B71" s="337"/>
      <c r="C71" s="337"/>
      <c r="D71" s="337"/>
      <c r="E71" s="337"/>
      <c r="F71" s="337"/>
      <c r="G71" s="337"/>
      <c r="H71" s="337"/>
      <c r="I71" s="337"/>
      <c r="J71" s="337"/>
    </row>
    <row r="72" spans="1:10" x14ac:dyDescent="0.25">
      <c r="A72" s="336"/>
      <c r="B72" s="337"/>
      <c r="C72" s="337"/>
      <c r="D72" s="337"/>
      <c r="E72" s="337"/>
      <c r="F72" s="337"/>
      <c r="G72" s="337"/>
      <c r="H72" s="337"/>
      <c r="I72" s="337"/>
      <c r="J72" s="337"/>
    </row>
    <row r="73" spans="1:10" x14ac:dyDescent="0.25">
      <c r="A73" s="336"/>
      <c r="B73" s="337"/>
      <c r="C73" s="337"/>
      <c r="D73" s="337"/>
      <c r="E73" s="337"/>
      <c r="F73" s="337"/>
      <c r="G73" s="337"/>
      <c r="H73" s="337"/>
      <c r="I73" s="337"/>
      <c r="J73" s="337"/>
    </row>
    <row r="74" spans="1:10" x14ac:dyDescent="0.25">
      <c r="A74" s="336"/>
      <c r="B74" s="337"/>
      <c r="C74" s="337"/>
      <c r="D74" s="337"/>
      <c r="E74" s="337"/>
      <c r="F74" s="337"/>
      <c r="G74" s="337"/>
      <c r="H74" s="337"/>
      <c r="I74" s="337"/>
      <c r="J74" s="337"/>
    </row>
    <row r="75" spans="1:10" x14ac:dyDescent="0.25">
      <c r="A75" s="336"/>
      <c r="B75" s="337"/>
      <c r="C75" s="337"/>
      <c r="D75" s="337"/>
      <c r="E75" s="337"/>
      <c r="F75" s="337"/>
      <c r="G75" s="337"/>
      <c r="H75" s="337"/>
      <c r="I75" s="337"/>
      <c r="J75" s="337"/>
    </row>
    <row r="76" spans="1:10" x14ac:dyDescent="0.25">
      <c r="A76" s="336"/>
      <c r="B76" s="337"/>
      <c r="C76" s="337"/>
      <c r="D76" s="337"/>
      <c r="E76" s="337"/>
      <c r="F76" s="337"/>
      <c r="G76" s="337"/>
      <c r="H76" s="337"/>
      <c r="I76" s="337"/>
      <c r="J76" s="337"/>
    </row>
    <row r="77" spans="1:10" x14ac:dyDescent="0.25">
      <c r="A77" s="336"/>
      <c r="B77" s="337"/>
      <c r="C77" s="337"/>
      <c r="D77" s="337"/>
      <c r="E77" s="337"/>
      <c r="F77" s="337"/>
      <c r="G77" s="337"/>
      <c r="H77" s="337"/>
      <c r="I77" s="337"/>
      <c r="J77" s="337"/>
    </row>
    <row r="78" spans="1:10" x14ac:dyDescent="0.25">
      <c r="A78" s="336"/>
      <c r="B78" s="337"/>
      <c r="C78" s="337"/>
      <c r="D78" s="337"/>
      <c r="E78" s="337"/>
      <c r="F78" s="337"/>
      <c r="G78" s="337"/>
      <c r="H78" s="337"/>
      <c r="I78" s="337"/>
      <c r="J78" s="337"/>
    </row>
    <row r="79" spans="1:10" x14ac:dyDescent="0.25">
      <c r="A79" s="336"/>
      <c r="B79" s="337"/>
      <c r="C79" s="337"/>
      <c r="D79" s="337"/>
      <c r="E79" s="337"/>
      <c r="F79" s="337"/>
      <c r="G79" s="337"/>
      <c r="H79" s="337"/>
      <c r="I79" s="337"/>
      <c r="J79" s="337"/>
    </row>
    <row r="80" spans="1:10" x14ac:dyDescent="0.25">
      <c r="A80" s="336"/>
      <c r="B80" s="337"/>
      <c r="C80" s="337"/>
      <c r="D80" s="337"/>
      <c r="E80" s="337"/>
      <c r="F80" s="337"/>
      <c r="G80" s="337"/>
      <c r="H80" s="337"/>
      <c r="I80" s="337"/>
      <c r="J80" s="337"/>
    </row>
    <row r="81" spans="1:10" x14ac:dyDescent="0.25">
      <c r="A81" s="336"/>
      <c r="B81" s="337"/>
      <c r="C81" s="337"/>
      <c r="D81" s="337"/>
      <c r="E81" s="337"/>
      <c r="F81" s="337"/>
      <c r="G81" s="337"/>
      <c r="H81" s="337"/>
      <c r="I81" s="337"/>
      <c r="J81" s="337"/>
    </row>
    <row r="82" spans="1:10" x14ac:dyDescent="0.25">
      <c r="A82" s="336"/>
      <c r="B82" s="337"/>
      <c r="C82" s="337"/>
      <c r="D82" s="337"/>
      <c r="E82" s="337"/>
      <c r="F82" s="337"/>
      <c r="G82" s="337"/>
      <c r="H82" s="337"/>
      <c r="I82" s="337"/>
      <c r="J82" s="337"/>
    </row>
    <row r="83" spans="1:10" x14ac:dyDescent="0.25">
      <c r="A83" s="336"/>
      <c r="B83" s="337"/>
      <c r="C83" s="337"/>
      <c r="D83" s="337"/>
      <c r="E83" s="337"/>
      <c r="F83" s="337"/>
      <c r="G83" s="337"/>
      <c r="H83" s="337"/>
      <c r="I83" s="337"/>
      <c r="J83" s="337"/>
    </row>
    <row r="84" spans="1:10" x14ac:dyDescent="0.25">
      <c r="A84" s="336"/>
      <c r="B84" s="337"/>
      <c r="C84" s="337"/>
      <c r="D84" s="337"/>
      <c r="E84" s="337"/>
      <c r="F84" s="337"/>
      <c r="G84" s="337"/>
      <c r="H84" s="337"/>
      <c r="I84" s="337"/>
      <c r="J84" s="337"/>
    </row>
    <row r="85" spans="1:10" x14ac:dyDescent="0.25">
      <c r="A85" s="336"/>
      <c r="B85" s="337"/>
      <c r="C85" s="337"/>
      <c r="D85" s="337"/>
      <c r="E85" s="337"/>
      <c r="F85" s="337"/>
      <c r="G85" s="337"/>
      <c r="H85" s="337"/>
      <c r="I85" s="337"/>
      <c r="J85" s="337"/>
    </row>
    <row r="86" spans="1:10" x14ac:dyDescent="0.25">
      <c r="A86" s="336"/>
      <c r="B86" s="337"/>
      <c r="C86" s="337"/>
      <c r="D86" s="337"/>
      <c r="E86" s="337"/>
      <c r="F86" s="337"/>
      <c r="G86" s="337"/>
      <c r="H86" s="337"/>
      <c r="I86" s="337"/>
      <c r="J86" s="337"/>
    </row>
    <row r="87" spans="1:10" x14ac:dyDescent="0.25">
      <c r="A87" s="336"/>
      <c r="B87" s="337"/>
      <c r="C87" s="337"/>
      <c r="D87" s="337"/>
      <c r="E87" s="337"/>
      <c r="F87" s="337"/>
      <c r="G87" s="337"/>
      <c r="H87" s="337"/>
      <c r="I87" s="337"/>
      <c r="J87" s="337"/>
    </row>
    <row r="88" spans="1:10" x14ac:dyDescent="0.25">
      <c r="A88" s="336"/>
      <c r="B88" s="337"/>
      <c r="C88" s="337"/>
      <c r="D88" s="337"/>
      <c r="E88" s="337"/>
      <c r="F88" s="337"/>
      <c r="G88" s="337"/>
      <c r="H88" s="337"/>
      <c r="I88" s="337"/>
      <c r="J88" s="337"/>
    </row>
    <row r="89" spans="1:10" x14ac:dyDescent="0.25">
      <c r="A89" s="336"/>
      <c r="B89" s="337"/>
      <c r="C89" s="337"/>
      <c r="D89" s="337"/>
      <c r="E89" s="337"/>
      <c r="F89" s="337"/>
      <c r="G89" s="337"/>
      <c r="H89" s="337"/>
      <c r="I89" s="337"/>
      <c r="J89" s="337"/>
    </row>
    <row r="90" spans="1:10" x14ac:dyDescent="0.25">
      <c r="A90" s="336"/>
      <c r="B90" s="337"/>
      <c r="C90" s="337"/>
      <c r="D90" s="337"/>
      <c r="E90" s="337"/>
      <c r="F90" s="337"/>
      <c r="G90" s="337"/>
      <c r="H90" s="337"/>
      <c r="I90" s="337"/>
      <c r="J90" s="337"/>
    </row>
    <row r="91" spans="1:10" x14ac:dyDescent="0.25">
      <c r="A91" s="336"/>
      <c r="B91" s="337"/>
      <c r="C91" s="337"/>
      <c r="D91" s="337"/>
      <c r="E91" s="337"/>
      <c r="F91" s="337"/>
      <c r="G91" s="337"/>
      <c r="H91" s="337"/>
      <c r="I91" s="337"/>
      <c r="J91" s="337"/>
    </row>
    <row r="92" spans="1:10" x14ac:dyDescent="0.25">
      <c r="A92" s="336"/>
      <c r="B92" s="337"/>
      <c r="C92" s="337"/>
      <c r="D92" s="337"/>
      <c r="E92" s="337"/>
      <c r="F92" s="337"/>
      <c r="G92" s="337"/>
      <c r="H92" s="337"/>
      <c r="I92" s="337"/>
      <c r="J92" s="337"/>
    </row>
    <row r="93" spans="1:10" x14ac:dyDescent="0.25">
      <c r="A93" s="336"/>
      <c r="B93" s="337"/>
      <c r="C93" s="337"/>
      <c r="D93" s="337"/>
      <c r="E93" s="337"/>
      <c r="F93" s="337"/>
      <c r="G93" s="337"/>
      <c r="H93" s="337"/>
      <c r="I93" s="337"/>
      <c r="J93" s="337"/>
    </row>
    <row r="94" spans="1:10" x14ac:dyDescent="0.25">
      <c r="A94" s="336"/>
      <c r="B94" s="337"/>
      <c r="C94" s="337"/>
      <c r="D94" s="337"/>
      <c r="E94" s="337"/>
      <c r="F94" s="337"/>
      <c r="G94" s="337"/>
      <c r="H94" s="337"/>
      <c r="I94" s="337"/>
      <c r="J94" s="337"/>
    </row>
    <row r="95" spans="1:10" x14ac:dyDescent="0.25">
      <c r="A95" s="336"/>
      <c r="B95" s="337"/>
      <c r="C95" s="337"/>
      <c r="D95" s="337"/>
      <c r="E95" s="337"/>
      <c r="F95" s="337"/>
      <c r="G95" s="337"/>
      <c r="H95" s="337"/>
      <c r="I95" s="337"/>
      <c r="J95" s="337"/>
    </row>
    <row r="96" spans="1:10" x14ac:dyDescent="0.25">
      <c r="A96" s="336"/>
      <c r="B96" s="337"/>
      <c r="C96" s="337"/>
      <c r="D96" s="337"/>
      <c r="E96" s="337"/>
      <c r="F96" s="337"/>
      <c r="G96" s="337"/>
      <c r="H96" s="337"/>
      <c r="I96" s="337"/>
      <c r="J96" s="337"/>
    </row>
    <row r="97" spans="1:10" x14ac:dyDescent="0.25">
      <c r="A97" s="336"/>
      <c r="B97" s="337"/>
      <c r="C97" s="337"/>
      <c r="D97" s="337"/>
      <c r="E97" s="337"/>
      <c r="F97" s="337"/>
      <c r="G97" s="337"/>
      <c r="H97" s="337"/>
      <c r="I97" s="337"/>
      <c r="J97" s="337"/>
    </row>
    <row r="98" spans="1:10" x14ac:dyDescent="0.25">
      <c r="A98" s="336"/>
      <c r="B98" s="337"/>
      <c r="C98" s="337"/>
      <c r="D98" s="337"/>
      <c r="E98" s="337"/>
      <c r="F98" s="337"/>
      <c r="G98" s="337"/>
      <c r="H98" s="337"/>
      <c r="I98" s="337"/>
      <c r="J98" s="337"/>
    </row>
    <row r="99" spans="1:10" x14ac:dyDescent="0.25">
      <c r="A99" s="336"/>
      <c r="B99" s="337"/>
      <c r="C99" s="337"/>
      <c r="D99" s="337"/>
      <c r="E99" s="337"/>
      <c r="F99" s="337"/>
      <c r="G99" s="337"/>
      <c r="H99" s="337"/>
      <c r="I99" s="337"/>
      <c r="J99" s="337"/>
    </row>
    <row r="100" spans="1:10" x14ac:dyDescent="0.25">
      <c r="A100" s="336"/>
      <c r="B100" s="337"/>
      <c r="C100" s="337"/>
      <c r="D100" s="337"/>
      <c r="E100" s="337"/>
      <c r="F100" s="337"/>
      <c r="G100" s="337"/>
      <c r="H100" s="337"/>
      <c r="I100" s="337"/>
      <c r="J100" s="337"/>
    </row>
    <row r="101" spans="1:10" x14ac:dyDescent="0.25">
      <c r="A101" s="336"/>
      <c r="B101" s="337"/>
      <c r="C101" s="337"/>
      <c r="D101" s="337"/>
      <c r="E101" s="337"/>
      <c r="F101" s="337"/>
      <c r="G101" s="337"/>
      <c r="H101" s="337"/>
      <c r="I101" s="337"/>
      <c r="J101" s="337"/>
    </row>
    <row r="102" spans="1:10" x14ac:dyDescent="0.25">
      <c r="A102" s="336"/>
      <c r="B102" s="337"/>
      <c r="C102" s="337"/>
      <c r="D102" s="337"/>
      <c r="E102" s="337"/>
      <c r="F102" s="337"/>
      <c r="G102" s="337"/>
      <c r="H102" s="337"/>
      <c r="I102" s="337"/>
      <c r="J102" s="337"/>
    </row>
    <row r="103" spans="1:10" x14ac:dyDescent="0.25">
      <c r="A103" s="336"/>
      <c r="B103" s="337"/>
      <c r="C103" s="337"/>
      <c r="D103" s="337"/>
      <c r="E103" s="337"/>
      <c r="F103" s="337"/>
      <c r="G103" s="337"/>
      <c r="H103" s="337"/>
      <c r="I103" s="337"/>
      <c r="J103" s="337"/>
    </row>
    <row r="104" spans="1:10" x14ac:dyDescent="0.25">
      <c r="A104" s="336"/>
      <c r="B104" s="337"/>
      <c r="C104" s="337"/>
      <c r="D104" s="337"/>
      <c r="E104" s="337"/>
      <c r="F104" s="337"/>
      <c r="G104" s="337"/>
      <c r="H104" s="337"/>
      <c r="I104" s="337"/>
      <c r="J104" s="337"/>
    </row>
    <row r="105" spans="1:10" x14ac:dyDescent="0.25">
      <c r="A105" s="336"/>
      <c r="B105" s="337"/>
      <c r="C105" s="337"/>
      <c r="D105" s="337"/>
      <c r="E105" s="337"/>
      <c r="F105" s="337"/>
      <c r="G105" s="337"/>
      <c r="H105" s="337"/>
      <c r="I105" s="337"/>
      <c r="J105" s="337"/>
    </row>
    <row r="106" spans="1:10" x14ac:dyDescent="0.25">
      <c r="A106" s="336"/>
      <c r="B106" s="337"/>
      <c r="C106" s="337"/>
      <c r="D106" s="337"/>
      <c r="E106" s="337"/>
      <c r="F106" s="337"/>
      <c r="G106" s="337"/>
      <c r="H106" s="337"/>
      <c r="I106" s="337"/>
      <c r="J106" s="337"/>
    </row>
    <row r="107" spans="1:10" x14ac:dyDescent="0.25">
      <c r="A107" s="336"/>
      <c r="B107" s="337"/>
      <c r="C107" s="337"/>
      <c r="D107" s="337"/>
      <c r="E107" s="337"/>
      <c r="F107" s="337"/>
      <c r="G107" s="337"/>
      <c r="H107" s="337"/>
      <c r="I107" s="337"/>
      <c r="J107" s="337"/>
    </row>
    <row r="108" spans="1:10" x14ac:dyDescent="0.25">
      <c r="A108" s="336"/>
      <c r="B108" s="337"/>
      <c r="C108" s="337"/>
      <c r="D108" s="337"/>
      <c r="E108" s="337"/>
      <c r="F108" s="337"/>
      <c r="G108" s="337"/>
      <c r="H108" s="337"/>
      <c r="I108" s="337"/>
      <c r="J108" s="337"/>
    </row>
    <row r="109" spans="1:10" x14ac:dyDescent="0.25">
      <c r="A109" s="336"/>
      <c r="B109" s="337"/>
      <c r="C109" s="337"/>
      <c r="D109" s="337"/>
      <c r="E109" s="337"/>
      <c r="F109" s="337"/>
      <c r="G109" s="337"/>
      <c r="H109" s="337"/>
      <c r="I109" s="337"/>
      <c r="J109" s="337"/>
    </row>
    <row r="110" spans="1:10" x14ac:dyDescent="0.25">
      <c r="A110" s="336"/>
      <c r="B110" s="337"/>
      <c r="C110" s="337"/>
      <c r="D110" s="337"/>
      <c r="E110" s="337"/>
      <c r="F110" s="337"/>
      <c r="G110" s="337"/>
      <c r="H110" s="337"/>
      <c r="I110" s="337"/>
      <c r="J110" s="337"/>
    </row>
    <row r="111" spans="1:10" x14ac:dyDescent="0.25">
      <c r="A111" s="336"/>
      <c r="B111" s="337"/>
      <c r="C111" s="337"/>
      <c r="D111" s="337"/>
      <c r="E111" s="337"/>
      <c r="F111" s="337"/>
      <c r="G111" s="337"/>
      <c r="H111" s="337"/>
      <c r="I111" s="337"/>
      <c r="J111" s="337"/>
    </row>
    <row r="112" spans="1:10" x14ac:dyDescent="0.25">
      <c r="A112" s="336"/>
      <c r="B112" s="337"/>
      <c r="C112" s="337"/>
      <c r="D112" s="337"/>
      <c r="E112" s="337"/>
      <c r="F112" s="337"/>
      <c r="G112" s="337"/>
      <c r="H112" s="337"/>
      <c r="I112" s="337"/>
      <c r="J112" s="337"/>
    </row>
    <row r="113" spans="1:10" x14ac:dyDescent="0.25">
      <c r="A113" s="336"/>
      <c r="B113" s="337"/>
      <c r="C113" s="337"/>
      <c r="D113" s="337"/>
      <c r="E113" s="337"/>
      <c r="F113" s="337"/>
      <c r="G113" s="337"/>
      <c r="H113" s="337"/>
      <c r="I113" s="337"/>
      <c r="J113" s="337"/>
    </row>
    <row r="114" spans="1:10" x14ac:dyDescent="0.25">
      <c r="A114" s="336"/>
      <c r="B114" s="337"/>
      <c r="C114" s="337"/>
      <c r="D114" s="337"/>
      <c r="E114" s="337"/>
      <c r="F114" s="337"/>
      <c r="G114" s="337"/>
      <c r="H114" s="337"/>
      <c r="I114" s="337"/>
      <c r="J114" s="337"/>
    </row>
    <row r="115" spans="1:10" x14ac:dyDescent="0.25">
      <c r="A115" s="336"/>
      <c r="B115" s="337"/>
      <c r="C115" s="337"/>
      <c r="D115" s="337"/>
      <c r="E115" s="337"/>
      <c r="F115" s="337"/>
      <c r="G115" s="337"/>
      <c r="H115" s="337"/>
      <c r="I115" s="337"/>
      <c r="J115" s="337"/>
    </row>
    <row r="116" spans="1:10" x14ac:dyDescent="0.25">
      <c r="A116" s="336"/>
      <c r="B116" s="337"/>
      <c r="C116" s="337"/>
      <c r="D116" s="337"/>
      <c r="E116" s="337"/>
      <c r="F116" s="337"/>
      <c r="G116" s="337"/>
      <c r="H116" s="337"/>
      <c r="I116" s="337"/>
      <c r="J116" s="337"/>
    </row>
    <row r="117" spans="1:10" x14ac:dyDescent="0.25">
      <c r="A117" s="336"/>
      <c r="B117" s="337"/>
      <c r="C117" s="337"/>
      <c r="D117" s="337"/>
      <c r="E117" s="337"/>
      <c r="F117" s="337"/>
      <c r="G117" s="337"/>
      <c r="H117" s="337"/>
      <c r="I117" s="337"/>
      <c r="J117" s="337"/>
    </row>
    <row r="118" spans="1:10" x14ac:dyDescent="0.25">
      <c r="A118" s="336"/>
      <c r="B118" s="337"/>
      <c r="C118" s="337"/>
      <c r="D118" s="337"/>
      <c r="E118" s="337"/>
      <c r="F118" s="337"/>
      <c r="G118" s="337"/>
      <c r="H118" s="337"/>
      <c r="I118" s="337"/>
      <c r="J118" s="337"/>
    </row>
    <row r="119" spans="1:10" x14ac:dyDescent="0.25">
      <c r="A119" s="336"/>
      <c r="B119" s="337"/>
      <c r="C119" s="337"/>
      <c r="D119" s="337"/>
      <c r="E119" s="337"/>
      <c r="F119" s="337"/>
      <c r="G119" s="337"/>
      <c r="H119" s="337"/>
      <c r="I119" s="337"/>
      <c r="J119" s="337"/>
    </row>
    <row r="120" spans="1:10" x14ac:dyDescent="0.25">
      <c r="A120" s="336"/>
      <c r="B120" s="337"/>
      <c r="C120" s="337"/>
      <c r="D120" s="337"/>
      <c r="E120" s="337"/>
      <c r="F120" s="337"/>
      <c r="G120" s="337"/>
      <c r="H120" s="337"/>
      <c r="I120" s="337"/>
      <c r="J120" s="337"/>
    </row>
    <row r="121" spans="1:10" x14ac:dyDescent="0.25">
      <c r="A121" s="336"/>
      <c r="B121" s="337"/>
      <c r="C121" s="337"/>
      <c r="D121" s="337"/>
      <c r="E121" s="337"/>
      <c r="F121" s="337"/>
      <c r="G121" s="337"/>
      <c r="H121" s="337"/>
      <c r="I121" s="337"/>
      <c r="J121" s="337"/>
    </row>
    <row r="122" spans="1:10" x14ac:dyDescent="0.25">
      <c r="A122" s="336"/>
      <c r="B122" s="337"/>
      <c r="C122" s="337"/>
      <c r="D122" s="337"/>
      <c r="E122" s="337"/>
      <c r="F122" s="337"/>
      <c r="G122" s="337"/>
      <c r="H122" s="337"/>
      <c r="I122" s="337"/>
      <c r="J122" s="337"/>
    </row>
    <row r="123" spans="1:10" x14ac:dyDescent="0.25">
      <c r="A123" s="336"/>
      <c r="B123" s="337"/>
      <c r="C123" s="337"/>
      <c r="D123" s="337"/>
      <c r="E123" s="337"/>
      <c r="F123" s="337"/>
      <c r="G123" s="337"/>
      <c r="H123" s="337"/>
      <c r="I123" s="337"/>
      <c r="J123" s="337"/>
    </row>
  </sheetData>
  <mergeCells count="6">
    <mergeCell ref="A8:H8"/>
    <mergeCell ref="I8:I9"/>
    <mergeCell ref="J8:N8"/>
    <mergeCell ref="O8:O9"/>
    <mergeCell ref="P33:Q33"/>
    <mergeCell ref="P26:Q26"/>
  </mergeCells>
  <pageMargins left="0.4" right="0.36" top="0.45" bottom="0.55000000000000004" header="0.3" footer="0.3"/>
  <pageSetup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5" x14ac:dyDescent="0.25"/>
  <cols>
    <col min="1" max="1" width="6.140625" style="364" customWidth="1"/>
    <col min="2" max="3" width="10.28515625" style="339" customWidth="1"/>
    <col min="4" max="6" width="7.7109375" style="339" customWidth="1"/>
    <col min="7" max="7" width="8.85546875" style="339" customWidth="1"/>
    <col min="8" max="8" width="9.85546875" style="339" customWidth="1"/>
    <col min="9" max="9" width="14.28515625" style="339" customWidth="1"/>
    <col min="10" max="10" width="12.5703125" style="339" customWidth="1"/>
    <col min="11" max="11" width="11.5703125" style="339" customWidth="1"/>
    <col min="12" max="12" width="11.140625" style="339" customWidth="1"/>
    <col min="13" max="13" width="10.140625" style="339" customWidth="1"/>
    <col min="14" max="14" width="12.140625" style="339" customWidth="1"/>
    <col min="15" max="15" width="16.140625" style="339" customWidth="1"/>
    <col min="16" max="16384" width="9.140625" style="339"/>
  </cols>
  <sheetData>
    <row r="1" spans="1:18" x14ac:dyDescent="0.25">
      <c r="A1" s="336"/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</row>
    <row r="2" spans="1:18" x14ac:dyDescent="0.25">
      <c r="A2" s="336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</row>
    <row r="3" spans="1:18" x14ac:dyDescent="0.25">
      <c r="A3" s="336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</row>
    <row r="4" spans="1:18" x14ac:dyDescent="0.25">
      <c r="A4" s="336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</row>
    <row r="5" spans="1:18" ht="20.25" x14ac:dyDescent="0.3">
      <c r="A5" s="340" t="s">
        <v>182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</row>
    <row r="6" spans="1:18" ht="20.25" x14ac:dyDescent="0.3">
      <c r="A6" s="340" t="s">
        <v>206</v>
      </c>
      <c r="B6" s="337"/>
      <c r="C6" s="337"/>
      <c r="D6" s="337"/>
      <c r="E6" s="337"/>
      <c r="F6" s="337"/>
      <c r="J6" s="337"/>
      <c r="K6" s="337"/>
      <c r="L6" s="337"/>
      <c r="M6" s="342" t="s">
        <v>184</v>
      </c>
      <c r="N6" s="342" t="s">
        <v>279</v>
      </c>
      <c r="O6" s="343">
        <v>2025</v>
      </c>
      <c r="P6" s="337"/>
      <c r="Q6" s="337"/>
      <c r="R6" s="337"/>
    </row>
    <row r="7" spans="1:18" ht="6.75" customHeight="1" thickBot="1" x14ac:dyDescent="0.35">
      <c r="A7" s="340"/>
      <c r="B7" s="337"/>
      <c r="C7" s="337"/>
      <c r="D7" s="337"/>
      <c r="E7" s="337"/>
      <c r="F7" s="337"/>
      <c r="J7" s="337"/>
      <c r="K7" s="337"/>
      <c r="L7" s="337"/>
      <c r="M7" s="337"/>
      <c r="N7" s="337"/>
      <c r="O7" s="337"/>
      <c r="P7" s="337"/>
      <c r="Q7" s="337"/>
      <c r="R7" s="337"/>
    </row>
    <row r="8" spans="1:18" ht="21" customHeight="1" thickBot="1" x14ac:dyDescent="0.35">
      <c r="A8" s="729" t="s">
        <v>185</v>
      </c>
      <c r="B8" s="730"/>
      <c r="C8" s="730"/>
      <c r="D8" s="730"/>
      <c r="E8" s="730"/>
      <c r="F8" s="730"/>
      <c r="G8" s="730"/>
      <c r="H8" s="731"/>
      <c r="I8" s="732" t="s">
        <v>186</v>
      </c>
      <c r="J8" s="734" t="s">
        <v>187</v>
      </c>
      <c r="K8" s="735"/>
      <c r="L8" s="735"/>
      <c r="M8" s="735"/>
      <c r="N8" s="736"/>
      <c r="O8" s="737" t="s">
        <v>188</v>
      </c>
      <c r="P8" s="337"/>
      <c r="Q8" s="337"/>
      <c r="R8" s="337"/>
    </row>
    <row r="9" spans="1:18" ht="29.25" thickBot="1" x14ac:dyDescent="0.3">
      <c r="A9" s="344" t="s">
        <v>189</v>
      </c>
      <c r="B9" s="345" t="s">
        <v>190</v>
      </c>
      <c r="C9" s="346" t="s">
        <v>191</v>
      </c>
      <c r="D9" s="347" t="s">
        <v>192</v>
      </c>
      <c r="E9" s="348" t="s">
        <v>193</v>
      </c>
      <c r="F9" s="349" t="s">
        <v>194</v>
      </c>
      <c r="G9" s="366" t="s">
        <v>195</v>
      </c>
      <c r="H9" s="367" t="s">
        <v>196</v>
      </c>
      <c r="I9" s="733"/>
      <c r="J9" s="352" t="s">
        <v>197</v>
      </c>
      <c r="K9" s="353" t="s">
        <v>198</v>
      </c>
      <c r="L9" s="354" t="s">
        <v>204</v>
      </c>
      <c r="M9" s="355" t="s">
        <v>200</v>
      </c>
      <c r="N9" s="356" t="s">
        <v>201</v>
      </c>
      <c r="O9" s="738"/>
      <c r="P9" s="337"/>
      <c r="Q9" s="337"/>
      <c r="R9" s="337"/>
    </row>
    <row r="10" spans="1:18" x14ac:dyDescent="0.25">
      <c r="A10" s="360">
        <v>1</v>
      </c>
      <c r="B10" s="368"/>
      <c r="C10" s="368"/>
      <c r="D10" s="462"/>
      <c r="E10" s="460"/>
      <c r="F10" s="460"/>
      <c r="G10" s="461"/>
      <c r="H10" s="460"/>
      <c r="I10" s="368"/>
      <c r="J10" s="370"/>
      <c r="K10" s="370"/>
      <c r="L10" s="369"/>
      <c r="M10" s="369"/>
      <c r="N10" s="369"/>
      <c r="O10" s="368"/>
      <c r="P10" s="337"/>
      <c r="Q10" s="337"/>
      <c r="R10" s="337"/>
    </row>
    <row r="11" spans="1:18" x14ac:dyDescent="0.25">
      <c r="A11" s="360">
        <v>2</v>
      </c>
      <c r="B11" s="368"/>
      <c r="C11" s="368"/>
      <c r="D11" s="462"/>
      <c r="E11" s="460"/>
      <c r="F11" s="460"/>
      <c r="G11" s="461"/>
      <c r="H11" s="460"/>
      <c r="I11" s="368"/>
      <c r="J11" s="370"/>
      <c r="K11" s="370"/>
      <c r="L11" s="369"/>
      <c r="M11" s="369"/>
      <c r="N11" s="369"/>
      <c r="O11" s="368"/>
      <c r="P11" s="373"/>
      <c r="Q11" s="373"/>
      <c r="R11" s="337"/>
    </row>
    <row r="12" spans="1:18" x14ac:dyDescent="0.25">
      <c r="A12" s="360">
        <v>3</v>
      </c>
      <c r="B12" s="368"/>
      <c r="C12" s="368"/>
      <c r="D12" s="462"/>
      <c r="E12" s="460"/>
      <c r="F12" s="460"/>
      <c r="G12" s="461"/>
      <c r="H12" s="460"/>
      <c r="I12" s="368"/>
      <c r="J12" s="370"/>
      <c r="K12" s="370"/>
      <c r="L12" s="369"/>
      <c r="M12" s="369"/>
      <c r="N12" s="369"/>
      <c r="O12" s="368"/>
      <c r="P12" s="373"/>
      <c r="Q12" s="373"/>
      <c r="R12" s="337"/>
    </row>
    <row r="13" spans="1:18" x14ac:dyDescent="0.25">
      <c r="A13" s="360">
        <v>4</v>
      </c>
      <c r="B13" s="368"/>
      <c r="C13" s="368"/>
      <c r="D13" s="462"/>
      <c r="E13" s="460"/>
      <c r="F13" s="460"/>
      <c r="G13" s="461"/>
      <c r="H13" s="460"/>
      <c r="I13" s="368"/>
      <c r="J13" s="370"/>
      <c r="K13" s="370"/>
      <c r="L13" s="369"/>
      <c r="M13" s="369"/>
      <c r="N13" s="369"/>
      <c r="O13" s="368"/>
      <c r="P13" s="373"/>
      <c r="Q13" s="373"/>
      <c r="R13" s="337"/>
    </row>
    <row r="14" spans="1:18" x14ac:dyDescent="0.25">
      <c r="A14" s="360">
        <v>5</v>
      </c>
      <c r="B14" s="368"/>
      <c r="C14" s="368"/>
      <c r="D14" s="462"/>
      <c r="E14" s="460"/>
      <c r="F14" s="460"/>
      <c r="G14" s="461"/>
      <c r="H14" s="460"/>
      <c r="I14" s="368"/>
      <c r="J14" s="370"/>
      <c r="K14" s="370"/>
      <c r="L14" s="369"/>
      <c r="M14" s="369"/>
      <c r="N14" s="369"/>
      <c r="O14" s="368"/>
      <c r="P14" s="373"/>
      <c r="Q14" s="373"/>
      <c r="R14" s="337"/>
    </row>
    <row r="15" spans="1:18" x14ac:dyDescent="0.25">
      <c r="A15" s="360">
        <v>6</v>
      </c>
      <c r="B15" s="368"/>
      <c r="C15" s="368"/>
      <c r="D15" s="462"/>
      <c r="E15" s="460"/>
      <c r="F15" s="460"/>
      <c r="G15" s="461"/>
      <c r="H15" s="460"/>
      <c r="I15" s="368"/>
      <c r="J15" s="370"/>
      <c r="K15" s="370"/>
      <c r="L15" s="369"/>
      <c r="M15" s="369"/>
      <c r="N15" s="369"/>
      <c r="O15" s="368"/>
      <c r="P15" s="373"/>
      <c r="Q15" s="373"/>
      <c r="R15" s="337"/>
    </row>
    <row r="16" spans="1:18" x14ac:dyDescent="0.25">
      <c r="A16" s="360">
        <v>7</v>
      </c>
      <c r="B16" s="368"/>
      <c r="C16" s="368"/>
      <c r="D16" s="462"/>
      <c r="E16" s="460"/>
      <c r="F16" s="460"/>
      <c r="G16" s="461"/>
      <c r="H16" s="460"/>
      <c r="I16" s="368"/>
      <c r="J16" s="370"/>
      <c r="K16" s="370"/>
      <c r="L16" s="369"/>
      <c r="M16" s="369"/>
      <c r="N16" s="369"/>
      <c r="O16" s="368"/>
      <c r="P16" s="373"/>
      <c r="Q16" s="373"/>
      <c r="R16" s="337"/>
    </row>
    <row r="17" spans="1:18" x14ac:dyDescent="0.25">
      <c r="A17" s="360">
        <v>8</v>
      </c>
      <c r="B17" s="368"/>
      <c r="C17" s="368"/>
      <c r="D17" s="462"/>
      <c r="E17" s="460"/>
      <c r="F17" s="460"/>
      <c r="G17" s="461"/>
      <c r="H17" s="460"/>
      <c r="I17" s="368"/>
      <c r="J17" s="370"/>
      <c r="K17" s="370"/>
      <c r="L17" s="369"/>
      <c r="M17" s="369"/>
      <c r="N17" s="369"/>
      <c r="O17" s="368"/>
      <c r="P17" s="373"/>
      <c r="Q17" s="373"/>
      <c r="R17" s="337"/>
    </row>
    <row r="18" spans="1:18" x14ac:dyDescent="0.25">
      <c r="A18" s="360">
        <v>9</v>
      </c>
      <c r="B18" s="368"/>
      <c r="C18" s="368"/>
      <c r="D18" s="462"/>
      <c r="E18" s="460"/>
      <c r="F18" s="460"/>
      <c r="G18" s="461"/>
      <c r="H18" s="460"/>
      <c r="I18" s="368"/>
      <c r="J18" s="370"/>
      <c r="K18" s="370"/>
      <c r="L18" s="369"/>
      <c r="M18" s="369"/>
      <c r="N18" s="369"/>
      <c r="O18" s="368"/>
      <c r="P18" s="373"/>
      <c r="Q18" s="373"/>
      <c r="R18" s="337"/>
    </row>
    <row r="19" spans="1:18" x14ac:dyDescent="0.25">
      <c r="A19" s="360">
        <v>10</v>
      </c>
      <c r="B19" s="368"/>
      <c r="C19" s="368"/>
      <c r="D19" s="462"/>
      <c r="E19" s="460"/>
      <c r="F19" s="460"/>
      <c r="G19" s="461"/>
      <c r="H19" s="460"/>
      <c r="I19" s="368"/>
      <c r="J19" s="370"/>
      <c r="K19" s="370"/>
      <c r="L19" s="369"/>
      <c r="M19" s="369"/>
      <c r="N19" s="369"/>
      <c r="O19" s="368"/>
      <c r="P19" s="373"/>
      <c r="Q19" s="373"/>
      <c r="R19" s="337"/>
    </row>
    <row r="20" spans="1:18" x14ac:dyDescent="0.25">
      <c r="A20" s="360">
        <v>11</v>
      </c>
      <c r="B20" s="368"/>
      <c r="C20" s="368"/>
      <c r="D20" s="462"/>
      <c r="E20" s="460"/>
      <c r="F20" s="460"/>
      <c r="G20" s="461"/>
      <c r="H20" s="460"/>
      <c r="I20" s="368"/>
      <c r="J20" s="370"/>
      <c r="K20" s="370"/>
      <c r="L20" s="369"/>
      <c r="M20" s="369"/>
      <c r="N20" s="369"/>
      <c r="O20" s="368"/>
      <c r="P20" s="373"/>
      <c r="Q20" s="373"/>
      <c r="R20" s="337"/>
    </row>
    <row r="21" spans="1:18" x14ac:dyDescent="0.25">
      <c r="A21" s="360">
        <v>12</v>
      </c>
      <c r="B21" s="368"/>
      <c r="C21" s="368"/>
      <c r="D21" s="462"/>
      <c r="E21" s="460"/>
      <c r="F21" s="460"/>
      <c r="G21" s="461"/>
      <c r="H21" s="460"/>
      <c r="I21" s="368"/>
      <c r="J21" s="370"/>
      <c r="K21" s="370"/>
      <c r="L21" s="369"/>
      <c r="M21" s="369"/>
      <c r="N21" s="369"/>
      <c r="O21" s="368"/>
      <c r="P21" s="373"/>
      <c r="Q21" s="373"/>
      <c r="R21" s="337"/>
    </row>
    <row r="22" spans="1:18" x14ac:dyDescent="0.25">
      <c r="A22" s="360">
        <v>13</v>
      </c>
      <c r="B22" s="368"/>
      <c r="C22" s="368"/>
      <c r="D22" s="462"/>
      <c r="E22" s="460"/>
      <c r="F22" s="460"/>
      <c r="G22" s="461"/>
      <c r="H22" s="460"/>
      <c r="I22" s="368"/>
      <c r="J22" s="370"/>
      <c r="K22" s="370"/>
      <c r="L22" s="369"/>
      <c r="M22" s="369"/>
      <c r="N22" s="369"/>
      <c r="O22" s="368"/>
      <c r="P22" s="373"/>
      <c r="Q22" s="373"/>
      <c r="R22" s="337"/>
    </row>
    <row r="23" spans="1:18" x14ac:dyDescent="0.25">
      <c r="A23" s="360">
        <v>14</v>
      </c>
      <c r="B23" s="368"/>
      <c r="C23" s="368"/>
      <c r="D23" s="462"/>
      <c r="E23" s="460"/>
      <c r="F23" s="460"/>
      <c r="G23" s="461"/>
      <c r="H23" s="460"/>
      <c r="I23" s="368"/>
      <c r="J23" s="370"/>
      <c r="K23" s="370"/>
      <c r="L23" s="369"/>
      <c r="M23" s="369"/>
      <c r="N23" s="369"/>
      <c r="O23" s="368"/>
      <c r="P23" s="373"/>
      <c r="Q23" s="373"/>
      <c r="R23" s="337"/>
    </row>
    <row r="24" spans="1:18" x14ac:dyDescent="0.25">
      <c r="A24" s="360">
        <v>15</v>
      </c>
      <c r="B24" s="368"/>
      <c r="C24" s="368"/>
      <c r="D24" s="462"/>
      <c r="E24" s="460"/>
      <c r="F24" s="460"/>
      <c r="G24" s="461"/>
      <c r="H24" s="460"/>
      <c r="I24" s="368"/>
      <c r="J24" s="370"/>
      <c r="K24" s="370"/>
      <c r="L24" s="369"/>
      <c r="M24" s="369"/>
      <c r="N24" s="369"/>
      <c r="O24" s="368"/>
      <c r="P24" s="373"/>
      <c r="Q24" s="373"/>
      <c r="R24" s="337"/>
    </row>
    <row r="25" spans="1:18" x14ac:dyDescent="0.25">
      <c r="A25" s="360">
        <v>16</v>
      </c>
      <c r="B25" s="368"/>
      <c r="C25" s="368"/>
      <c r="D25" s="462"/>
      <c r="E25" s="460"/>
      <c r="F25" s="460"/>
      <c r="G25" s="461"/>
      <c r="H25" s="460"/>
      <c r="I25" s="368"/>
      <c r="J25" s="370"/>
      <c r="K25" s="370"/>
      <c r="L25" s="369"/>
      <c r="M25" s="369"/>
      <c r="N25" s="369"/>
      <c r="O25" s="368"/>
      <c r="P25" s="373"/>
      <c r="Q25" s="373"/>
      <c r="R25" s="337"/>
    </row>
    <row r="26" spans="1:18" x14ac:dyDescent="0.25">
      <c r="A26" s="472">
        <v>17</v>
      </c>
      <c r="B26" s="368"/>
      <c r="C26" s="368"/>
      <c r="D26" s="462"/>
      <c r="E26" s="460"/>
      <c r="F26" s="460"/>
      <c r="G26" s="461"/>
      <c r="H26" s="460"/>
      <c r="I26" s="368"/>
      <c r="J26" s="370"/>
      <c r="K26" s="370"/>
      <c r="L26" s="369"/>
      <c r="M26" s="369"/>
      <c r="N26" s="369"/>
      <c r="O26" s="368"/>
      <c r="P26" s="373"/>
      <c r="Q26" s="373"/>
      <c r="R26" s="337"/>
    </row>
    <row r="27" spans="1:18" x14ac:dyDescent="0.25">
      <c r="A27" s="360">
        <v>18</v>
      </c>
      <c r="B27" s="368"/>
      <c r="C27" s="368"/>
      <c r="D27" s="462"/>
      <c r="E27" s="460"/>
      <c r="F27" s="460"/>
      <c r="G27" s="461"/>
      <c r="H27" s="460"/>
      <c r="I27" s="368"/>
      <c r="J27" s="370"/>
      <c r="K27" s="370"/>
      <c r="L27" s="369"/>
      <c r="M27" s="369"/>
      <c r="N27" s="369"/>
      <c r="O27" s="368"/>
      <c r="P27" s="373"/>
      <c r="Q27" s="373"/>
      <c r="R27" s="337"/>
    </row>
    <row r="28" spans="1:18" x14ac:dyDescent="0.25">
      <c r="A28" s="360">
        <v>19</v>
      </c>
      <c r="B28" s="368"/>
      <c r="C28" s="368"/>
      <c r="D28" s="462"/>
      <c r="E28" s="460"/>
      <c r="F28" s="460"/>
      <c r="G28" s="461"/>
      <c r="H28" s="460"/>
      <c r="I28" s="368"/>
      <c r="J28" s="370"/>
      <c r="K28" s="370"/>
      <c r="L28" s="369"/>
      <c r="M28" s="369"/>
      <c r="N28" s="369"/>
      <c r="O28" s="368"/>
      <c r="P28" s="373"/>
      <c r="Q28" s="373"/>
      <c r="R28" s="337"/>
    </row>
    <row r="29" spans="1:18" x14ac:dyDescent="0.25">
      <c r="A29" s="360">
        <v>20</v>
      </c>
      <c r="B29" s="368"/>
      <c r="C29" s="368"/>
      <c r="D29" s="462"/>
      <c r="E29" s="460"/>
      <c r="F29" s="460"/>
      <c r="G29" s="461"/>
      <c r="H29" s="460"/>
      <c r="I29" s="368"/>
      <c r="J29" s="370"/>
      <c r="K29" s="370"/>
      <c r="L29" s="369"/>
      <c r="M29" s="369"/>
      <c r="N29" s="369"/>
      <c r="O29" s="368"/>
      <c r="P29" s="373"/>
      <c r="Q29" s="373"/>
      <c r="R29" s="337"/>
    </row>
    <row r="30" spans="1:18" x14ac:dyDescent="0.25">
      <c r="A30" s="360">
        <v>21</v>
      </c>
      <c r="B30" s="368"/>
      <c r="C30" s="368"/>
      <c r="D30" s="462"/>
      <c r="E30" s="460"/>
      <c r="F30" s="460"/>
      <c r="G30" s="461"/>
      <c r="H30" s="460"/>
      <c r="I30" s="368"/>
      <c r="J30" s="370"/>
      <c r="K30" s="370"/>
      <c r="L30" s="369"/>
      <c r="M30" s="369"/>
      <c r="N30" s="369"/>
      <c r="O30" s="368"/>
      <c r="P30" s="373"/>
      <c r="Q30" s="373"/>
      <c r="R30" s="337"/>
    </row>
    <row r="31" spans="1:18" x14ac:dyDescent="0.25">
      <c r="A31" s="360">
        <v>22</v>
      </c>
      <c r="B31" s="368"/>
      <c r="C31" s="368"/>
      <c r="D31" s="462"/>
      <c r="E31" s="460"/>
      <c r="F31" s="460"/>
      <c r="G31" s="461"/>
      <c r="H31" s="460"/>
      <c r="I31" s="368"/>
      <c r="J31" s="370"/>
      <c r="K31" s="370"/>
      <c r="L31" s="369"/>
      <c r="M31" s="369"/>
      <c r="N31" s="369"/>
      <c r="O31" s="368"/>
      <c r="P31" s="373"/>
      <c r="Q31" s="373"/>
      <c r="R31" s="337"/>
    </row>
    <row r="32" spans="1:18" x14ac:dyDescent="0.25">
      <c r="A32" s="360">
        <v>23</v>
      </c>
      <c r="B32" s="368"/>
      <c r="C32" s="368"/>
      <c r="D32" s="462"/>
      <c r="E32" s="460"/>
      <c r="F32" s="460"/>
      <c r="G32" s="461"/>
      <c r="H32" s="460"/>
      <c r="I32" s="368"/>
      <c r="J32" s="370"/>
      <c r="K32" s="370"/>
      <c r="L32" s="369"/>
      <c r="M32" s="369"/>
      <c r="N32" s="369"/>
      <c r="O32" s="368"/>
      <c r="P32" s="373"/>
      <c r="Q32" s="373"/>
      <c r="R32" s="337"/>
    </row>
    <row r="33" spans="1:18" x14ac:dyDescent="0.25">
      <c r="A33" s="472">
        <v>24</v>
      </c>
      <c r="B33" s="368"/>
      <c r="C33" s="368"/>
      <c r="D33" s="462"/>
      <c r="E33" s="460"/>
      <c r="F33" s="460"/>
      <c r="G33" s="461"/>
      <c r="H33" s="460"/>
      <c r="I33" s="368"/>
      <c r="J33" s="370"/>
      <c r="K33" s="370"/>
      <c r="L33" s="369"/>
      <c r="M33" s="369"/>
      <c r="N33" s="369"/>
      <c r="O33" s="368"/>
      <c r="P33" s="739"/>
      <c r="Q33" s="740"/>
      <c r="R33" s="337"/>
    </row>
    <row r="34" spans="1:18" x14ac:dyDescent="0.25">
      <c r="A34" s="360">
        <v>25</v>
      </c>
      <c r="B34" s="368"/>
      <c r="C34" s="368"/>
      <c r="D34" s="462"/>
      <c r="E34" s="460"/>
      <c r="F34" s="460"/>
      <c r="G34" s="461"/>
      <c r="H34" s="460"/>
      <c r="I34" s="368"/>
      <c r="J34" s="370"/>
      <c r="K34" s="370"/>
      <c r="L34" s="369"/>
      <c r="M34" s="369"/>
      <c r="N34" s="369"/>
      <c r="O34" s="368"/>
      <c r="P34" s="373"/>
      <c r="Q34" s="373"/>
      <c r="R34" s="337"/>
    </row>
    <row r="35" spans="1:18" x14ac:dyDescent="0.25">
      <c r="A35" s="360">
        <v>26</v>
      </c>
      <c r="B35" s="368"/>
      <c r="C35" s="368"/>
      <c r="D35" s="462"/>
      <c r="E35" s="460"/>
      <c r="F35" s="460"/>
      <c r="G35" s="461"/>
      <c r="H35" s="460"/>
      <c r="I35" s="368"/>
      <c r="J35" s="370"/>
      <c r="K35" s="370"/>
      <c r="L35" s="369"/>
      <c r="M35" s="369"/>
      <c r="N35" s="369"/>
      <c r="O35" s="368"/>
      <c r="P35" s="373"/>
      <c r="Q35" s="373"/>
      <c r="R35" s="337"/>
    </row>
    <row r="36" spans="1:18" x14ac:dyDescent="0.25">
      <c r="A36" s="360">
        <v>27</v>
      </c>
      <c r="B36" s="368"/>
      <c r="C36" s="368"/>
      <c r="D36" s="462"/>
      <c r="E36" s="460"/>
      <c r="F36" s="460"/>
      <c r="G36" s="461"/>
      <c r="H36" s="460"/>
      <c r="I36" s="368"/>
      <c r="J36" s="370"/>
      <c r="K36" s="370"/>
      <c r="L36" s="369"/>
      <c r="M36" s="369"/>
      <c r="N36" s="369"/>
      <c r="O36" s="368"/>
      <c r="P36" s="373"/>
      <c r="Q36" s="373"/>
      <c r="R36" s="337"/>
    </row>
    <row r="37" spans="1:18" x14ac:dyDescent="0.25">
      <c r="A37" s="360">
        <v>28</v>
      </c>
      <c r="B37" s="368"/>
      <c r="C37" s="368"/>
      <c r="D37" s="462"/>
      <c r="E37" s="460"/>
      <c r="F37" s="460"/>
      <c r="G37" s="461"/>
      <c r="H37" s="460"/>
      <c r="I37" s="368"/>
      <c r="J37" s="370"/>
      <c r="K37" s="370"/>
      <c r="L37" s="369"/>
      <c r="M37" s="369"/>
      <c r="N37" s="369"/>
      <c r="O37" s="368"/>
      <c r="P37" s="373"/>
      <c r="Q37" s="373"/>
      <c r="R37" s="337"/>
    </row>
    <row r="38" spans="1:18" x14ac:dyDescent="0.25">
      <c r="A38" s="360">
        <v>29</v>
      </c>
      <c r="B38" s="368"/>
      <c r="C38" s="368"/>
      <c r="D38" s="462"/>
      <c r="E38" s="460"/>
      <c r="F38" s="460"/>
      <c r="G38" s="461"/>
      <c r="H38" s="460"/>
      <c r="I38" s="368"/>
      <c r="J38" s="370"/>
      <c r="K38" s="370"/>
      <c r="L38" s="369"/>
      <c r="M38" s="369"/>
      <c r="N38" s="369"/>
      <c r="O38" s="368"/>
      <c r="P38" s="373"/>
      <c r="Q38" s="373"/>
      <c r="R38" s="337"/>
    </row>
    <row r="39" spans="1:18" x14ac:dyDescent="0.25">
      <c r="A39" s="360">
        <v>30</v>
      </c>
      <c r="B39" s="368"/>
      <c r="C39" s="368"/>
      <c r="D39" s="462"/>
      <c r="E39" s="460"/>
      <c r="F39" s="460"/>
      <c r="G39" s="461"/>
      <c r="H39" s="460"/>
      <c r="I39" s="368"/>
      <c r="J39" s="370"/>
      <c r="K39" s="370"/>
      <c r="L39" s="369"/>
      <c r="M39" s="369"/>
      <c r="N39" s="369"/>
      <c r="O39" s="368"/>
      <c r="P39" s="373"/>
      <c r="Q39" s="373"/>
      <c r="R39" s="337"/>
    </row>
    <row r="40" spans="1:18" x14ac:dyDescent="0.25">
      <c r="A40" s="360">
        <v>31</v>
      </c>
      <c r="B40" s="368"/>
      <c r="C40" s="368"/>
      <c r="D40" s="462"/>
      <c r="E40" s="460"/>
      <c r="F40" s="460"/>
      <c r="G40" s="461"/>
      <c r="H40" s="460"/>
      <c r="I40" s="368"/>
      <c r="J40" s="370"/>
      <c r="K40" s="370"/>
      <c r="L40" s="369"/>
      <c r="M40" s="369"/>
      <c r="N40" s="369"/>
      <c r="O40" s="368"/>
      <c r="P40" s="373"/>
      <c r="Q40" s="373"/>
      <c r="R40" s="337"/>
    </row>
    <row r="41" spans="1:18" x14ac:dyDescent="0.25">
      <c r="A41" s="336"/>
      <c r="B41" s="337"/>
      <c r="C41" s="337"/>
      <c r="D41" s="363" t="e">
        <f>AVERAGE(D10:D40)</f>
        <v>#DIV/0!</v>
      </c>
      <c r="E41" s="337"/>
      <c r="F41" s="337"/>
      <c r="G41" s="363" t="e">
        <f>AVERAGE(G10:G40)</f>
        <v>#DIV/0!</v>
      </c>
      <c r="H41" s="363" t="e">
        <f>AVERAGE(H10:H40)</f>
        <v>#DIV/0!</v>
      </c>
      <c r="I41" s="363"/>
      <c r="J41" s="363">
        <f>SUM(J10:J40)</f>
        <v>0</v>
      </c>
      <c r="K41" s="363">
        <f>SUM(K10:K40)</f>
        <v>0</v>
      </c>
      <c r="L41" s="337"/>
      <c r="M41" s="337"/>
      <c r="N41" s="337"/>
      <c r="O41" s="337"/>
      <c r="P41" s="337"/>
      <c r="Q41" s="337"/>
      <c r="R41" s="337"/>
    </row>
    <row r="42" spans="1:18" x14ac:dyDescent="0.25">
      <c r="A42" s="336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</row>
    <row r="43" spans="1:18" x14ac:dyDescent="0.25">
      <c r="A43" s="336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</row>
    <row r="44" spans="1:18" x14ac:dyDescent="0.25">
      <c r="A44" s="336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</row>
    <row r="45" spans="1:18" x14ac:dyDescent="0.25">
      <c r="A45" s="336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</row>
    <row r="46" spans="1:18" x14ac:dyDescent="0.25">
      <c r="A46" s="336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</row>
    <row r="47" spans="1:18" x14ac:dyDescent="0.25">
      <c r="A47" s="336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</row>
    <row r="48" spans="1:18" x14ac:dyDescent="0.25">
      <c r="A48" s="336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</row>
    <row r="49" spans="1:18" x14ac:dyDescent="0.25">
      <c r="A49" s="336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</row>
    <row r="50" spans="1:18" x14ac:dyDescent="0.25">
      <c r="A50" s="336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</row>
    <row r="51" spans="1:18" x14ac:dyDescent="0.25">
      <c r="A51" s="336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</row>
    <row r="52" spans="1:18" x14ac:dyDescent="0.25">
      <c r="A52" s="336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</row>
    <row r="53" spans="1:18" x14ac:dyDescent="0.25">
      <c r="A53" s="336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</row>
    <row r="54" spans="1:18" x14ac:dyDescent="0.25">
      <c r="A54" s="336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</row>
    <row r="55" spans="1:18" x14ac:dyDescent="0.25">
      <c r="A55" s="336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</row>
    <row r="56" spans="1:18" x14ac:dyDescent="0.25">
      <c r="A56" s="336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</row>
    <row r="57" spans="1:18" x14ac:dyDescent="0.25">
      <c r="A57" s="336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</row>
    <row r="58" spans="1:18" x14ac:dyDescent="0.25">
      <c r="A58" s="336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</row>
    <row r="59" spans="1:18" x14ac:dyDescent="0.25">
      <c r="A59" s="336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</row>
    <row r="60" spans="1:18" x14ac:dyDescent="0.25">
      <c r="A60" s="336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</row>
    <row r="61" spans="1:18" x14ac:dyDescent="0.25">
      <c r="A61" s="336"/>
      <c r="B61" s="337"/>
      <c r="C61" s="337"/>
      <c r="D61" s="337"/>
      <c r="E61" s="337"/>
      <c r="F61" s="337"/>
      <c r="G61" s="337"/>
      <c r="H61" s="337"/>
      <c r="I61" s="337"/>
      <c r="J61" s="337"/>
    </row>
    <row r="62" spans="1:18" x14ac:dyDescent="0.25">
      <c r="A62" s="336"/>
      <c r="B62" s="337"/>
      <c r="C62" s="337"/>
      <c r="D62" s="337"/>
      <c r="E62" s="337"/>
      <c r="F62" s="337"/>
      <c r="G62" s="337"/>
      <c r="H62" s="337"/>
      <c r="I62" s="337"/>
      <c r="J62" s="337"/>
    </row>
    <row r="63" spans="1:18" x14ac:dyDescent="0.25">
      <c r="A63" s="336"/>
      <c r="B63" s="337"/>
      <c r="C63" s="337"/>
      <c r="D63" s="337"/>
      <c r="E63" s="337"/>
      <c r="F63" s="337"/>
      <c r="G63" s="337"/>
      <c r="H63" s="337"/>
      <c r="I63" s="337"/>
      <c r="J63" s="337"/>
    </row>
    <row r="64" spans="1:18" x14ac:dyDescent="0.25">
      <c r="A64" s="336"/>
      <c r="B64" s="337"/>
      <c r="C64" s="337"/>
      <c r="D64" s="337"/>
      <c r="E64" s="337"/>
      <c r="F64" s="337"/>
      <c r="G64" s="337"/>
      <c r="H64" s="337"/>
      <c r="I64" s="337"/>
      <c r="J64" s="337"/>
    </row>
    <row r="65" spans="1:10" x14ac:dyDescent="0.25">
      <c r="A65" s="336"/>
      <c r="B65" s="337"/>
      <c r="C65" s="337"/>
      <c r="D65" s="337"/>
      <c r="E65" s="337"/>
      <c r="F65" s="337"/>
      <c r="G65" s="337"/>
      <c r="H65" s="337"/>
      <c r="I65" s="337"/>
      <c r="J65" s="337"/>
    </row>
    <row r="66" spans="1:10" x14ac:dyDescent="0.25">
      <c r="A66" s="336"/>
      <c r="B66" s="337"/>
      <c r="C66" s="337"/>
      <c r="D66" s="337"/>
      <c r="E66" s="337"/>
      <c r="F66" s="337"/>
      <c r="G66" s="337"/>
      <c r="H66" s="337"/>
      <c r="I66" s="337"/>
      <c r="J66" s="337"/>
    </row>
    <row r="67" spans="1:10" x14ac:dyDescent="0.25">
      <c r="A67" s="336"/>
      <c r="B67" s="337"/>
      <c r="C67" s="337"/>
      <c r="D67" s="337"/>
      <c r="E67" s="337"/>
      <c r="F67" s="337"/>
      <c r="G67" s="337"/>
      <c r="H67" s="337"/>
      <c r="I67" s="337"/>
      <c r="J67" s="337"/>
    </row>
    <row r="68" spans="1:10" x14ac:dyDescent="0.25">
      <c r="A68" s="336"/>
      <c r="B68" s="337"/>
      <c r="C68" s="337"/>
      <c r="D68" s="337"/>
      <c r="E68" s="337"/>
      <c r="F68" s="337"/>
      <c r="G68" s="337"/>
      <c r="H68" s="337"/>
      <c r="I68" s="337"/>
      <c r="J68" s="337"/>
    </row>
    <row r="69" spans="1:10" x14ac:dyDescent="0.25">
      <c r="A69" s="336"/>
      <c r="B69" s="337"/>
      <c r="C69" s="337"/>
      <c r="D69" s="337"/>
      <c r="E69" s="337"/>
      <c r="F69" s="337"/>
      <c r="G69" s="337"/>
      <c r="H69" s="337"/>
      <c r="I69" s="337"/>
      <c r="J69" s="337"/>
    </row>
    <row r="70" spans="1:10" x14ac:dyDescent="0.25">
      <c r="A70" s="336"/>
      <c r="B70" s="337"/>
      <c r="C70" s="337"/>
      <c r="D70" s="337"/>
      <c r="E70" s="337"/>
      <c r="F70" s="337"/>
      <c r="G70" s="337"/>
      <c r="H70" s="337"/>
      <c r="I70" s="337"/>
      <c r="J70" s="337"/>
    </row>
    <row r="71" spans="1:10" x14ac:dyDescent="0.25">
      <c r="A71" s="336"/>
      <c r="B71" s="337"/>
      <c r="C71" s="337"/>
      <c r="D71" s="337"/>
      <c r="E71" s="337"/>
      <c r="F71" s="337"/>
      <c r="G71" s="337"/>
      <c r="H71" s="337"/>
      <c r="I71" s="337"/>
      <c r="J71" s="337"/>
    </row>
    <row r="72" spans="1:10" x14ac:dyDescent="0.25">
      <c r="A72" s="336"/>
      <c r="B72" s="337"/>
      <c r="C72" s="337"/>
      <c r="D72" s="337"/>
      <c r="E72" s="337"/>
      <c r="F72" s="337"/>
      <c r="G72" s="337"/>
      <c r="H72" s="337"/>
      <c r="I72" s="337"/>
      <c r="J72" s="337"/>
    </row>
    <row r="73" spans="1:10" x14ac:dyDescent="0.25">
      <c r="A73" s="336"/>
      <c r="B73" s="337"/>
      <c r="C73" s="337"/>
      <c r="D73" s="337"/>
      <c r="E73" s="337"/>
      <c r="F73" s="337"/>
      <c r="G73" s="337"/>
      <c r="H73" s="337"/>
      <c r="I73" s="337"/>
      <c r="J73" s="337"/>
    </row>
    <row r="74" spans="1:10" x14ac:dyDescent="0.25">
      <c r="A74" s="336"/>
      <c r="B74" s="337"/>
      <c r="C74" s="337"/>
      <c r="D74" s="337"/>
      <c r="E74" s="337"/>
      <c r="F74" s="337"/>
      <c r="G74" s="337"/>
      <c r="H74" s="337"/>
      <c r="I74" s="337"/>
      <c r="J74" s="337"/>
    </row>
    <row r="75" spans="1:10" x14ac:dyDescent="0.25">
      <c r="A75" s="336"/>
      <c r="B75" s="337"/>
      <c r="C75" s="337"/>
      <c r="D75" s="337"/>
      <c r="E75" s="337"/>
      <c r="F75" s="337"/>
      <c r="G75" s="337"/>
      <c r="H75" s="337"/>
      <c r="I75" s="337"/>
      <c r="J75" s="337"/>
    </row>
    <row r="76" spans="1:10" x14ac:dyDescent="0.25">
      <c r="A76" s="336"/>
      <c r="B76" s="337"/>
      <c r="C76" s="337"/>
      <c r="D76" s="337"/>
      <c r="E76" s="337"/>
      <c r="F76" s="337"/>
      <c r="G76" s="337"/>
      <c r="H76" s="337"/>
      <c r="I76" s="337"/>
      <c r="J76" s="337"/>
    </row>
    <row r="77" spans="1:10" x14ac:dyDescent="0.25">
      <c r="A77" s="336"/>
      <c r="B77" s="337"/>
      <c r="C77" s="337"/>
      <c r="D77" s="337"/>
      <c r="E77" s="337"/>
      <c r="F77" s="337"/>
      <c r="G77" s="337"/>
      <c r="H77" s="337"/>
      <c r="I77" s="337"/>
      <c r="J77" s="337"/>
    </row>
    <row r="78" spans="1:10" x14ac:dyDescent="0.25">
      <c r="A78" s="336"/>
      <c r="B78" s="337"/>
      <c r="C78" s="337"/>
      <c r="D78" s="337"/>
      <c r="E78" s="337"/>
      <c r="F78" s="337"/>
      <c r="G78" s="337"/>
      <c r="H78" s="337"/>
      <c r="I78" s="337"/>
      <c r="J78" s="337"/>
    </row>
    <row r="79" spans="1:10" x14ac:dyDescent="0.25">
      <c r="A79" s="336"/>
      <c r="B79" s="337"/>
      <c r="C79" s="337"/>
      <c r="D79" s="337"/>
      <c r="E79" s="337"/>
      <c r="F79" s="337"/>
      <c r="G79" s="337"/>
      <c r="H79" s="337"/>
      <c r="I79" s="337"/>
      <c r="J79" s="337"/>
    </row>
    <row r="80" spans="1:10" x14ac:dyDescent="0.25">
      <c r="A80" s="336"/>
      <c r="B80" s="337"/>
      <c r="C80" s="337"/>
      <c r="D80" s="337"/>
      <c r="E80" s="337"/>
      <c r="F80" s="337"/>
      <c r="G80" s="337"/>
      <c r="H80" s="337"/>
      <c r="I80" s="337"/>
      <c r="J80" s="337"/>
    </row>
    <row r="81" spans="1:10" x14ac:dyDescent="0.25">
      <c r="A81" s="336"/>
      <c r="B81" s="337"/>
      <c r="C81" s="337"/>
      <c r="D81" s="337"/>
      <c r="E81" s="337"/>
      <c r="F81" s="337"/>
      <c r="G81" s="337"/>
      <c r="H81" s="337"/>
      <c r="I81" s="337"/>
      <c r="J81" s="337"/>
    </row>
    <row r="82" spans="1:10" x14ac:dyDescent="0.25">
      <c r="A82" s="336"/>
      <c r="B82" s="337"/>
      <c r="C82" s="337"/>
      <c r="D82" s="337"/>
      <c r="E82" s="337"/>
      <c r="F82" s="337"/>
      <c r="G82" s="337"/>
      <c r="H82" s="337"/>
      <c r="I82" s="337"/>
      <c r="J82" s="337"/>
    </row>
    <row r="83" spans="1:10" x14ac:dyDescent="0.25">
      <c r="A83" s="336"/>
      <c r="B83" s="337"/>
      <c r="C83" s="337"/>
      <c r="D83" s="337"/>
      <c r="E83" s="337"/>
      <c r="F83" s="337"/>
      <c r="G83" s="337"/>
      <c r="H83" s="337"/>
      <c r="I83" s="337"/>
      <c r="J83" s="337"/>
    </row>
    <row r="84" spans="1:10" x14ac:dyDescent="0.25">
      <c r="A84" s="336"/>
      <c r="B84" s="337"/>
      <c r="C84" s="337"/>
      <c r="D84" s="337"/>
      <c r="E84" s="337"/>
      <c r="F84" s="337"/>
      <c r="G84" s="337"/>
      <c r="H84" s="337"/>
      <c r="I84" s="337"/>
      <c r="J84" s="337"/>
    </row>
    <row r="85" spans="1:10" x14ac:dyDescent="0.25">
      <c r="A85" s="336"/>
      <c r="B85" s="337"/>
      <c r="C85" s="337"/>
      <c r="D85" s="337"/>
      <c r="E85" s="337"/>
      <c r="F85" s="337"/>
      <c r="G85" s="337"/>
      <c r="H85" s="337"/>
      <c r="I85" s="337"/>
      <c r="J85" s="337"/>
    </row>
    <row r="86" spans="1:10" x14ac:dyDescent="0.25">
      <c r="A86" s="336"/>
      <c r="B86" s="337"/>
      <c r="C86" s="337"/>
      <c r="D86" s="337"/>
      <c r="E86" s="337"/>
      <c r="F86" s="337"/>
      <c r="G86" s="337"/>
      <c r="H86" s="337"/>
      <c r="I86" s="337"/>
      <c r="J86" s="337"/>
    </row>
    <row r="87" spans="1:10" x14ac:dyDescent="0.25">
      <c r="A87" s="336"/>
      <c r="B87" s="337"/>
      <c r="C87" s="337"/>
      <c r="D87" s="337"/>
      <c r="E87" s="337"/>
      <c r="F87" s="337"/>
      <c r="G87" s="337"/>
      <c r="H87" s="337"/>
      <c r="I87" s="337"/>
      <c r="J87" s="337"/>
    </row>
    <row r="88" spans="1:10" x14ac:dyDescent="0.25">
      <c r="A88" s="336"/>
      <c r="B88" s="337"/>
      <c r="C88" s="337"/>
      <c r="D88" s="337"/>
      <c r="E88" s="337"/>
      <c r="F88" s="337"/>
      <c r="G88" s="337"/>
      <c r="H88" s="337"/>
      <c r="I88" s="337"/>
      <c r="J88" s="337"/>
    </row>
    <row r="89" spans="1:10" x14ac:dyDescent="0.25">
      <c r="A89" s="336"/>
      <c r="B89" s="337"/>
      <c r="C89" s="337"/>
      <c r="D89" s="337"/>
      <c r="E89" s="337"/>
      <c r="F89" s="337"/>
      <c r="G89" s="337"/>
      <c r="H89" s="337"/>
      <c r="I89" s="337"/>
      <c r="J89" s="337"/>
    </row>
    <row r="90" spans="1:10" x14ac:dyDescent="0.25">
      <c r="A90" s="336"/>
      <c r="B90" s="337"/>
      <c r="C90" s="337"/>
      <c r="D90" s="337"/>
      <c r="E90" s="337"/>
      <c r="F90" s="337"/>
      <c r="G90" s="337"/>
      <c r="H90" s="337"/>
      <c r="I90" s="337"/>
      <c r="J90" s="337"/>
    </row>
    <row r="91" spans="1:10" x14ac:dyDescent="0.25">
      <c r="A91" s="336"/>
      <c r="B91" s="337"/>
      <c r="C91" s="337"/>
      <c r="D91" s="337"/>
      <c r="E91" s="337"/>
      <c r="F91" s="337"/>
      <c r="G91" s="337"/>
      <c r="H91" s="337"/>
      <c r="I91" s="337"/>
      <c r="J91" s="337"/>
    </row>
    <row r="92" spans="1:10" x14ac:dyDescent="0.25">
      <c r="A92" s="336"/>
      <c r="B92" s="337"/>
      <c r="C92" s="337"/>
      <c r="D92" s="337"/>
      <c r="E92" s="337"/>
      <c r="F92" s="337"/>
      <c r="G92" s="337"/>
      <c r="H92" s="337"/>
      <c r="I92" s="337"/>
      <c r="J92" s="337"/>
    </row>
    <row r="93" spans="1:10" x14ac:dyDescent="0.25">
      <c r="A93" s="336"/>
      <c r="B93" s="337"/>
      <c r="C93" s="337"/>
      <c r="D93" s="337"/>
      <c r="E93" s="337"/>
      <c r="F93" s="337"/>
      <c r="G93" s="337"/>
      <c r="H93" s="337"/>
      <c r="I93" s="337"/>
      <c r="J93" s="337"/>
    </row>
    <row r="94" spans="1:10" x14ac:dyDescent="0.25">
      <c r="A94" s="336"/>
      <c r="B94" s="337"/>
      <c r="C94" s="337"/>
      <c r="D94" s="337"/>
      <c r="E94" s="337"/>
      <c r="F94" s="337"/>
      <c r="G94" s="337"/>
      <c r="H94" s="337"/>
      <c r="I94" s="337"/>
      <c r="J94" s="337"/>
    </row>
    <row r="95" spans="1:10" x14ac:dyDescent="0.25">
      <c r="A95" s="336"/>
      <c r="B95" s="337"/>
      <c r="C95" s="337"/>
      <c r="D95" s="337"/>
      <c r="E95" s="337"/>
      <c r="F95" s="337"/>
      <c r="G95" s="337"/>
      <c r="H95" s="337"/>
      <c r="I95" s="337"/>
      <c r="J95" s="337"/>
    </row>
    <row r="96" spans="1:10" x14ac:dyDescent="0.25">
      <c r="A96" s="336"/>
      <c r="B96" s="337"/>
      <c r="C96" s="337"/>
      <c r="D96" s="337"/>
      <c r="E96" s="337"/>
      <c r="F96" s="337"/>
      <c r="G96" s="337"/>
      <c r="H96" s="337"/>
      <c r="I96" s="337"/>
      <c r="J96" s="337"/>
    </row>
    <row r="97" spans="1:10" x14ac:dyDescent="0.25">
      <c r="A97" s="336"/>
      <c r="B97" s="337"/>
      <c r="C97" s="337"/>
      <c r="D97" s="337"/>
      <c r="E97" s="337"/>
      <c r="F97" s="337"/>
      <c r="G97" s="337"/>
      <c r="H97" s="337"/>
      <c r="I97" s="337"/>
      <c r="J97" s="337"/>
    </row>
    <row r="98" spans="1:10" x14ac:dyDescent="0.25">
      <c r="A98" s="336"/>
      <c r="B98" s="337"/>
      <c r="C98" s="337"/>
      <c r="D98" s="337"/>
      <c r="E98" s="337"/>
      <c r="F98" s="337"/>
      <c r="G98" s="337"/>
      <c r="H98" s="337"/>
      <c r="I98" s="337"/>
      <c r="J98" s="337"/>
    </row>
    <row r="99" spans="1:10" x14ac:dyDescent="0.25">
      <c r="A99" s="336"/>
      <c r="B99" s="337"/>
      <c r="C99" s="337"/>
      <c r="D99" s="337"/>
      <c r="E99" s="337"/>
      <c r="F99" s="337"/>
      <c r="G99" s="337"/>
      <c r="H99" s="337"/>
      <c r="I99" s="337"/>
      <c r="J99" s="337"/>
    </row>
    <row r="100" spans="1:10" x14ac:dyDescent="0.25">
      <c r="A100" s="336"/>
      <c r="B100" s="337"/>
      <c r="C100" s="337"/>
      <c r="D100" s="337"/>
      <c r="E100" s="337"/>
      <c r="F100" s="337"/>
      <c r="G100" s="337"/>
      <c r="H100" s="337"/>
      <c r="I100" s="337"/>
      <c r="J100" s="337"/>
    </row>
    <row r="101" spans="1:10" x14ac:dyDescent="0.25">
      <c r="A101" s="336"/>
      <c r="B101" s="337"/>
      <c r="C101" s="337"/>
      <c r="D101" s="337"/>
      <c r="E101" s="337"/>
      <c r="F101" s="337"/>
      <c r="G101" s="337"/>
      <c r="H101" s="337"/>
      <c r="I101" s="337"/>
      <c r="J101" s="337"/>
    </row>
    <row r="102" spans="1:10" x14ac:dyDescent="0.25">
      <c r="A102" s="336"/>
      <c r="B102" s="337"/>
      <c r="C102" s="337"/>
      <c r="D102" s="337"/>
      <c r="E102" s="337"/>
      <c r="F102" s="337"/>
      <c r="G102" s="337"/>
      <c r="H102" s="337"/>
      <c r="I102" s="337"/>
      <c r="J102" s="337"/>
    </row>
    <row r="103" spans="1:10" x14ac:dyDescent="0.25">
      <c r="A103" s="336"/>
      <c r="B103" s="337"/>
      <c r="C103" s="337"/>
      <c r="D103" s="337"/>
      <c r="E103" s="337"/>
      <c r="F103" s="337"/>
      <c r="G103" s="337"/>
      <c r="H103" s="337"/>
      <c r="I103" s="337"/>
      <c r="J103" s="337"/>
    </row>
    <row r="104" spans="1:10" x14ac:dyDescent="0.25">
      <c r="A104" s="336"/>
      <c r="B104" s="337"/>
      <c r="C104" s="337"/>
      <c r="D104" s="337"/>
      <c r="E104" s="337"/>
      <c r="F104" s="337"/>
      <c r="G104" s="337"/>
      <c r="H104" s="337"/>
      <c r="I104" s="337"/>
      <c r="J104" s="337"/>
    </row>
    <row r="105" spans="1:10" x14ac:dyDescent="0.25">
      <c r="A105" s="336"/>
      <c r="B105" s="337"/>
      <c r="C105" s="337"/>
      <c r="D105" s="337"/>
      <c r="E105" s="337"/>
      <c r="F105" s="337"/>
      <c r="G105" s="337"/>
      <c r="H105" s="337"/>
      <c r="I105" s="337"/>
      <c r="J105" s="337"/>
    </row>
    <row r="106" spans="1:10" x14ac:dyDescent="0.25">
      <c r="A106" s="336"/>
      <c r="B106" s="337"/>
      <c r="C106" s="337"/>
      <c r="D106" s="337"/>
      <c r="E106" s="337"/>
      <c r="F106" s="337"/>
      <c r="G106" s="337"/>
      <c r="H106" s="337"/>
      <c r="I106" s="337"/>
      <c r="J106" s="337"/>
    </row>
    <row r="107" spans="1:10" x14ac:dyDescent="0.25">
      <c r="A107" s="336"/>
      <c r="B107" s="337"/>
      <c r="C107" s="337"/>
      <c r="D107" s="337"/>
      <c r="E107" s="337"/>
      <c r="F107" s="337"/>
      <c r="G107" s="337"/>
      <c r="H107" s="337"/>
      <c r="I107" s="337"/>
      <c r="J107" s="337"/>
    </row>
    <row r="108" spans="1:10" x14ac:dyDescent="0.25">
      <c r="A108" s="336"/>
      <c r="B108" s="337"/>
      <c r="C108" s="337"/>
      <c r="D108" s="337"/>
      <c r="E108" s="337"/>
      <c r="F108" s="337"/>
      <c r="G108" s="337"/>
      <c r="H108" s="337"/>
      <c r="I108" s="337"/>
      <c r="J108" s="337"/>
    </row>
    <row r="109" spans="1:10" x14ac:dyDescent="0.25">
      <c r="A109" s="336"/>
      <c r="B109" s="337"/>
      <c r="C109" s="337"/>
      <c r="D109" s="337"/>
      <c r="E109" s="337"/>
      <c r="F109" s="337"/>
      <c r="G109" s="337"/>
      <c r="H109" s="337"/>
      <c r="I109" s="337"/>
      <c r="J109" s="337"/>
    </row>
    <row r="110" spans="1:10" x14ac:dyDescent="0.25">
      <c r="A110" s="336"/>
      <c r="B110" s="337"/>
      <c r="C110" s="337"/>
      <c r="D110" s="337"/>
      <c r="E110" s="337"/>
      <c r="F110" s="337"/>
      <c r="G110" s="337"/>
      <c r="H110" s="337"/>
      <c r="I110" s="337"/>
      <c r="J110" s="337"/>
    </row>
    <row r="111" spans="1:10" x14ac:dyDescent="0.25">
      <c r="A111" s="336"/>
      <c r="B111" s="337"/>
      <c r="C111" s="337"/>
      <c r="D111" s="337"/>
      <c r="E111" s="337"/>
      <c r="F111" s="337"/>
      <c r="G111" s="337"/>
      <c r="H111" s="337"/>
      <c r="I111" s="337"/>
      <c r="J111" s="337"/>
    </row>
    <row r="112" spans="1:10" x14ac:dyDescent="0.25">
      <c r="A112" s="336"/>
      <c r="B112" s="337"/>
      <c r="C112" s="337"/>
      <c r="D112" s="337"/>
      <c r="E112" s="337"/>
      <c r="F112" s="337"/>
      <c r="G112" s="337"/>
      <c r="H112" s="337"/>
      <c r="I112" s="337"/>
      <c r="J112" s="337"/>
    </row>
    <row r="113" spans="1:10" x14ac:dyDescent="0.25">
      <c r="A113" s="336"/>
      <c r="B113" s="337"/>
      <c r="C113" s="337"/>
      <c r="D113" s="337"/>
      <c r="E113" s="337"/>
      <c r="F113" s="337"/>
      <c r="G113" s="337"/>
      <c r="H113" s="337"/>
      <c r="I113" s="337"/>
      <c r="J113" s="337"/>
    </row>
    <row r="114" spans="1:10" x14ac:dyDescent="0.25">
      <c r="A114" s="336"/>
      <c r="B114" s="337"/>
      <c r="C114" s="337"/>
      <c r="D114" s="337"/>
      <c r="E114" s="337"/>
      <c r="F114" s="337"/>
      <c r="G114" s="337"/>
      <c r="H114" s="337"/>
      <c r="I114" s="337"/>
      <c r="J114" s="337"/>
    </row>
    <row r="115" spans="1:10" x14ac:dyDescent="0.25">
      <c r="A115" s="336"/>
      <c r="B115" s="337"/>
      <c r="C115" s="337"/>
      <c r="D115" s="337"/>
      <c r="E115" s="337"/>
      <c r="F115" s="337"/>
      <c r="G115" s="337"/>
      <c r="H115" s="337"/>
      <c r="I115" s="337"/>
      <c r="J115" s="337"/>
    </row>
    <row r="116" spans="1:10" x14ac:dyDescent="0.25">
      <c r="A116" s="336"/>
      <c r="B116" s="337"/>
      <c r="C116" s="337"/>
      <c r="D116" s="337"/>
      <c r="E116" s="337"/>
      <c r="F116" s="337"/>
      <c r="G116" s="337"/>
      <c r="H116" s="337"/>
      <c r="I116" s="337"/>
      <c r="J116" s="337"/>
    </row>
    <row r="117" spans="1:10" x14ac:dyDescent="0.25">
      <c r="A117" s="336"/>
      <c r="B117" s="337"/>
      <c r="C117" s="337"/>
      <c r="D117" s="337"/>
      <c r="E117" s="337"/>
      <c r="F117" s="337"/>
      <c r="G117" s="337"/>
      <c r="H117" s="337"/>
      <c r="I117" s="337"/>
      <c r="J117" s="337"/>
    </row>
    <row r="118" spans="1:10" x14ac:dyDescent="0.25">
      <c r="A118" s="336"/>
      <c r="B118" s="337"/>
      <c r="C118" s="337"/>
      <c r="D118" s="337"/>
      <c r="E118" s="337"/>
      <c r="F118" s="337"/>
      <c r="G118" s="337"/>
      <c r="H118" s="337"/>
      <c r="I118" s="337"/>
      <c r="J118" s="337"/>
    </row>
    <row r="119" spans="1:10" x14ac:dyDescent="0.25">
      <c r="A119" s="336"/>
      <c r="B119" s="337"/>
      <c r="C119" s="337"/>
      <c r="D119" s="337"/>
      <c r="E119" s="337"/>
      <c r="F119" s="337"/>
      <c r="G119" s="337"/>
      <c r="H119" s="337"/>
      <c r="I119" s="337"/>
      <c r="J119" s="337"/>
    </row>
    <row r="120" spans="1:10" x14ac:dyDescent="0.25">
      <c r="A120" s="336"/>
      <c r="B120" s="337"/>
      <c r="C120" s="337"/>
      <c r="D120" s="337"/>
      <c r="E120" s="337"/>
      <c r="F120" s="337"/>
      <c r="G120" s="337"/>
      <c r="H120" s="337"/>
      <c r="I120" s="337"/>
      <c r="J120" s="337"/>
    </row>
    <row r="121" spans="1:10" x14ac:dyDescent="0.25">
      <c r="A121" s="336"/>
      <c r="B121" s="337"/>
      <c r="C121" s="337"/>
      <c r="D121" s="337"/>
      <c r="E121" s="337"/>
      <c r="F121" s="337"/>
      <c r="G121" s="337"/>
      <c r="H121" s="337"/>
      <c r="I121" s="337"/>
      <c r="J121" s="337"/>
    </row>
    <row r="122" spans="1:10" x14ac:dyDescent="0.25">
      <c r="A122" s="336"/>
      <c r="B122" s="337"/>
      <c r="C122" s="337"/>
      <c r="D122" s="337"/>
      <c r="E122" s="337"/>
      <c r="F122" s="337"/>
      <c r="G122" s="337"/>
      <c r="H122" s="337"/>
      <c r="I122" s="337"/>
      <c r="J122" s="337"/>
    </row>
    <row r="123" spans="1:10" x14ac:dyDescent="0.25">
      <c r="A123" s="336"/>
      <c r="B123" s="337"/>
      <c r="C123" s="337"/>
      <c r="D123" s="337"/>
      <c r="E123" s="337"/>
      <c r="F123" s="337"/>
      <c r="G123" s="337"/>
      <c r="H123" s="337"/>
      <c r="I123" s="337"/>
      <c r="J123" s="337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23"/>
  <sheetViews>
    <sheetView showGridLines="0" workbookViewId="0">
      <pane ySplit="8" topLeftCell="A9" activePane="bottomLeft" state="frozen"/>
      <selection activeCell="X41" sqref="X41"/>
      <selection pane="bottomLeft" activeCell="M6" sqref="M6:N6"/>
    </sheetView>
  </sheetViews>
  <sheetFormatPr defaultColWidth="9.140625" defaultRowHeight="15" x14ac:dyDescent="0.25"/>
  <cols>
    <col min="1" max="1" width="6.140625" style="364" customWidth="1"/>
    <col min="2" max="3" width="6.7109375" style="339" customWidth="1"/>
    <col min="4" max="4" width="11.28515625" style="339" customWidth="1"/>
    <col min="5" max="6" width="6.7109375" style="339" customWidth="1"/>
    <col min="7" max="7" width="11.28515625" style="339" customWidth="1"/>
    <col min="8" max="11" width="6.7109375" style="339" customWidth="1"/>
    <col min="12" max="12" width="11.28515625" style="339" customWidth="1"/>
    <col min="13" max="16" width="6.7109375" style="339" customWidth="1"/>
    <col min="17" max="16384" width="9.140625" style="339"/>
  </cols>
  <sheetData>
    <row r="1" spans="1:18" ht="19.899999999999999" customHeight="1" x14ac:dyDescent="0.25">
      <c r="A1" s="336"/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</row>
    <row r="2" spans="1:18" ht="19.899999999999999" customHeight="1" x14ac:dyDescent="0.25">
      <c r="A2" s="336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</row>
    <row r="3" spans="1:18" ht="21.6" customHeight="1" x14ac:dyDescent="0.25">
      <c r="A3" s="336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</row>
    <row r="4" spans="1:18" ht="18.600000000000001" customHeight="1" x14ac:dyDescent="0.25">
      <c r="A4" s="336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</row>
    <row r="5" spans="1:18" ht="23.45" customHeight="1" x14ac:dyDescent="0.3">
      <c r="A5" s="340" t="s">
        <v>182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</row>
    <row r="6" spans="1:18" ht="22.15" customHeight="1" x14ac:dyDescent="0.3">
      <c r="A6" s="340" t="s">
        <v>207</v>
      </c>
      <c r="B6" s="337"/>
      <c r="C6" s="337"/>
      <c r="D6" s="337"/>
      <c r="E6" s="337"/>
      <c r="F6" s="337"/>
      <c r="G6" s="337"/>
      <c r="I6" s="342" t="s">
        <v>184</v>
      </c>
      <c r="J6" s="337"/>
      <c r="M6" s="743" t="s">
        <v>279</v>
      </c>
      <c r="N6" s="743">
        <v>2021</v>
      </c>
      <c r="O6" s="375">
        <v>2025</v>
      </c>
      <c r="Q6" s="337"/>
      <c r="R6" s="337"/>
    </row>
    <row r="7" spans="1:18" ht="21" customHeight="1" thickBot="1" x14ac:dyDescent="0.35">
      <c r="A7" s="340"/>
      <c r="B7" s="337"/>
      <c r="C7" s="337"/>
      <c r="D7" s="337"/>
      <c r="E7" s="337"/>
      <c r="F7" s="337"/>
      <c r="G7" s="337"/>
      <c r="J7" s="337"/>
      <c r="M7" s="337"/>
      <c r="N7" s="337"/>
      <c r="O7" s="337"/>
      <c r="P7" s="337"/>
      <c r="Q7" s="337"/>
      <c r="R7" s="337"/>
    </row>
    <row r="8" spans="1:18" ht="43.5" customHeight="1" thickBot="1" x14ac:dyDescent="0.3">
      <c r="A8" s="376"/>
      <c r="B8" s="741" t="s">
        <v>208</v>
      </c>
      <c r="C8" s="744"/>
      <c r="D8" s="742"/>
      <c r="E8" s="741" t="s">
        <v>209</v>
      </c>
      <c r="F8" s="744"/>
      <c r="G8" s="742"/>
      <c r="H8" s="741" t="s">
        <v>210</v>
      </c>
      <c r="I8" s="742"/>
      <c r="J8" s="741" t="s">
        <v>211</v>
      </c>
      <c r="K8" s="744"/>
      <c r="L8" s="742"/>
      <c r="M8" s="741" t="s">
        <v>212</v>
      </c>
      <c r="N8" s="744"/>
      <c r="O8" s="741" t="s">
        <v>213</v>
      </c>
      <c r="P8" s="742"/>
      <c r="Q8" s="337"/>
      <c r="R8" s="337"/>
    </row>
    <row r="9" spans="1:18" ht="29.25" customHeight="1" thickBot="1" x14ac:dyDescent="0.3">
      <c r="A9" s="377" t="s">
        <v>189</v>
      </c>
      <c r="B9" s="378" t="s">
        <v>192</v>
      </c>
      <c r="C9" s="379" t="s">
        <v>195</v>
      </c>
      <c r="D9" s="380" t="s">
        <v>188</v>
      </c>
      <c r="E9" s="378" t="s">
        <v>192</v>
      </c>
      <c r="F9" s="379" t="s">
        <v>195</v>
      </c>
      <c r="G9" s="380" t="s">
        <v>188</v>
      </c>
      <c r="H9" s="378" t="s">
        <v>192</v>
      </c>
      <c r="I9" s="379" t="s">
        <v>195</v>
      </c>
      <c r="J9" s="378" t="s">
        <v>192</v>
      </c>
      <c r="K9" s="379" t="s">
        <v>195</v>
      </c>
      <c r="L9" s="380" t="s">
        <v>188</v>
      </c>
      <c r="M9" s="378" t="s">
        <v>192</v>
      </c>
      <c r="N9" s="379" t="s">
        <v>195</v>
      </c>
      <c r="O9" s="378" t="s">
        <v>192</v>
      </c>
      <c r="P9" s="379" t="s">
        <v>195</v>
      </c>
      <c r="Q9" s="337"/>
      <c r="R9" s="337"/>
    </row>
    <row r="10" spans="1:18" ht="15.75" customHeight="1" x14ac:dyDescent="0.25">
      <c r="A10" s="357">
        <v>1</v>
      </c>
      <c r="B10" s="369"/>
      <c r="C10" s="369"/>
      <c r="D10" s="369"/>
      <c r="E10" s="381"/>
      <c r="F10" s="381"/>
      <c r="G10" s="381"/>
      <c r="H10" s="371"/>
      <c r="I10" s="371"/>
      <c r="J10" s="371"/>
      <c r="K10" s="371"/>
      <c r="L10" s="371"/>
      <c r="M10" s="359"/>
      <c r="N10" s="359"/>
      <c r="O10" s="359"/>
      <c r="P10" s="359"/>
      <c r="Q10" s="337"/>
      <c r="R10" s="337"/>
    </row>
    <row r="11" spans="1:18" x14ac:dyDescent="0.25">
      <c r="A11" s="360">
        <v>2</v>
      </c>
      <c r="B11" s="369"/>
      <c r="C11" s="369"/>
      <c r="D11" s="369"/>
      <c r="E11" s="381"/>
      <c r="F11" s="381"/>
      <c r="G11" s="381"/>
      <c r="H11" s="371"/>
      <c r="I11" s="371"/>
      <c r="J11" s="371"/>
      <c r="K11" s="371"/>
      <c r="L11" s="371"/>
      <c r="M11" s="359"/>
      <c r="N11" s="359"/>
      <c r="O11" s="359"/>
      <c r="P11" s="359"/>
      <c r="Q11" s="337"/>
      <c r="R11" s="337"/>
    </row>
    <row r="12" spans="1:18" x14ac:dyDescent="0.25">
      <c r="A12" s="357">
        <v>3</v>
      </c>
      <c r="B12" s="369"/>
      <c r="C12" s="369"/>
      <c r="D12" s="369"/>
      <c r="E12" s="381"/>
      <c r="F12" s="381"/>
      <c r="G12" s="381"/>
      <c r="H12" s="371"/>
      <c r="I12" s="371"/>
      <c r="J12" s="371"/>
      <c r="K12" s="371"/>
      <c r="L12" s="371"/>
      <c r="M12" s="359"/>
      <c r="N12" s="359"/>
      <c r="O12" s="359"/>
      <c r="P12" s="359"/>
      <c r="Q12" s="337"/>
      <c r="R12" s="337"/>
    </row>
    <row r="13" spans="1:18" x14ac:dyDescent="0.25">
      <c r="A13" s="360">
        <v>4</v>
      </c>
      <c r="B13" s="369"/>
      <c r="C13" s="369"/>
      <c r="D13" s="369"/>
      <c r="E13" s="381"/>
      <c r="F13" s="381"/>
      <c r="G13" s="381"/>
      <c r="H13" s="371"/>
      <c r="I13" s="371"/>
      <c r="J13" s="371"/>
      <c r="K13" s="371"/>
      <c r="L13" s="371"/>
      <c r="M13" s="359"/>
      <c r="N13" s="359"/>
      <c r="O13" s="359"/>
      <c r="P13" s="359"/>
      <c r="Q13" s="337"/>
      <c r="R13" s="337"/>
    </row>
    <row r="14" spans="1:18" x14ac:dyDescent="0.25">
      <c r="A14" s="357">
        <v>5</v>
      </c>
      <c r="B14" s="369"/>
      <c r="C14" s="369"/>
      <c r="D14" s="369"/>
      <c r="E14" s="381"/>
      <c r="F14" s="381"/>
      <c r="G14" s="381"/>
      <c r="H14" s="371"/>
      <c r="I14" s="371"/>
      <c r="J14" s="371"/>
      <c r="K14" s="371"/>
      <c r="L14" s="371"/>
      <c r="M14" s="359"/>
      <c r="N14" s="359"/>
      <c r="O14" s="359"/>
      <c r="P14" s="359"/>
      <c r="Q14" s="337"/>
      <c r="R14" s="337"/>
    </row>
    <row r="15" spans="1:18" x14ac:dyDescent="0.25">
      <c r="A15" s="360">
        <v>6</v>
      </c>
      <c r="B15" s="369"/>
      <c r="C15" s="369"/>
      <c r="D15" s="369"/>
      <c r="E15" s="381"/>
      <c r="F15" s="381"/>
      <c r="G15" s="381"/>
      <c r="H15" s="371"/>
      <c r="I15" s="371"/>
      <c r="J15" s="371"/>
      <c r="K15" s="371"/>
      <c r="L15" s="371"/>
      <c r="M15" s="359"/>
      <c r="N15" s="359"/>
      <c r="O15" s="359"/>
      <c r="P15" s="359"/>
      <c r="Q15" s="337"/>
      <c r="R15" s="337"/>
    </row>
    <row r="16" spans="1:18" x14ac:dyDescent="0.25">
      <c r="A16" s="357">
        <v>7</v>
      </c>
      <c r="B16" s="369"/>
      <c r="C16" s="369"/>
      <c r="D16" s="369"/>
      <c r="E16" s="381"/>
      <c r="F16" s="381"/>
      <c r="G16" s="381"/>
      <c r="H16" s="371"/>
      <c r="I16" s="371"/>
      <c r="J16" s="371"/>
      <c r="K16" s="371"/>
      <c r="L16" s="371"/>
      <c r="M16" s="359"/>
      <c r="N16" s="359"/>
      <c r="O16" s="359"/>
      <c r="P16" s="359"/>
      <c r="Q16" s="337"/>
      <c r="R16" s="337"/>
    </row>
    <row r="17" spans="1:18" x14ac:dyDescent="0.25">
      <c r="A17" s="360">
        <v>8</v>
      </c>
      <c r="B17" s="369"/>
      <c r="C17" s="369"/>
      <c r="D17" s="369"/>
      <c r="E17" s="381"/>
      <c r="F17" s="381"/>
      <c r="G17" s="381"/>
      <c r="H17" s="371"/>
      <c r="I17" s="371"/>
      <c r="J17" s="371"/>
      <c r="K17" s="371"/>
      <c r="L17" s="371"/>
      <c r="M17" s="359"/>
      <c r="N17" s="359"/>
      <c r="O17" s="359"/>
      <c r="P17" s="359"/>
      <c r="Q17" s="337"/>
      <c r="R17" s="337"/>
    </row>
    <row r="18" spans="1:18" x14ac:dyDescent="0.25">
      <c r="A18" s="357">
        <v>9</v>
      </c>
      <c r="B18" s="369"/>
      <c r="C18" s="369"/>
      <c r="D18" s="369"/>
      <c r="E18" s="381"/>
      <c r="F18" s="381"/>
      <c r="G18" s="381"/>
      <c r="H18" s="371"/>
      <c r="I18" s="371"/>
      <c r="J18" s="371"/>
      <c r="K18" s="371"/>
      <c r="L18" s="371"/>
      <c r="M18" s="359"/>
      <c r="N18" s="359"/>
      <c r="O18" s="359"/>
      <c r="P18" s="359"/>
      <c r="Q18" s="337"/>
      <c r="R18" s="337"/>
    </row>
    <row r="19" spans="1:18" x14ac:dyDescent="0.25">
      <c r="A19" s="360">
        <v>10</v>
      </c>
      <c r="B19" s="369"/>
      <c r="C19" s="369"/>
      <c r="D19" s="369"/>
      <c r="E19" s="381"/>
      <c r="F19" s="381"/>
      <c r="G19" s="381"/>
      <c r="H19" s="371"/>
      <c r="I19" s="371"/>
      <c r="J19" s="371"/>
      <c r="K19" s="371"/>
      <c r="L19" s="371"/>
      <c r="M19" s="359"/>
      <c r="N19" s="359"/>
      <c r="O19" s="359"/>
      <c r="P19" s="359"/>
      <c r="Q19" s="337"/>
      <c r="R19" s="337"/>
    </row>
    <row r="20" spans="1:18" x14ac:dyDescent="0.25">
      <c r="A20" s="357">
        <v>11</v>
      </c>
      <c r="B20" s="369"/>
      <c r="C20" s="369"/>
      <c r="D20" s="369"/>
      <c r="E20" s="381"/>
      <c r="F20" s="381"/>
      <c r="G20" s="381"/>
      <c r="H20" s="371"/>
      <c r="I20" s="371"/>
      <c r="J20" s="371"/>
      <c r="K20" s="371"/>
      <c r="L20" s="371"/>
      <c r="M20" s="359"/>
      <c r="N20" s="359"/>
      <c r="O20" s="359"/>
      <c r="P20" s="359"/>
      <c r="Q20" s="337"/>
      <c r="R20" s="337"/>
    </row>
    <row r="21" spans="1:18" x14ac:dyDescent="0.25">
      <c r="A21" s="360">
        <v>12</v>
      </c>
      <c r="B21" s="369"/>
      <c r="C21" s="369"/>
      <c r="D21" s="369"/>
      <c r="E21" s="381"/>
      <c r="F21" s="381"/>
      <c r="G21" s="381"/>
      <c r="H21" s="371"/>
      <c r="I21" s="371"/>
      <c r="J21" s="371"/>
      <c r="K21" s="371"/>
      <c r="L21" s="371"/>
      <c r="M21" s="359"/>
      <c r="N21" s="359"/>
      <c r="O21" s="359"/>
      <c r="P21" s="359"/>
      <c r="Q21" s="337"/>
      <c r="R21" s="337"/>
    </row>
    <row r="22" spans="1:18" x14ac:dyDescent="0.25">
      <c r="A22" s="357">
        <v>13</v>
      </c>
      <c r="B22" s="369"/>
      <c r="C22" s="369"/>
      <c r="D22" s="369"/>
      <c r="E22" s="381"/>
      <c r="F22" s="381"/>
      <c r="G22" s="381"/>
      <c r="H22" s="371"/>
      <c r="I22" s="371"/>
      <c r="J22" s="371"/>
      <c r="K22" s="371"/>
      <c r="L22" s="371"/>
      <c r="M22" s="359"/>
      <c r="N22" s="359"/>
      <c r="O22" s="359"/>
      <c r="P22" s="359"/>
      <c r="Q22" s="337"/>
      <c r="R22" s="337"/>
    </row>
    <row r="23" spans="1:18" x14ac:dyDescent="0.25">
      <c r="A23" s="360">
        <v>14</v>
      </c>
      <c r="B23" s="369"/>
      <c r="C23" s="369"/>
      <c r="D23" s="369"/>
      <c r="E23" s="381"/>
      <c r="F23" s="381"/>
      <c r="G23" s="381"/>
      <c r="H23" s="371"/>
      <c r="I23" s="371"/>
      <c r="J23" s="371"/>
      <c r="K23" s="371"/>
      <c r="L23" s="371"/>
      <c r="M23" s="359"/>
      <c r="N23" s="359"/>
      <c r="O23" s="359"/>
      <c r="P23" s="359"/>
      <c r="Q23" s="337"/>
      <c r="R23" s="337"/>
    </row>
    <row r="24" spans="1:18" x14ac:dyDescent="0.25">
      <c r="A24" s="357">
        <v>15</v>
      </c>
      <c r="B24" s="369"/>
      <c r="C24" s="369"/>
      <c r="D24" s="369"/>
      <c r="E24" s="381"/>
      <c r="F24" s="381"/>
      <c r="G24" s="381"/>
      <c r="H24" s="371"/>
      <c r="I24" s="371"/>
      <c r="J24" s="371"/>
      <c r="K24" s="371"/>
      <c r="L24" s="371"/>
      <c r="M24" s="359"/>
      <c r="N24" s="359"/>
      <c r="O24" s="359"/>
      <c r="P24" s="359"/>
      <c r="Q24" s="337"/>
      <c r="R24" s="337"/>
    </row>
    <row r="25" spans="1:18" x14ac:dyDescent="0.25">
      <c r="A25" s="360">
        <v>16</v>
      </c>
      <c r="B25" s="369"/>
      <c r="C25" s="369"/>
      <c r="D25" s="369"/>
      <c r="E25" s="381"/>
      <c r="F25" s="381"/>
      <c r="G25" s="381"/>
      <c r="H25" s="371"/>
      <c r="I25" s="371"/>
      <c r="J25" s="371"/>
      <c r="K25" s="371"/>
      <c r="L25" s="371"/>
      <c r="M25" s="359"/>
      <c r="N25" s="359"/>
      <c r="O25" s="359"/>
      <c r="P25" s="359"/>
      <c r="Q25" s="337"/>
      <c r="R25" s="337"/>
    </row>
    <row r="26" spans="1:18" x14ac:dyDescent="0.25">
      <c r="A26" s="357">
        <v>17</v>
      </c>
      <c r="B26" s="369"/>
      <c r="C26" s="369"/>
      <c r="D26" s="369"/>
      <c r="E26" s="381"/>
      <c r="F26" s="381"/>
      <c r="G26" s="381"/>
      <c r="H26" s="371"/>
      <c r="I26" s="371"/>
      <c r="J26" s="371"/>
      <c r="K26" s="371"/>
      <c r="L26" s="371"/>
      <c r="M26" s="359"/>
      <c r="N26" s="359"/>
      <c r="O26" s="359"/>
      <c r="P26" s="359"/>
      <c r="Q26" s="337"/>
      <c r="R26" s="337"/>
    </row>
    <row r="27" spans="1:18" x14ac:dyDescent="0.25">
      <c r="A27" s="360">
        <v>18</v>
      </c>
      <c r="B27" s="369"/>
      <c r="C27" s="369"/>
      <c r="D27" s="369"/>
      <c r="E27" s="381"/>
      <c r="F27" s="381"/>
      <c r="G27" s="381"/>
      <c r="H27" s="371"/>
      <c r="I27" s="371"/>
      <c r="J27" s="371"/>
      <c r="K27" s="371"/>
      <c r="L27" s="371"/>
      <c r="M27" s="359"/>
      <c r="N27" s="359"/>
      <c r="O27" s="359"/>
      <c r="P27" s="359"/>
      <c r="Q27" s="337"/>
      <c r="R27" s="337"/>
    </row>
    <row r="28" spans="1:18" x14ac:dyDescent="0.25">
      <c r="A28" s="357">
        <v>19</v>
      </c>
      <c r="B28" s="369"/>
      <c r="C28" s="369"/>
      <c r="D28" s="369"/>
      <c r="E28" s="381"/>
      <c r="F28" s="381"/>
      <c r="G28" s="381"/>
      <c r="H28" s="371"/>
      <c r="I28" s="371"/>
      <c r="J28" s="371"/>
      <c r="K28" s="371"/>
      <c r="L28" s="371"/>
      <c r="M28" s="359"/>
      <c r="N28" s="359"/>
      <c r="O28" s="359"/>
      <c r="P28" s="359"/>
      <c r="Q28" s="337"/>
      <c r="R28" s="337"/>
    </row>
    <row r="29" spans="1:18" x14ac:dyDescent="0.25">
      <c r="A29" s="360">
        <v>20</v>
      </c>
      <c r="B29" s="369"/>
      <c r="C29" s="369"/>
      <c r="D29" s="369"/>
      <c r="E29" s="381"/>
      <c r="F29" s="381"/>
      <c r="G29" s="381"/>
      <c r="H29" s="371"/>
      <c r="I29" s="371"/>
      <c r="J29" s="371"/>
      <c r="K29" s="371"/>
      <c r="L29" s="371"/>
      <c r="M29" s="359"/>
      <c r="N29" s="359"/>
      <c r="O29" s="359"/>
      <c r="P29" s="359"/>
      <c r="Q29" s="337"/>
      <c r="R29" s="337"/>
    </row>
    <row r="30" spans="1:18" x14ac:dyDescent="0.25">
      <c r="A30" s="357">
        <v>21</v>
      </c>
      <c r="B30" s="369"/>
      <c r="C30" s="369"/>
      <c r="D30" s="369"/>
      <c r="E30" s="381"/>
      <c r="F30" s="381"/>
      <c r="G30" s="381"/>
      <c r="H30" s="371"/>
      <c r="I30" s="371"/>
      <c r="J30" s="371"/>
      <c r="K30" s="371"/>
      <c r="L30" s="371"/>
      <c r="M30" s="359"/>
      <c r="N30" s="359"/>
      <c r="O30" s="359"/>
      <c r="P30" s="359"/>
      <c r="Q30" s="337"/>
      <c r="R30" s="337"/>
    </row>
    <row r="31" spans="1:18" x14ac:dyDescent="0.25">
      <c r="A31" s="360">
        <v>22</v>
      </c>
      <c r="B31" s="369"/>
      <c r="C31" s="369"/>
      <c r="D31" s="369"/>
      <c r="E31" s="381"/>
      <c r="F31" s="381"/>
      <c r="G31" s="381"/>
      <c r="H31" s="371"/>
      <c r="I31" s="371"/>
      <c r="J31" s="371"/>
      <c r="K31" s="371"/>
      <c r="L31" s="371"/>
      <c r="M31" s="359"/>
      <c r="N31" s="359"/>
      <c r="O31" s="359"/>
      <c r="P31" s="359"/>
      <c r="Q31" s="337"/>
      <c r="R31" s="337"/>
    </row>
    <row r="32" spans="1:18" x14ac:dyDescent="0.25">
      <c r="A32" s="357">
        <v>23</v>
      </c>
      <c r="B32" s="369"/>
      <c r="C32" s="369"/>
      <c r="D32" s="369"/>
      <c r="E32" s="381"/>
      <c r="F32" s="381"/>
      <c r="G32" s="381"/>
      <c r="H32" s="371"/>
      <c r="I32" s="371"/>
      <c r="J32" s="371"/>
      <c r="K32" s="371"/>
      <c r="L32" s="371"/>
      <c r="M32" s="359"/>
      <c r="N32" s="359"/>
      <c r="O32" s="359"/>
      <c r="P32" s="359"/>
      <c r="Q32" s="337"/>
      <c r="R32" s="337"/>
    </row>
    <row r="33" spans="1:18" x14ac:dyDescent="0.25">
      <c r="A33" s="360">
        <v>24</v>
      </c>
      <c r="B33" s="369"/>
      <c r="C33" s="369"/>
      <c r="D33" s="369"/>
      <c r="E33" s="381"/>
      <c r="F33" s="381"/>
      <c r="G33" s="381"/>
      <c r="H33" s="371"/>
      <c r="I33" s="371"/>
      <c r="J33" s="371"/>
      <c r="K33" s="371"/>
      <c r="L33" s="371"/>
      <c r="M33" s="359"/>
      <c r="N33" s="359"/>
      <c r="O33" s="359"/>
      <c r="P33" s="359"/>
      <c r="Q33" s="337"/>
      <c r="R33" s="337"/>
    </row>
    <row r="34" spans="1:18" x14ac:dyDescent="0.25">
      <c r="A34" s="357">
        <v>25</v>
      </c>
      <c r="B34" s="369"/>
      <c r="C34" s="369"/>
      <c r="D34" s="369"/>
      <c r="E34" s="381"/>
      <c r="F34" s="381"/>
      <c r="G34" s="381"/>
      <c r="H34" s="371"/>
      <c r="I34" s="371"/>
      <c r="J34" s="371"/>
      <c r="K34" s="371"/>
      <c r="L34" s="371"/>
      <c r="M34" s="359"/>
      <c r="N34" s="359"/>
      <c r="O34" s="359"/>
      <c r="P34" s="359"/>
      <c r="Q34" s="337"/>
      <c r="R34" s="337"/>
    </row>
    <row r="35" spans="1:18" x14ac:dyDescent="0.25">
      <c r="A35" s="360">
        <v>26</v>
      </c>
      <c r="B35" s="369"/>
      <c r="C35" s="369"/>
      <c r="D35" s="369"/>
      <c r="E35" s="381"/>
      <c r="F35" s="381"/>
      <c r="G35" s="381"/>
      <c r="H35" s="371"/>
      <c r="I35" s="371"/>
      <c r="J35" s="371"/>
      <c r="K35" s="371"/>
      <c r="L35" s="371"/>
      <c r="M35" s="359"/>
      <c r="N35" s="359"/>
      <c r="O35" s="359"/>
      <c r="P35" s="359"/>
      <c r="Q35" s="337"/>
      <c r="R35" s="337"/>
    </row>
    <row r="36" spans="1:18" x14ac:dyDescent="0.25">
      <c r="A36" s="357">
        <v>27</v>
      </c>
      <c r="B36" s="369"/>
      <c r="C36" s="369"/>
      <c r="D36" s="369"/>
      <c r="E36" s="381"/>
      <c r="F36" s="381"/>
      <c r="G36" s="381"/>
      <c r="H36" s="371"/>
      <c r="I36" s="371"/>
      <c r="J36" s="371"/>
      <c r="K36" s="371"/>
      <c r="L36" s="371"/>
      <c r="M36" s="359"/>
      <c r="N36" s="359"/>
      <c r="O36" s="359"/>
      <c r="P36" s="359"/>
      <c r="Q36" s="337"/>
      <c r="R36" s="337"/>
    </row>
    <row r="37" spans="1:18" x14ac:dyDescent="0.25">
      <c r="A37" s="360">
        <v>28</v>
      </c>
      <c r="B37" s="369"/>
      <c r="C37" s="369"/>
      <c r="D37" s="369"/>
      <c r="E37" s="381"/>
      <c r="F37" s="381"/>
      <c r="G37" s="381"/>
      <c r="H37" s="371"/>
      <c r="I37" s="371"/>
      <c r="J37" s="371"/>
      <c r="K37" s="371"/>
      <c r="L37" s="371"/>
      <c r="M37" s="359"/>
      <c r="N37" s="359"/>
      <c r="O37" s="359"/>
      <c r="P37" s="359"/>
      <c r="Q37" s="337"/>
      <c r="R37" s="337"/>
    </row>
    <row r="38" spans="1:18" x14ac:dyDescent="0.25">
      <c r="A38" s="357">
        <v>29</v>
      </c>
      <c r="B38" s="369"/>
      <c r="C38" s="369"/>
      <c r="D38" s="369"/>
      <c r="E38" s="381"/>
      <c r="F38" s="381"/>
      <c r="G38" s="381"/>
      <c r="H38" s="371"/>
      <c r="I38" s="371"/>
      <c r="J38" s="371"/>
      <c r="K38" s="371"/>
      <c r="L38" s="371"/>
      <c r="M38" s="359"/>
      <c r="N38" s="359"/>
      <c r="O38" s="359"/>
      <c r="P38" s="359"/>
      <c r="Q38" s="337"/>
      <c r="R38" s="337"/>
    </row>
    <row r="39" spans="1:18" x14ac:dyDescent="0.25">
      <c r="A39" s="360">
        <v>30</v>
      </c>
      <c r="B39" s="369"/>
      <c r="C39" s="369"/>
      <c r="D39" s="369"/>
      <c r="E39" s="381"/>
      <c r="F39" s="381"/>
      <c r="G39" s="381"/>
      <c r="H39" s="371"/>
      <c r="I39" s="371"/>
      <c r="J39" s="371"/>
      <c r="K39" s="371"/>
      <c r="L39" s="371"/>
      <c r="M39" s="359"/>
      <c r="N39" s="359"/>
      <c r="O39" s="359"/>
      <c r="P39" s="359"/>
      <c r="Q39" s="337"/>
      <c r="R39" s="337"/>
    </row>
    <row r="40" spans="1:18" x14ac:dyDescent="0.25">
      <c r="A40" s="357">
        <v>31</v>
      </c>
      <c r="B40" s="369"/>
      <c r="C40" s="369"/>
      <c r="D40" s="369"/>
      <c r="E40" s="381"/>
      <c r="F40" s="381"/>
      <c r="G40" s="381"/>
      <c r="H40" s="371"/>
      <c r="I40" s="371"/>
      <c r="J40" s="371"/>
      <c r="K40" s="371"/>
      <c r="L40" s="371"/>
      <c r="M40" s="359"/>
      <c r="N40" s="359"/>
      <c r="O40" s="359"/>
      <c r="P40" s="359"/>
      <c r="Q40" s="337"/>
      <c r="R40" s="337"/>
    </row>
    <row r="41" spans="1:18" x14ac:dyDescent="0.25">
      <c r="A41" s="336"/>
      <c r="B41" s="337"/>
      <c r="C41" s="337"/>
      <c r="D41" s="337"/>
      <c r="E41" s="363"/>
      <c r="F41" s="337"/>
      <c r="G41" s="337"/>
      <c r="H41" s="363"/>
      <c r="I41" s="363"/>
      <c r="J41" s="337"/>
      <c r="K41" s="363"/>
      <c r="L41" s="363"/>
      <c r="M41" s="363"/>
      <c r="N41" s="363"/>
      <c r="O41" s="337"/>
      <c r="P41" s="337"/>
      <c r="Q41" s="337"/>
      <c r="R41" s="337"/>
    </row>
    <row r="42" spans="1:18" x14ac:dyDescent="0.25">
      <c r="A42" s="336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</row>
    <row r="43" spans="1:18" x14ac:dyDescent="0.25">
      <c r="A43" s="336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</row>
    <row r="44" spans="1:18" x14ac:dyDescent="0.25">
      <c r="A44" s="336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</row>
    <row r="45" spans="1:18" x14ac:dyDescent="0.25">
      <c r="A45" s="336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</row>
    <row r="46" spans="1:18" x14ac:dyDescent="0.25">
      <c r="A46" s="336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</row>
    <row r="47" spans="1:18" x14ac:dyDescent="0.25">
      <c r="A47" s="336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</row>
    <row r="48" spans="1:18" x14ac:dyDescent="0.25">
      <c r="A48" s="336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</row>
    <row r="49" spans="1:18" x14ac:dyDescent="0.25">
      <c r="A49" s="336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</row>
    <row r="50" spans="1:18" x14ac:dyDescent="0.25">
      <c r="A50" s="336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</row>
    <row r="51" spans="1:18" x14ac:dyDescent="0.25">
      <c r="A51" s="336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</row>
    <row r="52" spans="1:18" x14ac:dyDescent="0.25">
      <c r="A52" s="336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</row>
    <row r="53" spans="1:18" x14ac:dyDescent="0.25">
      <c r="A53" s="336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</row>
    <row r="54" spans="1:18" x14ac:dyDescent="0.25">
      <c r="A54" s="336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</row>
    <row r="55" spans="1:18" x14ac:dyDescent="0.25">
      <c r="A55" s="336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</row>
    <row r="56" spans="1:18" x14ac:dyDescent="0.25">
      <c r="A56" s="336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</row>
    <row r="57" spans="1:18" x14ac:dyDescent="0.25">
      <c r="A57" s="336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</row>
    <row r="58" spans="1:18" x14ac:dyDescent="0.25">
      <c r="A58" s="336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</row>
    <row r="59" spans="1:18" x14ac:dyDescent="0.25">
      <c r="A59" s="336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</row>
    <row r="60" spans="1:18" x14ac:dyDescent="0.25">
      <c r="A60" s="336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</row>
    <row r="61" spans="1:18" x14ac:dyDescent="0.25">
      <c r="A61" s="336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</row>
    <row r="62" spans="1:18" x14ac:dyDescent="0.25">
      <c r="A62" s="336"/>
      <c r="B62" s="337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</row>
    <row r="63" spans="1:18" x14ac:dyDescent="0.25">
      <c r="A63" s="336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</row>
    <row r="64" spans="1:18" x14ac:dyDescent="0.25">
      <c r="A64" s="336"/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</row>
    <row r="65" spans="1:13" x14ac:dyDescent="0.25">
      <c r="A65" s="336"/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</row>
    <row r="66" spans="1:13" x14ac:dyDescent="0.25">
      <c r="A66" s="336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6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6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6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  <row r="70" spans="1:13" x14ac:dyDescent="0.25">
      <c r="A70" s="336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</row>
    <row r="71" spans="1:13" x14ac:dyDescent="0.25">
      <c r="A71" s="336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</row>
    <row r="72" spans="1:13" x14ac:dyDescent="0.25">
      <c r="A72" s="336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</row>
    <row r="73" spans="1:13" x14ac:dyDescent="0.25">
      <c r="A73" s="336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</row>
    <row r="74" spans="1:13" x14ac:dyDescent="0.25">
      <c r="A74" s="336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</row>
    <row r="75" spans="1:13" x14ac:dyDescent="0.25">
      <c r="A75" s="336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</row>
    <row r="76" spans="1:13" x14ac:dyDescent="0.25">
      <c r="A76" s="336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</row>
    <row r="77" spans="1:13" x14ac:dyDescent="0.25">
      <c r="A77" s="336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</row>
    <row r="78" spans="1:13" x14ac:dyDescent="0.25">
      <c r="A78" s="336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</row>
    <row r="79" spans="1:13" x14ac:dyDescent="0.25">
      <c r="A79" s="336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</row>
    <row r="80" spans="1:13" x14ac:dyDescent="0.25">
      <c r="A80" s="336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</row>
    <row r="81" spans="1:13" x14ac:dyDescent="0.25">
      <c r="A81" s="336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</row>
    <row r="82" spans="1:13" x14ac:dyDescent="0.25">
      <c r="A82" s="336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</row>
    <row r="83" spans="1:13" x14ac:dyDescent="0.25">
      <c r="A83" s="336"/>
      <c r="B83" s="337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</row>
    <row r="84" spans="1:13" x14ac:dyDescent="0.25">
      <c r="A84" s="336"/>
      <c r="B84" s="337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</row>
    <row r="85" spans="1:13" x14ac:dyDescent="0.25">
      <c r="A85" s="336"/>
      <c r="B85" s="337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</row>
    <row r="86" spans="1:13" x14ac:dyDescent="0.25">
      <c r="A86" s="336"/>
      <c r="B86" s="337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</row>
    <row r="87" spans="1:13" x14ac:dyDescent="0.25">
      <c r="A87" s="336"/>
      <c r="B87" s="337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</row>
    <row r="88" spans="1:13" x14ac:dyDescent="0.25">
      <c r="A88" s="336"/>
      <c r="B88" s="337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</row>
    <row r="89" spans="1:13" x14ac:dyDescent="0.25">
      <c r="A89" s="336"/>
      <c r="B89" s="337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</row>
    <row r="90" spans="1:13" x14ac:dyDescent="0.25">
      <c r="A90" s="336"/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</row>
    <row r="91" spans="1:13" x14ac:dyDescent="0.25">
      <c r="A91" s="336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</row>
    <row r="92" spans="1:13" x14ac:dyDescent="0.25">
      <c r="A92" s="336"/>
      <c r="B92" s="337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</row>
    <row r="93" spans="1:13" x14ac:dyDescent="0.25">
      <c r="A93" s="336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</row>
    <row r="94" spans="1:13" x14ac:dyDescent="0.25">
      <c r="A94" s="336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</row>
    <row r="95" spans="1:13" x14ac:dyDescent="0.25">
      <c r="A95" s="336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</row>
    <row r="96" spans="1:13" x14ac:dyDescent="0.25">
      <c r="A96" s="336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</row>
    <row r="97" spans="1:13" x14ac:dyDescent="0.25">
      <c r="A97" s="336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</row>
    <row r="98" spans="1:13" x14ac:dyDescent="0.25">
      <c r="A98" s="336"/>
      <c r="B98" s="337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</row>
    <row r="99" spans="1:13" x14ac:dyDescent="0.25">
      <c r="A99" s="336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</row>
    <row r="100" spans="1:13" x14ac:dyDescent="0.25">
      <c r="A100" s="336"/>
      <c r="B100" s="337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</row>
    <row r="101" spans="1:13" x14ac:dyDescent="0.25">
      <c r="A101" s="336"/>
      <c r="B101" s="337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</row>
    <row r="102" spans="1:13" x14ac:dyDescent="0.25">
      <c r="A102" s="336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</row>
    <row r="103" spans="1:13" x14ac:dyDescent="0.25">
      <c r="A103" s="336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</row>
    <row r="104" spans="1:13" x14ac:dyDescent="0.25">
      <c r="A104" s="336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</row>
    <row r="105" spans="1:13" x14ac:dyDescent="0.25">
      <c r="A105" s="336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</row>
    <row r="106" spans="1:13" x14ac:dyDescent="0.25">
      <c r="A106" s="336"/>
      <c r="B106" s="337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</row>
    <row r="107" spans="1:13" x14ac:dyDescent="0.25">
      <c r="A107" s="336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</row>
    <row r="108" spans="1:13" x14ac:dyDescent="0.25">
      <c r="A108" s="336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</row>
    <row r="109" spans="1:13" x14ac:dyDescent="0.25">
      <c r="A109" s="336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</row>
    <row r="110" spans="1:13" x14ac:dyDescent="0.25">
      <c r="A110" s="336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</row>
    <row r="111" spans="1:13" x14ac:dyDescent="0.25">
      <c r="A111" s="336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</row>
    <row r="112" spans="1:13" x14ac:dyDescent="0.25">
      <c r="A112" s="336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</row>
    <row r="113" spans="1:13" x14ac:dyDescent="0.25">
      <c r="A113" s="336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</row>
    <row r="114" spans="1:13" x14ac:dyDescent="0.25">
      <c r="A114" s="336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</row>
    <row r="115" spans="1:13" x14ac:dyDescent="0.25">
      <c r="A115" s="336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</row>
    <row r="116" spans="1:13" x14ac:dyDescent="0.25">
      <c r="A116" s="336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</row>
    <row r="117" spans="1:13" x14ac:dyDescent="0.25">
      <c r="A117" s="336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</row>
    <row r="118" spans="1:13" x14ac:dyDescent="0.25">
      <c r="A118" s="336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</row>
    <row r="119" spans="1:13" x14ac:dyDescent="0.25">
      <c r="A119" s="336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</row>
    <row r="120" spans="1:13" x14ac:dyDescent="0.25">
      <c r="A120" s="336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</row>
    <row r="121" spans="1:13" x14ac:dyDescent="0.25">
      <c r="A121" s="336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</row>
    <row r="122" spans="1:13" x14ac:dyDescent="0.25">
      <c r="A122" s="336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</row>
    <row r="123" spans="1:13" x14ac:dyDescent="0.25">
      <c r="A123" s="336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</row>
  </sheetData>
  <mergeCells count="7">
    <mergeCell ref="O8:P8"/>
    <mergeCell ref="M6:N6"/>
    <mergeCell ref="B8:D8"/>
    <mergeCell ref="E8:G8"/>
    <mergeCell ref="H8:I8"/>
    <mergeCell ref="J8:L8"/>
    <mergeCell ref="M8:N8"/>
  </mergeCells>
  <pageMargins left="0.4" right="0.36" top="0.45" bottom="0.55000000000000004" header="0.3" footer="0.3"/>
  <pageSetup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124"/>
  <sheetViews>
    <sheetView showGridLines="0" workbookViewId="0">
      <pane xSplit="1" ySplit="10" topLeftCell="B11" activePane="bottomRight" state="frozen"/>
      <selection activeCell="X41" sqref="X41"/>
      <selection pane="topRight" activeCell="X41" sqref="X41"/>
      <selection pane="bottomLeft" activeCell="X41" sqref="X41"/>
      <selection pane="bottomRight" activeCell="X6" sqref="X6"/>
    </sheetView>
  </sheetViews>
  <sheetFormatPr defaultColWidth="9.140625" defaultRowHeight="15" x14ac:dyDescent="0.25"/>
  <cols>
    <col min="1" max="1" width="4.7109375" style="364" customWidth="1"/>
    <col min="2" max="4" width="5.7109375" style="339" customWidth="1"/>
    <col min="5" max="5" width="9.85546875" style="339" customWidth="1"/>
    <col min="6" max="6" width="7" style="341" customWidth="1"/>
    <col min="7" max="7" width="9" style="339" customWidth="1"/>
    <col min="8" max="8" width="8.140625" style="339" customWidth="1"/>
    <col min="9" max="10" width="5.85546875" style="339" customWidth="1"/>
    <col min="11" max="11" width="6.28515625" style="339" customWidth="1"/>
    <col min="12" max="12" width="1.7109375" style="339" customWidth="1"/>
    <col min="13" max="15" width="5.7109375" style="339" customWidth="1"/>
    <col min="16" max="16" width="9.5703125" style="339" customWidth="1"/>
    <col min="17" max="17" width="6.7109375" style="339" customWidth="1"/>
    <col min="18" max="18" width="9.140625" style="339" customWidth="1"/>
    <col min="19" max="19" width="7.42578125" style="339" customWidth="1"/>
    <col min="20" max="20" width="5.85546875" style="339" customWidth="1"/>
    <col min="21" max="21" width="6.42578125" style="339" customWidth="1"/>
    <col min="22" max="22" width="6.85546875" style="339" customWidth="1"/>
    <col min="23" max="23" width="5.85546875" style="339" customWidth="1"/>
    <col min="24" max="24" width="6.5703125" style="339" customWidth="1"/>
    <col min="25" max="25" width="21.5703125" style="339" customWidth="1"/>
    <col min="26" max="16384" width="9.140625" style="339"/>
  </cols>
  <sheetData>
    <row r="1" spans="1:28" x14ac:dyDescent="0.25">
      <c r="A1" s="336"/>
      <c r="B1" s="337"/>
      <c r="C1" s="337"/>
      <c r="D1" s="337"/>
      <c r="E1" s="337"/>
      <c r="F1" s="338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</row>
    <row r="2" spans="1:28" x14ac:dyDescent="0.25">
      <c r="A2" s="336"/>
      <c r="B2" s="337"/>
      <c r="C2" s="337"/>
      <c r="D2" s="337"/>
      <c r="E2" s="337"/>
      <c r="F2" s="338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</row>
    <row r="3" spans="1:28" x14ac:dyDescent="0.25">
      <c r="A3" s="336"/>
      <c r="B3" s="337"/>
      <c r="C3" s="337"/>
      <c r="D3" s="337"/>
      <c r="E3" s="337"/>
      <c r="F3" s="338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</row>
    <row r="4" spans="1:28" x14ac:dyDescent="0.25">
      <c r="A4" s="336"/>
      <c r="B4" s="337"/>
      <c r="C4" s="337"/>
      <c r="D4" s="337"/>
      <c r="E4" s="337"/>
      <c r="F4" s="338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</row>
    <row r="5" spans="1:28" ht="20.25" x14ac:dyDescent="0.3">
      <c r="A5" s="340" t="s">
        <v>182</v>
      </c>
      <c r="B5" s="337"/>
      <c r="C5" s="337"/>
      <c r="D5" s="337"/>
      <c r="E5" s="337"/>
      <c r="F5" s="338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</row>
    <row r="6" spans="1:28" ht="20.25" x14ac:dyDescent="0.3">
      <c r="A6" s="340" t="s">
        <v>214</v>
      </c>
      <c r="B6" s="337"/>
      <c r="C6" s="337"/>
      <c r="D6" s="337"/>
      <c r="E6" s="337"/>
      <c r="F6" s="338"/>
      <c r="G6" s="337"/>
      <c r="H6" s="337"/>
      <c r="V6" s="342" t="s">
        <v>184</v>
      </c>
      <c r="X6" s="342" t="s">
        <v>279</v>
      </c>
      <c r="Y6" s="343">
        <v>2025</v>
      </c>
      <c r="Z6" s="337"/>
      <c r="AA6" s="337"/>
      <c r="AB6" s="337"/>
    </row>
    <row r="7" spans="1:28" ht="6" customHeight="1" thickBot="1" x14ac:dyDescent="0.3">
      <c r="A7" s="336"/>
      <c r="B7" s="337"/>
      <c r="C7" s="337"/>
      <c r="D7" s="337"/>
      <c r="E7" s="337"/>
      <c r="F7" s="338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</row>
    <row r="8" spans="1:28" ht="19.5" customHeight="1" thickBot="1" x14ac:dyDescent="0.35">
      <c r="A8" s="753" t="s">
        <v>189</v>
      </c>
      <c r="B8" s="756" t="s">
        <v>215</v>
      </c>
      <c r="C8" s="757"/>
      <c r="D8" s="757"/>
      <c r="E8" s="757"/>
      <c r="F8" s="757"/>
      <c r="G8" s="757"/>
      <c r="H8" s="757"/>
      <c r="I8" s="757"/>
      <c r="J8" s="757"/>
      <c r="K8" s="758"/>
      <c r="L8" s="382"/>
      <c r="M8" s="759" t="s">
        <v>216</v>
      </c>
      <c r="N8" s="760"/>
      <c r="O8" s="760"/>
      <c r="P8" s="760"/>
      <c r="Q8" s="760"/>
      <c r="R8" s="760"/>
      <c r="S8" s="760"/>
      <c r="T8" s="760"/>
      <c r="U8" s="760"/>
      <c r="V8" s="760"/>
      <c r="W8" s="761"/>
      <c r="X8" s="337"/>
      <c r="Y8" s="337"/>
      <c r="Z8" s="337"/>
      <c r="AA8" s="337"/>
      <c r="AB8" s="337"/>
    </row>
    <row r="9" spans="1:28" x14ac:dyDescent="0.25">
      <c r="A9" s="754"/>
      <c r="B9" s="749" t="s">
        <v>217</v>
      </c>
      <c r="C9" s="719"/>
      <c r="D9" s="750"/>
      <c r="E9" s="383" t="s">
        <v>218</v>
      </c>
      <c r="F9" s="762" t="s">
        <v>192</v>
      </c>
      <c r="G9" s="751" t="s">
        <v>219</v>
      </c>
      <c r="H9" s="725" t="s">
        <v>193</v>
      </c>
      <c r="I9" s="727" t="s">
        <v>220</v>
      </c>
      <c r="J9" s="764" t="s">
        <v>221</v>
      </c>
      <c r="K9" s="766" t="s">
        <v>222</v>
      </c>
      <c r="L9" s="384"/>
      <c r="M9" s="749" t="s">
        <v>217</v>
      </c>
      <c r="N9" s="719"/>
      <c r="O9" s="750"/>
      <c r="P9" s="383" t="s">
        <v>218</v>
      </c>
      <c r="Q9" s="721" t="s">
        <v>192</v>
      </c>
      <c r="R9" s="751" t="s">
        <v>219</v>
      </c>
      <c r="S9" s="725" t="s">
        <v>193</v>
      </c>
      <c r="T9" s="727" t="s">
        <v>220</v>
      </c>
      <c r="U9" s="710" t="s">
        <v>223</v>
      </c>
      <c r="V9" s="768" t="s">
        <v>224</v>
      </c>
      <c r="W9" s="764" t="s">
        <v>221</v>
      </c>
      <c r="X9" s="745" t="s">
        <v>225</v>
      </c>
      <c r="Y9" s="747" t="s">
        <v>226</v>
      </c>
      <c r="Z9" s="337"/>
      <c r="AA9" s="337"/>
      <c r="AB9" s="337"/>
    </row>
    <row r="10" spans="1:28" ht="15.75" thickBot="1" x14ac:dyDescent="0.3">
      <c r="A10" s="755"/>
      <c r="B10" s="385" t="s">
        <v>227</v>
      </c>
      <c r="C10" s="386" t="s">
        <v>228</v>
      </c>
      <c r="D10" s="387" t="s">
        <v>229</v>
      </c>
      <c r="E10" s="388" t="s">
        <v>230</v>
      </c>
      <c r="F10" s="763"/>
      <c r="G10" s="752"/>
      <c r="H10" s="726"/>
      <c r="I10" s="728"/>
      <c r="J10" s="765"/>
      <c r="K10" s="767"/>
      <c r="L10" s="384"/>
      <c r="M10" s="385" t="s">
        <v>227</v>
      </c>
      <c r="N10" s="386" t="s">
        <v>228</v>
      </c>
      <c r="O10" s="387" t="s">
        <v>229</v>
      </c>
      <c r="P10" s="388" t="s">
        <v>230</v>
      </c>
      <c r="Q10" s="722"/>
      <c r="R10" s="752"/>
      <c r="S10" s="726"/>
      <c r="T10" s="728"/>
      <c r="U10" s="711"/>
      <c r="V10" s="769"/>
      <c r="W10" s="765"/>
      <c r="X10" s="746"/>
      <c r="Y10" s="748"/>
      <c r="Z10" s="337"/>
      <c r="AA10" s="337"/>
      <c r="AB10" s="337"/>
    </row>
    <row r="11" spans="1:28" ht="18" customHeight="1" x14ac:dyDescent="0.25">
      <c r="A11" s="357">
        <v>1</v>
      </c>
      <c r="B11" s="368"/>
      <c r="C11" s="368"/>
      <c r="D11" s="368"/>
      <c r="E11" s="368"/>
      <c r="F11" s="369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9"/>
      <c r="R11" s="368"/>
      <c r="S11" s="368"/>
      <c r="T11" s="368"/>
      <c r="U11" s="368"/>
      <c r="V11" s="368"/>
      <c r="W11" s="368"/>
      <c r="X11" s="374"/>
      <c r="Y11" s="368"/>
      <c r="Z11" s="337"/>
      <c r="AA11" s="337"/>
      <c r="AB11" s="337"/>
    </row>
    <row r="12" spans="1:28" ht="18" customHeight="1" x14ac:dyDescent="0.25">
      <c r="A12" s="360">
        <v>2</v>
      </c>
      <c r="B12" s="358"/>
      <c r="C12" s="358"/>
      <c r="D12" s="358"/>
      <c r="E12" s="368"/>
      <c r="F12" s="369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9"/>
      <c r="R12" s="368"/>
      <c r="S12" s="368"/>
      <c r="T12" s="368"/>
      <c r="U12" s="368"/>
      <c r="V12" s="368"/>
      <c r="W12" s="368"/>
      <c r="X12" s="374"/>
      <c r="Y12" s="368"/>
      <c r="Z12" s="337"/>
      <c r="AA12" s="337"/>
      <c r="AB12" s="337"/>
    </row>
    <row r="13" spans="1:28" ht="18" customHeight="1" x14ac:dyDescent="0.25">
      <c r="A13" s="360">
        <v>3</v>
      </c>
      <c r="B13" s="368"/>
      <c r="C13" s="368"/>
      <c r="D13" s="368"/>
      <c r="E13" s="368"/>
      <c r="F13" s="369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9"/>
      <c r="R13" s="368"/>
      <c r="S13" s="368"/>
      <c r="T13" s="368"/>
      <c r="U13" s="368"/>
      <c r="V13" s="368"/>
      <c r="W13" s="368"/>
      <c r="X13" s="374"/>
      <c r="Y13" s="368"/>
      <c r="Z13" s="337"/>
      <c r="AA13" s="337"/>
      <c r="AB13" s="337"/>
    </row>
    <row r="14" spans="1:28" ht="18" customHeight="1" x14ac:dyDescent="0.25">
      <c r="A14" s="472">
        <v>4</v>
      </c>
      <c r="B14" s="368"/>
      <c r="C14" s="368"/>
      <c r="D14" s="368"/>
      <c r="E14" s="368"/>
      <c r="F14" s="369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9"/>
      <c r="R14" s="368"/>
      <c r="S14" s="368"/>
      <c r="T14" s="368"/>
      <c r="U14" s="368"/>
      <c r="V14" s="368"/>
      <c r="W14" s="368"/>
      <c r="X14" s="374"/>
      <c r="Y14" s="368"/>
      <c r="Z14" s="337"/>
      <c r="AA14" s="337"/>
      <c r="AB14" s="337"/>
    </row>
    <row r="15" spans="1:28" ht="18" customHeight="1" x14ac:dyDescent="0.25">
      <c r="A15" s="360">
        <v>5</v>
      </c>
      <c r="B15" s="368"/>
      <c r="C15" s="368"/>
      <c r="D15" s="368"/>
      <c r="E15" s="368"/>
      <c r="F15" s="369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9"/>
      <c r="R15" s="368"/>
      <c r="S15" s="368"/>
      <c r="T15" s="368"/>
      <c r="U15" s="368"/>
      <c r="V15" s="368"/>
      <c r="W15" s="368"/>
      <c r="X15" s="374"/>
      <c r="Y15" s="368"/>
      <c r="Z15" s="337"/>
      <c r="AA15" s="337"/>
      <c r="AB15" s="337"/>
    </row>
    <row r="16" spans="1:28" ht="18" customHeight="1" x14ac:dyDescent="0.25">
      <c r="A16" s="360">
        <v>6</v>
      </c>
      <c r="B16" s="368"/>
      <c r="C16" s="368"/>
      <c r="D16" s="368"/>
      <c r="E16" s="368"/>
      <c r="F16" s="369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9"/>
      <c r="R16" s="368"/>
      <c r="S16" s="368"/>
      <c r="T16" s="368"/>
      <c r="U16" s="368"/>
      <c r="V16" s="368"/>
      <c r="W16" s="368"/>
      <c r="X16" s="374"/>
      <c r="Y16" s="368"/>
      <c r="Z16" s="337"/>
      <c r="AA16" s="337"/>
      <c r="AB16" s="337"/>
    </row>
    <row r="17" spans="1:28" ht="18" customHeight="1" x14ac:dyDescent="0.25">
      <c r="A17" s="360">
        <v>7</v>
      </c>
      <c r="B17" s="368"/>
      <c r="C17" s="368"/>
      <c r="D17" s="368"/>
      <c r="E17" s="368"/>
      <c r="F17" s="369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9"/>
      <c r="R17" s="368"/>
      <c r="S17" s="368"/>
      <c r="T17" s="368"/>
      <c r="U17" s="368"/>
      <c r="V17" s="368"/>
      <c r="W17" s="368"/>
      <c r="X17" s="374"/>
      <c r="Y17" s="368"/>
      <c r="Z17" s="337"/>
      <c r="AA17" s="337"/>
      <c r="AB17" s="337"/>
    </row>
    <row r="18" spans="1:28" ht="18" customHeight="1" x14ac:dyDescent="0.25">
      <c r="A18" s="360">
        <v>8</v>
      </c>
      <c r="B18" s="368"/>
      <c r="C18" s="368"/>
      <c r="D18" s="368"/>
      <c r="E18" s="368"/>
      <c r="F18" s="369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9"/>
      <c r="R18" s="368"/>
      <c r="S18" s="368"/>
      <c r="T18" s="368"/>
      <c r="U18" s="368"/>
      <c r="V18" s="368"/>
      <c r="W18" s="368"/>
      <c r="X18" s="374"/>
      <c r="Y18" s="368"/>
      <c r="Z18" s="337"/>
      <c r="AA18" s="337"/>
      <c r="AB18" s="337"/>
    </row>
    <row r="19" spans="1:28" ht="18" customHeight="1" x14ac:dyDescent="0.25">
      <c r="A19" s="360">
        <v>9</v>
      </c>
      <c r="B19" s="368"/>
      <c r="C19" s="368"/>
      <c r="D19" s="368"/>
      <c r="E19" s="368"/>
      <c r="F19" s="369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9"/>
      <c r="R19" s="368"/>
      <c r="S19" s="368"/>
      <c r="T19" s="368"/>
      <c r="U19" s="368"/>
      <c r="V19" s="368"/>
      <c r="W19" s="368"/>
      <c r="X19" s="374"/>
      <c r="Y19" s="368"/>
      <c r="Z19" s="337"/>
      <c r="AA19" s="337"/>
      <c r="AB19" s="337"/>
    </row>
    <row r="20" spans="1:28" ht="18" customHeight="1" x14ac:dyDescent="0.25">
      <c r="A20" s="360">
        <v>10</v>
      </c>
      <c r="B20" s="368"/>
      <c r="C20" s="368"/>
      <c r="D20" s="368"/>
      <c r="E20" s="368"/>
      <c r="F20" s="369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9"/>
      <c r="R20" s="368"/>
      <c r="S20" s="368"/>
      <c r="T20" s="368"/>
      <c r="U20" s="368"/>
      <c r="V20" s="368"/>
      <c r="W20" s="368"/>
      <c r="X20" s="374"/>
      <c r="Y20" s="458"/>
      <c r="Z20" s="337"/>
      <c r="AA20" s="337"/>
      <c r="AB20" s="337"/>
    </row>
    <row r="21" spans="1:28" ht="18" customHeight="1" x14ac:dyDescent="0.25">
      <c r="A21" s="360">
        <v>11</v>
      </c>
      <c r="B21" s="368"/>
      <c r="C21" s="368"/>
      <c r="D21" s="368"/>
      <c r="E21" s="368"/>
      <c r="F21" s="369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9"/>
      <c r="R21" s="368"/>
      <c r="S21" s="368"/>
      <c r="T21" s="368"/>
      <c r="U21" s="368"/>
      <c r="V21" s="368"/>
      <c r="W21" s="368"/>
      <c r="X21" s="374"/>
      <c r="Y21" s="457"/>
      <c r="Z21" s="337"/>
      <c r="AA21" s="337"/>
      <c r="AB21" s="337"/>
    </row>
    <row r="22" spans="1:28" ht="18" customHeight="1" x14ac:dyDescent="0.25">
      <c r="A22" s="360">
        <v>12</v>
      </c>
      <c r="B22" s="368"/>
      <c r="C22" s="368"/>
      <c r="D22" s="368"/>
      <c r="E22" s="368"/>
      <c r="F22" s="369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9"/>
      <c r="R22" s="368"/>
      <c r="S22" s="368"/>
      <c r="T22" s="368"/>
      <c r="U22" s="368"/>
      <c r="V22" s="368"/>
      <c r="W22" s="368"/>
      <c r="X22" s="374"/>
      <c r="Y22" s="458"/>
      <c r="Z22" s="337"/>
      <c r="AA22" s="337"/>
      <c r="AB22" s="337"/>
    </row>
    <row r="23" spans="1:28" ht="18" customHeight="1" x14ac:dyDescent="0.25">
      <c r="A23" s="360">
        <v>13</v>
      </c>
      <c r="B23" s="368"/>
      <c r="C23" s="368"/>
      <c r="D23" s="368"/>
      <c r="E23" s="368"/>
      <c r="F23" s="369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9"/>
      <c r="R23" s="368"/>
      <c r="S23" s="368"/>
      <c r="T23" s="368"/>
      <c r="U23" s="368"/>
      <c r="V23" s="368"/>
      <c r="W23" s="368"/>
      <c r="X23" s="374"/>
      <c r="Y23" s="368"/>
      <c r="Z23" s="337"/>
      <c r="AA23" s="337"/>
      <c r="AB23" s="337"/>
    </row>
    <row r="24" spans="1:28" ht="18" customHeight="1" x14ac:dyDescent="0.25">
      <c r="A24" s="360">
        <v>14</v>
      </c>
      <c r="B24" s="368"/>
      <c r="C24" s="368"/>
      <c r="D24" s="368"/>
      <c r="E24" s="368"/>
      <c r="F24" s="369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9"/>
      <c r="R24" s="368"/>
      <c r="S24" s="368"/>
      <c r="T24" s="368"/>
      <c r="U24" s="368"/>
      <c r="V24" s="368"/>
      <c r="W24" s="368"/>
      <c r="X24" s="374"/>
      <c r="Y24" s="368"/>
      <c r="Z24" s="337"/>
      <c r="AA24" s="337"/>
      <c r="AB24" s="337"/>
    </row>
    <row r="25" spans="1:28" ht="18" customHeight="1" x14ac:dyDescent="0.25">
      <c r="A25" s="360">
        <v>15</v>
      </c>
      <c r="B25" s="368"/>
      <c r="C25" s="368"/>
      <c r="D25" s="368"/>
      <c r="E25" s="368"/>
      <c r="F25" s="369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9"/>
      <c r="R25" s="368"/>
      <c r="S25" s="368"/>
      <c r="T25" s="368"/>
      <c r="U25" s="368"/>
      <c r="V25" s="368"/>
      <c r="W25" s="368"/>
      <c r="X25" s="374"/>
      <c r="Y25" s="368"/>
      <c r="Z25" s="337"/>
      <c r="AA25" s="337"/>
      <c r="AB25" s="337"/>
    </row>
    <row r="26" spans="1:28" ht="18" customHeight="1" x14ac:dyDescent="0.25">
      <c r="A26" s="360">
        <v>16</v>
      </c>
      <c r="B26" s="368"/>
      <c r="C26" s="368"/>
      <c r="D26" s="368"/>
      <c r="E26" s="368"/>
      <c r="F26" s="369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9"/>
      <c r="R26" s="368"/>
      <c r="S26" s="368"/>
      <c r="T26" s="368"/>
      <c r="U26" s="368"/>
      <c r="V26" s="368"/>
      <c r="W26" s="368"/>
      <c r="X26" s="374"/>
      <c r="Y26" s="368"/>
      <c r="Z26" s="337"/>
      <c r="AA26" s="337"/>
      <c r="AB26" s="337"/>
    </row>
    <row r="27" spans="1:28" ht="18" customHeight="1" x14ac:dyDescent="0.25">
      <c r="A27" s="472">
        <v>17</v>
      </c>
      <c r="B27" s="368"/>
      <c r="C27" s="368"/>
      <c r="D27" s="368"/>
      <c r="E27" s="368"/>
      <c r="F27" s="369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9"/>
      <c r="R27" s="368"/>
      <c r="S27" s="368"/>
      <c r="T27" s="368"/>
      <c r="U27" s="368"/>
      <c r="V27" s="368"/>
      <c r="W27" s="368"/>
      <c r="X27" s="374"/>
      <c r="Y27" s="368"/>
      <c r="Z27" s="337"/>
      <c r="AA27" s="337"/>
      <c r="AB27" s="337"/>
    </row>
    <row r="28" spans="1:28" ht="18" customHeight="1" x14ac:dyDescent="0.25">
      <c r="A28" s="360">
        <v>18</v>
      </c>
      <c r="B28" s="368"/>
      <c r="C28" s="368"/>
      <c r="D28" s="368"/>
      <c r="E28" s="368"/>
      <c r="F28" s="369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9"/>
      <c r="R28" s="368"/>
      <c r="S28" s="368"/>
      <c r="T28" s="368"/>
      <c r="U28" s="368"/>
      <c r="V28" s="368"/>
      <c r="W28" s="368"/>
      <c r="X28" s="374"/>
      <c r="Y28" s="368"/>
      <c r="Z28" s="337"/>
      <c r="AA28" s="337"/>
      <c r="AB28" s="337"/>
    </row>
    <row r="29" spans="1:28" ht="18" customHeight="1" x14ac:dyDescent="0.25">
      <c r="A29" s="360">
        <v>19</v>
      </c>
      <c r="B29" s="368"/>
      <c r="C29" s="368"/>
      <c r="D29" s="368"/>
      <c r="E29" s="368"/>
      <c r="F29" s="369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9"/>
      <c r="R29" s="368"/>
      <c r="S29" s="368"/>
      <c r="T29" s="368"/>
      <c r="U29" s="368"/>
      <c r="V29" s="368"/>
      <c r="W29" s="368"/>
      <c r="X29" s="374"/>
      <c r="Y29" s="368"/>
      <c r="Z29" s="337"/>
      <c r="AA29" s="337"/>
      <c r="AB29" s="337"/>
    </row>
    <row r="30" spans="1:28" ht="18" customHeight="1" x14ac:dyDescent="0.25">
      <c r="A30" s="360">
        <v>20</v>
      </c>
      <c r="B30" s="368"/>
      <c r="C30" s="368"/>
      <c r="D30" s="368"/>
      <c r="E30" s="368"/>
      <c r="F30" s="369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9"/>
      <c r="R30" s="368"/>
      <c r="S30" s="368"/>
      <c r="T30" s="368"/>
      <c r="U30" s="368"/>
      <c r="V30" s="368"/>
      <c r="W30" s="368"/>
      <c r="X30" s="374"/>
      <c r="Y30" s="368"/>
      <c r="Z30" s="337"/>
      <c r="AA30" s="337"/>
      <c r="AB30" s="337"/>
    </row>
    <row r="31" spans="1:28" ht="18" customHeight="1" x14ac:dyDescent="0.25">
      <c r="A31" s="360">
        <v>21</v>
      </c>
      <c r="B31" s="368"/>
      <c r="C31" s="368"/>
      <c r="D31" s="368"/>
      <c r="E31" s="368"/>
      <c r="F31" s="369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9"/>
      <c r="R31" s="368"/>
      <c r="S31" s="368"/>
      <c r="T31" s="368"/>
      <c r="U31" s="368"/>
      <c r="V31" s="368"/>
      <c r="W31" s="368"/>
      <c r="X31" s="374"/>
      <c r="Y31" s="368"/>
      <c r="Z31" s="337"/>
      <c r="AA31" s="337"/>
      <c r="AB31" s="337"/>
    </row>
    <row r="32" spans="1:28" ht="18" customHeight="1" x14ac:dyDescent="0.25">
      <c r="A32" s="360">
        <v>22</v>
      </c>
      <c r="B32" s="368"/>
      <c r="C32" s="368"/>
      <c r="D32" s="368"/>
      <c r="E32" s="368"/>
      <c r="F32" s="369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9"/>
      <c r="R32" s="368"/>
      <c r="S32" s="368"/>
      <c r="T32" s="368"/>
      <c r="U32" s="368"/>
      <c r="V32" s="368"/>
      <c r="W32" s="368"/>
      <c r="X32" s="374"/>
      <c r="Y32" s="368"/>
      <c r="Z32" s="337"/>
      <c r="AA32" s="337"/>
      <c r="AB32" s="337"/>
    </row>
    <row r="33" spans="1:28" ht="18" customHeight="1" x14ac:dyDescent="0.25">
      <c r="A33" s="360">
        <v>23</v>
      </c>
      <c r="B33" s="368"/>
      <c r="C33" s="368"/>
      <c r="D33" s="368"/>
      <c r="E33" s="368"/>
      <c r="F33" s="369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9"/>
      <c r="R33" s="368"/>
      <c r="S33" s="368"/>
      <c r="T33" s="368"/>
      <c r="U33" s="368"/>
      <c r="V33" s="368"/>
      <c r="W33" s="368"/>
      <c r="X33" s="374"/>
      <c r="Y33" s="358"/>
      <c r="Z33" s="337"/>
      <c r="AA33" s="337"/>
      <c r="AB33" s="337"/>
    </row>
    <row r="34" spans="1:28" ht="18" customHeight="1" x14ac:dyDescent="0.25">
      <c r="A34" s="472">
        <v>24</v>
      </c>
      <c r="B34" s="368"/>
      <c r="C34" s="368"/>
      <c r="D34" s="368"/>
      <c r="E34" s="368"/>
      <c r="F34" s="369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9"/>
      <c r="R34" s="368"/>
      <c r="S34" s="368"/>
      <c r="T34" s="368"/>
      <c r="U34" s="368"/>
      <c r="V34" s="368"/>
      <c r="W34" s="368"/>
      <c r="X34" s="374"/>
      <c r="Y34" s="368"/>
      <c r="Z34" s="739"/>
      <c r="AA34" s="740"/>
      <c r="AB34" s="337"/>
    </row>
    <row r="35" spans="1:28" ht="18" customHeight="1" x14ac:dyDescent="0.25">
      <c r="A35" s="360">
        <v>25</v>
      </c>
      <c r="B35" s="368"/>
      <c r="C35" s="368"/>
      <c r="D35" s="368"/>
      <c r="E35" s="368"/>
      <c r="F35" s="369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9"/>
      <c r="R35" s="368"/>
      <c r="S35" s="368"/>
      <c r="T35" s="368"/>
      <c r="U35" s="368"/>
      <c r="V35" s="368"/>
      <c r="W35" s="368"/>
      <c r="X35" s="374"/>
      <c r="Y35" s="368"/>
      <c r="Z35" s="337"/>
      <c r="AA35" s="337"/>
      <c r="AB35" s="337"/>
    </row>
    <row r="36" spans="1:28" ht="18" customHeight="1" x14ac:dyDescent="0.25">
      <c r="A36" s="360">
        <v>26</v>
      </c>
      <c r="B36" s="368"/>
      <c r="C36" s="368"/>
      <c r="D36" s="368"/>
      <c r="E36" s="368"/>
      <c r="F36" s="369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9"/>
      <c r="R36" s="368"/>
      <c r="S36" s="368"/>
      <c r="T36" s="368"/>
      <c r="U36" s="368"/>
      <c r="V36" s="368"/>
      <c r="W36" s="368"/>
      <c r="X36" s="374"/>
      <c r="Y36" s="368"/>
      <c r="Z36" s="337"/>
      <c r="AA36" s="337"/>
      <c r="AB36" s="337"/>
    </row>
    <row r="37" spans="1:28" ht="18" customHeight="1" x14ac:dyDescent="0.25">
      <c r="A37" s="360">
        <v>27</v>
      </c>
      <c r="B37" s="368"/>
      <c r="C37" s="368"/>
      <c r="D37" s="368"/>
      <c r="E37" s="368"/>
      <c r="F37" s="369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9"/>
      <c r="R37" s="368"/>
      <c r="S37" s="368"/>
      <c r="T37" s="368"/>
      <c r="U37" s="368"/>
      <c r="V37" s="368"/>
      <c r="W37" s="368"/>
      <c r="X37" s="374"/>
      <c r="Y37" s="368"/>
      <c r="Z37" s="337"/>
      <c r="AA37" s="337"/>
      <c r="AB37" s="337"/>
    </row>
    <row r="38" spans="1:28" ht="18" customHeight="1" x14ac:dyDescent="0.25">
      <c r="A38" s="360">
        <v>28</v>
      </c>
      <c r="B38" s="368"/>
      <c r="C38" s="368"/>
      <c r="D38" s="368"/>
      <c r="E38" s="368"/>
      <c r="F38" s="369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9"/>
      <c r="R38" s="368"/>
      <c r="S38" s="368"/>
      <c r="T38" s="368"/>
      <c r="U38" s="368"/>
      <c r="V38" s="368"/>
      <c r="W38" s="368"/>
      <c r="X38" s="374"/>
      <c r="Y38" s="368"/>
      <c r="Z38" s="337"/>
      <c r="AA38" s="337"/>
      <c r="AB38" s="337"/>
    </row>
    <row r="39" spans="1:28" ht="18" customHeight="1" x14ac:dyDescent="0.25">
      <c r="A39" s="360">
        <v>29</v>
      </c>
      <c r="B39" s="368"/>
      <c r="C39" s="368"/>
      <c r="D39" s="368"/>
      <c r="E39" s="368"/>
      <c r="F39" s="369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9"/>
      <c r="R39" s="368"/>
      <c r="S39" s="368"/>
      <c r="T39" s="368"/>
      <c r="U39" s="368"/>
      <c r="V39" s="368"/>
      <c r="W39" s="368"/>
      <c r="X39" s="374"/>
      <c r="Y39" s="368"/>
      <c r="Z39" s="337"/>
      <c r="AA39" s="337"/>
      <c r="AB39" s="337"/>
    </row>
    <row r="40" spans="1:28" ht="18" customHeight="1" x14ac:dyDescent="0.25">
      <c r="A40" s="360">
        <v>30</v>
      </c>
      <c r="B40" s="368"/>
      <c r="C40" s="368"/>
      <c r="D40" s="368"/>
      <c r="E40" s="368"/>
      <c r="F40" s="369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9"/>
      <c r="R40" s="368"/>
      <c r="S40" s="368"/>
      <c r="T40" s="368"/>
      <c r="U40" s="368"/>
      <c r="V40" s="368"/>
      <c r="W40" s="368"/>
      <c r="X40" s="374"/>
      <c r="Y40" s="368"/>
      <c r="Z40" s="337"/>
      <c r="AA40" s="337"/>
      <c r="AB40" s="337"/>
    </row>
    <row r="41" spans="1:28" ht="18" customHeight="1" x14ac:dyDescent="0.25">
      <c r="A41" s="360">
        <v>31</v>
      </c>
      <c r="B41" s="368"/>
      <c r="C41" s="368"/>
      <c r="D41" s="368"/>
      <c r="E41" s="368"/>
      <c r="F41" s="369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9"/>
      <c r="R41" s="368"/>
      <c r="S41" s="368"/>
      <c r="T41" s="368"/>
      <c r="U41" s="368"/>
      <c r="V41" s="368"/>
      <c r="W41" s="368"/>
      <c r="X41" s="374"/>
      <c r="Y41" s="368"/>
      <c r="Z41" s="337"/>
      <c r="AA41" s="337"/>
      <c r="AB41" s="337"/>
    </row>
    <row r="42" spans="1:28" x14ac:dyDescent="0.25">
      <c r="A42" s="336"/>
      <c r="B42" s="337"/>
      <c r="C42" s="337"/>
      <c r="D42" s="337"/>
      <c r="E42" s="337"/>
      <c r="F42" s="338"/>
      <c r="G42" s="337"/>
      <c r="H42" s="363" t="e">
        <f>AVERAGE(H11:H41)</f>
        <v>#DIV/0!</v>
      </c>
      <c r="I42" s="363" t="e">
        <f>AVERAGE(I11:I41)</f>
        <v>#DIV/0!</v>
      </c>
      <c r="J42" s="363" t="e">
        <f>AVERAGE(J11:J41)</f>
        <v>#DIV/0!</v>
      </c>
      <c r="K42" s="363" t="e">
        <f>AVERAGE(K11:K41)</f>
        <v>#DIV/0!</v>
      </c>
      <c r="L42" s="337"/>
      <c r="M42" s="337"/>
      <c r="N42" s="337"/>
      <c r="O42" s="337"/>
      <c r="P42" s="337"/>
      <c r="Q42" s="338" t="e">
        <f>AVERAGE(Q11:Q41)</f>
        <v>#DIV/0!</v>
      </c>
      <c r="R42" s="337"/>
      <c r="S42" s="389" t="e">
        <f>AVERAGE(S11:S41)</f>
        <v>#DIV/0!</v>
      </c>
      <c r="T42" s="363" t="e">
        <f>AVERAGE(T11:T41)</f>
        <v>#DIV/0!</v>
      </c>
      <c r="U42" s="337"/>
      <c r="V42" s="337"/>
      <c r="W42" s="337"/>
      <c r="X42" s="337"/>
      <c r="Y42" s="337"/>
      <c r="Z42" s="337"/>
      <c r="AA42" s="337"/>
      <c r="AB42" s="337"/>
    </row>
    <row r="43" spans="1:28" x14ac:dyDescent="0.25">
      <c r="A43" s="336"/>
      <c r="B43" s="337"/>
      <c r="C43" s="337"/>
      <c r="D43" s="337"/>
      <c r="E43" s="337"/>
      <c r="F43" s="338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</row>
    <row r="44" spans="1:28" x14ac:dyDescent="0.25">
      <c r="A44" s="336"/>
      <c r="B44" s="337"/>
      <c r="C44" s="337"/>
      <c r="D44" s="337"/>
      <c r="E44" s="337"/>
      <c r="F44" s="338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</row>
    <row r="45" spans="1:28" x14ac:dyDescent="0.25">
      <c r="A45" s="336"/>
      <c r="B45" s="337"/>
      <c r="C45" s="337"/>
      <c r="D45" s="337"/>
      <c r="E45" s="337"/>
      <c r="F45" s="338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</row>
    <row r="46" spans="1:28" x14ac:dyDescent="0.25">
      <c r="A46" s="336"/>
      <c r="B46" s="337"/>
      <c r="C46" s="337"/>
      <c r="D46" s="337"/>
      <c r="E46" s="337"/>
      <c r="F46" s="338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</row>
    <row r="47" spans="1:28" x14ac:dyDescent="0.25">
      <c r="A47" s="336"/>
      <c r="B47" s="337"/>
      <c r="C47" s="337"/>
      <c r="D47" s="337"/>
      <c r="E47" s="337"/>
      <c r="F47" s="338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</row>
    <row r="48" spans="1:28" x14ac:dyDescent="0.25">
      <c r="A48" s="336"/>
      <c r="B48" s="337"/>
      <c r="C48" s="337"/>
      <c r="D48" s="337"/>
      <c r="E48" s="337"/>
      <c r="F48" s="338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</row>
    <row r="49" spans="1:28" x14ac:dyDescent="0.25">
      <c r="A49" s="336"/>
      <c r="B49" s="337"/>
      <c r="C49" s="337"/>
      <c r="D49" s="337"/>
      <c r="E49" s="337"/>
      <c r="F49" s="338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</row>
    <row r="50" spans="1:28" x14ac:dyDescent="0.25">
      <c r="A50" s="336"/>
      <c r="B50" s="337"/>
      <c r="C50" s="337"/>
      <c r="D50" s="337"/>
      <c r="E50" s="337"/>
      <c r="F50" s="338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</row>
    <row r="51" spans="1:28" x14ac:dyDescent="0.25">
      <c r="A51" s="336"/>
      <c r="B51" s="337"/>
      <c r="C51" s="337"/>
      <c r="D51" s="337"/>
      <c r="E51" s="337"/>
      <c r="F51" s="338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</row>
    <row r="52" spans="1:28" x14ac:dyDescent="0.25">
      <c r="A52" s="336"/>
      <c r="B52" s="337"/>
      <c r="C52" s="337"/>
      <c r="D52" s="337"/>
      <c r="E52" s="337"/>
      <c r="F52" s="338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</row>
    <row r="53" spans="1:28" x14ac:dyDescent="0.25">
      <c r="A53" s="336"/>
      <c r="B53" s="337"/>
      <c r="C53" s="337"/>
      <c r="D53" s="337"/>
      <c r="E53" s="337"/>
      <c r="F53" s="338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</row>
    <row r="54" spans="1:28" x14ac:dyDescent="0.25">
      <c r="A54" s="336"/>
      <c r="B54" s="337"/>
      <c r="C54" s="337"/>
      <c r="D54" s="337"/>
      <c r="E54" s="337"/>
      <c r="F54" s="338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</row>
    <row r="55" spans="1:28" x14ac:dyDescent="0.25">
      <c r="A55" s="336"/>
      <c r="B55" s="337"/>
      <c r="C55" s="337"/>
      <c r="D55" s="337"/>
      <c r="E55" s="337"/>
      <c r="F55" s="338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</row>
    <row r="56" spans="1:28" x14ac:dyDescent="0.25">
      <c r="A56" s="336"/>
      <c r="B56" s="337"/>
      <c r="C56" s="337"/>
      <c r="D56" s="337"/>
      <c r="E56" s="337"/>
      <c r="F56" s="338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</row>
    <row r="57" spans="1:28" x14ac:dyDescent="0.25">
      <c r="A57" s="336"/>
      <c r="B57" s="337"/>
      <c r="C57" s="337"/>
      <c r="D57" s="337"/>
      <c r="E57" s="337"/>
      <c r="F57" s="338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</row>
    <row r="58" spans="1:28" x14ac:dyDescent="0.25">
      <c r="A58" s="336"/>
      <c r="B58" s="337"/>
      <c r="C58" s="337"/>
      <c r="D58" s="337"/>
      <c r="E58" s="337"/>
      <c r="F58" s="338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</row>
    <row r="59" spans="1:28" x14ac:dyDescent="0.25">
      <c r="A59" s="336"/>
      <c r="B59" s="337"/>
      <c r="C59" s="337"/>
      <c r="D59" s="337"/>
      <c r="E59" s="337"/>
      <c r="F59" s="338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</row>
    <row r="60" spans="1:28" x14ac:dyDescent="0.25">
      <c r="A60" s="336"/>
      <c r="B60" s="337"/>
      <c r="C60" s="337"/>
      <c r="D60" s="337"/>
      <c r="E60" s="337"/>
      <c r="F60" s="338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</row>
    <row r="61" spans="1:28" x14ac:dyDescent="0.25">
      <c r="A61" s="336"/>
      <c r="B61" s="337"/>
      <c r="C61" s="337"/>
      <c r="D61" s="337"/>
      <c r="E61" s="337"/>
      <c r="F61" s="338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</row>
    <row r="62" spans="1:28" x14ac:dyDescent="0.25">
      <c r="A62" s="336"/>
      <c r="B62" s="337"/>
      <c r="C62" s="337"/>
      <c r="D62" s="337"/>
      <c r="E62" s="337"/>
      <c r="F62" s="338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</row>
    <row r="63" spans="1:28" x14ac:dyDescent="0.25">
      <c r="A63" s="336"/>
      <c r="B63" s="337"/>
      <c r="C63" s="337"/>
      <c r="D63" s="337"/>
      <c r="E63" s="337"/>
      <c r="F63" s="338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</row>
    <row r="64" spans="1:28" x14ac:dyDescent="0.25">
      <c r="A64" s="336"/>
      <c r="B64" s="337"/>
      <c r="C64" s="337"/>
      <c r="D64" s="337"/>
      <c r="E64" s="337"/>
      <c r="F64" s="338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</row>
    <row r="65" spans="1:28" x14ac:dyDescent="0.25">
      <c r="A65" s="336"/>
      <c r="B65" s="337"/>
      <c r="C65" s="337"/>
      <c r="D65" s="337"/>
      <c r="E65" s="337"/>
      <c r="F65" s="338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</row>
    <row r="66" spans="1:28" x14ac:dyDescent="0.25">
      <c r="A66" s="336"/>
      <c r="B66" s="337"/>
      <c r="C66" s="337"/>
      <c r="D66" s="337"/>
      <c r="E66" s="337"/>
      <c r="F66" s="338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</row>
    <row r="67" spans="1:28" x14ac:dyDescent="0.25">
      <c r="A67" s="336"/>
      <c r="B67" s="337"/>
      <c r="C67" s="337"/>
      <c r="D67" s="337"/>
      <c r="E67" s="337"/>
      <c r="F67" s="338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</row>
    <row r="68" spans="1:28" x14ac:dyDescent="0.25">
      <c r="A68" s="336"/>
      <c r="B68" s="337"/>
      <c r="C68" s="337"/>
      <c r="D68" s="337"/>
      <c r="E68" s="337"/>
      <c r="F68" s="338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</row>
    <row r="69" spans="1:28" x14ac:dyDescent="0.25">
      <c r="A69" s="336"/>
      <c r="B69" s="337"/>
      <c r="C69" s="337"/>
      <c r="D69" s="337"/>
      <c r="E69" s="337"/>
      <c r="F69" s="338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</row>
    <row r="70" spans="1:28" x14ac:dyDescent="0.25">
      <c r="A70" s="336"/>
      <c r="B70" s="337"/>
      <c r="C70" s="337"/>
      <c r="D70" s="337"/>
      <c r="E70" s="337"/>
      <c r="F70" s="338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</row>
    <row r="71" spans="1:28" x14ac:dyDescent="0.25">
      <c r="A71" s="336"/>
      <c r="B71" s="337"/>
      <c r="C71" s="337"/>
      <c r="D71" s="337"/>
      <c r="E71" s="337"/>
      <c r="F71" s="338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</row>
    <row r="72" spans="1:28" x14ac:dyDescent="0.25">
      <c r="A72" s="336"/>
      <c r="B72" s="337"/>
      <c r="C72" s="337"/>
      <c r="D72" s="337"/>
      <c r="E72" s="337"/>
      <c r="F72" s="338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</row>
    <row r="73" spans="1:28" x14ac:dyDescent="0.25">
      <c r="A73" s="336"/>
      <c r="B73" s="337"/>
      <c r="C73" s="337"/>
      <c r="D73" s="337"/>
      <c r="E73" s="337"/>
      <c r="F73" s="338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</row>
    <row r="74" spans="1:28" x14ac:dyDescent="0.25">
      <c r="A74" s="336"/>
      <c r="B74" s="337"/>
      <c r="C74" s="337"/>
      <c r="D74" s="337"/>
      <c r="E74" s="337"/>
      <c r="F74" s="338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</row>
    <row r="75" spans="1:28" x14ac:dyDescent="0.25">
      <c r="A75" s="336"/>
      <c r="B75" s="337"/>
      <c r="C75" s="337"/>
      <c r="D75" s="337"/>
      <c r="E75" s="337"/>
      <c r="F75" s="338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  <c r="AB75" s="337"/>
    </row>
    <row r="76" spans="1:28" x14ac:dyDescent="0.25">
      <c r="A76" s="336"/>
      <c r="B76" s="337"/>
      <c r="C76" s="337"/>
      <c r="D76" s="337"/>
      <c r="E76" s="337"/>
      <c r="F76" s="338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</row>
    <row r="77" spans="1:28" x14ac:dyDescent="0.25">
      <c r="A77" s="336"/>
      <c r="B77" s="337"/>
      <c r="C77" s="337"/>
      <c r="D77" s="337"/>
      <c r="E77" s="337"/>
      <c r="F77" s="338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</row>
    <row r="78" spans="1:28" x14ac:dyDescent="0.25">
      <c r="A78" s="336"/>
      <c r="B78" s="337"/>
      <c r="C78" s="337"/>
      <c r="D78" s="337"/>
      <c r="E78" s="337"/>
      <c r="F78" s="338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</row>
    <row r="79" spans="1:28" x14ac:dyDescent="0.25">
      <c r="A79" s="336"/>
      <c r="B79" s="337"/>
      <c r="C79" s="337"/>
      <c r="D79" s="337"/>
      <c r="E79" s="337"/>
      <c r="F79" s="338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</row>
    <row r="80" spans="1:28" x14ac:dyDescent="0.25">
      <c r="A80" s="336"/>
      <c r="B80" s="337"/>
      <c r="C80" s="337"/>
      <c r="D80" s="337"/>
      <c r="E80" s="337"/>
      <c r="F80" s="338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</row>
    <row r="81" spans="1:28" x14ac:dyDescent="0.25">
      <c r="A81" s="336"/>
      <c r="B81" s="337"/>
      <c r="C81" s="337"/>
      <c r="D81" s="337"/>
      <c r="E81" s="337"/>
      <c r="F81" s="338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</row>
    <row r="82" spans="1:28" x14ac:dyDescent="0.25">
      <c r="A82" s="336"/>
      <c r="B82" s="337"/>
      <c r="C82" s="337"/>
      <c r="D82" s="337"/>
      <c r="E82" s="337"/>
      <c r="F82" s="338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  <c r="AB82" s="337"/>
    </row>
    <row r="83" spans="1:28" x14ac:dyDescent="0.25">
      <c r="A83" s="336"/>
      <c r="B83" s="337"/>
      <c r="C83" s="337"/>
      <c r="D83" s="337"/>
      <c r="E83" s="337"/>
      <c r="F83" s="338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  <c r="AB83" s="337"/>
    </row>
    <row r="84" spans="1:28" x14ac:dyDescent="0.25">
      <c r="A84" s="336"/>
      <c r="B84" s="337"/>
      <c r="C84" s="337"/>
      <c r="D84" s="337"/>
      <c r="E84" s="337"/>
      <c r="F84" s="338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</row>
    <row r="85" spans="1:28" x14ac:dyDescent="0.25">
      <c r="A85" s="336"/>
      <c r="B85" s="337"/>
      <c r="C85" s="337"/>
      <c r="D85" s="337"/>
      <c r="E85" s="337"/>
      <c r="F85" s="338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  <c r="AB85" s="337"/>
    </row>
    <row r="86" spans="1:28" x14ac:dyDescent="0.25">
      <c r="A86" s="336"/>
      <c r="B86" s="337"/>
      <c r="C86" s="337"/>
      <c r="D86" s="337"/>
      <c r="E86" s="337"/>
      <c r="F86" s="338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</row>
    <row r="87" spans="1:28" x14ac:dyDescent="0.25">
      <c r="A87" s="336"/>
      <c r="B87" s="337"/>
      <c r="C87" s="337"/>
      <c r="D87" s="337"/>
      <c r="E87" s="337"/>
      <c r="F87" s="338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</row>
    <row r="88" spans="1:28" x14ac:dyDescent="0.25">
      <c r="A88" s="336"/>
      <c r="B88" s="337"/>
      <c r="C88" s="337"/>
      <c r="D88" s="337"/>
      <c r="E88" s="337"/>
      <c r="F88" s="338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  <c r="AB88" s="337"/>
    </row>
    <row r="89" spans="1:28" x14ac:dyDescent="0.25">
      <c r="A89" s="336"/>
      <c r="B89" s="337"/>
      <c r="C89" s="337"/>
      <c r="D89" s="337"/>
      <c r="E89" s="337"/>
      <c r="F89" s="338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</row>
    <row r="90" spans="1:28" x14ac:dyDescent="0.25">
      <c r="A90" s="336"/>
      <c r="B90" s="337"/>
      <c r="C90" s="337"/>
      <c r="D90" s="337"/>
      <c r="E90" s="337"/>
      <c r="F90" s="338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</row>
    <row r="91" spans="1:28" x14ac:dyDescent="0.25">
      <c r="A91" s="336"/>
      <c r="B91" s="337"/>
      <c r="C91" s="337"/>
      <c r="D91" s="337"/>
      <c r="E91" s="337"/>
      <c r="F91" s="338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</row>
    <row r="92" spans="1:28" x14ac:dyDescent="0.25">
      <c r="A92" s="336"/>
      <c r="B92" s="337"/>
      <c r="C92" s="337"/>
      <c r="D92" s="337"/>
      <c r="E92" s="337"/>
      <c r="F92" s="338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</row>
    <row r="93" spans="1:28" x14ac:dyDescent="0.25">
      <c r="A93" s="336"/>
      <c r="B93" s="337"/>
      <c r="C93" s="337"/>
      <c r="D93" s="337"/>
      <c r="E93" s="337"/>
      <c r="F93" s="338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</row>
    <row r="94" spans="1:28" x14ac:dyDescent="0.25">
      <c r="A94" s="336"/>
      <c r="B94" s="337"/>
      <c r="C94" s="337"/>
      <c r="D94" s="337"/>
      <c r="E94" s="337"/>
      <c r="F94" s="338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</row>
    <row r="95" spans="1:28" x14ac:dyDescent="0.25">
      <c r="A95" s="336"/>
      <c r="B95" s="337"/>
      <c r="C95" s="337"/>
      <c r="D95" s="337"/>
      <c r="E95" s="337"/>
      <c r="F95" s="338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</row>
    <row r="96" spans="1:28" x14ac:dyDescent="0.25">
      <c r="A96" s="336"/>
      <c r="B96" s="337"/>
      <c r="C96" s="337"/>
      <c r="D96" s="337"/>
      <c r="E96" s="337"/>
      <c r="F96" s="338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</row>
    <row r="97" spans="1:28" x14ac:dyDescent="0.25">
      <c r="A97" s="336"/>
      <c r="B97" s="337"/>
      <c r="C97" s="337"/>
      <c r="D97" s="337"/>
      <c r="E97" s="337"/>
      <c r="F97" s="338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</row>
    <row r="98" spans="1:28" x14ac:dyDescent="0.25">
      <c r="A98" s="336"/>
      <c r="B98" s="337"/>
      <c r="C98" s="337"/>
      <c r="D98" s="337"/>
      <c r="E98" s="337"/>
      <c r="F98" s="338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</row>
    <row r="99" spans="1:28" x14ac:dyDescent="0.25">
      <c r="A99" s="336"/>
      <c r="B99" s="337"/>
      <c r="C99" s="337"/>
      <c r="D99" s="337"/>
      <c r="E99" s="337"/>
      <c r="F99" s="338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</row>
    <row r="100" spans="1:28" x14ac:dyDescent="0.25">
      <c r="A100" s="336"/>
      <c r="B100" s="337"/>
      <c r="C100" s="337"/>
      <c r="D100" s="337"/>
      <c r="E100" s="337"/>
      <c r="F100" s="338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</row>
    <row r="101" spans="1:28" x14ac:dyDescent="0.25">
      <c r="A101" s="336"/>
      <c r="B101" s="337"/>
      <c r="C101" s="337"/>
      <c r="D101" s="337"/>
      <c r="E101" s="337"/>
      <c r="F101" s="338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</row>
    <row r="102" spans="1:28" x14ac:dyDescent="0.25">
      <c r="A102" s="336"/>
      <c r="B102" s="337"/>
      <c r="C102" s="337"/>
      <c r="D102" s="337"/>
      <c r="E102" s="337"/>
      <c r="F102" s="338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</row>
    <row r="103" spans="1:28" x14ac:dyDescent="0.25">
      <c r="A103" s="336"/>
      <c r="B103" s="337"/>
      <c r="C103" s="337"/>
      <c r="D103" s="337"/>
      <c r="E103" s="337"/>
      <c r="F103" s="338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</row>
    <row r="104" spans="1:28" x14ac:dyDescent="0.25">
      <c r="A104" s="336"/>
      <c r="B104" s="337"/>
      <c r="C104" s="337"/>
      <c r="D104" s="337"/>
      <c r="E104" s="337"/>
      <c r="F104" s="338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</row>
    <row r="105" spans="1:28" x14ac:dyDescent="0.25">
      <c r="A105" s="336"/>
      <c r="B105" s="337"/>
      <c r="C105" s="337"/>
      <c r="D105" s="337"/>
      <c r="E105" s="337"/>
      <c r="F105" s="338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</row>
    <row r="106" spans="1:28" x14ac:dyDescent="0.25">
      <c r="A106" s="336"/>
      <c r="B106" s="337"/>
      <c r="C106" s="337"/>
      <c r="D106" s="337"/>
      <c r="E106" s="337"/>
      <c r="F106" s="338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</row>
    <row r="107" spans="1:28" x14ac:dyDescent="0.25">
      <c r="A107" s="336"/>
      <c r="B107" s="337"/>
      <c r="C107" s="337"/>
      <c r="D107" s="337"/>
      <c r="E107" s="337"/>
      <c r="F107" s="338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</row>
    <row r="108" spans="1:28" x14ac:dyDescent="0.25">
      <c r="A108" s="336"/>
      <c r="B108" s="337"/>
      <c r="C108" s="337"/>
      <c r="D108" s="337"/>
      <c r="E108" s="337"/>
      <c r="F108" s="338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</row>
    <row r="109" spans="1:28" x14ac:dyDescent="0.25">
      <c r="A109" s="336"/>
      <c r="B109" s="337"/>
      <c r="C109" s="337"/>
      <c r="D109" s="337"/>
      <c r="E109" s="337"/>
      <c r="F109" s="338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</row>
    <row r="110" spans="1:28" x14ac:dyDescent="0.25">
      <c r="A110" s="336"/>
      <c r="B110" s="337"/>
      <c r="C110" s="337"/>
      <c r="D110" s="337"/>
      <c r="E110" s="337"/>
      <c r="F110" s="338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</row>
    <row r="111" spans="1:28" x14ac:dyDescent="0.25">
      <c r="A111" s="336"/>
      <c r="B111" s="337"/>
      <c r="C111" s="337"/>
      <c r="D111" s="337"/>
      <c r="E111" s="337"/>
      <c r="F111" s="338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</row>
    <row r="112" spans="1:28" x14ac:dyDescent="0.25">
      <c r="A112" s="336"/>
      <c r="B112" s="337"/>
      <c r="C112" s="337"/>
      <c r="D112" s="337"/>
      <c r="E112" s="337"/>
      <c r="F112" s="338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</row>
    <row r="113" spans="1:28" x14ac:dyDescent="0.25">
      <c r="A113" s="336"/>
      <c r="B113" s="337"/>
      <c r="C113" s="337"/>
      <c r="D113" s="337"/>
      <c r="E113" s="337"/>
      <c r="F113" s="338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</row>
    <row r="114" spans="1:28" x14ac:dyDescent="0.25">
      <c r="A114" s="336"/>
      <c r="B114" s="337"/>
      <c r="C114" s="337"/>
      <c r="D114" s="337"/>
      <c r="E114" s="337"/>
      <c r="F114" s="338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</row>
    <row r="115" spans="1:28" x14ac:dyDescent="0.25">
      <c r="A115" s="336"/>
      <c r="B115" s="337"/>
      <c r="C115" s="337"/>
      <c r="D115" s="337"/>
      <c r="E115" s="337"/>
      <c r="F115" s="338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</row>
    <row r="116" spans="1:28" x14ac:dyDescent="0.25">
      <c r="A116" s="336"/>
      <c r="B116" s="337"/>
      <c r="C116" s="337"/>
      <c r="D116" s="337"/>
      <c r="E116" s="337"/>
      <c r="F116" s="338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</row>
    <row r="117" spans="1:28" x14ac:dyDescent="0.25">
      <c r="A117" s="336"/>
      <c r="B117" s="337"/>
      <c r="C117" s="337"/>
      <c r="D117" s="337"/>
      <c r="E117" s="337"/>
      <c r="F117" s="338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</row>
    <row r="118" spans="1:28" x14ac:dyDescent="0.25">
      <c r="A118" s="336"/>
      <c r="B118" s="337"/>
      <c r="C118" s="337"/>
      <c r="D118" s="337"/>
      <c r="E118" s="337"/>
      <c r="F118" s="338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</row>
    <row r="119" spans="1:28" x14ac:dyDescent="0.25">
      <c r="A119" s="336"/>
      <c r="B119" s="337"/>
      <c r="C119" s="337"/>
      <c r="D119" s="337"/>
      <c r="E119" s="337"/>
      <c r="F119" s="338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</row>
    <row r="120" spans="1:28" x14ac:dyDescent="0.25">
      <c r="A120" s="336"/>
      <c r="B120" s="337"/>
      <c r="C120" s="337"/>
      <c r="D120" s="337"/>
      <c r="E120" s="337"/>
      <c r="F120" s="338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</row>
    <row r="121" spans="1:28" x14ac:dyDescent="0.25">
      <c r="A121" s="336"/>
      <c r="B121" s="337"/>
      <c r="C121" s="337"/>
      <c r="D121" s="337"/>
      <c r="E121" s="337"/>
      <c r="F121" s="338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</row>
    <row r="122" spans="1:28" x14ac:dyDescent="0.25">
      <c r="A122" s="336"/>
      <c r="B122" s="337"/>
      <c r="C122" s="337"/>
      <c r="D122" s="337"/>
      <c r="E122" s="337"/>
      <c r="F122" s="338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</row>
    <row r="123" spans="1:28" x14ac:dyDescent="0.25">
      <c r="A123" s="336"/>
      <c r="B123" s="337"/>
      <c r="C123" s="337"/>
      <c r="D123" s="337"/>
      <c r="E123" s="337"/>
      <c r="F123" s="338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  <c r="AB123" s="337"/>
    </row>
    <row r="124" spans="1:28" x14ac:dyDescent="0.25">
      <c r="A124" s="336"/>
      <c r="B124" s="337"/>
      <c r="C124" s="337"/>
      <c r="D124" s="337"/>
      <c r="E124" s="337"/>
      <c r="F124" s="338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</row>
  </sheetData>
  <mergeCells count="21">
    <mergeCell ref="A8:A10"/>
    <mergeCell ref="B8:K8"/>
    <mergeCell ref="M8:W8"/>
    <mergeCell ref="B9:D9"/>
    <mergeCell ref="F9:F10"/>
    <mergeCell ref="G9:G10"/>
    <mergeCell ref="H9:H10"/>
    <mergeCell ref="I9:I10"/>
    <mergeCell ref="J9:J10"/>
    <mergeCell ref="K9:K10"/>
    <mergeCell ref="V9:V10"/>
    <mergeCell ref="W9:W10"/>
    <mergeCell ref="Z34:AA34"/>
    <mergeCell ref="X9:X10"/>
    <mergeCell ref="Y9:Y10"/>
    <mergeCell ref="M9:O9"/>
    <mergeCell ref="Q9:Q10"/>
    <mergeCell ref="R9:R10"/>
    <mergeCell ref="S9:S10"/>
    <mergeCell ref="T9:T10"/>
    <mergeCell ref="U9:U10"/>
  </mergeCells>
  <pageMargins left="0.4" right="0.36" top="0.45" bottom="0.55000000000000004" header="0.3" footer="0.3"/>
  <pageSetup scale="6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321"/>
  <sheetViews>
    <sheetView showGridLines="0" workbookViewId="0">
      <pane xSplit="1" ySplit="9" topLeftCell="B165" activePane="bottomRight" state="frozen"/>
      <selection activeCell="X41" sqref="X41"/>
      <selection pane="topRight" activeCell="X41" sqref="X41"/>
      <selection pane="bottomLeft" activeCell="X41" sqref="X41"/>
      <selection pane="bottomRight" activeCell="T9" sqref="T9"/>
    </sheetView>
  </sheetViews>
  <sheetFormatPr defaultColWidth="9.140625" defaultRowHeight="15" x14ac:dyDescent="0.25"/>
  <cols>
    <col min="1" max="1" width="35.28515625" style="482" bestFit="1" customWidth="1"/>
    <col min="2" max="2" width="1.140625" style="364" customWidth="1"/>
    <col min="3" max="3" width="7.7109375" style="339" customWidth="1"/>
    <col min="4" max="4" width="8.85546875" style="339" customWidth="1"/>
    <col min="5" max="7" width="7.7109375" style="339" customWidth="1"/>
    <col min="8" max="8" width="7.7109375" style="390" customWidth="1"/>
    <col min="9" max="9" width="1.85546875" style="339" customWidth="1"/>
    <col min="10" max="10" width="7.7109375" style="339" customWidth="1"/>
    <col min="11" max="11" width="9.28515625" style="339" customWidth="1"/>
    <col min="12" max="14" width="7.7109375" style="339" customWidth="1"/>
    <col min="15" max="15" width="7.7109375" style="390" customWidth="1"/>
    <col min="16" max="16" width="1" style="339" customWidth="1"/>
    <col min="17" max="17" width="18.7109375" style="339" customWidth="1"/>
    <col min="18" max="16384" width="9.140625" style="339"/>
  </cols>
  <sheetData>
    <row r="1" spans="1:17" x14ac:dyDescent="0.25">
      <c r="A1" s="475"/>
      <c r="B1" s="336"/>
      <c r="C1" s="337"/>
      <c r="D1" s="337"/>
      <c r="E1" s="337"/>
      <c r="F1" s="337"/>
      <c r="G1" s="337"/>
      <c r="H1" s="361"/>
      <c r="I1" s="337"/>
    </row>
    <row r="2" spans="1:17" x14ac:dyDescent="0.25">
      <c r="A2" s="475"/>
      <c r="B2" s="336"/>
      <c r="C2" s="337"/>
      <c r="D2" s="337"/>
      <c r="E2" s="337"/>
      <c r="F2" s="337"/>
      <c r="G2" s="337"/>
      <c r="H2" s="361"/>
      <c r="I2" s="337"/>
    </row>
    <row r="3" spans="1:17" x14ac:dyDescent="0.25">
      <c r="A3" s="475"/>
      <c r="B3" s="336"/>
      <c r="C3" s="337"/>
      <c r="D3" s="337"/>
      <c r="E3" s="337"/>
      <c r="F3" s="337"/>
      <c r="G3" s="337"/>
      <c r="H3" s="361"/>
      <c r="I3" s="337"/>
    </row>
    <row r="4" spans="1:17" x14ac:dyDescent="0.25">
      <c r="A4" s="475"/>
      <c r="B4" s="336"/>
      <c r="C4" s="337"/>
      <c r="D4" s="337"/>
      <c r="E4" s="337"/>
      <c r="F4" s="337"/>
      <c r="G4" s="337"/>
      <c r="H4" s="361"/>
      <c r="I4" s="337"/>
    </row>
    <row r="5" spans="1:17" ht="20.25" x14ac:dyDescent="0.3">
      <c r="A5" s="476" t="s">
        <v>182</v>
      </c>
      <c r="B5" s="340"/>
      <c r="C5" s="337"/>
      <c r="D5" s="337"/>
      <c r="E5" s="337"/>
      <c r="F5" s="337"/>
      <c r="G5" s="337"/>
      <c r="H5" s="361"/>
      <c r="I5" s="337"/>
    </row>
    <row r="6" spans="1:17" ht="21" x14ac:dyDescent="0.3">
      <c r="A6" s="476" t="s">
        <v>231</v>
      </c>
      <c r="B6" s="340"/>
      <c r="C6" s="337"/>
      <c r="D6" s="337"/>
      <c r="E6" s="337"/>
      <c r="F6" s="337"/>
      <c r="G6" s="337"/>
      <c r="I6" s="337"/>
      <c r="L6" s="391" t="s">
        <v>232</v>
      </c>
      <c r="M6" s="392"/>
      <c r="N6" s="392"/>
      <c r="O6" s="384"/>
      <c r="P6" s="342"/>
      <c r="Q6" s="343"/>
    </row>
    <row r="7" spans="1:17" ht="6.75" customHeight="1" thickBot="1" x14ac:dyDescent="0.35">
      <c r="A7" s="476"/>
      <c r="B7" s="340"/>
      <c r="C7" s="337"/>
      <c r="D7" s="337"/>
      <c r="E7" s="337"/>
      <c r="F7" s="337"/>
      <c r="G7" s="337"/>
      <c r="I7" s="337"/>
      <c r="M7" s="342"/>
      <c r="N7" s="342"/>
      <c r="O7" s="384"/>
      <c r="P7" s="342"/>
      <c r="Q7" s="343"/>
    </row>
    <row r="8" spans="1:17" ht="21" customHeight="1" thickBot="1" x14ac:dyDescent="0.35">
      <c r="A8" s="770" t="s">
        <v>8</v>
      </c>
      <c r="B8" s="393"/>
      <c r="C8" s="729" t="s">
        <v>233</v>
      </c>
      <c r="D8" s="730"/>
      <c r="E8" s="730"/>
      <c r="F8" s="730"/>
      <c r="G8" s="730"/>
      <c r="H8" s="731"/>
      <c r="I8" s="337"/>
      <c r="J8" s="729" t="s">
        <v>234</v>
      </c>
      <c r="K8" s="730"/>
      <c r="L8" s="730"/>
      <c r="M8" s="730"/>
      <c r="N8" s="730"/>
      <c r="O8" s="731"/>
      <c r="P8" s="382"/>
      <c r="Q8" s="772" t="s">
        <v>226</v>
      </c>
    </row>
    <row r="9" spans="1:17" ht="29.25" thickBot="1" x14ac:dyDescent="0.3">
      <c r="A9" s="771"/>
      <c r="B9" s="394"/>
      <c r="C9" s="378" t="s">
        <v>192</v>
      </c>
      <c r="D9" s="395" t="s">
        <v>219</v>
      </c>
      <c r="E9" s="348" t="s">
        <v>193</v>
      </c>
      <c r="F9" s="349" t="s">
        <v>220</v>
      </c>
      <c r="G9" s="379" t="s">
        <v>235</v>
      </c>
      <c r="H9" s="396" t="s">
        <v>236</v>
      </c>
      <c r="I9" s="337"/>
      <c r="J9" s="378" t="s">
        <v>192</v>
      </c>
      <c r="K9" s="395" t="s">
        <v>219</v>
      </c>
      <c r="L9" s="348" t="s">
        <v>193</v>
      </c>
      <c r="M9" s="397" t="s">
        <v>220</v>
      </c>
      <c r="N9" s="379" t="s">
        <v>235</v>
      </c>
      <c r="O9" s="396" t="s">
        <v>236</v>
      </c>
      <c r="P9" s="398"/>
      <c r="Q9" s="773"/>
    </row>
    <row r="10" spans="1:17" ht="12" customHeight="1" x14ac:dyDescent="0.25">
      <c r="A10" s="477">
        <v>38591</v>
      </c>
      <c r="B10" s="384"/>
      <c r="C10" s="399">
        <v>10.5</v>
      </c>
      <c r="D10" s="400">
        <v>2550</v>
      </c>
      <c r="E10" s="401">
        <v>1700</v>
      </c>
      <c r="F10" s="399">
        <v>0.8</v>
      </c>
      <c r="G10" s="401">
        <v>600</v>
      </c>
      <c r="H10" s="402"/>
      <c r="I10" s="403"/>
      <c r="J10" s="404"/>
      <c r="K10" s="401"/>
      <c r="L10" s="401"/>
      <c r="M10" s="405"/>
      <c r="N10" s="401"/>
      <c r="O10" s="402"/>
      <c r="P10" s="403"/>
      <c r="Q10" s="402" t="s">
        <v>237</v>
      </c>
    </row>
    <row r="11" spans="1:17" ht="12" customHeight="1" x14ac:dyDescent="0.25">
      <c r="A11" s="477">
        <v>38599</v>
      </c>
      <c r="B11" s="384"/>
      <c r="C11" s="399">
        <v>9.6999999999999993</v>
      </c>
      <c r="D11" s="400">
        <v>2055</v>
      </c>
      <c r="E11" s="401">
        <v>1370</v>
      </c>
      <c r="F11" s="399">
        <v>0.8</v>
      </c>
      <c r="G11" s="401">
        <v>600</v>
      </c>
      <c r="H11" s="402"/>
      <c r="I11" s="403"/>
      <c r="J11" s="404"/>
      <c r="K11" s="401"/>
      <c r="L11" s="401"/>
      <c r="M11" s="405"/>
      <c r="N11" s="401"/>
      <c r="O11" s="402"/>
      <c r="P11" s="403"/>
      <c r="Q11" s="406" t="s">
        <v>237</v>
      </c>
    </row>
    <row r="12" spans="1:17" ht="12" customHeight="1" x14ac:dyDescent="0.25">
      <c r="A12" s="477">
        <v>38606</v>
      </c>
      <c r="B12" s="384"/>
      <c r="C12" s="399">
        <v>9.8000000000000007</v>
      </c>
      <c r="D12" s="400">
        <v>2160</v>
      </c>
      <c r="E12" s="401">
        <v>1440</v>
      </c>
      <c r="F12" s="399">
        <v>0.7</v>
      </c>
      <c r="G12" s="401">
        <v>650</v>
      </c>
      <c r="H12" s="402"/>
      <c r="I12" s="403"/>
      <c r="J12" s="404"/>
      <c r="K12" s="401"/>
      <c r="L12" s="401"/>
      <c r="M12" s="405"/>
      <c r="N12" s="401"/>
      <c r="O12" s="402"/>
      <c r="P12" s="403"/>
      <c r="Q12" s="406" t="s">
        <v>237</v>
      </c>
    </row>
    <row r="13" spans="1:17" ht="12" customHeight="1" x14ac:dyDescent="0.25">
      <c r="A13" s="477">
        <v>38613</v>
      </c>
      <c r="B13" s="384"/>
      <c r="C13" s="399">
        <v>9.6999999999999993</v>
      </c>
      <c r="D13" s="400">
        <v>2250</v>
      </c>
      <c r="E13" s="401">
        <v>1500</v>
      </c>
      <c r="F13" s="399">
        <v>0.8</v>
      </c>
      <c r="G13" s="401">
        <v>600</v>
      </c>
      <c r="H13" s="402"/>
      <c r="I13" s="403"/>
      <c r="J13" s="404"/>
      <c r="K13" s="401"/>
      <c r="L13" s="401"/>
      <c r="M13" s="405"/>
      <c r="N13" s="401"/>
      <c r="O13" s="402"/>
      <c r="P13" s="403"/>
      <c r="Q13" s="406" t="s">
        <v>237</v>
      </c>
    </row>
    <row r="14" spans="1:17" ht="12" customHeight="1" x14ac:dyDescent="0.25">
      <c r="A14" s="477">
        <v>38634</v>
      </c>
      <c r="B14" s="384"/>
      <c r="C14" s="399">
        <v>8</v>
      </c>
      <c r="D14" s="400">
        <v>585</v>
      </c>
      <c r="E14" s="401">
        <v>390</v>
      </c>
      <c r="F14" s="399">
        <v>0.3</v>
      </c>
      <c r="G14" s="402" t="s">
        <v>238</v>
      </c>
      <c r="H14" s="402"/>
      <c r="I14" s="403"/>
      <c r="J14" s="404"/>
      <c r="K14" s="401"/>
      <c r="L14" s="401"/>
      <c r="M14" s="405"/>
      <c r="N14" s="401"/>
      <c r="O14" s="402"/>
      <c r="P14" s="403"/>
      <c r="Q14" s="406" t="s">
        <v>237</v>
      </c>
    </row>
    <row r="15" spans="1:17" ht="12" customHeight="1" x14ac:dyDescent="0.25">
      <c r="A15" s="477">
        <v>38662</v>
      </c>
      <c r="B15" s="384"/>
      <c r="C15" s="399">
        <v>10</v>
      </c>
      <c r="D15" s="400">
        <v>1845</v>
      </c>
      <c r="E15" s="401">
        <v>1230</v>
      </c>
      <c r="F15" s="399">
        <v>0.8</v>
      </c>
      <c r="G15" s="401">
        <v>500</v>
      </c>
      <c r="H15" s="402"/>
      <c r="I15" s="403"/>
      <c r="J15" s="404"/>
      <c r="K15" s="401"/>
      <c r="L15" s="401"/>
      <c r="M15" s="405"/>
      <c r="N15" s="401"/>
      <c r="O15" s="402"/>
      <c r="P15" s="403"/>
      <c r="Q15" s="406" t="s">
        <v>237</v>
      </c>
    </row>
    <row r="16" spans="1:17" ht="12" customHeight="1" x14ac:dyDescent="0.25">
      <c r="A16" s="477">
        <v>38722</v>
      </c>
      <c r="B16" s="384"/>
      <c r="C16" s="399">
        <v>10</v>
      </c>
      <c r="D16" s="400">
        <v>2175</v>
      </c>
      <c r="E16" s="401">
        <v>1450</v>
      </c>
      <c r="F16" s="399">
        <v>0.6</v>
      </c>
      <c r="G16" s="401">
        <v>700</v>
      </c>
      <c r="H16" s="402" t="s">
        <v>238</v>
      </c>
      <c r="I16" s="403"/>
      <c r="J16" s="404"/>
      <c r="K16" s="401"/>
      <c r="L16" s="401"/>
      <c r="M16" s="405"/>
      <c r="N16" s="401"/>
      <c r="O16" s="402"/>
      <c r="P16" s="403"/>
      <c r="Q16" s="406" t="s">
        <v>237</v>
      </c>
    </row>
    <row r="17" spans="1:17" ht="12" customHeight="1" x14ac:dyDescent="0.25">
      <c r="A17" s="477">
        <v>38739</v>
      </c>
      <c r="B17" s="384"/>
      <c r="C17" s="399">
        <v>10.1</v>
      </c>
      <c r="D17" s="400">
        <v>3150</v>
      </c>
      <c r="E17" s="401">
        <v>2300</v>
      </c>
      <c r="F17" s="399">
        <v>0.5</v>
      </c>
      <c r="G17" s="401">
        <v>450</v>
      </c>
      <c r="H17" s="402"/>
      <c r="I17" s="403"/>
      <c r="J17" s="404"/>
      <c r="K17" s="401"/>
      <c r="L17" s="401"/>
      <c r="M17" s="405"/>
      <c r="N17" s="401"/>
      <c r="O17" s="402"/>
      <c r="P17" s="403"/>
      <c r="Q17" s="406" t="s">
        <v>237</v>
      </c>
    </row>
    <row r="18" spans="1:17" ht="12" customHeight="1" x14ac:dyDescent="0.25">
      <c r="A18" s="477">
        <v>38760</v>
      </c>
      <c r="B18" s="384"/>
      <c r="C18" s="399">
        <v>9.9</v>
      </c>
      <c r="D18" s="400">
        <v>1675</v>
      </c>
      <c r="E18" s="401">
        <v>1250</v>
      </c>
      <c r="F18" s="399">
        <v>0.3</v>
      </c>
      <c r="G18" s="401">
        <v>600</v>
      </c>
      <c r="H18" s="402" t="s">
        <v>238</v>
      </c>
      <c r="I18" s="403"/>
      <c r="J18" s="404"/>
      <c r="K18" s="401"/>
      <c r="L18" s="401"/>
      <c r="M18" s="405"/>
      <c r="N18" s="401"/>
      <c r="O18" s="402"/>
      <c r="P18" s="403"/>
      <c r="Q18" s="406" t="s">
        <v>237</v>
      </c>
    </row>
    <row r="19" spans="1:17" ht="12" customHeight="1" x14ac:dyDescent="0.25">
      <c r="A19" s="477">
        <v>38767</v>
      </c>
      <c r="B19" s="384"/>
      <c r="C19" s="399">
        <v>9.6999999999999993</v>
      </c>
      <c r="D19" s="400">
        <v>22250</v>
      </c>
      <c r="E19" s="401">
        <v>1500</v>
      </c>
      <c r="F19" s="399">
        <v>0.5</v>
      </c>
      <c r="G19" s="401">
        <v>250</v>
      </c>
      <c r="H19" s="402"/>
      <c r="I19" s="403"/>
      <c r="J19" s="404"/>
      <c r="K19" s="401"/>
      <c r="L19" s="401"/>
      <c r="M19" s="405"/>
      <c r="N19" s="401"/>
      <c r="O19" s="402"/>
      <c r="P19" s="403"/>
      <c r="Q19" s="406" t="s">
        <v>237</v>
      </c>
    </row>
    <row r="20" spans="1:17" ht="12" customHeight="1" x14ac:dyDescent="0.25">
      <c r="A20" s="477">
        <v>38788</v>
      </c>
      <c r="B20" s="384"/>
      <c r="C20" s="399">
        <v>10.1</v>
      </c>
      <c r="D20" s="400">
        <v>2475</v>
      </c>
      <c r="E20" s="401">
        <v>1850</v>
      </c>
      <c r="F20" s="399">
        <v>0.6</v>
      </c>
      <c r="G20" s="401">
        <v>1000</v>
      </c>
      <c r="H20" s="402" t="s">
        <v>238</v>
      </c>
      <c r="I20" s="403"/>
      <c r="J20" s="404"/>
      <c r="K20" s="401"/>
      <c r="L20" s="401"/>
      <c r="M20" s="405"/>
      <c r="N20" s="401"/>
      <c r="O20" s="402"/>
      <c r="P20" s="403"/>
      <c r="Q20" s="406" t="s">
        <v>237</v>
      </c>
    </row>
    <row r="21" spans="1:17" ht="12" customHeight="1" x14ac:dyDescent="0.25">
      <c r="A21" s="477">
        <v>38802</v>
      </c>
      <c r="B21" s="384"/>
      <c r="C21" s="399">
        <v>10.199999999999999</v>
      </c>
      <c r="D21" s="400">
        <v>3000</v>
      </c>
      <c r="E21" s="401">
        <v>2000</v>
      </c>
      <c r="F21" s="399">
        <v>0.3</v>
      </c>
      <c r="G21" s="401">
        <v>650</v>
      </c>
      <c r="H21" s="402"/>
      <c r="I21" s="403"/>
      <c r="J21" s="404"/>
      <c r="K21" s="401"/>
      <c r="L21" s="401"/>
      <c r="M21" s="405"/>
      <c r="N21" s="401"/>
      <c r="O21" s="402"/>
      <c r="P21" s="403"/>
      <c r="Q21" s="406" t="s">
        <v>237</v>
      </c>
    </row>
    <row r="22" spans="1:17" ht="12" customHeight="1" x14ac:dyDescent="0.25">
      <c r="A22" s="477">
        <v>38844</v>
      </c>
      <c r="B22" s="384"/>
      <c r="C22" s="399">
        <v>10.199999999999999</v>
      </c>
      <c r="D22" s="400">
        <v>2750</v>
      </c>
      <c r="E22" s="401">
        <v>1800</v>
      </c>
      <c r="F22" s="399">
        <v>0.5</v>
      </c>
      <c r="G22" s="401">
        <v>1000</v>
      </c>
      <c r="H22" s="402"/>
      <c r="I22" s="403"/>
      <c r="J22" s="404"/>
      <c r="K22" s="401"/>
      <c r="L22" s="401"/>
      <c r="M22" s="405"/>
      <c r="N22" s="401"/>
      <c r="O22" s="402"/>
      <c r="P22" s="403"/>
      <c r="Q22" s="406" t="s">
        <v>237</v>
      </c>
    </row>
    <row r="23" spans="1:17" ht="12" customHeight="1" x14ac:dyDescent="0.25">
      <c r="A23" s="477">
        <v>38858</v>
      </c>
      <c r="B23" s="384"/>
      <c r="C23" s="399">
        <v>10.199999999999999</v>
      </c>
      <c r="D23" s="400">
        <v>3750</v>
      </c>
      <c r="E23" s="401">
        <v>2500</v>
      </c>
      <c r="F23" s="399">
        <v>0.6</v>
      </c>
      <c r="G23" s="401">
        <v>1000</v>
      </c>
      <c r="H23" s="402" t="s">
        <v>238</v>
      </c>
      <c r="I23" s="403"/>
      <c r="J23" s="404"/>
      <c r="K23" s="401"/>
      <c r="L23" s="401"/>
      <c r="M23" s="405"/>
      <c r="N23" s="401"/>
      <c r="O23" s="402"/>
      <c r="P23" s="403"/>
      <c r="Q23" s="406" t="s">
        <v>237</v>
      </c>
    </row>
    <row r="24" spans="1:17" ht="12" customHeight="1" x14ac:dyDescent="0.25">
      <c r="A24" s="477">
        <v>38900</v>
      </c>
      <c r="B24" s="384"/>
      <c r="C24" s="399">
        <v>10.5</v>
      </c>
      <c r="D24" s="400">
        <v>3000</v>
      </c>
      <c r="E24" s="401">
        <v>2000</v>
      </c>
      <c r="F24" s="399">
        <v>0.5</v>
      </c>
      <c r="G24" s="401">
        <v>1000</v>
      </c>
      <c r="H24" s="402" t="s">
        <v>238</v>
      </c>
      <c r="I24" s="403"/>
      <c r="J24" s="404"/>
      <c r="K24" s="401"/>
      <c r="L24" s="401"/>
      <c r="M24" s="405"/>
      <c r="N24" s="401"/>
      <c r="O24" s="402"/>
      <c r="P24" s="403"/>
      <c r="Q24" s="406" t="s">
        <v>237</v>
      </c>
    </row>
    <row r="25" spans="1:17" ht="12" customHeight="1" x14ac:dyDescent="0.25">
      <c r="A25" s="477">
        <v>38926</v>
      </c>
      <c r="B25" s="384"/>
      <c r="C25" s="399">
        <v>10.4</v>
      </c>
      <c r="D25" s="400">
        <v>3000</v>
      </c>
      <c r="E25" s="401">
        <v>2000</v>
      </c>
      <c r="F25" s="399">
        <v>0.3</v>
      </c>
      <c r="G25" s="401">
        <v>700</v>
      </c>
      <c r="H25" s="402" t="s">
        <v>238</v>
      </c>
      <c r="I25" s="403"/>
      <c r="J25" s="404">
        <v>10.199999999999999</v>
      </c>
      <c r="K25" s="401">
        <v>6000</v>
      </c>
      <c r="L25" s="401">
        <v>4000</v>
      </c>
      <c r="M25" s="405">
        <v>0.3</v>
      </c>
      <c r="N25" s="401">
        <v>2500</v>
      </c>
      <c r="O25" s="402" t="s">
        <v>238</v>
      </c>
      <c r="P25" s="403"/>
      <c r="Q25" s="406" t="s">
        <v>237</v>
      </c>
    </row>
    <row r="26" spans="1:17" ht="12" customHeight="1" x14ac:dyDescent="0.25">
      <c r="A26" s="477">
        <v>38949</v>
      </c>
      <c r="B26" s="384"/>
      <c r="C26" s="399">
        <v>10.5</v>
      </c>
      <c r="D26" s="400">
        <v>3000</v>
      </c>
      <c r="E26" s="401">
        <v>2000</v>
      </c>
      <c r="F26" s="399">
        <v>0.5</v>
      </c>
      <c r="G26" s="401">
        <v>1000</v>
      </c>
      <c r="H26" s="402" t="s">
        <v>238</v>
      </c>
      <c r="I26" s="403"/>
      <c r="J26" s="404">
        <v>9.8000000000000007</v>
      </c>
      <c r="K26" s="401">
        <v>7500</v>
      </c>
      <c r="L26" s="401">
        <v>5000</v>
      </c>
      <c r="M26" s="405">
        <v>0.6</v>
      </c>
      <c r="N26" s="401">
        <v>2000</v>
      </c>
      <c r="O26" s="402" t="s">
        <v>238</v>
      </c>
      <c r="P26" s="403"/>
      <c r="Q26" s="406" t="s">
        <v>237</v>
      </c>
    </row>
    <row r="27" spans="1:17" ht="12" customHeight="1" x14ac:dyDescent="0.25">
      <c r="A27" s="477">
        <v>38963</v>
      </c>
      <c r="B27" s="384"/>
      <c r="C27" s="399">
        <v>10.5</v>
      </c>
      <c r="D27" s="400">
        <v>1950</v>
      </c>
      <c r="E27" s="401">
        <v>1300</v>
      </c>
      <c r="F27" s="399">
        <v>0.3</v>
      </c>
      <c r="G27" s="401">
        <v>600</v>
      </c>
      <c r="H27" s="402"/>
      <c r="I27" s="403"/>
      <c r="J27" s="404">
        <v>10.7</v>
      </c>
      <c r="K27" s="401">
        <v>4500</v>
      </c>
      <c r="L27" s="401">
        <v>3000</v>
      </c>
      <c r="M27" s="405">
        <v>0.5</v>
      </c>
      <c r="N27" s="401">
        <v>2000</v>
      </c>
      <c r="O27" s="402"/>
      <c r="P27" s="403"/>
      <c r="Q27" s="406" t="s">
        <v>237</v>
      </c>
    </row>
    <row r="28" spans="1:17" ht="12" customHeight="1" x14ac:dyDescent="0.25">
      <c r="A28" s="477">
        <v>38977</v>
      </c>
      <c r="B28" s="384"/>
      <c r="C28" s="399">
        <v>10.5</v>
      </c>
      <c r="D28" s="400">
        <v>2250</v>
      </c>
      <c r="E28" s="401">
        <v>1500</v>
      </c>
      <c r="F28" s="399">
        <v>0.5</v>
      </c>
      <c r="G28" s="401">
        <v>600</v>
      </c>
      <c r="H28" s="402"/>
      <c r="I28" s="403"/>
      <c r="J28" s="404">
        <v>9</v>
      </c>
      <c r="K28" s="401">
        <v>600</v>
      </c>
      <c r="L28" s="401">
        <v>400</v>
      </c>
      <c r="M28" s="405">
        <v>3</v>
      </c>
      <c r="N28" s="402" t="s">
        <v>238</v>
      </c>
      <c r="O28" s="402"/>
      <c r="P28" s="403"/>
      <c r="Q28" s="406" t="s">
        <v>237</v>
      </c>
    </row>
    <row r="29" spans="1:17" ht="12" customHeight="1" x14ac:dyDescent="0.25">
      <c r="A29" s="477">
        <v>38998</v>
      </c>
      <c r="B29" s="384"/>
      <c r="C29" s="399">
        <v>10</v>
      </c>
      <c r="D29" s="400">
        <v>1950</v>
      </c>
      <c r="E29" s="401">
        <v>1300</v>
      </c>
      <c r="F29" s="399">
        <v>0.5</v>
      </c>
      <c r="G29" s="401">
        <v>600</v>
      </c>
      <c r="H29" s="402" t="s">
        <v>238</v>
      </c>
      <c r="I29" s="403"/>
      <c r="J29" s="404">
        <v>10.5</v>
      </c>
      <c r="K29" s="401">
        <v>6000</v>
      </c>
      <c r="L29" s="401">
        <v>4000</v>
      </c>
      <c r="M29" s="405">
        <v>0.5</v>
      </c>
      <c r="N29" s="401">
        <v>1500</v>
      </c>
      <c r="O29" s="402" t="s">
        <v>238</v>
      </c>
      <c r="P29" s="403"/>
      <c r="Q29" s="406" t="s">
        <v>237</v>
      </c>
    </row>
    <row r="30" spans="1:17" ht="12" customHeight="1" x14ac:dyDescent="0.25">
      <c r="A30" s="477">
        <v>39019</v>
      </c>
      <c r="B30" s="384"/>
      <c r="C30" s="399">
        <v>10.5</v>
      </c>
      <c r="D30" s="400">
        <v>2700</v>
      </c>
      <c r="E30" s="401">
        <v>1800</v>
      </c>
      <c r="F30" s="399">
        <v>0.5</v>
      </c>
      <c r="G30" s="401">
        <v>600</v>
      </c>
      <c r="H30" s="402" t="s">
        <v>238</v>
      </c>
      <c r="I30" s="403"/>
      <c r="J30" s="404">
        <v>11</v>
      </c>
      <c r="K30" s="401">
        <v>6000</v>
      </c>
      <c r="L30" s="401">
        <v>4000</v>
      </c>
      <c r="M30" s="405">
        <v>0.5</v>
      </c>
      <c r="N30" s="401">
        <v>2000</v>
      </c>
      <c r="O30" s="402" t="s">
        <v>238</v>
      </c>
      <c r="P30" s="403"/>
      <c r="Q30" s="406" t="s">
        <v>237</v>
      </c>
    </row>
    <row r="31" spans="1:17" ht="12" customHeight="1" x14ac:dyDescent="0.25">
      <c r="A31" s="477">
        <v>39037</v>
      </c>
      <c r="B31" s="384"/>
      <c r="C31" s="399">
        <v>10.5</v>
      </c>
      <c r="D31" s="400">
        <v>2700</v>
      </c>
      <c r="E31" s="401">
        <v>1800</v>
      </c>
      <c r="F31" s="399">
        <v>0.7</v>
      </c>
      <c r="G31" s="401">
        <v>1000</v>
      </c>
      <c r="H31" s="402" t="s">
        <v>238</v>
      </c>
      <c r="I31" s="403"/>
      <c r="J31" s="404">
        <v>11</v>
      </c>
      <c r="K31" s="401">
        <v>6000</v>
      </c>
      <c r="L31" s="401">
        <v>4000</v>
      </c>
      <c r="M31" s="405">
        <v>0.7</v>
      </c>
      <c r="N31" s="401">
        <v>3000</v>
      </c>
      <c r="O31" s="402" t="s">
        <v>238</v>
      </c>
      <c r="P31" s="403"/>
      <c r="Q31" s="406" t="s">
        <v>237</v>
      </c>
    </row>
    <row r="32" spans="1:17" ht="12" customHeight="1" x14ac:dyDescent="0.25">
      <c r="A32" s="477">
        <v>39047</v>
      </c>
      <c r="B32" s="384"/>
      <c r="C32" s="399">
        <v>10.5</v>
      </c>
      <c r="D32" s="400">
        <v>2700</v>
      </c>
      <c r="E32" s="401">
        <v>1800</v>
      </c>
      <c r="F32" s="399">
        <v>0.7</v>
      </c>
      <c r="G32" s="401">
        <v>1000</v>
      </c>
      <c r="H32" s="402" t="s">
        <v>238</v>
      </c>
      <c r="I32" s="403"/>
      <c r="J32" s="404">
        <v>11</v>
      </c>
      <c r="K32" s="401">
        <v>6000</v>
      </c>
      <c r="L32" s="401">
        <v>4000</v>
      </c>
      <c r="M32" s="405">
        <v>0.7</v>
      </c>
      <c r="N32" s="401">
        <v>2500</v>
      </c>
      <c r="O32" s="402" t="s">
        <v>238</v>
      </c>
      <c r="P32" s="403"/>
      <c r="Q32" s="406" t="s">
        <v>237</v>
      </c>
    </row>
    <row r="33" spans="1:17" ht="12" customHeight="1" x14ac:dyDescent="0.25">
      <c r="A33" s="477">
        <v>39096</v>
      </c>
      <c r="B33" s="384"/>
      <c r="C33" s="399">
        <v>10.6</v>
      </c>
      <c r="D33" s="400">
        <v>2550</v>
      </c>
      <c r="E33" s="401">
        <v>1700</v>
      </c>
      <c r="F33" s="399">
        <v>0.7</v>
      </c>
      <c r="G33" s="401">
        <v>1000</v>
      </c>
      <c r="H33" s="402" t="s">
        <v>238</v>
      </c>
      <c r="I33" s="403"/>
      <c r="J33" s="404">
        <v>11</v>
      </c>
      <c r="K33" s="401">
        <v>5250</v>
      </c>
      <c r="L33" s="401">
        <v>3500</v>
      </c>
      <c r="M33" s="405">
        <v>0.7</v>
      </c>
      <c r="N33" s="401">
        <v>2500</v>
      </c>
      <c r="O33" s="402" t="s">
        <v>238</v>
      </c>
      <c r="P33" s="403"/>
      <c r="Q33" s="406" t="s">
        <v>237</v>
      </c>
    </row>
    <row r="34" spans="1:17" ht="12" customHeight="1" x14ac:dyDescent="0.25">
      <c r="A34" s="477">
        <v>39124</v>
      </c>
      <c r="B34" s="384"/>
      <c r="C34" s="399">
        <v>10.8</v>
      </c>
      <c r="D34" s="400">
        <v>3300</v>
      </c>
      <c r="E34" s="401">
        <v>4500</v>
      </c>
      <c r="F34" s="399">
        <v>0.6</v>
      </c>
      <c r="G34" s="401">
        <v>2000</v>
      </c>
      <c r="H34" s="402" t="s">
        <v>238</v>
      </c>
      <c r="I34" s="403"/>
      <c r="J34" s="404">
        <v>11</v>
      </c>
      <c r="K34" s="401">
        <v>6750</v>
      </c>
      <c r="L34" s="401">
        <v>4500</v>
      </c>
      <c r="M34" s="405">
        <v>0.6</v>
      </c>
      <c r="N34" s="401">
        <v>2000</v>
      </c>
      <c r="O34" s="402" t="s">
        <v>238</v>
      </c>
      <c r="P34" s="403"/>
      <c r="Q34" s="406" t="s">
        <v>237</v>
      </c>
    </row>
    <row r="35" spans="1:17" ht="12" customHeight="1" x14ac:dyDescent="0.25">
      <c r="A35" s="477">
        <v>39145</v>
      </c>
      <c r="B35" s="384"/>
      <c r="C35" s="399">
        <v>10.9</v>
      </c>
      <c r="D35" s="400">
        <v>2700</v>
      </c>
      <c r="E35" s="401">
        <v>1800</v>
      </c>
      <c r="F35" s="399">
        <v>0.7</v>
      </c>
      <c r="G35" s="401">
        <v>600</v>
      </c>
      <c r="H35" s="402" t="s">
        <v>238</v>
      </c>
      <c r="I35" s="403"/>
      <c r="J35" s="404">
        <v>11</v>
      </c>
      <c r="K35" s="401">
        <v>5250</v>
      </c>
      <c r="L35" s="401">
        <v>3500</v>
      </c>
      <c r="M35" s="405">
        <v>0.7</v>
      </c>
      <c r="N35" s="401">
        <v>1800</v>
      </c>
      <c r="O35" s="402" t="s">
        <v>238</v>
      </c>
      <c r="P35" s="403"/>
      <c r="Q35" s="406" t="s">
        <v>237</v>
      </c>
    </row>
    <row r="36" spans="1:17" ht="12" customHeight="1" x14ac:dyDescent="0.25">
      <c r="A36" s="477">
        <v>39166</v>
      </c>
      <c r="B36" s="384"/>
      <c r="C36" s="399">
        <v>10.8</v>
      </c>
      <c r="D36" s="400">
        <v>2400</v>
      </c>
      <c r="E36" s="401">
        <v>1600</v>
      </c>
      <c r="F36" s="399">
        <v>0.6</v>
      </c>
      <c r="G36" s="401">
        <v>600</v>
      </c>
      <c r="H36" s="402" t="s">
        <v>238</v>
      </c>
      <c r="I36" s="403"/>
      <c r="J36" s="404">
        <v>10.3</v>
      </c>
      <c r="K36" s="401">
        <v>4200</v>
      </c>
      <c r="L36" s="401">
        <v>2800</v>
      </c>
      <c r="M36" s="405">
        <v>0.4</v>
      </c>
      <c r="N36" s="401">
        <v>1500</v>
      </c>
      <c r="O36" s="402" t="s">
        <v>238</v>
      </c>
      <c r="P36" s="403"/>
      <c r="Q36" s="406" t="s">
        <v>237</v>
      </c>
    </row>
    <row r="37" spans="1:17" ht="12" customHeight="1" x14ac:dyDescent="0.25">
      <c r="A37" s="477">
        <v>39180</v>
      </c>
      <c r="B37" s="384"/>
      <c r="C37" s="399">
        <v>10.8</v>
      </c>
      <c r="D37" s="400">
        <v>2700</v>
      </c>
      <c r="E37" s="401">
        <v>1800</v>
      </c>
      <c r="F37" s="399">
        <v>0.7</v>
      </c>
      <c r="G37" s="401">
        <v>600</v>
      </c>
      <c r="H37" s="402" t="s">
        <v>238</v>
      </c>
      <c r="I37" s="403"/>
      <c r="J37" s="404">
        <v>10.9</v>
      </c>
      <c r="K37" s="401">
        <v>5250</v>
      </c>
      <c r="L37" s="401">
        <v>3500</v>
      </c>
      <c r="M37" s="405">
        <v>0.6</v>
      </c>
      <c r="N37" s="401">
        <v>1800</v>
      </c>
      <c r="O37" s="402" t="s">
        <v>238</v>
      </c>
      <c r="P37" s="403"/>
      <c r="Q37" s="406" t="s">
        <v>237</v>
      </c>
    </row>
    <row r="38" spans="1:17" ht="12" customHeight="1" x14ac:dyDescent="0.25">
      <c r="A38" s="477">
        <v>39201</v>
      </c>
      <c r="B38" s="384"/>
      <c r="C38" s="399">
        <v>10.7</v>
      </c>
      <c r="D38" s="400">
        <v>2250</v>
      </c>
      <c r="E38" s="401">
        <v>1700</v>
      </c>
      <c r="F38" s="399">
        <v>0.7</v>
      </c>
      <c r="G38" s="401"/>
      <c r="H38" s="402">
        <v>8.1999999999999993</v>
      </c>
      <c r="I38" s="403"/>
      <c r="J38" s="404">
        <v>370</v>
      </c>
      <c r="K38" s="401">
        <v>4500</v>
      </c>
      <c r="L38" s="401">
        <v>1.2</v>
      </c>
      <c r="M38" s="405">
        <v>26</v>
      </c>
      <c r="N38" s="401">
        <v>496</v>
      </c>
      <c r="O38" s="402"/>
      <c r="P38" s="403"/>
      <c r="Q38" s="406" t="s">
        <v>237</v>
      </c>
    </row>
    <row r="39" spans="1:17" ht="12" customHeight="1" x14ac:dyDescent="0.25">
      <c r="A39" s="477">
        <v>39235</v>
      </c>
      <c r="B39" s="384"/>
      <c r="C39" s="399">
        <v>10.3</v>
      </c>
      <c r="D39" s="400">
        <v>3000</v>
      </c>
      <c r="E39" s="401">
        <v>2000</v>
      </c>
      <c r="F39" s="399">
        <v>0.7</v>
      </c>
      <c r="G39" s="401">
        <v>1000</v>
      </c>
      <c r="H39" s="402" t="s">
        <v>239</v>
      </c>
      <c r="I39" s="403"/>
      <c r="J39" s="399">
        <v>11</v>
      </c>
      <c r="K39" s="400">
        <v>5250</v>
      </c>
      <c r="L39" s="401">
        <v>3500</v>
      </c>
      <c r="M39" s="399">
        <v>0.7</v>
      </c>
      <c r="N39" s="401">
        <v>1500</v>
      </c>
      <c r="O39" s="402" t="s">
        <v>239</v>
      </c>
      <c r="P39" s="403"/>
      <c r="Q39" s="406" t="s">
        <v>237</v>
      </c>
    </row>
    <row r="40" spans="1:17" ht="12" customHeight="1" x14ac:dyDescent="0.25">
      <c r="A40" s="477">
        <v>39250</v>
      </c>
      <c r="B40" s="384"/>
      <c r="C40" s="399">
        <v>10.5</v>
      </c>
      <c r="D40" s="400">
        <v>3000</v>
      </c>
      <c r="E40" s="401">
        <v>2000</v>
      </c>
      <c r="F40" s="399">
        <v>0.6</v>
      </c>
      <c r="G40" s="401">
        <v>800</v>
      </c>
      <c r="H40" s="402" t="s">
        <v>239</v>
      </c>
      <c r="I40" s="403"/>
      <c r="J40" s="404">
        <v>11</v>
      </c>
      <c r="K40" s="401">
        <v>4500</v>
      </c>
      <c r="L40" s="401">
        <v>3000</v>
      </c>
      <c r="M40" s="405">
        <v>0.6</v>
      </c>
      <c r="N40" s="401">
        <v>1500</v>
      </c>
      <c r="O40" s="402" t="s">
        <v>239</v>
      </c>
      <c r="P40" s="403"/>
      <c r="Q40" s="406" t="s">
        <v>237</v>
      </c>
    </row>
    <row r="41" spans="1:17" ht="12" customHeight="1" x14ac:dyDescent="0.25">
      <c r="A41" s="477">
        <v>39264</v>
      </c>
      <c r="B41" s="384"/>
      <c r="C41" s="399">
        <v>10.5</v>
      </c>
      <c r="D41" s="400">
        <v>3000</v>
      </c>
      <c r="E41" s="401">
        <v>2000</v>
      </c>
      <c r="F41" s="399">
        <v>0.6</v>
      </c>
      <c r="G41" s="401">
        <v>1000</v>
      </c>
      <c r="H41" s="402"/>
      <c r="I41" s="403"/>
      <c r="J41" s="404">
        <v>10.6</v>
      </c>
      <c r="K41" s="401">
        <v>2700</v>
      </c>
      <c r="L41" s="401">
        <v>1800</v>
      </c>
      <c r="M41" s="405">
        <v>0.6</v>
      </c>
      <c r="N41" s="401">
        <v>800</v>
      </c>
      <c r="O41" s="402"/>
      <c r="P41" s="403"/>
      <c r="Q41" s="406" t="s">
        <v>237</v>
      </c>
    </row>
    <row r="42" spans="1:17" ht="12" customHeight="1" x14ac:dyDescent="0.25">
      <c r="A42" s="477">
        <v>39292</v>
      </c>
      <c r="B42" s="384"/>
      <c r="C42" s="399">
        <v>10.7</v>
      </c>
      <c r="D42" s="400">
        <v>2700</v>
      </c>
      <c r="E42" s="401">
        <v>1800</v>
      </c>
      <c r="F42" s="399">
        <v>0.6</v>
      </c>
      <c r="G42" s="401">
        <v>600</v>
      </c>
      <c r="H42" s="402" t="s">
        <v>239</v>
      </c>
      <c r="I42" s="403"/>
      <c r="J42" s="404">
        <v>10.5</v>
      </c>
      <c r="K42" s="401">
        <v>2550</v>
      </c>
      <c r="L42" s="401">
        <v>1700</v>
      </c>
      <c r="M42" s="405">
        <v>0.6</v>
      </c>
      <c r="N42" s="401">
        <v>400</v>
      </c>
      <c r="O42" s="402" t="s">
        <v>239</v>
      </c>
      <c r="P42" s="403"/>
      <c r="Q42" s="406" t="s">
        <v>237</v>
      </c>
    </row>
    <row r="43" spans="1:17" ht="12" customHeight="1" x14ac:dyDescent="0.25">
      <c r="A43" s="477">
        <v>39299</v>
      </c>
      <c r="B43" s="384"/>
      <c r="C43" s="399">
        <v>10.5</v>
      </c>
      <c r="D43" s="400">
        <v>3000</v>
      </c>
      <c r="E43" s="401">
        <v>2000</v>
      </c>
      <c r="F43" s="399">
        <v>0.6</v>
      </c>
      <c r="G43" s="401">
        <v>1000</v>
      </c>
      <c r="H43" s="402"/>
      <c r="I43" s="403"/>
      <c r="J43" s="404">
        <v>10.6</v>
      </c>
      <c r="K43" s="401">
        <v>7500</v>
      </c>
      <c r="L43" s="401">
        <v>5000</v>
      </c>
      <c r="M43" s="405">
        <v>0.6</v>
      </c>
      <c r="N43" s="401">
        <v>3000</v>
      </c>
      <c r="O43" s="402"/>
      <c r="P43" s="403"/>
      <c r="Q43" s="406" t="s">
        <v>237</v>
      </c>
    </row>
    <row r="44" spans="1:17" ht="12" customHeight="1" x14ac:dyDescent="0.25">
      <c r="A44" s="477">
        <v>39327</v>
      </c>
      <c r="B44" s="384"/>
      <c r="C44" s="399">
        <v>10.199999999999999</v>
      </c>
      <c r="D44" s="400">
        <v>3750</v>
      </c>
      <c r="E44" s="401">
        <v>2500</v>
      </c>
      <c r="F44" s="399">
        <v>0.6</v>
      </c>
      <c r="G44" s="401">
        <v>2000</v>
      </c>
      <c r="H44" s="402" t="s">
        <v>238</v>
      </c>
      <c r="I44" s="403"/>
      <c r="J44" s="404">
        <v>10.7</v>
      </c>
      <c r="K44" s="401">
        <v>6000</v>
      </c>
      <c r="L44" s="401">
        <v>4000</v>
      </c>
      <c r="M44" s="405">
        <v>0.6</v>
      </c>
      <c r="N44" s="401">
        <v>3000</v>
      </c>
      <c r="O44" s="402" t="s">
        <v>238</v>
      </c>
      <c r="P44" s="403"/>
      <c r="Q44" s="406" t="s">
        <v>237</v>
      </c>
    </row>
    <row r="45" spans="1:17" ht="12" customHeight="1" x14ac:dyDescent="0.25">
      <c r="A45" s="477">
        <v>39334</v>
      </c>
      <c r="B45" s="384"/>
      <c r="C45" s="399">
        <v>10.199999999999999</v>
      </c>
      <c r="D45" s="400">
        <v>3750</v>
      </c>
      <c r="E45" s="401">
        <v>2500</v>
      </c>
      <c r="F45" s="399">
        <v>0.6</v>
      </c>
      <c r="G45" s="401">
        <v>2000</v>
      </c>
      <c r="H45" s="402" t="s">
        <v>238</v>
      </c>
      <c r="I45" s="403"/>
      <c r="J45" s="404">
        <v>10.7</v>
      </c>
      <c r="K45" s="401">
        <v>6000</v>
      </c>
      <c r="L45" s="401">
        <v>4000</v>
      </c>
      <c r="M45" s="405">
        <v>0.6</v>
      </c>
      <c r="N45" s="401">
        <v>3000</v>
      </c>
      <c r="O45" s="402" t="s">
        <v>238</v>
      </c>
      <c r="P45" s="403"/>
      <c r="Q45" s="406" t="s">
        <v>237</v>
      </c>
    </row>
    <row r="46" spans="1:17" ht="12" customHeight="1" x14ac:dyDescent="0.25">
      <c r="A46" s="477">
        <v>39369</v>
      </c>
      <c r="B46" s="384"/>
      <c r="C46" s="399">
        <v>10.3</v>
      </c>
      <c r="D46" s="400">
        <v>3750</v>
      </c>
      <c r="E46" s="401">
        <v>2500</v>
      </c>
      <c r="F46" s="399">
        <v>0.6</v>
      </c>
      <c r="G46" s="401">
        <v>2000</v>
      </c>
      <c r="H46" s="402" t="s">
        <v>238</v>
      </c>
      <c r="I46" s="403"/>
      <c r="J46" s="404">
        <v>10.8</v>
      </c>
      <c r="K46" s="401">
        <v>4500</v>
      </c>
      <c r="L46" s="401">
        <v>3000</v>
      </c>
      <c r="M46" s="405">
        <v>0.6</v>
      </c>
      <c r="N46" s="401">
        <v>2500</v>
      </c>
      <c r="O46" s="402" t="s">
        <v>238</v>
      </c>
      <c r="P46" s="403"/>
      <c r="Q46" s="406" t="s">
        <v>237</v>
      </c>
    </row>
    <row r="47" spans="1:17" ht="12" customHeight="1" x14ac:dyDescent="0.25">
      <c r="A47" s="477">
        <v>39390</v>
      </c>
      <c r="B47" s="384"/>
      <c r="C47" s="399">
        <v>10.5</v>
      </c>
      <c r="D47" s="400">
        <v>3000</v>
      </c>
      <c r="E47" s="401">
        <v>2000</v>
      </c>
      <c r="F47" s="399">
        <v>0.5</v>
      </c>
      <c r="G47" s="401">
        <v>1000</v>
      </c>
      <c r="H47" s="402" t="s">
        <v>238</v>
      </c>
      <c r="I47" s="403"/>
      <c r="J47" s="404">
        <v>10.7</v>
      </c>
      <c r="K47" s="401">
        <v>3750</v>
      </c>
      <c r="L47" s="401">
        <v>2500</v>
      </c>
      <c r="M47" s="405">
        <v>0.5</v>
      </c>
      <c r="N47" s="401">
        <v>2000</v>
      </c>
      <c r="O47" s="402" t="s">
        <v>238</v>
      </c>
      <c r="P47" s="403"/>
      <c r="Q47" s="406" t="s">
        <v>237</v>
      </c>
    </row>
    <row r="48" spans="1:17" ht="12" customHeight="1" x14ac:dyDescent="0.25">
      <c r="A48" s="477">
        <v>39411</v>
      </c>
      <c r="B48" s="384"/>
      <c r="C48" s="399">
        <v>11</v>
      </c>
      <c r="D48" s="400">
        <v>3000</v>
      </c>
      <c r="E48" s="401">
        <v>2000</v>
      </c>
      <c r="F48" s="399">
        <v>0.5</v>
      </c>
      <c r="G48" s="401">
        <v>1000</v>
      </c>
      <c r="H48" s="402"/>
      <c r="I48" s="403"/>
      <c r="J48" s="399">
        <v>11</v>
      </c>
      <c r="K48" s="400">
        <v>3750</v>
      </c>
      <c r="L48" s="401">
        <v>2500</v>
      </c>
      <c r="M48" s="399">
        <v>0.5</v>
      </c>
      <c r="N48" s="401">
        <v>2000</v>
      </c>
      <c r="O48" s="402"/>
      <c r="P48" s="403"/>
      <c r="Q48" s="406" t="s">
        <v>237</v>
      </c>
    </row>
    <row r="49" spans="1:17" ht="12" customHeight="1" x14ac:dyDescent="0.25">
      <c r="A49" s="477">
        <v>39425</v>
      </c>
      <c r="B49" s="384"/>
      <c r="C49" s="399">
        <v>10.5</v>
      </c>
      <c r="D49" s="400">
        <v>3000</v>
      </c>
      <c r="E49" s="401">
        <v>2000</v>
      </c>
      <c r="F49" s="399">
        <v>0.5</v>
      </c>
      <c r="G49" s="401">
        <v>1000</v>
      </c>
      <c r="H49" s="402"/>
      <c r="I49" s="403"/>
      <c r="J49" s="404">
        <v>10.5</v>
      </c>
      <c r="K49" s="401">
        <v>4500</v>
      </c>
      <c r="L49" s="401">
        <v>3000</v>
      </c>
      <c r="M49" s="405">
        <v>0.5</v>
      </c>
      <c r="N49" s="401">
        <v>2000</v>
      </c>
      <c r="O49" s="402"/>
      <c r="P49" s="403"/>
      <c r="Q49" s="406" t="s">
        <v>237</v>
      </c>
    </row>
    <row r="50" spans="1:17" ht="12" customHeight="1" x14ac:dyDescent="0.25">
      <c r="A50" s="477">
        <v>39460</v>
      </c>
      <c r="B50" s="384"/>
      <c r="C50" s="399">
        <v>10</v>
      </c>
      <c r="D50" s="400">
        <v>3750</v>
      </c>
      <c r="E50" s="401">
        <v>2500</v>
      </c>
      <c r="F50" s="399">
        <v>0.5</v>
      </c>
      <c r="G50" s="401">
        <v>2000</v>
      </c>
      <c r="H50" s="402"/>
      <c r="I50" s="403"/>
      <c r="J50" s="404">
        <v>9.8000000000000007</v>
      </c>
      <c r="K50" s="401">
        <v>3750</v>
      </c>
      <c r="L50" s="401">
        <v>2500</v>
      </c>
      <c r="M50" s="405">
        <v>0.5</v>
      </c>
      <c r="N50" s="401">
        <v>2000</v>
      </c>
      <c r="O50" s="402"/>
      <c r="P50" s="403"/>
      <c r="Q50" s="406" t="s">
        <v>237</v>
      </c>
    </row>
    <row r="51" spans="1:17" ht="12" customHeight="1" x14ac:dyDescent="0.25">
      <c r="A51" s="477">
        <v>39474</v>
      </c>
      <c r="B51" s="384"/>
      <c r="C51" s="399">
        <v>10.199999999999999</v>
      </c>
      <c r="D51" s="400">
        <v>3750</v>
      </c>
      <c r="E51" s="401">
        <v>2500</v>
      </c>
      <c r="F51" s="399">
        <v>0.5</v>
      </c>
      <c r="G51" s="401">
        <v>2000</v>
      </c>
      <c r="H51" s="402"/>
      <c r="I51" s="403"/>
      <c r="J51" s="399">
        <v>10.199999999999999</v>
      </c>
      <c r="K51" s="400">
        <v>3750</v>
      </c>
      <c r="L51" s="401">
        <v>2500</v>
      </c>
      <c r="M51" s="399">
        <v>0.5</v>
      </c>
      <c r="N51" s="401">
        <v>2000</v>
      </c>
      <c r="O51" s="402"/>
      <c r="P51" s="403"/>
      <c r="Q51" s="406" t="s">
        <v>237</v>
      </c>
    </row>
    <row r="52" spans="1:17" ht="12" customHeight="1" x14ac:dyDescent="0.25">
      <c r="A52" s="477">
        <v>39488</v>
      </c>
      <c r="B52" s="384"/>
      <c r="C52" s="399">
        <v>10</v>
      </c>
      <c r="D52" s="400">
        <v>3750</v>
      </c>
      <c r="E52" s="401">
        <v>2500</v>
      </c>
      <c r="F52" s="399">
        <v>0.5</v>
      </c>
      <c r="G52" s="401">
        <v>2000</v>
      </c>
      <c r="H52" s="402"/>
      <c r="I52" s="403"/>
      <c r="J52" s="404">
        <v>9.6999999999999993</v>
      </c>
      <c r="K52" s="401">
        <v>3225</v>
      </c>
      <c r="L52" s="401">
        <v>2150</v>
      </c>
      <c r="M52" s="405">
        <v>0.5</v>
      </c>
      <c r="N52" s="401">
        <v>1500</v>
      </c>
      <c r="O52" s="402"/>
      <c r="P52" s="403"/>
      <c r="Q52" s="406" t="s">
        <v>237</v>
      </c>
    </row>
    <row r="53" spans="1:17" ht="12" customHeight="1" x14ac:dyDescent="0.25">
      <c r="A53" s="477">
        <v>39537</v>
      </c>
      <c r="B53" s="384"/>
      <c r="C53" s="399">
        <v>10.8</v>
      </c>
      <c r="D53" s="400">
        <v>2250</v>
      </c>
      <c r="E53" s="401">
        <v>1500</v>
      </c>
      <c r="F53" s="399">
        <v>0.5</v>
      </c>
      <c r="G53" s="401">
        <v>1000</v>
      </c>
      <c r="H53" s="402"/>
      <c r="I53" s="403"/>
      <c r="J53" s="404">
        <v>11</v>
      </c>
      <c r="K53" s="401">
        <v>3750</v>
      </c>
      <c r="L53" s="401">
        <v>2500</v>
      </c>
      <c r="M53" s="405">
        <v>0.5</v>
      </c>
      <c r="N53" s="401">
        <v>1500</v>
      </c>
      <c r="O53" s="402"/>
      <c r="P53" s="403"/>
      <c r="Q53" s="406" t="s">
        <v>237</v>
      </c>
    </row>
    <row r="54" spans="1:17" ht="12" customHeight="1" x14ac:dyDescent="0.25">
      <c r="A54" s="477">
        <v>39544</v>
      </c>
      <c r="B54" s="384"/>
      <c r="C54" s="399">
        <v>10</v>
      </c>
      <c r="D54" s="400">
        <v>4500</v>
      </c>
      <c r="E54" s="401">
        <v>3000</v>
      </c>
      <c r="F54" s="399">
        <v>0.5</v>
      </c>
      <c r="G54" s="401">
        <v>1500</v>
      </c>
      <c r="H54" s="402"/>
      <c r="I54" s="403"/>
      <c r="J54" s="404">
        <v>9.6999999999999993</v>
      </c>
      <c r="K54" s="401">
        <v>3000</v>
      </c>
      <c r="L54" s="401">
        <v>2000</v>
      </c>
      <c r="M54" s="405">
        <v>0.5</v>
      </c>
      <c r="N54" s="401">
        <v>1000</v>
      </c>
      <c r="O54" s="402"/>
      <c r="P54" s="403"/>
      <c r="Q54" s="406" t="s">
        <v>237</v>
      </c>
    </row>
    <row r="55" spans="1:17" ht="12" customHeight="1" x14ac:dyDescent="0.25">
      <c r="A55" s="477">
        <v>39562</v>
      </c>
      <c r="B55" s="384"/>
      <c r="C55" s="399">
        <v>10.6</v>
      </c>
      <c r="D55" s="400">
        <v>2250</v>
      </c>
      <c r="E55" s="401">
        <v>1500</v>
      </c>
      <c r="F55" s="399">
        <v>0.7</v>
      </c>
      <c r="G55" s="401">
        <v>600</v>
      </c>
      <c r="H55" s="402"/>
      <c r="I55" s="403"/>
      <c r="J55" s="404">
        <v>11</v>
      </c>
      <c r="K55" s="401">
        <v>3600</v>
      </c>
      <c r="L55" s="401">
        <v>2400</v>
      </c>
      <c r="M55" s="405">
        <v>1</v>
      </c>
      <c r="N55" s="401">
        <v>1000</v>
      </c>
      <c r="O55" s="402"/>
      <c r="P55" s="403"/>
      <c r="Q55" s="406" t="s">
        <v>237</v>
      </c>
    </row>
    <row r="56" spans="1:17" ht="12" customHeight="1" x14ac:dyDescent="0.25">
      <c r="A56" s="477">
        <v>39564</v>
      </c>
      <c r="B56" s="384"/>
      <c r="C56" s="399">
        <v>10.6</v>
      </c>
      <c r="D56" s="400">
        <v>2250</v>
      </c>
      <c r="E56" s="401">
        <v>1500</v>
      </c>
      <c r="F56" s="399">
        <v>0.7</v>
      </c>
      <c r="G56" s="401">
        <v>600</v>
      </c>
      <c r="H56" s="402"/>
      <c r="I56" s="403"/>
      <c r="J56" s="404">
        <v>11</v>
      </c>
      <c r="K56" s="401">
        <v>3600</v>
      </c>
      <c r="L56" s="401">
        <v>2400</v>
      </c>
      <c r="M56" s="405">
        <v>1</v>
      </c>
      <c r="N56" s="401">
        <v>1000</v>
      </c>
      <c r="O56" s="402"/>
      <c r="P56" s="403"/>
      <c r="Q56" s="406" t="s">
        <v>237</v>
      </c>
    </row>
    <row r="57" spans="1:17" ht="12" customHeight="1" x14ac:dyDescent="0.25">
      <c r="A57" s="477">
        <v>39578</v>
      </c>
      <c r="B57" s="384"/>
      <c r="C57" s="399">
        <v>10.9</v>
      </c>
      <c r="D57" s="400">
        <v>2250</v>
      </c>
      <c r="E57" s="401">
        <v>1500</v>
      </c>
      <c r="F57" s="399">
        <v>0.6</v>
      </c>
      <c r="G57" s="401">
        <v>600</v>
      </c>
      <c r="H57" s="402"/>
      <c r="I57" s="403"/>
      <c r="J57" s="404">
        <v>11.3</v>
      </c>
      <c r="K57" s="401">
        <v>3600</v>
      </c>
      <c r="L57" s="401">
        <v>2400</v>
      </c>
      <c r="M57" s="405">
        <v>0.7</v>
      </c>
      <c r="N57" s="401">
        <v>1000</v>
      </c>
      <c r="O57" s="402"/>
      <c r="P57" s="403"/>
      <c r="Q57" s="406" t="s">
        <v>237</v>
      </c>
    </row>
    <row r="58" spans="1:17" ht="12" customHeight="1" x14ac:dyDescent="0.25">
      <c r="A58" s="477">
        <v>39589</v>
      </c>
      <c r="B58" s="384"/>
      <c r="C58" s="399">
        <v>11</v>
      </c>
      <c r="D58" s="400">
        <v>2600</v>
      </c>
      <c r="E58" s="401">
        <v>1400</v>
      </c>
      <c r="F58" s="399">
        <v>0.5</v>
      </c>
      <c r="G58" s="401">
        <v>600</v>
      </c>
      <c r="H58" s="402" t="s">
        <v>239</v>
      </c>
      <c r="I58" s="403"/>
      <c r="J58" s="404">
        <v>11</v>
      </c>
      <c r="K58" s="401">
        <v>3750</v>
      </c>
      <c r="L58" s="401">
        <v>2500</v>
      </c>
      <c r="M58" s="405">
        <v>0.5</v>
      </c>
      <c r="N58" s="401">
        <v>1000</v>
      </c>
      <c r="O58" s="402" t="s">
        <v>239</v>
      </c>
      <c r="P58" s="403"/>
      <c r="Q58" s="406" t="s">
        <v>237</v>
      </c>
    </row>
    <row r="59" spans="1:17" ht="12" customHeight="1" x14ac:dyDescent="0.25">
      <c r="A59" s="477">
        <v>39610</v>
      </c>
      <c r="B59" s="384"/>
      <c r="C59" s="399">
        <v>10</v>
      </c>
      <c r="D59" s="400">
        <v>3750</v>
      </c>
      <c r="E59" s="401">
        <v>2500</v>
      </c>
      <c r="F59" s="399">
        <v>0.5</v>
      </c>
      <c r="G59" s="401">
        <v>1000</v>
      </c>
      <c r="H59" s="402" t="s">
        <v>238</v>
      </c>
      <c r="I59" s="403"/>
      <c r="J59" s="404">
        <v>10</v>
      </c>
      <c r="K59" s="401">
        <v>7500</v>
      </c>
      <c r="L59" s="401">
        <v>5000</v>
      </c>
      <c r="M59" s="405">
        <v>0.5</v>
      </c>
      <c r="N59" s="401">
        <v>2000</v>
      </c>
      <c r="O59" s="402" t="s">
        <v>238</v>
      </c>
      <c r="P59" s="403"/>
      <c r="Q59" s="406" t="s">
        <v>237</v>
      </c>
    </row>
    <row r="60" spans="1:17" ht="12" customHeight="1" x14ac:dyDescent="0.25">
      <c r="A60" s="477">
        <v>39627</v>
      </c>
      <c r="B60" s="384"/>
      <c r="C60" s="399">
        <v>10.7</v>
      </c>
      <c r="D60" s="400">
        <v>3750</v>
      </c>
      <c r="E60" s="401">
        <v>2500</v>
      </c>
      <c r="F60" s="399">
        <v>0.7</v>
      </c>
      <c r="G60" s="401">
        <v>1000</v>
      </c>
      <c r="H60" s="402"/>
      <c r="I60" s="403"/>
      <c r="J60" s="404">
        <v>10.9</v>
      </c>
      <c r="K60" s="401">
        <v>6450</v>
      </c>
      <c r="L60" s="401">
        <v>4300</v>
      </c>
      <c r="M60" s="405">
        <v>0.7</v>
      </c>
      <c r="N60" s="401">
        <v>2000</v>
      </c>
      <c r="O60" s="402"/>
      <c r="P60" s="403"/>
      <c r="Q60" s="406" t="s">
        <v>237</v>
      </c>
    </row>
    <row r="61" spans="1:17" ht="12" customHeight="1" x14ac:dyDescent="0.25">
      <c r="A61" s="477">
        <v>39637</v>
      </c>
      <c r="B61" s="384"/>
      <c r="C61" s="399">
        <v>10.4</v>
      </c>
      <c r="D61" s="400">
        <v>4200</v>
      </c>
      <c r="E61" s="401">
        <v>2800</v>
      </c>
      <c r="F61" s="399">
        <v>0.3</v>
      </c>
      <c r="G61" s="401">
        <v>1200</v>
      </c>
      <c r="H61" s="402"/>
      <c r="I61" s="403"/>
      <c r="J61" s="404">
        <v>10.199999999999999</v>
      </c>
      <c r="K61" s="401">
        <v>3750</v>
      </c>
      <c r="L61" s="401">
        <v>2500</v>
      </c>
      <c r="M61" s="405">
        <v>0.3</v>
      </c>
      <c r="N61" s="401">
        <v>1200</v>
      </c>
      <c r="O61" s="402"/>
      <c r="P61" s="403"/>
      <c r="Q61" s="406" t="s">
        <v>237</v>
      </c>
    </row>
    <row r="62" spans="1:17" ht="12" customHeight="1" x14ac:dyDescent="0.25">
      <c r="A62" s="477">
        <v>39662</v>
      </c>
      <c r="B62" s="384"/>
      <c r="C62" s="399">
        <v>10.6</v>
      </c>
      <c r="D62" s="400">
        <v>3450</v>
      </c>
      <c r="E62" s="401">
        <v>2300</v>
      </c>
      <c r="F62" s="399">
        <v>0.7</v>
      </c>
      <c r="G62" s="401">
        <v>1000</v>
      </c>
      <c r="H62" s="402"/>
      <c r="I62" s="403"/>
      <c r="J62" s="404">
        <v>10.7</v>
      </c>
      <c r="K62" s="401">
        <v>5700</v>
      </c>
      <c r="L62" s="401">
        <v>3800</v>
      </c>
      <c r="M62" s="405">
        <v>0.7</v>
      </c>
      <c r="N62" s="401">
        <v>1600</v>
      </c>
      <c r="O62" s="402"/>
      <c r="P62" s="403"/>
      <c r="Q62" s="406" t="s">
        <v>237</v>
      </c>
    </row>
    <row r="63" spans="1:17" ht="12" customHeight="1" x14ac:dyDescent="0.25">
      <c r="A63" s="477">
        <v>39690</v>
      </c>
      <c r="B63" s="384"/>
      <c r="C63" s="399">
        <v>10.7</v>
      </c>
      <c r="D63" s="400">
        <v>3600</v>
      </c>
      <c r="E63" s="401">
        <v>2400</v>
      </c>
      <c r="F63" s="399">
        <v>0.5</v>
      </c>
      <c r="G63" s="401">
        <v>1000</v>
      </c>
      <c r="H63" s="402"/>
      <c r="I63" s="403"/>
      <c r="J63" s="404">
        <v>10.6</v>
      </c>
      <c r="K63" s="401">
        <v>5400</v>
      </c>
      <c r="L63" s="401">
        <v>3600</v>
      </c>
      <c r="M63" s="405">
        <v>0.7</v>
      </c>
      <c r="N63" s="401">
        <v>1500</v>
      </c>
      <c r="O63" s="402"/>
      <c r="P63" s="403"/>
      <c r="Q63" s="406" t="s">
        <v>237</v>
      </c>
    </row>
    <row r="64" spans="1:17" ht="12" customHeight="1" x14ac:dyDescent="0.25">
      <c r="A64" s="477">
        <v>39711</v>
      </c>
      <c r="B64" s="384"/>
      <c r="C64" s="399">
        <v>10.4</v>
      </c>
      <c r="D64" s="400"/>
      <c r="E64" s="401">
        <v>2300</v>
      </c>
      <c r="F64" s="399">
        <v>0.5</v>
      </c>
      <c r="G64" s="401">
        <v>1000</v>
      </c>
      <c r="H64" s="402"/>
      <c r="I64" s="403"/>
      <c r="J64" s="404">
        <v>10.8</v>
      </c>
      <c r="K64" s="401"/>
      <c r="L64" s="401">
        <v>3400</v>
      </c>
      <c r="M64" s="405">
        <v>0.5</v>
      </c>
      <c r="N64" s="401">
        <v>1300</v>
      </c>
      <c r="O64" s="402"/>
      <c r="P64" s="403"/>
      <c r="Q64" s="406" t="s">
        <v>237</v>
      </c>
    </row>
    <row r="65" spans="1:17" ht="12" customHeight="1" x14ac:dyDescent="0.25">
      <c r="A65" s="477">
        <v>39739</v>
      </c>
      <c r="B65" s="384"/>
      <c r="C65" s="399">
        <v>11</v>
      </c>
      <c r="D65" s="400">
        <v>3600</v>
      </c>
      <c r="E65" s="401">
        <v>2400</v>
      </c>
      <c r="F65" s="399">
        <v>0.5</v>
      </c>
      <c r="G65" s="401">
        <v>1000</v>
      </c>
      <c r="H65" s="402"/>
      <c r="I65" s="403"/>
      <c r="J65" s="404">
        <v>11</v>
      </c>
      <c r="K65" s="401">
        <v>4950</v>
      </c>
      <c r="L65" s="401">
        <v>3300</v>
      </c>
      <c r="M65" s="405">
        <v>0.7</v>
      </c>
      <c r="N65" s="401">
        <v>1300</v>
      </c>
      <c r="O65" s="402"/>
      <c r="P65" s="403"/>
      <c r="Q65" s="406" t="s">
        <v>237</v>
      </c>
    </row>
    <row r="66" spans="1:17" ht="12" customHeight="1" x14ac:dyDescent="0.25">
      <c r="A66" s="477">
        <v>39781</v>
      </c>
      <c r="B66" s="384"/>
      <c r="C66" s="399">
        <v>10.6</v>
      </c>
      <c r="D66" s="400">
        <v>3600</v>
      </c>
      <c r="E66" s="401">
        <v>2400</v>
      </c>
      <c r="F66" s="399">
        <v>0.5</v>
      </c>
      <c r="G66" s="401">
        <v>1000</v>
      </c>
      <c r="H66" s="402"/>
      <c r="I66" s="403"/>
      <c r="J66" s="404">
        <v>10.8</v>
      </c>
      <c r="K66" s="401">
        <v>4500</v>
      </c>
      <c r="L66" s="401">
        <v>300</v>
      </c>
      <c r="M66" s="405">
        <v>0.5</v>
      </c>
      <c r="N66" s="401">
        <v>1000</v>
      </c>
      <c r="O66" s="402"/>
      <c r="P66" s="403"/>
      <c r="Q66" s="406" t="s">
        <v>237</v>
      </c>
    </row>
    <row r="67" spans="1:17" ht="12" customHeight="1" x14ac:dyDescent="0.25">
      <c r="A67" s="477">
        <v>39816</v>
      </c>
      <c r="B67" s="384"/>
      <c r="C67" s="399">
        <v>10.7</v>
      </c>
      <c r="D67" s="400">
        <v>3750</v>
      </c>
      <c r="E67" s="401">
        <v>2500</v>
      </c>
      <c r="F67" s="399">
        <v>0.4</v>
      </c>
      <c r="G67" s="401">
        <v>950</v>
      </c>
      <c r="H67" s="402"/>
      <c r="I67" s="403"/>
      <c r="J67" s="404">
        <v>11</v>
      </c>
      <c r="K67" s="401">
        <v>4500</v>
      </c>
      <c r="L67" s="401">
        <v>3000</v>
      </c>
      <c r="M67" s="405">
        <v>0.5</v>
      </c>
      <c r="N67" s="401">
        <v>1200</v>
      </c>
      <c r="O67" s="402"/>
      <c r="P67" s="403"/>
      <c r="Q67" s="406" t="s">
        <v>237</v>
      </c>
    </row>
    <row r="68" spans="1:17" ht="12" customHeight="1" x14ac:dyDescent="0.25">
      <c r="A68" s="477">
        <v>39830</v>
      </c>
      <c r="B68" s="384"/>
      <c r="C68" s="399">
        <v>10.7</v>
      </c>
      <c r="D68" s="400">
        <v>3750</v>
      </c>
      <c r="E68" s="401">
        <v>2500</v>
      </c>
      <c r="F68" s="399">
        <v>0.4</v>
      </c>
      <c r="G68" s="401">
        <v>950</v>
      </c>
      <c r="H68" s="402"/>
      <c r="I68" s="403"/>
      <c r="J68" s="404">
        <v>11</v>
      </c>
      <c r="K68" s="401">
        <v>4500</v>
      </c>
      <c r="L68" s="401">
        <v>3000</v>
      </c>
      <c r="M68" s="405">
        <v>0.5</v>
      </c>
      <c r="N68" s="401">
        <v>1200</v>
      </c>
      <c r="O68" s="402"/>
      <c r="P68" s="403"/>
      <c r="Q68" s="406" t="s">
        <v>237</v>
      </c>
    </row>
    <row r="69" spans="1:17" ht="12" customHeight="1" x14ac:dyDescent="0.25">
      <c r="A69" s="477">
        <v>39839</v>
      </c>
      <c r="B69" s="384"/>
      <c r="C69" s="399">
        <v>10.4</v>
      </c>
      <c r="D69" s="400">
        <v>3750</v>
      </c>
      <c r="E69" s="401">
        <v>2500</v>
      </c>
      <c r="F69" s="399">
        <v>0.4</v>
      </c>
      <c r="G69" s="401">
        <v>950</v>
      </c>
      <c r="H69" s="402"/>
      <c r="I69" s="403"/>
      <c r="J69" s="404">
        <v>11</v>
      </c>
      <c r="K69" s="401">
        <v>4500</v>
      </c>
      <c r="L69" s="401">
        <v>3000</v>
      </c>
      <c r="M69" s="405">
        <v>0.5</v>
      </c>
      <c r="N69" s="401">
        <v>1200</v>
      </c>
      <c r="O69" s="402"/>
      <c r="P69" s="403"/>
      <c r="Q69" s="406" t="s">
        <v>237</v>
      </c>
    </row>
    <row r="70" spans="1:17" ht="12" customHeight="1" x14ac:dyDescent="0.25">
      <c r="A70" s="477">
        <v>39908</v>
      </c>
      <c r="B70" s="384"/>
      <c r="C70" s="399">
        <v>10.5</v>
      </c>
      <c r="D70" s="400">
        <v>4400</v>
      </c>
      <c r="E70" s="401">
        <v>2200</v>
      </c>
      <c r="F70" s="399">
        <v>0.4</v>
      </c>
      <c r="G70" s="401">
        <v>1000</v>
      </c>
      <c r="H70" s="402"/>
      <c r="I70" s="403"/>
      <c r="J70" s="404">
        <v>10.6</v>
      </c>
      <c r="K70" s="401">
        <v>6400</v>
      </c>
      <c r="L70" s="401">
        <v>3200</v>
      </c>
      <c r="M70" s="405">
        <v>0.4</v>
      </c>
      <c r="N70" s="401">
        <v>1200</v>
      </c>
      <c r="O70" s="402"/>
      <c r="P70" s="403"/>
      <c r="Q70" s="406" t="s">
        <v>237</v>
      </c>
    </row>
    <row r="71" spans="1:17" ht="12" customHeight="1" x14ac:dyDescent="0.25">
      <c r="A71" s="477">
        <v>39945</v>
      </c>
      <c r="B71" s="384"/>
      <c r="C71" s="399">
        <v>10.8</v>
      </c>
      <c r="D71" s="400">
        <v>4580</v>
      </c>
      <c r="E71" s="401">
        <v>2519</v>
      </c>
      <c r="F71" s="399">
        <v>0.2</v>
      </c>
      <c r="G71" s="401">
        <v>1100</v>
      </c>
      <c r="H71" s="402"/>
      <c r="I71" s="403"/>
      <c r="J71" s="404">
        <v>10.8</v>
      </c>
      <c r="K71" s="401">
        <v>4570</v>
      </c>
      <c r="L71" s="401">
        <v>2519</v>
      </c>
      <c r="M71" s="405">
        <v>0.2</v>
      </c>
      <c r="N71" s="401">
        <v>1100</v>
      </c>
      <c r="O71" s="402"/>
      <c r="P71" s="403"/>
      <c r="Q71" s="406" t="s">
        <v>237</v>
      </c>
    </row>
    <row r="72" spans="1:17" ht="12" customHeight="1" x14ac:dyDescent="0.25">
      <c r="A72" s="477">
        <v>39992</v>
      </c>
      <c r="B72" s="384"/>
      <c r="C72" s="399">
        <v>10.9</v>
      </c>
      <c r="D72" s="400">
        <v>4500</v>
      </c>
      <c r="E72" s="401">
        <v>2400</v>
      </c>
      <c r="F72" s="399">
        <v>0.3</v>
      </c>
      <c r="G72" s="401">
        <v>1200</v>
      </c>
      <c r="H72" s="402">
        <v>0.1</v>
      </c>
      <c r="I72" s="403"/>
      <c r="J72" s="404">
        <v>10.6</v>
      </c>
      <c r="K72" s="401">
        <v>3900</v>
      </c>
      <c r="L72" s="401">
        <v>2100</v>
      </c>
      <c r="M72" s="405">
        <v>0.3</v>
      </c>
      <c r="N72" s="401">
        <v>1000</v>
      </c>
      <c r="O72" s="402">
        <v>0.1</v>
      </c>
      <c r="P72" s="403"/>
      <c r="Q72" s="406" t="s">
        <v>237</v>
      </c>
    </row>
    <row r="73" spans="1:17" ht="12" customHeight="1" x14ac:dyDescent="0.25">
      <c r="A73" s="477">
        <v>40001</v>
      </c>
      <c r="B73" s="384"/>
      <c r="C73" s="399">
        <v>10.4</v>
      </c>
      <c r="D73" s="400">
        <v>4200</v>
      </c>
      <c r="E73" s="401">
        <v>2310</v>
      </c>
      <c r="F73" s="399">
        <v>0.3</v>
      </c>
      <c r="G73" s="401">
        <v>1000</v>
      </c>
      <c r="H73" s="402"/>
      <c r="I73" s="403"/>
      <c r="J73" s="404">
        <v>10.4</v>
      </c>
      <c r="K73" s="401">
        <v>4100</v>
      </c>
      <c r="L73" s="401">
        <v>2255</v>
      </c>
      <c r="M73" s="405">
        <v>0.3</v>
      </c>
      <c r="N73" s="401">
        <v>900</v>
      </c>
      <c r="O73" s="402"/>
      <c r="P73" s="403"/>
      <c r="Q73" s="406" t="s">
        <v>237</v>
      </c>
    </row>
    <row r="74" spans="1:17" ht="12" customHeight="1" x14ac:dyDescent="0.25">
      <c r="A74" s="477">
        <v>40017</v>
      </c>
      <c r="B74" s="384"/>
      <c r="C74" s="399">
        <v>9.9</v>
      </c>
      <c r="D74" s="400">
        <v>3150</v>
      </c>
      <c r="E74" s="401">
        <v>2100</v>
      </c>
      <c r="F74" s="399">
        <v>0.5</v>
      </c>
      <c r="G74" s="401">
        <v>1000</v>
      </c>
      <c r="H74" s="402"/>
      <c r="I74" s="403"/>
      <c r="J74" s="404">
        <v>9.8000000000000007</v>
      </c>
      <c r="K74" s="401">
        <v>3800</v>
      </c>
      <c r="L74" s="401">
        <v>1900</v>
      </c>
      <c r="M74" s="405">
        <v>0.4</v>
      </c>
      <c r="N74" s="401">
        <v>900</v>
      </c>
      <c r="O74" s="402"/>
      <c r="P74" s="403"/>
      <c r="Q74" s="406" t="s">
        <v>237</v>
      </c>
    </row>
    <row r="75" spans="1:17" ht="12" customHeight="1" x14ac:dyDescent="0.25">
      <c r="A75" s="477">
        <v>40034</v>
      </c>
      <c r="B75" s="384"/>
      <c r="C75" s="399">
        <v>11</v>
      </c>
      <c r="D75" s="400">
        <v>4400</v>
      </c>
      <c r="E75" s="401">
        <v>2600</v>
      </c>
      <c r="F75" s="399">
        <v>0.4</v>
      </c>
      <c r="G75" s="401">
        <v>1000</v>
      </c>
      <c r="H75" s="402"/>
      <c r="I75" s="403"/>
      <c r="J75" s="404">
        <v>10.6</v>
      </c>
      <c r="K75" s="401">
        <v>3300</v>
      </c>
      <c r="L75" s="401">
        <v>1800</v>
      </c>
      <c r="M75" s="405">
        <v>0.4</v>
      </c>
      <c r="N75" s="401">
        <v>800</v>
      </c>
      <c r="O75" s="402"/>
      <c r="P75" s="403"/>
      <c r="Q75" s="406" t="s">
        <v>237</v>
      </c>
    </row>
    <row r="76" spans="1:17" ht="12" customHeight="1" x14ac:dyDescent="0.25">
      <c r="A76" s="477">
        <v>40072</v>
      </c>
      <c r="B76" s="384"/>
      <c r="C76" s="399">
        <v>11</v>
      </c>
      <c r="D76" s="400">
        <v>3400</v>
      </c>
      <c r="E76" s="401">
        <v>1800</v>
      </c>
      <c r="F76" s="399">
        <v>0.3</v>
      </c>
      <c r="G76" s="401">
        <v>1000</v>
      </c>
      <c r="H76" s="402" t="s">
        <v>239</v>
      </c>
      <c r="I76" s="403"/>
      <c r="J76" s="404">
        <v>11</v>
      </c>
      <c r="K76" s="401">
        <v>3000</v>
      </c>
      <c r="L76" s="401">
        <v>1700</v>
      </c>
      <c r="M76" s="405">
        <v>0.3</v>
      </c>
      <c r="N76" s="401">
        <v>700</v>
      </c>
      <c r="O76" s="402" t="s">
        <v>239</v>
      </c>
      <c r="P76" s="403"/>
      <c r="Q76" s="406" t="s">
        <v>237</v>
      </c>
    </row>
    <row r="77" spans="1:17" ht="12" customHeight="1" x14ac:dyDescent="0.25">
      <c r="A77" s="477">
        <v>40117</v>
      </c>
      <c r="B77" s="384"/>
      <c r="C77" s="399">
        <v>10.6</v>
      </c>
      <c r="D77" s="400">
        <v>3700</v>
      </c>
      <c r="E77" s="401">
        <v>2035</v>
      </c>
      <c r="F77" s="399">
        <v>0.4</v>
      </c>
      <c r="G77" s="401">
        <v>1000</v>
      </c>
      <c r="H77" s="402" t="s">
        <v>238</v>
      </c>
      <c r="I77" s="403"/>
      <c r="J77" s="404">
        <v>10.4</v>
      </c>
      <c r="K77" s="401">
        <v>2800</v>
      </c>
      <c r="L77" s="401">
        <v>1540</v>
      </c>
      <c r="M77" s="405">
        <v>0.3</v>
      </c>
      <c r="N77" s="401">
        <v>600</v>
      </c>
      <c r="O77" s="402" t="s">
        <v>238</v>
      </c>
      <c r="P77" s="403"/>
      <c r="Q77" s="406" t="s">
        <v>237</v>
      </c>
    </row>
    <row r="78" spans="1:17" ht="12" customHeight="1" x14ac:dyDescent="0.25">
      <c r="A78" s="477">
        <v>40174</v>
      </c>
      <c r="B78" s="384"/>
      <c r="C78" s="399">
        <v>10.6</v>
      </c>
      <c r="D78" s="400">
        <v>3700</v>
      </c>
      <c r="E78" s="401">
        <v>2100</v>
      </c>
      <c r="F78" s="399">
        <v>0.4</v>
      </c>
      <c r="G78" s="401">
        <v>1000</v>
      </c>
      <c r="H78" s="402"/>
      <c r="I78" s="403"/>
      <c r="J78" s="404">
        <v>10.5</v>
      </c>
      <c r="K78" s="401">
        <v>2500</v>
      </c>
      <c r="L78" s="401">
        <v>1400</v>
      </c>
      <c r="M78" s="405">
        <v>0.4</v>
      </c>
      <c r="N78" s="401">
        <v>800</v>
      </c>
      <c r="O78" s="402"/>
      <c r="P78" s="403"/>
      <c r="Q78" s="406" t="s">
        <v>237</v>
      </c>
    </row>
    <row r="79" spans="1:17" ht="12" customHeight="1" x14ac:dyDescent="0.25">
      <c r="A79" s="477">
        <v>40182</v>
      </c>
      <c r="B79" s="384"/>
      <c r="C79" s="399">
        <v>10.1</v>
      </c>
      <c r="D79" s="400">
        <v>3300</v>
      </c>
      <c r="E79" s="401">
        <v>2200</v>
      </c>
      <c r="F79" s="399">
        <v>0.3</v>
      </c>
      <c r="G79" s="401">
        <v>1000</v>
      </c>
      <c r="H79" s="402"/>
      <c r="I79" s="403"/>
      <c r="J79" s="404">
        <v>9.4</v>
      </c>
      <c r="K79" s="401">
        <v>2400</v>
      </c>
      <c r="L79" s="401">
        <v>1600</v>
      </c>
      <c r="M79" s="405">
        <v>0.4</v>
      </c>
      <c r="N79" s="401">
        <v>650</v>
      </c>
      <c r="O79" s="402"/>
      <c r="P79" s="403"/>
      <c r="Q79" s="406" t="s">
        <v>237</v>
      </c>
    </row>
    <row r="80" spans="1:17" ht="12" customHeight="1" x14ac:dyDescent="0.25">
      <c r="A80" s="477">
        <v>40216</v>
      </c>
      <c r="B80" s="384"/>
      <c r="C80" s="399">
        <v>9.8000000000000007</v>
      </c>
      <c r="D80" s="400">
        <v>3600</v>
      </c>
      <c r="E80" s="401">
        <v>1600</v>
      </c>
      <c r="F80" s="399">
        <v>0.5</v>
      </c>
      <c r="G80" s="401">
        <v>1000</v>
      </c>
      <c r="H80" s="402" t="s">
        <v>238</v>
      </c>
      <c r="I80" s="403"/>
      <c r="J80" s="404">
        <v>10.4</v>
      </c>
      <c r="K80" s="401">
        <v>4000</v>
      </c>
      <c r="L80" s="401">
        <v>2200</v>
      </c>
      <c r="M80" s="405">
        <v>0.5</v>
      </c>
      <c r="N80" s="401">
        <v>1200</v>
      </c>
      <c r="O80" s="402" t="s">
        <v>238</v>
      </c>
      <c r="P80" s="403"/>
      <c r="Q80" s="406" t="s">
        <v>237</v>
      </c>
    </row>
    <row r="81" spans="1:17" ht="12" customHeight="1" x14ac:dyDescent="0.25">
      <c r="A81" s="477">
        <v>40244</v>
      </c>
      <c r="B81" s="384"/>
      <c r="C81" s="399">
        <v>10.8</v>
      </c>
      <c r="D81" s="400">
        <v>3600</v>
      </c>
      <c r="E81" s="401">
        <v>2000</v>
      </c>
      <c r="F81" s="399">
        <v>0.5</v>
      </c>
      <c r="G81" s="401">
        <v>800</v>
      </c>
      <c r="H81" s="402" t="s">
        <v>239</v>
      </c>
      <c r="I81" s="403"/>
      <c r="J81" s="404">
        <v>10.6</v>
      </c>
      <c r="K81" s="401">
        <v>3000</v>
      </c>
      <c r="L81" s="401">
        <v>1650</v>
      </c>
      <c r="M81" s="405">
        <v>0.5</v>
      </c>
      <c r="N81" s="401">
        <v>600</v>
      </c>
      <c r="O81" s="402" t="s">
        <v>239</v>
      </c>
      <c r="P81" s="403"/>
      <c r="Q81" s="406" t="s">
        <v>237</v>
      </c>
    </row>
    <row r="82" spans="1:17" ht="12" customHeight="1" x14ac:dyDescent="0.25">
      <c r="A82" s="477">
        <v>40329</v>
      </c>
      <c r="B82" s="384"/>
      <c r="C82" s="399">
        <v>10.5</v>
      </c>
      <c r="D82" s="400">
        <v>3600</v>
      </c>
      <c r="E82" s="401">
        <v>1980</v>
      </c>
      <c r="F82" s="399">
        <v>0.5</v>
      </c>
      <c r="G82" s="401">
        <v>1100</v>
      </c>
      <c r="H82" s="402"/>
      <c r="I82" s="403"/>
      <c r="J82" s="404">
        <v>10.6</v>
      </c>
      <c r="K82" s="401">
        <v>4000</v>
      </c>
      <c r="L82" s="401">
        <v>2200</v>
      </c>
      <c r="M82" s="405">
        <v>0.5</v>
      </c>
      <c r="N82" s="401">
        <v>1800</v>
      </c>
      <c r="O82" s="402"/>
      <c r="P82" s="403"/>
      <c r="Q82" s="406" t="s">
        <v>237</v>
      </c>
    </row>
    <row r="83" spans="1:17" ht="12" customHeight="1" x14ac:dyDescent="0.25">
      <c r="A83" s="477">
        <v>40343</v>
      </c>
      <c r="B83" s="384"/>
      <c r="C83" s="399">
        <v>9.9</v>
      </c>
      <c r="D83" s="400">
        <v>3000</v>
      </c>
      <c r="E83" s="401">
        <v>1600</v>
      </c>
      <c r="F83" s="399"/>
      <c r="G83" s="401">
        <v>1000</v>
      </c>
      <c r="H83" s="402" t="s">
        <v>239</v>
      </c>
      <c r="I83" s="403"/>
      <c r="J83" s="404">
        <v>10.7</v>
      </c>
      <c r="K83" s="401">
        <v>9000</v>
      </c>
      <c r="L83" s="401">
        <v>5400</v>
      </c>
      <c r="M83" s="405"/>
      <c r="N83" s="401">
        <v>2000</v>
      </c>
      <c r="O83" s="402" t="s">
        <v>239</v>
      </c>
      <c r="P83" s="403"/>
      <c r="Q83" s="406" t="s">
        <v>237</v>
      </c>
    </row>
    <row r="84" spans="1:17" ht="12" customHeight="1" x14ac:dyDescent="0.25">
      <c r="A84" s="477">
        <v>40349</v>
      </c>
      <c r="B84" s="384"/>
      <c r="C84" s="399">
        <v>10</v>
      </c>
      <c r="D84" s="400">
        <v>3500</v>
      </c>
      <c r="E84" s="401">
        <v>1925</v>
      </c>
      <c r="F84" s="399">
        <v>0.5</v>
      </c>
      <c r="G84" s="401">
        <v>1200</v>
      </c>
      <c r="H84" s="402"/>
      <c r="I84" s="403"/>
      <c r="J84" s="404">
        <v>10.5</v>
      </c>
      <c r="K84" s="401">
        <v>4000</v>
      </c>
      <c r="L84" s="401">
        <v>2200</v>
      </c>
      <c r="M84" s="405">
        <v>0.5</v>
      </c>
      <c r="N84" s="401">
        <v>2000</v>
      </c>
      <c r="O84" s="402"/>
      <c r="P84" s="403"/>
      <c r="Q84" s="406" t="s">
        <v>237</v>
      </c>
    </row>
    <row r="85" spans="1:17" ht="12" customHeight="1" x14ac:dyDescent="0.25">
      <c r="A85" s="477">
        <v>40412</v>
      </c>
      <c r="B85" s="384"/>
      <c r="C85" s="399">
        <v>10.199999999999999</v>
      </c>
      <c r="D85" s="400">
        <v>4000</v>
      </c>
      <c r="E85" s="401">
        <v>2200</v>
      </c>
      <c r="F85" s="399">
        <v>0.5</v>
      </c>
      <c r="G85" s="401">
        <v>800</v>
      </c>
      <c r="H85" s="402"/>
      <c r="I85" s="403"/>
      <c r="J85" s="404">
        <v>11</v>
      </c>
      <c r="K85" s="401">
        <v>8000</v>
      </c>
      <c r="L85" s="401">
        <v>4400</v>
      </c>
      <c r="M85" s="405">
        <v>0.4</v>
      </c>
      <c r="N85" s="401">
        <v>1600</v>
      </c>
      <c r="O85" s="402"/>
      <c r="P85" s="403"/>
      <c r="Q85" s="406" t="s">
        <v>237</v>
      </c>
    </row>
    <row r="86" spans="1:17" ht="12" customHeight="1" x14ac:dyDescent="0.25">
      <c r="A86" s="477">
        <v>40468</v>
      </c>
      <c r="B86" s="384"/>
      <c r="C86" s="399">
        <v>10.5</v>
      </c>
      <c r="D86" s="400">
        <v>3400</v>
      </c>
      <c r="E86" s="401">
        <v>1900</v>
      </c>
      <c r="F86" s="399">
        <v>0.2</v>
      </c>
      <c r="G86" s="401">
        <v>650</v>
      </c>
      <c r="H86" s="402"/>
      <c r="I86" s="403"/>
      <c r="J86" s="404">
        <v>9.3000000000000007</v>
      </c>
      <c r="K86" s="401">
        <v>5800</v>
      </c>
      <c r="L86" s="401">
        <v>3000</v>
      </c>
      <c r="M86" s="405">
        <v>0.2</v>
      </c>
      <c r="N86" s="401">
        <v>1200</v>
      </c>
      <c r="O86" s="402"/>
      <c r="P86" s="403"/>
      <c r="Q86" s="406" t="s">
        <v>237</v>
      </c>
    </row>
    <row r="87" spans="1:17" ht="12" customHeight="1" x14ac:dyDescent="0.25">
      <c r="A87" s="478">
        <v>40482</v>
      </c>
      <c r="B87" s="384"/>
      <c r="C87" s="407">
        <v>10.4</v>
      </c>
      <c r="D87" s="408">
        <v>3200</v>
      </c>
      <c r="E87" s="409">
        <v>1260</v>
      </c>
      <c r="F87" s="407">
        <v>0.5</v>
      </c>
      <c r="G87" s="409">
        <v>1000</v>
      </c>
      <c r="H87" s="406"/>
      <c r="I87" s="403"/>
      <c r="J87" s="410">
        <v>9.8000000000000007</v>
      </c>
      <c r="K87" s="409">
        <v>5800</v>
      </c>
      <c r="L87" s="409">
        <v>3000</v>
      </c>
      <c r="M87" s="411">
        <v>0.5</v>
      </c>
      <c r="N87" s="409">
        <v>1000</v>
      </c>
      <c r="O87" s="406"/>
      <c r="P87" s="403"/>
      <c r="Q87" s="406" t="s">
        <v>237</v>
      </c>
    </row>
    <row r="88" spans="1:17" ht="12" customHeight="1" x14ac:dyDescent="0.25">
      <c r="A88" s="478">
        <v>40551</v>
      </c>
      <c r="B88" s="384"/>
      <c r="C88" s="407">
        <v>10.4</v>
      </c>
      <c r="D88" s="408">
        <v>2500</v>
      </c>
      <c r="E88" s="409">
        <v>1500</v>
      </c>
      <c r="F88" s="407">
        <v>0.4</v>
      </c>
      <c r="G88" s="409">
        <v>800</v>
      </c>
      <c r="H88" s="406"/>
      <c r="I88" s="403"/>
      <c r="J88" s="410">
        <v>9.8000000000000007</v>
      </c>
      <c r="K88" s="409">
        <v>4000</v>
      </c>
      <c r="L88" s="409">
        <v>2200</v>
      </c>
      <c r="M88" s="411">
        <v>0.4</v>
      </c>
      <c r="N88" s="409">
        <v>1000</v>
      </c>
      <c r="O88" s="406"/>
      <c r="P88" s="403"/>
      <c r="Q88" s="406" t="s">
        <v>237</v>
      </c>
    </row>
    <row r="89" spans="1:17" ht="12" customHeight="1" x14ac:dyDescent="0.25">
      <c r="A89" s="478">
        <v>40722</v>
      </c>
      <c r="B89" s="384"/>
      <c r="C89" s="407">
        <v>10.4</v>
      </c>
      <c r="D89" s="408">
        <v>2600</v>
      </c>
      <c r="E89" s="409">
        <v>1400</v>
      </c>
      <c r="F89" s="407">
        <v>0.6</v>
      </c>
      <c r="G89" s="409">
        <v>600</v>
      </c>
      <c r="H89" s="406"/>
      <c r="I89" s="403"/>
      <c r="J89" s="410">
        <v>9.8000000000000007</v>
      </c>
      <c r="K89" s="409">
        <v>4000</v>
      </c>
      <c r="L89" s="409">
        <v>2200</v>
      </c>
      <c r="M89" s="411">
        <v>0.5</v>
      </c>
      <c r="N89" s="409">
        <v>1000</v>
      </c>
      <c r="O89" s="406"/>
      <c r="P89" s="403"/>
      <c r="Q89" s="406" t="s">
        <v>237</v>
      </c>
    </row>
    <row r="90" spans="1:17" ht="12" customHeight="1" x14ac:dyDescent="0.25">
      <c r="A90" s="478">
        <v>40762</v>
      </c>
      <c r="B90" s="384"/>
      <c r="C90" s="407">
        <v>9.1999999999999993</v>
      </c>
      <c r="D90" s="408">
        <v>2500</v>
      </c>
      <c r="E90" s="409">
        <v>1400</v>
      </c>
      <c r="F90" s="407">
        <v>0.6</v>
      </c>
      <c r="G90" s="409">
        <v>800</v>
      </c>
      <c r="H90" s="406"/>
      <c r="I90" s="403"/>
      <c r="J90" s="410">
        <v>10.199999999999999</v>
      </c>
      <c r="K90" s="409">
        <v>4400</v>
      </c>
      <c r="L90" s="409">
        <v>2440</v>
      </c>
      <c r="M90" s="411">
        <v>0.4</v>
      </c>
      <c r="N90" s="409">
        <v>1200</v>
      </c>
      <c r="O90" s="406"/>
      <c r="P90" s="403"/>
      <c r="Q90" s="406" t="s">
        <v>237</v>
      </c>
    </row>
    <row r="91" spans="1:17" ht="12" customHeight="1" x14ac:dyDescent="0.25">
      <c r="A91" s="478">
        <v>40824</v>
      </c>
      <c r="B91" s="384"/>
      <c r="C91" s="412">
        <v>10.5</v>
      </c>
      <c r="D91" s="413">
        <v>2000</v>
      </c>
      <c r="E91" s="414">
        <v>1100</v>
      </c>
      <c r="F91" s="412">
        <v>0.5</v>
      </c>
      <c r="G91" s="414">
        <v>800</v>
      </c>
      <c r="H91" s="406"/>
      <c r="I91" s="415"/>
      <c r="J91" s="416">
        <v>9.5</v>
      </c>
      <c r="K91" s="414">
        <v>3000</v>
      </c>
      <c r="L91" s="414">
        <v>1650</v>
      </c>
      <c r="M91" s="417">
        <v>1.7</v>
      </c>
      <c r="N91" s="414">
        <v>2000</v>
      </c>
      <c r="O91" s="406"/>
      <c r="P91" s="384"/>
      <c r="Q91" s="406" t="s">
        <v>237</v>
      </c>
    </row>
    <row r="92" spans="1:17" ht="12" customHeight="1" x14ac:dyDescent="0.25">
      <c r="A92" s="478">
        <v>40857</v>
      </c>
      <c r="B92" s="384"/>
      <c r="C92" s="407">
        <v>10.4</v>
      </c>
      <c r="D92" s="408">
        <v>1500</v>
      </c>
      <c r="E92" s="409">
        <v>800</v>
      </c>
      <c r="F92" s="407">
        <v>1.7</v>
      </c>
      <c r="G92" s="409">
        <v>600</v>
      </c>
      <c r="H92" s="406"/>
      <c r="I92" s="403"/>
      <c r="J92" s="410">
        <v>9.1</v>
      </c>
      <c r="K92" s="409">
        <v>3000</v>
      </c>
      <c r="L92" s="409">
        <v>1650</v>
      </c>
      <c r="M92" s="411">
        <v>0.3</v>
      </c>
      <c r="N92" s="409">
        <v>1200</v>
      </c>
      <c r="O92" s="406"/>
      <c r="P92" s="403"/>
      <c r="Q92" s="406" t="s">
        <v>237</v>
      </c>
    </row>
    <row r="93" spans="1:17" ht="12" customHeight="1" x14ac:dyDescent="0.25">
      <c r="A93" s="478">
        <v>40870</v>
      </c>
      <c r="B93" s="384"/>
      <c r="C93" s="407">
        <v>9.6</v>
      </c>
      <c r="D93" s="408">
        <v>2400</v>
      </c>
      <c r="E93" s="409">
        <v>1320</v>
      </c>
      <c r="F93" s="407">
        <v>0.6</v>
      </c>
      <c r="G93" s="409">
        <v>700</v>
      </c>
      <c r="H93" s="406" t="s">
        <v>239</v>
      </c>
      <c r="I93" s="403"/>
      <c r="J93" s="410">
        <v>9</v>
      </c>
      <c r="K93" s="409">
        <v>3000</v>
      </c>
      <c r="L93" s="409">
        <v>1650</v>
      </c>
      <c r="M93" s="411">
        <v>0.3</v>
      </c>
      <c r="N93" s="409">
        <v>1200</v>
      </c>
      <c r="O93" s="406" t="s">
        <v>239</v>
      </c>
      <c r="P93" s="403"/>
      <c r="Q93" s="406" t="s">
        <v>237</v>
      </c>
    </row>
    <row r="94" spans="1:17" ht="12" customHeight="1" x14ac:dyDescent="0.25">
      <c r="A94" s="478">
        <v>40874</v>
      </c>
      <c r="B94" s="384"/>
      <c r="C94" s="407">
        <v>10</v>
      </c>
      <c r="D94" s="408">
        <v>3200</v>
      </c>
      <c r="E94" s="409">
        <v>1760</v>
      </c>
      <c r="F94" s="407">
        <v>0.6</v>
      </c>
      <c r="G94" s="409">
        <v>1000</v>
      </c>
      <c r="H94" s="406" t="s">
        <v>239</v>
      </c>
      <c r="I94" s="403"/>
      <c r="J94" s="410">
        <v>9</v>
      </c>
      <c r="K94" s="409">
        <v>3000</v>
      </c>
      <c r="L94" s="409">
        <v>1650</v>
      </c>
      <c r="M94" s="411">
        <v>0.3</v>
      </c>
      <c r="N94" s="409">
        <v>1200</v>
      </c>
      <c r="O94" s="406" t="s">
        <v>239</v>
      </c>
      <c r="P94" s="403"/>
      <c r="Q94" s="406" t="s">
        <v>237</v>
      </c>
    </row>
    <row r="95" spans="1:17" ht="12" customHeight="1" x14ac:dyDescent="0.25">
      <c r="A95" s="478">
        <v>40878</v>
      </c>
      <c r="B95" s="384"/>
      <c r="C95" s="407">
        <v>10</v>
      </c>
      <c r="D95" s="408">
        <v>3500</v>
      </c>
      <c r="E95" s="409">
        <v>2000</v>
      </c>
      <c r="F95" s="407">
        <v>0.6</v>
      </c>
      <c r="G95" s="409">
        <v>1000</v>
      </c>
      <c r="H95" s="406" t="s">
        <v>239</v>
      </c>
      <c r="I95" s="403"/>
      <c r="J95" s="410">
        <v>9.8000000000000007</v>
      </c>
      <c r="K95" s="409">
        <v>3000</v>
      </c>
      <c r="L95" s="409">
        <v>1650</v>
      </c>
      <c r="M95" s="411">
        <v>0.3</v>
      </c>
      <c r="N95" s="409">
        <v>1200</v>
      </c>
      <c r="O95" s="406" t="s">
        <v>239</v>
      </c>
      <c r="P95" s="403"/>
      <c r="Q95" s="406" t="s">
        <v>237</v>
      </c>
    </row>
    <row r="96" spans="1:17" ht="12" customHeight="1" x14ac:dyDescent="0.25">
      <c r="A96" s="478">
        <v>40895</v>
      </c>
      <c r="B96" s="384"/>
      <c r="C96" s="407">
        <v>10</v>
      </c>
      <c r="D96" s="408">
        <v>3200</v>
      </c>
      <c r="E96" s="409">
        <v>1760</v>
      </c>
      <c r="F96" s="407">
        <v>0.6</v>
      </c>
      <c r="G96" s="409">
        <v>800</v>
      </c>
      <c r="H96" s="406" t="s">
        <v>239</v>
      </c>
      <c r="I96" s="403"/>
      <c r="J96" s="410">
        <v>10</v>
      </c>
      <c r="K96" s="409">
        <v>4100</v>
      </c>
      <c r="L96" s="409">
        <v>2255</v>
      </c>
      <c r="M96" s="411">
        <v>0.4</v>
      </c>
      <c r="N96" s="409">
        <v>1000</v>
      </c>
      <c r="O96" s="406"/>
      <c r="P96" s="403"/>
      <c r="Q96" s="406" t="s">
        <v>237</v>
      </c>
    </row>
    <row r="97" spans="1:17" ht="12" customHeight="1" x14ac:dyDescent="0.25">
      <c r="A97" s="478">
        <v>40910</v>
      </c>
      <c r="B97" s="384"/>
      <c r="C97" s="407">
        <v>10</v>
      </c>
      <c r="D97" s="408">
        <v>3200</v>
      </c>
      <c r="E97" s="409">
        <v>1760</v>
      </c>
      <c r="F97" s="407">
        <v>0.6</v>
      </c>
      <c r="G97" s="409">
        <v>800</v>
      </c>
      <c r="H97" s="406" t="s">
        <v>239</v>
      </c>
      <c r="I97" s="403"/>
      <c r="J97" s="410">
        <v>9.9</v>
      </c>
      <c r="K97" s="409">
        <v>4100</v>
      </c>
      <c r="L97" s="409">
        <v>2255</v>
      </c>
      <c r="M97" s="411">
        <v>0.4</v>
      </c>
      <c r="N97" s="409">
        <v>1000</v>
      </c>
      <c r="O97" s="406" t="s">
        <v>239</v>
      </c>
      <c r="P97" s="403"/>
      <c r="Q97" s="406" t="s">
        <v>237</v>
      </c>
    </row>
    <row r="98" spans="1:17" ht="12" customHeight="1" x14ac:dyDescent="0.25">
      <c r="A98" s="478">
        <v>40931</v>
      </c>
      <c r="B98" s="384"/>
      <c r="C98" s="407">
        <v>10</v>
      </c>
      <c r="D98" s="408">
        <v>3000</v>
      </c>
      <c r="E98" s="409">
        <v>1650</v>
      </c>
      <c r="F98" s="407">
        <v>0.6</v>
      </c>
      <c r="G98" s="409">
        <v>800</v>
      </c>
      <c r="H98" s="406" t="s">
        <v>239</v>
      </c>
      <c r="I98" s="403"/>
      <c r="J98" s="410">
        <v>9.5</v>
      </c>
      <c r="K98" s="409">
        <v>4000</v>
      </c>
      <c r="L98" s="409">
        <v>2200</v>
      </c>
      <c r="M98" s="411">
        <v>0.4</v>
      </c>
      <c r="N98" s="409">
        <v>1000</v>
      </c>
      <c r="O98" s="406" t="s">
        <v>239</v>
      </c>
      <c r="P98" s="403"/>
      <c r="Q98" s="406" t="s">
        <v>237</v>
      </c>
    </row>
    <row r="99" spans="1:17" ht="12" customHeight="1" x14ac:dyDescent="0.25">
      <c r="A99" s="478">
        <v>40948</v>
      </c>
      <c r="B99" s="384"/>
      <c r="C99" s="407">
        <v>10.199999999999999</v>
      </c>
      <c r="D99" s="408">
        <v>3000</v>
      </c>
      <c r="E99" s="409">
        <v>1650</v>
      </c>
      <c r="F99" s="407">
        <v>0.6</v>
      </c>
      <c r="G99" s="409">
        <v>800</v>
      </c>
      <c r="H99" s="406">
        <v>0.1</v>
      </c>
      <c r="I99" s="403"/>
      <c r="J99" s="410">
        <v>10</v>
      </c>
      <c r="K99" s="409">
        <v>4000</v>
      </c>
      <c r="L99" s="409">
        <v>2200</v>
      </c>
      <c r="M99" s="411">
        <v>0.4</v>
      </c>
      <c r="N99" s="409">
        <v>800</v>
      </c>
      <c r="O99" s="406">
        <v>0.15</v>
      </c>
      <c r="P99" s="403"/>
      <c r="Q99" s="406" t="s">
        <v>237</v>
      </c>
    </row>
    <row r="100" spans="1:17" ht="12" customHeight="1" x14ac:dyDescent="0.25">
      <c r="A100" s="478">
        <v>40981</v>
      </c>
      <c r="B100" s="384"/>
      <c r="C100" s="407">
        <v>10.3</v>
      </c>
      <c r="D100" s="408">
        <v>3000</v>
      </c>
      <c r="E100" s="409">
        <v>1650</v>
      </c>
      <c r="F100" s="407">
        <v>0.7</v>
      </c>
      <c r="G100" s="409">
        <v>800</v>
      </c>
      <c r="H100" s="406">
        <v>0.1</v>
      </c>
      <c r="I100" s="403"/>
      <c r="J100" s="410">
        <v>10</v>
      </c>
      <c r="K100" s="409">
        <v>4000</v>
      </c>
      <c r="L100" s="409">
        <v>2200</v>
      </c>
      <c r="M100" s="411">
        <v>0.8</v>
      </c>
      <c r="N100" s="409">
        <v>800</v>
      </c>
      <c r="O100" s="406">
        <v>0.2</v>
      </c>
      <c r="P100" s="403"/>
      <c r="Q100" s="406" t="s">
        <v>237</v>
      </c>
    </row>
    <row r="101" spans="1:17" ht="12" customHeight="1" x14ac:dyDescent="0.25">
      <c r="A101" s="478">
        <v>40994</v>
      </c>
      <c r="B101" s="384"/>
      <c r="C101" s="407">
        <v>10.5</v>
      </c>
      <c r="D101" s="408">
        <v>2800</v>
      </c>
      <c r="E101" s="409">
        <v>1500</v>
      </c>
      <c r="F101" s="407">
        <v>0.5</v>
      </c>
      <c r="G101" s="409">
        <v>800</v>
      </c>
      <c r="H101" s="406" t="s">
        <v>239</v>
      </c>
      <c r="I101" s="403"/>
      <c r="J101" s="407">
        <v>10.7</v>
      </c>
      <c r="K101" s="408">
        <v>4100</v>
      </c>
      <c r="L101" s="409">
        <v>2300</v>
      </c>
      <c r="M101" s="418">
        <v>1.2</v>
      </c>
      <c r="N101" s="409">
        <v>1000</v>
      </c>
      <c r="O101" s="406" t="s">
        <v>239</v>
      </c>
      <c r="P101" s="403"/>
      <c r="Q101" s="406" t="s">
        <v>237</v>
      </c>
    </row>
    <row r="102" spans="1:17" ht="12" customHeight="1" x14ac:dyDescent="0.25">
      <c r="A102" s="478">
        <v>41010</v>
      </c>
      <c r="B102" s="384"/>
      <c r="C102" s="407">
        <v>10</v>
      </c>
      <c r="D102" s="408">
        <v>3200</v>
      </c>
      <c r="E102" s="409">
        <v>1800</v>
      </c>
      <c r="F102" s="407">
        <v>0.9</v>
      </c>
      <c r="G102" s="409">
        <v>800</v>
      </c>
      <c r="H102" s="406" t="s">
        <v>239</v>
      </c>
      <c r="I102" s="403"/>
      <c r="J102" s="410">
        <v>10</v>
      </c>
      <c r="K102" s="409">
        <v>4800</v>
      </c>
      <c r="L102" s="409">
        <v>2500</v>
      </c>
      <c r="M102" s="419">
        <v>1.9</v>
      </c>
      <c r="N102" s="409">
        <v>1000</v>
      </c>
      <c r="O102" s="406" t="s">
        <v>239</v>
      </c>
      <c r="P102" s="403"/>
      <c r="Q102" s="406" t="s">
        <v>237</v>
      </c>
    </row>
    <row r="103" spans="1:17" ht="12" customHeight="1" x14ac:dyDescent="0.25">
      <c r="A103" s="478">
        <v>41025</v>
      </c>
      <c r="B103" s="384"/>
      <c r="C103" s="407">
        <v>10.1</v>
      </c>
      <c r="D103" s="408">
        <v>3000</v>
      </c>
      <c r="E103" s="409">
        <v>1650</v>
      </c>
      <c r="F103" s="407">
        <v>0.6</v>
      </c>
      <c r="G103" s="409">
        <v>800</v>
      </c>
      <c r="H103" s="406">
        <v>0.1</v>
      </c>
      <c r="I103" s="403"/>
      <c r="J103" s="410">
        <v>10</v>
      </c>
      <c r="K103" s="409">
        <v>5000</v>
      </c>
      <c r="L103" s="409">
        <v>2750</v>
      </c>
      <c r="M103" s="419">
        <v>1.9</v>
      </c>
      <c r="N103" s="409">
        <v>1000</v>
      </c>
      <c r="O103" s="406">
        <v>0.1</v>
      </c>
      <c r="P103" s="403"/>
      <c r="Q103" s="406" t="s">
        <v>237</v>
      </c>
    </row>
    <row r="104" spans="1:17" ht="12" customHeight="1" x14ac:dyDescent="0.25">
      <c r="A104" s="478">
        <v>41037</v>
      </c>
      <c r="B104" s="384"/>
      <c r="C104" s="407">
        <v>10.4</v>
      </c>
      <c r="D104" s="408">
        <v>3000</v>
      </c>
      <c r="E104" s="409">
        <v>1600</v>
      </c>
      <c r="F104" s="407">
        <v>0.5</v>
      </c>
      <c r="G104" s="409">
        <v>750</v>
      </c>
      <c r="H104" s="406"/>
      <c r="I104" s="403"/>
      <c r="J104" s="410">
        <v>11</v>
      </c>
      <c r="K104" s="409">
        <v>4000</v>
      </c>
      <c r="L104" s="409">
        <v>2200</v>
      </c>
      <c r="M104" s="420">
        <v>1.6</v>
      </c>
      <c r="N104" s="409">
        <v>1000</v>
      </c>
      <c r="O104" s="406"/>
      <c r="P104" s="403"/>
      <c r="Q104" s="406" t="s">
        <v>237</v>
      </c>
    </row>
    <row r="105" spans="1:17" ht="12" customHeight="1" x14ac:dyDescent="0.25">
      <c r="A105" s="478">
        <v>41051</v>
      </c>
      <c r="B105" s="384"/>
      <c r="C105" s="407">
        <v>10.4</v>
      </c>
      <c r="D105" s="408">
        <v>3000</v>
      </c>
      <c r="E105" s="409">
        <v>1650</v>
      </c>
      <c r="F105" s="407">
        <v>0.5</v>
      </c>
      <c r="G105" s="409">
        <v>800</v>
      </c>
      <c r="H105" s="406"/>
      <c r="I105" s="403"/>
      <c r="J105" s="410">
        <v>10</v>
      </c>
      <c r="K105" s="409">
        <v>5000</v>
      </c>
      <c r="L105" s="409">
        <v>2750</v>
      </c>
      <c r="M105" s="421">
        <v>1.8</v>
      </c>
      <c r="N105" s="409">
        <v>1000</v>
      </c>
      <c r="O105" s="406"/>
      <c r="P105" s="403"/>
      <c r="Q105" s="406" t="s">
        <v>237</v>
      </c>
    </row>
    <row r="106" spans="1:17" ht="12" customHeight="1" x14ac:dyDescent="0.25">
      <c r="A106" s="478">
        <v>41084</v>
      </c>
      <c r="B106" s="384"/>
      <c r="C106" s="407">
        <v>10</v>
      </c>
      <c r="D106" s="408">
        <v>3000</v>
      </c>
      <c r="E106" s="409">
        <v>1650</v>
      </c>
      <c r="F106" s="407">
        <v>0.6</v>
      </c>
      <c r="G106" s="409">
        <v>800</v>
      </c>
      <c r="H106" s="406"/>
      <c r="I106" s="403"/>
      <c r="J106" s="410">
        <v>10.3</v>
      </c>
      <c r="K106" s="409">
        <v>4000</v>
      </c>
      <c r="L106" s="409">
        <v>2200</v>
      </c>
      <c r="M106" s="419">
        <v>1.9</v>
      </c>
      <c r="N106" s="409">
        <v>1000</v>
      </c>
      <c r="O106" s="406"/>
      <c r="P106" s="403"/>
      <c r="Q106" s="406" t="s">
        <v>237</v>
      </c>
    </row>
    <row r="107" spans="1:17" ht="12" customHeight="1" x14ac:dyDescent="0.25">
      <c r="A107" s="478">
        <v>41095</v>
      </c>
      <c r="B107" s="384"/>
      <c r="C107" s="407">
        <v>10.199999999999999</v>
      </c>
      <c r="D107" s="408">
        <v>3000</v>
      </c>
      <c r="E107" s="409">
        <v>1650</v>
      </c>
      <c r="F107" s="407">
        <v>0.6</v>
      </c>
      <c r="G107" s="409">
        <v>800</v>
      </c>
      <c r="H107" s="406" t="s">
        <v>239</v>
      </c>
      <c r="I107" s="403"/>
      <c r="J107" s="410">
        <v>10</v>
      </c>
      <c r="K107" s="409">
        <v>4000</v>
      </c>
      <c r="L107" s="409">
        <v>2200</v>
      </c>
      <c r="M107" s="419">
        <v>1.9</v>
      </c>
      <c r="N107" s="409">
        <v>1000</v>
      </c>
      <c r="O107" s="406" t="s">
        <v>239</v>
      </c>
      <c r="P107" s="403"/>
      <c r="Q107" s="406" t="s">
        <v>237</v>
      </c>
    </row>
    <row r="108" spans="1:17" ht="12" customHeight="1" x14ac:dyDescent="0.25">
      <c r="A108" s="478">
        <v>41127</v>
      </c>
      <c r="B108" s="384"/>
      <c r="C108" s="407">
        <v>10.199999999999999</v>
      </c>
      <c r="D108" s="408">
        <v>3000</v>
      </c>
      <c r="E108" s="409">
        <v>1650</v>
      </c>
      <c r="F108" s="407">
        <v>0.6</v>
      </c>
      <c r="G108" s="409">
        <v>800</v>
      </c>
      <c r="H108" s="406"/>
      <c r="I108" s="403"/>
      <c r="J108" s="410">
        <v>10.3</v>
      </c>
      <c r="K108" s="409">
        <v>3800</v>
      </c>
      <c r="L108" s="409">
        <v>2000</v>
      </c>
      <c r="M108" s="421">
        <v>1.8</v>
      </c>
      <c r="N108" s="409">
        <v>900</v>
      </c>
      <c r="O108" s="406"/>
      <c r="P108" s="403"/>
      <c r="Q108" s="406" t="s">
        <v>237</v>
      </c>
    </row>
    <row r="109" spans="1:17" ht="12" customHeight="1" x14ac:dyDescent="0.25">
      <c r="A109" s="478">
        <v>41150</v>
      </c>
      <c r="B109" s="384"/>
      <c r="C109" s="407">
        <v>10.199999999999999</v>
      </c>
      <c r="D109" s="408">
        <v>3000</v>
      </c>
      <c r="E109" s="409">
        <v>1650</v>
      </c>
      <c r="F109" s="407">
        <v>0.6</v>
      </c>
      <c r="G109" s="409">
        <v>800</v>
      </c>
      <c r="H109" s="406"/>
      <c r="I109" s="403"/>
      <c r="J109" s="410">
        <v>10.3</v>
      </c>
      <c r="K109" s="409">
        <v>4000</v>
      </c>
      <c r="L109" s="409">
        <v>2200</v>
      </c>
      <c r="M109" s="421">
        <v>1.8</v>
      </c>
      <c r="N109" s="409">
        <v>900</v>
      </c>
      <c r="O109" s="406"/>
      <c r="P109" s="403"/>
      <c r="Q109" s="406" t="s">
        <v>237</v>
      </c>
    </row>
    <row r="110" spans="1:17" ht="12" customHeight="1" x14ac:dyDescent="0.25">
      <c r="A110" s="478">
        <v>41172</v>
      </c>
      <c r="B110" s="384"/>
      <c r="C110" s="407">
        <v>10.3</v>
      </c>
      <c r="D110" s="408">
        <v>2700</v>
      </c>
      <c r="E110" s="409">
        <v>1400</v>
      </c>
      <c r="F110" s="407">
        <v>0.6</v>
      </c>
      <c r="G110" s="409">
        <v>800</v>
      </c>
      <c r="H110" s="406">
        <v>0.1</v>
      </c>
      <c r="I110" s="403"/>
      <c r="J110" s="410">
        <v>10.199999999999999</v>
      </c>
      <c r="K110" s="409">
        <v>4000</v>
      </c>
      <c r="L110" s="409">
        <v>2200</v>
      </c>
      <c r="M110" s="421">
        <v>1.8</v>
      </c>
      <c r="N110" s="409">
        <v>1000</v>
      </c>
      <c r="O110" s="406">
        <v>0.1</v>
      </c>
      <c r="P110" s="403"/>
      <c r="Q110" s="406" t="s">
        <v>237</v>
      </c>
    </row>
    <row r="111" spans="1:17" ht="12" customHeight="1" x14ac:dyDescent="0.25">
      <c r="A111" s="478">
        <v>41197</v>
      </c>
      <c r="B111" s="384"/>
      <c r="C111" s="407">
        <v>10.4</v>
      </c>
      <c r="D111" s="408">
        <v>2600</v>
      </c>
      <c r="E111" s="409">
        <v>1430</v>
      </c>
      <c r="F111" s="407">
        <v>0.6</v>
      </c>
      <c r="G111" s="409">
        <v>800</v>
      </c>
      <c r="H111" s="406" t="s">
        <v>239</v>
      </c>
      <c r="I111" s="403"/>
      <c r="J111" s="410">
        <v>10.3</v>
      </c>
      <c r="K111" s="409">
        <v>4000</v>
      </c>
      <c r="L111" s="409">
        <v>2200</v>
      </c>
      <c r="M111" s="419">
        <v>1.9</v>
      </c>
      <c r="N111" s="409">
        <v>1000</v>
      </c>
      <c r="O111" s="406">
        <v>0.1</v>
      </c>
      <c r="P111" s="403"/>
      <c r="Q111" s="406" t="s">
        <v>237</v>
      </c>
    </row>
    <row r="112" spans="1:17" ht="12" customHeight="1" x14ac:dyDescent="0.25">
      <c r="A112" s="478">
        <v>41203</v>
      </c>
      <c r="B112" s="384"/>
      <c r="C112" s="407">
        <v>10.4</v>
      </c>
      <c r="D112" s="408">
        <v>2800</v>
      </c>
      <c r="E112" s="409">
        <v>1500</v>
      </c>
      <c r="F112" s="407">
        <v>0.5</v>
      </c>
      <c r="G112" s="409">
        <v>800</v>
      </c>
      <c r="H112" s="406"/>
      <c r="I112" s="403"/>
      <c r="J112" s="410">
        <v>10.199999999999999</v>
      </c>
      <c r="K112" s="409">
        <v>3500</v>
      </c>
      <c r="L112" s="409">
        <v>2000</v>
      </c>
      <c r="M112" s="411">
        <v>1.7</v>
      </c>
      <c r="N112" s="409">
        <v>1000</v>
      </c>
      <c r="O112" s="406"/>
      <c r="P112" s="403"/>
      <c r="Q112" s="406" t="s">
        <v>237</v>
      </c>
    </row>
    <row r="113" spans="1:17" ht="12" customHeight="1" x14ac:dyDescent="0.25">
      <c r="A113" s="478">
        <v>41225</v>
      </c>
      <c r="B113" s="384"/>
      <c r="C113" s="407">
        <v>10.6</v>
      </c>
      <c r="D113" s="408"/>
      <c r="E113" s="409">
        <v>1800</v>
      </c>
      <c r="F113" s="407">
        <v>0.6</v>
      </c>
      <c r="G113" s="409">
        <v>600</v>
      </c>
      <c r="H113" s="406"/>
      <c r="I113" s="403"/>
      <c r="J113" s="410">
        <v>10.7</v>
      </c>
      <c r="K113" s="409"/>
      <c r="L113" s="409">
        <v>2200</v>
      </c>
      <c r="M113" s="411">
        <v>1.8</v>
      </c>
      <c r="N113" s="409">
        <v>800</v>
      </c>
      <c r="O113" s="406"/>
      <c r="P113" s="403"/>
      <c r="Q113" s="406" t="s">
        <v>237</v>
      </c>
    </row>
    <row r="114" spans="1:17" ht="12" customHeight="1" x14ac:dyDescent="0.25">
      <c r="A114" s="478">
        <v>41227</v>
      </c>
      <c r="B114" s="384"/>
      <c r="C114" s="407"/>
      <c r="D114" s="408"/>
      <c r="E114" s="409"/>
      <c r="F114" s="407"/>
      <c r="G114" s="409">
        <v>900</v>
      </c>
      <c r="H114" s="406" t="s">
        <v>239</v>
      </c>
      <c r="I114" s="403"/>
      <c r="J114" s="410"/>
      <c r="K114" s="409"/>
      <c r="L114" s="409"/>
      <c r="M114" s="411"/>
      <c r="N114" s="409">
        <v>1000</v>
      </c>
      <c r="O114" s="406" t="s">
        <v>239</v>
      </c>
      <c r="P114" s="403"/>
      <c r="Q114" s="406" t="s">
        <v>237</v>
      </c>
    </row>
    <row r="115" spans="1:17" ht="12" customHeight="1" x14ac:dyDescent="0.25">
      <c r="A115" s="478">
        <v>41237</v>
      </c>
      <c r="B115" s="384"/>
      <c r="C115" s="407">
        <v>10.4</v>
      </c>
      <c r="D115" s="408">
        <v>2700</v>
      </c>
      <c r="E115" s="409">
        <v>1450</v>
      </c>
      <c r="F115" s="407">
        <v>0.5</v>
      </c>
      <c r="G115" s="409">
        <v>900</v>
      </c>
      <c r="H115" s="406" t="s">
        <v>239</v>
      </c>
      <c r="I115" s="403"/>
      <c r="J115" s="410">
        <v>10.5</v>
      </c>
      <c r="K115" s="409">
        <v>3000</v>
      </c>
      <c r="L115" s="409">
        <v>1650</v>
      </c>
      <c r="M115" s="411">
        <v>1.5</v>
      </c>
      <c r="N115" s="409">
        <v>800</v>
      </c>
      <c r="O115" s="406" t="s">
        <v>239</v>
      </c>
      <c r="P115" s="403"/>
      <c r="Q115" s="406" t="s">
        <v>237</v>
      </c>
    </row>
    <row r="116" spans="1:17" ht="12" customHeight="1" x14ac:dyDescent="0.25">
      <c r="A116" s="478">
        <v>41252</v>
      </c>
      <c r="B116" s="384"/>
      <c r="C116" s="407">
        <v>10.5</v>
      </c>
      <c r="D116" s="408">
        <v>2600</v>
      </c>
      <c r="E116" s="409">
        <v>1430</v>
      </c>
      <c r="F116" s="407">
        <v>0.5</v>
      </c>
      <c r="G116" s="409">
        <v>800</v>
      </c>
      <c r="H116" s="406">
        <v>0.1</v>
      </c>
      <c r="I116" s="403"/>
      <c r="J116" s="410">
        <v>10.4</v>
      </c>
      <c r="K116" s="409">
        <v>3000</v>
      </c>
      <c r="L116" s="409">
        <v>1680</v>
      </c>
      <c r="M116" s="411">
        <v>1.7</v>
      </c>
      <c r="N116" s="409">
        <v>800</v>
      </c>
      <c r="O116" s="406">
        <v>0.1</v>
      </c>
      <c r="P116" s="403"/>
      <c r="Q116" s="406" t="s">
        <v>237</v>
      </c>
    </row>
    <row r="117" spans="1:17" ht="12" customHeight="1" x14ac:dyDescent="0.25">
      <c r="A117" s="478">
        <v>41264</v>
      </c>
      <c r="B117" s="384"/>
      <c r="C117" s="407">
        <v>10.1</v>
      </c>
      <c r="D117" s="408">
        <v>3400</v>
      </c>
      <c r="E117" s="409">
        <v>1800</v>
      </c>
      <c r="F117" s="407">
        <v>0.6</v>
      </c>
      <c r="G117" s="409">
        <v>750</v>
      </c>
      <c r="H117" s="406" t="s">
        <v>239</v>
      </c>
      <c r="I117" s="403"/>
      <c r="J117" s="410">
        <v>10.4</v>
      </c>
      <c r="K117" s="409">
        <v>4000</v>
      </c>
      <c r="L117" s="409">
        <v>2200</v>
      </c>
      <c r="M117" s="411">
        <v>1.7</v>
      </c>
      <c r="N117" s="409">
        <v>900</v>
      </c>
      <c r="O117" s="406" t="s">
        <v>239</v>
      </c>
      <c r="P117" s="403"/>
      <c r="Q117" s="406" t="s">
        <v>237</v>
      </c>
    </row>
    <row r="118" spans="1:17" ht="12" customHeight="1" x14ac:dyDescent="0.25">
      <c r="A118" s="478">
        <v>41273</v>
      </c>
      <c r="B118" s="384"/>
      <c r="C118" s="407">
        <v>10.4</v>
      </c>
      <c r="D118" s="408">
        <v>2800</v>
      </c>
      <c r="E118" s="409">
        <v>1540</v>
      </c>
      <c r="F118" s="422">
        <v>0.6</v>
      </c>
      <c r="G118" s="409">
        <v>800</v>
      </c>
      <c r="H118" s="406" t="s">
        <v>239</v>
      </c>
      <c r="I118" s="403"/>
      <c r="J118" s="410">
        <v>10.4</v>
      </c>
      <c r="K118" s="409">
        <v>3000</v>
      </c>
      <c r="L118" s="409">
        <v>1680</v>
      </c>
      <c r="M118" s="411">
        <v>1.5</v>
      </c>
      <c r="N118" s="409">
        <v>900</v>
      </c>
      <c r="O118" s="406" t="s">
        <v>239</v>
      </c>
      <c r="P118" s="403"/>
      <c r="Q118" s="406" t="s">
        <v>237</v>
      </c>
    </row>
    <row r="119" spans="1:17" ht="12" customHeight="1" x14ac:dyDescent="0.25">
      <c r="A119" s="478">
        <v>41286</v>
      </c>
      <c r="B119" s="384"/>
      <c r="C119" s="407">
        <v>10.1</v>
      </c>
      <c r="D119" s="408">
        <v>3100</v>
      </c>
      <c r="E119" s="409">
        <v>1700</v>
      </c>
      <c r="F119" s="407">
        <v>0.6</v>
      </c>
      <c r="G119" s="409">
        <v>750</v>
      </c>
      <c r="H119" s="406" t="s">
        <v>239</v>
      </c>
      <c r="I119" s="403"/>
      <c r="J119" s="410">
        <v>10.199999999999999</v>
      </c>
      <c r="K119" s="409">
        <v>3600</v>
      </c>
      <c r="L119" s="409">
        <v>1980</v>
      </c>
      <c r="M119" s="411">
        <v>1.7</v>
      </c>
      <c r="N119" s="409">
        <v>800</v>
      </c>
      <c r="O119" s="406" t="s">
        <v>239</v>
      </c>
      <c r="P119" s="403"/>
      <c r="Q119" s="406" t="s">
        <v>237</v>
      </c>
    </row>
    <row r="120" spans="1:17" ht="12" customHeight="1" x14ac:dyDescent="0.25">
      <c r="A120" s="478">
        <v>41294</v>
      </c>
      <c r="B120" s="384"/>
      <c r="C120" s="407">
        <v>10</v>
      </c>
      <c r="D120" s="408">
        <v>2800</v>
      </c>
      <c r="E120" s="409">
        <v>1540</v>
      </c>
      <c r="F120" s="407">
        <v>0.5</v>
      </c>
      <c r="G120" s="409">
        <v>800</v>
      </c>
      <c r="H120" s="406" t="s">
        <v>239</v>
      </c>
      <c r="I120" s="403"/>
      <c r="J120" s="410">
        <v>10.3</v>
      </c>
      <c r="K120" s="409">
        <v>3000</v>
      </c>
      <c r="L120" s="409">
        <v>1680</v>
      </c>
      <c r="M120" s="411">
        <v>1.6</v>
      </c>
      <c r="N120" s="409">
        <v>1000</v>
      </c>
      <c r="O120" s="406" t="s">
        <v>239</v>
      </c>
      <c r="P120" s="403"/>
      <c r="Q120" s="406" t="s">
        <v>237</v>
      </c>
    </row>
    <row r="121" spans="1:17" ht="12" customHeight="1" x14ac:dyDescent="0.25">
      <c r="A121" s="478">
        <v>41342</v>
      </c>
      <c r="B121" s="384"/>
      <c r="C121" s="407">
        <v>10.199999999999999</v>
      </c>
      <c r="D121" s="408">
        <v>2900</v>
      </c>
      <c r="E121" s="409">
        <v>1550</v>
      </c>
      <c r="F121" s="407">
        <v>0.5</v>
      </c>
      <c r="G121" s="409">
        <v>800</v>
      </c>
      <c r="H121" s="406" t="s">
        <v>239</v>
      </c>
      <c r="I121" s="403"/>
      <c r="J121" s="410">
        <v>10.4</v>
      </c>
      <c r="K121" s="409">
        <v>3200</v>
      </c>
      <c r="L121" s="409">
        <v>1750</v>
      </c>
      <c r="M121" s="411">
        <v>1.5</v>
      </c>
      <c r="N121" s="409">
        <v>700</v>
      </c>
      <c r="O121" s="406"/>
      <c r="P121" s="403"/>
      <c r="Q121" s="406" t="s">
        <v>237</v>
      </c>
    </row>
    <row r="122" spans="1:17" ht="12" customHeight="1" x14ac:dyDescent="0.25">
      <c r="A122" s="478">
        <v>41354</v>
      </c>
      <c r="B122" s="384"/>
      <c r="C122" s="407">
        <v>10.3</v>
      </c>
      <c r="D122" s="408">
        <v>3200</v>
      </c>
      <c r="E122" s="409">
        <v>1800</v>
      </c>
      <c r="F122" s="407">
        <v>0.5</v>
      </c>
      <c r="G122" s="409">
        <v>650</v>
      </c>
      <c r="H122" s="406" t="s">
        <v>239</v>
      </c>
      <c r="I122" s="403"/>
      <c r="J122" s="410">
        <v>10.4</v>
      </c>
      <c r="K122" s="409">
        <v>3100</v>
      </c>
      <c r="L122" s="409">
        <v>1700</v>
      </c>
      <c r="M122" s="411">
        <v>1.3</v>
      </c>
      <c r="N122" s="409">
        <v>700</v>
      </c>
      <c r="O122" s="406" t="s">
        <v>239</v>
      </c>
      <c r="P122" s="403"/>
      <c r="Q122" s="406" t="s">
        <v>237</v>
      </c>
    </row>
    <row r="123" spans="1:17" ht="12" customHeight="1" x14ac:dyDescent="0.25">
      <c r="A123" s="478">
        <v>41384</v>
      </c>
      <c r="B123" s="384"/>
      <c r="C123" s="407">
        <v>10.3</v>
      </c>
      <c r="D123" s="408">
        <v>3000</v>
      </c>
      <c r="E123" s="409">
        <v>1630</v>
      </c>
      <c r="F123" s="407">
        <v>0.5</v>
      </c>
      <c r="G123" s="409">
        <v>700</v>
      </c>
      <c r="H123" s="406" t="s">
        <v>239</v>
      </c>
      <c r="I123" s="403"/>
      <c r="J123" s="410">
        <v>10.199999999999999</v>
      </c>
      <c r="K123" s="409">
        <v>3100</v>
      </c>
      <c r="L123" s="409">
        <v>1700</v>
      </c>
      <c r="M123" s="411">
        <v>1.5</v>
      </c>
      <c r="N123" s="409">
        <v>600</v>
      </c>
      <c r="O123" s="406" t="s">
        <v>239</v>
      </c>
      <c r="P123" s="403"/>
      <c r="Q123" s="406" t="s">
        <v>237</v>
      </c>
    </row>
    <row r="124" spans="1:17" ht="12" customHeight="1" x14ac:dyDescent="0.25">
      <c r="A124" s="478">
        <v>41393</v>
      </c>
      <c r="B124" s="384"/>
      <c r="C124" s="407">
        <v>10.6</v>
      </c>
      <c r="D124" s="408">
        <v>3300</v>
      </c>
      <c r="E124" s="409">
        <v>1800</v>
      </c>
      <c r="F124" s="407">
        <v>0.5</v>
      </c>
      <c r="G124" s="409">
        <v>600</v>
      </c>
      <c r="H124" s="406" t="s">
        <v>239</v>
      </c>
      <c r="I124" s="403"/>
      <c r="J124" s="410">
        <v>10.5</v>
      </c>
      <c r="K124" s="409">
        <v>3400</v>
      </c>
      <c r="L124" s="409">
        <v>1870</v>
      </c>
      <c r="M124" s="411">
        <v>1.7</v>
      </c>
      <c r="N124" s="409">
        <v>700</v>
      </c>
      <c r="O124" s="406" t="s">
        <v>239</v>
      </c>
      <c r="P124" s="403"/>
      <c r="Q124" s="406" t="s">
        <v>237</v>
      </c>
    </row>
    <row r="125" spans="1:17" ht="12" customHeight="1" x14ac:dyDescent="0.25">
      <c r="A125" s="478">
        <v>41402</v>
      </c>
      <c r="B125" s="384"/>
      <c r="C125" s="407">
        <v>10.4</v>
      </c>
      <c r="D125" s="408">
        <v>3000</v>
      </c>
      <c r="E125" s="409">
        <v>1650</v>
      </c>
      <c r="F125" s="407">
        <v>0.5</v>
      </c>
      <c r="G125" s="409">
        <v>600</v>
      </c>
      <c r="H125" s="406" t="s">
        <v>239</v>
      </c>
      <c r="I125" s="403"/>
      <c r="J125" s="410">
        <v>10.6</v>
      </c>
      <c r="K125" s="409">
        <v>3000</v>
      </c>
      <c r="L125" s="409">
        <v>1650</v>
      </c>
      <c r="M125" s="411">
        <v>1.4</v>
      </c>
      <c r="N125" s="409">
        <v>700</v>
      </c>
      <c r="O125" s="406" t="s">
        <v>239</v>
      </c>
      <c r="P125" s="403"/>
      <c r="Q125" s="406" t="s">
        <v>237</v>
      </c>
    </row>
    <row r="126" spans="1:17" ht="12" customHeight="1" x14ac:dyDescent="0.25">
      <c r="A126" s="478">
        <v>41416</v>
      </c>
      <c r="B126" s="384"/>
      <c r="C126" s="407">
        <v>10.8</v>
      </c>
      <c r="D126" s="408">
        <v>3700</v>
      </c>
      <c r="E126" s="409">
        <v>2200</v>
      </c>
      <c r="F126" s="407">
        <v>0.6</v>
      </c>
      <c r="G126" s="409">
        <v>1000</v>
      </c>
      <c r="H126" s="406" t="s">
        <v>239</v>
      </c>
      <c r="I126" s="403"/>
      <c r="J126" s="410">
        <v>10.4</v>
      </c>
      <c r="K126" s="409">
        <v>2800</v>
      </c>
      <c r="L126" s="409">
        <v>1500</v>
      </c>
      <c r="M126" s="411">
        <v>1.4</v>
      </c>
      <c r="N126" s="409">
        <v>700</v>
      </c>
      <c r="O126" s="406" t="s">
        <v>239</v>
      </c>
      <c r="P126" s="403"/>
      <c r="Q126" s="406" t="s">
        <v>237</v>
      </c>
    </row>
    <row r="127" spans="1:17" ht="12" customHeight="1" x14ac:dyDescent="0.25">
      <c r="A127" s="478">
        <v>41425</v>
      </c>
      <c r="B127" s="384"/>
      <c r="C127" s="407">
        <v>10.8</v>
      </c>
      <c r="D127" s="408">
        <v>3800</v>
      </c>
      <c r="E127" s="409">
        <v>2000</v>
      </c>
      <c r="F127" s="407">
        <v>0.5</v>
      </c>
      <c r="G127" s="409">
        <v>1000</v>
      </c>
      <c r="H127" s="406" t="s">
        <v>239</v>
      </c>
      <c r="I127" s="403"/>
      <c r="J127" s="410">
        <v>10.199999999999999</v>
      </c>
      <c r="K127" s="409">
        <v>2800</v>
      </c>
      <c r="L127" s="409">
        <v>1500</v>
      </c>
      <c r="M127" s="411">
        <v>1.5</v>
      </c>
      <c r="N127" s="409">
        <v>700</v>
      </c>
      <c r="O127" s="406" t="s">
        <v>239</v>
      </c>
      <c r="P127" s="403"/>
      <c r="Q127" s="406" t="s">
        <v>237</v>
      </c>
    </row>
    <row r="128" spans="1:17" ht="12" customHeight="1" x14ac:dyDescent="0.25">
      <c r="A128" s="478">
        <v>41437</v>
      </c>
      <c r="B128" s="384"/>
      <c r="C128" s="407">
        <v>10.4</v>
      </c>
      <c r="D128" s="408">
        <v>4000</v>
      </c>
      <c r="E128" s="409">
        <v>2200</v>
      </c>
      <c r="F128" s="407">
        <v>0.6</v>
      </c>
      <c r="G128" s="409">
        <v>800</v>
      </c>
      <c r="H128" s="406" t="s">
        <v>239</v>
      </c>
      <c r="I128" s="403"/>
      <c r="J128" s="410">
        <v>10.3</v>
      </c>
      <c r="K128" s="409">
        <v>3300</v>
      </c>
      <c r="L128" s="409">
        <v>1700</v>
      </c>
      <c r="M128" s="411">
        <v>1.6</v>
      </c>
      <c r="N128" s="409">
        <v>800</v>
      </c>
      <c r="O128" s="406" t="s">
        <v>239</v>
      </c>
      <c r="P128" s="403"/>
      <c r="Q128" s="406" t="s">
        <v>237</v>
      </c>
    </row>
    <row r="129" spans="1:17" ht="12" customHeight="1" x14ac:dyDescent="0.25">
      <c r="A129" s="478">
        <v>41453</v>
      </c>
      <c r="B129" s="384"/>
      <c r="C129" s="407">
        <v>10.5</v>
      </c>
      <c r="D129" s="408">
        <v>3400</v>
      </c>
      <c r="E129" s="409">
        <v>1800</v>
      </c>
      <c r="F129" s="407">
        <v>0.6</v>
      </c>
      <c r="G129" s="409">
        <v>800</v>
      </c>
      <c r="H129" s="406"/>
      <c r="I129" s="403"/>
      <c r="J129" s="410">
        <v>10.3</v>
      </c>
      <c r="K129" s="409">
        <v>2800</v>
      </c>
      <c r="L129" s="409">
        <v>1500</v>
      </c>
      <c r="M129" s="411">
        <v>1.5</v>
      </c>
      <c r="N129" s="409">
        <v>700</v>
      </c>
      <c r="O129" s="406"/>
      <c r="P129" s="403"/>
      <c r="Q129" s="406" t="s">
        <v>237</v>
      </c>
    </row>
    <row r="130" spans="1:17" ht="12" customHeight="1" x14ac:dyDescent="0.25">
      <c r="A130" s="478">
        <v>41476</v>
      </c>
      <c r="B130" s="384"/>
      <c r="C130" s="407">
        <v>10.4</v>
      </c>
      <c r="D130" s="408">
        <v>3200</v>
      </c>
      <c r="E130" s="409">
        <v>1700</v>
      </c>
      <c r="F130" s="407">
        <v>0.6</v>
      </c>
      <c r="G130" s="409">
        <v>800</v>
      </c>
      <c r="H130" s="406" t="s">
        <v>239</v>
      </c>
      <c r="I130" s="403"/>
      <c r="J130" s="410">
        <v>10.5</v>
      </c>
      <c r="K130" s="409">
        <v>3500</v>
      </c>
      <c r="L130" s="409">
        <v>1800</v>
      </c>
      <c r="M130" s="411">
        <v>1.5</v>
      </c>
      <c r="N130" s="409">
        <v>800</v>
      </c>
      <c r="O130" s="406" t="s">
        <v>239</v>
      </c>
      <c r="P130" s="403"/>
      <c r="Q130" s="406" t="s">
        <v>237</v>
      </c>
    </row>
    <row r="131" spans="1:17" ht="12" customHeight="1" x14ac:dyDescent="0.25">
      <c r="A131" s="478">
        <v>41485</v>
      </c>
      <c r="B131" s="384"/>
      <c r="C131" s="407">
        <v>10.5</v>
      </c>
      <c r="D131" s="408">
        <v>4000</v>
      </c>
      <c r="E131" s="409">
        <v>2200</v>
      </c>
      <c r="F131" s="407">
        <v>0.5</v>
      </c>
      <c r="G131" s="409">
        <v>800</v>
      </c>
      <c r="H131" s="406"/>
      <c r="I131" s="403"/>
      <c r="J131" s="410">
        <v>10.4</v>
      </c>
      <c r="K131" s="409">
        <v>3500</v>
      </c>
      <c r="L131" s="409">
        <v>1800</v>
      </c>
      <c r="M131" s="411">
        <v>1.5</v>
      </c>
      <c r="N131" s="409">
        <v>800</v>
      </c>
      <c r="O131" s="406"/>
      <c r="P131" s="403"/>
      <c r="Q131" s="406" t="s">
        <v>237</v>
      </c>
    </row>
    <row r="132" spans="1:17" ht="12" customHeight="1" x14ac:dyDescent="0.25">
      <c r="A132" s="478">
        <v>41493</v>
      </c>
      <c r="B132" s="384"/>
      <c r="C132" s="407">
        <v>10</v>
      </c>
      <c r="D132" s="408">
        <v>4700</v>
      </c>
      <c r="E132" s="409">
        <v>2500</v>
      </c>
      <c r="F132" s="407">
        <v>0.5</v>
      </c>
      <c r="G132" s="409">
        <v>1000</v>
      </c>
      <c r="H132" s="406" t="s">
        <v>239</v>
      </c>
      <c r="I132" s="403"/>
      <c r="J132" s="410">
        <v>10.3</v>
      </c>
      <c r="K132" s="409">
        <v>4000</v>
      </c>
      <c r="L132" s="409">
        <v>2200</v>
      </c>
      <c r="M132" s="411"/>
      <c r="N132" s="409">
        <v>700</v>
      </c>
      <c r="O132" s="406" t="s">
        <v>239</v>
      </c>
      <c r="P132" s="403"/>
      <c r="Q132" s="406" t="s">
        <v>237</v>
      </c>
    </row>
    <row r="133" spans="1:17" ht="12" customHeight="1" x14ac:dyDescent="0.25">
      <c r="A133" s="478">
        <v>41522</v>
      </c>
      <c r="B133" s="384"/>
      <c r="C133" s="407">
        <v>10.7</v>
      </c>
      <c r="D133" s="408">
        <v>3500</v>
      </c>
      <c r="E133" s="409">
        <v>1800</v>
      </c>
      <c r="F133" s="407">
        <v>0.6</v>
      </c>
      <c r="G133" s="409">
        <v>800</v>
      </c>
      <c r="H133" s="406">
        <v>0.1</v>
      </c>
      <c r="I133" s="403"/>
      <c r="J133" s="410">
        <v>10.6</v>
      </c>
      <c r="K133" s="409">
        <v>3000</v>
      </c>
      <c r="L133" s="409">
        <v>1650</v>
      </c>
      <c r="M133" s="411">
        <v>1.4</v>
      </c>
      <c r="N133" s="409">
        <v>700</v>
      </c>
      <c r="O133" s="406">
        <v>0.1</v>
      </c>
      <c r="P133" s="403"/>
      <c r="Q133" s="406" t="s">
        <v>237</v>
      </c>
    </row>
    <row r="134" spans="1:17" ht="12" customHeight="1" x14ac:dyDescent="0.25">
      <c r="A134" s="478">
        <v>41550</v>
      </c>
      <c r="B134" s="384"/>
      <c r="C134" s="407">
        <v>10.199999999999999</v>
      </c>
      <c r="D134" s="408">
        <v>4000</v>
      </c>
      <c r="E134" s="409">
        <v>2200</v>
      </c>
      <c r="F134" s="407">
        <v>0.6</v>
      </c>
      <c r="G134" s="409">
        <v>900</v>
      </c>
      <c r="H134" s="406" t="s">
        <v>239</v>
      </c>
      <c r="I134" s="403"/>
      <c r="J134" s="410">
        <v>10.3</v>
      </c>
      <c r="K134" s="409">
        <v>4100</v>
      </c>
      <c r="L134" s="409">
        <v>2250</v>
      </c>
      <c r="M134" s="411">
        <v>1.6</v>
      </c>
      <c r="N134" s="409">
        <v>1000</v>
      </c>
      <c r="O134" s="406" t="s">
        <v>239</v>
      </c>
      <c r="P134" s="403"/>
      <c r="Q134" s="406" t="s">
        <v>237</v>
      </c>
    </row>
    <row r="135" spans="1:17" ht="12" customHeight="1" x14ac:dyDescent="0.25">
      <c r="A135" s="478" t="s">
        <v>240</v>
      </c>
      <c r="B135" s="384"/>
      <c r="C135" s="407">
        <v>10.4</v>
      </c>
      <c r="D135" s="408">
        <v>4000</v>
      </c>
      <c r="E135" s="409">
        <v>2200</v>
      </c>
      <c r="F135" s="407">
        <v>0.5</v>
      </c>
      <c r="G135" s="409">
        <v>900</v>
      </c>
      <c r="H135" s="406" t="s">
        <v>239</v>
      </c>
      <c r="I135" s="403"/>
      <c r="J135" s="410">
        <v>10.3</v>
      </c>
      <c r="K135" s="409">
        <v>3800</v>
      </c>
      <c r="L135" s="409">
        <v>2000</v>
      </c>
      <c r="M135" s="411">
        <v>1.5</v>
      </c>
      <c r="N135" s="409">
        <v>800</v>
      </c>
      <c r="O135" s="406" t="s">
        <v>239</v>
      </c>
      <c r="P135" s="403"/>
      <c r="Q135" s="406" t="s">
        <v>237</v>
      </c>
    </row>
    <row r="136" spans="1:17" ht="12" customHeight="1" x14ac:dyDescent="0.25">
      <c r="A136" s="478">
        <v>41585</v>
      </c>
      <c r="B136" s="384"/>
      <c r="C136" s="407">
        <v>10.5</v>
      </c>
      <c r="D136" s="408">
        <v>4000</v>
      </c>
      <c r="E136" s="409">
        <v>2200</v>
      </c>
      <c r="F136" s="407">
        <v>0.5</v>
      </c>
      <c r="G136" s="409">
        <v>900</v>
      </c>
      <c r="H136" s="406" t="s">
        <v>241</v>
      </c>
      <c r="I136" s="403"/>
      <c r="J136" s="410">
        <v>10.3</v>
      </c>
      <c r="K136" s="409">
        <v>3800</v>
      </c>
      <c r="L136" s="409">
        <v>2000</v>
      </c>
      <c r="M136" s="411">
        <v>1.4</v>
      </c>
      <c r="N136" s="409">
        <v>800</v>
      </c>
      <c r="O136" s="406" t="s">
        <v>241</v>
      </c>
      <c r="P136" s="403"/>
      <c r="Q136" s="406" t="s">
        <v>237</v>
      </c>
    </row>
    <row r="137" spans="1:17" ht="12" customHeight="1" x14ac:dyDescent="0.25">
      <c r="A137" s="478">
        <v>41606</v>
      </c>
      <c r="B137" s="384"/>
      <c r="C137" s="407">
        <v>10.5</v>
      </c>
      <c r="D137" s="408"/>
      <c r="E137" s="409">
        <v>2100</v>
      </c>
      <c r="F137" s="407">
        <v>0.5</v>
      </c>
      <c r="G137" s="409">
        <v>750</v>
      </c>
      <c r="H137" s="406" t="s">
        <v>239</v>
      </c>
      <c r="I137" s="403"/>
      <c r="J137" s="410">
        <v>10.6</v>
      </c>
      <c r="K137" s="409"/>
      <c r="L137" s="409">
        <v>2300</v>
      </c>
      <c r="M137" s="411">
        <v>1.3</v>
      </c>
      <c r="N137" s="409">
        <v>800</v>
      </c>
      <c r="O137" s="406" t="s">
        <v>239</v>
      </c>
      <c r="P137" s="403"/>
      <c r="Q137" s="406" t="s">
        <v>237</v>
      </c>
    </row>
    <row r="138" spans="1:17" ht="12" customHeight="1" x14ac:dyDescent="0.25">
      <c r="A138" s="478">
        <v>41617</v>
      </c>
      <c r="B138" s="384"/>
      <c r="C138" s="407">
        <v>10.5</v>
      </c>
      <c r="D138" s="408">
        <v>3800</v>
      </c>
      <c r="E138" s="409">
        <v>2100</v>
      </c>
      <c r="F138" s="407">
        <v>0.5</v>
      </c>
      <c r="G138" s="409">
        <v>800</v>
      </c>
      <c r="H138" s="406"/>
      <c r="I138" s="403"/>
      <c r="J138" s="410">
        <v>10.5</v>
      </c>
      <c r="K138" s="409">
        <v>3400</v>
      </c>
      <c r="L138" s="409">
        <v>1870</v>
      </c>
      <c r="M138" s="411">
        <v>1.5</v>
      </c>
      <c r="N138" s="409">
        <v>800</v>
      </c>
      <c r="O138" s="406"/>
      <c r="P138" s="403"/>
      <c r="Q138" s="406" t="s">
        <v>237</v>
      </c>
    </row>
    <row r="139" spans="1:17" ht="12" customHeight="1" x14ac:dyDescent="0.25">
      <c r="A139" s="478">
        <v>41631</v>
      </c>
      <c r="B139" s="384"/>
      <c r="C139" s="407">
        <v>10.6</v>
      </c>
      <c r="D139" s="408">
        <v>4100</v>
      </c>
      <c r="E139" s="409">
        <v>2300</v>
      </c>
      <c r="F139" s="407">
        <v>0.5</v>
      </c>
      <c r="G139" s="409">
        <v>800</v>
      </c>
      <c r="H139" s="406"/>
      <c r="I139" s="403"/>
      <c r="J139" s="410">
        <v>10.5</v>
      </c>
      <c r="K139" s="409">
        <v>3300</v>
      </c>
      <c r="L139" s="409">
        <v>1400</v>
      </c>
      <c r="M139" s="411">
        <v>1.5</v>
      </c>
      <c r="N139" s="409">
        <v>800</v>
      </c>
      <c r="O139" s="406"/>
      <c r="P139" s="403"/>
      <c r="Q139" s="406" t="s">
        <v>237</v>
      </c>
    </row>
    <row r="140" spans="1:17" ht="12" customHeight="1" x14ac:dyDescent="0.25">
      <c r="A140" s="478">
        <v>41657</v>
      </c>
      <c r="B140" s="384"/>
      <c r="C140" s="407">
        <v>10.199999999999999</v>
      </c>
      <c r="D140" s="408"/>
      <c r="E140" s="409"/>
      <c r="F140" s="407">
        <v>0.6</v>
      </c>
      <c r="G140" s="409">
        <v>1100</v>
      </c>
      <c r="H140" s="406" t="s">
        <v>239</v>
      </c>
      <c r="I140" s="403"/>
      <c r="J140" s="410">
        <v>10.3</v>
      </c>
      <c r="K140" s="409"/>
      <c r="L140" s="409"/>
      <c r="M140" s="411">
        <v>1.7</v>
      </c>
      <c r="N140" s="409">
        <v>800</v>
      </c>
      <c r="O140" s="406" t="s">
        <v>239</v>
      </c>
      <c r="P140" s="403"/>
      <c r="Q140" s="406" t="s">
        <v>237</v>
      </c>
    </row>
    <row r="141" spans="1:17" ht="12" customHeight="1" x14ac:dyDescent="0.25">
      <c r="A141" s="478">
        <v>41683</v>
      </c>
      <c r="B141" s="384"/>
      <c r="C141" s="407">
        <v>10.5</v>
      </c>
      <c r="D141" s="408">
        <v>5000</v>
      </c>
      <c r="E141" s="409">
        <v>2500</v>
      </c>
      <c r="F141" s="407">
        <v>0.6</v>
      </c>
      <c r="G141" s="409">
        <v>1000</v>
      </c>
      <c r="H141" s="406" t="s">
        <v>239</v>
      </c>
      <c r="I141" s="403"/>
      <c r="J141" s="410">
        <v>10.4</v>
      </c>
      <c r="K141" s="409">
        <v>4300</v>
      </c>
      <c r="L141" s="409">
        <v>2100</v>
      </c>
      <c r="M141" s="411">
        <v>1.5</v>
      </c>
      <c r="N141" s="409">
        <v>800</v>
      </c>
      <c r="O141" s="406" t="s">
        <v>239</v>
      </c>
      <c r="P141" s="403"/>
      <c r="Q141" s="406" t="s">
        <v>237</v>
      </c>
    </row>
    <row r="142" spans="1:17" ht="12" customHeight="1" x14ac:dyDescent="0.25">
      <c r="A142" s="478">
        <v>41729</v>
      </c>
      <c r="B142" s="384"/>
      <c r="C142" s="407">
        <v>10.5</v>
      </c>
      <c r="D142" s="408">
        <v>3800</v>
      </c>
      <c r="E142" s="409">
        <v>2200</v>
      </c>
      <c r="F142" s="407">
        <v>0.6</v>
      </c>
      <c r="G142" s="409">
        <v>900</v>
      </c>
      <c r="H142" s="406">
        <v>0.1</v>
      </c>
      <c r="I142" s="403"/>
      <c r="J142" s="410">
        <v>10.4</v>
      </c>
      <c r="K142" s="409">
        <v>3100</v>
      </c>
      <c r="L142" s="409">
        <v>1800</v>
      </c>
      <c r="M142" s="411">
        <v>1.6</v>
      </c>
      <c r="N142" s="409">
        <v>500</v>
      </c>
      <c r="O142" s="406">
        <v>0.1</v>
      </c>
      <c r="P142" s="403"/>
      <c r="Q142" s="406" t="s">
        <v>237</v>
      </c>
    </row>
    <row r="143" spans="1:17" ht="12" customHeight="1" x14ac:dyDescent="0.25">
      <c r="A143" s="478">
        <v>41743</v>
      </c>
      <c r="B143" s="384"/>
      <c r="C143" s="407">
        <v>10.7</v>
      </c>
      <c r="D143" s="408">
        <v>5000</v>
      </c>
      <c r="E143" s="409">
        <v>2700</v>
      </c>
      <c r="F143" s="407">
        <v>0.6</v>
      </c>
      <c r="G143" s="409">
        <v>900</v>
      </c>
      <c r="H143" s="406">
        <v>0.1</v>
      </c>
      <c r="I143" s="403"/>
      <c r="J143" s="410">
        <v>10.6</v>
      </c>
      <c r="K143" s="409">
        <v>4000</v>
      </c>
      <c r="L143" s="409">
        <v>2200</v>
      </c>
      <c r="M143" s="411">
        <v>1.5</v>
      </c>
      <c r="N143" s="409">
        <v>600</v>
      </c>
      <c r="O143" s="406">
        <v>0.1</v>
      </c>
      <c r="P143" s="403"/>
      <c r="Q143" s="406" t="s">
        <v>237</v>
      </c>
    </row>
    <row r="144" spans="1:17" ht="12" customHeight="1" x14ac:dyDescent="0.25">
      <c r="A144" s="478">
        <v>41757</v>
      </c>
      <c r="B144" s="384"/>
      <c r="C144" s="407">
        <v>10.5</v>
      </c>
      <c r="D144" s="408">
        <v>4500</v>
      </c>
      <c r="E144" s="409">
        <v>2200</v>
      </c>
      <c r="F144" s="407">
        <v>0.6</v>
      </c>
      <c r="G144" s="409">
        <v>1000</v>
      </c>
      <c r="H144" s="406">
        <v>0.1</v>
      </c>
      <c r="I144" s="403"/>
      <c r="J144" s="410">
        <v>10.8</v>
      </c>
      <c r="K144" s="409">
        <v>6200</v>
      </c>
      <c r="L144" s="409">
        <v>3500</v>
      </c>
      <c r="M144" s="411">
        <v>1.6</v>
      </c>
      <c r="N144" s="409">
        <v>1100</v>
      </c>
      <c r="O144" s="406">
        <v>0.1</v>
      </c>
      <c r="P144" s="403"/>
      <c r="Q144" s="406" t="s">
        <v>237</v>
      </c>
    </row>
    <row r="145" spans="1:17" ht="12" customHeight="1" x14ac:dyDescent="0.25">
      <c r="A145" s="478">
        <v>41767</v>
      </c>
      <c r="B145" s="384"/>
      <c r="C145" s="407">
        <v>10.4</v>
      </c>
      <c r="D145" s="408">
        <v>4000</v>
      </c>
      <c r="E145" s="409">
        <v>2200</v>
      </c>
      <c r="F145" s="407">
        <v>0.6</v>
      </c>
      <c r="G145" s="409">
        <v>800</v>
      </c>
      <c r="H145" s="406">
        <v>0.1</v>
      </c>
      <c r="I145" s="403"/>
      <c r="J145" s="410">
        <v>10.5</v>
      </c>
      <c r="K145" s="409">
        <v>6000</v>
      </c>
      <c r="L145" s="409">
        <v>3300</v>
      </c>
      <c r="M145" s="411">
        <v>1.5</v>
      </c>
      <c r="N145" s="409">
        <v>1000</v>
      </c>
      <c r="O145" s="406">
        <v>0.1</v>
      </c>
      <c r="P145" s="403"/>
      <c r="Q145" s="406" t="s">
        <v>237</v>
      </c>
    </row>
    <row r="146" spans="1:17" ht="12" customHeight="1" x14ac:dyDescent="0.25">
      <c r="A146" s="478">
        <v>41801</v>
      </c>
      <c r="B146" s="384"/>
      <c r="C146" s="407">
        <v>10.4</v>
      </c>
      <c r="D146" s="408">
        <v>4000</v>
      </c>
      <c r="E146" s="409">
        <v>2200</v>
      </c>
      <c r="F146" s="407">
        <v>0.5</v>
      </c>
      <c r="G146" s="409">
        <v>800</v>
      </c>
      <c r="H146" s="406">
        <v>0.1</v>
      </c>
      <c r="I146" s="403"/>
      <c r="J146" s="410">
        <v>10.5</v>
      </c>
      <c r="K146" s="409">
        <v>6000</v>
      </c>
      <c r="L146" s="409">
        <v>3300</v>
      </c>
      <c r="M146" s="411">
        <v>1.2</v>
      </c>
      <c r="N146" s="409">
        <v>1000</v>
      </c>
      <c r="O146" s="406">
        <v>0.1</v>
      </c>
      <c r="P146" s="403"/>
      <c r="Q146" s="406" t="s">
        <v>237</v>
      </c>
    </row>
    <row r="147" spans="1:17" ht="12" customHeight="1" x14ac:dyDescent="0.25">
      <c r="A147" s="478">
        <v>41827</v>
      </c>
      <c r="B147" s="384"/>
      <c r="C147" s="407">
        <v>10.5</v>
      </c>
      <c r="D147" s="408">
        <v>4100</v>
      </c>
      <c r="E147" s="409">
        <v>2400</v>
      </c>
      <c r="F147" s="407">
        <v>0.5</v>
      </c>
      <c r="G147" s="409">
        <v>800</v>
      </c>
      <c r="H147" s="406"/>
      <c r="I147" s="403"/>
      <c r="J147" s="410">
        <v>10.8</v>
      </c>
      <c r="K147" s="409">
        <v>5400</v>
      </c>
      <c r="L147" s="409">
        <v>3400</v>
      </c>
      <c r="M147" s="411">
        <v>1.2</v>
      </c>
      <c r="N147" s="409">
        <v>1000</v>
      </c>
      <c r="O147" s="406"/>
      <c r="P147" s="403"/>
      <c r="Q147" s="406" t="s">
        <v>237</v>
      </c>
    </row>
    <row r="148" spans="1:17" ht="12" customHeight="1" x14ac:dyDescent="0.25">
      <c r="A148" s="478">
        <v>41861</v>
      </c>
      <c r="B148" s="384"/>
      <c r="C148" s="407">
        <v>10.6</v>
      </c>
      <c r="D148" s="408"/>
      <c r="E148" s="409"/>
      <c r="F148" s="407">
        <v>0.6</v>
      </c>
      <c r="G148" s="409">
        <v>800</v>
      </c>
      <c r="H148" s="406">
        <v>0.1</v>
      </c>
      <c r="I148" s="403"/>
      <c r="J148" s="410">
        <v>10.8</v>
      </c>
      <c r="K148" s="409">
        <v>6600</v>
      </c>
      <c r="L148" s="409">
        <v>3300</v>
      </c>
      <c r="M148" s="411">
        <v>1.2</v>
      </c>
      <c r="N148" s="409">
        <v>1100</v>
      </c>
      <c r="O148" s="406">
        <v>0.1</v>
      </c>
      <c r="P148" s="403"/>
      <c r="Q148" s="406" t="s">
        <v>237</v>
      </c>
    </row>
    <row r="149" spans="1:17" ht="12" customHeight="1" x14ac:dyDescent="0.25">
      <c r="A149" s="478">
        <v>41898</v>
      </c>
      <c r="B149" s="384"/>
      <c r="C149" s="407">
        <v>10.5</v>
      </c>
      <c r="D149" s="408">
        <v>4800</v>
      </c>
      <c r="E149" s="409">
        <v>2400</v>
      </c>
      <c r="F149" s="407">
        <v>0.6</v>
      </c>
      <c r="G149" s="409">
        <v>1000</v>
      </c>
      <c r="H149" s="406"/>
      <c r="I149" s="403"/>
      <c r="J149" s="410">
        <v>10.7</v>
      </c>
      <c r="K149" s="409">
        <v>6000</v>
      </c>
      <c r="L149" s="409">
        <v>3100</v>
      </c>
      <c r="M149" s="411">
        <v>1.4</v>
      </c>
      <c r="N149" s="409">
        <v>1100</v>
      </c>
      <c r="O149" s="406"/>
      <c r="P149" s="403"/>
      <c r="Q149" s="406" t="s">
        <v>237</v>
      </c>
    </row>
    <row r="150" spans="1:17" ht="12" customHeight="1" x14ac:dyDescent="0.25">
      <c r="A150" s="478">
        <v>41946</v>
      </c>
      <c r="B150" s="384"/>
      <c r="C150" s="423">
        <v>10.8</v>
      </c>
      <c r="D150" s="424">
        <v>5300</v>
      </c>
      <c r="E150" s="425">
        <v>2900</v>
      </c>
      <c r="F150" s="423">
        <v>0.1</v>
      </c>
      <c r="G150" s="425">
        <v>1300</v>
      </c>
      <c r="H150" s="426"/>
      <c r="I150" s="427"/>
      <c r="J150" s="428">
        <v>11</v>
      </c>
      <c r="K150" s="425">
        <v>7000</v>
      </c>
      <c r="L150" s="425">
        <v>3850</v>
      </c>
      <c r="M150" s="429">
        <v>0.1</v>
      </c>
      <c r="N150" s="425">
        <v>1400</v>
      </c>
      <c r="O150" s="426"/>
      <c r="P150" s="403"/>
      <c r="Q150" s="406" t="s">
        <v>237</v>
      </c>
    </row>
    <row r="151" spans="1:17" ht="12" customHeight="1" x14ac:dyDescent="0.25">
      <c r="A151" s="478">
        <v>41968</v>
      </c>
      <c r="B151" s="384"/>
      <c r="C151" s="407">
        <v>10.9</v>
      </c>
      <c r="D151" s="408">
        <v>6850</v>
      </c>
      <c r="E151" s="409">
        <v>3767</v>
      </c>
      <c r="F151" s="407">
        <v>0.4</v>
      </c>
      <c r="G151" s="409">
        <v>1200</v>
      </c>
      <c r="H151" s="406" t="s">
        <v>239</v>
      </c>
      <c r="I151" s="403"/>
      <c r="J151" s="410">
        <v>10.7</v>
      </c>
      <c r="K151" s="409">
        <v>5800</v>
      </c>
      <c r="L151" s="409">
        <v>3190</v>
      </c>
      <c r="M151" s="411">
        <v>1.5</v>
      </c>
      <c r="N151" s="409">
        <v>1000</v>
      </c>
      <c r="O151" s="406" t="s">
        <v>239</v>
      </c>
      <c r="P151" s="403"/>
      <c r="Q151" s="406" t="s">
        <v>237</v>
      </c>
    </row>
    <row r="152" spans="1:17" ht="12" customHeight="1" x14ac:dyDescent="0.25">
      <c r="A152" s="478">
        <v>42017</v>
      </c>
      <c r="B152" s="384"/>
      <c r="C152" s="407">
        <v>10.9</v>
      </c>
      <c r="D152" s="408">
        <v>3200</v>
      </c>
      <c r="E152" s="409">
        <v>1760</v>
      </c>
      <c r="F152" s="407">
        <v>0.5</v>
      </c>
      <c r="G152" s="409">
        <v>1200</v>
      </c>
      <c r="H152" s="406"/>
      <c r="I152" s="403"/>
      <c r="J152" s="410">
        <v>11</v>
      </c>
      <c r="K152" s="409">
        <v>4000</v>
      </c>
      <c r="L152" s="409">
        <v>2200</v>
      </c>
      <c r="M152" s="411">
        <v>0.5</v>
      </c>
      <c r="N152" s="409">
        <v>800</v>
      </c>
      <c r="O152" s="406"/>
      <c r="P152" s="403"/>
      <c r="Q152" s="406" t="s">
        <v>237</v>
      </c>
    </row>
    <row r="153" spans="1:17" ht="12" customHeight="1" x14ac:dyDescent="0.25">
      <c r="A153" s="478">
        <v>42046</v>
      </c>
      <c r="B153" s="384"/>
      <c r="C153" s="407">
        <v>11</v>
      </c>
      <c r="D153" s="408">
        <v>3800</v>
      </c>
      <c r="E153" s="409">
        <v>2090</v>
      </c>
      <c r="F153" s="407">
        <v>0.7</v>
      </c>
      <c r="G153" s="409">
        <v>1000</v>
      </c>
      <c r="H153" s="406" t="s">
        <v>239</v>
      </c>
      <c r="I153" s="403"/>
      <c r="J153" s="410">
        <v>10.9</v>
      </c>
      <c r="K153" s="409">
        <v>3000</v>
      </c>
      <c r="L153" s="409">
        <v>1650</v>
      </c>
      <c r="M153" s="411">
        <v>1.2</v>
      </c>
      <c r="N153" s="409">
        <v>1000</v>
      </c>
      <c r="O153" s="406" t="s">
        <v>239</v>
      </c>
      <c r="P153" s="403"/>
      <c r="Q153" s="406" t="s">
        <v>237</v>
      </c>
    </row>
    <row r="154" spans="1:17" ht="12" customHeight="1" x14ac:dyDescent="0.25">
      <c r="A154" s="478">
        <v>42057</v>
      </c>
      <c r="B154" s="384"/>
      <c r="C154" s="407">
        <v>10.5</v>
      </c>
      <c r="D154" s="408">
        <v>3400</v>
      </c>
      <c r="E154" s="409">
        <v>1870</v>
      </c>
      <c r="F154" s="407">
        <v>0.5</v>
      </c>
      <c r="G154" s="409">
        <v>1000</v>
      </c>
      <c r="H154" s="406">
        <v>0</v>
      </c>
      <c r="I154" s="403"/>
      <c r="J154" s="410">
        <v>11</v>
      </c>
      <c r="K154" s="409">
        <v>3900</v>
      </c>
      <c r="L154" s="409">
        <v>2145</v>
      </c>
      <c r="M154" s="411">
        <v>0.8</v>
      </c>
      <c r="N154" s="409">
        <v>1200</v>
      </c>
      <c r="O154" s="406">
        <v>0</v>
      </c>
      <c r="P154" s="403"/>
      <c r="Q154" s="406" t="s">
        <v>237</v>
      </c>
    </row>
    <row r="155" spans="1:17" ht="12" customHeight="1" x14ac:dyDescent="0.25">
      <c r="A155" s="478">
        <v>42129</v>
      </c>
      <c r="B155" s="384"/>
      <c r="C155" s="407">
        <v>10.5</v>
      </c>
      <c r="D155" s="408">
        <v>4200</v>
      </c>
      <c r="E155" s="409">
        <v>2310</v>
      </c>
      <c r="F155" s="407">
        <v>1</v>
      </c>
      <c r="G155" s="409">
        <v>1200</v>
      </c>
      <c r="H155" s="406"/>
      <c r="I155" s="403"/>
      <c r="J155" s="410">
        <v>10.9</v>
      </c>
      <c r="K155" s="409">
        <v>4600</v>
      </c>
      <c r="L155" s="409">
        <v>2335</v>
      </c>
      <c r="M155" s="411">
        <v>0.5</v>
      </c>
      <c r="N155" s="409">
        <v>1000</v>
      </c>
      <c r="O155" s="406"/>
      <c r="P155" s="403"/>
      <c r="Q155" s="406" t="s">
        <v>237</v>
      </c>
    </row>
    <row r="156" spans="1:17" ht="12" customHeight="1" x14ac:dyDescent="0.25">
      <c r="A156" s="478">
        <v>42164</v>
      </c>
      <c r="B156" s="384"/>
      <c r="C156" s="407">
        <v>10.7</v>
      </c>
      <c r="D156" s="408">
        <v>4400</v>
      </c>
      <c r="E156" s="409">
        <v>2420</v>
      </c>
      <c r="F156" s="407">
        <v>1.1000000000000001</v>
      </c>
      <c r="G156" s="409">
        <v>1000</v>
      </c>
      <c r="H156" s="406" t="s">
        <v>239</v>
      </c>
      <c r="I156" s="403"/>
      <c r="J156" s="410">
        <v>10.9</v>
      </c>
      <c r="K156" s="409">
        <v>5200</v>
      </c>
      <c r="L156" s="409">
        <v>2860</v>
      </c>
      <c r="M156" s="411">
        <v>0.5</v>
      </c>
      <c r="N156" s="409">
        <v>1200</v>
      </c>
      <c r="O156" s="406" t="s">
        <v>239</v>
      </c>
      <c r="P156" s="403"/>
      <c r="Q156" s="406" t="s">
        <v>237</v>
      </c>
    </row>
    <row r="157" spans="1:17" ht="12" customHeight="1" x14ac:dyDescent="0.25">
      <c r="A157" s="478">
        <v>42187</v>
      </c>
      <c r="B157" s="384"/>
      <c r="C157" s="407">
        <v>10.5</v>
      </c>
      <c r="D157" s="408">
        <v>3700</v>
      </c>
      <c r="E157" s="409">
        <v>2050</v>
      </c>
      <c r="F157" s="407">
        <v>0.6</v>
      </c>
      <c r="G157" s="409">
        <v>1200</v>
      </c>
      <c r="H157" s="406" t="s">
        <v>239</v>
      </c>
      <c r="I157" s="403"/>
      <c r="J157" s="410">
        <v>10.7</v>
      </c>
      <c r="K157" s="409">
        <v>4300</v>
      </c>
      <c r="L157" s="409">
        <v>2315</v>
      </c>
      <c r="M157" s="411">
        <v>0.5</v>
      </c>
      <c r="N157" s="409">
        <v>1100</v>
      </c>
      <c r="O157" s="406" t="s">
        <v>239</v>
      </c>
      <c r="P157" s="403"/>
      <c r="Q157" s="406" t="s">
        <v>237</v>
      </c>
    </row>
    <row r="158" spans="1:17" ht="12" customHeight="1" x14ac:dyDescent="0.25">
      <c r="A158" s="479">
        <v>42214</v>
      </c>
      <c r="B158" s="384"/>
      <c r="C158" s="430">
        <v>10.4</v>
      </c>
      <c r="D158" s="431">
        <v>4600</v>
      </c>
      <c r="E158" s="432">
        <v>2530</v>
      </c>
      <c r="F158" s="430">
        <v>0.7</v>
      </c>
      <c r="G158" s="432">
        <v>1000</v>
      </c>
      <c r="H158" s="406" t="s">
        <v>239</v>
      </c>
      <c r="I158" s="403"/>
      <c r="J158" s="433">
        <v>10.5</v>
      </c>
      <c r="K158" s="432">
        <v>5000</v>
      </c>
      <c r="L158" s="432">
        <v>2750</v>
      </c>
      <c r="M158" s="434">
        <v>0.5</v>
      </c>
      <c r="N158" s="432">
        <v>1200</v>
      </c>
      <c r="O158" s="406" t="s">
        <v>239</v>
      </c>
      <c r="P158" s="403"/>
      <c r="Q158" s="435" t="s">
        <v>237</v>
      </c>
    </row>
    <row r="159" spans="1:17" ht="12" customHeight="1" x14ac:dyDescent="0.25">
      <c r="A159" s="479">
        <v>42248</v>
      </c>
      <c r="B159" s="384"/>
      <c r="C159" s="430">
        <v>10.4</v>
      </c>
      <c r="D159" s="431">
        <v>4200</v>
      </c>
      <c r="E159" s="432">
        <v>2310</v>
      </c>
      <c r="F159" s="430">
        <v>0.7</v>
      </c>
      <c r="G159" s="432">
        <v>1200</v>
      </c>
      <c r="H159" s="435"/>
      <c r="I159" s="403"/>
      <c r="J159" s="433">
        <v>10.5</v>
      </c>
      <c r="K159" s="432">
        <v>4800</v>
      </c>
      <c r="L159" s="432">
        <v>2640</v>
      </c>
      <c r="M159" s="434">
        <v>0.4</v>
      </c>
      <c r="N159" s="432">
        <v>800</v>
      </c>
      <c r="O159" s="435"/>
      <c r="P159" s="403"/>
      <c r="Q159" s="435" t="s">
        <v>237</v>
      </c>
    </row>
    <row r="160" spans="1:17" ht="12" customHeight="1" x14ac:dyDescent="0.25">
      <c r="A160" s="479">
        <v>42326</v>
      </c>
      <c r="B160" s="384"/>
      <c r="C160" s="430">
        <v>10.6</v>
      </c>
      <c r="D160" s="431">
        <v>4100</v>
      </c>
      <c r="E160" s="432">
        <v>2255</v>
      </c>
      <c r="F160" s="430">
        <v>0.8</v>
      </c>
      <c r="G160" s="432">
        <v>1200</v>
      </c>
      <c r="H160" s="435"/>
      <c r="I160" s="403"/>
      <c r="J160" s="433">
        <v>10.5</v>
      </c>
      <c r="K160" s="432">
        <v>4000</v>
      </c>
      <c r="L160" s="432">
        <v>2200</v>
      </c>
      <c r="M160" s="434">
        <v>0.5</v>
      </c>
      <c r="N160" s="432">
        <v>1100</v>
      </c>
      <c r="O160" s="435"/>
      <c r="P160" s="403"/>
      <c r="Q160" s="435" t="s">
        <v>237</v>
      </c>
    </row>
    <row r="161" spans="1:17" ht="12" customHeight="1" x14ac:dyDescent="0.25">
      <c r="A161" s="479">
        <v>42347</v>
      </c>
      <c r="B161" s="384"/>
      <c r="C161" s="430">
        <v>10.6</v>
      </c>
      <c r="D161" s="431">
        <v>4500</v>
      </c>
      <c r="E161" s="432">
        <v>2450</v>
      </c>
      <c r="F161" s="430">
        <v>0.8</v>
      </c>
      <c r="G161" s="432">
        <v>1100</v>
      </c>
      <c r="H161" s="435"/>
      <c r="I161" s="403"/>
      <c r="J161" s="433">
        <v>10.5</v>
      </c>
      <c r="K161" s="432">
        <v>4300</v>
      </c>
      <c r="L161" s="432">
        <v>2350</v>
      </c>
      <c r="M161" s="434">
        <v>0.5</v>
      </c>
      <c r="N161" s="432">
        <v>1000</v>
      </c>
      <c r="O161" s="435"/>
      <c r="P161" s="403"/>
      <c r="Q161" s="435" t="s">
        <v>237</v>
      </c>
    </row>
    <row r="162" spans="1:17" ht="12" customHeight="1" x14ac:dyDescent="0.25">
      <c r="A162" s="479">
        <v>42383</v>
      </c>
      <c r="B162" s="384"/>
      <c r="C162" s="430">
        <v>10.9</v>
      </c>
      <c r="D162" s="431">
        <v>4500</v>
      </c>
      <c r="E162" s="432">
        <v>2480</v>
      </c>
      <c r="F162" s="430">
        <v>0.9</v>
      </c>
      <c r="G162" s="432">
        <v>1000</v>
      </c>
      <c r="H162" s="435"/>
      <c r="I162" s="403"/>
      <c r="J162" s="433">
        <v>10.5</v>
      </c>
      <c r="K162" s="432">
        <v>4200</v>
      </c>
      <c r="L162" s="432">
        <v>2310</v>
      </c>
      <c r="M162" s="434">
        <v>0.5</v>
      </c>
      <c r="N162" s="432">
        <v>900</v>
      </c>
      <c r="O162" s="435"/>
      <c r="P162" s="403"/>
      <c r="Q162" s="435" t="s">
        <v>237</v>
      </c>
    </row>
    <row r="163" spans="1:17" ht="12" customHeight="1" x14ac:dyDescent="0.25">
      <c r="A163" s="479">
        <v>42396</v>
      </c>
      <c r="B163" s="384"/>
      <c r="C163" s="430">
        <v>10.8</v>
      </c>
      <c r="D163" s="431">
        <v>4400</v>
      </c>
      <c r="E163" s="432">
        <v>2480</v>
      </c>
      <c r="F163" s="430">
        <v>0.8</v>
      </c>
      <c r="G163" s="432">
        <v>900</v>
      </c>
      <c r="H163" s="406" t="s">
        <v>239</v>
      </c>
      <c r="I163" s="403"/>
      <c r="J163" s="433">
        <v>10.4</v>
      </c>
      <c r="K163" s="432">
        <v>4200</v>
      </c>
      <c r="L163" s="432">
        <v>2300</v>
      </c>
      <c r="M163" s="434">
        <v>0.5</v>
      </c>
      <c r="N163" s="432">
        <v>800</v>
      </c>
      <c r="O163" s="406" t="s">
        <v>239</v>
      </c>
      <c r="P163" s="403"/>
      <c r="Q163" s="435" t="s">
        <v>237</v>
      </c>
    </row>
    <row r="164" spans="1:17" ht="12" customHeight="1" x14ac:dyDescent="0.25">
      <c r="A164" s="479">
        <v>42406</v>
      </c>
      <c r="B164" s="384"/>
      <c r="C164" s="430">
        <v>10.5</v>
      </c>
      <c r="D164" s="431">
        <v>3800</v>
      </c>
      <c r="E164" s="432">
        <v>2200</v>
      </c>
      <c r="F164" s="430">
        <v>0.8</v>
      </c>
      <c r="G164" s="432">
        <v>900</v>
      </c>
      <c r="H164" s="435"/>
      <c r="I164" s="403"/>
      <c r="J164" s="433">
        <v>10.3</v>
      </c>
      <c r="K164" s="432">
        <v>3800</v>
      </c>
      <c r="L164" s="432">
        <v>2080</v>
      </c>
      <c r="M164" s="434">
        <v>0.4</v>
      </c>
      <c r="N164" s="432">
        <v>800</v>
      </c>
      <c r="O164" s="435"/>
      <c r="P164" s="403"/>
      <c r="Q164" s="435" t="s">
        <v>237</v>
      </c>
    </row>
    <row r="165" spans="1:17" ht="12" customHeight="1" x14ac:dyDescent="0.25">
      <c r="A165" s="479">
        <v>42421</v>
      </c>
      <c r="B165" s="384"/>
      <c r="C165" s="430">
        <v>10.8</v>
      </c>
      <c r="D165" s="431">
        <v>4300</v>
      </c>
      <c r="E165" s="432">
        <v>2365</v>
      </c>
      <c r="F165" s="430">
        <v>0.5</v>
      </c>
      <c r="G165" s="432">
        <v>800</v>
      </c>
      <c r="H165" s="406" t="s">
        <v>239</v>
      </c>
      <c r="I165" s="403"/>
      <c r="J165" s="433">
        <v>10.3</v>
      </c>
      <c r="K165" s="432">
        <v>4000</v>
      </c>
      <c r="L165" s="432">
        <v>2200</v>
      </c>
      <c r="M165" s="434">
        <v>0.5</v>
      </c>
      <c r="N165" s="432">
        <v>900</v>
      </c>
      <c r="O165" s="406" t="s">
        <v>239</v>
      </c>
      <c r="P165" s="403"/>
      <c r="Q165" s="435" t="s">
        <v>237</v>
      </c>
    </row>
    <row r="166" spans="1:17" ht="12" customHeight="1" x14ac:dyDescent="0.25">
      <c r="A166" s="479">
        <v>42439</v>
      </c>
      <c r="B166" s="384"/>
      <c r="C166" s="430">
        <v>10.6</v>
      </c>
      <c r="D166" s="431">
        <v>3800</v>
      </c>
      <c r="E166" s="432">
        <v>2090</v>
      </c>
      <c r="F166" s="430">
        <v>0.5</v>
      </c>
      <c r="G166" s="432">
        <v>750</v>
      </c>
      <c r="H166" s="406" t="s">
        <v>239</v>
      </c>
      <c r="I166" s="403"/>
      <c r="J166" s="433">
        <v>10.199999999999999</v>
      </c>
      <c r="K166" s="432">
        <v>3700</v>
      </c>
      <c r="L166" s="432">
        <v>2030</v>
      </c>
      <c r="M166" s="434">
        <v>0.5</v>
      </c>
      <c r="N166" s="432">
        <v>700</v>
      </c>
      <c r="O166" s="406" t="s">
        <v>239</v>
      </c>
      <c r="P166" s="403"/>
      <c r="Q166" s="435" t="s">
        <v>237</v>
      </c>
    </row>
    <row r="167" spans="1:17" ht="12" customHeight="1" x14ac:dyDescent="0.25">
      <c r="A167" s="479">
        <v>42466</v>
      </c>
      <c r="B167" s="384"/>
      <c r="C167" s="430">
        <v>10.4</v>
      </c>
      <c r="D167" s="431">
        <v>2500</v>
      </c>
      <c r="E167" s="432">
        <v>1370</v>
      </c>
      <c r="F167" s="430">
        <v>0.5</v>
      </c>
      <c r="G167" s="432">
        <v>600</v>
      </c>
      <c r="H167" s="435"/>
      <c r="I167" s="403"/>
      <c r="J167" s="433">
        <v>10.1</v>
      </c>
      <c r="K167" s="432">
        <v>2300</v>
      </c>
      <c r="L167" s="432">
        <v>1250</v>
      </c>
      <c r="M167" s="434">
        <v>0.5</v>
      </c>
      <c r="N167" s="432">
        <v>550</v>
      </c>
      <c r="O167" s="435"/>
      <c r="P167" s="403"/>
      <c r="Q167" s="435" t="s">
        <v>237</v>
      </c>
    </row>
    <row r="168" spans="1:17" ht="12" customHeight="1" x14ac:dyDescent="0.25">
      <c r="A168" s="479">
        <v>42477</v>
      </c>
      <c r="B168" s="384"/>
      <c r="C168" s="430">
        <v>10.4</v>
      </c>
      <c r="D168" s="431">
        <v>2300</v>
      </c>
      <c r="E168" s="432">
        <v>1540</v>
      </c>
      <c r="F168" s="430">
        <v>0.5</v>
      </c>
      <c r="G168" s="432">
        <v>600</v>
      </c>
      <c r="H168" s="435"/>
      <c r="I168" s="403"/>
      <c r="J168" s="433">
        <v>10</v>
      </c>
      <c r="K168" s="432">
        <v>6500</v>
      </c>
      <c r="L168" s="432">
        <v>3600</v>
      </c>
      <c r="M168" s="434">
        <v>0.5</v>
      </c>
      <c r="N168" s="432">
        <v>1000</v>
      </c>
      <c r="O168" s="435"/>
      <c r="P168" s="403"/>
      <c r="Q168" s="435" t="s">
        <v>237</v>
      </c>
    </row>
    <row r="169" spans="1:17" ht="12" customHeight="1" x14ac:dyDescent="0.25">
      <c r="A169" s="479">
        <v>42497</v>
      </c>
      <c r="B169" s="384"/>
      <c r="C169" s="430">
        <v>10.5</v>
      </c>
      <c r="D169" s="431">
        <v>3200</v>
      </c>
      <c r="E169" s="432">
        <v>1750</v>
      </c>
      <c r="F169" s="430">
        <v>0.5</v>
      </c>
      <c r="G169" s="432">
        <v>620</v>
      </c>
      <c r="H169" s="406" t="s">
        <v>239</v>
      </c>
      <c r="I169" s="403"/>
      <c r="J169" s="433">
        <v>10</v>
      </c>
      <c r="K169" s="432">
        <v>6000</v>
      </c>
      <c r="L169" s="432">
        <v>3300</v>
      </c>
      <c r="M169" s="434">
        <v>0.5</v>
      </c>
      <c r="N169" s="432">
        <v>950</v>
      </c>
      <c r="O169" s="406" t="s">
        <v>239</v>
      </c>
      <c r="P169" s="403"/>
      <c r="Q169" s="435" t="s">
        <v>237</v>
      </c>
    </row>
    <row r="170" spans="1:17" ht="12" customHeight="1" x14ac:dyDescent="0.25">
      <c r="A170" s="479" t="s">
        <v>242</v>
      </c>
      <c r="B170" s="384"/>
      <c r="C170" s="430">
        <v>10.6</v>
      </c>
      <c r="D170" s="431">
        <v>3400</v>
      </c>
      <c r="E170" s="432">
        <v>1870</v>
      </c>
      <c r="F170" s="430">
        <v>0.5</v>
      </c>
      <c r="G170" s="432">
        <v>650</v>
      </c>
      <c r="H170" s="406" t="s">
        <v>239</v>
      </c>
      <c r="I170" s="403"/>
      <c r="J170" s="433">
        <v>10</v>
      </c>
      <c r="K170" s="432">
        <v>3800</v>
      </c>
      <c r="L170" s="432">
        <v>2100</v>
      </c>
      <c r="M170" s="434">
        <v>0.5</v>
      </c>
      <c r="N170" s="432">
        <v>750</v>
      </c>
      <c r="O170" s="406" t="s">
        <v>239</v>
      </c>
      <c r="P170" s="403"/>
      <c r="Q170" s="435" t="s">
        <v>237</v>
      </c>
    </row>
    <row r="171" spans="1:17" ht="12" customHeight="1" x14ac:dyDescent="0.25">
      <c r="A171" s="479">
        <v>42542</v>
      </c>
      <c r="B171" s="384"/>
      <c r="C171" s="430">
        <v>10.4</v>
      </c>
      <c r="D171" s="431">
        <v>3600</v>
      </c>
      <c r="E171" s="432">
        <v>1480</v>
      </c>
      <c r="F171" s="430">
        <v>0.3</v>
      </c>
      <c r="G171" s="432">
        <v>800</v>
      </c>
      <c r="H171" s="435"/>
      <c r="I171" s="403"/>
      <c r="J171" s="433">
        <v>9.1999999999999993</v>
      </c>
      <c r="K171" s="432">
        <v>3900</v>
      </c>
      <c r="L171" s="432">
        <v>2150</v>
      </c>
      <c r="M171" s="434">
        <v>0.4</v>
      </c>
      <c r="N171" s="432">
        <v>600</v>
      </c>
      <c r="O171" s="435"/>
      <c r="P171" s="403"/>
      <c r="Q171" s="435" t="s">
        <v>237</v>
      </c>
    </row>
    <row r="172" spans="1:17" ht="12" customHeight="1" x14ac:dyDescent="0.25">
      <c r="A172" s="479">
        <v>42585</v>
      </c>
      <c r="B172" s="384"/>
      <c r="C172" s="430">
        <v>11</v>
      </c>
      <c r="D172" s="431">
        <v>3500</v>
      </c>
      <c r="E172" s="432">
        <v>1925</v>
      </c>
      <c r="F172" s="430">
        <v>0.5</v>
      </c>
      <c r="G172" s="432">
        <v>800</v>
      </c>
      <c r="H172" s="435"/>
      <c r="I172" s="403"/>
      <c r="J172" s="433">
        <v>10.5</v>
      </c>
      <c r="K172" s="432">
        <v>2600</v>
      </c>
      <c r="L172" s="432">
        <v>1430</v>
      </c>
      <c r="M172" s="434">
        <v>0.5</v>
      </c>
      <c r="N172" s="432">
        <v>600</v>
      </c>
      <c r="O172" s="435"/>
      <c r="P172" s="403"/>
      <c r="Q172" s="435" t="s">
        <v>237</v>
      </c>
    </row>
    <row r="173" spans="1:17" ht="12" customHeight="1" x14ac:dyDescent="0.25">
      <c r="A173" s="479">
        <v>42621</v>
      </c>
      <c r="B173" s="384"/>
      <c r="C173" s="430">
        <v>10.8</v>
      </c>
      <c r="D173" s="431">
        <v>3500</v>
      </c>
      <c r="E173" s="432">
        <v>1925</v>
      </c>
      <c r="F173" s="430">
        <v>0.5</v>
      </c>
      <c r="G173" s="432">
        <v>800</v>
      </c>
      <c r="H173" s="435"/>
      <c r="I173" s="403"/>
      <c r="J173" s="433">
        <v>9.8000000000000007</v>
      </c>
      <c r="K173" s="432">
        <v>3300</v>
      </c>
      <c r="L173" s="432">
        <v>1815</v>
      </c>
      <c r="M173" s="434">
        <v>0.5</v>
      </c>
      <c r="N173" s="432">
        <v>650</v>
      </c>
      <c r="O173" s="435"/>
      <c r="P173" s="403"/>
      <c r="Q173" s="435" t="s">
        <v>237</v>
      </c>
    </row>
    <row r="174" spans="1:17" ht="12" customHeight="1" x14ac:dyDescent="0.25">
      <c r="A174" s="479">
        <v>42646</v>
      </c>
      <c r="B174" s="384"/>
      <c r="C174" s="430">
        <v>10.3</v>
      </c>
      <c r="D174" s="431">
        <v>3300</v>
      </c>
      <c r="E174" s="432">
        <v>1800</v>
      </c>
      <c r="F174" s="430">
        <v>0.4</v>
      </c>
      <c r="G174" s="432">
        <v>650</v>
      </c>
      <c r="H174" s="406" t="s">
        <v>239</v>
      </c>
      <c r="I174" s="403"/>
      <c r="J174" s="433">
        <v>10.199999999999999</v>
      </c>
      <c r="K174" s="432">
        <v>7800</v>
      </c>
      <c r="L174" s="432">
        <v>4300</v>
      </c>
      <c r="M174" s="434">
        <v>0.3</v>
      </c>
      <c r="N174" s="432">
        <v>1400</v>
      </c>
      <c r="O174" s="435" t="s">
        <v>239</v>
      </c>
      <c r="P174" s="403"/>
      <c r="Q174" s="435" t="s">
        <v>237</v>
      </c>
    </row>
    <row r="175" spans="1:17" ht="12" customHeight="1" x14ac:dyDescent="0.25">
      <c r="A175" s="479">
        <v>42672</v>
      </c>
      <c r="B175" s="384"/>
      <c r="C175" s="430">
        <v>10.5</v>
      </c>
      <c r="D175" s="431">
        <v>4300</v>
      </c>
      <c r="E175" s="432">
        <v>2370</v>
      </c>
      <c r="F175" s="430">
        <v>0.3</v>
      </c>
      <c r="G175" s="432">
        <v>1000</v>
      </c>
      <c r="H175" s="435"/>
      <c r="I175" s="403"/>
      <c r="J175" s="433">
        <v>9.6</v>
      </c>
      <c r="K175" s="432">
        <v>6000</v>
      </c>
      <c r="L175" s="432">
        <v>3300</v>
      </c>
      <c r="M175" s="434">
        <v>0.3</v>
      </c>
      <c r="N175" s="432">
        <v>1300</v>
      </c>
      <c r="O175" s="435"/>
      <c r="P175" s="403"/>
      <c r="Q175" s="435" t="s">
        <v>237</v>
      </c>
    </row>
    <row r="176" spans="1:17" ht="12" customHeight="1" x14ac:dyDescent="0.25">
      <c r="A176" s="479">
        <v>42690</v>
      </c>
      <c r="B176" s="384"/>
      <c r="C176" s="430">
        <v>10.5</v>
      </c>
      <c r="D176" s="431">
        <v>4200</v>
      </c>
      <c r="E176" s="432">
        <v>2200</v>
      </c>
      <c r="F176" s="430">
        <v>0.3</v>
      </c>
      <c r="G176" s="432">
        <v>1000</v>
      </c>
      <c r="H176" s="435"/>
      <c r="I176" s="403"/>
      <c r="J176" s="433">
        <v>9.6999999999999993</v>
      </c>
      <c r="K176" s="432">
        <v>6200</v>
      </c>
      <c r="L176" s="432">
        <v>3400</v>
      </c>
      <c r="M176" s="434">
        <v>0.3</v>
      </c>
      <c r="N176" s="432">
        <v>1200</v>
      </c>
      <c r="O176" s="435"/>
      <c r="P176" s="403"/>
      <c r="Q176" s="435" t="s">
        <v>237</v>
      </c>
    </row>
    <row r="177" spans="1:17" ht="12" customHeight="1" x14ac:dyDescent="0.25">
      <c r="A177" s="479">
        <v>42718</v>
      </c>
      <c r="B177" s="384"/>
      <c r="C177" s="430">
        <v>10.7</v>
      </c>
      <c r="D177" s="431">
        <v>6400</v>
      </c>
      <c r="E177" s="432">
        <v>3500</v>
      </c>
      <c r="F177" s="430">
        <v>0.4</v>
      </c>
      <c r="G177" s="432">
        <v>1200</v>
      </c>
      <c r="H177" s="435"/>
      <c r="I177" s="403"/>
      <c r="J177" s="433">
        <v>10</v>
      </c>
      <c r="K177" s="432">
        <v>4400</v>
      </c>
      <c r="L177" s="432">
        <v>2400</v>
      </c>
      <c r="M177" s="434">
        <v>0.4</v>
      </c>
      <c r="N177" s="432">
        <v>1200</v>
      </c>
      <c r="O177" s="435"/>
      <c r="P177" s="403"/>
      <c r="Q177" s="435" t="s">
        <v>237</v>
      </c>
    </row>
    <row r="178" spans="1:17" ht="12" customHeight="1" x14ac:dyDescent="0.25">
      <c r="A178" s="479">
        <v>42758</v>
      </c>
      <c r="B178" s="384"/>
      <c r="C178" s="430">
        <v>10.4</v>
      </c>
      <c r="D178" s="431">
        <v>4200</v>
      </c>
      <c r="E178" s="432">
        <v>2310</v>
      </c>
      <c r="F178" s="430">
        <v>0.4</v>
      </c>
      <c r="G178" s="432">
        <v>850</v>
      </c>
      <c r="H178" s="435"/>
      <c r="I178" s="403"/>
      <c r="J178" s="433">
        <v>9.4</v>
      </c>
      <c r="K178" s="432">
        <v>6100</v>
      </c>
      <c r="L178" s="432">
        <v>3355</v>
      </c>
      <c r="M178" s="434">
        <v>0.5</v>
      </c>
      <c r="N178" s="432">
        <v>1000</v>
      </c>
      <c r="O178" s="435"/>
      <c r="P178" s="403"/>
      <c r="Q178" s="435" t="s">
        <v>237</v>
      </c>
    </row>
    <row r="179" spans="1:17" ht="12" customHeight="1" x14ac:dyDescent="0.25">
      <c r="A179" s="479">
        <v>42806</v>
      </c>
      <c r="B179" s="384"/>
      <c r="C179" s="430">
        <v>10.8</v>
      </c>
      <c r="D179" s="431">
        <v>4400</v>
      </c>
      <c r="E179" s="432">
        <v>2400</v>
      </c>
      <c r="F179" s="430">
        <v>0.5</v>
      </c>
      <c r="G179" s="432">
        <v>1000</v>
      </c>
      <c r="H179" s="435">
        <v>0.09</v>
      </c>
      <c r="I179" s="403"/>
      <c r="J179" s="433">
        <v>10</v>
      </c>
      <c r="K179" s="432">
        <v>6000</v>
      </c>
      <c r="L179" s="432">
        <v>3300</v>
      </c>
      <c r="M179" s="434">
        <v>0.3</v>
      </c>
      <c r="N179" s="432">
        <v>1200</v>
      </c>
      <c r="O179" s="435">
        <v>0.09</v>
      </c>
      <c r="P179" s="403"/>
      <c r="Q179" s="435" t="s">
        <v>237</v>
      </c>
    </row>
    <row r="180" spans="1:17" ht="12" customHeight="1" x14ac:dyDescent="0.25">
      <c r="A180" s="479">
        <v>42827</v>
      </c>
      <c r="B180" s="384"/>
      <c r="C180" s="430">
        <v>10</v>
      </c>
      <c r="D180" s="431">
        <v>4200</v>
      </c>
      <c r="E180" s="432">
        <v>2300</v>
      </c>
      <c r="F180" s="430">
        <v>0.3</v>
      </c>
      <c r="G180" s="432">
        <v>900</v>
      </c>
      <c r="H180" s="435">
        <v>0.1</v>
      </c>
      <c r="I180" s="403"/>
      <c r="J180" s="433">
        <v>10.6</v>
      </c>
      <c r="K180" s="432">
        <v>5800</v>
      </c>
      <c r="L180" s="432">
        <v>3200</v>
      </c>
      <c r="M180" s="434">
        <v>0.5</v>
      </c>
      <c r="N180" s="432">
        <v>1200</v>
      </c>
      <c r="O180" s="435">
        <v>0.1</v>
      </c>
      <c r="P180" s="403"/>
      <c r="Q180" s="435" t="s">
        <v>237</v>
      </c>
    </row>
    <row r="181" spans="1:17" ht="12" customHeight="1" x14ac:dyDescent="0.25">
      <c r="A181" s="479">
        <v>42876</v>
      </c>
      <c r="B181" s="384"/>
      <c r="C181" s="430">
        <v>10.6</v>
      </c>
      <c r="D181" s="431">
        <v>4200</v>
      </c>
      <c r="E181" s="432">
        <v>2300</v>
      </c>
      <c r="F181" s="430">
        <v>0.5</v>
      </c>
      <c r="G181" s="432">
        <v>1200</v>
      </c>
      <c r="H181" s="435">
        <v>0.2</v>
      </c>
      <c r="I181" s="403"/>
      <c r="J181" s="433">
        <v>10</v>
      </c>
      <c r="K181" s="432">
        <v>5200</v>
      </c>
      <c r="L181" s="432">
        <v>2350</v>
      </c>
      <c r="M181" s="434">
        <v>0.5</v>
      </c>
      <c r="N181" s="432">
        <v>1200</v>
      </c>
      <c r="O181" s="435">
        <v>0.2</v>
      </c>
      <c r="P181" s="403"/>
      <c r="Q181" s="435" t="s">
        <v>237</v>
      </c>
    </row>
    <row r="182" spans="1:17" ht="12" customHeight="1" x14ac:dyDescent="0.25">
      <c r="A182" s="479">
        <v>42928</v>
      </c>
      <c r="B182" s="384"/>
      <c r="C182" s="430">
        <v>10.1</v>
      </c>
      <c r="D182" s="431">
        <v>3600</v>
      </c>
      <c r="E182" s="432">
        <v>1980</v>
      </c>
      <c r="F182" s="430">
        <v>0.3</v>
      </c>
      <c r="G182" s="432">
        <v>900</v>
      </c>
      <c r="H182" s="435"/>
      <c r="I182" s="403"/>
      <c r="J182" s="433">
        <v>9.8000000000000007</v>
      </c>
      <c r="K182" s="432">
        <v>3650</v>
      </c>
      <c r="L182" s="432">
        <v>2007</v>
      </c>
      <c r="M182" s="434">
        <v>0.4</v>
      </c>
      <c r="N182" s="432">
        <v>900</v>
      </c>
      <c r="O182" s="435"/>
      <c r="P182" s="403"/>
      <c r="Q182" s="435" t="s">
        <v>237</v>
      </c>
    </row>
    <row r="183" spans="1:17" ht="12" customHeight="1" x14ac:dyDescent="0.25">
      <c r="A183" s="479">
        <v>42960</v>
      </c>
      <c r="B183" s="384"/>
      <c r="C183" s="430">
        <v>10.1</v>
      </c>
      <c r="D183" s="431">
        <v>4200</v>
      </c>
      <c r="E183" s="432">
        <v>2300</v>
      </c>
      <c r="F183" s="430">
        <v>0.3</v>
      </c>
      <c r="G183" s="432">
        <v>1000</v>
      </c>
      <c r="H183" s="435">
        <v>0.2</v>
      </c>
      <c r="I183" s="403"/>
      <c r="J183" s="433">
        <v>9.9</v>
      </c>
      <c r="K183" s="432">
        <v>3800</v>
      </c>
      <c r="L183" s="432">
        <v>2100</v>
      </c>
      <c r="M183" s="434">
        <v>0.5</v>
      </c>
      <c r="N183" s="432">
        <v>900</v>
      </c>
      <c r="O183" s="435">
        <v>0.2</v>
      </c>
      <c r="P183" s="403"/>
      <c r="Q183" s="435" t="s">
        <v>237</v>
      </c>
    </row>
    <row r="184" spans="1:17" ht="12" customHeight="1" x14ac:dyDescent="0.25">
      <c r="A184" s="479">
        <v>42998</v>
      </c>
      <c r="B184" s="384"/>
      <c r="C184" s="430">
        <v>10</v>
      </c>
      <c r="D184" s="431">
        <v>4000</v>
      </c>
      <c r="E184" s="432">
        <v>2200</v>
      </c>
      <c r="F184" s="430">
        <v>0.3</v>
      </c>
      <c r="G184" s="432">
        <v>900</v>
      </c>
      <c r="H184" s="435">
        <v>0.2</v>
      </c>
      <c r="I184" s="403"/>
      <c r="J184" s="433">
        <v>9.8000000000000007</v>
      </c>
      <c r="K184" s="432">
        <v>3600</v>
      </c>
      <c r="L184" s="432">
        <v>2000</v>
      </c>
      <c r="M184" s="434">
        <v>0.5</v>
      </c>
      <c r="N184" s="432">
        <v>800</v>
      </c>
      <c r="O184" s="435">
        <v>0.2</v>
      </c>
      <c r="P184" s="403"/>
      <c r="Q184" s="435" t="s">
        <v>237</v>
      </c>
    </row>
    <row r="185" spans="1:17" ht="12" customHeight="1" x14ac:dyDescent="0.25">
      <c r="A185" s="479">
        <v>43037</v>
      </c>
      <c r="B185" s="384"/>
      <c r="C185" s="430">
        <v>10.199999999999999</v>
      </c>
      <c r="D185" s="431">
        <v>4200</v>
      </c>
      <c r="E185" s="432">
        <v>2300</v>
      </c>
      <c r="F185" s="430">
        <v>0.4</v>
      </c>
      <c r="G185" s="432">
        <v>900</v>
      </c>
      <c r="H185" s="435">
        <v>0.2</v>
      </c>
      <c r="I185" s="403"/>
      <c r="J185" s="433">
        <v>9.8000000000000007</v>
      </c>
      <c r="K185" s="432">
        <v>3600</v>
      </c>
      <c r="L185" s="432">
        <v>2000</v>
      </c>
      <c r="M185" s="434">
        <v>0.5</v>
      </c>
      <c r="N185" s="432">
        <v>800</v>
      </c>
      <c r="O185" s="435">
        <v>0.2</v>
      </c>
      <c r="P185" s="403"/>
      <c r="Q185" s="435" t="s">
        <v>237</v>
      </c>
    </row>
    <row r="186" spans="1:17" ht="12" customHeight="1" x14ac:dyDescent="0.25">
      <c r="A186" s="479">
        <v>43079</v>
      </c>
      <c r="B186" s="384"/>
      <c r="C186" s="430">
        <v>10.199999999999999</v>
      </c>
      <c r="D186" s="431">
        <v>4800</v>
      </c>
      <c r="E186" s="432">
        <v>2650</v>
      </c>
      <c r="F186" s="430">
        <v>0.5</v>
      </c>
      <c r="G186" s="432">
        <v>900</v>
      </c>
      <c r="H186" s="435">
        <v>0.2</v>
      </c>
      <c r="I186" s="403"/>
      <c r="J186" s="433">
        <v>9.8000000000000007</v>
      </c>
      <c r="K186" s="432">
        <v>3600</v>
      </c>
      <c r="L186" s="432">
        <v>2000</v>
      </c>
      <c r="M186" s="434">
        <v>0.4</v>
      </c>
      <c r="N186" s="432">
        <v>700</v>
      </c>
      <c r="O186" s="435">
        <v>0.2</v>
      </c>
      <c r="P186" s="403"/>
      <c r="Q186" s="435" t="s">
        <v>237</v>
      </c>
    </row>
    <row r="187" spans="1:17" ht="12" customHeight="1" x14ac:dyDescent="0.25">
      <c r="A187" s="479">
        <v>43104</v>
      </c>
      <c r="B187" s="384"/>
      <c r="C187" s="430">
        <v>10.199999999999999</v>
      </c>
      <c r="D187" s="431">
        <v>4500</v>
      </c>
      <c r="E187" s="432">
        <v>2500</v>
      </c>
      <c r="F187" s="430">
        <v>0.2</v>
      </c>
      <c r="G187" s="432">
        <v>900</v>
      </c>
      <c r="H187" s="435">
        <v>0.2</v>
      </c>
      <c r="I187" s="403"/>
      <c r="J187" s="433">
        <v>9.6</v>
      </c>
      <c r="K187" s="432">
        <v>3300</v>
      </c>
      <c r="L187" s="432">
        <v>1800</v>
      </c>
      <c r="M187" s="434">
        <v>0.3</v>
      </c>
      <c r="N187" s="432">
        <v>500</v>
      </c>
      <c r="O187" s="435">
        <v>0.2</v>
      </c>
      <c r="P187" s="403"/>
      <c r="Q187" s="435" t="s">
        <v>237</v>
      </c>
    </row>
    <row r="188" spans="1:17" ht="12" customHeight="1" x14ac:dyDescent="0.25">
      <c r="A188" s="479">
        <v>43139</v>
      </c>
      <c r="B188" s="384"/>
      <c r="C188" s="430">
        <v>10.1</v>
      </c>
      <c r="D188" s="431">
        <v>4300</v>
      </c>
      <c r="E188" s="432">
        <v>2350</v>
      </c>
      <c r="F188" s="430">
        <v>0.3</v>
      </c>
      <c r="G188" s="432">
        <v>900</v>
      </c>
      <c r="H188" s="435">
        <v>0.1</v>
      </c>
      <c r="I188" s="403"/>
      <c r="J188" s="433">
        <v>10.4</v>
      </c>
      <c r="K188" s="432">
        <v>4800</v>
      </c>
      <c r="L188" s="432">
        <v>2650</v>
      </c>
      <c r="M188" s="434">
        <v>0.5</v>
      </c>
      <c r="N188" s="432">
        <v>1100</v>
      </c>
      <c r="O188" s="435">
        <v>0.1</v>
      </c>
      <c r="P188" s="403"/>
      <c r="Q188" s="435" t="s">
        <v>237</v>
      </c>
    </row>
    <row r="189" spans="1:17" ht="12" customHeight="1" x14ac:dyDescent="0.25">
      <c r="A189" s="479">
        <v>43163</v>
      </c>
      <c r="B189" s="384"/>
      <c r="C189" s="430">
        <v>10.1</v>
      </c>
      <c r="D189" s="431">
        <v>4300</v>
      </c>
      <c r="E189" s="432">
        <v>2350</v>
      </c>
      <c r="F189" s="430">
        <v>0.3</v>
      </c>
      <c r="G189" s="432">
        <v>900</v>
      </c>
      <c r="H189" s="435"/>
      <c r="I189" s="403"/>
      <c r="J189" s="433">
        <v>10.4</v>
      </c>
      <c r="K189" s="432">
        <v>4900</v>
      </c>
      <c r="L189" s="432">
        <v>2700</v>
      </c>
      <c r="M189" s="434">
        <v>0.5</v>
      </c>
      <c r="N189" s="432">
        <v>1100</v>
      </c>
      <c r="O189" s="435"/>
      <c r="P189" s="403"/>
      <c r="Q189" s="435" t="s">
        <v>237</v>
      </c>
    </row>
    <row r="190" spans="1:17" ht="12" customHeight="1" x14ac:dyDescent="0.25">
      <c r="A190" s="479">
        <v>43187</v>
      </c>
      <c r="B190" s="384"/>
      <c r="C190" s="430">
        <v>10.1</v>
      </c>
      <c r="D190" s="431">
        <v>4100</v>
      </c>
      <c r="E190" s="432">
        <v>2250</v>
      </c>
      <c r="F190" s="430">
        <v>0.4</v>
      </c>
      <c r="G190" s="432">
        <v>900</v>
      </c>
      <c r="H190" s="435">
        <v>0.1</v>
      </c>
      <c r="I190" s="403"/>
      <c r="J190" s="433">
        <v>10.4</v>
      </c>
      <c r="K190" s="432">
        <v>4800</v>
      </c>
      <c r="L190" s="432">
        <v>2650</v>
      </c>
      <c r="M190" s="434">
        <v>0.5</v>
      </c>
      <c r="N190" s="432">
        <v>1100</v>
      </c>
      <c r="O190" s="435">
        <v>0.1</v>
      </c>
      <c r="P190" s="403"/>
      <c r="Q190" s="435" t="s">
        <v>237</v>
      </c>
    </row>
    <row r="191" spans="1:17" ht="12" customHeight="1" x14ac:dyDescent="0.25">
      <c r="A191" s="479">
        <v>43213</v>
      </c>
      <c r="B191" s="384"/>
      <c r="C191" s="430">
        <v>10.1</v>
      </c>
      <c r="D191" s="431">
        <v>4000</v>
      </c>
      <c r="E191" s="432">
        <v>2200</v>
      </c>
      <c r="F191" s="430">
        <v>0.4</v>
      </c>
      <c r="G191" s="432">
        <v>900</v>
      </c>
      <c r="H191" s="435">
        <v>0.1</v>
      </c>
      <c r="I191" s="403"/>
      <c r="J191" s="433">
        <v>10.4</v>
      </c>
      <c r="K191" s="432">
        <v>5000</v>
      </c>
      <c r="L191" s="432">
        <v>2750</v>
      </c>
      <c r="M191" s="434">
        <v>0.5</v>
      </c>
      <c r="N191" s="432">
        <v>1100</v>
      </c>
      <c r="O191" s="435">
        <v>0.15</v>
      </c>
      <c r="P191" s="403"/>
      <c r="Q191" s="435" t="s">
        <v>237</v>
      </c>
    </row>
    <row r="192" spans="1:17" ht="12" customHeight="1" x14ac:dyDescent="0.25">
      <c r="A192" s="479">
        <v>43276</v>
      </c>
      <c r="B192" s="384"/>
      <c r="C192" s="430">
        <v>10.5</v>
      </c>
      <c r="D192" s="431">
        <v>5400</v>
      </c>
      <c r="E192" s="432">
        <v>2970</v>
      </c>
      <c r="F192" s="430">
        <v>0.4</v>
      </c>
      <c r="G192" s="432">
        <v>1200</v>
      </c>
      <c r="H192" s="435">
        <v>0.1</v>
      </c>
      <c r="I192" s="403"/>
      <c r="J192" s="433">
        <v>10.4</v>
      </c>
      <c r="K192" s="432">
        <v>4300</v>
      </c>
      <c r="L192" s="432">
        <v>2370</v>
      </c>
      <c r="M192" s="434">
        <v>0.5</v>
      </c>
      <c r="N192" s="432">
        <v>1200</v>
      </c>
      <c r="O192" s="435">
        <v>0.1</v>
      </c>
      <c r="P192" s="403"/>
      <c r="Q192" s="435" t="s">
        <v>237</v>
      </c>
    </row>
    <row r="193" spans="1:17" ht="12" customHeight="1" x14ac:dyDescent="0.25">
      <c r="A193" s="479">
        <v>43319</v>
      </c>
      <c r="B193" s="384"/>
      <c r="C193" s="430">
        <v>10.5</v>
      </c>
      <c r="D193" s="431">
        <v>5100</v>
      </c>
      <c r="E193" s="432">
        <v>2800</v>
      </c>
      <c r="F193" s="430">
        <v>0.3</v>
      </c>
      <c r="G193" s="432">
        <v>1200</v>
      </c>
      <c r="H193" s="435">
        <v>0.1</v>
      </c>
      <c r="I193" s="403"/>
      <c r="J193" s="433">
        <v>10.3</v>
      </c>
      <c r="K193" s="432">
        <v>4200</v>
      </c>
      <c r="L193" s="432">
        <v>2300</v>
      </c>
      <c r="M193" s="434">
        <v>0.5</v>
      </c>
      <c r="N193" s="432">
        <v>1200</v>
      </c>
      <c r="O193" s="435">
        <v>0.1</v>
      </c>
      <c r="P193" s="403"/>
      <c r="Q193" s="435" t="s">
        <v>237</v>
      </c>
    </row>
    <row r="194" spans="1:17" ht="12" customHeight="1" x14ac:dyDescent="0.25">
      <c r="A194" s="479">
        <v>43358</v>
      </c>
      <c r="B194" s="384"/>
      <c r="C194" s="430">
        <v>10.6</v>
      </c>
      <c r="D194" s="431">
        <v>4200</v>
      </c>
      <c r="E194" s="432">
        <v>2300</v>
      </c>
      <c r="F194" s="430">
        <v>0.4</v>
      </c>
      <c r="G194" s="432">
        <v>1100</v>
      </c>
      <c r="H194" s="435">
        <v>0.1</v>
      </c>
      <c r="I194" s="403"/>
      <c r="J194" s="433">
        <v>10.4</v>
      </c>
      <c r="K194" s="432">
        <v>5200</v>
      </c>
      <c r="L194" s="432">
        <v>2850</v>
      </c>
      <c r="M194" s="434">
        <v>0.5</v>
      </c>
      <c r="N194" s="432">
        <v>1200</v>
      </c>
      <c r="O194" s="435">
        <v>0.15</v>
      </c>
      <c r="P194" s="403"/>
      <c r="Q194" s="435" t="s">
        <v>237</v>
      </c>
    </row>
    <row r="195" spans="1:17" ht="12" customHeight="1" x14ac:dyDescent="0.25">
      <c r="A195" s="479">
        <v>43396</v>
      </c>
      <c r="B195" s="384"/>
      <c r="C195" s="430">
        <v>10.199999999999999</v>
      </c>
      <c r="D195" s="431">
        <v>3800</v>
      </c>
      <c r="E195" s="432">
        <v>2100</v>
      </c>
      <c r="F195" s="430">
        <v>0.4</v>
      </c>
      <c r="G195" s="432">
        <v>1000</v>
      </c>
      <c r="H195" s="435">
        <v>0.1</v>
      </c>
      <c r="I195" s="403"/>
      <c r="J195" s="433">
        <v>10.3</v>
      </c>
      <c r="K195" s="432">
        <v>4400</v>
      </c>
      <c r="L195" s="432">
        <v>2400</v>
      </c>
      <c r="M195" s="434">
        <v>1.7</v>
      </c>
      <c r="N195" s="432">
        <v>700</v>
      </c>
      <c r="O195" s="435">
        <v>0.1</v>
      </c>
      <c r="P195" s="403"/>
      <c r="Q195" s="435" t="s">
        <v>237</v>
      </c>
    </row>
    <row r="196" spans="1:17" ht="12" customHeight="1" x14ac:dyDescent="0.25">
      <c r="A196" s="479">
        <v>43470</v>
      </c>
      <c r="B196" s="384"/>
      <c r="C196" s="430">
        <v>10.199999999999999</v>
      </c>
      <c r="D196" s="431">
        <v>3900</v>
      </c>
      <c r="E196" s="432">
        <v>2100</v>
      </c>
      <c r="F196" s="430">
        <v>0.2</v>
      </c>
      <c r="G196" s="432">
        <v>1000</v>
      </c>
      <c r="H196" s="435"/>
      <c r="I196" s="403"/>
      <c r="J196" s="433">
        <v>10.9</v>
      </c>
      <c r="K196" s="432">
        <v>8500</v>
      </c>
      <c r="L196" s="432">
        <v>4075</v>
      </c>
      <c r="M196" s="434">
        <v>1.2</v>
      </c>
      <c r="N196" s="432">
        <v>1200</v>
      </c>
      <c r="O196" s="435"/>
      <c r="P196" s="403"/>
      <c r="Q196" s="435" t="s">
        <v>237</v>
      </c>
    </row>
    <row r="197" spans="1:17" ht="12" customHeight="1" x14ac:dyDescent="0.25">
      <c r="A197" s="479">
        <v>43493</v>
      </c>
      <c r="B197" s="384"/>
      <c r="C197" s="430">
        <v>10.199999999999999</v>
      </c>
      <c r="D197" s="431">
        <v>3600</v>
      </c>
      <c r="E197" s="432">
        <v>2000</v>
      </c>
      <c r="F197" s="430">
        <v>0.3</v>
      </c>
      <c r="G197" s="432">
        <v>1000</v>
      </c>
      <c r="H197" s="435">
        <v>0.1</v>
      </c>
      <c r="I197" s="403"/>
      <c r="J197" s="433">
        <v>10.1</v>
      </c>
      <c r="K197" s="432">
        <v>8100</v>
      </c>
      <c r="L197" s="432">
        <v>4450</v>
      </c>
      <c r="M197" s="434">
        <v>1.3</v>
      </c>
      <c r="N197" s="432">
        <v>1200</v>
      </c>
      <c r="O197" s="435">
        <v>0.1</v>
      </c>
      <c r="P197" s="403"/>
      <c r="Q197" s="435" t="s">
        <v>237</v>
      </c>
    </row>
    <row r="198" spans="1:17" ht="12" customHeight="1" x14ac:dyDescent="0.25">
      <c r="A198" s="479">
        <v>43510</v>
      </c>
      <c r="B198" s="384"/>
      <c r="C198" s="430">
        <v>10.1</v>
      </c>
      <c r="D198" s="431">
        <v>3600</v>
      </c>
      <c r="E198" s="432">
        <v>2000</v>
      </c>
      <c r="F198" s="430">
        <v>0.3</v>
      </c>
      <c r="G198" s="432">
        <v>1000</v>
      </c>
      <c r="H198" s="435">
        <v>0.1</v>
      </c>
      <c r="I198" s="403"/>
      <c r="J198" s="433">
        <v>10.199999999999999</v>
      </c>
      <c r="K198" s="432">
        <v>8100</v>
      </c>
      <c r="L198" s="432">
        <v>4450</v>
      </c>
      <c r="M198" s="434">
        <v>1.4</v>
      </c>
      <c r="N198" s="432">
        <v>1200</v>
      </c>
      <c r="O198" s="435">
        <v>0.1</v>
      </c>
      <c r="P198" s="403"/>
      <c r="Q198" s="435" t="s">
        <v>237</v>
      </c>
    </row>
    <row r="199" spans="1:17" ht="12" customHeight="1" x14ac:dyDescent="0.25">
      <c r="A199" s="479">
        <v>43544</v>
      </c>
      <c r="B199" s="384"/>
      <c r="C199" s="430">
        <v>10.199999999999999</v>
      </c>
      <c r="D199" s="431">
        <v>3600</v>
      </c>
      <c r="E199" s="432">
        <v>2000</v>
      </c>
      <c r="F199" s="430">
        <v>0.4</v>
      </c>
      <c r="G199" s="432">
        <v>1000</v>
      </c>
      <c r="H199" s="435"/>
      <c r="I199" s="403"/>
      <c r="J199" s="433">
        <v>10.3</v>
      </c>
      <c r="K199" s="432">
        <v>8200</v>
      </c>
      <c r="L199" s="432">
        <v>4500</v>
      </c>
      <c r="M199" s="434">
        <v>1.4</v>
      </c>
      <c r="N199" s="432">
        <v>1200</v>
      </c>
      <c r="O199" s="435"/>
      <c r="P199" s="403"/>
      <c r="Q199" s="435" t="s">
        <v>237</v>
      </c>
    </row>
    <row r="200" spans="1:17" ht="12" customHeight="1" x14ac:dyDescent="0.25">
      <c r="A200" s="479">
        <v>43569</v>
      </c>
      <c r="B200" s="384"/>
      <c r="C200" s="430">
        <v>10.199999999999999</v>
      </c>
      <c r="D200" s="431">
        <v>3600</v>
      </c>
      <c r="E200" s="432">
        <v>2000</v>
      </c>
      <c r="F200" s="430">
        <v>0.4</v>
      </c>
      <c r="G200" s="432">
        <v>1000</v>
      </c>
      <c r="H200" s="435">
        <v>0.1</v>
      </c>
      <c r="I200" s="403"/>
      <c r="J200" s="433">
        <v>10.3</v>
      </c>
      <c r="K200" s="432">
        <v>8200</v>
      </c>
      <c r="L200" s="432">
        <v>4500</v>
      </c>
      <c r="M200" s="434">
        <v>1.3</v>
      </c>
      <c r="N200" s="432">
        <v>1200</v>
      </c>
      <c r="O200" s="435">
        <v>0.1</v>
      </c>
      <c r="P200" s="403"/>
      <c r="Q200" s="435" t="s">
        <v>237</v>
      </c>
    </row>
    <row r="201" spans="1:17" ht="12" customHeight="1" x14ac:dyDescent="0.25">
      <c r="A201" s="479">
        <v>43605</v>
      </c>
      <c r="B201" s="384"/>
      <c r="C201" s="430">
        <v>10.6</v>
      </c>
      <c r="D201" s="431">
        <v>3800</v>
      </c>
      <c r="E201" s="432">
        <v>2100</v>
      </c>
      <c r="F201" s="430">
        <v>0.4</v>
      </c>
      <c r="G201" s="432">
        <v>1000</v>
      </c>
      <c r="H201" s="435">
        <v>0.1</v>
      </c>
      <c r="I201" s="403"/>
      <c r="J201" s="433">
        <v>10</v>
      </c>
      <c r="K201" s="432">
        <v>8400</v>
      </c>
      <c r="L201" s="432">
        <v>4600</v>
      </c>
      <c r="M201" s="434">
        <v>1.2</v>
      </c>
      <c r="N201" s="432">
        <v>1200</v>
      </c>
      <c r="O201" s="435">
        <v>0.1</v>
      </c>
      <c r="P201" s="403"/>
      <c r="Q201" s="435" t="s">
        <v>237</v>
      </c>
    </row>
    <row r="202" spans="1:17" ht="12" customHeight="1" x14ac:dyDescent="0.25">
      <c r="A202" s="479">
        <v>43632</v>
      </c>
      <c r="B202" s="384"/>
      <c r="C202" s="430">
        <v>10.1</v>
      </c>
      <c r="D202" s="431">
        <v>3800</v>
      </c>
      <c r="E202" s="432">
        <v>2090</v>
      </c>
      <c r="F202" s="430">
        <v>0.4</v>
      </c>
      <c r="G202" s="432">
        <v>1000</v>
      </c>
      <c r="H202" s="435">
        <v>0.1</v>
      </c>
      <c r="I202" s="403"/>
      <c r="J202" s="433">
        <v>10.6</v>
      </c>
      <c r="K202" s="432">
        <v>8500</v>
      </c>
      <c r="L202" s="432">
        <v>4675</v>
      </c>
      <c r="M202" s="434">
        <v>1.2</v>
      </c>
      <c r="N202" s="432">
        <v>1200</v>
      </c>
      <c r="O202" s="435">
        <v>0.1</v>
      </c>
      <c r="P202" s="403"/>
      <c r="Q202" s="435" t="s">
        <v>237</v>
      </c>
    </row>
    <row r="203" spans="1:17" ht="12" customHeight="1" x14ac:dyDescent="0.25">
      <c r="A203" s="479">
        <v>43683</v>
      </c>
      <c r="B203" s="384"/>
      <c r="C203" s="430">
        <v>10.199999999999999</v>
      </c>
      <c r="D203" s="431">
        <v>3600</v>
      </c>
      <c r="E203" s="432">
        <v>2000</v>
      </c>
      <c r="F203" s="430">
        <v>0.3</v>
      </c>
      <c r="G203" s="432">
        <v>1000</v>
      </c>
      <c r="H203" s="435">
        <v>0.1</v>
      </c>
      <c r="I203" s="403"/>
      <c r="J203" s="433">
        <v>10.6</v>
      </c>
      <c r="K203" s="432">
        <v>8500</v>
      </c>
      <c r="L203" s="432">
        <v>4600</v>
      </c>
      <c r="M203" s="434">
        <v>0.9</v>
      </c>
      <c r="N203" s="432">
        <v>1000</v>
      </c>
      <c r="O203" s="435">
        <v>0.1</v>
      </c>
      <c r="P203" s="403"/>
      <c r="Q203" s="435" t="s">
        <v>237</v>
      </c>
    </row>
    <row r="204" spans="1:17" ht="12" customHeight="1" x14ac:dyDescent="0.25">
      <c r="A204" s="479">
        <v>43710</v>
      </c>
      <c r="B204" s="384"/>
      <c r="C204" s="430">
        <v>10.199999999999999</v>
      </c>
      <c r="D204" s="431">
        <v>3600</v>
      </c>
      <c r="E204" s="432">
        <v>2000</v>
      </c>
      <c r="F204" s="430">
        <v>0.3</v>
      </c>
      <c r="G204" s="432">
        <v>1000</v>
      </c>
      <c r="H204" s="435">
        <v>0.1</v>
      </c>
      <c r="I204" s="403"/>
      <c r="J204" s="433">
        <v>10.6</v>
      </c>
      <c r="K204" s="432">
        <v>8300</v>
      </c>
      <c r="L204" s="432">
        <v>4565</v>
      </c>
      <c r="M204" s="434">
        <v>1.1000000000000001</v>
      </c>
      <c r="N204" s="432">
        <v>1200</v>
      </c>
      <c r="O204" s="435">
        <v>0.1</v>
      </c>
      <c r="P204" s="403"/>
      <c r="Q204" s="435" t="s">
        <v>237</v>
      </c>
    </row>
    <row r="205" spans="1:17" ht="12" customHeight="1" x14ac:dyDescent="0.25">
      <c r="A205" s="479">
        <v>43723</v>
      </c>
      <c r="B205" s="384"/>
      <c r="C205" s="430">
        <v>10.3</v>
      </c>
      <c r="D205" s="431">
        <v>3720</v>
      </c>
      <c r="E205" s="432">
        <v>2050</v>
      </c>
      <c r="F205" s="430">
        <v>0.3</v>
      </c>
      <c r="G205" s="432">
        <v>1000</v>
      </c>
      <c r="H205" s="435">
        <v>0.1</v>
      </c>
      <c r="I205" s="403"/>
      <c r="J205" s="433">
        <v>10.7</v>
      </c>
      <c r="K205" s="432">
        <v>8500</v>
      </c>
      <c r="L205" s="432">
        <v>4675</v>
      </c>
      <c r="M205" s="434">
        <v>1.1000000000000001</v>
      </c>
      <c r="N205" s="432">
        <v>1200</v>
      </c>
      <c r="O205" s="435">
        <v>0.1</v>
      </c>
      <c r="P205" s="403"/>
      <c r="Q205" s="435" t="s">
        <v>237</v>
      </c>
    </row>
    <row r="206" spans="1:17" ht="12" customHeight="1" x14ac:dyDescent="0.25">
      <c r="A206" s="479">
        <v>43755</v>
      </c>
      <c r="B206" s="384"/>
      <c r="C206" s="430">
        <v>10.199999999999999</v>
      </c>
      <c r="D206" s="431">
        <v>3500</v>
      </c>
      <c r="E206" s="432">
        <v>1925</v>
      </c>
      <c r="F206" s="430">
        <v>0.4</v>
      </c>
      <c r="G206" s="432">
        <v>850</v>
      </c>
      <c r="H206" s="435">
        <v>0.1</v>
      </c>
      <c r="I206" s="403"/>
      <c r="J206" s="433">
        <v>10.7</v>
      </c>
      <c r="K206" s="432">
        <v>4450</v>
      </c>
      <c r="L206" s="432">
        <v>4450</v>
      </c>
      <c r="M206" s="434">
        <v>1.1000000000000001</v>
      </c>
      <c r="N206" s="432">
        <v>1200</v>
      </c>
      <c r="O206" s="435">
        <v>0.1</v>
      </c>
      <c r="P206" s="403"/>
      <c r="Q206" s="435" t="s">
        <v>237</v>
      </c>
    </row>
    <row r="207" spans="1:17" ht="12" customHeight="1" x14ac:dyDescent="0.25">
      <c r="A207" s="479">
        <v>43793</v>
      </c>
      <c r="B207" s="384"/>
      <c r="C207" s="430">
        <v>10.4</v>
      </c>
      <c r="D207" s="431">
        <v>3500</v>
      </c>
      <c r="E207" s="432">
        <v>1900</v>
      </c>
      <c r="F207" s="430">
        <v>0.5</v>
      </c>
      <c r="G207" s="432">
        <v>900</v>
      </c>
      <c r="H207" s="435">
        <v>0.1</v>
      </c>
      <c r="I207" s="403"/>
      <c r="J207" s="433">
        <v>10.7</v>
      </c>
      <c r="K207" s="432">
        <v>8400</v>
      </c>
      <c r="L207" s="432">
        <v>4600</v>
      </c>
      <c r="M207" s="434">
        <v>1.1000000000000001</v>
      </c>
      <c r="N207" s="432">
        <v>1200</v>
      </c>
      <c r="O207" s="435">
        <v>0.1</v>
      </c>
      <c r="P207" s="403"/>
      <c r="Q207" s="435" t="s">
        <v>237</v>
      </c>
    </row>
    <row r="208" spans="1:17" ht="12" customHeight="1" x14ac:dyDescent="0.25">
      <c r="A208" s="479">
        <v>43846</v>
      </c>
      <c r="B208" s="384"/>
      <c r="C208" s="430">
        <v>10.4</v>
      </c>
      <c r="D208" s="431">
        <v>3500</v>
      </c>
      <c r="E208" s="432">
        <v>1925</v>
      </c>
      <c r="F208" s="430">
        <v>0.5</v>
      </c>
      <c r="G208" s="432">
        <v>900</v>
      </c>
      <c r="H208" s="435"/>
      <c r="I208" s="403"/>
      <c r="J208" s="433">
        <v>10.3</v>
      </c>
      <c r="K208" s="432">
        <v>7800</v>
      </c>
      <c r="L208" s="432">
        <v>4290</v>
      </c>
      <c r="M208" s="434">
        <v>1.1000000000000001</v>
      </c>
      <c r="N208" s="432">
        <v>1200</v>
      </c>
      <c r="O208" s="435"/>
      <c r="P208" s="403"/>
      <c r="Q208" s="435" t="s">
        <v>237</v>
      </c>
    </row>
    <row r="209" spans="1:17" ht="12" customHeight="1" x14ac:dyDescent="0.25">
      <c r="A209" s="479">
        <v>43888</v>
      </c>
      <c r="B209" s="384"/>
      <c r="C209" s="430">
        <v>10.4</v>
      </c>
      <c r="D209" s="431">
        <v>3450</v>
      </c>
      <c r="E209" s="432">
        <v>1898</v>
      </c>
      <c r="F209" s="430">
        <v>0.5</v>
      </c>
      <c r="G209" s="432">
        <v>900</v>
      </c>
      <c r="H209" s="435"/>
      <c r="I209" s="403"/>
      <c r="J209" s="433">
        <v>10</v>
      </c>
      <c r="K209" s="432">
        <v>7700</v>
      </c>
      <c r="L209" s="432">
        <v>4235</v>
      </c>
      <c r="M209" s="434">
        <v>1</v>
      </c>
      <c r="N209" s="432">
        <v>1200</v>
      </c>
      <c r="O209" s="435"/>
      <c r="P209" s="403"/>
      <c r="Q209" s="435" t="s">
        <v>237</v>
      </c>
    </row>
    <row r="210" spans="1:17" ht="12" customHeight="1" x14ac:dyDescent="0.25">
      <c r="A210" s="479">
        <v>43894</v>
      </c>
      <c r="B210" s="384"/>
      <c r="C210" s="430">
        <v>10.4</v>
      </c>
      <c r="D210" s="431">
        <v>3500</v>
      </c>
      <c r="E210" s="432">
        <v>1825</v>
      </c>
      <c r="F210" s="430">
        <v>0.5</v>
      </c>
      <c r="G210" s="432">
        <v>900</v>
      </c>
      <c r="H210" s="435"/>
      <c r="I210" s="403"/>
      <c r="J210" s="433">
        <v>10</v>
      </c>
      <c r="K210" s="432">
        <v>7700</v>
      </c>
      <c r="L210" s="432">
        <v>4235</v>
      </c>
      <c r="M210" s="434">
        <v>1</v>
      </c>
      <c r="N210" s="432">
        <v>1200</v>
      </c>
      <c r="O210" s="435"/>
      <c r="P210" s="403"/>
      <c r="Q210" s="435" t="s">
        <v>237</v>
      </c>
    </row>
    <row r="211" spans="1:17" ht="12" customHeight="1" x14ac:dyDescent="0.25">
      <c r="A211" s="479">
        <v>44053</v>
      </c>
      <c r="B211" s="384"/>
      <c r="C211" s="430">
        <v>10.3</v>
      </c>
      <c r="D211" s="431">
        <v>4200</v>
      </c>
      <c r="E211" s="432">
        <v>2310</v>
      </c>
      <c r="F211" s="430">
        <v>0.5</v>
      </c>
      <c r="G211" s="432">
        <v>900</v>
      </c>
      <c r="H211" s="435"/>
      <c r="I211" s="403"/>
      <c r="J211" s="433">
        <v>9.8000000000000007</v>
      </c>
      <c r="K211" s="432">
        <v>7900</v>
      </c>
      <c r="L211" s="432">
        <v>4345</v>
      </c>
      <c r="M211" s="434">
        <v>1</v>
      </c>
      <c r="N211" s="432">
        <v>1200</v>
      </c>
      <c r="O211" s="435"/>
      <c r="P211" s="403"/>
      <c r="Q211" s="435" t="s">
        <v>237</v>
      </c>
    </row>
    <row r="212" spans="1:17" ht="12" customHeight="1" x14ac:dyDescent="0.25">
      <c r="A212" s="479">
        <v>44096</v>
      </c>
      <c r="B212" s="384"/>
      <c r="C212" s="430">
        <v>10.4</v>
      </c>
      <c r="D212" s="431">
        <v>3500</v>
      </c>
      <c r="E212" s="432">
        <v>1925</v>
      </c>
      <c r="F212" s="430">
        <v>0.5</v>
      </c>
      <c r="G212" s="432">
        <v>900</v>
      </c>
      <c r="H212" s="435">
        <v>0.1</v>
      </c>
      <c r="I212" s="403"/>
      <c r="J212" s="433">
        <v>10</v>
      </c>
      <c r="K212" s="432">
        <v>7700</v>
      </c>
      <c r="L212" s="432">
        <v>4235</v>
      </c>
      <c r="M212" s="434"/>
      <c r="N212" s="432">
        <v>1200</v>
      </c>
      <c r="O212" s="435">
        <v>0.1</v>
      </c>
      <c r="P212" s="403"/>
      <c r="Q212" s="435" t="s">
        <v>237</v>
      </c>
    </row>
    <row r="213" spans="1:17" ht="12" customHeight="1" x14ac:dyDescent="0.25">
      <c r="A213" s="479">
        <v>44118</v>
      </c>
      <c r="B213" s="384"/>
      <c r="C213" s="430">
        <v>10.4</v>
      </c>
      <c r="D213" s="431">
        <v>3500</v>
      </c>
      <c r="E213" s="432">
        <v>1925</v>
      </c>
      <c r="F213" s="430">
        <v>0.5</v>
      </c>
      <c r="G213" s="432">
        <v>900</v>
      </c>
      <c r="H213" s="435"/>
      <c r="I213" s="403"/>
      <c r="J213" s="433">
        <v>10</v>
      </c>
      <c r="K213" s="432">
        <v>7700</v>
      </c>
      <c r="L213" s="432">
        <v>4235</v>
      </c>
      <c r="M213" s="434">
        <v>1</v>
      </c>
      <c r="N213" s="432">
        <v>1200</v>
      </c>
      <c r="O213" s="435"/>
      <c r="P213" s="403"/>
      <c r="Q213" s="435" t="s">
        <v>237</v>
      </c>
    </row>
    <row r="214" spans="1:17" ht="12" customHeight="1" x14ac:dyDescent="0.25">
      <c r="A214" s="479">
        <v>44149</v>
      </c>
      <c r="B214" s="384"/>
      <c r="C214" s="430">
        <v>10.4</v>
      </c>
      <c r="D214" s="431">
        <v>3500</v>
      </c>
      <c r="E214" s="432">
        <v>1925</v>
      </c>
      <c r="F214" s="430">
        <v>0.5</v>
      </c>
      <c r="G214" s="432">
        <v>900</v>
      </c>
      <c r="H214" s="435"/>
      <c r="I214" s="403"/>
      <c r="J214" s="433">
        <v>10</v>
      </c>
      <c r="K214" s="432">
        <v>7700</v>
      </c>
      <c r="L214" s="432">
        <v>4235</v>
      </c>
      <c r="M214" s="434">
        <v>1</v>
      </c>
      <c r="N214" s="432">
        <v>1200</v>
      </c>
      <c r="O214" s="435"/>
      <c r="P214" s="403"/>
      <c r="Q214" s="435" t="s">
        <v>237</v>
      </c>
    </row>
    <row r="215" spans="1:17" ht="12" customHeight="1" x14ac:dyDescent="0.25">
      <c r="A215" s="479">
        <v>44178</v>
      </c>
      <c r="B215" s="384"/>
      <c r="C215" s="430">
        <v>10.4</v>
      </c>
      <c r="D215" s="431">
        <v>3400</v>
      </c>
      <c r="E215" s="432">
        <v>1870</v>
      </c>
      <c r="F215" s="430">
        <v>0.5</v>
      </c>
      <c r="G215" s="432">
        <v>900</v>
      </c>
      <c r="H215" s="435">
        <v>0.1</v>
      </c>
      <c r="I215" s="403"/>
      <c r="J215" s="433">
        <v>10</v>
      </c>
      <c r="K215" s="432">
        <v>7600</v>
      </c>
      <c r="L215" s="432">
        <v>4180</v>
      </c>
      <c r="M215" s="434">
        <v>1</v>
      </c>
      <c r="N215" s="432">
        <v>1200</v>
      </c>
      <c r="O215" s="435">
        <v>0.1</v>
      </c>
      <c r="P215" s="403"/>
      <c r="Q215" s="435" t="s">
        <v>237</v>
      </c>
    </row>
    <row r="216" spans="1:17" ht="12" customHeight="1" x14ac:dyDescent="0.25">
      <c r="A216" s="479">
        <v>44209</v>
      </c>
      <c r="B216" s="384"/>
      <c r="C216" s="430">
        <v>10.4</v>
      </c>
      <c r="D216" s="431">
        <v>3400</v>
      </c>
      <c r="E216" s="432">
        <v>1870</v>
      </c>
      <c r="F216" s="430">
        <v>0.5</v>
      </c>
      <c r="G216" s="432">
        <v>900</v>
      </c>
      <c r="H216" s="435"/>
      <c r="I216" s="403"/>
      <c r="J216" s="433">
        <v>10</v>
      </c>
      <c r="K216" s="432">
        <v>7600</v>
      </c>
      <c r="L216" s="432">
        <v>4180</v>
      </c>
      <c r="M216" s="434">
        <v>1</v>
      </c>
      <c r="N216" s="432">
        <v>1200</v>
      </c>
      <c r="O216" s="435"/>
      <c r="P216" s="403"/>
      <c r="Q216" s="435" t="s">
        <v>237</v>
      </c>
    </row>
    <row r="217" spans="1:17" ht="12" customHeight="1" x14ac:dyDescent="0.25">
      <c r="A217" s="479">
        <v>44219</v>
      </c>
      <c r="B217" s="384"/>
      <c r="C217" s="430">
        <v>10.4</v>
      </c>
      <c r="D217" s="431">
        <v>3400</v>
      </c>
      <c r="E217" s="432">
        <v>1870</v>
      </c>
      <c r="F217" s="430">
        <v>0.5</v>
      </c>
      <c r="G217" s="432">
        <v>900</v>
      </c>
      <c r="H217" s="435"/>
      <c r="I217" s="403"/>
      <c r="J217" s="433">
        <v>10</v>
      </c>
      <c r="K217" s="432">
        <v>7600</v>
      </c>
      <c r="L217" s="432">
        <v>4180</v>
      </c>
      <c r="M217" s="434">
        <v>1</v>
      </c>
      <c r="N217" s="432">
        <v>1200</v>
      </c>
      <c r="O217" s="435"/>
      <c r="P217" s="403"/>
      <c r="Q217" s="435" t="s">
        <v>237</v>
      </c>
    </row>
    <row r="218" spans="1:17" ht="12" customHeight="1" x14ac:dyDescent="0.25">
      <c r="A218" s="479">
        <v>44230</v>
      </c>
      <c r="B218" s="384"/>
      <c r="C218" s="430">
        <v>10.4</v>
      </c>
      <c r="D218" s="431">
        <v>3400</v>
      </c>
      <c r="E218" s="432">
        <v>1870</v>
      </c>
      <c r="F218" s="430">
        <v>0.5</v>
      </c>
      <c r="G218" s="432">
        <v>900</v>
      </c>
      <c r="H218" s="435">
        <v>0.1</v>
      </c>
      <c r="I218" s="403"/>
      <c r="J218" s="433">
        <v>10</v>
      </c>
      <c r="K218" s="432">
        <v>7600</v>
      </c>
      <c r="L218" s="432">
        <v>4180</v>
      </c>
      <c r="M218" s="434">
        <v>1</v>
      </c>
      <c r="N218" s="432">
        <v>1200</v>
      </c>
      <c r="O218" s="435">
        <v>0.1</v>
      </c>
      <c r="P218" s="403"/>
      <c r="Q218" s="435" t="s">
        <v>237</v>
      </c>
    </row>
    <row r="219" spans="1:17" ht="12" customHeight="1" x14ac:dyDescent="0.25">
      <c r="A219" s="479">
        <v>44258</v>
      </c>
      <c r="B219" s="384"/>
      <c r="C219" s="430">
        <v>10.4</v>
      </c>
      <c r="D219" s="431">
        <v>3400</v>
      </c>
      <c r="E219" s="432">
        <v>1870</v>
      </c>
      <c r="F219" s="430">
        <v>0.5</v>
      </c>
      <c r="G219" s="432">
        <v>900</v>
      </c>
      <c r="H219" s="435"/>
      <c r="I219" s="403"/>
      <c r="J219" s="433">
        <v>10</v>
      </c>
      <c r="K219" s="432">
        <v>7600</v>
      </c>
      <c r="L219" s="432">
        <v>4180</v>
      </c>
      <c r="M219" s="434">
        <v>1</v>
      </c>
      <c r="N219" s="432">
        <v>1200</v>
      </c>
      <c r="O219" s="435"/>
      <c r="P219" s="403"/>
      <c r="Q219" s="435" t="s">
        <v>237</v>
      </c>
    </row>
    <row r="220" spans="1:17" ht="12" customHeight="1" x14ac:dyDescent="0.25">
      <c r="A220" s="479">
        <v>44273</v>
      </c>
      <c r="B220" s="384"/>
      <c r="C220" s="430">
        <v>10.4</v>
      </c>
      <c r="D220" s="431">
        <v>3700</v>
      </c>
      <c r="E220" s="432">
        <v>1870</v>
      </c>
      <c r="F220" s="430">
        <v>0.5</v>
      </c>
      <c r="G220" s="432">
        <v>900</v>
      </c>
      <c r="H220" s="435">
        <v>0.1</v>
      </c>
      <c r="I220" s="403"/>
      <c r="J220" s="433">
        <v>10</v>
      </c>
      <c r="K220" s="432">
        <v>7600</v>
      </c>
      <c r="L220" s="432">
        <v>4180</v>
      </c>
      <c r="M220" s="434">
        <v>1</v>
      </c>
      <c r="N220" s="432">
        <v>1200</v>
      </c>
      <c r="O220" s="435">
        <v>0.1</v>
      </c>
      <c r="P220" s="403"/>
      <c r="Q220" s="435" t="s">
        <v>237</v>
      </c>
    </row>
    <row r="221" spans="1:17" ht="12" customHeight="1" x14ac:dyDescent="0.25">
      <c r="A221" s="479">
        <v>44340</v>
      </c>
      <c r="B221" s="384"/>
      <c r="C221" s="430">
        <v>10.3</v>
      </c>
      <c r="D221" s="431">
        <v>3400</v>
      </c>
      <c r="E221" s="432">
        <v>1870</v>
      </c>
      <c r="F221" s="430">
        <v>0.5</v>
      </c>
      <c r="G221" s="432">
        <v>900</v>
      </c>
      <c r="H221" s="435">
        <v>0.1</v>
      </c>
      <c r="I221" s="403"/>
      <c r="J221" s="433">
        <v>9.8000000000000007</v>
      </c>
      <c r="K221" s="432">
        <v>7600</v>
      </c>
      <c r="L221" s="432">
        <v>4180</v>
      </c>
      <c r="M221" s="434">
        <v>1</v>
      </c>
      <c r="N221" s="432">
        <v>1200</v>
      </c>
      <c r="O221" s="435">
        <v>0.1</v>
      </c>
      <c r="P221" s="403"/>
      <c r="Q221" s="435" t="s">
        <v>237</v>
      </c>
    </row>
    <row r="222" spans="1:17" ht="12" customHeight="1" x14ac:dyDescent="0.25">
      <c r="A222" s="479" t="s">
        <v>243</v>
      </c>
      <c r="B222" s="384"/>
      <c r="C222" s="430">
        <v>10.3</v>
      </c>
      <c r="D222" s="431">
        <v>3400</v>
      </c>
      <c r="E222" s="432">
        <v>1870</v>
      </c>
      <c r="F222" s="430">
        <v>0.5</v>
      </c>
      <c r="G222" s="432">
        <v>900</v>
      </c>
      <c r="H222" s="435">
        <v>0.1</v>
      </c>
      <c r="I222" s="403"/>
      <c r="J222" s="433">
        <v>9.8000000000000007</v>
      </c>
      <c r="K222" s="432">
        <v>7600</v>
      </c>
      <c r="L222" s="432">
        <v>4180</v>
      </c>
      <c r="M222" s="434">
        <v>1</v>
      </c>
      <c r="N222" s="432">
        <v>1200</v>
      </c>
      <c r="O222" s="435">
        <v>0.1</v>
      </c>
      <c r="P222" s="403"/>
      <c r="Q222" s="435" t="s">
        <v>237</v>
      </c>
    </row>
    <row r="223" spans="1:17" ht="12" customHeight="1" x14ac:dyDescent="0.25">
      <c r="A223" s="479" t="s">
        <v>244</v>
      </c>
      <c r="B223" s="384"/>
      <c r="C223" s="430">
        <v>10.3</v>
      </c>
      <c r="D223" s="431">
        <v>3400</v>
      </c>
      <c r="E223" s="432">
        <v>1870</v>
      </c>
      <c r="F223" s="430">
        <v>0.5</v>
      </c>
      <c r="G223" s="432">
        <v>900</v>
      </c>
      <c r="H223" s="435">
        <v>0.1</v>
      </c>
      <c r="I223" s="403"/>
      <c r="J223" s="433">
        <v>9.8000000000000007</v>
      </c>
      <c r="K223" s="432">
        <v>7600</v>
      </c>
      <c r="L223" s="432">
        <v>4180</v>
      </c>
      <c r="M223" s="434">
        <v>1</v>
      </c>
      <c r="N223" s="432">
        <v>1200</v>
      </c>
      <c r="O223" s="435">
        <v>0.1</v>
      </c>
      <c r="P223" s="403"/>
      <c r="Q223" s="435" t="s">
        <v>237</v>
      </c>
    </row>
    <row r="224" spans="1:17" ht="12" customHeight="1" x14ac:dyDescent="0.25">
      <c r="A224" s="479" t="s">
        <v>245</v>
      </c>
      <c r="B224" s="384"/>
      <c r="C224" s="430">
        <v>10.4</v>
      </c>
      <c r="D224" s="431">
        <v>3400</v>
      </c>
      <c r="E224" s="432">
        <v>1870</v>
      </c>
      <c r="F224" s="430">
        <v>0.5</v>
      </c>
      <c r="G224" s="432">
        <v>900</v>
      </c>
      <c r="H224" s="435">
        <v>0.1</v>
      </c>
      <c r="I224" s="403"/>
      <c r="J224" s="433">
        <v>10</v>
      </c>
      <c r="K224" s="432">
        <v>7600</v>
      </c>
      <c r="L224" s="432">
        <v>4180</v>
      </c>
      <c r="M224" s="434">
        <v>1</v>
      </c>
      <c r="N224" s="432">
        <v>1200</v>
      </c>
      <c r="O224" s="435">
        <v>0.1</v>
      </c>
      <c r="P224" s="403"/>
      <c r="Q224" s="435" t="s">
        <v>237</v>
      </c>
    </row>
    <row r="225" spans="1:17" ht="12" customHeight="1" x14ac:dyDescent="0.25">
      <c r="A225" s="479" t="s">
        <v>246</v>
      </c>
      <c r="B225" s="384"/>
      <c r="C225" s="430">
        <v>10.4</v>
      </c>
      <c r="D225" s="431">
        <v>3400</v>
      </c>
      <c r="E225" s="432">
        <v>1870</v>
      </c>
      <c r="F225" s="430">
        <v>0.5</v>
      </c>
      <c r="G225" s="432">
        <v>900</v>
      </c>
      <c r="H225" s="435">
        <v>0.1</v>
      </c>
      <c r="I225" s="403"/>
      <c r="J225" s="433">
        <v>10</v>
      </c>
      <c r="K225" s="432">
        <v>7600</v>
      </c>
      <c r="L225" s="432">
        <v>4180</v>
      </c>
      <c r="M225" s="434">
        <v>1</v>
      </c>
      <c r="N225" s="432">
        <v>1200</v>
      </c>
      <c r="O225" s="435">
        <v>0.1</v>
      </c>
      <c r="P225" s="403"/>
      <c r="Q225" s="435" t="s">
        <v>237</v>
      </c>
    </row>
    <row r="226" spans="1:17" ht="12" customHeight="1" x14ac:dyDescent="0.25">
      <c r="A226" s="479" t="s">
        <v>247</v>
      </c>
      <c r="B226" s="384"/>
      <c r="C226" s="430">
        <v>10.4</v>
      </c>
      <c r="D226" s="431">
        <v>3400</v>
      </c>
      <c r="E226" s="432">
        <v>1870</v>
      </c>
      <c r="F226" s="430">
        <v>0.5</v>
      </c>
      <c r="G226" s="432">
        <v>900</v>
      </c>
      <c r="H226" s="435">
        <v>0.1</v>
      </c>
      <c r="I226" s="403"/>
      <c r="J226" s="433">
        <v>10</v>
      </c>
      <c r="K226" s="432">
        <v>7600</v>
      </c>
      <c r="L226" s="432">
        <v>4180</v>
      </c>
      <c r="M226" s="434">
        <v>1</v>
      </c>
      <c r="N226" s="432">
        <v>1200</v>
      </c>
      <c r="O226" s="435">
        <v>0.1</v>
      </c>
      <c r="P226" s="403"/>
      <c r="Q226" s="435" t="s">
        <v>237</v>
      </c>
    </row>
    <row r="227" spans="1:17" ht="12" customHeight="1" x14ac:dyDescent="0.25">
      <c r="A227" s="479">
        <v>44835</v>
      </c>
      <c r="B227" s="384"/>
      <c r="C227" s="430">
        <v>10.4</v>
      </c>
      <c r="D227" s="431">
        <v>3400</v>
      </c>
      <c r="E227" s="432">
        <v>1870</v>
      </c>
      <c r="F227" s="430">
        <v>0.5</v>
      </c>
      <c r="G227" s="432">
        <v>900</v>
      </c>
      <c r="H227" s="435">
        <v>0.1</v>
      </c>
      <c r="I227" s="403"/>
      <c r="J227" s="433">
        <v>10</v>
      </c>
      <c r="K227" s="432">
        <v>7500</v>
      </c>
      <c r="L227" s="432">
        <v>4125</v>
      </c>
      <c r="M227" s="434">
        <v>1</v>
      </c>
      <c r="N227" s="432">
        <v>1200</v>
      </c>
      <c r="O227" s="435">
        <v>0.1</v>
      </c>
      <c r="P227" s="403"/>
      <c r="Q227" s="435" t="s">
        <v>237</v>
      </c>
    </row>
    <row r="228" spans="1:17" ht="12" customHeight="1" x14ac:dyDescent="0.25">
      <c r="A228" s="479" t="s">
        <v>248</v>
      </c>
      <c r="B228" s="384"/>
      <c r="C228" s="430">
        <v>10.3</v>
      </c>
      <c r="D228" s="431">
        <v>3600</v>
      </c>
      <c r="E228" s="432">
        <v>1980</v>
      </c>
      <c r="F228" s="430">
        <v>0.5</v>
      </c>
      <c r="G228" s="432">
        <v>900</v>
      </c>
      <c r="H228" s="435">
        <v>0.1</v>
      </c>
      <c r="I228" s="403"/>
      <c r="J228" s="433">
        <v>9.8000000000000007</v>
      </c>
      <c r="K228" s="432">
        <v>7700</v>
      </c>
      <c r="L228" s="432">
        <v>4235</v>
      </c>
      <c r="M228" s="434">
        <v>1</v>
      </c>
      <c r="N228" s="432">
        <v>1200</v>
      </c>
      <c r="O228" s="435">
        <v>0.1</v>
      </c>
      <c r="P228" s="403"/>
      <c r="Q228" s="435" t="s">
        <v>237</v>
      </c>
    </row>
    <row r="229" spans="1:17" ht="12" customHeight="1" x14ac:dyDescent="0.25">
      <c r="A229" s="479" t="s">
        <v>249</v>
      </c>
      <c r="B229" s="384"/>
      <c r="C229" s="430">
        <v>10.3</v>
      </c>
      <c r="D229" s="431">
        <v>3600</v>
      </c>
      <c r="E229" s="432">
        <v>1980</v>
      </c>
      <c r="F229" s="430">
        <v>0.5</v>
      </c>
      <c r="G229" s="432">
        <v>900</v>
      </c>
      <c r="H229" s="435">
        <v>0.1</v>
      </c>
      <c r="I229" s="403"/>
      <c r="J229" s="433">
        <v>9.8000000000000007</v>
      </c>
      <c r="K229" s="432">
        <v>7700</v>
      </c>
      <c r="L229" s="432">
        <v>4235</v>
      </c>
      <c r="M229" s="434">
        <v>1</v>
      </c>
      <c r="N229" s="432">
        <v>1200</v>
      </c>
      <c r="O229" s="435">
        <v>0.1</v>
      </c>
      <c r="P229" s="403"/>
      <c r="Q229" s="435" t="s">
        <v>237</v>
      </c>
    </row>
    <row r="230" spans="1:17" ht="12" customHeight="1" x14ac:dyDescent="0.25">
      <c r="A230" s="479" t="s">
        <v>250</v>
      </c>
      <c r="B230" s="384"/>
      <c r="C230" s="430">
        <v>10.3</v>
      </c>
      <c r="D230" s="431">
        <v>3600</v>
      </c>
      <c r="E230" s="432">
        <v>1980</v>
      </c>
      <c r="F230" s="430">
        <v>0.5</v>
      </c>
      <c r="G230" s="432">
        <v>900</v>
      </c>
      <c r="H230" s="435">
        <v>0.1</v>
      </c>
      <c r="I230" s="403"/>
      <c r="J230" s="433">
        <v>9.8000000000000007</v>
      </c>
      <c r="K230" s="432">
        <v>7700</v>
      </c>
      <c r="L230" s="432">
        <v>4235</v>
      </c>
      <c r="M230" s="434">
        <v>1</v>
      </c>
      <c r="N230" s="432">
        <v>1200</v>
      </c>
      <c r="O230" s="435">
        <v>0.1</v>
      </c>
      <c r="P230" s="403"/>
      <c r="Q230" s="435" t="s">
        <v>237</v>
      </c>
    </row>
    <row r="231" spans="1:17" ht="12" customHeight="1" x14ac:dyDescent="0.25">
      <c r="A231" s="479" t="s">
        <v>251</v>
      </c>
      <c r="B231" s="384"/>
      <c r="C231" s="430">
        <v>10.3</v>
      </c>
      <c r="D231" s="431">
        <v>3800</v>
      </c>
      <c r="E231" s="432">
        <v>2090</v>
      </c>
      <c r="F231" s="430">
        <v>0.5</v>
      </c>
      <c r="G231" s="432">
        <v>800</v>
      </c>
      <c r="H231" s="435">
        <v>0.1</v>
      </c>
      <c r="I231" s="403"/>
      <c r="J231" s="433">
        <v>9.1999999999999993</v>
      </c>
      <c r="K231" s="432">
        <v>7300</v>
      </c>
      <c r="L231" s="432">
        <v>4015</v>
      </c>
      <c r="M231" s="434">
        <v>1</v>
      </c>
      <c r="N231" s="432"/>
      <c r="O231" s="435">
        <v>0.1</v>
      </c>
      <c r="P231" s="403"/>
      <c r="Q231" s="435" t="s">
        <v>237</v>
      </c>
    </row>
    <row r="232" spans="1:17" ht="12" customHeight="1" x14ac:dyDescent="0.25">
      <c r="A232" s="479" t="s">
        <v>252</v>
      </c>
      <c r="B232" s="384"/>
      <c r="C232" s="430">
        <v>10.3</v>
      </c>
      <c r="D232" s="431">
        <v>3800</v>
      </c>
      <c r="E232" s="432">
        <v>2100</v>
      </c>
      <c r="F232" s="430">
        <v>0.5</v>
      </c>
      <c r="G232" s="432">
        <v>900</v>
      </c>
      <c r="H232" s="435">
        <v>0.1</v>
      </c>
      <c r="I232" s="403"/>
      <c r="J232" s="433">
        <v>9.1999999999999993</v>
      </c>
      <c r="K232" s="432">
        <v>7300</v>
      </c>
      <c r="L232" s="432">
        <v>4050</v>
      </c>
      <c r="M232" s="434">
        <v>1</v>
      </c>
      <c r="N232" s="432">
        <v>1200</v>
      </c>
      <c r="O232" s="435">
        <v>0.1</v>
      </c>
      <c r="P232" s="403"/>
      <c r="Q232" s="435" t="s">
        <v>237</v>
      </c>
    </row>
    <row r="233" spans="1:17" ht="12" customHeight="1" x14ac:dyDescent="0.25">
      <c r="A233" s="479" t="s">
        <v>253</v>
      </c>
      <c r="B233" s="384">
        <v>0</v>
      </c>
      <c r="C233" s="430">
        <v>10.4</v>
      </c>
      <c r="D233" s="431">
        <v>4170</v>
      </c>
      <c r="E233" s="432">
        <v>2293</v>
      </c>
      <c r="F233" s="430">
        <v>0.5</v>
      </c>
      <c r="G233" s="432">
        <v>900</v>
      </c>
      <c r="H233" s="435">
        <v>0.1</v>
      </c>
      <c r="I233" s="403"/>
      <c r="J233" s="433"/>
      <c r="K233" s="432"/>
      <c r="L233" s="432"/>
      <c r="M233" s="434"/>
      <c r="N233" s="432"/>
      <c r="O233" s="435"/>
      <c r="P233" s="403"/>
      <c r="Q233" s="435" t="s">
        <v>237</v>
      </c>
    </row>
    <row r="234" spans="1:17" ht="12" customHeight="1" x14ac:dyDescent="0.25">
      <c r="A234" s="479">
        <v>45272</v>
      </c>
      <c r="B234" s="384"/>
      <c r="C234" s="430">
        <v>10.4</v>
      </c>
      <c r="D234" s="431">
        <v>3900</v>
      </c>
      <c r="E234" s="432">
        <v>2145</v>
      </c>
      <c r="F234" s="430">
        <v>0.5</v>
      </c>
      <c r="G234" s="432">
        <v>900</v>
      </c>
      <c r="H234" s="435">
        <v>0.1</v>
      </c>
      <c r="I234" s="403"/>
      <c r="J234" s="433">
        <v>9.1999999999999993</v>
      </c>
      <c r="K234" s="432">
        <v>7300</v>
      </c>
      <c r="L234" s="432">
        <v>4000</v>
      </c>
      <c r="M234" s="434">
        <v>1</v>
      </c>
      <c r="N234" s="432">
        <v>1100</v>
      </c>
      <c r="O234" s="435">
        <v>0.1</v>
      </c>
      <c r="P234" s="403"/>
      <c r="Q234" s="435" t="s">
        <v>237</v>
      </c>
    </row>
    <row r="235" spans="1:17" ht="12" customHeight="1" x14ac:dyDescent="0.25">
      <c r="A235" s="480">
        <v>45447</v>
      </c>
      <c r="B235" s="449"/>
      <c r="C235" s="450">
        <v>10.4</v>
      </c>
      <c r="D235" s="451">
        <v>3860</v>
      </c>
      <c r="E235" s="452">
        <v>2123</v>
      </c>
      <c r="F235" s="450">
        <v>0.5</v>
      </c>
      <c r="G235" s="452">
        <v>900</v>
      </c>
      <c r="H235" s="453"/>
      <c r="I235" s="454"/>
      <c r="J235" s="455">
        <v>10.5</v>
      </c>
      <c r="K235" s="452">
        <v>5830</v>
      </c>
      <c r="L235" s="452">
        <v>3206</v>
      </c>
      <c r="M235" s="456">
        <v>0.5</v>
      </c>
      <c r="N235" s="452">
        <v>1200</v>
      </c>
      <c r="O235" s="453"/>
      <c r="P235" s="454"/>
      <c r="Q235" s="453" t="s">
        <v>237</v>
      </c>
    </row>
    <row r="236" spans="1:17" ht="12" customHeight="1" x14ac:dyDescent="0.25">
      <c r="A236" s="480">
        <v>45454</v>
      </c>
      <c r="B236" s="449"/>
      <c r="C236" s="450">
        <v>10.1</v>
      </c>
      <c r="D236" s="451">
        <v>2460</v>
      </c>
      <c r="E236" s="452">
        <v>1353</v>
      </c>
      <c r="F236" s="450">
        <v>0.5</v>
      </c>
      <c r="G236" s="452">
        <v>900</v>
      </c>
      <c r="H236" s="453">
        <v>0.1</v>
      </c>
      <c r="I236" s="454"/>
      <c r="J236" s="455">
        <v>10.5</v>
      </c>
      <c r="K236" s="452">
        <v>6310</v>
      </c>
      <c r="L236" s="452">
        <v>3470</v>
      </c>
      <c r="M236" s="456">
        <v>0.5</v>
      </c>
      <c r="N236" s="452">
        <v>1200</v>
      </c>
      <c r="O236" s="453">
        <v>0.1</v>
      </c>
      <c r="P236" s="403"/>
      <c r="Q236" s="453" t="s">
        <v>237</v>
      </c>
    </row>
    <row r="237" spans="1:17" ht="12" customHeight="1" x14ac:dyDescent="0.25">
      <c r="A237" s="479">
        <v>45394</v>
      </c>
      <c r="B237" s="384"/>
      <c r="C237" s="450">
        <v>10.1</v>
      </c>
      <c r="D237" s="451">
        <v>4590</v>
      </c>
      <c r="E237" s="452">
        <v>2524</v>
      </c>
      <c r="F237" s="450">
        <v>0.5</v>
      </c>
      <c r="G237" s="452">
        <v>1100</v>
      </c>
      <c r="H237" s="453">
        <v>0.1</v>
      </c>
      <c r="I237" s="454"/>
      <c r="J237" s="455">
        <v>10.5</v>
      </c>
      <c r="K237" s="452">
        <v>5780</v>
      </c>
      <c r="L237" s="452">
        <v>3179</v>
      </c>
      <c r="M237" s="456">
        <v>0.5</v>
      </c>
      <c r="N237" s="452">
        <v>1200</v>
      </c>
      <c r="O237" s="453">
        <v>0.1</v>
      </c>
      <c r="P237" s="403"/>
      <c r="Q237" s="453" t="s">
        <v>237</v>
      </c>
    </row>
    <row r="238" spans="1:17" ht="12" customHeight="1" thickBot="1" x14ac:dyDescent="0.3">
      <c r="A238" s="481">
        <v>45643</v>
      </c>
      <c r="B238" s="384"/>
      <c r="C238" s="436">
        <v>10.5</v>
      </c>
      <c r="D238" s="437">
        <v>4590</v>
      </c>
      <c r="E238" s="438">
        <v>2524</v>
      </c>
      <c r="F238" s="436">
        <v>0.5</v>
      </c>
      <c r="G238" s="438">
        <v>1100</v>
      </c>
      <c r="H238" s="439">
        <v>0.1</v>
      </c>
      <c r="I238" s="403"/>
      <c r="J238" s="440">
        <v>10.5</v>
      </c>
      <c r="K238" s="438">
        <v>5780</v>
      </c>
      <c r="L238" s="438">
        <v>3179</v>
      </c>
      <c r="M238" s="441">
        <v>0.5</v>
      </c>
      <c r="N238" s="438">
        <v>1200</v>
      </c>
      <c r="O238" s="439">
        <v>0.1</v>
      </c>
      <c r="P238" s="403"/>
      <c r="Q238" s="453" t="s">
        <v>237</v>
      </c>
    </row>
    <row r="239" spans="1:17" ht="15.75" thickBot="1" x14ac:dyDescent="0.3">
      <c r="A239" s="481"/>
      <c r="B239" s="384"/>
      <c r="C239" s="436"/>
      <c r="D239" s="437"/>
      <c r="E239" s="438"/>
      <c r="F239" s="436"/>
      <c r="G239" s="438"/>
      <c r="H239" s="439"/>
      <c r="I239" s="403"/>
      <c r="J239" s="440"/>
      <c r="K239" s="438"/>
      <c r="L239" s="438"/>
      <c r="M239" s="441"/>
      <c r="N239" s="438"/>
      <c r="O239" s="439"/>
      <c r="P239" s="403"/>
      <c r="Q239" s="453"/>
    </row>
    <row r="240" spans="1:17" ht="15.75" thickBot="1" x14ac:dyDescent="0.3">
      <c r="A240" s="481"/>
      <c r="B240" s="384"/>
      <c r="C240" s="436"/>
      <c r="D240" s="437"/>
      <c r="E240" s="438"/>
      <c r="F240" s="436"/>
      <c r="G240" s="438"/>
      <c r="H240" s="439"/>
      <c r="I240" s="403"/>
      <c r="J240" s="440"/>
      <c r="K240" s="438"/>
      <c r="L240" s="438"/>
      <c r="M240" s="441"/>
      <c r="N240" s="438"/>
      <c r="O240" s="439"/>
      <c r="P240" s="403"/>
      <c r="Q240" s="453"/>
    </row>
    <row r="241" spans="1:9" x14ac:dyDescent="0.25">
      <c r="A241" s="475"/>
      <c r="B241" s="336"/>
      <c r="C241" s="337"/>
      <c r="D241" s="337"/>
      <c r="E241" s="337"/>
      <c r="F241" s="337"/>
      <c r="G241" s="337"/>
      <c r="H241" s="361"/>
      <c r="I241" s="337"/>
    </row>
    <row r="242" spans="1:9" x14ac:dyDescent="0.25">
      <c r="A242" s="475"/>
      <c r="B242" s="336"/>
      <c r="C242" s="337"/>
      <c r="D242" s="337"/>
      <c r="E242" s="337"/>
      <c r="F242" s="337"/>
      <c r="G242" s="337"/>
      <c r="H242" s="361"/>
      <c r="I242" s="337"/>
    </row>
    <row r="243" spans="1:9" x14ac:dyDescent="0.25">
      <c r="A243" s="475"/>
      <c r="B243" s="336"/>
      <c r="C243" s="337"/>
      <c r="D243" s="337"/>
      <c r="E243" s="337"/>
      <c r="F243" s="337"/>
      <c r="G243" s="337"/>
      <c r="H243" s="361"/>
      <c r="I243" s="337"/>
    </row>
    <row r="244" spans="1:9" x14ac:dyDescent="0.25">
      <c r="A244" s="475"/>
      <c r="B244" s="336"/>
      <c r="C244" s="337"/>
      <c r="D244" s="337"/>
      <c r="E244" s="337"/>
      <c r="F244" s="337"/>
      <c r="G244" s="337"/>
      <c r="H244" s="361"/>
      <c r="I244" s="337"/>
    </row>
    <row r="245" spans="1:9" x14ac:dyDescent="0.25">
      <c r="A245" s="475"/>
      <c r="B245" s="336"/>
      <c r="C245" s="337"/>
      <c r="D245" s="337"/>
      <c r="E245" s="337"/>
      <c r="F245" s="337"/>
      <c r="G245" s="337"/>
      <c r="H245" s="361"/>
      <c r="I245" s="337"/>
    </row>
    <row r="246" spans="1:9" x14ac:dyDescent="0.25">
      <c r="A246" s="475"/>
      <c r="B246" s="336"/>
      <c r="C246" s="337"/>
      <c r="D246" s="337"/>
      <c r="E246" s="337"/>
      <c r="F246" s="337"/>
      <c r="G246" s="337"/>
      <c r="H246" s="361"/>
      <c r="I246" s="337"/>
    </row>
    <row r="247" spans="1:9" x14ac:dyDescent="0.25">
      <c r="A247" s="475"/>
      <c r="B247" s="336"/>
      <c r="C247" s="337"/>
      <c r="D247" s="337"/>
      <c r="E247" s="337"/>
      <c r="F247" s="337"/>
      <c r="G247" s="337"/>
      <c r="H247" s="361"/>
      <c r="I247" s="337"/>
    </row>
    <row r="248" spans="1:9" x14ac:dyDescent="0.25">
      <c r="A248" s="475"/>
      <c r="B248" s="336"/>
      <c r="C248" s="337"/>
      <c r="D248" s="337"/>
      <c r="E248" s="337"/>
      <c r="F248" s="337"/>
      <c r="G248" s="337"/>
      <c r="H248" s="361"/>
      <c r="I248" s="337"/>
    </row>
    <row r="249" spans="1:9" x14ac:dyDescent="0.25">
      <c r="A249" s="475"/>
      <c r="B249" s="336"/>
      <c r="C249" s="337"/>
      <c r="D249" s="337"/>
      <c r="E249" s="337"/>
      <c r="F249" s="337"/>
      <c r="G249" s="337"/>
      <c r="H249" s="361"/>
      <c r="I249" s="337"/>
    </row>
    <row r="250" spans="1:9" x14ac:dyDescent="0.25">
      <c r="A250" s="475"/>
      <c r="B250" s="336"/>
      <c r="C250" s="337"/>
      <c r="D250" s="337"/>
      <c r="E250" s="337"/>
      <c r="F250" s="337"/>
      <c r="G250" s="337"/>
      <c r="H250" s="361"/>
      <c r="I250" s="337"/>
    </row>
    <row r="251" spans="1:9" x14ac:dyDescent="0.25">
      <c r="A251" s="475"/>
      <c r="B251" s="336"/>
      <c r="C251" s="337"/>
      <c r="D251" s="337"/>
      <c r="E251" s="337"/>
      <c r="F251" s="337"/>
      <c r="G251" s="337"/>
      <c r="H251" s="361"/>
      <c r="I251" s="337"/>
    </row>
    <row r="252" spans="1:9" x14ac:dyDescent="0.25">
      <c r="A252" s="475"/>
      <c r="B252" s="336"/>
      <c r="C252" s="337"/>
      <c r="D252" s="337"/>
      <c r="E252" s="337"/>
      <c r="F252" s="337"/>
      <c r="G252" s="337"/>
      <c r="H252" s="361"/>
      <c r="I252" s="337"/>
    </row>
    <row r="253" spans="1:9" x14ac:dyDescent="0.25">
      <c r="A253" s="475"/>
      <c r="B253" s="336"/>
      <c r="C253" s="337"/>
      <c r="D253" s="337"/>
      <c r="E253" s="337"/>
      <c r="F253" s="337"/>
      <c r="G253" s="337"/>
      <c r="H253" s="361"/>
      <c r="I253" s="337"/>
    </row>
    <row r="254" spans="1:9" x14ac:dyDescent="0.25">
      <c r="A254" s="475"/>
      <c r="B254" s="336"/>
      <c r="C254" s="337"/>
      <c r="D254" s="337"/>
      <c r="E254" s="337"/>
      <c r="F254" s="337"/>
      <c r="G254" s="337"/>
      <c r="H254" s="361"/>
      <c r="I254" s="337"/>
    </row>
    <row r="255" spans="1:9" x14ac:dyDescent="0.25">
      <c r="A255" s="475"/>
      <c r="B255" s="336"/>
      <c r="C255" s="337"/>
      <c r="D255" s="337"/>
      <c r="E255" s="337"/>
      <c r="F255" s="337"/>
      <c r="G255" s="337"/>
      <c r="H255" s="361"/>
      <c r="I255" s="337"/>
    </row>
    <row r="256" spans="1:9" x14ac:dyDescent="0.25">
      <c r="A256" s="475"/>
      <c r="B256" s="336"/>
      <c r="C256" s="337"/>
      <c r="D256" s="337"/>
      <c r="E256" s="337"/>
      <c r="F256" s="337"/>
      <c r="G256" s="337"/>
      <c r="H256" s="361"/>
      <c r="I256" s="337"/>
    </row>
    <row r="257" spans="1:9" x14ac:dyDescent="0.25">
      <c r="A257" s="475"/>
      <c r="B257" s="336"/>
      <c r="C257" s="337"/>
      <c r="D257" s="337"/>
      <c r="E257" s="337"/>
      <c r="F257" s="337"/>
      <c r="G257" s="337"/>
      <c r="H257" s="361"/>
      <c r="I257" s="337"/>
    </row>
    <row r="258" spans="1:9" x14ac:dyDescent="0.25">
      <c r="A258" s="475"/>
      <c r="B258" s="336"/>
      <c r="C258" s="337"/>
      <c r="D258" s="337"/>
      <c r="E258" s="337"/>
      <c r="F258" s="337"/>
      <c r="G258" s="337"/>
      <c r="H258" s="361"/>
      <c r="I258" s="337"/>
    </row>
    <row r="259" spans="1:9" x14ac:dyDescent="0.25">
      <c r="A259" s="475"/>
      <c r="B259" s="336"/>
      <c r="C259" s="337"/>
      <c r="D259" s="337"/>
      <c r="E259" s="337"/>
      <c r="F259" s="337"/>
      <c r="G259" s="337"/>
      <c r="H259" s="361"/>
      <c r="I259" s="337"/>
    </row>
    <row r="260" spans="1:9" x14ac:dyDescent="0.25">
      <c r="A260" s="475"/>
      <c r="B260" s="336"/>
      <c r="C260" s="337"/>
      <c r="D260" s="337"/>
      <c r="E260" s="337"/>
      <c r="F260" s="337"/>
      <c r="G260" s="337"/>
      <c r="H260" s="361"/>
      <c r="I260" s="337"/>
    </row>
    <row r="261" spans="1:9" x14ac:dyDescent="0.25">
      <c r="A261" s="475"/>
      <c r="B261" s="336"/>
      <c r="C261" s="337"/>
      <c r="D261" s="337"/>
      <c r="E261" s="337"/>
      <c r="F261" s="337"/>
      <c r="G261" s="337"/>
      <c r="H261" s="361"/>
      <c r="I261" s="337"/>
    </row>
    <row r="262" spans="1:9" x14ac:dyDescent="0.25">
      <c r="A262" s="475"/>
      <c r="B262" s="336"/>
      <c r="C262" s="337"/>
      <c r="D262" s="337"/>
      <c r="E262" s="337"/>
      <c r="F262" s="337"/>
      <c r="G262" s="337"/>
      <c r="H262" s="361"/>
      <c r="I262" s="337"/>
    </row>
    <row r="263" spans="1:9" x14ac:dyDescent="0.25">
      <c r="A263" s="475"/>
      <c r="B263" s="336"/>
      <c r="C263" s="337"/>
      <c r="D263" s="337"/>
      <c r="E263" s="337"/>
      <c r="F263" s="337"/>
      <c r="G263" s="337"/>
      <c r="H263" s="361"/>
      <c r="I263" s="337"/>
    </row>
    <row r="264" spans="1:9" x14ac:dyDescent="0.25">
      <c r="A264" s="475"/>
      <c r="B264" s="336"/>
      <c r="C264" s="337"/>
      <c r="D264" s="337"/>
      <c r="E264" s="337"/>
      <c r="F264" s="337"/>
      <c r="G264" s="337"/>
      <c r="H264" s="361"/>
      <c r="I264" s="337"/>
    </row>
    <row r="265" spans="1:9" x14ac:dyDescent="0.25">
      <c r="A265" s="475"/>
      <c r="B265" s="336"/>
      <c r="C265" s="337"/>
      <c r="D265" s="337"/>
      <c r="E265" s="337"/>
      <c r="F265" s="337"/>
      <c r="G265" s="337"/>
      <c r="H265" s="361"/>
      <c r="I265" s="337"/>
    </row>
    <row r="266" spans="1:9" x14ac:dyDescent="0.25">
      <c r="A266" s="475"/>
      <c r="B266" s="336"/>
      <c r="C266" s="337"/>
      <c r="D266" s="337"/>
      <c r="E266" s="337"/>
      <c r="F266" s="337"/>
      <c r="G266" s="337"/>
      <c r="H266" s="361"/>
      <c r="I266" s="337"/>
    </row>
    <row r="267" spans="1:9" x14ac:dyDescent="0.25">
      <c r="A267" s="475"/>
      <c r="B267" s="336"/>
      <c r="C267" s="337"/>
      <c r="D267" s="337"/>
      <c r="E267" s="337"/>
      <c r="F267" s="337"/>
      <c r="G267" s="337"/>
      <c r="H267" s="361"/>
      <c r="I267" s="337"/>
    </row>
    <row r="268" spans="1:9" x14ac:dyDescent="0.25">
      <c r="A268" s="475"/>
      <c r="B268" s="336"/>
      <c r="C268" s="337"/>
      <c r="D268" s="337"/>
      <c r="E268" s="337"/>
      <c r="F268" s="337"/>
      <c r="G268" s="337"/>
      <c r="H268" s="361"/>
      <c r="I268" s="337"/>
    </row>
    <row r="269" spans="1:9" x14ac:dyDescent="0.25">
      <c r="A269" s="475"/>
      <c r="B269" s="336"/>
      <c r="C269" s="337"/>
      <c r="D269" s="337"/>
      <c r="E269" s="337"/>
      <c r="F269" s="337"/>
      <c r="G269" s="337"/>
      <c r="H269" s="361"/>
      <c r="I269" s="337"/>
    </row>
    <row r="270" spans="1:9" x14ac:dyDescent="0.25">
      <c r="A270" s="475"/>
      <c r="B270" s="336"/>
      <c r="C270" s="337"/>
      <c r="D270" s="337"/>
      <c r="E270" s="337"/>
      <c r="F270" s="337"/>
      <c r="G270" s="337"/>
      <c r="H270" s="361"/>
      <c r="I270" s="337"/>
    </row>
    <row r="271" spans="1:9" x14ac:dyDescent="0.25">
      <c r="A271" s="475"/>
      <c r="B271" s="336"/>
      <c r="C271" s="337"/>
      <c r="D271" s="337"/>
      <c r="E271" s="337"/>
      <c r="F271" s="337"/>
      <c r="G271" s="337"/>
      <c r="H271" s="361"/>
      <c r="I271" s="337"/>
    </row>
    <row r="272" spans="1:9" x14ac:dyDescent="0.25">
      <c r="A272" s="475"/>
      <c r="B272" s="336"/>
      <c r="C272" s="337"/>
      <c r="D272" s="337"/>
      <c r="E272" s="337"/>
      <c r="F272" s="337"/>
      <c r="G272" s="337"/>
      <c r="H272" s="361"/>
      <c r="I272" s="337"/>
    </row>
    <row r="273" spans="1:9" x14ac:dyDescent="0.25">
      <c r="A273" s="475"/>
      <c r="B273" s="336"/>
      <c r="C273" s="337"/>
      <c r="D273" s="337"/>
      <c r="E273" s="337"/>
      <c r="F273" s="337"/>
      <c r="G273" s="337"/>
      <c r="H273" s="361"/>
      <c r="I273" s="337"/>
    </row>
    <row r="274" spans="1:9" x14ac:dyDescent="0.25">
      <c r="A274" s="475"/>
      <c r="B274" s="336"/>
      <c r="C274" s="337"/>
      <c r="D274" s="337"/>
      <c r="E274" s="337"/>
      <c r="F274" s="337"/>
      <c r="G274" s="337"/>
      <c r="H274" s="361"/>
      <c r="I274" s="337"/>
    </row>
    <row r="275" spans="1:9" x14ac:dyDescent="0.25">
      <c r="A275" s="475"/>
      <c r="B275" s="336"/>
      <c r="C275" s="337"/>
      <c r="D275" s="337"/>
      <c r="E275" s="337"/>
      <c r="F275" s="337"/>
      <c r="G275" s="337"/>
      <c r="H275" s="361"/>
      <c r="I275" s="337"/>
    </row>
    <row r="276" spans="1:9" x14ac:dyDescent="0.25">
      <c r="A276" s="475"/>
      <c r="B276" s="336"/>
      <c r="C276" s="337"/>
      <c r="D276" s="337"/>
      <c r="E276" s="337"/>
      <c r="F276" s="337"/>
      <c r="G276" s="337"/>
      <c r="H276" s="361"/>
      <c r="I276" s="337"/>
    </row>
    <row r="277" spans="1:9" x14ac:dyDescent="0.25">
      <c r="A277" s="475"/>
      <c r="B277" s="336"/>
      <c r="C277" s="337"/>
      <c r="D277" s="337"/>
      <c r="E277" s="337"/>
      <c r="F277" s="337"/>
      <c r="G277" s="337"/>
      <c r="H277" s="361"/>
      <c r="I277" s="337"/>
    </row>
    <row r="278" spans="1:9" x14ac:dyDescent="0.25">
      <c r="A278" s="475"/>
      <c r="B278" s="336"/>
      <c r="C278" s="337"/>
      <c r="D278" s="337"/>
      <c r="E278" s="337"/>
      <c r="F278" s="337"/>
      <c r="G278" s="337"/>
      <c r="H278" s="361"/>
      <c r="I278" s="337"/>
    </row>
    <row r="279" spans="1:9" x14ac:dyDescent="0.25">
      <c r="A279" s="475"/>
      <c r="B279" s="336"/>
      <c r="C279" s="337"/>
      <c r="D279" s="337"/>
      <c r="E279" s="337"/>
      <c r="F279" s="337"/>
      <c r="G279" s="337"/>
      <c r="H279" s="361"/>
      <c r="I279" s="337"/>
    </row>
    <row r="280" spans="1:9" x14ac:dyDescent="0.25">
      <c r="A280" s="475"/>
      <c r="B280" s="336"/>
      <c r="C280" s="337"/>
      <c r="D280" s="337"/>
      <c r="E280" s="337"/>
      <c r="F280" s="337"/>
      <c r="G280" s="337"/>
      <c r="H280" s="361"/>
      <c r="I280" s="337"/>
    </row>
    <row r="281" spans="1:9" x14ac:dyDescent="0.25">
      <c r="A281" s="475"/>
      <c r="B281" s="336"/>
      <c r="C281" s="337"/>
      <c r="D281" s="337"/>
      <c r="E281" s="337"/>
      <c r="F281" s="337"/>
      <c r="G281" s="337"/>
      <c r="H281" s="361"/>
      <c r="I281" s="337"/>
    </row>
    <row r="282" spans="1:9" x14ac:dyDescent="0.25">
      <c r="A282" s="475"/>
      <c r="B282" s="336"/>
      <c r="C282" s="337"/>
      <c r="D282" s="337"/>
      <c r="E282" s="337"/>
      <c r="F282" s="337"/>
      <c r="G282" s="337"/>
      <c r="H282" s="361"/>
      <c r="I282" s="337"/>
    </row>
    <row r="283" spans="1:9" x14ac:dyDescent="0.25">
      <c r="A283" s="475"/>
      <c r="B283" s="336"/>
      <c r="C283" s="337"/>
      <c r="D283" s="337"/>
      <c r="E283" s="337"/>
      <c r="F283" s="337"/>
      <c r="G283" s="337"/>
      <c r="H283" s="361"/>
      <c r="I283" s="337"/>
    </row>
    <row r="284" spans="1:9" x14ac:dyDescent="0.25">
      <c r="A284" s="475"/>
      <c r="B284" s="336"/>
      <c r="C284" s="337"/>
      <c r="D284" s="337"/>
      <c r="E284" s="337"/>
      <c r="F284" s="337"/>
      <c r="G284" s="337"/>
      <c r="H284" s="361"/>
      <c r="I284" s="337"/>
    </row>
    <row r="285" spans="1:9" x14ac:dyDescent="0.25">
      <c r="A285" s="475"/>
      <c r="B285" s="336"/>
      <c r="C285" s="337"/>
      <c r="D285" s="337"/>
      <c r="E285" s="337"/>
      <c r="F285" s="337"/>
      <c r="G285" s="337"/>
      <c r="H285" s="361"/>
      <c r="I285" s="337"/>
    </row>
    <row r="286" spans="1:9" x14ac:dyDescent="0.25">
      <c r="A286" s="475"/>
      <c r="B286" s="336"/>
      <c r="C286" s="337"/>
      <c r="D286" s="337"/>
      <c r="E286" s="337"/>
      <c r="F286" s="337"/>
      <c r="G286" s="337"/>
      <c r="H286" s="361"/>
      <c r="I286" s="337"/>
    </row>
    <row r="287" spans="1:9" x14ac:dyDescent="0.25">
      <c r="A287" s="475"/>
      <c r="B287" s="336"/>
      <c r="C287" s="337"/>
      <c r="D287" s="337"/>
      <c r="E287" s="337"/>
      <c r="F287" s="337"/>
      <c r="G287" s="337"/>
      <c r="H287" s="361"/>
      <c r="I287" s="337"/>
    </row>
    <row r="288" spans="1:9" x14ac:dyDescent="0.25">
      <c r="A288" s="475"/>
      <c r="B288" s="336"/>
      <c r="C288" s="337"/>
      <c r="D288" s="337"/>
      <c r="E288" s="337"/>
      <c r="F288" s="337"/>
      <c r="G288" s="337"/>
      <c r="H288" s="361"/>
      <c r="I288" s="337"/>
    </row>
    <row r="289" spans="1:9" x14ac:dyDescent="0.25">
      <c r="A289" s="475"/>
      <c r="B289" s="336"/>
      <c r="C289" s="337"/>
      <c r="D289" s="337"/>
      <c r="E289" s="337"/>
      <c r="F289" s="337"/>
      <c r="G289" s="337"/>
      <c r="H289" s="361"/>
      <c r="I289" s="337"/>
    </row>
    <row r="290" spans="1:9" x14ac:dyDescent="0.25">
      <c r="A290" s="475"/>
      <c r="B290" s="336"/>
      <c r="C290" s="337"/>
      <c r="D290" s="337"/>
      <c r="E290" s="337"/>
      <c r="F290" s="337"/>
      <c r="G290" s="337"/>
      <c r="H290" s="361"/>
      <c r="I290" s="337"/>
    </row>
    <row r="291" spans="1:9" x14ac:dyDescent="0.25">
      <c r="A291" s="475"/>
      <c r="B291" s="336"/>
      <c r="C291" s="337"/>
      <c r="D291" s="337"/>
      <c r="E291" s="337"/>
      <c r="F291" s="337"/>
      <c r="G291" s="337"/>
      <c r="H291" s="361"/>
      <c r="I291" s="337"/>
    </row>
    <row r="292" spans="1:9" x14ac:dyDescent="0.25">
      <c r="A292" s="475"/>
      <c r="B292" s="336"/>
      <c r="C292" s="337"/>
      <c r="D292" s="337"/>
      <c r="E292" s="337"/>
      <c r="F292" s="337"/>
      <c r="G292" s="337"/>
      <c r="H292" s="361"/>
      <c r="I292" s="337"/>
    </row>
    <row r="293" spans="1:9" x14ac:dyDescent="0.25">
      <c r="A293" s="475"/>
      <c r="B293" s="336"/>
      <c r="C293" s="337"/>
      <c r="D293" s="337"/>
      <c r="E293" s="337"/>
      <c r="F293" s="337"/>
      <c r="G293" s="337"/>
      <c r="H293" s="361"/>
      <c r="I293" s="337"/>
    </row>
    <row r="294" spans="1:9" x14ac:dyDescent="0.25">
      <c r="A294" s="475"/>
      <c r="B294" s="336"/>
      <c r="C294" s="337"/>
      <c r="D294" s="337"/>
      <c r="E294" s="337"/>
      <c r="F294" s="337"/>
      <c r="G294" s="337"/>
      <c r="H294" s="361"/>
      <c r="I294" s="337"/>
    </row>
    <row r="295" spans="1:9" x14ac:dyDescent="0.25">
      <c r="A295" s="475"/>
      <c r="B295" s="336"/>
      <c r="C295" s="337"/>
      <c r="D295" s="337"/>
      <c r="E295" s="337"/>
      <c r="F295" s="337"/>
      <c r="G295" s="337"/>
      <c r="H295" s="361"/>
      <c r="I295" s="337"/>
    </row>
    <row r="296" spans="1:9" x14ac:dyDescent="0.25">
      <c r="A296" s="475"/>
      <c r="B296" s="336"/>
      <c r="C296" s="337"/>
      <c r="D296" s="337"/>
      <c r="E296" s="337"/>
      <c r="F296" s="337"/>
      <c r="G296" s="337"/>
      <c r="H296" s="361"/>
      <c r="I296" s="337"/>
    </row>
    <row r="297" spans="1:9" x14ac:dyDescent="0.25">
      <c r="A297" s="475"/>
      <c r="B297" s="336"/>
      <c r="C297" s="337"/>
      <c r="D297" s="337"/>
      <c r="E297" s="337"/>
      <c r="F297" s="337"/>
      <c r="G297" s="337"/>
      <c r="H297" s="361"/>
      <c r="I297" s="337"/>
    </row>
    <row r="298" spans="1:9" x14ac:dyDescent="0.25">
      <c r="A298" s="475"/>
      <c r="B298" s="336"/>
      <c r="C298" s="337"/>
      <c r="D298" s="337"/>
      <c r="E298" s="337"/>
      <c r="F298" s="337"/>
      <c r="G298" s="337"/>
      <c r="H298" s="361"/>
      <c r="I298" s="337"/>
    </row>
    <row r="299" spans="1:9" x14ac:dyDescent="0.25">
      <c r="A299" s="475"/>
      <c r="B299" s="336"/>
      <c r="C299" s="337"/>
      <c r="D299" s="337"/>
      <c r="E299" s="337"/>
      <c r="F299" s="337"/>
      <c r="G299" s="337"/>
      <c r="H299" s="361"/>
      <c r="I299" s="337"/>
    </row>
    <row r="300" spans="1:9" x14ac:dyDescent="0.25">
      <c r="A300" s="475"/>
      <c r="B300" s="336"/>
      <c r="C300" s="337"/>
      <c r="D300" s="337"/>
      <c r="E300" s="337"/>
      <c r="F300" s="337"/>
      <c r="G300" s="337"/>
      <c r="H300" s="361"/>
      <c r="I300" s="337"/>
    </row>
    <row r="301" spans="1:9" x14ac:dyDescent="0.25">
      <c r="A301" s="475"/>
      <c r="B301" s="336"/>
      <c r="C301" s="337"/>
      <c r="D301" s="337"/>
      <c r="E301" s="337"/>
      <c r="F301" s="337"/>
      <c r="G301" s="337"/>
      <c r="H301" s="361"/>
      <c r="I301" s="337"/>
    </row>
    <row r="302" spans="1:9" x14ac:dyDescent="0.25">
      <c r="A302" s="475"/>
      <c r="B302" s="336"/>
      <c r="C302" s="337"/>
      <c r="D302" s="337"/>
      <c r="E302" s="337"/>
      <c r="F302" s="337"/>
      <c r="G302" s="337"/>
      <c r="H302" s="361"/>
      <c r="I302" s="337"/>
    </row>
    <row r="303" spans="1:9" x14ac:dyDescent="0.25">
      <c r="A303" s="475"/>
      <c r="B303" s="336"/>
      <c r="C303" s="337"/>
      <c r="D303" s="337"/>
      <c r="E303" s="337"/>
      <c r="F303" s="337"/>
      <c r="G303" s="337"/>
      <c r="H303" s="361"/>
      <c r="I303" s="337"/>
    </row>
    <row r="304" spans="1:9" x14ac:dyDescent="0.25">
      <c r="A304" s="475"/>
      <c r="B304" s="336"/>
      <c r="C304" s="337"/>
      <c r="D304" s="337"/>
      <c r="E304" s="337"/>
      <c r="F304" s="337"/>
      <c r="G304" s="337"/>
      <c r="H304" s="361"/>
      <c r="I304" s="337"/>
    </row>
    <row r="305" spans="1:9" x14ac:dyDescent="0.25">
      <c r="A305" s="475"/>
      <c r="B305" s="336"/>
      <c r="C305" s="337"/>
      <c r="D305" s="337"/>
      <c r="E305" s="337"/>
      <c r="F305" s="337"/>
      <c r="G305" s="337"/>
      <c r="H305" s="361"/>
      <c r="I305" s="337"/>
    </row>
    <row r="306" spans="1:9" x14ac:dyDescent="0.25">
      <c r="A306" s="475"/>
      <c r="B306" s="336"/>
      <c r="C306" s="337"/>
      <c r="D306" s="337"/>
      <c r="E306" s="337"/>
      <c r="F306" s="337"/>
      <c r="G306" s="337"/>
      <c r="H306" s="361"/>
      <c r="I306" s="337"/>
    </row>
    <row r="307" spans="1:9" x14ac:dyDescent="0.25">
      <c r="A307" s="475"/>
      <c r="B307" s="336"/>
      <c r="C307" s="337"/>
      <c r="D307" s="337"/>
      <c r="E307" s="337"/>
      <c r="F307" s="337"/>
      <c r="G307" s="337"/>
      <c r="H307" s="361"/>
      <c r="I307" s="337"/>
    </row>
    <row r="308" spans="1:9" x14ac:dyDescent="0.25">
      <c r="A308" s="475"/>
      <c r="B308" s="336"/>
      <c r="C308" s="337"/>
      <c r="D308" s="337"/>
      <c r="E308" s="337"/>
      <c r="F308" s="337"/>
      <c r="G308" s="337"/>
      <c r="H308" s="361"/>
      <c r="I308" s="337"/>
    </row>
    <row r="309" spans="1:9" x14ac:dyDescent="0.25">
      <c r="A309" s="475"/>
      <c r="B309" s="336"/>
      <c r="C309" s="337"/>
      <c r="D309" s="337"/>
      <c r="E309" s="337"/>
      <c r="F309" s="337"/>
      <c r="G309" s="337"/>
      <c r="H309" s="361"/>
      <c r="I309" s="337"/>
    </row>
    <row r="310" spans="1:9" x14ac:dyDescent="0.25">
      <c r="A310" s="475"/>
      <c r="B310" s="336"/>
      <c r="C310" s="337"/>
      <c r="D310" s="337"/>
      <c r="E310" s="337"/>
      <c r="F310" s="337"/>
      <c r="G310" s="337"/>
      <c r="H310" s="361"/>
      <c r="I310" s="337"/>
    </row>
    <row r="311" spans="1:9" x14ac:dyDescent="0.25">
      <c r="A311" s="475"/>
      <c r="B311" s="336"/>
      <c r="C311" s="337"/>
      <c r="D311" s="337"/>
      <c r="E311" s="337"/>
      <c r="F311" s="337"/>
      <c r="G311" s="337"/>
      <c r="H311" s="361"/>
      <c r="I311" s="337"/>
    </row>
    <row r="312" spans="1:9" x14ac:dyDescent="0.25">
      <c r="A312" s="475"/>
      <c r="B312" s="336"/>
      <c r="C312" s="337"/>
      <c r="D312" s="337"/>
      <c r="E312" s="337"/>
      <c r="F312" s="337"/>
      <c r="G312" s="337"/>
      <c r="H312" s="361"/>
      <c r="I312" s="337"/>
    </row>
    <row r="313" spans="1:9" x14ac:dyDescent="0.25">
      <c r="A313" s="475"/>
      <c r="B313" s="336"/>
      <c r="C313" s="337"/>
      <c r="D313" s="337"/>
      <c r="E313" s="337"/>
      <c r="F313" s="337"/>
      <c r="G313" s="337"/>
      <c r="H313" s="361"/>
      <c r="I313" s="337"/>
    </row>
    <row r="314" spans="1:9" x14ac:dyDescent="0.25">
      <c r="A314" s="475"/>
      <c r="B314" s="336"/>
      <c r="C314" s="337"/>
      <c r="D314" s="337"/>
      <c r="E314" s="337"/>
      <c r="F314" s="337"/>
      <c r="G314" s="337"/>
      <c r="H314" s="361"/>
      <c r="I314" s="337"/>
    </row>
    <row r="315" spans="1:9" x14ac:dyDescent="0.25">
      <c r="A315" s="475"/>
      <c r="B315" s="336"/>
      <c r="C315" s="337"/>
      <c r="D315" s="337"/>
      <c r="E315" s="337"/>
      <c r="F315" s="337"/>
      <c r="G315" s="337"/>
      <c r="H315" s="361"/>
      <c r="I315" s="337"/>
    </row>
    <row r="316" spans="1:9" x14ac:dyDescent="0.25">
      <c r="A316" s="475"/>
      <c r="B316" s="336"/>
      <c r="C316" s="337"/>
      <c r="D316" s="337"/>
      <c r="E316" s="337"/>
      <c r="F316" s="337"/>
      <c r="G316" s="337"/>
      <c r="H316" s="361"/>
      <c r="I316" s="337"/>
    </row>
    <row r="317" spans="1:9" x14ac:dyDescent="0.25">
      <c r="A317" s="475"/>
      <c r="B317" s="336"/>
      <c r="C317" s="337"/>
      <c r="D317" s="337"/>
      <c r="E317" s="337"/>
      <c r="F317" s="337"/>
      <c r="G317" s="337"/>
      <c r="H317" s="361"/>
      <c r="I317" s="337"/>
    </row>
    <row r="318" spans="1:9" x14ac:dyDescent="0.25">
      <c r="A318" s="475"/>
      <c r="B318" s="336"/>
      <c r="C318" s="337"/>
      <c r="D318" s="337"/>
      <c r="E318" s="337"/>
      <c r="F318" s="337"/>
      <c r="G318" s="337"/>
      <c r="H318" s="361"/>
      <c r="I318" s="337"/>
    </row>
    <row r="319" spans="1:9" x14ac:dyDescent="0.25">
      <c r="A319" s="475"/>
      <c r="B319" s="336"/>
      <c r="C319" s="337"/>
      <c r="D319" s="337"/>
      <c r="E319" s="337"/>
      <c r="F319" s="337"/>
      <c r="G319" s="337"/>
      <c r="H319" s="361"/>
      <c r="I319" s="337"/>
    </row>
    <row r="320" spans="1:9" x14ac:dyDescent="0.25">
      <c r="A320" s="475"/>
      <c r="B320" s="336"/>
      <c r="C320" s="337"/>
      <c r="D320" s="337"/>
      <c r="E320" s="337"/>
      <c r="F320" s="337"/>
      <c r="G320" s="337"/>
      <c r="H320" s="361"/>
      <c r="I320" s="337"/>
    </row>
    <row r="321" spans="1:9" x14ac:dyDescent="0.25">
      <c r="A321" s="475"/>
      <c r="B321" s="336"/>
      <c r="C321" s="337"/>
      <c r="D321" s="337"/>
      <c r="E321" s="337"/>
      <c r="F321" s="337"/>
      <c r="G321" s="337"/>
      <c r="H321" s="361"/>
      <c r="I321" s="337"/>
    </row>
  </sheetData>
  <mergeCells count="4">
    <mergeCell ref="A8:A9"/>
    <mergeCell ref="C8:H8"/>
    <mergeCell ref="J8:O8"/>
    <mergeCell ref="Q8:Q9"/>
  </mergeCells>
  <pageMargins left="0.4" right="0.36" top="0.45" bottom="0.55000000000000004" header="0.3" footer="0.3"/>
  <pageSetup scale="6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OQ151"/>
  <sheetViews>
    <sheetView topLeftCell="P1" workbookViewId="0">
      <selection activeCell="P1" sqref="A1:XFD1048576"/>
    </sheetView>
  </sheetViews>
  <sheetFormatPr defaultRowHeight="12.75" x14ac:dyDescent="0.2"/>
  <cols>
    <col min="1" max="1" width="11.85546875" customWidth="1"/>
    <col min="4" max="4" width="6" customWidth="1"/>
    <col min="5" max="5" width="6.140625" customWidth="1"/>
    <col min="6" max="6" width="7.42578125" customWidth="1"/>
    <col min="7" max="7" width="11.28515625" customWidth="1"/>
    <col min="8" max="8" width="9.28515625" bestFit="1" customWidth="1"/>
    <col min="9" max="9" width="1.28515625" customWidth="1"/>
    <col min="10" max="10" width="9" customWidth="1"/>
    <col min="11" max="11" width="10" style="56" customWidth="1"/>
    <col min="12" max="12" width="9.28515625" style="56" bestFit="1" customWidth="1"/>
    <col min="13" max="13" width="1.28515625" customWidth="1"/>
    <col min="15" max="15" width="10.85546875" style="56" bestFit="1" customWidth="1"/>
    <col min="16" max="16" width="8.28515625" style="56" customWidth="1"/>
    <col min="17" max="17" width="1.28515625" customWidth="1"/>
    <col min="19" max="19" width="6.42578125" customWidth="1"/>
    <col min="20" max="20" width="10.7109375" customWidth="1"/>
    <col min="21" max="21" width="8.85546875" customWidth="1"/>
    <col min="22" max="22" width="1.28515625" customWidth="1"/>
    <col min="23" max="23" width="10.42578125" bestFit="1" customWidth="1"/>
    <col min="24" max="24" width="12.5703125" customWidth="1"/>
    <col min="25" max="25" width="10.7109375" customWidth="1"/>
    <col min="26" max="26" width="1.42578125" customWidth="1"/>
    <col min="27" max="27" width="11.140625" bestFit="1" customWidth="1"/>
    <col min="28" max="29" width="10" customWidth="1"/>
    <col min="30" max="30" width="1.28515625" customWidth="1"/>
    <col min="31" max="31" width="12.28515625" bestFit="1" customWidth="1"/>
    <col min="32" max="32" width="10.85546875" customWidth="1"/>
    <col min="33" max="33" width="11.28515625" customWidth="1"/>
    <col min="34" max="34" width="1.140625" customWidth="1"/>
    <col min="35" max="35" width="8.85546875" customWidth="1"/>
    <col min="36" max="36" width="8.140625" customWidth="1"/>
    <col min="37" max="37" width="8.28515625" customWidth="1"/>
    <col min="38" max="38" width="1.140625" customWidth="1"/>
    <col min="39" max="39" width="8.85546875" customWidth="1"/>
    <col min="40" max="40" width="8.140625" customWidth="1"/>
    <col min="41" max="41" width="8.7109375" customWidth="1"/>
    <col min="42" max="42" width="1.140625" customWidth="1"/>
    <col min="43" max="43" width="9.140625" customWidth="1"/>
    <col min="44" max="44" width="13.28515625" bestFit="1" customWidth="1"/>
    <col min="45" max="45" width="1.28515625" customWidth="1"/>
    <col min="46" max="46" width="9.140625" style="562" customWidth="1"/>
    <col min="47" max="47" width="7.5703125" style="562" customWidth="1"/>
    <col min="48" max="48" width="7.140625" style="562" customWidth="1"/>
    <col min="49" max="49" width="1.28515625" style="562" customWidth="1"/>
    <col min="50" max="50" width="4.42578125" customWidth="1"/>
    <col min="51" max="51" width="12.85546875" bestFit="1" customWidth="1"/>
    <col min="52" max="52" width="10.85546875" customWidth="1"/>
    <col min="53" max="53" width="12.85546875" bestFit="1" customWidth="1"/>
    <col min="54" max="54" width="1.5703125" customWidth="1"/>
    <col min="55" max="55" width="7" bestFit="1" customWidth="1"/>
    <col min="56" max="57" width="6.7109375" customWidth="1"/>
    <col min="58" max="58" width="7.5703125" customWidth="1"/>
    <col min="59" max="59" width="7" bestFit="1" customWidth="1"/>
    <col min="60" max="61" width="6.7109375" customWidth="1"/>
    <col min="62" max="62" width="7" bestFit="1" customWidth="1"/>
    <col min="63" max="63" width="2.5703125" customWidth="1"/>
    <col min="64" max="64" width="10" style="583" customWidth="1"/>
    <col min="65" max="65" width="5.85546875" customWidth="1"/>
    <col min="66" max="66" width="9.140625" style="155"/>
    <col min="67" max="67" width="2" customWidth="1"/>
    <col min="69" max="70" width="12.5703125" customWidth="1"/>
    <col min="71" max="71" width="2" customWidth="1"/>
    <col min="73" max="74" width="12.5703125" customWidth="1"/>
    <col min="75" max="75" width="2" customWidth="1"/>
    <col min="77" max="77" width="12.5703125" customWidth="1"/>
    <col min="78" max="78" width="12" customWidth="1"/>
    <col min="79" max="79" width="2" customWidth="1"/>
    <col min="81" max="82" width="11.85546875" customWidth="1"/>
    <col min="83" max="83" width="2" customWidth="1"/>
    <col min="85" max="86" width="11.85546875" customWidth="1"/>
    <col min="88" max="89" width="11.85546875" customWidth="1"/>
    <col min="90" max="90" width="4.140625" customWidth="1"/>
    <col min="91" max="92" width="10.28515625" customWidth="1"/>
    <col min="93" max="93" width="3.5703125" customWidth="1"/>
    <col min="95" max="95" width="13.5703125" customWidth="1"/>
    <col min="96" max="96" width="8.85546875" customWidth="1"/>
    <col min="97" max="97" width="15.5703125" customWidth="1"/>
    <col min="99" max="99" width="3.7109375" customWidth="1"/>
    <col min="101" max="102" width="9.140625" customWidth="1"/>
    <col min="103" max="103" width="3.7109375" customWidth="1"/>
    <col min="105" max="106" width="9.140625" customWidth="1"/>
    <col min="107" max="107" width="3.7109375" customWidth="1"/>
    <col min="111" max="111" width="3.7109375" customWidth="1"/>
    <col min="115" max="115" width="3.7109375" customWidth="1"/>
    <col min="119" max="119" width="3.7109375" customWidth="1"/>
    <col min="123" max="123" width="3.7109375" customWidth="1"/>
    <col min="127" max="127" width="3.7109375" customWidth="1"/>
    <col min="129" max="129" width="3.7109375" customWidth="1"/>
    <col min="132" max="132" width="3.7109375" customWidth="1"/>
    <col min="135" max="135" width="3.42578125" customWidth="1"/>
    <col min="139" max="139" width="3.42578125" customWidth="1"/>
  </cols>
  <sheetData>
    <row r="1" spans="1:407" ht="16.899999999999999" customHeight="1" thickBot="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80</v>
      </c>
      <c r="CG1">
        <v>81</v>
      </c>
      <c r="CH1">
        <v>82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</row>
    <row r="2" spans="1:407" ht="14.25" customHeight="1" thickTop="1" thickBot="1" x14ac:dyDescent="0.25">
      <c r="A2" s="36"/>
      <c r="B2" s="675" t="s">
        <v>1</v>
      </c>
      <c r="C2" s="675"/>
      <c r="D2" s="675"/>
      <c r="E2" s="675"/>
      <c r="F2" s="675"/>
      <c r="G2" s="675"/>
      <c r="H2" s="675"/>
      <c r="I2" s="40"/>
      <c r="J2" s="675" t="s">
        <v>20</v>
      </c>
      <c r="K2" s="675"/>
      <c r="L2" s="675"/>
      <c r="M2" s="42"/>
      <c r="N2" s="675" t="s">
        <v>171</v>
      </c>
      <c r="O2" s="675"/>
      <c r="P2" s="675"/>
      <c r="Q2" s="41"/>
      <c r="R2" s="675" t="s">
        <v>2</v>
      </c>
      <c r="S2" s="675"/>
      <c r="T2" s="675"/>
      <c r="U2" s="675"/>
      <c r="V2" s="34"/>
      <c r="W2" s="682" t="s">
        <v>3</v>
      </c>
      <c r="X2" s="683"/>
      <c r="Y2" s="684"/>
      <c r="Z2" s="34"/>
      <c r="AA2" s="682" t="s">
        <v>14</v>
      </c>
      <c r="AB2" s="683"/>
      <c r="AC2" s="684"/>
      <c r="AD2" s="34"/>
      <c r="AE2" s="675" t="s">
        <v>38</v>
      </c>
      <c r="AF2" s="675"/>
      <c r="AG2" s="675"/>
      <c r="AH2" s="34"/>
      <c r="AI2" s="682" t="s">
        <v>41</v>
      </c>
      <c r="AJ2" s="683"/>
      <c r="AK2" s="684"/>
      <c r="AL2" s="34"/>
      <c r="AM2" s="685" t="s">
        <v>36</v>
      </c>
      <c r="AN2" s="686"/>
      <c r="AO2" s="687"/>
      <c r="AP2" s="34"/>
      <c r="AQ2" s="675" t="s">
        <v>40</v>
      </c>
      <c r="AR2" s="675"/>
      <c r="AS2" s="35"/>
      <c r="AT2" s="675" t="s">
        <v>61</v>
      </c>
      <c r="AU2" s="675"/>
      <c r="AV2" s="675"/>
      <c r="AW2" s="35"/>
      <c r="AX2" s="120"/>
      <c r="AY2" s="679" t="s">
        <v>19</v>
      </c>
      <c r="AZ2" s="680"/>
      <c r="BA2" s="681"/>
      <c r="BC2" s="671" t="s">
        <v>35</v>
      </c>
      <c r="BD2" s="672"/>
      <c r="BE2" s="672"/>
      <c r="BF2" s="672"/>
      <c r="BG2" s="672"/>
      <c r="BH2" s="672"/>
      <c r="BI2" s="672"/>
      <c r="BJ2" s="673"/>
      <c r="BL2" s="661" t="s">
        <v>60</v>
      </c>
      <c r="BN2" s="667" t="s">
        <v>113</v>
      </c>
      <c r="BP2" s="657" t="s">
        <v>102</v>
      </c>
      <c r="BQ2" s="657"/>
      <c r="BR2" s="657"/>
      <c r="BT2" s="657" t="s">
        <v>105</v>
      </c>
      <c r="BU2" s="657"/>
      <c r="BV2" s="657"/>
      <c r="BX2" s="657" t="s">
        <v>106</v>
      </c>
      <c r="BY2" s="657"/>
      <c r="BZ2" s="657"/>
      <c r="CB2" s="657" t="s">
        <v>108</v>
      </c>
      <c r="CC2" s="657"/>
      <c r="CD2" s="657"/>
      <c r="CF2" s="657" t="s">
        <v>170</v>
      </c>
      <c r="CG2" s="657"/>
      <c r="CH2" s="657"/>
      <c r="CI2" s="657" t="s">
        <v>162</v>
      </c>
      <c r="CJ2" s="657"/>
      <c r="CK2" s="657"/>
      <c r="CM2" s="527" t="s">
        <v>111</v>
      </c>
      <c r="CN2" s="528"/>
      <c r="CP2" s="664" t="s">
        <v>114</v>
      </c>
      <c r="CQ2" s="665"/>
      <c r="CR2" s="665"/>
      <c r="CS2" s="665"/>
      <c r="CT2" s="665"/>
      <c r="CV2" s="657" t="s">
        <v>118</v>
      </c>
      <c r="CW2" s="657"/>
      <c r="CX2" s="657"/>
      <c r="CZ2" s="657" t="s">
        <v>119</v>
      </c>
      <c r="DA2" s="657"/>
      <c r="DB2" s="657"/>
      <c r="DD2" s="657" t="s">
        <v>122</v>
      </c>
      <c r="DE2" s="657"/>
      <c r="DF2" s="657"/>
      <c r="DH2" s="657" t="s">
        <v>125</v>
      </c>
      <c r="DI2" s="657"/>
      <c r="DJ2" s="657"/>
      <c r="DL2" s="657" t="s">
        <v>126</v>
      </c>
      <c r="DM2" s="657"/>
      <c r="DN2" s="657"/>
      <c r="DP2" s="657" t="s">
        <v>127</v>
      </c>
      <c r="DQ2" s="657"/>
      <c r="DR2" s="657"/>
      <c r="DT2" s="658" t="s">
        <v>128</v>
      </c>
      <c r="DU2" s="659"/>
      <c r="DV2" s="660"/>
      <c r="DW2" s="529"/>
      <c r="DX2" s="661" t="s">
        <v>140</v>
      </c>
      <c r="DZ2" s="657" t="s">
        <v>129</v>
      </c>
      <c r="EA2" s="657"/>
      <c r="EC2" s="657" t="s">
        <v>141</v>
      </c>
      <c r="ED2" s="657"/>
      <c r="EF2" s="657" t="s">
        <v>144</v>
      </c>
      <c r="EG2" s="657"/>
      <c r="EH2" s="657"/>
      <c r="EJ2" s="657" t="s">
        <v>157</v>
      </c>
      <c r="EK2" s="657"/>
      <c r="EL2" s="657"/>
    </row>
    <row r="3" spans="1:407" ht="9.75" customHeight="1" thickTop="1" thickBot="1" x14ac:dyDescent="0.25">
      <c r="A3" s="36"/>
      <c r="B3" s="277"/>
      <c r="C3" s="277"/>
      <c r="D3" s="277"/>
      <c r="E3" s="277"/>
      <c r="F3" s="277"/>
      <c r="G3" s="277"/>
      <c r="H3" s="277"/>
      <c r="I3" s="278"/>
      <c r="J3" s="277"/>
      <c r="K3" s="277"/>
      <c r="L3" s="277"/>
      <c r="M3" s="279"/>
      <c r="N3" s="277"/>
      <c r="O3" s="277"/>
      <c r="P3" s="277"/>
      <c r="Q3" s="184"/>
      <c r="R3" s="277"/>
      <c r="S3" s="277"/>
      <c r="T3" s="277"/>
      <c r="U3" s="277"/>
      <c r="V3" s="34"/>
      <c r="W3" s="585"/>
      <c r="X3" s="280"/>
      <c r="Y3" s="281"/>
      <c r="Z3" s="34"/>
      <c r="AA3" s="585"/>
      <c r="AB3" s="280"/>
      <c r="AC3" s="281"/>
      <c r="AD3" s="34"/>
      <c r="AE3" s="277"/>
      <c r="AF3" s="277"/>
      <c r="AG3" s="584"/>
      <c r="AH3" s="34"/>
      <c r="AI3" s="585"/>
      <c r="AJ3" s="586"/>
      <c r="AK3" s="587"/>
      <c r="AL3" s="34"/>
      <c r="AM3" s="588"/>
      <c r="AN3" s="589"/>
      <c r="AO3" s="590"/>
      <c r="AP3" s="34"/>
      <c r="AQ3" s="277"/>
      <c r="AR3" s="277"/>
      <c r="AS3" s="35"/>
      <c r="AT3" s="277"/>
      <c r="AU3" s="277"/>
      <c r="AV3" s="277"/>
      <c r="AW3" s="35"/>
      <c r="AX3" s="120"/>
      <c r="AY3" s="282"/>
      <c r="AZ3" s="283"/>
      <c r="BA3" s="284"/>
      <c r="BC3" s="285"/>
      <c r="BD3" s="534"/>
      <c r="BE3" s="534"/>
      <c r="BF3" s="534"/>
      <c r="BG3" s="534"/>
      <c r="BH3" s="534"/>
      <c r="BI3" s="534"/>
      <c r="BJ3" s="286"/>
      <c r="BL3" s="662"/>
      <c r="BN3" s="667"/>
      <c r="BP3" s="576"/>
      <c r="BQ3" s="576"/>
      <c r="BR3" s="579"/>
      <c r="BT3" s="576"/>
      <c r="BU3" s="576"/>
      <c r="BV3" s="579"/>
      <c r="BX3" s="576"/>
      <c r="BY3" s="576"/>
      <c r="BZ3" s="576"/>
      <c r="CB3" s="576"/>
      <c r="CC3" s="576"/>
      <c r="CD3" s="576"/>
      <c r="CF3" s="576"/>
      <c r="CG3" s="576"/>
      <c r="CH3" s="576"/>
      <c r="CI3" s="576"/>
      <c r="CJ3" s="576"/>
      <c r="CK3" s="576"/>
      <c r="CM3" s="527"/>
      <c r="CN3" s="528"/>
      <c r="CP3" s="580"/>
      <c r="CQ3" s="581"/>
      <c r="CR3" s="581"/>
      <c r="CS3" s="581"/>
      <c r="CT3" s="581"/>
      <c r="CV3" s="576"/>
      <c r="CW3" s="576"/>
      <c r="CX3" s="576"/>
      <c r="CZ3" s="576"/>
      <c r="DA3" s="576"/>
      <c r="DB3" s="576"/>
      <c r="DD3" s="576"/>
      <c r="DE3" s="576"/>
      <c r="DF3" s="576"/>
      <c r="DH3" s="576"/>
      <c r="DI3" s="576"/>
      <c r="DJ3" s="576"/>
      <c r="DL3" s="576"/>
      <c r="DM3" s="576"/>
      <c r="DN3" s="576"/>
      <c r="DP3" s="576"/>
      <c r="DQ3" s="576"/>
      <c r="DR3" s="576"/>
      <c r="DT3" s="577"/>
      <c r="DU3" s="578"/>
      <c r="DV3" s="579"/>
      <c r="DW3" s="529"/>
      <c r="DX3" s="662"/>
      <c r="DZ3" s="576"/>
      <c r="EA3" s="576"/>
      <c r="EC3" s="576"/>
      <c r="ED3" s="576"/>
      <c r="EF3" s="576"/>
      <c r="EG3" s="576"/>
      <c r="EH3" s="576"/>
      <c r="EJ3" s="576"/>
      <c r="EK3" s="576"/>
      <c r="EL3" s="576"/>
    </row>
    <row r="4" spans="1:407" s="231" customFormat="1" ht="24.75" customHeight="1" thickTop="1" x14ac:dyDescent="0.2">
      <c r="A4" s="102" t="s">
        <v>8</v>
      </c>
      <c r="B4" s="465" t="s">
        <v>9</v>
      </c>
      <c r="C4" s="465" t="s">
        <v>11</v>
      </c>
      <c r="D4" s="465" t="s">
        <v>42</v>
      </c>
      <c r="E4" s="465" t="s">
        <v>21</v>
      </c>
      <c r="F4" s="465" t="s">
        <v>12</v>
      </c>
      <c r="G4" s="112" t="s">
        <v>34</v>
      </c>
      <c r="H4" s="103" t="s">
        <v>18</v>
      </c>
      <c r="I4" s="104"/>
      <c r="J4" s="465" t="s">
        <v>9</v>
      </c>
      <c r="K4" s="112" t="s">
        <v>34</v>
      </c>
      <c r="L4" s="103" t="s">
        <v>18</v>
      </c>
      <c r="M4" s="105"/>
      <c r="N4" s="465" t="s">
        <v>9</v>
      </c>
      <c r="O4" s="113" t="s">
        <v>34</v>
      </c>
      <c r="P4" s="103" t="s">
        <v>18</v>
      </c>
      <c r="Q4" s="106"/>
      <c r="R4" s="465" t="s">
        <v>9</v>
      </c>
      <c r="S4" s="465" t="s">
        <v>10</v>
      </c>
      <c r="T4" s="112" t="s">
        <v>34</v>
      </c>
      <c r="U4" s="103" t="s">
        <v>18</v>
      </c>
      <c r="V4" s="107"/>
      <c r="W4" s="108" t="s">
        <v>9</v>
      </c>
      <c r="X4" s="112" t="s">
        <v>34</v>
      </c>
      <c r="Y4" s="112" t="s">
        <v>37</v>
      </c>
      <c r="Z4" s="109"/>
      <c r="AA4" s="108" t="s">
        <v>9</v>
      </c>
      <c r="AB4" s="112" t="s">
        <v>34</v>
      </c>
      <c r="AC4" s="112" t="s">
        <v>37</v>
      </c>
      <c r="AD4" s="109"/>
      <c r="AE4" s="465" t="s">
        <v>39</v>
      </c>
      <c r="AF4" s="465" t="s">
        <v>18</v>
      </c>
      <c r="AG4" s="108" t="s">
        <v>17</v>
      </c>
      <c r="AH4" s="109"/>
      <c r="AI4" s="108" t="s">
        <v>39</v>
      </c>
      <c r="AJ4" s="119" t="s">
        <v>18</v>
      </c>
      <c r="AK4" s="119" t="s">
        <v>17</v>
      </c>
      <c r="AL4" s="109"/>
      <c r="AM4" s="108" t="s">
        <v>39</v>
      </c>
      <c r="AN4" s="119" t="s">
        <v>18</v>
      </c>
      <c r="AO4" s="119" t="s">
        <v>17</v>
      </c>
      <c r="AP4" s="109"/>
      <c r="AQ4" s="465" t="s">
        <v>43</v>
      </c>
      <c r="AR4" s="465" t="s">
        <v>44</v>
      </c>
      <c r="AS4" s="110"/>
      <c r="AT4" s="465" t="s">
        <v>63</v>
      </c>
      <c r="AU4" s="465" t="s">
        <v>64</v>
      </c>
      <c r="AV4" s="465" t="s">
        <v>62</v>
      </c>
      <c r="AW4" s="110"/>
      <c r="AX4" s="121"/>
      <c r="AY4" s="676" t="s">
        <v>163</v>
      </c>
      <c r="AZ4" s="677"/>
      <c r="BA4" s="678"/>
      <c r="BC4" s="668" t="s">
        <v>298</v>
      </c>
      <c r="BD4" s="669"/>
      <c r="BE4" s="669"/>
      <c r="BF4" s="670"/>
      <c r="BG4" s="668" t="s">
        <v>299</v>
      </c>
      <c r="BH4" s="669"/>
      <c r="BI4" s="669"/>
      <c r="BJ4" s="670"/>
      <c r="BL4" s="662"/>
      <c r="BN4" s="667"/>
      <c r="BP4" s="541" t="s">
        <v>103</v>
      </c>
      <c r="BQ4" s="542" t="s">
        <v>112</v>
      </c>
      <c r="BR4" s="543" t="s">
        <v>107</v>
      </c>
      <c r="BS4" s="253"/>
      <c r="BT4" s="541" t="s">
        <v>103</v>
      </c>
      <c r="BU4" s="541" t="s">
        <v>104</v>
      </c>
      <c r="BV4" s="543" t="s">
        <v>107</v>
      </c>
      <c r="BW4" s="253"/>
      <c r="BX4" s="541" t="s">
        <v>103</v>
      </c>
      <c r="BY4" s="541" t="s">
        <v>104</v>
      </c>
      <c r="BZ4" s="541" t="s">
        <v>107</v>
      </c>
      <c r="CB4" s="541" t="s">
        <v>103</v>
      </c>
      <c r="CC4" s="541" t="s">
        <v>104</v>
      </c>
      <c r="CD4" s="541" t="s">
        <v>107</v>
      </c>
      <c r="CF4" s="541" t="s">
        <v>103</v>
      </c>
      <c r="CG4" s="541" t="s">
        <v>104</v>
      </c>
      <c r="CH4" s="541" t="s">
        <v>107</v>
      </c>
      <c r="CI4" s="541" t="s">
        <v>103</v>
      </c>
      <c r="CJ4" s="541" t="s">
        <v>104</v>
      </c>
      <c r="CK4" s="541" t="s">
        <v>107</v>
      </c>
      <c r="CM4" s="544" t="s">
        <v>39</v>
      </c>
      <c r="CN4" s="544" t="s">
        <v>18</v>
      </c>
      <c r="CP4" s="541" t="s">
        <v>103</v>
      </c>
      <c r="CQ4" s="542" t="s">
        <v>116</v>
      </c>
      <c r="CR4" s="542" t="s">
        <v>117</v>
      </c>
      <c r="CS4" s="542" t="s">
        <v>115</v>
      </c>
      <c r="CT4" s="542" t="s">
        <v>117</v>
      </c>
      <c r="CV4" s="541" t="s">
        <v>103</v>
      </c>
      <c r="CW4" s="541" t="s">
        <v>123</v>
      </c>
      <c r="CX4" s="541" t="s">
        <v>124</v>
      </c>
      <c r="CZ4" s="541" t="s">
        <v>103</v>
      </c>
      <c r="DA4" s="541" t="s">
        <v>123</v>
      </c>
      <c r="DB4" s="541" t="s">
        <v>124</v>
      </c>
      <c r="DD4" s="541" t="s">
        <v>103</v>
      </c>
      <c r="DE4" s="541" t="s">
        <v>123</v>
      </c>
      <c r="DF4" s="541" t="s">
        <v>124</v>
      </c>
      <c r="DH4" s="541" t="s">
        <v>103</v>
      </c>
      <c r="DI4" s="541" t="s">
        <v>123</v>
      </c>
      <c r="DJ4" s="541" t="s">
        <v>124</v>
      </c>
      <c r="DL4" s="541" t="s">
        <v>103</v>
      </c>
      <c r="DM4" s="541" t="s">
        <v>123</v>
      </c>
      <c r="DN4" s="541" t="s">
        <v>124</v>
      </c>
      <c r="DP4" s="541" t="s">
        <v>103</v>
      </c>
      <c r="DQ4" s="541" t="s">
        <v>123</v>
      </c>
      <c r="DR4" s="541" t="s">
        <v>124</v>
      </c>
      <c r="DT4" s="541" t="s">
        <v>103</v>
      </c>
      <c r="DU4" s="541" t="s">
        <v>123</v>
      </c>
      <c r="DV4" s="541" t="s">
        <v>124</v>
      </c>
      <c r="DW4" s="545"/>
      <c r="DX4" s="663"/>
      <c r="DZ4" s="541" t="s">
        <v>123</v>
      </c>
      <c r="EA4" s="541" t="s">
        <v>124</v>
      </c>
      <c r="EC4" s="542" t="s">
        <v>142</v>
      </c>
      <c r="ED4" s="542" t="s">
        <v>143</v>
      </c>
      <c r="EF4" s="541" t="s">
        <v>103</v>
      </c>
      <c r="EG4" s="541" t="s">
        <v>123</v>
      </c>
      <c r="EH4" s="541" t="s">
        <v>124</v>
      </c>
      <c r="EJ4" s="541" t="s">
        <v>103</v>
      </c>
      <c r="EK4" s="541" t="s">
        <v>123</v>
      </c>
      <c r="EL4" s="541" t="s">
        <v>124</v>
      </c>
    </row>
    <row r="5" spans="1:407" x14ac:dyDescent="0.2">
      <c r="A5" s="37"/>
      <c r="B5" s="33">
        <v>294932</v>
      </c>
      <c r="C5" s="486"/>
      <c r="D5" s="486"/>
      <c r="E5" s="486"/>
      <c r="F5" s="234">
        <v>780</v>
      </c>
      <c r="G5" s="486"/>
      <c r="H5" s="490"/>
      <c r="I5" s="183"/>
      <c r="J5" s="546">
        <v>207959</v>
      </c>
      <c r="K5" s="489"/>
      <c r="L5" s="489"/>
      <c r="M5" s="184"/>
      <c r="N5" s="546">
        <v>733991</v>
      </c>
      <c r="O5" s="489"/>
      <c r="P5" s="489"/>
      <c r="Q5" s="34"/>
      <c r="R5" s="546">
        <v>42700</v>
      </c>
      <c r="S5" s="486"/>
      <c r="T5" s="486"/>
      <c r="U5" s="490"/>
      <c r="V5" s="34"/>
      <c r="W5" s="548">
        <v>45905.86</v>
      </c>
      <c r="X5" s="486"/>
      <c r="Y5" s="486"/>
      <c r="Z5" s="34"/>
      <c r="AA5" s="249">
        <v>520050</v>
      </c>
      <c r="AB5" s="486"/>
      <c r="AC5" s="486"/>
      <c r="AD5" s="34"/>
      <c r="AE5" s="486"/>
      <c r="AF5" s="486"/>
      <c r="AG5" s="486"/>
      <c r="AH5" s="34"/>
      <c r="AI5" s="486"/>
      <c r="AJ5" s="486"/>
      <c r="AK5" s="486"/>
      <c r="AL5" s="34"/>
      <c r="AM5" s="486"/>
      <c r="AN5" s="486"/>
      <c r="AO5" s="486"/>
      <c r="AP5" s="34"/>
      <c r="AQ5" s="487"/>
      <c r="AR5" s="487"/>
      <c r="AS5" s="34"/>
      <c r="AT5" s="552">
        <v>7165.9</v>
      </c>
      <c r="AU5" s="487"/>
      <c r="AV5" s="487"/>
      <c r="AW5" s="34"/>
      <c r="AX5" s="187"/>
      <c r="AY5" s="494"/>
      <c r="AZ5" s="488"/>
      <c r="BA5" s="495"/>
      <c r="BC5" s="493"/>
      <c r="BD5" s="491"/>
      <c r="BE5" s="498"/>
      <c r="BF5" s="500"/>
      <c r="BG5" s="499"/>
      <c r="BH5" s="492"/>
      <c r="BI5" s="498"/>
      <c r="BJ5" s="500"/>
      <c r="BL5" s="624"/>
      <c r="BN5" s="625"/>
      <c r="BP5" s="33">
        <v>67249</v>
      </c>
      <c r="BQ5" s="626"/>
      <c r="BR5" s="627"/>
      <c r="BT5" s="33">
        <v>82221</v>
      </c>
      <c r="BU5" s="626"/>
      <c r="BV5" s="627"/>
      <c r="BX5" s="33">
        <v>4045</v>
      </c>
      <c r="BY5" s="626"/>
      <c r="BZ5" s="627"/>
      <c r="CB5" s="33">
        <v>234620</v>
      </c>
      <c r="CC5" s="626"/>
      <c r="CD5" s="627"/>
      <c r="CF5" s="33">
        <v>6310</v>
      </c>
      <c r="CG5" s="626"/>
      <c r="CH5" s="627"/>
      <c r="CI5" s="33">
        <v>19770</v>
      </c>
      <c r="CJ5" s="626"/>
      <c r="CK5" s="627"/>
      <c r="CM5" s="626"/>
      <c r="CN5" s="627"/>
      <c r="CP5" s="33">
        <v>113578</v>
      </c>
      <c r="CQ5" s="626"/>
      <c r="CR5" s="627"/>
      <c r="CS5" s="627"/>
      <c r="CT5" s="627"/>
      <c r="CV5" s="33">
        <v>5276</v>
      </c>
      <c r="CW5" s="626"/>
      <c r="CX5" s="627"/>
      <c r="CZ5" s="33">
        <v>966</v>
      </c>
      <c r="DA5" s="626"/>
      <c r="DB5" s="627"/>
      <c r="DD5" s="33">
        <v>1445259</v>
      </c>
      <c r="DE5" s="626"/>
      <c r="DF5" s="627"/>
      <c r="DH5" s="33">
        <v>3368645</v>
      </c>
      <c r="DI5" s="626"/>
      <c r="DJ5" s="627"/>
      <c r="DL5" s="33">
        <v>2919166</v>
      </c>
      <c r="DM5" s="626"/>
      <c r="DN5" s="627"/>
      <c r="DP5" s="33">
        <v>2299326</v>
      </c>
      <c r="DQ5" s="626"/>
      <c r="DR5" s="627"/>
      <c r="DT5" s="33">
        <v>3137289</v>
      </c>
      <c r="DU5" s="626"/>
      <c r="DV5" s="627"/>
      <c r="DW5" s="560"/>
      <c r="DX5" s="626"/>
      <c r="DZ5" s="626"/>
      <c r="EA5" s="627"/>
      <c r="EC5" s="626"/>
      <c r="ED5" s="627"/>
      <c r="EF5" s="33">
        <v>61166</v>
      </c>
      <c r="EG5" s="626"/>
      <c r="EH5" s="627"/>
      <c r="EJ5" s="33">
        <v>24472</v>
      </c>
      <c r="EK5" s="626"/>
      <c r="EL5" s="627"/>
    </row>
    <row r="6" spans="1:407" x14ac:dyDescent="0.2">
      <c r="A6" s="275">
        <v>45413</v>
      </c>
      <c r="B6" s="33">
        <v>295577</v>
      </c>
      <c r="C6" s="33">
        <f t="shared" ref="C6:C35" si="0">B6-B5</f>
        <v>645</v>
      </c>
      <c r="D6" s="33"/>
      <c r="E6" s="546">
        <v>0</v>
      </c>
      <c r="F6" s="234">
        <v>840</v>
      </c>
      <c r="G6" s="33">
        <f t="shared" ref="G6:G35" si="1">C6+D6-E6+F5-F6</f>
        <v>585</v>
      </c>
      <c r="H6" s="186">
        <f>'[2]Reading.5.23'!G6</f>
        <v>660</v>
      </c>
      <c r="I6" s="183"/>
      <c r="J6" s="546">
        <v>208003</v>
      </c>
      <c r="K6" s="185">
        <f t="shared" ref="K6:K35" si="2">(J6-J5)*4.668</f>
        <v>205.392</v>
      </c>
      <c r="L6" s="241">
        <f>'[2]Reading.5.23'!K6</f>
        <v>168.048</v>
      </c>
      <c r="M6" s="184"/>
      <c r="N6" s="546">
        <v>734095</v>
      </c>
      <c r="O6" s="185">
        <f t="shared" ref="O6:O35" si="3">(N6-N5)*4.61</f>
        <v>479.44000000000005</v>
      </c>
      <c r="P6" s="241">
        <f>'[2]Reading.5.23'!O6</f>
        <v>488.66</v>
      </c>
      <c r="Q6" s="34"/>
      <c r="R6" s="546">
        <v>42700</v>
      </c>
      <c r="S6" s="33"/>
      <c r="T6" s="33">
        <f t="shared" ref="T6:T35" si="4">(R5+S5)-R6</f>
        <v>0</v>
      </c>
      <c r="U6" s="241">
        <f>'[2]Reading.5.23'!T6</f>
        <v>0</v>
      </c>
      <c r="V6" s="34"/>
      <c r="W6" s="548">
        <v>45914</v>
      </c>
      <c r="X6" s="185">
        <f t="shared" ref="X6:X35" si="5">(W6-W5)*4000</f>
        <v>32559.999999997672</v>
      </c>
      <c r="Y6" s="241">
        <f>'[2]Reading.5.23'!X6</f>
        <v>32040.000000008149</v>
      </c>
      <c r="Z6" s="34"/>
      <c r="AA6" s="249">
        <v>520030</v>
      </c>
      <c r="AB6" s="185">
        <f t="shared" ref="AB6:AB35" si="6">AA6-AA5</f>
        <v>-20</v>
      </c>
      <c r="AC6" s="241">
        <f>'[2]Reading.5.23'!AB6</f>
        <v>0</v>
      </c>
      <c r="AD6" s="34"/>
      <c r="AE6" s="243">
        <f t="shared" ref="AE6:AE35" si="7">+X6+AB6</f>
        <v>32539.999999997672</v>
      </c>
      <c r="AF6" s="244">
        <f>'[2]Reading.5.23'!AE6</f>
        <v>32040.000000008149</v>
      </c>
      <c r="AG6" s="242">
        <f t="shared" ref="AG6:AG35" si="8">1090308/30</f>
        <v>36343.599999999999</v>
      </c>
      <c r="AH6" s="34"/>
      <c r="AI6" s="549">
        <v>0.5494</v>
      </c>
      <c r="AJ6" s="188">
        <f>'[2]Reading.5.23'!AI6</f>
        <v>0.5323</v>
      </c>
      <c r="AK6" s="550">
        <v>0.68700000000000006</v>
      </c>
      <c r="AL6" s="34"/>
      <c r="AM6" s="551">
        <v>289</v>
      </c>
      <c r="AN6" s="302">
        <f>'[2]Reading.5.23'!AM6</f>
        <v>280</v>
      </c>
      <c r="AO6" s="189">
        <f t="shared" ref="AO6:AO35" si="9">11205/30</f>
        <v>373.5</v>
      </c>
      <c r="AP6" s="34"/>
      <c r="AQ6" s="248">
        <f>449*4</f>
        <v>1796</v>
      </c>
      <c r="AR6" s="244">
        <f>'[2]Reading.5.23'!AQ6</f>
        <v>1612</v>
      </c>
      <c r="AS6" s="34"/>
      <c r="AT6" s="552">
        <v>7167.06</v>
      </c>
      <c r="AU6" s="191">
        <f t="shared" ref="AU6:AU35" si="10">(AT6-AT5)*4000</f>
        <v>4640.0000000030559</v>
      </c>
      <c r="AV6" s="553">
        <f t="shared" ref="AV6:AV35" si="11">+X6/SQRT(((POWER((X6),2)+(POWER((AU6),2)))))</f>
        <v>0.9899980836432416</v>
      </c>
      <c r="AW6" s="34"/>
      <c r="AX6" s="187"/>
      <c r="AY6" s="245">
        <f>'[2]Reading.5.23'!X6</f>
        <v>32040.000000008149</v>
      </c>
      <c r="AZ6" s="496">
        <f>'[2]Reading.5.23'!AB6</f>
        <v>0</v>
      </c>
      <c r="BA6" s="246">
        <f t="shared" ref="BA6:BA35" si="12">AY6+AZ6</f>
        <v>32040.000000008149</v>
      </c>
      <c r="BC6" s="554">
        <v>19</v>
      </c>
      <c r="BD6" s="555">
        <v>16.100000000000001</v>
      </c>
      <c r="BE6" s="556">
        <v>12</v>
      </c>
      <c r="BF6" s="557">
        <v>56</v>
      </c>
      <c r="BG6" s="212">
        <v>79</v>
      </c>
      <c r="BH6" s="555">
        <f>'[2]Reading.5.23'!BD6</f>
        <v>23.8</v>
      </c>
      <c r="BI6" s="555">
        <f>'[2]Reading.5.23'!BE6</f>
        <v>20</v>
      </c>
      <c r="BJ6" s="555">
        <f>'[2]Reading.5.23'!BF6</f>
        <v>60</v>
      </c>
      <c r="BL6" s="149">
        <v>526</v>
      </c>
      <c r="BN6" s="185" t="str">
        <f>'[2]Reading.5.23'!E4</f>
        <v>Sold</v>
      </c>
      <c r="BP6" s="33">
        <v>67284</v>
      </c>
      <c r="BQ6" s="33">
        <f t="shared" ref="BQ6:BQ35" si="13">BP6-BP5</f>
        <v>35</v>
      </c>
      <c r="BR6" s="232">
        <f>'[2]Reading.5.23'!BQ6</f>
        <v>35</v>
      </c>
      <c r="BT6" s="33">
        <v>82261</v>
      </c>
      <c r="BU6" s="33">
        <f t="shared" ref="BU6:BU35" si="14">BT6-BT5</f>
        <v>40</v>
      </c>
      <c r="BV6" s="232">
        <f>'[2]Reading.5.23'!BU6</f>
        <v>33</v>
      </c>
      <c r="BX6" s="33">
        <v>4045</v>
      </c>
      <c r="BY6" s="33">
        <f t="shared" ref="BY6:BY35" si="15">BX6-BX5</f>
        <v>0</v>
      </c>
      <c r="BZ6" s="232">
        <f>'[2]Reading.5.23'!BY6</f>
        <v>70</v>
      </c>
      <c r="CB6" s="33">
        <v>234670</v>
      </c>
      <c r="CC6" s="33">
        <f t="shared" ref="CC6:CC35" si="16">CB6-CB5</f>
        <v>50</v>
      </c>
      <c r="CD6" s="232">
        <f>'[2]Reading.5.23'!CC6</f>
        <v>68</v>
      </c>
      <c r="CF6" s="33">
        <v>6320</v>
      </c>
      <c r="CG6" s="33">
        <f t="shared" ref="CG6:CG35" si="17">CF6-CF5</f>
        <v>10</v>
      </c>
      <c r="CH6" s="232">
        <f>'[2]Reading.5.23'!CG6</f>
        <v>0</v>
      </c>
      <c r="CI6" s="33">
        <v>19770</v>
      </c>
      <c r="CJ6" s="33">
        <f t="shared" ref="CJ6:CJ35" si="18">CI6-CI5</f>
        <v>0</v>
      </c>
      <c r="CK6" s="232">
        <f>'[2]Reading.5.23'!CG6</f>
        <v>0</v>
      </c>
      <c r="CM6" s="33">
        <f t="shared" ref="CM6:CN21" si="19">BQ6+BU6+BY6+CC6+CJ6</f>
        <v>125</v>
      </c>
      <c r="CN6" s="33">
        <f t="shared" si="19"/>
        <v>206</v>
      </c>
      <c r="CP6" s="33">
        <v>113998</v>
      </c>
      <c r="CQ6" s="33">
        <f t="shared" ref="CQ6:CQ35" si="20">CP6-CP5</f>
        <v>420</v>
      </c>
      <c r="CR6" s="134">
        <f t="shared" ref="CR6:CR35" si="21">CQ6/G6</f>
        <v>0.71794871794871795</v>
      </c>
      <c r="CS6" s="232">
        <f>'[2]Reading.5.23'!CN6</f>
        <v>207</v>
      </c>
      <c r="CT6" s="264" t="str">
        <f>'[2]Reading.5.23'!CO4</f>
        <v>%</v>
      </c>
      <c r="CV6" s="33">
        <v>5278</v>
      </c>
      <c r="CW6" s="33">
        <f t="shared" ref="CW6:CW35" si="22">CV6-CV5</f>
        <v>2</v>
      </c>
      <c r="CX6" s="232">
        <f>'[2]Reading.5.23'!CT6</f>
        <v>2</v>
      </c>
      <c r="CZ6" s="33">
        <v>970</v>
      </c>
      <c r="DA6" s="33">
        <f t="shared" ref="DA6:DA35" si="23">CZ6-CZ5</f>
        <v>4</v>
      </c>
      <c r="DB6" s="232">
        <f>'[2]Reading.5.23'!CX6</f>
        <v>6</v>
      </c>
      <c r="DD6" s="33">
        <v>1446269</v>
      </c>
      <c r="DE6" s="33">
        <f t="shared" ref="DE6:DE35" si="24">DD6-DD5</f>
        <v>1010</v>
      </c>
      <c r="DF6" s="232">
        <f>'[2]Reading.5.23'!DB6</f>
        <v>988</v>
      </c>
      <c r="DH6" s="33">
        <v>3370241</v>
      </c>
      <c r="DI6" s="33">
        <f t="shared" ref="DI6:DI35" si="25">DH6-DH5</f>
        <v>1596</v>
      </c>
      <c r="DJ6" s="232">
        <f>'[2]Reading.5.23'!DF6</f>
        <v>2146</v>
      </c>
      <c r="DL6" s="33">
        <v>2919196</v>
      </c>
      <c r="DM6" s="33">
        <f t="shared" ref="DM6:DM35" si="26">DL6-DL5</f>
        <v>30</v>
      </c>
      <c r="DN6" s="232">
        <f>'[2]Reading.5.23'!DJ6</f>
        <v>33</v>
      </c>
      <c r="DP6" s="33">
        <v>2300998</v>
      </c>
      <c r="DQ6" s="33">
        <f t="shared" ref="DQ6:DQ35" si="27">DP6-DP5</f>
        <v>1672</v>
      </c>
      <c r="DR6" s="232">
        <f>'[2]Reading.5.23'!DN6</f>
        <v>3224</v>
      </c>
      <c r="DT6" s="33">
        <v>3139341</v>
      </c>
      <c r="DU6" s="33">
        <f t="shared" ref="DU6:DU35" si="28">DT6-DT5</f>
        <v>2052</v>
      </c>
      <c r="DV6" s="232">
        <f>'[2]Reading.5.23'!DR6</f>
        <v>32</v>
      </c>
      <c r="DW6" s="558"/>
      <c r="DX6" s="33">
        <v>720</v>
      </c>
      <c r="DZ6" s="33">
        <f t="shared" ref="DZ6:DZ35" si="29">DM6+DQ6+DU6+DX6</f>
        <v>4474</v>
      </c>
      <c r="EA6" s="232">
        <f>'[2]Reading.5.23'!DW6</f>
        <v>4009</v>
      </c>
      <c r="EC6" s="190">
        <f t="shared" ref="EC6:EC35" si="30">C6*5.2</f>
        <v>3354</v>
      </c>
      <c r="ED6" s="263">
        <f>'[2]Reading.5.23'!C6*5.2</f>
        <v>3328</v>
      </c>
      <c r="EF6" s="33">
        <v>61216</v>
      </c>
      <c r="EG6" s="269">
        <f t="shared" ref="EG6:EG30" si="31">EF6-EF5</f>
        <v>50</v>
      </c>
      <c r="EH6" s="232"/>
      <c r="EJ6" s="33">
        <v>24493</v>
      </c>
      <c r="EK6" s="269">
        <f t="shared" ref="EK6:EK35" si="32">EJ6-EJ5</f>
        <v>21</v>
      </c>
      <c r="EL6" s="232"/>
    </row>
    <row r="7" spans="1:407" x14ac:dyDescent="0.2">
      <c r="A7" s="275">
        <v>45414</v>
      </c>
      <c r="B7" s="33">
        <v>296074</v>
      </c>
      <c r="C7" s="33">
        <f t="shared" si="0"/>
        <v>497</v>
      </c>
      <c r="D7" s="33"/>
      <c r="E7" s="546">
        <v>0</v>
      </c>
      <c r="F7" s="234">
        <v>785</v>
      </c>
      <c r="G7" s="33">
        <f t="shared" si="1"/>
        <v>552</v>
      </c>
      <c r="H7" s="186">
        <f>'[2]Reading.5.23'!G7</f>
        <v>549</v>
      </c>
      <c r="I7" s="183"/>
      <c r="J7" s="546">
        <v>208041</v>
      </c>
      <c r="K7" s="185">
        <f t="shared" si="2"/>
        <v>177.38400000000001</v>
      </c>
      <c r="L7" s="241">
        <f>'[2]Reading.5.23'!K7</f>
        <v>200.72400000000002</v>
      </c>
      <c r="M7" s="184"/>
      <c r="N7" s="546">
        <v>734195</v>
      </c>
      <c r="O7" s="185">
        <f t="shared" si="3"/>
        <v>461.00000000000006</v>
      </c>
      <c r="P7" s="241">
        <f>'[2]Reading.5.23'!O7</f>
        <v>461.00000000000006</v>
      </c>
      <c r="Q7" s="34"/>
      <c r="R7" s="546">
        <v>42700</v>
      </c>
      <c r="S7" s="33"/>
      <c r="T7" s="33">
        <f t="shared" si="4"/>
        <v>0</v>
      </c>
      <c r="U7" s="241">
        <f>'[2]Reading.5.23'!T7</f>
        <v>0</v>
      </c>
      <c r="V7" s="34"/>
      <c r="W7" s="548">
        <v>45923.28</v>
      </c>
      <c r="X7" s="185">
        <f t="shared" si="5"/>
        <v>37119.999999995343</v>
      </c>
      <c r="Y7" s="241">
        <f>'[2]Reading.5.23'!X7</f>
        <v>32919.999999983702</v>
      </c>
      <c r="Z7" s="34"/>
      <c r="AA7" s="249">
        <v>520030</v>
      </c>
      <c r="AB7" s="185">
        <f t="shared" si="6"/>
        <v>0</v>
      </c>
      <c r="AC7" s="241">
        <f>'[2]Reading.5.23'!AB7</f>
        <v>0</v>
      </c>
      <c r="AD7" s="34"/>
      <c r="AE7" s="243">
        <f t="shared" si="7"/>
        <v>37119.999999995343</v>
      </c>
      <c r="AF7" s="244">
        <f>'[2]Reading.5.23'!AE7</f>
        <v>32919.999999983702</v>
      </c>
      <c r="AG7" s="242">
        <f t="shared" si="8"/>
        <v>36343.599999999999</v>
      </c>
      <c r="AH7" s="34"/>
      <c r="AI7" s="549">
        <v>0.73509999999999998</v>
      </c>
      <c r="AJ7" s="188">
        <f>'[2]Reading.5.23'!AI7</f>
        <v>0.64539999999999997</v>
      </c>
      <c r="AK7" s="550">
        <v>0.68700000000000006</v>
      </c>
      <c r="AL7" s="34"/>
      <c r="AM7" s="551">
        <v>371</v>
      </c>
      <c r="AN7" s="302">
        <f>'[2]Reading.5.23'!AM7</f>
        <v>339</v>
      </c>
      <c r="AO7" s="189">
        <f t="shared" si="9"/>
        <v>373.5</v>
      </c>
      <c r="AP7" s="34"/>
      <c r="AQ7" s="248">
        <f>451*4</f>
        <v>1804</v>
      </c>
      <c r="AR7" s="244">
        <f>'[2]Reading.5.23'!AQ7</f>
        <v>1796</v>
      </c>
      <c r="AS7" s="34"/>
      <c r="AT7" s="552">
        <v>7168.11</v>
      </c>
      <c r="AU7" s="191">
        <f t="shared" si="10"/>
        <v>4199.9999999970896</v>
      </c>
      <c r="AV7" s="553">
        <f t="shared" si="11"/>
        <v>0.99365974105520871</v>
      </c>
      <c r="AW7" s="34"/>
      <c r="AX7" s="187"/>
      <c r="AY7" s="245">
        <f>'[2]Reading.5.23'!X7</f>
        <v>32919.999999983702</v>
      </c>
      <c r="AZ7" s="496">
        <f>'[2]Reading.5.23'!AB7</f>
        <v>0</v>
      </c>
      <c r="BA7" s="246">
        <f t="shared" si="12"/>
        <v>32919.999999983702</v>
      </c>
      <c r="BC7" s="554">
        <v>19</v>
      </c>
      <c r="BD7" s="555">
        <v>16.100000000000001</v>
      </c>
      <c r="BE7" s="556">
        <v>12</v>
      </c>
      <c r="BF7" s="557">
        <v>56</v>
      </c>
      <c r="BG7" s="212">
        <v>79</v>
      </c>
      <c r="BH7" s="555">
        <f>'[2]Reading.5.23'!BD7</f>
        <v>26.6</v>
      </c>
      <c r="BI7" s="555">
        <f>'[2]Reading.5.23'!BE7</f>
        <v>22</v>
      </c>
      <c r="BJ7" s="555">
        <f>'[2]Reading.5.23'!BF7</f>
        <v>57</v>
      </c>
      <c r="BL7" s="149">
        <v>526</v>
      </c>
      <c r="BN7" s="185">
        <f>'[2]Reading.5.23'!E5</f>
        <v>0</v>
      </c>
      <c r="BP7" s="33">
        <v>67316</v>
      </c>
      <c r="BQ7" s="33">
        <f t="shared" si="13"/>
        <v>32</v>
      </c>
      <c r="BR7" s="232">
        <f>'[2]Reading.5.23'!BQ7</f>
        <v>35</v>
      </c>
      <c r="BT7" s="33">
        <v>82299</v>
      </c>
      <c r="BU7" s="33">
        <f t="shared" si="14"/>
        <v>38</v>
      </c>
      <c r="BV7" s="232">
        <f>'[2]Reading.5.23'!BU7</f>
        <v>30</v>
      </c>
      <c r="BX7" s="33">
        <v>4045</v>
      </c>
      <c r="BY7" s="33">
        <f t="shared" si="15"/>
        <v>0</v>
      </c>
      <c r="BZ7" s="232">
        <f>'[2]Reading.5.23'!BY7</f>
        <v>0</v>
      </c>
      <c r="CB7" s="33">
        <v>234710</v>
      </c>
      <c r="CC7" s="33">
        <f t="shared" si="16"/>
        <v>40</v>
      </c>
      <c r="CD7" s="232">
        <f>'[2]Reading.5.23'!CC7</f>
        <v>66</v>
      </c>
      <c r="CF7" s="33">
        <v>6330</v>
      </c>
      <c r="CG7" s="33">
        <f t="shared" si="17"/>
        <v>10</v>
      </c>
      <c r="CH7" s="232">
        <f>'[2]Reading.5.23'!CG7</f>
        <v>0</v>
      </c>
      <c r="CI7" s="33">
        <v>19770</v>
      </c>
      <c r="CJ7" s="33">
        <f t="shared" si="18"/>
        <v>0</v>
      </c>
      <c r="CK7" s="232">
        <f>'[2]Reading.5.23'!CG7</f>
        <v>0</v>
      </c>
      <c r="CM7" s="33">
        <f t="shared" si="19"/>
        <v>110</v>
      </c>
      <c r="CN7" s="33">
        <f t="shared" si="19"/>
        <v>131</v>
      </c>
      <c r="CP7" s="33">
        <v>114528</v>
      </c>
      <c r="CQ7" s="33">
        <f t="shared" si="20"/>
        <v>530</v>
      </c>
      <c r="CR7" s="134">
        <f t="shared" si="21"/>
        <v>0.96014492753623193</v>
      </c>
      <c r="CS7" s="232">
        <f>'[2]Reading.5.23'!CN7</f>
        <v>201</v>
      </c>
      <c r="CT7" s="264">
        <f>'[2]Reading.5.23'!CO5</f>
        <v>0</v>
      </c>
      <c r="CV7" s="33">
        <v>5279</v>
      </c>
      <c r="CW7" s="33">
        <f t="shared" si="22"/>
        <v>1</v>
      </c>
      <c r="CX7" s="232">
        <f>'[2]Reading.5.23'!CT7</f>
        <v>2</v>
      </c>
      <c r="CZ7" s="33">
        <v>973</v>
      </c>
      <c r="DA7" s="33">
        <f t="shared" si="23"/>
        <v>3</v>
      </c>
      <c r="DB7" s="232">
        <f>'[2]Reading.5.23'!CX7</f>
        <v>7</v>
      </c>
      <c r="DD7" s="33">
        <v>1447013</v>
      </c>
      <c r="DE7" s="33">
        <f t="shared" si="24"/>
        <v>744</v>
      </c>
      <c r="DF7" s="232">
        <f>'[2]Reading.5.23'!DB7</f>
        <v>933</v>
      </c>
      <c r="DH7" s="33">
        <v>3372177</v>
      </c>
      <c r="DI7" s="33">
        <f t="shared" si="25"/>
        <v>1936</v>
      </c>
      <c r="DJ7" s="232">
        <f>'[2]Reading.5.23'!DF7</f>
        <v>2056</v>
      </c>
      <c r="DL7" s="33">
        <v>2919230</v>
      </c>
      <c r="DM7" s="33">
        <f t="shared" si="26"/>
        <v>34</v>
      </c>
      <c r="DN7" s="232">
        <f>'[2]Reading.5.23'!DJ7</f>
        <v>32</v>
      </c>
      <c r="DP7" s="33">
        <v>2302986</v>
      </c>
      <c r="DQ7" s="33">
        <f t="shared" si="27"/>
        <v>1988</v>
      </c>
      <c r="DR7" s="232">
        <f>'[2]Reading.5.23'!DN7</f>
        <v>3672</v>
      </c>
      <c r="DT7" s="33">
        <v>3141804</v>
      </c>
      <c r="DU7" s="33">
        <f t="shared" si="28"/>
        <v>2463</v>
      </c>
      <c r="DV7" s="232">
        <f>'[2]Reading.5.23'!DR7</f>
        <v>32</v>
      </c>
      <c r="DW7" s="558"/>
      <c r="DX7" s="33">
        <v>720</v>
      </c>
      <c r="DZ7" s="33">
        <f t="shared" si="29"/>
        <v>5205</v>
      </c>
      <c r="EA7" s="232">
        <f>'[2]Reading.5.23'!DW7</f>
        <v>4456</v>
      </c>
      <c r="EC7" s="190">
        <f t="shared" si="30"/>
        <v>2584.4</v>
      </c>
      <c r="ED7" s="263">
        <f>'[2]Reading.5.23'!C7*5.2</f>
        <v>2958.8</v>
      </c>
      <c r="EF7" s="33">
        <v>61270</v>
      </c>
      <c r="EG7" s="269">
        <f t="shared" si="31"/>
        <v>54</v>
      </c>
      <c r="EH7" s="232"/>
      <c r="EJ7" s="33">
        <v>24515</v>
      </c>
      <c r="EK7" s="269">
        <f t="shared" si="32"/>
        <v>22</v>
      </c>
      <c r="EL7" s="232"/>
    </row>
    <row r="8" spans="1:407" x14ac:dyDescent="0.2">
      <c r="A8" s="275">
        <v>45415</v>
      </c>
      <c r="B8" s="33">
        <v>296665</v>
      </c>
      <c r="C8" s="33">
        <f t="shared" si="0"/>
        <v>591</v>
      </c>
      <c r="D8" s="33"/>
      <c r="E8" s="546">
        <v>0</v>
      </c>
      <c r="F8" s="234">
        <v>785</v>
      </c>
      <c r="G8" s="33">
        <f t="shared" si="1"/>
        <v>591</v>
      </c>
      <c r="H8" s="186">
        <f>'[2]Reading.5.23'!G8</f>
        <v>620</v>
      </c>
      <c r="I8" s="183"/>
      <c r="J8" s="546">
        <v>208087</v>
      </c>
      <c r="K8" s="185">
        <f t="shared" si="2"/>
        <v>214.72800000000001</v>
      </c>
      <c r="L8" s="241">
        <f>'[2]Reading.5.23'!K8</f>
        <v>196.05600000000001</v>
      </c>
      <c r="M8" s="184"/>
      <c r="N8" s="546">
        <v>734293</v>
      </c>
      <c r="O8" s="185">
        <f t="shared" si="3"/>
        <v>451.78000000000003</v>
      </c>
      <c r="P8" s="241">
        <f>'[2]Reading.5.23'!O8</f>
        <v>530.15000000000009</v>
      </c>
      <c r="Q8" s="34"/>
      <c r="R8" s="546">
        <v>42700</v>
      </c>
      <c r="S8" s="33"/>
      <c r="T8" s="33">
        <f t="shared" si="4"/>
        <v>0</v>
      </c>
      <c r="U8" s="241">
        <f>'[2]Reading.5.23'!T8</f>
        <v>0</v>
      </c>
      <c r="V8" s="34"/>
      <c r="W8" s="548">
        <v>45932.480000000003</v>
      </c>
      <c r="X8" s="185">
        <f t="shared" si="5"/>
        <v>36800.000000017462</v>
      </c>
      <c r="Y8" s="241">
        <f>'[2]Reading.5.23'!X8</f>
        <v>37279.999999998836</v>
      </c>
      <c r="Z8" s="34"/>
      <c r="AA8" s="249">
        <v>520030</v>
      </c>
      <c r="AB8" s="185">
        <f t="shared" si="6"/>
        <v>0</v>
      </c>
      <c r="AC8" s="241">
        <f>'[2]Reading.5.23'!AB8</f>
        <v>1500</v>
      </c>
      <c r="AD8" s="34"/>
      <c r="AE8" s="243">
        <f t="shared" si="7"/>
        <v>36800.000000017462</v>
      </c>
      <c r="AF8" s="244">
        <f>'[2]Reading.5.23'!AE8</f>
        <v>38779.999999998836</v>
      </c>
      <c r="AG8" s="242">
        <f t="shared" si="8"/>
        <v>36343.599999999999</v>
      </c>
      <c r="AH8" s="34"/>
      <c r="AI8" s="549">
        <v>0.75290000000000001</v>
      </c>
      <c r="AJ8" s="188">
        <f>'[2]Reading.5.23'!AI8</f>
        <v>0.6502</v>
      </c>
      <c r="AK8" s="550">
        <v>0.68700000000000006</v>
      </c>
      <c r="AL8" s="34"/>
      <c r="AM8" s="551">
        <v>396</v>
      </c>
      <c r="AN8" s="302">
        <f>'[2]Reading.5.23'!AM8</f>
        <v>342</v>
      </c>
      <c r="AO8" s="189">
        <f t="shared" si="9"/>
        <v>373.5</v>
      </c>
      <c r="AP8" s="34"/>
      <c r="AQ8" s="248">
        <f t="shared" ref="AQ8:AQ22" si="33">475*4</f>
        <v>1900</v>
      </c>
      <c r="AR8" s="244">
        <f>'[2]Reading.5.23'!AQ8</f>
        <v>1892</v>
      </c>
      <c r="AS8" s="34"/>
      <c r="AT8" s="552">
        <v>7170.34</v>
      </c>
      <c r="AU8" s="191">
        <f t="shared" si="10"/>
        <v>8920.0000000018917</v>
      </c>
      <c r="AV8" s="553">
        <f t="shared" si="11"/>
        <v>0.97185743473639097</v>
      </c>
      <c r="AW8" s="34"/>
      <c r="AX8" s="187"/>
      <c r="AY8" s="245">
        <f>'[2]Reading.5.23'!X8</f>
        <v>37279.999999998836</v>
      </c>
      <c r="AZ8" s="496">
        <f>'[2]Reading.5.23'!AB8</f>
        <v>1500</v>
      </c>
      <c r="BA8" s="246">
        <f t="shared" si="12"/>
        <v>38779.999999998836</v>
      </c>
      <c r="BC8" s="554">
        <v>22</v>
      </c>
      <c r="BD8" s="555">
        <v>17</v>
      </c>
      <c r="BE8" s="556">
        <v>14</v>
      </c>
      <c r="BF8" s="557">
        <v>48</v>
      </c>
      <c r="BG8" s="212">
        <v>80</v>
      </c>
      <c r="BH8" s="555">
        <f>'[2]Reading.5.23'!BD8</f>
        <v>26.6</v>
      </c>
      <c r="BI8" s="555">
        <f>'[2]Reading.5.23'!BE8</f>
        <v>22</v>
      </c>
      <c r="BJ8" s="555">
        <f>'[2]Reading.5.23'!BF8</f>
        <v>57</v>
      </c>
      <c r="BL8" s="149">
        <v>526</v>
      </c>
      <c r="BN8" s="185">
        <f>'[2]Reading.5.23'!E6</f>
        <v>0</v>
      </c>
      <c r="BP8" s="33">
        <v>67351</v>
      </c>
      <c r="BQ8" s="33">
        <f t="shared" si="13"/>
        <v>35</v>
      </c>
      <c r="BR8" s="232">
        <f>'[2]Reading.5.23'!BQ8</f>
        <v>36</v>
      </c>
      <c r="BT8" s="33">
        <v>82339</v>
      </c>
      <c r="BU8" s="33">
        <f t="shared" si="14"/>
        <v>40</v>
      </c>
      <c r="BV8" s="232">
        <f>'[2]Reading.5.23'!BU8</f>
        <v>53</v>
      </c>
      <c r="BX8" s="33">
        <v>4045</v>
      </c>
      <c r="BY8" s="33">
        <f t="shared" si="15"/>
        <v>0</v>
      </c>
      <c r="BZ8" s="232">
        <f>'[2]Reading.5.23'!BY8</f>
        <v>0</v>
      </c>
      <c r="CB8" s="33">
        <v>234740</v>
      </c>
      <c r="CC8" s="33">
        <f t="shared" si="16"/>
        <v>30</v>
      </c>
      <c r="CD8" s="232">
        <f>'[2]Reading.5.23'!CC8</f>
        <v>68</v>
      </c>
      <c r="CF8" s="33">
        <v>6335</v>
      </c>
      <c r="CG8" s="33">
        <f t="shared" si="17"/>
        <v>5</v>
      </c>
      <c r="CH8" s="232">
        <f>'[2]Reading.5.23'!CG8</f>
        <v>0</v>
      </c>
      <c r="CI8" s="33">
        <v>19770</v>
      </c>
      <c r="CJ8" s="33">
        <f t="shared" si="18"/>
        <v>0</v>
      </c>
      <c r="CK8" s="232">
        <f>'[2]Reading.5.23'!CG8</f>
        <v>0</v>
      </c>
      <c r="CM8" s="33">
        <f t="shared" si="19"/>
        <v>105</v>
      </c>
      <c r="CN8" s="33">
        <f t="shared" si="19"/>
        <v>157</v>
      </c>
      <c r="CP8" s="33">
        <v>114998</v>
      </c>
      <c r="CQ8" s="33">
        <f t="shared" si="20"/>
        <v>470</v>
      </c>
      <c r="CR8" s="134">
        <f t="shared" si="21"/>
        <v>0.7952622673434856</v>
      </c>
      <c r="CS8" s="232">
        <f>'[2]Reading.5.23'!CN8</f>
        <v>277</v>
      </c>
      <c r="CT8" s="264">
        <f>'[2]Reading.5.23'!CO6</f>
        <v>0.31363636363636366</v>
      </c>
      <c r="CV8" s="33">
        <v>5281</v>
      </c>
      <c r="CW8" s="33">
        <f t="shared" si="22"/>
        <v>2</v>
      </c>
      <c r="CX8" s="232">
        <f>'[2]Reading.5.23'!CT8</f>
        <v>4</v>
      </c>
      <c r="CZ8" s="33">
        <v>978</v>
      </c>
      <c r="DA8" s="33">
        <f t="shared" si="23"/>
        <v>5</v>
      </c>
      <c r="DB8" s="232">
        <f>'[2]Reading.5.23'!CX8</f>
        <v>5</v>
      </c>
      <c r="DD8" s="33">
        <v>1447823</v>
      </c>
      <c r="DE8" s="33">
        <f t="shared" si="24"/>
        <v>810</v>
      </c>
      <c r="DF8" s="232">
        <f>'[2]Reading.5.23'!DB8</f>
        <v>1038</v>
      </c>
      <c r="DH8" s="33">
        <v>3374080</v>
      </c>
      <c r="DI8" s="33">
        <f t="shared" si="25"/>
        <v>1903</v>
      </c>
      <c r="DJ8" s="232">
        <f>'[2]Reading.5.23'!DF8</f>
        <v>1907</v>
      </c>
      <c r="DL8" s="33">
        <v>2919263</v>
      </c>
      <c r="DM8" s="33">
        <f t="shared" si="26"/>
        <v>33</v>
      </c>
      <c r="DN8" s="232">
        <f>'[2]Reading.5.23'!DJ8</f>
        <v>32</v>
      </c>
      <c r="DP8" s="33">
        <v>2304959</v>
      </c>
      <c r="DQ8" s="33">
        <f t="shared" si="27"/>
        <v>1973</v>
      </c>
      <c r="DR8" s="232">
        <f>'[2]Reading.5.23'!DN8</f>
        <v>4229</v>
      </c>
      <c r="DT8" s="33">
        <v>3144418</v>
      </c>
      <c r="DU8" s="33">
        <f t="shared" si="28"/>
        <v>2614</v>
      </c>
      <c r="DV8" s="232">
        <f>'[2]Reading.5.23'!DR8</f>
        <v>32</v>
      </c>
      <c r="DW8" s="558"/>
      <c r="DX8" s="33">
        <v>720</v>
      </c>
      <c r="DZ8" s="33">
        <f t="shared" si="29"/>
        <v>5340</v>
      </c>
      <c r="EA8" s="232">
        <f>'[2]Reading.5.23'!DW8</f>
        <v>5013</v>
      </c>
      <c r="EC8" s="190">
        <f t="shared" si="30"/>
        <v>3073.2000000000003</v>
      </c>
      <c r="ED8" s="263">
        <f>'[2]Reading.5.23'!C8*5.2</f>
        <v>3276</v>
      </c>
      <c r="EF8" s="33">
        <v>61331</v>
      </c>
      <c r="EG8" s="269">
        <f t="shared" si="31"/>
        <v>61</v>
      </c>
      <c r="EH8" s="232"/>
      <c r="EJ8" s="33">
        <v>24539</v>
      </c>
      <c r="EK8" s="269">
        <f t="shared" si="32"/>
        <v>24</v>
      </c>
      <c r="EL8" s="232"/>
    </row>
    <row r="9" spans="1:407" x14ac:dyDescent="0.2">
      <c r="A9" s="275">
        <v>45416</v>
      </c>
      <c r="B9" s="33">
        <v>297282</v>
      </c>
      <c r="C9" s="33">
        <f t="shared" si="0"/>
        <v>617</v>
      </c>
      <c r="D9" s="33"/>
      <c r="E9" s="546">
        <v>0</v>
      </c>
      <c r="F9" s="234">
        <v>785</v>
      </c>
      <c r="G9" s="33">
        <f t="shared" si="1"/>
        <v>617</v>
      </c>
      <c r="H9" s="186">
        <f>'[2]Reading.5.23'!G9</f>
        <v>738</v>
      </c>
      <c r="I9" s="183"/>
      <c r="J9" s="546">
        <v>208127</v>
      </c>
      <c r="K9" s="185">
        <f t="shared" si="2"/>
        <v>186.72</v>
      </c>
      <c r="L9" s="241">
        <f>'[2]Reading.5.23'!K9</f>
        <v>168.048</v>
      </c>
      <c r="M9" s="184"/>
      <c r="N9" s="546">
        <v>734413</v>
      </c>
      <c r="O9" s="185">
        <f t="shared" si="3"/>
        <v>553.20000000000005</v>
      </c>
      <c r="P9" s="241">
        <f>'[2]Reading.5.23'!O9</f>
        <v>511.71000000000004</v>
      </c>
      <c r="Q9" s="34"/>
      <c r="R9" s="546">
        <v>42700</v>
      </c>
      <c r="S9" s="33"/>
      <c r="T9" s="33">
        <f t="shared" si="4"/>
        <v>0</v>
      </c>
      <c r="U9" s="241">
        <f>'[2]Reading.5.23'!T9</f>
        <v>0</v>
      </c>
      <c r="V9" s="34"/>
      <c r="W9" s="548">
        <v>45941.2</v>
      </c>
      <c r="X9" s="185">
        <f t="shared" si="5"/>
        <v>34879.999999975553</v>
      </c>
      <c r="Y9" s="241">
        <f>'[2]Reading.5.23'!X9</f>
        <v>34080.000000016298</v>
      </c>
      <c r="Z9" s="34"/>
      <c r="AA9" s="249">
        <v>520030</v>
      </c>
      <c r="AB9" s="185">
        <f t="shared" si="6"/>
        <v>0</v>
      </c>
      <c r="AC9" s="241">
        <f>'[2]Reading.5.23'!AB9</f>
        <v>2370</v>
      </c>
      <c r="AD9" s="34"/>
      <c r="AE9" s="243">
        <f t="shared" si="7"/>
        <v>34879.999999975553</v>
      </c>
      <c r="AF9" s="244">
        <f>'[2]Reading.5.23'!AE9</f>
        <v>36450.000000016298</v>
      </c>
      <c r="AG9" s="242">
        <f t="shared" si="8"/>
        <v>36343.599999999999</v>
      </c>
      <c r="AH9" s="34"/>
      <c r="AI9" s="549">
        <v>0.6179</v>
      </c>
      <c r="AJ9" s="188">
        <f>'[2]Reading.5.23'!AI9</f>
        <v>0.65590000000000004</v>
      </c>
      <c r="AK9" s="550">
        <v>0.68700000000000006</v>
      </c>
      <c r="AL9" s="34"/>
      <c r="AM9" s="551">
        <v>325</v>
      </c>
      <c r="AN9" s="302">
        <f>'[2]Reading.5.23'!AM9</f>
        <v>345</v>
      </c>
      <c r="AO9" s="189">
        <f t="shared" si="9"/>
        <v>373.5</v>
      </c>
      <c r="AP9" s="34"/>
      <c r="AQ9" s="248">
        <f t="shared" si="33"/>
        <v>1900</v>
      </c>
      <c r="AR9" s="244">
        <f>'[2]Reading.5.23'!AQ9</f>
        <v>1892</v>
      </c>
      <c r="AS9" s="34"/>
      <c r="AT9" s="552">
        <v>7171.94</v>
      </c>
      <c r="AU9" s="191">
        <f t="shared" si="10"/>
        <v>6399.9999999978172</v>
      </c>
      <c r="AV9" s="553">
        <f t="shared" si="11"/>
        <v>0.98357987089496035</v>
      </c>
      <c r="AW9" s="34"/>
      <c r="AX9" s="187"/>
      <c r="AY9" s="245">
        <f>'[2]Reading.5.23'!X9</f>
        <v>34080.000000016298</v>
      </c>
      <c r="AZ9" s="496">
        <f>'[2]Reading.5.23'!AB9</f>
        <v>2370</v>
      </c>
      <c r="BA9" s="246">
        <f t="shared" si="12"/>
        <v>36450.000000016298</v>
      </c>
      <c r="BC9" s="554">
        <v>22</v>
      </c>
      <c r="BD9" s="555">
        <v>18</v>
      </c>
      <c r="BE9" s="556">
        <v>14</v>
      </c>
      <c r="BF9" s="557">
        <v>52</v>
      </c>
      <c r="BG9" s="212">
        <v>81</v>
      </c>
      <c r="BH9" s="555">
        <f>'[2]Reading.5.23'!BD9</f>
        <v>26.6</v>
      </c>
      <c r="BI9" s="555">
        <f>'[2]Reading.5.23'!BE9</f>
        <v>22</v>
      </c>
      <c r="BJ9" s="555">
        <f>'[2]Reading.5.23'!BF9</f>
        <v>57</v>
      </c>
      <c r="BL9" s="149">
        <v>526</v>
      </c>
      <c r="BN9" s="185">
        <f>'[2]Reading.5.23'!E7</f>
        <v>0</v>
      </c>
      <c r="BP9" s="33">
        <v>67382</v>
      </c>
      <c r="BQ9" s="33">
        <f t="shared" si="13"/>
        <v>31</v>
      </c>
      <c r="BR9" s="232">
        <f>'[2]Reading.5.23'!BQ9</f>
        <v>31</v>
      </c>
      <c r="BT9" s="33">
        <v>82372</v>
      </c>
      <c r="BU9" s="33">
        <f t="shared" si="14"/>
        <v>33</v>
      </c>
      <c r="BV9" s="232">
        <f>'[2]Reading.5.23'!BU9</f>
        <v>37</v>
      </c>
      <c r="BX9" s="33">
        <v>4045</v>
      </c>
      <c r="BY9" s="33">
        <f t="shared" si="15"/>
        <v>0</v>
      </c>
      <c r="BZ9" s="232">
        <f>'[2]Reading.5.23'!BY9</f>
        <v>0</v>
      </c>
      <c r="CB9" s="33">
        <v>234780</v>
      </c>
      <c r="CC9" s="33">
        <f t="shared" si="16"/>
        <v>40</v>
      </c>
      <c r="CD9" s="232">
        <f>'[2]Reading.5.23'!CC9</f>
        <v>244</v>
      </c>
      <c r="CF9" s="33">
        <v>6340</v>
      </c>
      <c r="CG9" s="33">
        <f t="shared" si="17"/>
        <v>5</v>
      </c>
      <c r="CH9" s="232">
        <f>'[2]Reading.5.23'!CG9</f>
        <v>0</v>
      </c>
      <c r="CI9" s="33">
        <v>19770</v>
      </c>
      <c r="CJ9" s="33">
        <f t="shared" si="18"/>
        <v>0</v>
      </c>
      <c r="CK9" s="232">
        <f>'[2]Reading.5.23'!CG9</f>
        <v>0</v>
      </c>
      <c r="CM9" s="33">
        <f t="shared" si="19"/>
        <v>104</v>
      </c>
      <c r="CN9" s="33">
        <f t="shared" si="19"/>
        <v>312</v>
      </c>
      <c r="CP9" s="33">
        <v>115433</v>
      </c>
      <c r="CQ9" s="33">
        <f t="shared" si="20"/>
        <v>435</v>
      </c>
      <c r="CR9" s="134">
        <f t="shared" si="21"/>
        <v>0.70502431118314424</v>
      </c>
      <c r="CS9" s="232">
        <f>'[2]Reading.5.23'!CN9</f>
        <v>261</v>
      </c>
      <c r="CT9" s="264">
        <f>'[2]Reading.5.23'!CO7</f>
        <v>0.36612021857923499</v>
      </c>
      <c r="CV9" s="33">
        <v>5283</v>
      </c>
      <c r="CW9" s="33">
        <f t="shared" si="22"/>
        <v>2</v>
      </c>
      <c r="CX9" s="232">
        <f>'[2]Reading.5.23'!CT9</f>
        <v>2</v>
      </c>
      <c r="CZ9" s="33">
        <v>983</v>
      </c>
      <c r="DA9" s="33">
        <f t="shared" si="23"/>
        <v>5</v>
      </c>
      <c r="DB9" s="232">
        <f>'[2]Reading.5.23'!CX9</f>
        <v>5</v>
      </c>
      <c r="DD9" s="33">
        <v>1448939</v>
      </c>
      <c r="DE9" s="33">
        <f t="shared" si="24"/>
        <v>1116</v>
      </c>
      <c r="DF9" s="232">
        <f>'[2]Reading.5.23'!DB9</f>
        <v>1033</v>
      </c>
      <c r="DH9" s="33">
        <v>3375901</v>
      </c>
      <c r="DI9" s="33">
        <f t="shared" si="25"/>
        <v>1821</v>
      </c>
      <c r="DJ9" s="232">
        <f>'[2]Reading.5.23'!DF9</f>
        <v>1971</v>
      </c>
      <c r="DL9" s="33">
        <v>2919278</v>
      </c>
      <c r="DM9" s="33">
        <f t="shared" si="26"/>
        <v>15</v>
      </c>
      <c r="DN9" s="232">
        <f>'[2]Reading.5.23'!DJ9</f>
        <v>30</v>
      </c>
      <c r="DP9" s="33">
        <v>2306866</v>
      </c>
      <c r="DQ9" s="33">
        <f t="shared" si="27"/>
        <v>1907</v>
      </c>
      <c r="DR9" s="232">
        <f>'[2]Reading.5.23'!DN9</f>
        <v>4055</v>
      </c>
      <c r="DT9" s="33">
        <v>3146827</v>
      </c>
      <c r="DU9" s="33">
        <f t="shared" si="28"/>
        <v>2409</v>
      </c>
      <c r="DV9" s="232">
        <f>'[2]Reading.5.23'!DR9</f>
        <v>29</v>
      </c>
      <c r="DW9" s="558"/>
      <c r="DX9" s="33">
        <v>720</v>
      </c>
      <c r="DZ9" s="33">
        <f t="shared" si="29"/>
        <v>5051</v>
      </c>
      <c r="EA9" s="232">
        <f>'[2]Reading.5.23'!DW9</f>
        <v>4834</v>
      </c>
      <c r="EC9" s="190">
        <f t="shared" si="30"/>
        <v>3208.4</v>
      </c>
      <c r="ED9" s="263">
        <f>'[2]Reading.5.23'!C9*5.2</f>
        <v>3083.6</v>
      </c>
      <c r="EF9" s="33">
        <v>61391</v>
      </c>
      <c r="EG9" s="269">
        <f t="shared" si="31"/>
        <v>60</v>
      </c>
      <c r="EH9" s="232"/>
      <c r="EJ9" s="33">
        <v>24562</v>
      </c>
      <c r="EK9" s="269">
        <f t="shared" si="32"/>
        <v>23</v>
      </c>
      <c r="EL9" s="232"/>
    </row>
    <row r="10" spans="1:407" x14ac:dyDescent="0.2">
      <c r="A10" s="275">
        <v>45417</v>
      </c>
      <c r="B10" s="33">
        <v>297788</v>
      </c>
      <c r="C10" s="33">
        <f t="shared" si="0"/>
        <v>506</v>
      </c>
      <c r="D10" s="33"/>
      <c r="E10" s="546">
        <v>0</v>
      </c>
      <c r="F10" s="234">
        <v>785</v>
      </c>
      <c r="G10" s="33">
        <f t="shared" si="1"/>
        <v>506</v>
      </c>
      <c r="H10" s="186">
        <f>'[2]Reading.5.23'!G10</f>
        <v>598</v>
      </c>
      <c r="I10" s="183"/>
      <c r="J10" s="546">
        <v>208169</v>
      </c>
      <c r="K10" s="185">
        <f t="shared" si="2"/>
        <v>196.05600000000001</v>
      </c>
      <c r="L10" s="241">
        <f>'[2]Reading.5.23'!K10</f>
        <v>182.05199999999999</v>
      </c>
      <c r="M10" s="184"/>
      <c r="N10" s="546">
        <v>734529</v>
      </c>
      <c r="O10" s="185">
        <f t="shared" si="3"/>
        <v>534.76</v>
      </c>
      <c r="P10" s="241">
        <f>'[2]Reading.5.23'!O10</f>
        <v>474.83000000000004</v>
      </c>
      <c r="Q10" s="34"/>
      <c r="R10" s="546">
        <v>42700</v>
      </c>
      <c r="S10" s="33"/>
      <c r="T10" s="33">
        <f t="shared" si="4"/>
        <v>0</v>
      </c>
      <c r="U10" s="241">
        <f>'[2]Reading.5.23'!T10</f>
        <v>0</v>
      </c>
      <c r="V10" s="34"/>
      <c r="W10" s="548">
        <v>45950.26</v>
      </c>
      <c r="X10" s="185">
        <f t="shared" si="5"/>
        <v>36240.000000019791</v>
      </c>
      <c r="Y10" s="241">
        <f>'[2]Reading.5.23'!X10</f>
        <v>37760.000000009313</v>
      </c>
      <c r="Z10" s="34"/>
      <c r="AA10" s="249">
        <v>520030</v>
      </c>
      <c r="AB10" s="185">
        <f t="shared" si="6"/>
        <v>0</v>
      </c>
      <c r="AC10" s="241">
        <f>'[2]Reading.5.23'!AB10</f>
        <v>0</v>
      </c>
      <c r="AD10" s="34"/>
      <c r="AE10" s="243">
        <f t="shared" si="7"/>
        <v>36240.000000019791</v>
      </c>
      <c r="AF10" s="244">
        <f>'[2]Reading.5.23'!AE10</f>
        <v>37760.000000009313</v>
      </c>
      <c r="AG10" s="242">
        <f t="shared" si="8"/>
        <v>36343.599999999999</v>
      </c>
      <c r="AH10" s="34"/>
      <c r="AI10" s="549">
        <v>0.55700000000000005</v>
      </c>
      <c r="AJ10" s="188">
        <f>'[2]Reading.5.23'!AI10</f>
        <v>0.65590000000000004</v>
      </c>
      <c r="AK10" s="550">
        <v>0.68700000000000006</v>
      </c>
      <c r="AL10" s="34"/>
      <c r="AM10" s="551">
        <v>293</v>
      </c>
      <c r="AN10" s="302">
        <f>'[2]Reading.5.23'!AM10</f>
        <v>345</v>
      </c>
      <c r="AO10" s="189">
        <f t="shared" si="9"/>
        <v>373.5</v>
      </c>
      <c r="AP10" s="34"/>
      <c r="AQ10" s="248">
        <f t="shared" si="33"/>
        <v>1900</v>
      </c>
      <c r="AR10" s="244">
        <f>'[2]Reading.5.23'!AQ10</f>
        <v>1952</v>
      </c>
      <c r="AS10" s="34"/>
      <c r="AT10" s="552">
        <v>7173.62</v>
      </c>
      <c r="AU10" s="191">
        <f t="shared" si="10"/>
        <v>6720.0000000011642</v>
      </c>
      <c r="AV10" s="553">
        <f t="shared" si="11"/>
        <v>0.98323879752880594</v>
      </c>
      <c r="AW10" s="34"/>
      <c r="AX10" s="187"/>
      <c r="AY10" s="245">
        <f>'[2]Reading.5.23'!X10</f>
        <v>37760.000000009313</v>
      </c>
      <c r="AZ10" s="496">
        <f>'[2]Reading.5.23'!AB10</f>
        <v>0</v>
      </c>
      <c r="BA10" s="246">
        <f t="shared" si="12"/>
        <v>37760.000000009313</v>
      </c>
      <c r="BC10" s="554">
        <v>21</v>
      </c>
      <c r="BD10" s="555">
        <v>17</v>
      </c>
      <c r="BE10" s="556">
        <v>14</v>
      </c>
      <c r="BF10" s="557">
        <v>50</v>
      </c>
      <c r="BG10" s="212">
        <v>81</v>
      </c>
      <c r="BH10" s="555">
        <f>'[2]Reading.5.23'!BD10</f>
        <v>26</v>
      </c>
      <c r="BI10" s="555">
        <f>'[2]Reading.5.23'!BE10</f>
        <v>23</v>
      </c>
      <c r="BJ10" s="555">
        <f>'[2]Reading.5.23'!BF10</f>
        <v>57</v>
      </c>
      <c r="BL10" s="149">
        <v>526</v>
      </c>
      <c r="BN10" s="185">
        <f>'[2]Reading.5.23'!E8</f>
        <v>0</v>
      </c>
      <c r="BP10" s="33">
        <v>67415</v>
      </c>
      <c r="BQ10" s="33">
        <f t="shared" si="13"/>
        <v>33</v>
      </c>
      <c r="BR10" s="232">
        <f>'[2]Reading.5.23'!BQ10</f>
        <v>38</v>
      </c>
      <c r="BT10" s="33">
        <v>82415</v>
      </c>
      <c r="BU10" s="33">
        <f t="shared" si="14"/>
        <v>43</v>
      </c>
      <c r="BV10" s="232">
        <f>'[2]Reading.5.23'!BU10</f>
        <v>36</v>
      </c>
      <c r="BX10" s="33">
        <v>4045</v>
      </c>
      <c r="BY10" s="33">
        <f t="shared" si="15"/>
        <v>0</v>
      </c>
      <c r="BZ10" s="232">
        <f>'[2]Reading.5.23'!BY10</f>
        <v>0</v>
      </c>
      <c r="CB10" s="33">
        <v>234820</v>
      </c>
      <c r="CC10" s="33">
        <f t="shared" si="16"/>
        <v>40</v>
      </c>
      <c r="CD10" s="232">
        <f>'[2]Reading.5.23'!CC10</f>
        <v>110</v>
      </c>
      <c r="CF10" s="33">
        <v>6345</v>
      </c>
      <c r="CG10" s="33">
        <f t="shared" si="17"/>
        <v>5</v>
      </c>
      <c r="CH10" s="232">
        <f>'[2]Reading.5.23'!CG10</f>
        <v>0</v>
      </c>
      <c r="CI10" s="33">
        <v>19770</v>
      </c>
      <c r="CJ10" s="33">
        <f t="shared" si="18"/>
        <v>0</v>
      </c>
      <c r="CK10" s="232">
        <f>'[2]Reading.5.23'!CG10</f>
        <v>0</v>
      </c>
      <c r="CM10" s="33">
        <f t="shared" si="19"/>
        <v>116</v>
      </c>
      <c r="CN10" s="33">
        <f t="shared" si="19"/>
        <v>184</v>
      </c>
      <c r="CP10" s="33">
        <v>115841</v>
      </c>
      <c r="CQ10" s="33">
        <f t="shared" si="20"/>
        <v>408</v>
      </c>
      <c r="CR10" s="134">
        <f t="shared" si="21"/>
        <v>0.80632411067193677</v>
      </c>
      <c r="CS10" s="232">
        <f>'[2]Reading.5.23'!CN10</f>
        <v>249</v>
      </c>
      <c r="CT10" s="264">
        <f>'[2]Reading.5.23'!CO8</f>
        <v>0.4467741935483871</v>
      </c>
      <c r="CV10" s="33">
        <v>5284</v>
      </c>
      <c r="CW10" s="33">
        <f t="shared" si="22"/>
        <v>1</v>
      </c>
      <c r="CX10" s="232">
        <f>'[2]Reading.5.23'!CT10</f>
        <v>3</v>
      </c>
      <c r="CZ10" s="33">
        <v>987</v>
      </c>
      <c r="DA10" s="33">
        <f t="shared" si="23"/>
        <v>4</v>
      </c>
      <c r="DB10" s="232">
        <f>'[2]Reading.5.23'!CX10</f>
        <v>4</v>
      </c>
      <c r="DD10" s="33">
        <v>1450045</v>
      </c>
      <c r="DE10" s="33">
        <f t="shared" si="24"/>
        <v>1106</v>
      </c>
      <c r="DF10" s="232">
        <f>'[2]Reading.5.23'!DB10</f>
        <v>1002</v>
      </c>
      <c r="DH10" s="33">
        <v>3377816</v>
      </c>
      <c r="DI10" s="33">
        <f t="shared" si="25"/>
        <v>1915</v>
      </c>
      <c r="DJ10" s="232">
        <f>'[2]Reading.5.23'!DF10</f>
        <v>1812</v>
      </c>
      <c r="DL10" s="33">
        <v>2919307</v>
      </c>
      <c r="DM10" s="33">
        <f t="shared" si="26"/>
        <v>29</v>
      </c>
      <c r="DN10" s="232">
        <f>'[2]Reading.5.23'!DJ10</f>
        <v>32</v>
      </c>
      <c r="DP10" s="33">
        <v>2307575</v>
      </c>
      <c r="DQ10" s="33">
        <f t="shared" si="27"/>
        <v>709</v>
      </c>
      <c r="DR10" s="232">
        <f>'[2]Reading.5.23'!DN10</f>
        <v>4042</v>
      </c>
      <c r="DT10" s="33">
        <v>3150327</v>
      </c>
      <c r="DU10" s="33">
        <f t="shared" si="28"/>
        <v>3500</v>
      </c>
      <c r="DV10" s="232">
        <f>'[2]Reading.5.23'!DR10</f>
        <v>957</v>
      </c>
      <c r="DW10" s="558"/>
      <c r="DX10" s="33">
        <v>720</v>
      </c>
      <c r="DZ10" s="33">
        <f t="shared" si="29"/>
        <v>4958</v>
      </c>
      <c r="EA10" s="232">
        <f>'[2]Reading.5.23'!DW10</f>
        <v>5751</v>
      </c>
      <c r="EC10" s="190">
        <f t="shared" si="30"/>
        <v>2631.2000000000003</v>
      </c>
      <c r="ED10" s="263">
        <f>'[2]Reading.5.23'!C10*5.2</f>
        <v>3525.6</v>
      </c>
      <c r="EF10" s="33">
        <v>61437</v>
      </c>
      <c r="EG10" s="269">
        <f t="shared" si="31"/>
        <v>46</v>
      </c>
      <c r="EH10" s="232"/>
      <c r="EJ10" s="33">
        <v>24588</v>
      </c>
      <c r="EK10" s="269">
        <f t="shared" si="32"/>
        <v>26</v>
      </c>
      <c r="EL10" s="232"/>
      <c r="OQ10" s="560"/>
    </row>
    <row r="11" spans="1:407" x14ac:dyDescent="0.2">
      <c r="A11" s="275">
        <v>45418</v>
      </c>
      <c r="B11" s="33">
        <v>298383</v>
      </c>
      <c r="C11" s="33">
        <f t="shared" si="0"/>
        <v>595</v>
      </c>
      <c r="D11" s="33"/>
      <c r="E11" s="546">
        <v>0</v>
      </c>
      <c r="F11" s="234">
        <v>810</v>
      </c>
      <c r="G11" s="33">
        <f t="shared" si="1"/>
        <v>570</v>
      </c>
      <c r="H11" s="186">
        <f>'[2]Reading.5.23'!G11</f>
        <v>527</v>
      </c>
      <c r="I11" s="183"/>
      <c r="J11" s="546">
        <v>208202</v>
      </c>
      <c r="K11" s="185">
        <f t="shared" si="2"/>
        <v>154.04400000000001</v>
      </c>
      <c r="L11" s="241">
        <f>'[2]Reading.5.23'!K11</f>
        <v>149.376</v>
      </c>
      <c r="M11" s="184"/>
      <c r="N11" s="546">
        <v>734639</v>
      </c>
      <c r="O11" s="185">
        <f t="shared" si="3"/>
        <v>507.1</v>
      </c>
      <c r="P11" s="241">
        <f>'[2]Reading.5.23'!O11</f>
        <v>479.44000000000005</v>
      </c>
      <c r="Q11" s="34"/>
      <c r="R11" s="546">
        <v>42700</v>
      </c>
      <c r="S11" s="33"/>
      <c r="T11" s="33">
        <f t="shared" si="4"/>
        <v>0</v>
      </c>
      <c r="U11" s="241">
        <f>'[2]Reading.5.23'!T11</f>
        <v>0</v>
      </c>
      <c r="V11" s="34"/>
      <c r="W11" s="548">
        <v>45958.31</v>
      </c>
      <c r="X11" s="185">
        <f t="shared" si="5"/>
        <v>32199.999999982538</v>
      </c>
      <c r="Y11" s="241">
        <f>'[2]Reading.5.23'!X11</f>
        <v>37839.999999996508</v>
      </c>
      <c r="Z11" s="34"/>
      <c r="AA11" s="249">
        <v>520030</v>
      </c>
      <c r="AB11" s="185">
        <f t="shared" si="6"/>
        <v>0</v>
      </c>
      <c r="AC11" s="241">
        <f>'[2]Reading.5.23'!AB11</f>
        <v>0</v>
      </c>
      <c r="AD11" s="34"/>
      <c r="AE11" s="243">
        <f t="shared" si="7"/>
        <v>32199.999999982538</v>
      </c>
      <c r="AF11" s="244">
        <f>'[2]Reading.5.23'!AE11</f>
        <v>37839.999999996508</v>
      </c>
      <c r="AG11" s="242">
        <f t="shared" si="8"/>
        <v>36343.599999999999</v>
      </c>
      <c r="AH11" s="34"/>
      <c r="AI11" s="549">
        <v>0.44679999999999997</v>
      </c>
      <c r="AJ11" s="188">
        <f>'[2]Reading.5.23'!AI11</f>
        <v>0.53420000000000001</v>
      </c>
      <c r="AK11" s="550">
        <v>0.68700000000000006</v>
      </c>
      <c r="AL11" s="34"/>
      <c r="AM11" s="551">
        <v>235</v>
      </c>
      <c r="AN11" s="302">
        <f>'[2]Reading.5.23'!AM11</f>
        <v>281</v>
      </c>
      <c r="AO11" s="189">
        <f t="shared" si="9"/>
        <v>373.5</v>
      </c>
      <c r="AP11" s="34"/>
      <c r="AQ11" s="248">
        <f t="shared" si="33"/>
        <v>1900</v>
      </c>
      <c r="AR11" s="244">
        <f>'[2]Reading.5.23'!AQ11</f>
        <v>1956</v>
      </c>
      <c r="AS11" s="34"/>
      <c r="AT11" s="552">
        <v>7174.9</v>
      </c>
      <c r="AU11" s="191">
        <f t="shared" si="10"/>
        <v>5119.9999999989814</v>
      </c>
      <c r="AV11" s="553">
        <f t="shared" si="11"/>
        <v>0.98759328195938201</v>
      </c>
      <c r="AW11" s="34"/>
      <c r="AX11" s="187"/>
      <c r="AY11" s="245">
        <f>'[2]Reading.5.23'!X11</f>
        <v>37839.999999996508</v>
      </c>
      <c r="AZ11" s="496">
        <f>'[2]Reading.5.23'!AB11</f>
        <v>0</v>
      </c>
      <c r="BA11" s="246">
        <f t="shared" si="12"/>
        <v>37839.999999996508</v>
      </c>
      <c r="BC11" s="554">
        <v>24</v>
      </c>
      <c r="BD11" s="555">
        <v>17</v>
      </c>
      <c r="BE11" s="556">
        <v>14</v>
      </c>
      <c r="BF11" s="557">
        <v>50</v>
      </c>
      <c r="BG11" s="212">
        <v>81</v>
      </c>
      <c r="BH11" s="555">
        <f>'[2]Reading.5.23'!BD11</f>
        <v>29.7</v>
      </c>
      <c r="BI11" s="555">
        <f>'[2]Reading.5.23'!BE11</f>
        <v>24</v>
      </c>
      <c r="BJ11" s="555">
        <f>'[2]Reading.5.23'!BF11</f>
        <v>57</v>
      </c>
      <c r="BL11" s="149">
        <v>526</v>
      </c>
      <c r="BN11" s="185">
        <f>'[2]Reading.5.23'!E9</f>
        <v>0</v>
      </c>
      <c r="BP11" s="33">
        <v>67448</v>
      </c>
      <c r="BQ11" s="33">
        <f t="shared" si="13"/>
        <v>33</v>
      </c>
      <c r="BR11" s="232">
        <f>'[2]Reading.5.23'!BQ11</f>
        <v>36</v>
      </c>
      <c r="BT11" s="33">
        <v>82457</v>
      </c>
      <c r="BU11" s="33">
        <f t="shared" si="14"/>
        <v>42</v>
      </c>
      <c r="BV11" s="232">
        <f>'[2]Reading.5.23'!BU11</f>
        <v>35</v>
      </c>
      <c r="BX11" s="33">
        <v>4053</v>
      </c>
      <c r="BY11" s="33">
        <f t="shared" si="15"/>
        <v>8</v>
      </c>
      <c r="BZ11" s="232">
        <f>'[2]Reading.5.23'!BY11</f>
        <v>0</v>
      </c>
      <c r="CB11" s="33">
        <v>234850</v>
      </c>
      <c r="CC11" s="33">
        <f t="shared" si="16"/>
        <v>30</v>
      </c>
      <c r="CD11" s="232">
        <f>'[2]Reading.5.23'!CC11</f>
        <v>50</v>
      </c>
      <c r="CF11" s="33">
        <v>6355</v>
      </c>
      <c r="CG11" s="33">
        <f t="shared" si="17"/>
        <v>10</v>
      </c>
      <c r="CH11" s="232">
        <f>'[2]Reading.5.23'!CG11</f>
        <v>0</v>
      </c>
      <c r="CI11" s="33">
        <v>19770</v>
      </c>
      <c r="CJ11" s="33">
        <f t="shared" si="18"/>
        <v>0</v>
      </c>
      <c r="CK11" s="232">
        <f>'[2]Reading.5.23'!CG11</f>
        <v>0</v>
      </c>
      <c r="CM11" s="33">
        <f t="shared" si="19"/>
        <v>113</v>
      </c>
      <c r="CN11" s="33">
        <f t="shared" si="19"/>
        <v>121</v>
      </c>
      <c r="CP11" s="33">
        <v>116258</v>
      </c>
      <c r="CQ11" s="33">
        <f t="shared" si="20"/>
        <v>417</v>
      </c>
      <c r="CR11" s="134">
        <f t="shared" si="21"/>
        <v>0.73157894736842111</v>
      </c>
      <c r="CS11" s="232">
        <f>'[2]Reading.5.23'!CN11</f>
        <v>260</v>
      </c>
      <c r="CT11" s="264">
        <f>'[2]Reading.5.23'!CO9</f>
        <v>0.35365853658536583</v>
      </c>
      <c r="CV11" s="33">
        <v>5284</v>
      </c>
      <c r="CW11" s="33">
        <f t="shared" si="22"/>
        <v>0</v>
      </c>
      <c r="CX11" s="232">
        <f>'[2]Reading.5.23'!CT11</f>
        <v>3</v>
      </c>
      <c r="CZ11" s="33">
        <v>992</v>
      </c>
      <c r="DA11" s="33">
        <f t="shared" si="23"/>
        <v>5</v>
      </c>
      <c r="DB11" s="232">
        <f>'[2]Reading.5.23'!CX11</f>
        <v>6</v>
      </c>
      <c r="DD11" s="33">
        <v>1450893</v>
      </c>
      <c r="DE11" s="33">
        <f t="shared" si="24"/>
        <v>848</v>
      </c>
      <c r="DF11" s="232">
        <f>'[2]Reading.5.23'!DB11</f>
        <v>1061</v>
      </c>
      <c r="DH11" s="33">
        <v>3379540</v>
      </c>
      <c r="DI11" s="33">
        <f t="shared" si="25"/>
        <v>1724</v>
      </c>
      <c r="DJ11" s="232">
        <f>'[2]Reading.5.23'!DF11</f>
        <v>1962</v>
      </c>
      <c r="DL11" s="33">
        <v>2922063</v>
      </c>
      <c r="DM11" s="33">
        <f t="shared" si="26"/>
        <v>2756</v>
      </c>
      <c r="DN11" s="232">
        <f>'[2]Reading.5.23'!DJ11</f>
        <v>33</v>
      </c>
      <c r="DP11" s="33">
        <v>2307541</v>
      </c>
      <c r="DQ11" s="33">
        <f t="shared" si="27"/>
        <v>-34</v>
      </c>
      <c r="DR11" s="232">
        <f>'[2]Reading.5.23'!DN11</f>
        <v>3364</v>
      </c>
      <c r="DT11" s="33">
        <v>3151391</v>
      </c>
      <c r="DU11" s="33">
        <f t="shared" si="28"/>
        <v>1064</v>
      </c>
      <c r="DV11" s="232">
        <f>'[2]Reading.5.23'!DR11</f>
        <v>1395</v>
      </c>
      <c r="DW11" s="558"/>
      <c r="DX11" s="33">
        <v>720</v>
      </c>
      <c r="DZ11" s="33">
        <f t="shared" si="29"/>
        <v>4506</v>
      </c>
      <c r="EA11" s="232">
        <f>'[2]Reading.5.23'!DW11</f>
        <v>5512</v>
      </c>
      <c r="EC11" s="190">
        <f t="shared" si="30"/>
        <v>3094</v>
      </c>
      <c r="ED11" s="263">
        <f>'[2]Reading.5.23'!C11*5.2</f>
        <v>2948.4</v>
      </c>
      <c r="EF11" s="33">
        <v>61461</v>
      </c>
      <c r="EG11" s="269">
        <f t="shared" si="31"/>
        <v>24</v>
      </c>
      <c r="EH11" s="232"/>
      <c r="EJ11" s="33">
        <v>24610</v>
      </c>
      <c r="EK11" s="269">
        <f t="shared" si="32"/>
        <v>22</v>
      </c>
      <c r="EL11" s="232"/>
    </row>
    <row r="12" spans="1:407" x14ac:dyDescent="0.2">
      <c r="A12" s="275">
        <v>45419</v>
      </c>
      <c r="B12" s="33">
        <v>299003</v>
      </c>
      <c r="C12" s="33">
        <f t="shared" si="0"/>
        <v>620</v>
      </c>
      <c r="D12" s="33"/>
      <c r="E12" s="546">
        <v>0</v>
      </c>
      <c r="F12" s="234">
        <v>810</v>
      </c>
      <c r="G12" s="33">
        <f t="shared" si="1"/>
        <v>620</v>
      </c>
      <c r="H12" s="186">
        <f>'[2]Reading.5.23'!G12</f>
        <v>540</v>
      </c>
      <c r="I12" s="183"/>
      <c r="J12" s="546">
        <v>208240</v>
      </c>
      <c r="K12" s="185">
        <f t="shared" si="2"/>
        <v>177.38400000000001</v>
      </c>
      <c r="L12" s="241">
        <f>'[2]Reading.5.23'!K12</f>
        <v>172.71600000000001</v>
      </c>
      <c r="M12" s="184"/>
      <c r="N12" s="546">
        <v>734753</v>
      </c>
      <c r="O12" s="185">
        <f t="shared" si="3"/>
        <v>525.54000000000008</v>
      </c>
      <c r="P12" s="241">
        <f>'[2]Reading.5.23'!O12</f>
        <v>530.15000000000009</v>
      </c>
      <c r="Q12" s="34"/>
      <c r="R12" s="546">
        <v>42700</v>
      </c>
      <c r="S12" s="33"/>
      <c r="T12" s="33">
        <f t="shared" si="4"/>
        <v>0</v>
      </c>
      <c r="U12" s="241">
        <f>'[2]Reading.5.23'!T12</f>
        <v>0</v>
      </c>
      <c r="V12" s="34"/>
      <c r="W12" s="548">
        <v>45966.03</v>
      </c>
      <c r="X12" s="185">
        <f t="shared" si="5"/>
        <v>30880.000000004657</v>
      </c>
      <c r="Y12" s="241">
        <f>'[2]Reading.5.23'!X12</f>
        <v>35839.999999996508</v>
      </c>
      <c r="Z12" s="34"/>
      <c r="AA12" s="249">
        <v>520030</v>
      </c>
      <c r="AB12" s="185">
        <f t="shared" si="6"/>
        <v>0</v>
      </c>
      <c r="AC12" s="241">
        <f>'[2]Reading.5.23'!AB12</f>
        <v>0</v>
      </c>
      <c r="AD12" s="34"/>
      <c r="AE12" s="243">
        <f t="shared" si="7"/>
        <v>30880.000000004657</v>
      </c>
      <c r="AF12" s="244">
        <f>'[2]Reading.5.23'!AE12</f>
        <v>35839.999999996508</v>
      </c>
      <c r="AG12" s="242">
        <f t="shared" si="8"/>
        <v>36343.599999999999</v>
      </c>
      <c r="AH12" s="34"/>
      <c r="AI12" s="549">
        <v>0.43730000000000002</v>
      </c>
      <c r="AJ12" s="188">
        <f>'[2]Reading.5.23'!AI12</f>
        <v>0.50590000000000002</v>
      </c>
      <c r="AK12" s="550">
        <v>0.68700000000000006</v>
      </c>
      <c r="AL12" s="34"/>
      <c r="AM12" s="551">
        <v>230</v>
      </c>
      <c r="AN12" s="302">
        <f>'[2]Reading.5.23'!AM12</f>
        <v>268</v>
      </c>
      <c r="AO12" s="189">
        <f t="shared" si="9"/>
        <v>373.5</v>
      </c>
      <c r="AP12" s="34"/>
      <c r="AQ12" s="248">
        <f t="shared" si="33"/>
        <v>1900</v>
      </c>
      <c r="AR12" s="244">
        <f>'[2]Reading.5.23'!AQ12</f>
        <v>1956</v>
      </c>
      <c r="AS12" s="34"/>
      <c r="AT12" s="552">
        <v>7176.03</v>
      </c>
      <c r="AU12" s="191">
        <f t="shared" si="10"/>
        <v>4520.0000000004366</v>
      </c>
      <c r="AV12" s="553">
        <f t="shared" si="11"/>
        <v>0.98945658487389443</v>
      </c>
      <c r="AW12" s="34"/>
      <c r="AX12" s="187"/>
      <c r="AY12" s="245">
        <f>'[2]Reading.5.23'!X12</f>
        <v>35839.999999996508</v>
      </c>
      <c r="AZ12" s="496">
        <f>'[2]Reading.5.23'!AB12</f>
        <v>0</v>
      </c>
      <c r="BA12" s="246">
        <f t="shared" si="12"/>
        <v>35839.999999996508</v>
      </c>
      <c r="BC12" s="554">
        <v>26</v>
      </c>
      <c r="BD12" s="555">
        <v>21</v>
      </c>
      <c r="BE12" s="556">
        <v>17</v>
      </c>
      <c r="BF12" s="557">
        <v>50</v>
      </c>
      <c r="BG12" s="212">
        <v>81</v>
      </c>
      <c r="BH12" s="555">
        <f>'[2]Reading.5.23'!BD12</f>
        <v>29.8</v>
      </c>
      <c r="BI12" s="555">
        <f>'[2]Reading.5.23'!BE12</f>
        <v>24</v>
      </c>
      <c r="BJ12" s="555">
        <f>'[2]Reading.5.23'!BF12</f>
        <v>41</v>
      </c>
      <c r="BL12" s="149">
        <v>526</v>
      </c>
      <c r="BN12" s="185">
        <f>'[2]Reading.5.23'!E10</f>
        <v>0</v>
      </c>
      <c r="BP12" s="33">
        <v>67480</v>
      </c>
      <c r="BQ12" s="33">
        <f t="shared" si="13"/>
        <v>32</v>
      </c>
      <c r="BR12" s="232">
        <f>'[2]Reading.5.23'!BQ12</f>
        <v>39</v>
      </c>
      <c r="BT12" s="33">
        <v>82500</v>
      </c>
      <c r="BU12" s="33">
        <f t="shared" si="14"/>
        <v>43</v>
      </c>
      <c r="BV12" s="232">
        <f>'[2]Reading.5.23'!BU12</f>
        <v>39</v>
      </c>
      <c r="BX12" s="33">
        <v>4053</v>
      </c>
      <c r="BY12" s="33">
        <f t="shared" si="15"/>
        <v>0</v>
      </c>
      <c r="BZ12" s="232">
        <f>'[2]Reading.5.23'!BY12</f>
        <v>5</v>
      </c>
      <c r="CB12" s="33">
        <v>234950</v>
      </c>
      <c r="CC12" s="33">
        <f t="shared" si="16"/>
        <v>100</v>
      </c>
      <c r="CD12" s="232">
        <f>'[2]Reading.5.23'!CC12</f>
        <v>55</v>
      </c>
      <c r="CF12" s="33">
        <v>6360</v>
      </c>
      <c r="CG12" s="33">
        <f t="shared" si="17"/>
        <v>5</v>
      </c>
      <c r="CH12" s="232">
        <f>'[2]Reading.5.23'!CG12</f>
        <v>0</v>
      </c>
      <c r="CI12" s="33">
        <v>19770</v>
      </c>
      <c r="CJ12" s="33">
        <f t="shared" si="18"/>
        <v>0</v>
      </c>
      <c r="CK12" s="232">
        <f>'[2]Reading.5.23'!CG12</f>
        <v>0</v>
      </c>
      <c r="CM12" s="33">
        <f t="shared" si="19"/>
        <v>175</v>
      </c>
      <c r="CN12" s="33">
        <f t="shared" si="19"/>
        <v>138</v>
      </c>
      <c r="CP12" s="33">
        <v>116710</v>
      </c>
      <c r="CQ12" s="33">
        <f t="shared" si="20"/>
        <v>452</v>
      </c>
      <c r="CR12" s="134">
        <f t="shared" si="21"/>
        <v>0.7290322580645161</v>
      </c>
      <c r="CS12" s="232">
        <f>'[2]Reading.5.23'!CN12</f>
        <v>254</v>
      </c>
      <c r="CT12" s="264">
        <f>'[2]Reading.5.23'!CO10</f>
        <v>0.41638795986622074</v>
      </c>
      <c r="CV12" s="33">
        <v>5285</v>
      </c>
      <c r="CW12" s="33">
        <f t="shared" si="22"/>
        <v>1</v>
      </c>
      <c r="CX12" s="232">
        <f>'[2]Reading.5.23'!CT12</f>
        <v>3</v>
      </c>
      <c r="CZ12" s="33">
        <v>998</v>
      </c>
      <c r="DA12" s="33">
        <f t="shared" si="23"/>
        <v>6</v>
      </c>
      <c r="DB12" s="232">
        <f>'[2]Reading.5.23'!CX12</f>
        <v>6</v>
      </c>
      <c r="DD12" s="33">
        <v>1451783</v>
      </c>
      <c r="DE12" s="33">
        <f t="shared" si="24"/>
        <v>890</v>
      </c>
      <c r="DF12" s="232">
        <f>'[2]Reading.5.23'!DB12</f>
        <v>1030</v>
      </c>
      <c r="DH12" s="33">
        <v>3381450</v>
      </c>
      <c r="DI12" s="33">
        <f t="shared" si="25"/>
        <v>1910</v>
      </c>
      <c r="DJ12" s="232">
        <f>'[2]Reading.5.23'!DF12</f>
        <v>2182</v>
      </c>
      <c r="DL12" s="33">
        <v>2925655</v>
      </c>
      <c r="DM12" s="33">
        <f t="shared" si="26"/>
        <v>3592</v>
      </c>
      <c r="DN12" s="232">
        <f>'[2]Reading.5.23'!DJ12</f>
        <v>33</v>
      </c>
      <c r="DP12" s="33">
        <v>2307574</v>
      </c>
      <c r="DQ12" s="33">
        <f t="shared" si="27"/>
        <v>33</v>
      </c>
      <c r="DR12" s="232">
        <f>'[2]Reading.5.23'!DN12</f>
        <v>3215</v>
      </c>
      <c r="DT12" s="33">
        <v>3151423</v>
      </c>
      <c r="DU12" s="33">
        <f t="shared" si="28"/>
        <v>32</v>
      </c>
      <c r="DV12" s="232">
        <f>'[2]Reading.5.23'!DR12</f>
        <v>1541</v>
      </c>
      <c r="DW12" s="558"/>
      <c r="DX12" s="33">
        <v>720</v>
      </c>
      <c r="DZ12" s="33">
        <f t="shared" si="29"/>
        <v>4377</v>
      </c>
      <c r="EA12" s="232">
        <f>'[2]Reading.5.23'!DW12</f>
        <v>5509</v>
      </c>
      <c r="EC12" s="190">
        <f t="shared" si="30"/>
        <v>3224</v>
      </c>
      <c r="ED12" s="263">
        <f>'[2]Reading.5.23'!C12*5.2</f>
        <v>2990</v>
      </c>
      <c r="EF12" s="33">
        <v>61510</v>
      </c>
      <c r="EG12" s="269">
        <f t="shared" si="31"/>
        <v>49</v>
      </c>
      <c r="EH12" s="232"/>
      <c r="EJ12" s="33">
        <v>24634</v>
      </c>
      <c r="EK12" s="269">
        <f t="shared" si="32"/>
        <v>24</v>
      </c>
      <c r="EL12" s="232"/>
    </row>
    <row r="13" spans="1:407" x14ac:dyDescent="0.2">
      <c r="A13" s="275">
        <v>45420</v>
      </c>
      <c r="B13" s="33">
        <v>299492</v>
      </c>
      <c r="C13" s="33">
        <f t="shared" si="0"/>
        <v>489</v>
      </c>
      <c r="D13" s="33"/>
      <c r="E13" s="546">
        <v>0</v>
      </c>
      <c r="F13" s="234">
        <v>810</v>
      </c>
      <c r="G13" s="33">
        <f t="shared" si="1"/>
        <v>489</v>
      </c>
      <c r="H13" s="186">
        <f>'[2]Reading.5.23'!G13</f>
        <v>535</v>
      </c>
      <c r="I13" s="183"/>
      <c r="J13" s="546">
        <v>208284</v>
      </c>
      <c r="K13" s="185">
        <f t="shared" si="2"/>
        <v>205.392</v>
      </c>
      <c r="L13" s="241">
        <f>'[2]Reading.5.23'!K13</f>
        <v>163.38</v>
      </c>
      <c r="M13" s="184"/>
      <c r="N13" s="546">
        <v>734852</v>
      </c>
      <c r="O13" s="185">
        <f t="shared" si="3"/>
        <v>456.39000000000004</v>
      </c>
      <c r="P13" s="241">
        <f>'[2]Reading.5.23'!O13</f>
        <v>507.1</v>
      </c>
      <c r="Q13" s="34"/>
      <c r="R13" s="546">
        <v>42700</v>
      </c>
      <c r="S13" s="33"/>
      <c r="T13" s="33">
        <f t="shared" si="4"/>
        <v>0</v>
      </c>
      <c r="U13" s="241">
        <f>'[2]Reading.5.23'!T13</f>
        <v>0</v>
      </c>
      <c r="V13" s="34"/>
      <c r="W13" s="548">
        <v>45973.95</v>
      </c>
      <c r="X13" s="185">
        <f t="shared" si="5"/>
        <v>31679.999999993015</v>
      </c>
      <c r="Y13" s="241">
        <f>'[2]Reading.5.23'!X13</f>
        <v>34359.99999998603</v>
      </c>
      <c r="Z13" s="34"/>
      <c r="AA13" s="249">
        <v>520030</v>
      </c>
      <c r="AB13" s="185">
        <f t="shared" si="6"/>
        <v>0</v>
      </c>
      <c r="AC13" s="241">
        <f>'[2]Reading.5.23'!AB13</f>
        <v>0</v>
      </c>
      <c r="AD13" s="34"/>
      <c r="AE13" s="243">
        <f t="shared" si="7"/>
        <v>31679.999999993015</v>
      </c>
      <c r="AF13" s="244">
        <f>'[2]Reading.5.23'!AE13</f>
        <v>34359.99999998603</v>
      </c>
      <c r="AG13" s="242">
        <f t="shared" si="8"/>
        <v>36343.599999999999</v>
      </c>
      <c r="AH13" s="34"/>
      <c r="AI13" s="549">
        <v>0.46960000000000002</v>
      </c>
      <c r="AJ13" s="188">
        <f>'[2]Reading.5.23'!AI13</f>
        <v>0.54179999999999995</v>
      </c>
      <c r="AK13" s="550">
        <v>0.68700000000000006</v>
      </c>
      <c r="AL13" s="34"/>
      <c r="AM13" s="551">
        <v>247</v>
      </c>
      <c r="AN13" s="302">
        <f>'[2]Reading.5.23'!AM13</f>
        <v>285</v>
      </c>
      <c r="AO13" s="189">
        <f t="shared" si="9"/>
        <v>373.5</v>
      </c>
      <c r="AP13" s="34"/>
      <c r="AQ13" s="248">
        <f t="shared" si="33"/>
        <v>1900</v>
      </c>
      <c r="AR13" s="244">
        <f>'[2]Reading.5.23'!AQ13</f>
        <v>1956</v>
      </c>
      <c r="AS13" s="34"/>
      <c r="AT13" s="552">
        <v>7177</v>
      </c>
      <c r="AU13" s="191">
        <f t="shared" si="10"/>
        <v>3880.0000000010186</v>
      </c>
      <c r="AV13" s="553">
        <f t="shared" si="11"/>
        <v>0.99258330279060458</v>
      </c>
      <c r="AW13" s="34"/>
      <c r="AX13" s="187"/>
      <c r="AY13" s="245">
        <f>'[2]Reading.5.23'!X13</f>
        <v>34359.99999998603</v>
      </c>
      <c r="AZ13" s="496">
        <f>'[2]Reading.5.23'!AB13</f>
        <v>0</v>
      </c>
      <c r="BA13" s="246">
        <f t="shared" si="12"/>
        <v>34359.99999998603</v>
      </c>
      <c r="BC13" s="554">
        <v>25</v>
      </c>
      <c r="BD13" s="555">
        <v>21</v>
      </c>
      <c r="BE13" s="556">
        <v>17</v>
      </c>
      <c r="BF13" s="557">
        <v>49</v>
      </c>
      <c r="BG13" s="212">
        <v>82</v>
      </c>
      <c r="BH13" s="555">
        <f>'[2]Reading.5.23'!BD13</f>
        <v>26.6</v>
      </c>
      <c r="BI13" s="555">
        <f>'[2]Reading.5.23'!BE13</f>
        <v>23</v>
      </c>
      <c r="BJ13" s="555">
        <f>'[2]Reading.5.23'!BF13</f>
        <v>54</v>
      </c>
      <c r="BL13" s="149">
        <v>526</v>
      </c>
      <c r="BN13" s="185">
        <f>'[2]Reading.5.23'!E11</f>
        <v>0</v>
      </c>
      <c r="BP13" s="33">
        <v>67510</v>
      </c>
      <c r="BQ13" s="33">
        <f t="shared" si="13"/>
        <v>30</v>
      </c>
      <c r="BR13" s="232">
        <f>'[2]Reading.5.23'!BQ13</f>
        <v>33</v>
      </c>
      <c r="BT13" s="33">
        <v>82535</v>
      </c>
      <c r="BU13" s="33">
        <f t="shared" si="14"/>
        <v>35</v>
      </c>
      <c r="BV13" s="232">
        <f>'[2]Reading.5.23'!BU13</f>
        <v>40</v>
      </c>
      <c r="BX13" s="33">
        <v>4053</v>
      </c>
      <c r="BY13" s="33">
        <f t="shared" si="15"/>
        <v>0</v>
      </c>
      <c r="BZ13" s="232">
        <f>'[2]Reading.5.23'!BY13</f>
        <v>0</v>
      </c>
      <c r="CB13" s="33">
        <v>234990</v>
      </c>
      <c r="CC13" s="33">
        <f t="shared" si="16"/>
        <v>40</v>
      </c>
      <c r="CD13" s="232">
        <f>'[2]Reading.5.23'!CC13</f>
        <v>45</v>
      </c>
      <c r="CF13" s="33">
        <v>6365</v>
      </c>
      <c r="CG13" s="33">
        <f t="shared" si="17"/>
        <v>5</v>
      </c>
      <c r="CH13" s="232">
        <f>'[2]Reading.5.23'!CG13</f>
        <v>0</v>
      </c>
      <c r="CI13" s="33">
        <v>19770</v>
      </c>
      <c r="CJ13" s="33">
        <f t="shared" si="18"/>
        <v>0</v>
      </c>
      <c r="CK13" s="232">
        <f>'[2]Reading.5.23'!CG13</f>
        <v>0</v>
      </c>
      <c r="CM13" s="33">
        <f t="shared" si="19"/>
        <v>105</v>
      </c>
      <c r="CN13" s="33">
        <f t="shared" si="19"/>
        <v>118</v>
      </c>
      <c r="CP13" s="33">
        <v>117152</v>
      </c>
      <c r="CQ13" s="33">
        <f t="shared" si="20"/>
        <v>442</v>
      </c>
      <c r="CR13" s="134">
        <f t="shared" si="21"/>
        <v>0.9038854805725971</v>
      </c>
      <c r="CS13" s="232">
        <f>'[2]Reading.5.23'!CN13</f>
        <v>169</v>
      </c>
      <c r="CT13" s="264">
        <f>'[2]Reading.5.23'!CO11</f>
        <v>0.49335863377609107</v>
      </c>
      <c r="CV13" s="33">
        <v>5285</v>
      </c>
      <c r="CW13" s="33">
        <f t="shared" si="22"/>
        <v>0</v>
      </c>
      <c r="CX13" s="232">
        <f>'[2]Reading.5.23'!CT13</f>
        <v>3</v>
      </c>
      <c r="CZ13" s="33">
        <v>1002</v>
      </c>
      <c r="DA13" s="33">
        <f t="shared" si="23"/>
        <v>4</v>
      </c>
      <c r="DB13" s="232">
        <f>'[2]Reading.5.23'!CX13</f>
        <v>6</v>
      </c>
      <c r="DD13" s="33">
        <v>1452485</v>
      </c>
      <c r="DE13" s="33">
        <f t="shared" si="24"/>
        <v>702</v>
      </c>
      <c r="DF13" s="232">
        <f>'[2]Reading.5.23'!DB13</f>
        <v>1078</v>
      </c>
      <c r="DH13" s="33">
        <v>3383160</v>
      </c>
      <c r="DI13" s="33">
        <f t="shared" si="25"/>
        <v>1710</v>
      </c>
      <c r="DJ13" s="232">
        <f>'[2]Reading.5.23'!DF13</f>
        <v>1945</v>
      </c>
      <c r="DL13" s="33">
        <v>2929567</v>
      </c>
      <c r="DM13" s="33">
        <f t="shared" si="26"/>
        <v>3912</v>
      </c>
      <c r="DN13" s="232">
        <f>'[2]Reading.5.23'!DJ13</f>
        <v>33</v>
      </c>
      <c r="DP13" s="33">
        <v>2307608</v>
      </c>
      <c r="DQ13" s="33">
        <f t="shared" si="27"/>
        <v>34</v>
      </c>
      <c r="DR13" s="232">
        <f>'[2]Reading.5.23'!DN13</f>
        <v>3038</v>
      </c>
      <c r="DT13" s="33">
        <v>3151456</v>
      </c>
      <c r="DU13" s="33">
        <f t="shared" si="28"/>
        <v>33</v>
      </c>
      <c r="DV13" s="232">
        <f>'[2]Reading.5.23'!DR13</f>
        <v>1432</v>
      </c>
      <c r="DW13" s="558"/>
      <c r="DX13" s="33">
        <v>720</v>
      </c>
      <c r="DZ13" s="33">
        <f t="shared" si="29"/>
        <v>4699</v>
      </c>
      <c r="EA13" s="232">
        <f>'[2]Reading.5.23'!DW13</f>
        <v>5223</v>
      </c>
      <c r="EC13" s="190">
        <f t="shared" si="30"/>
        <v>2542.8000000000002</v>
      </c>
      <c r="ED13" s="263">
        <f>'[2]Reading.5.23'!C13*5.2</f>
        <v>2288</v>
      </c>
      <c r="EF13" s="33">
        <v>61561</v>
      </c>
      <c r="EG13" s="269">
        <f t="shared" si="31"/>
        <v>51</v>
      </c>
      <c r="EH13" s="232"/>
      <c r="EJ13" s="33">
        <v>24655</v>
      </c>
      <c r="EK13" s="269">
        <f t="shared" si="32"/>
        <v>21</v>
      </c>
      <c r="EL13" s="232"/>
    </row>
    <row r="14" spans="1:407" x14ac:dyDescent="0.2">
      <c r="A14" s="275">
        <v>45421</v>
      </c>
      <c r="B14" s="33">
        <v>300053</v>
      </c>
      <c r="C14" s="33">
        <f t="shared" si="0"/>
        <v>561</v>
      </c>
      <c r="D14" s="33"/>
      <c r="E14" s="546">
        <v>0</v>
      </c>
      <c r="F14" s="234">
        <v>795</v>
      </c>
      <c r="G14" s="33">
        <f t="shared" si="1"/>
        <v>576</v>
      </c>
      <c r="H14" s="186">
        <f>'[2]Reading.5.23'!G14</f>
        <v>513</v>
      </c>
      <c r="I14" s="183"/>
      <c r="J14" s="546">
        <v>208326</v>
      </c>
      <c r="K14" s="185">
        <f t="shared" si="2"/>
        <v>196.05600000000001</v>
      </c>
      <c r="L14" s="241">
        <f>'[2]Reading.5.23'!K14</f>
        <v>154.04400000000001</v>
      </c>
      <c r="M14" s="184"/>
      <c r="N14" s="546">
        <v>734953</v>
      </c>
      <c r="O14" s="185">
        <f t="shared" si="3"/>
        <v>465.61</v>
      </c>
      <c r="P14" s="241">
        <f>'[2]Reading.5.23'!O14</f>
        <v>474.83000000000004</v>
      </c>
      <c r="Q14" s="34"/>
      <c r="R14" s="546">
        <v>42700</v>
      </c>
      <c r="S14" s="33"/>
      <c r="T14" s="33">
        <f t="shared" si="4"/>
        <v>0</v>
      </c>
      <c r="U14" s="241">
        <f>'[2]Reading.5.23'!T14</f>
        <v>0</v>
      </c>
      <c r="V14" s="34"/>
      <c r="W14" s="548">
        <v>45982.38</v>
      </c>
      <c r="X14" s="185">
        <f t="shared" si="5"/>
        <v>33720.000000001164</v>
      </c>
      <c r="Y14" s="241">
        <f>'[2]Reading.5.23'!X14</f>
        <v>36279.999999998836</v>
      </c>
      <c r="Z14" s="34"/>
      <c r="AA14" s="249">
        <v>520030</v>
      </c>
      <c r="AB14" s="185">
        <f t="shared" si="6"/>
        <v>0</v>
      </c>
      <c r="AC14" s="241">
        <f>'[2]Reading.5.23'!AB14</f>
        <v>0</v>
      </c>
      <c r="AD14" s="34"/>
      <c r="AE14" s="243">
        <f t="shared" si="7"/>
        <v>33720.000000001164</v>
      </c>
      <c r="AF14" s="244">
        <f>'[2]Reading.5.23'!AE14</f>
        <v>36279.999999998836</v>
      </c>
      <c r="AG14" s="242">
        <f t="shared" si="8"/>
        <v>36343.599999999999</v>
      </c>
      <c r="AH14" s="34"/>
      <c r="AI14" s="549">
        <v>0.46010000000000001</v>
      </c>
      <c r="AJ14" s="188">
        <f>'[2]Reading.5.23'!AI14</f>
        <v>0.53039999999999998</v>
      </c>
      <c r="AK14" s="550">
        <v>0.68700000000000006</v>
      </c>
      <c r="AL14" s="34"/>
      <c r="AM14" s="551">
        <v>246</v>
      </c>
      <c r="AN14" s="302">
        <f>'[2]Reading.5.23'!AM14</f>
        <v>279</v>
      </c>
      <c r="AO14" s="189">
        <f t="shared" si="9"/>
        <v>373.5</v>
      </c>
      <c r="AP14" s="34"/>
      <c r="AQ14" s="248">
        <f t="shared" si="33"/>
        <v>1900</v>
      </c>
      <c r="AR14" s="244">
        <f>'[2]Reading.5.23'!AQ14</f>
        <v>1956</v>
      </c>
      <c r="AS14" s="34"/>
      <c r="AT14" s="552">
        <v>7178.46</v>
      </c>
      <c r="AU14" s="191">
        <f t="shared" si="10"/>
        <v>5840.0000000001455</v>
      </c>
      <c r="AV14" s="553">
        <f t="shared" si="11"/>
        <v>0.98533161371896005</v>
      </c>
      <c r="AW14" s="34"/>
      <c r="AX14" s="187"/>
      <c r="AY14" s="245">
        <f>'[2]Reading.5.23'!X14</f>
        <v>36279.999999998836</v>
      </c>
      <c r="AZ14" s="496">
        <f>'[2]Reading.5.23'!AB14</f>
        <v>0</v>
      </c>
      <c r="BA14" s="246">
        <f t="shared" si="12"/>
        <v>36279.999999998836</v>
      </c>
      <c r="BC14" s="554">
        <v>25</v>
      </c>
      <c r="BD14" s="555">
        <v>21</v>
      </c>
      <c r="BE14" s="556">
        <v>17</v>
      </c>
      <c r="BF14" s="557">
        <v>49</v>
      </c>
      <c r="BG14" s="212">
        <v>82</v>
      </c>
      <c r="BH14" s="555">
        <f>'[2]Reading.5.23'!BD14</f>
        <v>29</v>
      </c>
      <c r="BI14" s="555">
        <f>'[2]Reading.5.23'!BE14</f>
        <v>25</v>
      </c>
      <c r="BJ14" s="555">
        <f>'[2]Reading.5.23'!BF14</f>
        <v>54</v>
      </c>
      <c r="BL14" s="149">
        <v>526</v>
      </c>
      <c r="BN14" s="185">
        <f>'[2]Reading.5.23'!E12</f>
        <v>0</v>
      </c>
      <c r="BP14" s="33">
        <v>67540</v>
      </c>
      <c r="BQ14" s="33">
        <f t="shared" si="13"/>
        <v>30</v>
      </c>
      <c r="BR14" s="232">
        <f>'[2]Reading.5.23'!BQ14</f>
        <v>41</v>
      </c>
      <c r="BT14" s="33">
        <v>82581</v>
      </c>
      <c r="BU14" s="33">
        <f t="shared" si="14"/>
        <v>46</v>
      </c>
      <c r="BV14" s="232">
        <f>'[2]Reading.5.23'!BU14</f>
        <v>38</v>
      </c>
      <c r="BX14" s="33">
        <v>4053</v>
      </c>
      <c r="BY14" s="33">
        <f t="shared" si="15"/>
        <v>0</v>
      </c>
      <c r="BZ14" s="232">
        <f>'[2]Reading.5.23'!BY14</f>
        <v>0</v>
      </c>
      <c r="CB14" s="33">
        <v>235040</v>
      </c>
      <c r="CC14" s="33">
        <f t="shared" si="16"/>
        <v>50</v>
      </c>
      <c r="CD14" s="232">
        <f>'[2]Reading.5.23'!CC14</f>
        <v>55</v>
      </c>
      <c r="CF14" s="33">
        <v>6375</v>
      </c>
      <c r="CG14" s="33">
        <f t="shared" si="17"/>
        <v>10</v>
      </c>
      <c r="CH14" s="232">
        <f>'[2]Reading.5.23'!CG14</f>
        <v>0</v>
      </c>
      <c r="CI14" s="33">
        <v>19770</v>
      </c>
      <c r="CJ14" s="33">
        <f t="shared" si="18"/>
        <v>0</v>
      </c>
      <c r="CK14" s="232">
        <f>'[2]Reading.5.23'!CG14</f>
        <v>0</v>
      </c>
      <c r="CM14" s="33">
        <f t="shared" si="19"/>
        <v>126</v>
      </c>
      <c r="CN14" s="33">
        <f t="shared" si="19"/>
        <v>134</v>
      </c>
      <c r="CP14" s="33">
        <v>117495</v>
      </c>
      <c r="CQ14" s="33">
        <f t="shared" si="20"/>
        <v>343</v>
      </c>
      <c r="CR14" s="134">
        <f t="shared" si="21"/>
        <v>0.59548611111111116</v>
      </c>
      <c r="CS14" s="232">
        <f>'[2]Reading.5.23'!CN14</f>
        <v>199</v>
      </c>
      <c r="CT14" s="264">
        <f>'[2]Reading.5.23'!CO12</f>
        <v>0.47037037037037038</v>
      </c>
      <c r="CV14" s="33">
        <v>5285</v>
      </c>
      <c r="CW14" s="33">
        <f t="shared" si="22"/>
        <v>0</v>
      </c>
      <c r="CX14" s="232">
        <f>'[2]Reading.5.23'!CT14</f>
        <v>3</v>
      </c>
      <c r="CZ14" s="33">
        <v>1008</v>
      </c>
      <c r="DA14" s="33">
        <f t="shared" si="23"/>
        <v>6</v>
      </c>
      <c r="DB14" s="232">
        <f>'[2]Reading.5.23'!CX14</f>
        <v>6</v>
      </c>
      <c r="DD14" s="33">
        <v>1453438</v>
      </c>
      <c r="DE14" s="33">
        <f t="shared" si="24"/>
        <v>953</v>
      </c>
      <c r="DF14" s="232">
        <f>'[2]Reading.5.23'!DB14</f>
        <v>989</v>
      </c>
      <c r="DH14" s="33">
        <v>3384981</v>
      </c>
      <c r="DI14" s="33">
        <f t="shared" si="25"/>
        <v>1821</v>
      </c>
      <c r="DJ14" s="232">
        <f>'[2]Reading.5.23'!DF14</f>
        <v>2272</v>
      </c>
      <c r="DL14" s="33">
        <v>2933590</v>
      </c>
      <c r="DM14" s="33">
        <f t="shared" si="26"/>
        <v>4023</v>
      </c>
      <c r="DN14" s="232">
        <f>'[2]Reading.5.23'!DJ14</f>
        <v>33</v>
      </c>
      <c r="DP14" s="33">
        <v>2307640</v>
      </c>
      <c r="DQ14" s="33">
        <f t="shared" si="27"/>
        <v>32</v>
      </c>
      <c r="DR14" s="232">
        <f>'[2]Reading.5.23'!DN14</f>
        <v>3068</v>
      </c>
      <c r="DT14" s="33">
        <v>3151487</v>
      </c>
      <c r="DU14" s="33">
        <f t="shared" si="28"/>
        <v>31</v>
      </c>
      <c r="DV14" s="232">
        <f>'[2]Reading.5.23'!DR14</f>
        <v>1251</v>
      </c>
      <c r="DW14" s="558"/>
      <c r="DX14" s="33">
        <v>720</v>
      </c>
      <c r="DZ14" s="33">
        <f t="shared" si="29"/>
        <v>4806</v>
      </c>
      <c r="EA14" s="232">
        <f>'[2]Reading.5.23'!DW14</f>
        <v>5072</v>
      </c>
      <c r="EC14" s="190">
        <f t="shared" si="30"/>
        <v>2917.2000000000003</v>
      </c>
      <c r="ED14" s="263">
        <f>'[2]Reading.5.23'!C14*5.2</f>
        <v>2875.6</v>
      </c>
      <c r="EF14" s="33">
        <v>61611</v>
      </c>
      <c r="EG14" s="269">
        <f t="shared" si="31"/>
        <v>50</v>
      </c>
      <c r="EH14" s="232"/>
      <c r="EJ14" s="33">
        <v>24675</v>
      </c>
      <c r="EK14" s="269">
        <f t="shared" si="32"/>
        <v>20</v>
      </c>
      <c r="EL14" s="232"/>
    </row>
    <row r="15" spans="1:407" x14ac:dyDescent="0.2">
      <c r="A15" s="275">
        <v>45422</v>
      </c>
      <c r="B15" s="33">
        <v>300666</v>
      </c>
      <c r="C15" s="33">
        <f t="shared" si="0"/>
        <v>613</v>
      </c>
      <c r="D15" s="33"/>
      <c r="E15" s="546">
        <v>0</v>
      </c>
      <c r="F15" s="234">
        <v>835</v>
      </c>
      <c r="G15" s="33">
        <f t="shared" si="1"/>
        <v>573</v>
      </c>
      <c r="H15" s="186">
        <f>'[2]Reading.5.23'!G15</f>
        <v>543</v>
      </c>
      <c r="I15" s="183"/>
      <c r="J15" s="546">
        <v>208359</v>
      </c>
      <c r="K15" s="185">
        <f t="shared" si="2"/>
        <v>154.04400000000001</v>
      </c>
      <c r="L15" s="241">
        <f>'[2]Reading.5.23'!K15</f>
        <v>172.71600000000001</v>
      </c>
      <c r="M15" s="184"/>
      <c r="N15" s="546">
        <v>735056</v>
      </c>
      <c r="O15" s="185">
        <f t="shared" si="3"/>
        <v>474.83000000000004</v>
      </c>
      <c r="P15" s="241">
        <f>'[2]Reading.5.23'!O15</f>
        <v>465.61</v>
      </c>
      <c r="Q15" s="34"/>
      <c r="R15" s="546">
        <v>42700</v>
      </c>
      <c r="S15" s="33"/>
      <c r="T15" s="33">
        <f t="shared" si="4"/>
        <v>0</v>
      </c>
      <c r="U15" s="241">
        <f>'[2]Reading.5.23'!T15</f>
        <v>0</v>
      </c>
      <c r="V15" s="34"/>
      <c r="W15" s="548">
        <v>45990.69</v>
      </c>
      <c r="X15" s="185">
        <f t="shared" si="5"/>
        <v>33240.000000019791</v>
      </c>
      <c r="Y15" s="241">
        <f>'[2]Reading.5.23'!X15</f>
        <v>33600.000000005821</v>
      </c>
      <c r="Z15" s="34"/>
      <c r="AA15" s="249">
        <v>520040</v>
      </c>
      <c r="AB15" s="185">
        <f t="shared" si="6"/>
        <v>10</v>
      </c>
      <c r="AC15" s="241">
        <f>'[2]Reading.5.23'!AB15</f>
        <v>0</v>
      </c>
      <c r="AD15" s="34"/>
      <c r="AE15" s="243">
        <f t="shared" si="7"/>
        <v>33250.000000019791</v>
      </c>
      <c r="AF15" s="244">
        <f>'[2]Reading.5.23'!AE15</f>
        <v>33600.000000005821</v>
      </c>
      <c r="AG15" s="242">
        <f t="shared" si="8"/>
        <v>36343.599999999999</v>
      </c>
      <c r="AH15" s="34"/>
      <c r="AI15" s="549">
        <v>0.43159999999999998</v>
      </c>
      <c r="AJ15" s="188">
        <f>'[2]Reading.5.23'!AI15</f>
        <v>0.61980000000000002</v>
      </c>
      <c r="AK15" s="550">
        <v>0.68700000000000006</v>
      </c>
      <c r="AL15" s="34"/>
      <c r="AM15" s="551">
        <v>227</v>
      </c>
      <c r="AN15" s="302">
        <f>'[2]Reading.5.23'!AM15</f>
        <v>326</v>
      </c>
      <c r="AO15" s="189">
        <f t="shared" si="9"/>
        <v>373.5</v>
      </c>
      <c r="AP15" s="34"/>
      <c r="AQ15" s="248">
        <f t="shared" si="33"/>
        <v>1900</v>
      </c>
      <c r="AR15" s="244">
        <f>'[2]Reading.5.23'!AQ15</f>
        <v>1956</v>
      </c>
      <c r="AS15" s="34"/>
      <c r="AT15" s="552">
        <v>7179.63</v>
      </c>
      <c r="AU15" s="191">
        <f t="shared" si="10"/>
        <v>4680.000000000291</v>
      </c>
      <c r="AV15" s="553">
        <f t="shared" si="11"/>
        <v>0.99023345748339042</v>
      </c>
      <c r="AW15" s="34"/>
      <c r="AX15" s="187"/>
      <c r="AY15" s="245">
        <f>'[2]Reading.5.23'!X15</f>
        <v>33600.000000005821</v>
      </c>
      <c r="AZ15" s="496">
        <f>'[2]Reading.5.23'!AB15</f>
        <v>0</v>
      </c>
      <c r="BA15" s="246">
        <f t="shared" si="12"/>
        <v>33600.000000005821</v>
      </c>
      <c r="BC15" s="554">
        <v>25</v>
      </c>
      <c r="BD15" s="555">
        <v>21</v>
      </c>
      <c r="BE15" s="556">
        <v>17</v>
      </c>
      <c r="BF15" s="557">
        <v>49</v>
      </c>
      <c r="BG15" s="212">
        <v>82</v>
      </c>
      <c r="BH15" s="555">
        <f>'[2]Reading.5.23'!BD15</f>
        <v>29</v>
      </c>
      <c r="BI15" s="555">
        <f>'[2]Reading.5.23'!BE15</f>
        <v>26</v>
      </c>
      <c r="BJ15" s="555">
        <f>'[2]Reading.5.23'!BF15</f>
        <v>65</v>
      </c>
      <c r="BL15" s="149">
        <v>526</v>
      </c>
      <c r="BN15" s="185">
        <f>'[2]Reading.5.23'!E13</f>
        <v>0</v>
      </c>
      <c r="BP15" s="33">
        <v>67573</v>
      </c>
      <c r="BQ15" s="33">
        <f t="shared" si="13"/>
        <v>33</v>
      </c>
      <c r="BR15" s="232">
        <f>'[2]Reading.5.23'!BQ15</f>
        <v>45</v>
      </c>
      <c r="BT15" s="33">
        <v>82619</v>
      </c>
      <c r="BU15" s="33">
        <f t="shared" si="14"/>
        <v>38</v>
      </c>
      <c r="BV15" s="232">
        <f>'[2]Reading.5.23'!BU15</f>
        <v>38</v>
      </c>
      <c r="BX15" s="33">
        <v>4053</v>
      </c>
      <c r="BY15" s="33">
        <f t="shared" si="15"/>
        <v>0</v>
      </c>
      <c r="BZ15" s="232">
        <f>'[2]Reading.5.23'!BY15</f>
        <v>0</v>
      </c>
      <c r="CB15" s="33">
        <v>235070</v>
      </c>
      <c r="CC15" s="33">
        <f t="shared" si="16"/>
        <v>30</v>
      </c>
      <c r="CD15" s="232">
        <f>'[2]Reading.5.23'!CC15</f>
        <v>45</v>
      </c>
      <c r="CF15" s="33">
        <v>6380</v>
      </c>
      <c r="CG15" s="33">
        <f t="shared" si="17"/>
        <v>5</v>
      </c>
      <c r="CH15" s="232">
        <f>'[2]Reading.5.23'!CG15</f>
        <v>0</v>
      </c>
      <c r="CI15" s="33">
        <v>19770</v>
      </c>
      <c r="CJ15" s="33">
        <f t="shared" si="18"/>
        <v>0</v>
      </c>
      <c r="CK15" s="232">
        <f>'[2]Reading.5.23'!CG15</f>
        <v>0</v>
      </c>
      <c r="CM15" s="33">
        <f t="shared" si="19"/>
        <v>101</v>
      </c>
      <c r="CN15" s="33">
        <f t="shared" si="19"/>
        <v>128</v>
      </c>
      <c r="CP15" s="33">
        <v>117845</v>
      </c>
      <c r="CQ15" s="33">
        <f t="shared" si="20"/>
        <v>350</v>
      </c>
      <c r="CR15" s="134">
        <f t="shared" si="21"/>
        <v>0.61082024432809778</v>
      </c>
      <c r="CS15" s="232">
        <f>'[2]Reading.5.23'!CN15</f>
        <v>201</v>
      </c>
      <c r="CT15" s="264">
        <f>'[2]Reading.5.23'!CO13</f>
        <v>0.31588785046728973</v>
      </c>
      <c r="CV15" s="33">
        <v>5285</v>
      </c>
      <c r="CW15" s="33">
        <f t="shared" si="22"/>
        <v>0</v>
      </c>
      <c r="CX15" s="232">
        <f>'[2]Reading.5.23'!CT15</f>
        <v>5</v>
      </c>
      <c r="CZ15" s="33">
        <v>1014</v>
      </c>
      <c r="DA15" s="33">
        <f t="shared" si="23"/>
        <v>6</v>
      </c>
      <c r="DB15" s="232">
        <f>'[2]Reading.5.23'!CX15</f>
        <v>4</v>
      </c>
      <c r="DD15" s="33">
        <v>1454425</v>
      </c>
      <c r="DE15" s="33">
        <f t="shared" si="24"/>
        <v>987</v>
      </c>
      <c r="DF15" s="232">
        <f>'[2]Reading.5.23'!DB15</f>
        <v>1013</v>
      </c>
      <c r="DH15" s="33">
        <v>3387067</v>
      </c>
      <c r="DI15" s="33">
        <f t="shared" si="25"/>
        <v>2086</v>
      </c>
      <c r="DJ15" s="232">
        <f>'[2]Reading.5.23'!DF15</f>
        <v>2214</v>
      </c>
      <c r="DL15" s="33">
        <v>2937994</v>
      </c>
      <c r="DM15" s="33">
        <f t="shared" si="26"/>
        <v>4404</v>
      </c>
      <c r="DN15" s="232">
        <f>'[2]Reading.5.23'!DJ15</f>
        <v>32</v>
      </c>
      <c r="DP15" s="33">
        <v>2307673</v>
      </c>
      <c r="DQ15" s="33">
        <f t="shared" si="27"/>
        <v>33</v>
      </c>
      <c r="DR15" s="232">
        <f>'[2]Reading.5.23'!DN15</f>
        <v>3188</v>
      </c>
      <c r="DT15" s="33">
        <v>3151519</v>
      </c>
      <c r="DU15" s="33">
        <f t="shared" si="28"/>
        <v>32</v>
      </c>
      <c r="DV15" s="232">
        <f>'[2]Reading.5.23'!DR15</f>
        <v>1421</v>
      </c>
      <c r="DW15" s="558"/>
      <c r="DX15" s="33">
        <v>720</v>
      </c>
      <c r="DZ15" s="33">
        <f t="shared" si="29"/>
        <v>5189</v>
      </c>
      <c r="EA15" s="232">
        <f>'[2]Reading.5.23'!DW15</f>
        <v>5361</v>
      </c>
      <c r="EC15" s="190">
        <f t="shared" si="30"/>
        <v>3187.6</v>
      </c>
      <c r="ED15" s="263">
        <f>'[2]Reading.5.23'!C15*5.2</f>
        <v>2979.6</v>
      </c>
      <c r="EF15" s="33">
        <v>61665</v>
      </c>
      <c r="EG15" s="269">
        <f t="shared" si="31"/>
        <v>54</v>
      </c>
      <c r="EH15" s="232"/>
      <c r="EJ15" s="33">
        <v>24696</v>
      </c>
      <c r="EK15" s="269">
        <f t="shared" si="32"/>
        <v>21</v>
      </c>
      <c r="EL15" s="232"/>
    </row>
    <row r="16" spans="1:407" x14ac:dyDescent="0.2">
      <c r="A16" s="275">
        <v>45423</v>
      </c>
      <c r="B16" s="33">
        <v>301200</v>
      </c>
      <c r="C16" s="33">
        <f t="shared" si="0"/>
        <v>534</v>
      </c>
      <c r="D16" s="33"/>
      <c r="E16" s="546">
        <v>0</v>
      </c>
      <c r="F16" s="234">
        <v>825</v>
      </c>
      <c r="G16" s="33">
        <f t="shared" si="1"/>
        <v>544</v>
      </c>
      <c r="H16" s="186">
        <f>'[2]Reading.5.23'!G16</f>
        <v>539</v>
      </c>
      <c r="I16" s="183"/>
      <c r="J16" s="546">
        <v>208402</v>
      </c>
      <c r="K16" s="185">
        <f t="shared" si="2"/>
        <v>200.72400000000002</v>
      </c>
      <c r="L16" s="241">
        <f>'[2]Reading.5.23'!K16</f>
        <v>182.05199999999999</v>
      </c>
      <c r="M16" s="184"/>
      <c r="N16" s="546">
        <v>735160</v>
      </c>
      <c r="O16" s="185">
        <f t="shared" si="3"/>
        <v>479.44000000000005</v>
      </c>
      <c r="P16" s="241">
        <f>'[2]Reading.5.23'!O16</f>
        <v>479.44000000000005</v>
      </c>
      <c r="Q16" s="34"/>
      <c r="R16" s="546">
        <v>42700</v>
      </c>
      <c r="S16" s="33"/>
      <c r="T16" s="33">
        <f t="shared" si="4"/>
        <v>0</v>
      </c>
      <c r="U16" s="241">
        <f>'[2]Reading.5.23'!T16</f>
        <v>0</v>
      </c>
      <c r="V16" s="34"/>
      <c r="W16" s="548">
        <v>45998.97</v>
      </c>
      <c r="X16" s="185">
        <f t="shared" si="5"/>
        <v>33119.999999995343</v>
      </c>
      <c r="Y16" s="241">
        <f>'[2]Reading.5.23'!X16</f>
        <v>35320.000000006985</v>
      </c>
      <c r="Z16" s="34"/>
      <c r="AA16" s="249">
        <v>520040</v>
      </c>
      <c r="AB16" s="185">
        <f t="shared" si="6"/>
        <v>0</v>
      </c>
      <c r="AC16" s="241">
        <f>'[2]Reading.5.23'!AB16</f>
        <v>0</v>
      </c>
      <c r="AD16" s="34"/>
      <c r="AE16" s="243">
        <f t="shared" si="7"/>
        <v>33119.999999995343</v>
      </c>
      <c r="AF16" s="244">
        <f>'[2]Reading.5.23'!AE16</f>
        <v>35320.000000006985</v>
      </c>
      <c r="AG16" s="242">
        <f t="shared" si="8"/>
        <v>36343.599999999999</v>
      </c>
      <c r="AH16" s="34"/>
      <c r="AI16" s="549">
        <v>0.44490000000000002</v>
      </c>
      <c r="AJ16" s="188">
        <f>'[2]Reading.5.23'!AI16</f>
        <v>0.65210000000000001</v>
      </c>
      <c r="AK16" s="550">
        <v>0.68700000000000006</v>
      </c>
      <c r="AL16" s="34"/>
      <c r="AM16" s="551">
        <v>234</v>
      </c>
      <c r="AN16" s="302">
        <f>'[2]Reading.5.23'!AM16</f>
        <v>343</v>
      </c>
      <c r="AO16" s="189">
        <f t="shared" si="9"/>
        <v>373.5</v>
      </c>
      <c r="AP16" s="34"/>
      <c r="AQ16" s="248">
        <f t="shared" si="33"/>
        <v>1900</v>
      </c>
      <c r="AR16" s="244">
        <f>'[2]Reading.5.23'!AQ16</f>
        <v>1956</v>
      </c>
      <c r="AS16" s="34"/>
      <c r="AT16" s="552">
        <v>7181.13</v>
      </c>
      <c r="AU16" s="191">
        <f t="shared" si="10"/>
        <v>6000</v>
      </c>
      <c r="AV16" s="553">
        <f t="shared" si="11"/>
        <v>0.98398379509217915</v>
      </c>
      <c r="AW16" s="34"/>
      <c r="AX16" s="187"/>
      <c r="AY16" s="245">
        <f>'[2]Reading.5.23'!X16</f>
        <v>35320.000000006985</v>
      </c>
      <c r="AZ16" s="496">
        <f>'[2]Reading.5.23'!AB16</f>
        <v>0</v>
      </c>
      <c r="BA16" s="246">
        <f t="shared" si="12"/>
        <v>35320.000000006985</v>
      </c>
      <c r="BC16" s="554">
        <v>25</v>
      </c>
      <c r="BD16" s="555">
        <v>21</v>
      </c>
      <c r="BE16" s="556">
        <v>17</v>
      </c>
      <c r="BF16" s="557">
        <v>49</v>
      </c>
      <c r="BG16" s="212">
        <v>82</v>
      </c>
      <c r="BH16" s="555">
        <f>'[2]Reading.5.23'!BD16</f>
        <v>29</v>
      </c>
      <c r="BI16" s="555">
        <f>'[2]Reading.5.23'!BE16</f>
        <v>26</v>
      </c>
      <c r="BJ16" s="555">
        <f>'[2]Reading.5.23'!BF16</f>
        <v>65</v>
      </c>
      <c r="BL16" s="149">
        <v>526</v>
      </c>
      <c r="BN16" s="185">
        <f>'[2]Reading.5.23'!E14</f>
        <v>0</v>
      </c>
      <c r="BP16" s="33">
        <v>67600</v>
      </c>
      <c r="BQ16" s="33">
        <f t="shared" si="13"/>
        <v>27</v>
      </c>
      <c r="BR16" s="232">
        <f>'[2]Reading.5.23'!BQ16</f>
        <v>39</v>
      </c>
      <c r="BT16" s="33">
        <v>82662</v>
      </c>
      <c r="BU16" s="33">
        <f t="shared" si="14"/>
        <v>43</v>
      </c>
      <c r="BV16" s="232">
        <f>'[2]Reading.5.23'!BU16</f>
        <v>30</v>
      </c>
      <c r="BX16" s="33">
        <v>4053</v>
      </c>
      <c r="BY16" s="33">
        <f t="shared" si="15"/>
        <v>0</v>
      </c>
      <c r="BZ16" s="232">
        <f>'[2]Reading.5.23'!BY16</f>
        <v>0</v>
      </c>
      <c r="CB16" s="33">
        <v>235110</v>
      </c>
      <c r="CC16" s="33">
        <f t="shared" si="16"/>
        <v>40</v>
      </c>
      <c r="CD16" s="232">
        <f>'[2]Reading.5.23'!CC16</f>
        <v>90</v>
      </c>
      <c r="CF16" s="33">
        <v>6385</v>
      </c>
      <c r="CG16" s="33">
        <f t="shared" si="17"/>
        <v>5</v>
      </c>
      <c r="CH16" s="232">
        <f>'[2]Reading.5.23'!CG16</f>
        <v>0</v>
      </c>
      <c r="CI16" s="33">
        <v>19770</v>
      </c>
      <c r="CJ16" s="33">
        <f t="shared" si="18"/>
        <v>0</v>
      </c>
      <c r="CK16" s="232">
        <f>'[2]Reading.5.23'!CG16</f>
        <v>0</v>
      </c>
      <c r="CM16" s="33">
        <f t="shared" si="19"/>
        <v>110</v>
      </c>
      <c r="CN16" s="33">
        <f t="shared" si="19"/>
        <v>159</v>
      </c>
      <c r="CP16" s="33">
        <v>118165</v>
      </c>
      <c r="CQ16" s="33">
        <f t="shared" si="20"/>
        <v>320</v>
      </c>
      <c r="CR16" s="134">
        <f t="shared" si="21"/>
        <v>0.58823529411764708</v>
      </c>
      <c r="CS16" s="232">
        <f>'[2]Reading.5.23'!CN16</f>
        <v>220</v>
      </c>
      <c r="CT16" s="264">
        <f>'[2]Reading.5.23'!CO14</f>
        <v>0.38791423001949316</v>
      </c>
      <c r="CV16" s="33">
        <v>5285</v>
      </c>
      <c r="CW16" s="33">
        <f t="shared" si="22"/>
        <v>0</v>
      </c>
      <c r="CX16" s="232">
        <f>'[2]Reading.5.23'!CT16</f>
        <v>3</v>
      </c>
      <c r="CZ16" s="33">
        <v>1018</v>
      </c>
      <c r="DA16" s="33">
        <f t="shared" si="23"/>
        <v>4</v>
      </c>
      <c r="DB16" s="232">
        <f>'[2]Reading.5.23'!CX16</f>
        <v>7</v>
      </c>
      <c r="DD16" s="33">
        <v>1455438</v>
      </c>
      <c r="DE16" s="33">
        <f t="shared" si="24"/>
        <v>1013</v>
      </c>
      <c r="DF16" s="232">
        <f>'[2]Reading.5.23'!DB16</f>
        <v>969</v>
      </c>
      <c r="DH16" s="33">
        <v>3388807</v>
      </c>
      <c r="DI16" s="33">
        <f t="shared" si="25"/>
        <v>1740</v>
      </c>
      <c r="DJ16" s="232">
        <f>'[2]Reading.5.23'!DF16</f>
        <v>2114</v>
      </c>
      <c r="DL16" s="33">
        <v>2939647</v>
      </c>
      <c r="DM16" s="33">
        <f t="shared" si="26"/>
        <v>1653</v>
      </c>
      <c r="DN16" s="232">
        <f>'[2]Reading.5.23'!DJ16</f>
        <v>33</v>
      </c>
      <c r="DP16" s="33">
        <v>2310752</v>
      </c>
      <c r="DQ16" s="33">
        <f t="shared" si="27"/>
        <v>3079</v>
      </c>
      <c r="DR16" s="232">
        <f>'[2]Reading.5.23'!DN16</f>
        <v>3283</v>
      </c>
      <c r="DT16" s="33">
        <v>3151550</v>
      </c>
      <c r="DU16" s="33">
        <f t="shared" si="28"/>
        <v>31</v>
      </c>
      <c r="DV16" s="232">
        <f>'[2]Reading.5.23'!DR16</f>
        <v>1525</v>
      </c>
      <c r="DW16" s="558"/>
      <c r="DX16" s="33">
        <v>720</v>
      </c>
      <c r="DZ16" s="33">
        <f t="shared" si="29"/>
        <v>5483</v>
      </c>
      <c r="EA16" s="232">
        <f>'[2]Reading.5.23'!DW16</f>
        <v>5561</v>
      </c>
      <c r="EC16" s="190">
        <f t="shared" si="30"/>
        <v>2776.8</v>
      </c>
      <c r="ED16" s="263">
        <f>'[2]Reading.5.23'!C16*5.2</f>
        <v>2828.8</v>
      </c>
      <c r="EF16" s="33">
        <v>61727</v>
      </c>
      <c r="EG16" s="269">
        <f t="shared" si="31"/>
        <v>62</v>
      </c>
      <c r="EH16" s="232"/>
      <c r="EJ16" s="33">
        <v>24720</v>
      </c>
      <c r="EK16" s="269">
        <f t="shared" si="32"/>
        <v>24</v>
      </c>
      <c r="EL16" s="232"/>
    </row>
    <row r="17" spans="1:142" x14ac:dyDescent="0.2">
      <c r="A17" s="275">
        <v>45424</v>
      </c>
      <c r="B17" s="33">
        <v>301709</v>
      </c>
      <c r="C17" s="33">
        <f t="shared" si="0"/>
        <v>509</v>
      </c>
      <c r="D17" s="33"/>
      <c r="E17" s="546">
        <v>0</v>
      </c>
      <c r="F17" s="234">
        <v>820</v>
      </c>
      <c r="G17" s="33">
        <f t="shared" si="1"/>
        <v>514</v>
      </c>
      <c r="H17" s="186">
        <f>'[2]Reading.5.23'!G17</f>
        <v>523</v>
      </c>
      <c r="I17" s="183"/>
      <c r="J17" s="546">
        <v>208436</v>
      </c>
      <c r="K17" s="185">
        <f t="shared" si="2"/>
        <v>158.71200000000002</v>
      </c>
      <c r="L17" s="241">
        <f>'[2]Reading.5.23'!K17</f>
        <v>144.708</v>
      </c>
      <c r="M17" s="184"/>
      <c r="N17" s="546">
        <v>735247</v>
      </c>
      <c r="O17" s="185">
        <f t="shared" si="3"/>
        <v>401.07000000000005</v>
      </c>
      <c r="P17" s="241">
        <f>'[2]Reading.5.23'!O17</f>
        <v>461.00000000000006</v>
      </c>
      <c r="Q17" s="34"/>
      <c r="R17" s="546">
        <v>42700</v>
      </c>
      <c r="S17" s="33"/>
      <c r="T17" s="33">
        <f t="shared" si="4"/>
        <v>0</v>
      </c>
      <c r="U17" s="241">
        <f>'[2]Reading.5.23'!T17</f>
        <v>0</v>
      </c>
      <c r="V17" s="34"/>
      <c r="W17" s="548">
        <v>46006.879999999997</v>
      </c>
      <c r="X17" s="185">
        <f t="shared" si="5"/>
        <v>31639.999999984866</v>
      </c>
      <c r="Y17" s="241">
        <f>'[2]Reading.5.23'!X17</f>
        <v>35639.999999984866</v>
      </c>
      <c r="Z17" s="34"/>
      <c r="AA17" s="249">
        <v>520034</v>
      </c>
      <c r="AB17" s="185">
        <f t="shared" si="6"/>
        <v>-6</v>
      </c>
      <c r="AC17" s="241">
        <f>'[2]Reading.5.23'!AB17</f>
        <v>0</v>
      </c>
      <c r="AD17" s="34"/>
      <c r="AE17" s="243">
        <f t="shared" si="7"/>
        <v>31633.999999984866</v>
      </c>
      <c r="AF17" s="244">
        <f>'[2]Reading.5.23'!AE17</f>
        <v>35639.999999984866</v>
      </c>
      <c r="AG17" s="242">
        <f t="shared" si="8"/>
        <v>36343.599999999999</v>
      </c>
      <c r="AH17" s="34"/>
      <c r="AI17" s="549">
        <v>0.44109999999999999</v>
      </c>
      <c r="AJ17" s="188">
        <f>'[2]Reading.5.23'!AI17</f>
        <v>0.62929999999999997</v>
      </c>
      <c r="AK17" s="550">
        <v>0.68700000000000006</v>
      </c>
      <c r="AL17" s="34"/>
      <c r="AM17" s="551">
        <v>232</v>
      </c>
      <c r="AN17" s="302">
        <f>'[2]Reading.5.23'!AM17</f>
        <v>331</v>
      </c>
      <c r="AO17" s="189">
        <f t="shared" si="9"/>
        <v>373.5</v>
      </c>
      <c r="AP17" s="34"/>
      <c r="AQ17" s="248">
        <f t="shared" si="33"/>
        <v>1900</v>
      </c>
      <c r="AR17" s="244">
        <f>'[2]Reading.5.23'!AQ17</f>
        <v>1956</v>
      </c>
      <c r="AS17" s="34"/>
      <c r="AT17" s="552">
        <v>7182.63</v>
      </c>
      <c r="AU17" s="191">
        <f t="shared" si="10"/>
        <v>6000</v>
      </c>
      <c r="AV17" s="553">
        <f t="shared" si="11"/>
        <v>0.98249044459214552</v>
      </c>
      <c r="AW17" s="34"/>
      <c r="AX17" s="187"/>
      <c r="AY17" s="245">
        <f>'[2]Reading.5.23'!X17</f>
        <v>35639.999999984866</v>
      </c>
      <c r="AZ17" s="496">
        <f>'[2]Reading.5.23'!AB17</f>
        <v>0</v>
      </c>
      <c r="BA17" s="246">
        <f t="shared" si="12"/>
        <v>35639.999999984866</v>
      </c>
      <c r="BC17" s="554">
        <v>25</v>
      </c>
      <c r="BD17" s="555">
        <v>21</v>
      </c>
      <c r="BE17" s="556">
        <v>17</v>
      </c>
      <c r="BF17" s="557">
        <v>49</v>
      </c>
      <c r="BG17" s="212">
        <v>82</v>
      </c>
      <c r="BH17" s="555">
        <f>'[2]Reading.5.23'!BD17</f>
        <v>27</v>
      </c>
      <c r="BI17" s="555">
        <f>'[2]Reading.5.23'!BE17</f>
        <v>21</v>
      </c>
      <c r="BJ17" s="555">
        <f>'[2]Reading.5.23'!BF17</f>
        <v>65</v>
      </c>
      <c r="BL17" s="149">
        <v>526</v>
      </c>
      <c r="BN17" s="185">
        <f>'[2]Reading.5.23'!E15</f>
        <v>0</v>
      </c>
      <c r="BP17" s="33">
        <v>67630</v>
      </c>
      <c r="BQ17" s="33">
        <f t="shared" si="13"/>
        <v>30</v>
      </c>
      <c r="BR17" s="232">
        <f>'[2]Reading.5.23'!BQ17</f>
        <v>28</v>
      </c>
      <c r="BT17" s="33">
        <v>82696</v>
      </c>
      <c r="BU17" s="33">
        <f t="shared" si="14"/>
        <v>34</v>
      </c>
      <c r="BV17" s="232">
        <f>'[2]Reading.5.23'!BU17</f>
        <v>35</v>
      </c>
      <c r="BX17" s="33">
        <v>4053</v>
      </c>
      <c r="BY17" s="33">
        <f t="shared" si="15"/>
        <v>0</v>
      </c>
      <c r="BZ17" s="232">
        <f>'[2]Reading.5.23'!BY17</f>
        <v>2</v>
      </c>
      <c r="CB17" s="33">
        <v>235150</v>
      </c>
      <c r="CC17" s="33">
        <f t="shared" si="16"/>
        <v>40</v>
      </c>
      <c r="CD17" s="232">
        <f>'[2]Reading.5.23'!CC17</f>
        <v>40</v>
      </c>
      <c r="CF17" s="33">
        <v>6390</v>
      </c>
      <c r="CG17" s="33">
        <f t="shared" si="17"/>
        <v>5</v>
      </c>
      <c r="CH17" s="232">
        <f>'[2]Reading.5.23'!CG17</f>
        <v>0</v>
      </c>
      <c r="CI17" s="33">
        <v>19770</v>
      </c>
      <c r="CJ17" s="33">
        <f t="shared" si="18"/>
        <v>0</v>
      </c>
      <c r="CK17" s="232">
        <f>'[2]Reading.5.23'!CG17</f>
        <v>0</v>
      </c>
      <c r="CM17" s="33">
        <f t="shared" si="19"/>
        <v>104</v>
      </c>
      <c r="CN17" s="33">
        <f t="shared" si="19"/>
        <v>105</v>
      </c>
      <c r="CP17" s="33">
        <v>118505</v>
      </c>
      <c r="CQ17" s="33">
        <f t="shared" si="20"/>
        <v>340</v>
      </c>
      <c r="CR17" s="134">
        <f t="shared" si="21"/>
        <v>0.66147859922178986</v>
      </c>
      <c r="CS17" s="232">
        <f>'[2]Reading.5.23'!CN17</f>
        <v>249</v>
      </c>
      <c r="CT17" s="264">
        <f>'[2]Reading.5.23'!CO15</f>
        <v>0.37016574585635359</v>
      </c>
      <c r="CV17" s="33">
        <v>5285</v>
      </c>
      <c r="CW17" s="33">
        <f t="shared" si="22"/>
        <v>0</v>
      </c>
      <c r="CX17" s="232">
        <f>'[2]Reading.5.23'!CT17</f>
        <v>3</v>
      </c>
      <c r="CZ17" s="33">
        <v>1022</v>
      </c>
      <c r="DA17" s="33">
        <f t="shared" si="23"/>
        <v>4</v>
      </c>
      <c r="DB17" s="232">
        <f>'[2]Reading.5.23'!CX17</f>
        <v>5</v>
      </c>
      <c r="DD17" s="33">
        <v>1456409</v>
      </c>
      <c r="DE17" s="33">
        <f t="shared" si="24"/>
        <v>971</v>
      </c>
      <c r="DF17" s="232">
        <f>'[2]Reading.5.23'!DB17</f>
        <v>1047</v>
      </c>
      <c r="DH17" s="33">
        <v>3389941</v>
      </c>
      <c r="DI17" s="33">
        <f t="shared" si="25"/>
        <v>1134</v>
      </c>
      <c r="DJ17" s="232">
        <f>'[2]Reading.5.23'!DF17</f>
        <v>1712</v>
      </c>
      <c r="DL17" s="33">
        <v>2939678</v>
      </c>
      <c r="DM17" s="33">
        <f t="shared" si="26"/>
        <v>31</v>
      </c>
      <c r="DN17" s="232">
        <f>'[2]Reading.5.23'!DJ17</f>
        <v>33</v>
      </c>
      <c r="DP17" s="33">
        <v>2315262</v>
      </c>
      <c r="DQ17" s="33">
        <f t="shared" si="27"/>
        <v>4510</v>
      </c>
      <c r="DR17" s="232">
        <f>'[2]Reading.5.23'!DN17</f>
        <v>4240</v>
      </c>
      <c r="DT17" s="33">
        <v>3151581</v>
      </c>
      <c r="DU17" s="33">
        <f t="shared" si="28"/>
        <v>31</v>
      </c>
      <c r="DV17" s="232">
        <f>'[2]Reading.5.23'!DR17</f>
        <v>1685</v>
      </c>
      <c r="DW17" s="558"/>
      <c r="DX17" s="33">
        <v>720</v>
      </c>
      <c r="DZ17" s="33">
        <f t="shared" si="29"/>
        <v>5292</v>
      </c>
      <c r="EA17" s="232">
        <f>'[2]Reading.5.23'!DW17</f>
        <v>6678</v>
      </c>
      <c r="EC17" s="190">
        <f t="shared" si="30"/>
        <v>2646.8</v>
      </c>
      <c r="ED17" s="263">
        <f>'[2]Reading.5.23'!C17*5.2</f>
        <v>2823.6</v>
      </c>
      <c r="EF17" s="33">
        <v>61797</v>
      </c>
      <c r="EG17" s="269">
        <f t="shared" si="31"/>
        <v>70</v>
      </c>
      <c r="EH17" s="232"/>
      <c r="EJ17" s="33">
        <v>24740</v>
      </c>
      <c r="EK17" s="269">
        <f t="shared" si="32"/>
        <v>20</v>
      </c>
      <c r="EL17" s="232"/>
    </row>
    <row r="18" spans="1:142" x14ac:dyDescent="0.2">
      <c r="A18" s="275">
        <v>45425</v>
      </c>
      <c r="B18" s="33">
        <v>302261</v>
      </c>
      <c r="C18" s="33">
        <f t="shared" si="0"/>
        <v>552</v>
      </c>
      <c r="D18" s="33"/>
      <c r="E18" s="546">
        <v>0</v>
      </c>
      <c r="F18" s="234">
        <v>780</v>
      </c>
      <c r="G18" s="33">
        <f t="shared" si="1"/>
        <v>592</v>
      </c>
      <c r="H18" s="186">
        <f>'[2]Reading.5.23'!G18</f>
        <v>533</v>
      </c>
      <c r="I18" s="183"/>
      <c r="J18" s="546">
        <v>208475</v>
      </c>
      <c r="K18" s="185">
        <f t="shared" si="2"/>
        <v>182.05199999999999</v>
      </c>
      <c r="L18" s="241">
        <f>'[2]Reading.5.23'!K18</f>
        <v>182.05199999999999</v>
      </c>
      <c r="M18" s="184"/>
      <c r="N18" s="546">
        <v>735344</v>
      </c>
      <c r="O18" s="185">
        <f t="shared" si="3"/>
        <v>447.17</v>
      </c>
      <c r="P18" s="241">
        <f>'[2]Reading.5.23'!O18</f>
        <v>548.59</v>
      </c>
      <c r="Q18" s="34"/>
      <c r="R18" s="546">
        <v>42700</v>
      </c>
      <c r="S18" s="33"/>
      <c r="T18" s="33">
        <f t="shared" si="4"/>
        <v>0</v>
      </c>
      <c r="U18" s="241">
        <f>'[2]Reading.5.23'!T18</f>
        <v>0</v>
      </c>
      <c r="V18" s="34"/>
      <c r="W18" s="548">
        <v>46015.11</v>
      </c>
      <c r="X18" s="185">
        <f t="shared" si="5"/>
        <v>32920.000000012806</v>
      </c>
      <c r="Y18" s="241">
        <f>'[2]Reading.5.23'!X18</f>
        <v>36559.999999997672</v>
      </c>
      <c r="Z18" s="34"/>
      <c r="AA18" s="249">
        <v>520034</v>
      </c>
      <c r="AB18" s="185">
        <f t="shared" si="6"/>
        <v>0</v>
      </c>
      <c r="AC18" s="241">
        <f>'[2]Reading.5.23'!AB18</f>
        <v>0</v>
      </c>
      <c r="AD18" s="34"/>
      <c r="AE18" s="243">
        <f t="shared" si="7"/>
        <v>32920.000000012806</v>
      </c>
      <c r="AF18" s="244">
        <f>'[2]Reading.5.23'!AE18</f>
        <v>36559.999999997672</v>
      </c>
      <c r="AG18" s="242">
        <f t="shared" si="8"/>
        <v>36343.599999999999</v>
      </c>
      <c r="AH18" s="34"/>
      <c r="AI18" s="549">
        <v>0.443</v>
      </c>
      <c r="AJ18" s="188">
        <f>'[2]Reading.5.23'!AI18</f>
        <v>0.69579999999999997</v>
      </c>
      <c r="AK18" s="550">
        <v>0.68700000000000006</v>
      </c>
      <c r="AL18" s="34"/>
      <c r="AM18" s="551">
        <v>233</v>
      </c>
      <c r="AN18" s="302">
        <f>'[2]Reading.5.23'!AM18</f>
        <v>366</v>
      </c>
      <c r="AO18" s="189">
        <f t="shared" si="9"/>
        <v>373.5</v>
      </c>
      <c r="AP18" s="34"/>
      <c r="AQ18" s="248">
        <f t="shared" si="33"/>
        <v>1900</v>
      </c>
      <c r="AR18" s="244">
        <f>'[2]Reading.5.23'!AQ18</f>
        <v>1956</v>
      </c>
      <c r="AS18" s="34"/>
      <c r="AT18" s="552">
        <v>7184.23</v>
      </c>
      <c r="AU18" s="191">
        <f t="shared" si="10"/>
        <v>6399.9999999978172</v>
      </c>
      <c r="AV18" s="553">
        <f t="shared" si="11"/>
        <v>0.98162159669660076</v>
      </c>
      <c r="AW18" s="34"/>
      <c r="AX18" s="187"/>
      <c r="AY18" s="245">
        <f>'[2]Reading.5.23'!X18</f>
        <v>36559.999999997672</v>
      </c>
      <c r="AZ18" s="496">
        <f>'[2]Reading.5.23'!AB18</f>
        <v>0</v>
      </c>
      <c r="BA18" s="246">
        <f t="shared" si="12"/>
        <v>36559.999999997672</v>
      </c>
      <c r="BC18" s="554">
        <v>25</v>
      </c>
      <c r="BD18" s="555">
        <v>21</v>
      </c>
      <c r="BE18" s="556">
        <v>17</v>
      </c>
      <c r="BF18" s="557">
        <v>49</v>
      </c>
      <c r="BG18" s="212">
        <v>82</v>
      </c>
      <c r="BH18" s="555">
        <f>'[2]Reading.5.23'!BD18</f>
        <v>27</v>
      </c>
      <c r="BI18" s="555">
        <f>'[2]Reading.5.23'!BE18</f>
        <v>22</v>
      </c>
      <c r="BJ18" s="555">
        <f>'[2]Reading.5.23'!BF18</f>
        <v>65</v>
      </c>
      <c r="BL18" s="149">
        <v>526</v>
      </c>
      <c r="BN18" s="185">
        <f>'[2]Reading.5.23'!E16</f>
        <v>0</v>
      </c>
      <c r="BP18" s="33">
        <v>67663</v>
      </c>
      <c r="BQ18" s="33">
        <f t="shared" si="13"/>
        <v>33</v>
      </c>
      <c r="BR18" s="232">
        <f>'[2]Reading.5.23'!BQ18</f>
        <v>39</v>
      </c>
      <c r="BT18" s="33">
        <v>82733</v>
      </c>
      <c r="BU18" s="33">
        <f t="shared" si="14"/>
        <v>37</v>
      </c>
      <c r="BV18" s="232">
        <f>'[2]Reading.5.23'!BU18</f>
        <v>43</v>
      </c>
      <c r="BX18" s="33">
        <v>4053</v>
      </c>
      <c r="BY18" s="33">
        <f t="shared" si="15"/>
        <v>0</v>
      </c>
      <c r="BZ18" s="232">
        <f>'[2]Reading.5.23'!BY18</f>
        <v>0</v>
      </c>
      <c r="CB18" s="33">
        <v>235230</v>
      </c>
      <c r="CC18" s="33">
        <f t="shared" si="16"/>
        <v>80</v>
      </c>
      <c r="CD18" s="232">
        <f>'[2]Reading.5.23'!CC18</f>
        <v>30</v>
      </c>
      <c r="CF18" s="33">
        <v>6395</v>
      </c>
      <c r="CG18" s="33">
        <f t="shared" si="17"/>
        <v>5</v>
      </c>
      <c r="CH18" s="232">
        <f>'[2]Reading.5.23'!CG18</f>
        <v>0</v>
      </c>
      <c r="CI18" s="33">
        <v>19770</v>
      </c>
      <c r="CJ18" s="33">
        <f t="shared" si="18"/>
        <v>0</v>
      </c>
      <c r="CK18" s="232">
        <f>'[2]Reading.5.23'!CG18</f>
        <v>0</v>
      </c>
      <c r="CM18" s="33">
        <f t="shared" si="19"/>
        <v>150</v>
      </c>
      <c r="CN18" s="33">
        <f t="shared" si="19"/>
        <v>112</v>
      </c>
      <c r="CP18" s="33">
        <v>118905</v>
      </c>
      <c r="CQ18" s="33">
        <f t="shared" si="20"/>
        <v>400</v>
      </c>
      <c r="CR18" s="134">
        <f t="shared" si="21"/>
        <v>0.67567567567567566</v>
      </c>
      <c r="CS18" s="232">
        <f>'[2]Reading.5.23'!CN18</f>
        <v>248</v>
      </c>
      <c r="CT18" s="264">
        <f>'[2]Reading.5.23'!CO16</f>
        <v>0.40816326530612246</v>
      </c>
      <c r="CV18" s="33">
        <v>5285</v>
      </c>
      <c r="CW18" s="33">
        <f t="shared" si="22"/>
        <v>0</v>
      </c>
      <c r="CX18" s="232">
        <f>'[2]Reading.5.23'!CT18</f>
        <v>4</v>
      </c>
      <c r="CZ18" s="33">
        <v>1028</v>
      </c>
      <c r="DA18" s="33">
        <f t="shared" si="23"/>
        <v>6</v>
      </c>
      <c r="DB18" s="232">
        <f>'[2]Reading.5.23'!CX18</f>
        <v>6</v>
      </c>
      <c r="DD18" s="33">
        <v>1457315</v>
      </c>
      <c r="DE18" s="33">
        <f t="shared" si="24"/>
        <v>906</v>
      </c>
      <c r="DF18" s="232">
        <f>'[2]Reading.5.23'!DB18</f>
        <v>1156</v>
      </c>
      <c r="DH18" s="33">
        <v>3392344</v>
      </c>
      <c r="DI18" s="33">
        <f t="shared" si="25"/>
        <v>2403</v>
      </c>
      <c r="DJ18" s="232">
        <f>'[2]Reading.5.23'!DF18</f>
        <v>2586</v>
      </c>
      <c r="DL18" s="33">
        <v>2939710</v>
      </c>
      <c r="DM18" s="33">
        <f t="shared" si="26"/>
        <v>32</v>
      </c>
      <c r="DN18" s="232">
        <f>'[2]Reading.5.23'!DJ18</f>
        <v>33</v>
      </c>
      <c r="DP18" s="33">
        <v>2319335</v>
      </c>
      <c r="DQ18" s="33">
        <f t="shared" si="27"/>
        <v>4073</v>
      </c>
      <c r="DR18" s="232">
        <f>'[2]Reading.5.23'!DN18</f>
        <v>2157</v>
      </c>
      <c r="DT18" s="33">
        <v>3151612</v>
      </c>
      <c r="DU18" s="33">
        <f t="shared" si="28"/>
        <v>31</v>
      </c>
      <c r="DV18" s="232">
        <f>'[2]Reading.5.23'!DR18</f>
        <v>1708</v>
      </c>
      <c r="DW18" s="558"/>
      <c r="DX18" s="33">
        <v>720</v>
      </c>
      <c r="DZ18" s="33">
        <f t="shared" si="29"/>
        <v>4856</v>
      </c>
      <c r="EA18" s="232">
        <f>'[2]Reading.5.23'!DW18</f>
        <v>4618</v>
      </c>
      <c r="EC18" s="190">
        <f t="shared" si="30"/>
        <v>2870.4</v>
      </c>
      <c r="ED18" s="263">
        <f>'[2]Reading.5.23'!C18*5.2</f>
        <v>2875.6</v>
      </c>
      <c r="EF18" s="33">
        <v>61820</v>
      </c>
      <c r="EG18" s="269">
        <f t="shared" si="31"/>
        <v>23</v>
      </c>
      <c r="EH18" s="232"/>
      <c r="EJ18" s="33">
        <v>24763</v>
      </c>
      <c r="EK18" s="269">
        <f t="shared" si="32"/>
        <v>23</v>
      </c>
      <c r="EL18" s="232"/>
    </row>
    <row r="19" spans="1:142" x14ac:dyDescent="0.2">
      <c r="A19" s="275">
        <v>45426</v>
      </c>
      <c r="B19" s="33">
        <v>302858</v>
      </c>
      <c r="C19" s="33">
        <f t="shared" si="0"/>
        <v>597</v>
      </c>
      <c r="D19" s="33"/>
      <c r="E19" s="546">
        <v>0</v>
      </c>
      <c r="F19" s="234">
        <v>810</v>
      </c>
      <c r="G19" s="33">
        <f t="shared" si="1"/>
        <v>567</v>
      </c>
      <c r="H19" s="186">
        <f>'[2]Reading.5.23'!G19</f>
        <v>602</v>
      </c>
      <c r="I19" s="183"/>
      <c r="J19" s="546">
        <v>208511</v>
      </c>
      <c r="K19" s="185">
        <f t="shared" si="2"/>
        <v>168.048</v>
      </c>
      <c r="L19" s="241">
        <f>'[2]Reading.5.23'!K19</f>
        <v>205.392</v>
      </c>
      <c r="M19" s="184"/>
      <c r="N19" s="546">
        <v>735437</v>
      </c>
      <c r="O19" s="185">
        <f t="shared" si="3"/>
        <v>428.73</v>
      </c>
      <c r="P19" s="241">
        <f>'[2]Reading.5.23'!O19</f>
        <v>507.1</v>
      </c>
      <c r="Q19" s="34"/>
      <c r="R19" s="546">
        <v>42700</v>
      </c>
      <c r="S19" s="33"/>
      <c r="T19" s="33">
        <f t="shared" si="4"/>
        <v>0</v>
      </c>
      <c r="U19" s="241">
        <f>'[2]Reading.5.23'!T19</f>
        <v>0</v>
      </c>
      <c r="V19" s="34"/>
      <c r="W19" s="548">
        <v>46022.53</v>
      </c>
      <c r="X19" s="185">
        <f t="shared" si="5"/>
        <v>29679.999999993015</v>
      </c>
      <c r="Y19" s="241">
        <f>'[2]Reading.5.23'!X19</f>
        <v>36000</v>
      </c>
      <c r="Z19" s="34"/>
      <c r="AA19" s="249">
        <v>520034</v>
      </c>
      <c r="AB19" s="185">
        <f t="shared" si="6"/>
        <v>0</v>
      </c>
      <c r="AC19" s="241">
        <f>'[2]Reading.5.23'!AB19</f>
        <v>0</v>
      </c>
      <c r="AD19" s="34"/>
      <c r="AE19" s="243">
        <f t="shared" si="7"/>
        <v>29679.999999993015</v>
      </c>
      <c r="AF19" s="244">
        <f>'[2]Reading.5.23'!AE19</f>
        <v>36000</v>
      </c>
      <c r="AG19" s="242">
        <f t="shared" si="8"/>
        <v>36343.599999999999</v>
      </c>
      <c r="AH19" s="34"/>
      <c r="AI19" s="549">
        <v>0.43919999999999998</v>
      </c>
      <c r="AJ19" s="188">
        <f>'[2]Reading.5.23'!AI19</f>
        <v>0.70720000000000005</v>
      </c>
      <c r="AK19" s="550">
        <v>0.68700000000000006</v>
      </c>
      <c r="AL19" s="34"/>
      <c r="AM19" s="551">
        <v>231</v>
      </c>
      <c r="AN19" s="302">
        <f>'[2]Reading.5.23'!AM19</f>
        <v>372</v>
      </c>
      <c r="AO19" s="189">
        <f t="shared" si="9"/>
        <v>373.5</v>
      </c>
      <c r="AP19" s="34"/>
      <c r="AQ19" s="248">
        <f t="shared" si="33"/>
        <v>1900</v>
      </c>
      <c r="AR19" s="244">
        <f>'[2]Reading.5.23'!AQ19</f>
        <v>1956</v>
      </c>
      <c r="AS19" s="34"/>
      <c r="AT19" s="552">
        <v>7184.89</v>
      </c>
      <c r="AU19" s="191">
        <f t="shared" si="10"/>
        <v>2640.0000000030559</v>
      </c>
      <c r="AV19" s="553">
        <f t="shared" si="11"/>
        <v>0.9960673771645614</v>
      </c>
      <c r="AW19" s="34"/>
      <c r="AX19" s="187"/>
      <c r="AY19" s="245">
        <f>'[2]Reading.5.23'!X19</f>
        <v>36000</v>
      </c>
      <c r="AZ19" s="496">
        <f>'[2]Reading.5.23'!AB19</f>
        <v>0</v>
      </c>
      <c r="BA19" s="246">
        <f t="shared" si="12"/>
        <v>36000</v>
      </c>
      <c r="BC19" s="554">
        <v>25</v>
      </c>
      <c r="BD19" s="555">
        <v>21</v>
      </c>
      <c r="BE19" s="556">
        <v>17</v>
      </c>
      <c r="BF19" s="557">
        <v>49</v>
      </c>
      <c r="BG19" s="212">
        <v>82</v>
      </c>
      <c r="BH19" s="555">
        <f>'[2]Reading.5.23'!BD19</f>
        <v>27</v>
      </c>
      <c r="BI19" s="555">
        <f>'[2]Reading.5.23'!BE19</f>
        <v>22</v>
      </c>
      <c r="BJ19" s="555">
        <f>'[2]Reading.5.23'!BF19</f>
        <v>69</v>
      </c>
      <c r="BL19" s="149">
        <v>526</v>
      </c>
      <c r="BN19" s="185">
        <f>'[2]Reading.5.23'!E17</f>
        <v>0</v>
      </c>
      <c r="BP19" s="33">
        <v>67694</v>
      </c>
      <c r="BQ19" s="33">
        <f t="shared" si="13"/>
        <v>31</v>
      </c>
      <c r="BR19" s="232">
        <f>'[2]Reading.5.23'!BQ19</f>
        <v>31</v>
      </c>
      <c r="BT19" s="33">
        <v>82770</v>
      </c>
      <c r="BU19" s="33">
        <f t="shared" si="14"/>
        <v>37</v>
      </c>
      <c r="BV19" s="232">
        <f>'[2]Reading.5.23'!BU19</f>
        <v>36</v>
      </c>
      <c r="BX19" s="33">
        <v>4053</v>
      </c>
      <c r="BY19" s="33">
        <f t="shared" si="15"/>
        <v>0</v>
      </c>
      <c r="BZ19" s="232">
        <f>'[2]Reading.5.23'!BY19</f>
        <v>0</v>
      </c>
      <c r="CB19" s="33">
        <v>235290</v>
      </c>
      <c r="CC19" s="33">
        <f t="shared" si="16"/>
        <v>60</v>
      </c>
      <c r="CD19" s="232">
        <f>'[2]Reading.5.23'!CC19</f>
        <v>60</v>
      </c>
      <c r="CF19" s="33">
        <v>6400</v>
      </c>
      <c r="CG19" s="33">
        <f t="shared" si="17"/>
        <v>5</v>
      </c>
      <c r="CH19" s="232">
        <f>'[2]Reading.5.23'!CG19</f>
        <v>0</v>
      </c>
      <c r="CI19" s="33">
        <v>19770</v>
      </c>
      <c r="CJ19" s="33">
        <f t="shared" si="18"/>
        <v>0</v>
      </c>
      <c r="CK19" s="232">
        <f>'[2]Reading.5.23'!CG19</f>
        <v>0</v>
      </c>
      <c r="CM19" s="33">
        <f t="shared" si="19"/>
        <v>128</v>
      </c>
      <c r="CN19" s="33">
        <f t="shared" si="19"/>
        <v>127</v>
      </c>
      <c r="CP19" s="33">
        <v>119400</v>
      </c>
      <c r="CQ19" s="33">
        <f t="shared" si="20"/>
        <v>495</v>
      </c>
      <c r="CR19" s="134">
        <f t="shared" si="21"/>
        <v>0.87301587301587302</v>
      </c>
      <c r="CS19" s="232">
        <f>'[2]Reading.5.23'!CN19</f>
        <v>225</v>
      </c>
      <c r="CT19" s="264">
        <f>'[2]Reading.5.23'!CO17</f>
        <v>0.47609942638623326</v>
      </c>
      <c r="CV19" s="33">
        <v>5285</v>
      </c>
      <c r="CW19" s="33">
        <f t="shared" si="22"/>
        <v>0</v>
      </c>
      <c r="CX19" s="232">
        <f>'[2]Reading.5.23'!CT19</f>
        <v>3</v>
      </c>
      <c r="CZ19" s="33">
        <v>1034</v>
      </c>
      <c r="DA19" s="33">
        <f t="shared" si="23"/>
        <v>6</v>
      </c>
      <c r="DB19" s="232">
        <f>'[2]Reading.5.23'!CX19</f>
        <v>6</v>
      </c>
      <c r="DD19" s="33">
        <v>1458116</v>
      </c>
      <c r="DE19" s="33">
        <f t="shared" si="24"/>
        <v>801</v>
      </c>
      <c r="DF19" s="232">
        <f>'[2]Reading.5.23'!DB19</f>
        <v>1048</v>
      </c>
      <c r="DH19" s="33">
        <v>3394066</v>
      </c>
      <c r="DI19" s="33">
        <f t="shared" si="25"/>
        <v>1722</v>
      </c>
      <c r="DJ19" s="232">
        <f>'[2]Reading.5.23'!DF19</f>
        <v>1909</v>
      </c>
      <c r="DL19" s="33">
        <v>2939742</v>
      </c>
      <c r="DM19" s="33">
        <f t="shared" si="26"/>
        <v>32</v>
      </c>
      <c r="DN19" s="232">
        <f>'[2]Reading.5.23'!DJ19</f>
        <v>33</v>
      </c>
      <c r="DP19" s="33">
        <v>2323406</v>
      </c>
      <c r="DQ19" s="33">
        <f t="shared" si="27"/>
        <v>4071</v>
      </c>
      <c r="DR19" s="232">
        <f>'[2]Reading.5.23'!DN19</f>
        <v>3142</v>
      </c>
      <c r="DT19" s="33">
        <v>3151644</v>
      </c>
      <c r="DU19" s="33">
        <f t="shared" si="28"/>
        <v>32</v>
      </c>
      <c r="DV19" s="232">
        <f>'[2]Reading.5.23'!DR19</f>
        <v>1573</v>
      </c>
      <c r="DW19" s="558"/>
      <c r="DX19" s="33">
        <v>720</v>
      </c>
      <c r="DZ19" s="33">
        <f t="shared" si="29"/>
        <v>4855</v>
      </c>
      <c r="EA19" s="232">
        <f>'[2]Reading.5.23'!DW19</f>
        <v>5468</v>
      </c>
      <c r="EC19" s="190">
        <f t="shared" si="30"/>
        <v>3104.4</v>
      </c>
      <c r="ED19" s="263">
        <f>'[2]Reading.5.23'!C19*5.2</f>
        <v>2948.4</v>
      </c>
      <c r="EF19" s="33">
        <v>61868</v>
      </c>
      <c r="EG19" s="269">
        <f t="shared" si="31"/>
        <v>48</v>
      </c>
      <c r="EH19" s="232"/>
      <c r="EJ19" s="33">
        <v>24783</v>
      </c>
      <c r="EK19" s="269">
        <f t="shared" si="32"/>
        <v>20</v>
      </c>
      <c r="EL19" s="232"/>
    </row>
    <row r="20" spans="1:142" x14ac:dyDescent="0.2">
      <c r="A20" s="275">
        <v>45427</v>
      </c>
      <c r="B20" s="33">
        <v>303352</v>
      </c>
      <c r="C20" s="33">
        <f t="shared" si="0"/>
        <v>494</v>
      </c>
      <c r="D20" s="33"/>
      <c r="E20" s="546">
        <v>0</v>
      </c>
      <c r="F20" s="234">
        <v>810</v>
      </c>
      <c r="G20" s="33">
        <f t="shared" si="1"/>
        <v>494</v>
      </c>
      <c r="H20" s="186">
        <f>'[2]Reading.5.23'!G20</f>
        <v>561</v>
      </c>
      <c r="I20" s="183"/>
      <c r="J20" s="546">
        <v>208548</v>
      </c>
      <c r="K20" s="185">
        <f t="shared" si="2"/>
        <v>172.71600000000001</v>
      </c>
      <c r="L20" s="241">
        <f>'[2]Reading.5.23'!K20</f>
        <v>177.38400000000001</v>
      </c>
      <c r="M20" s="184"/>
      <c r="N20" s="546">
        <v>735537</v>
      </c>
      <c r="O20" s="185">
        <f t="shared" si="3"/>
        <v>461.00000000000006</v>
      </c>
      <c r="P20" s="241">
        <f>'[2]Reading.5.23'!O20</f>
        <v>470.22</v>
      </c>
      <c r="Q20" s="34"/>
      <c r="R20" s="546">
        <v>42700</v>
      </c>
      <c r="S20" s="33"/>
      <c r="T20" s="33">
        <f t="shared" si="4"/>
        <v>0</v>
      </c>
      <c r="U20" s="241">
        <f>'[2]Reading.5.23'!T20</f>
        <v>0</v>
      </c>
      <c r="V20" s="34"/>
      <c r="W20" s="548">
        <v>46031.02</v>
      </c>
      <c r="X20" s="185">
        <f t="shared" si="5"/>
        <v>33959.999999991851</v>
      </c>
      <c r="Y20" s="241">
        <f>'[2]Reading.5.23'!X20</f>
        <v>37440.000000002328</v>
      </c>
      <c r="Z20" s="34"/>
      <c r="AA20" s="249">
        <v>520034</v>
      </c>
      <c r="AB20" s="185">
        <f t="shared" si="6"/>
        <v>0</v>
      </c>
      <c r="AC20" s="241">
        <f>'[2]Reading.5.23'!AB20</f>
        <v>0</v>
      </c>
      <c r="AD20" s="34"/>
      <c r="AE20" s="243">
        <f t="shared" si="7"/>
        <v>33959.999999991851</v>
      </c>
      <c r="AF20" s="244">
        <f>'[2]Reading.5.23'!AE20</f>
        <v>37440.000000002328</v>
      </c>
      <c r="AG20" s="242">
        <f t="shared" si="8"/>
        <v>36343.599999999999</v>
      </c>
      <c r="AH20" s="34"/>
      <c r="AI20" s="549">
        <v>0.4677</v>
      </c>
      <c r="AJ20" s="188">
        <f>'[2]Reading.5.23'!AI20</f>
        <v>0.72619999999999996</v>
      </c>
      <c r="AK20" s="550">
        <v>0.68700000000000006</v>
      </c>
      <c r="AL20" s="34"/>
      <c r="AM20" s="551">
        <v>246</v>
      </c>
      <c r="AN20" s="302">
        <f>'[2]Reading.5.23'!AM20</f>
        <v>382</v>
      </c>
      <c r="AO20" s="189">
        <f t="shared" si="9"/>
        <v>373.5</v>
      </c>
      <c r="AP20" s="34"/>
      <c r="AQ20" s="248">
        <f t="shared" si="33"/>
        <v>1900</v>
      </c>
      <c r="AR20" s="244">
        <f>'[2]Reading.5.23'!AQ20</f>
        <v>1956</v>
      </c>
      <c r="AS20" s="34"/>
      <c r="AT20" s="552">
        <v>7188.1</v>
      </c>
      <c r="AU20" s="191">
        <f t="shared" si="10"/>
        <v>12840.000000000146</v>
      </c>
      <c r="AV20" s="553">
        <f t="shared" si="11"/>
        <v>0.93537493024580731</v>
      </c>
      <c r="AW20" s="34"/>
      <c r="AX20" s="187"/>
      <c r="AY20" s="245">
        <f>'[2]Reading.5.23'!X20</f>
        <v>37440.000000002328</v>
      </c>
      <c r="AZ20" s="496">
        <f>'[2]Reading.5.23'!AB20</f>
        <v>0</v>
      </c>
      <c r="BA20" s="246">
        <f t="shared" si="12"/>
        <v>37440.000000002328</v>
      </c>
      <c r="BC20" s="554">
        <v>25</v>
      </c>
      <c r="BD20" s="555">
        <v>21</v>
      </c>
      <c r="BE20" s="556">
        <v>17</v>
      </c>
      <c r="BF20" s="557">
        <v>49</v>
      </c>
      <c r="BG20" s="212">
        <v>82</v>
      </c>
      <c r="BH20" s="555">
        <f>'[2]Reading.5.23'!BD20</f>
        <v>28.4</v>
      </c>
      <c r="BI20" s="555">
        <f>'[2]Reading.5.23'!BE20</f>
        <v>23</v>
      </c>
      <c r="BJ20" s="555">
        <f>'[2]Reading.5.23'!BF20</f>
        <v>61</v>
      </c>
      <c r="BL20" s="149">
        <v>526</v>
      </c>
      <c r="BN20" s="185">
        <f>'[2]Reading.5.23'!E18</f>
        <v>0</v>
      </c>
      <c r="BP20" s="33">
        <v>67728</v>
      </c>
      <c r="BQ20" s="33">
        <f t="shared" si="13"/>
        <v>34</v>
      </c>
      <c r="BR20" s="232">
        <f>'[2]Reading.5.23'!BQ20</f>
        <v>37</v>
      </c>
      <c r="BT20" s="33">
        <v>82814</v>
      </c>
      <c r="BU20" s="33">
        <f t="shared" si="14"/>
        <v>44</v>
      </c>
      <c r="BV20" s="232">
        <f>'[2]Reading.5.23'!BU20</f>
        <v>37</v>
      </c>
      <c r="BX20" s="33">
        <v>4053</v>
      </c>
      <c r="BY20" s="33">
        <f t="shared" si="15"/>
        <v>0</v>
      </c>
      <c r="BZ20" s="232">
        <f>'[2]Reading.5.23'!BY20</f>
        <v>0</v>
      </c>
      <c r="CB20" s="33">
        <v>235330</v>
      </c>
      <c r="CC20" s="33">
        <f t="shared" si="16"/>
        <v>40</v>
      </c>
      <c r="CD20" s="232">
        <f>'[2]Reading.5.23'!CC20</f>
        <v>60</v>
      </c>
      <c r="CF20" s="33">
        <v>6400</v>
      </c>
      <c r="CG20" s="33">
        <f t="shared" si="17"/>
        <v>0</v>
      </c>
      <c r="CH20" s="232">
        <f>'[2]Reading.5.23'!CG20</f>
        <v>0</v>
      </c>
      <c r="CI20" s="33">
        <v>19770</v>
      </c>
      <c r="CJ20" s="33">
        <f t="shared" si="18"/>
        <v>0</v>
      </c>
      <c r="CK20" s="232">
        <f>'[2]Reading.5.23'!CG20</f>
        <v>0</v>
      </c>
      <c r="CM20" s="33">
        <f t="shared" si="19"/>
        <v>118</v>
      </c>
      <c r="CN20" s="33">
        <f t="shared" si="19"/>
        <v>134</v>
      </c>
      <c r="CP20" s="33">
        <v>119905</v>
      </c>
      <c r="CQ20" s="33">
        <f t="shared" si="20"/>
        <v>505</v>
      </c>
      <c r="CR20" s="134">
        <f t="shared" si="21"/>
        <v>1.0222672064777327</v>
      </c>
      <c r="CS20" s="232">
        <f>'[2]Reading.5.23'!CN20</f>
        <v>238</v>
      </c>
      <c r="CT20" s="264">
        <f>'[2]Reading.5.23'!CO18</f>
        <v>0.46529080675422141</v>
      </c>
      <c r="CV20" s="33">
        <v>5285</v>
      </c>
      <c r="CW20" s="33">
        <f t="shared" si="22"/>
        <v>0</v>
      </c>
      <c r="CX20" s="232">
        <f>'[2]Reading.5.23'!CT20</f>
        <v>2</v>
      </c>
      <c r="CZ20" s="33">
        <v>1039</v>
      </c>
      <c r="DA20" s="33">
        <f t="shared" si="23"/>
        <v>5</v>
      </c>
      <c r="DB20" s="232">
        <f>'[2]Reading.5.23'!CX20</f>
        <v>7</v>
      </c>
      <c r="DD20" s="33">
        <v>1458920</v>
      </c>
      <c r="DE20" s="33">
        <f t="shared" si="24"/>
        <v>804</v>
      </c>
      <c r="DF20" s="232">
        <f>'[2]Reading.5.23'!DB20</f>
        <v>1066</v>
      </c>
      <c r="DH20" s="33">
        <v>3395696</v>
      </c>
      <c r="DI20" s="33">
        <f t="shared" si="25"/>
        <v>1630</v>
      </c>
      <c r="DJ20" s="232">
        <f>'[2]Reading.5.23'!DF20</f>
        <v>2329</v>
      </c>
      <c r="DL20" s="33">
        <v>2939768</v>
      </c>
      <c r="DM20" s="33">
        <f t="shared" si="26"/>
        <v>26</v>
      </c>
      <c r="DN20" s="232">
        <f>'[2]Reading.5.23'!DJ20</f>
        <v>16</v>
      </c>
      <c r="DP20" s="33">
        <v>2327341</v>
      </c>
      <c r="DQ20" s="33">
        <f t="shared" si="27"/>
        <v>3935</v>
      </c>
      <c r="DR20" s="232">
        <f>'[2]Reading.5.23'!DN20</f>
        <v>3391</v>
      </c>
      <c r="DT20" s="33">
        <v>3151674</v>
      </c>
      <c r="DU20" s="33">
        <f t="shared" si="28"/>
        <v>30</v>
      </c>
      <c r="DV20" s="232">
        <f>'[2]Reading.5.23'!DR20</f>
        <v>1752</v>
      </c>
      <c r="DW20" s="558"/>
      <c r="DX20" s="33">
        <v>720</v>
      </c>
      <c r="DZ20" s="33">
        <f t="shared" si="29"/>
        <v>4711</v>
      </c>
      <c r="EA20" s="232">
        <f>'[2]Reading.5.23'!DW20</f>
        <v>5879</v>
      </c>
      <c r="EC20" s="190">
        <f t="shared" si="30"/>
        <v>2568.8000000000002</v>
      </c>
      <c r="ED20" s="263">
        <f>'[2]Reading.5.23'!C20*5.2</f>
        <v>3099.2000000000003</v>
      </c>
      <c r="EF20" s="33">
        <v>61941</v>
      </c>
      <c r="EG20" s="269">
        <f t="shared" si="31"/>
        <v>73</v>
      </c>
      <c r="EH20" s="232"/>
      <c r="EJ20" s="33">
        <v>24804</v>
      </c>
      <c r="EK20" s="269">
        <f t="shared" si="32"/>
        <v>21</v>
      </c>
      <c r="EL20" s="232"/>
    </row>
    <row r="21" spans="1:142" x14ac:dyDescent="0.2">
      <c r="A21" s="275">
        <v>45428</v>
      </c>
      <c r="B21" s="33">
        <v>303978</v>
      </c>
      <c r="C21" s="33">
        <f t="shared" si="0"/>
        <v>626</v>
      </c>
      <c r="D21" s="33"/>
      <c r="E21" s="546">
        <v>0</v>
      </c>
      <c r="F21" s="234">
        <v>755</v>
      </c>
      <c r="G21" s="33">
        <f t="shared" si="1"/>
        <v>681</v>
      </c>
      <c r="H21" s="186">
        <f>'[2]Reading.5.23'!G21</f>
        <v>549</v>
      </c>
      <c r="I21" s="183"/>
      <c r="J21" s="546">
        <v>208584</v>
      </c>
      <c r="K21" s="185">
        <f t="shared" si="2"/>
        <v>168.048</v>
      </c>
      <c r="L21" s="241">
        <f>'[2]Reading.5.23'!K21</f>
        <v>158.71200000000002</v>
      </c>
      <c r="M21" s="184"/>
      <c r="N21" s="546">
        <v>735629</v>
      </c>
      <c r="O21" s="185">
        <f t="shared" si="3"/>
        <v>424.12</v>
      </c>
      <c r="P21" s="241">
        <f>'[2]Reading.5.23'!O21</f>
        <v>470.22</v>
      </c>
      <c r="Q21" s="34"/>
      <c r="R21" s="546">
        <v>42700</v>
      </c>
      <c r="S21" s="33"/>
      <c r="T21" s="33">
        <f t="shared" si="4"/>
        <v>0</v>
      </c>
      <c r="U21" s="241">
        <f>'[2]Reading.5.23'!T21</f>
        <v>210</v>
      </c>
      <c r="V21" s="34"/>
      <c r="W21" s="548">
        <v>46039.73</v>
      </c>
      <c r="X21" s="185">
        <f t="shared" si="5"/>
        <v>34840.000000025611</v>
      </c>
      <c r="Y21" s="241">
        <f>'[2]Reading.5.23'!X21</f>
        <v>37800.000000017462</v>
      </c>
      <c r="Z21" s="34"/>
      <c r="AA21" s="249">
        <v>520034</v>
      </c>
      <c r="AB21" s="185">
        <f t="shared" si="6"/>
        <v>0</v>
      </c>
      <c r="AC21" s="241">
        <f>'[2]Reading.5.23'!AB21</f>
        <v>1430</v>
      </c>
      <c r="AD21" s="34"/>
      <c r="AE21" s="243">
        <f t="shared" si="7"/>
        <v>34840.000000025611</v>
      </c>
      <c r="AF21" s="244">
        <f>'[2]Reading.5.23'!AE21</f>
        <v>39230.000000017462</v>
      </c>
      <c r="AG21" s="242">
        <f t="shared" si="8"/>
        <v>36343.599999999999</v>
      </c>
      <c r="AH21" s="34"/>
      <c r="AI21" s="549">
        <v>0.48480000000000001</v>
      </c>
      <c r="AJ21" s="188">
        <f>'[2]Reading.5.23'!AI21</f>
        <v>0.79849999999999999</v>
      </c>
      <c r="AK21" s="550">
        <v>0.68700000000000006</v>
      </c>
      <c r="AL21" s="34"/>
      <c r="AM21" s="551">
        <v>255</v>
      </c>
      <c r="AN21" s="302">
        <f>'[2]Reading.5.23'!AM21</f>
        <v>420</v>
      </c>
      <c r="AO21" s="189">
        <f t="shared" si="9"/>
        <v>373.5</v>
      </c>
      <c r="AP21" s="34"/>
      <c r="AQ21" s="248">
        <f t="shared" si="33"/>
        <v>1900</v>
      </c>
      <c r="AR21" s="244">
        <f>'[2]Reading.5.23'!AQ21</f>
        <v>2004</v>
      </c>
      <c r="AS21" s="34"/>
      <c r="AT21" s="552">
        <v>7189.59</v>
      </c>
      <c r="AU21" s="191">
        <f t="shared" si="10"/>
        <v>5959.9999999991269</v>
      </c>
      <c r="AV21" s="553">
        <f t="shared" si="11"/>
        <v>0.98568142500775358</v>
      </c>
      <c r="AW21" s="34"/>
      <c r="AX21" s="187"/>
      <c r="AY21" s="245">
        <f>'[2]Reading.5.23'!X21</f>
        <v>37800.000000017462</v>
      </c>
      <c r="AZ21" s="496">
        <f>'[2]Reading.5.23'!AB21</f>
        <v>1430</v>
      </c>
      <c r="BA21" s="246">
        <f t="shared" si="12"/>
        <v>39230.000000017462</v>
      </c>
      <c r="BC21" s="554">
        <v>25</v>
      </c>
      <c r="BD21" s="555">
        <v>21</v>
      </c>
      <c r="BE21" s="556">
        <v>17</v>
      </c>
      <c r="BF21" s="557">
        <v>49</v>
      </c>
      <c r="BG21" s="212">
        <v>82</v>
      </c>
      <c r="BH21" s="555">
        <f>'[2]Reading.5.23'!BD21</f>
        <v>29.7</v>
      </c>
      <c r="BI21" s="555">
        <f>'[2]Reading.5.23'!BE21</f>
        <v>24</v>
      </c>
      <c r="BJ21" s="555">
        <f>'[2]Reading.5.23'!BF21</f>
        <v>57</v>
      </c>
      <c r="BL21" s="149">
        <v>526</v>
      </c>
      <c r="BN21" s="185">
        <f>'[2]Reading.5.23'!E19</f>
        <v>0</v>
      </c>
      <c r="BP21" s="33">
        <v>67757</v>
      </c>
      <c r="BQ21" s="33">
        <f t="shared" si="13"/>
        <v>29</v>
      </c>
      <c r="BR21" s="232">
        <f>'[2]Reading.5.23'!BQ21</f>
        <v>47</v>
      </c>
      <c r="BT21" s="33">
        <v>82852</v>
      </c>
      <c r="BU21" s="33">
        <f t="shared" si="14"/>
        <v>38</v>
      </c>
      <c r="BV21" s="232">
        <f>'[2]Reading.5.23'!BU21</f>
        <v>35</v>
      </c>
      <c r="BX21" s="33">
        <v>4053</v>
      </c>
      <c r="BY21" s="33">
        <f t="shared" si="15"/>
        <v>0</v>
      </c>
      <c r="BZ21" s="232">
        <f>'[2]Reading.5.23'!BY21</f>
        <v>0</v>
      </c>
      <c r="CB21" s="33">
        <v>235440</v>
      </c>
      <c r="CC21" s="33">
        <f t="shared" si="16"/>
        <v>110</v>
      </c>
      <c r="CD21" s="232">
        <f>'[2]Reading.5.23'!CC21</f>
        <v>40</v>
      </c>
      <c r="CF21" s="33">
        <v>6405</v>
      </c>
      <c r="CG21" s="33">
        <f t="shared" si="17"/>
        <v>5</v>
      </c>
      <c r="CH21" s="232">
        <f>'[2]Reading.5.23'!CG21</f>
        <v>0</v>
      </c>
      <c r="CI21" s="33">
        <v>19770</v>
      </c>
      <c r="CJ21" s="33">
        <f t="shared" si="18"/>
        <v>0</v>
      </c>
      <c r="CK21" s="232">
        <f>'[2]Reading.5.23'!CG21</f>
        <v>0</v>
      </c>
      <c r="CM21" s="33">
        <f t="shared" si="19"/>
        <v>177</v>
      </c>
      <c r="CN21" s="33">
        <f t="shared" si="19"/>
        <v>122</v>
      </c>
      <c r="CP21" s="33">
        <v>120355</v>
      </c>
      <c r="CQ21" s="33">
        <f t="shared" si="20"/>
        <v>450</v>
      </c>
      <c r="CR21" s="134">
        <f t="shared" si="21"/>
        <v>0.66079295154185025</v>
      </c>
      <c r="CS21" s="232">
        <f>'[2]Reading.5.23'!CN21</f>
        <v>230</v>
      </c>
      <c r="CT21" s="264">
        <f>'[2]Reading.5.23'!CO19</f>
        <v>0.37375415282392027</v>
      </c>
      <c r="CV21" s="33">
        <v>5285</v>
      </c>
      <c r="CW21" s="33">
        <f t="shared" si="22"/>
        <v>0</v>
      </c>
      <c r="CX21" s="232">
        <f>'[2]Reading.5.23'!CT21</f>
        <v>3</v>
      </c>
      <c r="CZ21" s="33">
        <v>1044</v>
      </c>
      <c r="DA21" s="33">
        <f t="shared" si="23"/>
        <v>5</v>
      </c>
      <c r="DB21" s="232">
        <f>'[2]Reading.5.23'!CX21</f>
        <v>7</v>
      </c>
      <c r="DD21" s="33">
        <v>1459706</v>
      </c>
      <c r="DE21" s="33">
        <f t="shared" si="24"/>
        <v>786</v>
      </c>
      <c r="DF21" s="232">
        <f>'[2]Reading.5.23'!DB21</f>
        <v>1023</v>
      </c>
      <c r="DH21" s="33">
        <v>3397310</v>
      </c>
      <c r="DI21" s="33">
        <f t="shared" si="25"/>
        <v>1614</v>
      </c>
      <c r="DJ21" s="232">
        <f>'[2]Reading.5.23'!DF21</f>
        <v>2347</v>
      </c>
      <c r="DL21" s="33">
        <v>2942732</v>
      </c>
      <c r="DM21" s="33">
        <f t="shared" si="26"/>
        <v>2964</v>
      </c>
      <c r="DN21" s="232">
        <f>'[2]Reading.5.23'!DJ21</f>
        <v>16</v>
      </c>
      <c r="DP21" s="33">
        <v>2328817</v>
      </c>
      <c r="DQ21" s="33">
        <f t="shared" si="27"/>
        <v>1476</v>
      </c>
      <c r="DR21" s="232">
        <f>'[2]Reading.5.23'!DN21</f>
        <v>3801</v>
      </c>
      <c r="DT21" s="33">
        <v>3151700</v>
      </c>
      <c r="DU21" s="33">
        <f t="shared" si="28"/>
        <v>26</v>
      </c>
      <c r="DV21" s="232">
        <f>'[2]Reading.5.23'!DR21</f>
        <v>1846</v>
      </c>
      <c r="DW21" s="558"/>
      <c r="DX21" s="33">
        <v>720</v>
      </c>
      <c r="DZ21" s="33">
        <f t="shared" si="29"/>
        <v>5186</v>
      </c>
      <c r="EA21" s="232">
        <f>'[2]Reading.5.23'!DW21</f>
        <v>6383</v>
      </c>
      <c r="EC21" s="190">
        <f t="shared" si="30"/>
        <v>3255.2000000000003</v>
      </c>
      <c r="ED21" s="263">
        <f>'[2]Reading.5.23'!C21*5.2</f>
        <v>2542.8000000000002</v>
      </c>
      <c r="EF21" s="33">
        <v>61991</v>
      </c>
      <c r="EG21" s="269">
        <f t="shared" si="31"/>
        <v>50</v>
      </c>
      <c r="EH21" s="232"/>
      <c r="EJ21" s="33">
        <v>24829</v>
      </c>
      <c r="EK21" s="269">
        <f t="shared" si="32"/>
        <v>25</v>
      </c>
      <c r="EL21" s="232"/>
    </row>
    <row r="22" spans="1:142" x14ac:dyDescent="0.2">
      <c r="A22" s="275">
        <v>45429</v>
      </c>
      <c r="B22" s="33">
        <v>304574</v>
      </c>
      <c r="C22" s="33">
        <f t="shared" si="0"/>
        <v>596</v>
      </c>
      <c r="D22" s="33"/>
      <c r="E22" s="546">
        <v>0</v>
      </c>
      <c r="F22" s="234">
        <v>770</v>
      </c>
      <c r="G22" s="33">
        <f t="shared" si="1"/>
        <v>581</v>
      </c>
      <c r="H22" s="186">
        <f>'[2]Reading.5.23'!G22</f>
        <v>575</v>
      </c>
      <c r="I22" s="183"/>
      <c r="J22" s="546">
        <v>208615</v>
      </c>
      <c r="K22" s="185">
        <f t="shared" si="2"/>
        <v>144.708</v>
      </c>
      <c r="L22" s="241">
        <f>'[2]Reading.5.23'!K22</f>
        <v>196.05600000000001</v>
      </c>
      <c r="M22" s="184"/>
      <c r="N22" s="546">
        <v>735726</v>
      </c>
      <c r="O22" s="185">
        <f t="shared" si="3"/>
        <v>447.17</v>
      </c>
      <c r="P22" s="241">
        <f>'[2]Reading.5.23'!O22</f>
        <v>502.49</v>
      </c>
      <c r="Q22" s="34"/>
      <c r="R22" s="546">
        <v>42700</v>
      </c>
      <c r="S22" s="33"/>
      <c r="T22" s="33">
        <f t="shared" si="4"/>
        <v>0</v>
      </c>
      <c r="U22" s="241">
        <f>'[2]Reading.5.23'!T22</f>
        <v>0</v>
      </c>
      <c r="V22" s="34"/>
      <c r="W22" s="548">
        <v>46048.38</v>
      </c>
      <c r="X22" s="185">
        <f t="shared" si="5"/>
        <v>34599.999999976717</v>
      </c>
      <c r="Y22" s="241">
        <f>'[2]Reading.5.23'!X22</f>
        <v>38320.000000006985</v>
      </c>
      <c r="Z22" s="34"/>
      <c r="AA22" s="249">
        <v>520034</v>
      </c>
      <c r="AB22" s="185">
        <f t="shared" si="6"/>
        <v>0</v>
      </c>
      <c r="AC22" s="241">
        <f>'[2]Reading.5.23'!AB22</f>
        <v>0</v>
      </c>
      <c r="AD22" s="34"/>
      <c r="AE22" s="243">
        <f t="shared" si="7"/>
        <v>34599.999999976717</v>
      </c>
      <c r="AF22" s="244">
        <f>'[2]Reading.5.23'!AE22</f>
        <v>38320.000000006985</v>
      </c>
      <c r="AG22" s="242">
        <f t="shared" si="8"/>
        <v>36343.599999999999</v>
      </c>
      <c r="AH22" s="34"/>
      <c r="AI22" s="549">
        <v>0.52090000000000003</v>
      </c>
      <c r="AJ22" s="188">
        <f>'[2]Reading.5.23'!AI22</f>
        <v>0.81399999999999995</v>
      </c>
      <c r="AK22" s="550">
        <v>0.68700000000000006</v>
      </c>
      <c r="AL22" s="34"/>
      <c r="AM22" s="551">
        <v>274</v>
      </c>
      <c r="AN22" s="302">
        <f>'[2]Reading.5.23'!AM22</f>
        <v>428</v>
      </c>
      <c r="AO22" s="189">
        <f t="shared" si="9"/>
        <v>373.5</v>
      </c>
      <c r="AP22" s="34"/>
      <c r="AQ22" s="248">
        <f t="shared" si="33"/>
        <v>1900</v>
      </c>
      <c r="AR22" s="244">
        <f>'[2]Reading.5.23'!AQ22</f>
        <v>2064</v>
      </c>
      <c r="AS22" s="34"/>
      <c r="AT22" s="552">
        <v>7191.93</v>
      </c>
      <c r="AU22" s="191">
        <f t="shared" si="10"/>
        <v>9360.0000000005821</v>
      </c>
      <c r="AV22" s="553">
        <f t="shared" si="11"/>
        <v>0.96530259315647482</v>
      </c>
      <c r="AW22" s="34"/>
      <c r="AX22" s="187"/>
      <c r="AY22" s="245">
        <f>'[2]Reading.5.23'!X22</f>
        <v>38320.000000006985</v>
      </c>
      <c r="AZ22" s="496">
        <f>'[2]Reading.5.23'!AB22</f>
        <v>0</v>
      </c>
      <c r="BA22" s="246">
        <f t="shared" si="12"/>
        <v>38320.000000006985</v>
      </c>
      <c r="BC22" s="554">
        <v>25</v>
      </c>
      <c r="BD22" s="555">
        <v>21</v>
      </c>
      <c r="BE22" s="556">
        <v>17</v>
      </c>
      <c r="BF22" s="557">
        <v>49</v>
      </c>
      <c r="BG22" s="212">
        <v>82</v>
      </c>
      <c r="BH22" s="555">
        <f>'[2]Reading.5.23'!BD22</f>
        <v>29.2</v>
      </c>
      <c r="BI22" s="555">
        <f>'[2]Reading.5.23'!BE22</f>
        <v>26</v>
      </c>
      <c r="BJ22" s="555">
        <f>'[2]Reading.5.23'!BF22</f>
        <v>89</v>
      </c>
      <c r="BL22" s="149">
        <v>526</v>
      </c>
      <c r="BN22" s="185">
        <f>'[2]Reading.5.23'!E20</f>
        <v>0</v>
      </c>
      <c r="BP22" s="33">
        <v>67785</v>
      </c>
      <c r="BQ22" s="33">
        <f t="shared" si="13"/>
        <v>28</v>
      </c>
      <c r="BR22" s="232">
        <f>'[2]Reading.5.23'!BQ22</f>
        <v>37</v>
      </c>
      <c r="BT22" s="33">
        <v>82887</v>
      </c>
      <c r="BU22" s="33">
        <f t="shared" si="14"/>
        <v>35</v>
      </c>
      <c r="BV22" s="232">
        <f>'[2]Reading.5.23'!BU22</f>
        <v>35</v>
      </c>
      <c r="BX22" s="33">
        <v>4053</v>
      </c>
      <c r="BY22" s="33">
        <f t="shared" si="15"/>
        <v>0</v>
      </c>
      <c r="BZ22" s="232">
        <f>'[2]Reading.5.23'!BY22</f>
        <v>0</v>
      </c>
      <c r="CB22" s="33">
        <v>235490</v>
      </c>
      <c r="CC22" s="33">
        <f t="shared" si="16"/>
        <v>50</v>
      </c>
      <c r="CD22" s="232">
        <f>'[2]Reading.5.23'!CC22</f>
        <v>50</v>
      </c>
      <c r="CF22" s="33">
        <v>6415</v>
      </c>
      <c r="CG22" s="33">
        <f t="shared" si="17"/>
        <v>10</v>
      </c>
      <c r="CH22" s="232">
        <f>'[2]Reading.5.23'!CG22</f>
        <v>0</v>
      </c>
      <c r="CI22" s="33">
        <v>19770</v>
      </c>
      <c r="CJ22" s="33">
        <f t="shared" si="18"/>
        <v>0</v>
      </c>
      <c r="CK22" s="232">
        <f>'[2]Reading.5.23'!CG22</f>
        <v>0</v>
      </c>
      <c r="CM22" s="33">
        <f t="shared" ref="CM22:CN35" si="34">BQ22+BU22+BY22+CC22+CJ22</f>
        <v>113</v>
      </c>
      <c r="CN22" s="33">
        <f t="shared" si="34"/>
        <v>122</v>
      </c>
      <c r="CP22" s="33">
        <v>120873</v>
      </c>
      <c r="CQ22" s="33">
        <f t="shared" si="20"/>
        <v>518</v>
      </c>
      <c r="CR22" s="134">
        <f t="shared" si="21"/>
        <v>0.89156626506024095</v>
      </c>
      <c r="CS22" s="232">
        <f>'[2]Reading.5.23'!CN22</f>
        <v>250</v>
      </c>
      <c r="CT22" s="264">
        <f>'[2]Reading.5.23'!CO20</f>
        <v>0.42424242424242425</v>
      </c>
      <c r="CV22" s="33">
        <v>5285</v>
      </c>
      <c r="CW22" s="33">
        <f t="shared" si="22"/>
        <v>0</v>
      </c>
      <c r="CX22" s="232">
        <f>'[2]Reading.5.23'!CT22</f>
        <v>4</v>
      </c>
      <c r="CZ22" s="33">
        <v>1049</v>
      </c>
      <c r="DA22" s="33">
        <f t="shared" si="23"/>
        <v>5</v>
      </c>
      <c r="DB22" s="232">
        <f>'[2]Reading.5.23'!CX22</f>
        <v>4</v>
      </c>
      <c r="DD22" s="33">
        <v>1460495</v>
      </c>
      <c r="DE22" s="33">
        <f t="shared" si="24"/>
        <v>789</v>
      </c>
      <c r="DF22" s="232">
        <f>'[2]Reading.5.23'!DB22</f>
        <v>1176</v>
      </c>
      <c r="DH22" s="33">
        <v>3398875</v>
      </c>
      <c r="DI22" s="33">
        <f t="shared" si="25"/>
        <v>1565</v>
      </c>
      <c r="DJ22" s="232">
        <f>'[2]Reading.5.23'!DF22</f>
        <v>1879</v>
      </c>
      <c r="DL22" s="33">
        <v>2944102</v>
      </c>
      <c r="DM22" s="33">
        <f t="shared" si="26"/>
        <v>1370</v>
      </c>
      <c r="DN22" s="232">
        <f>'[2]Reading.5.23'!DJ22</f>
        <v>30</v>
      </c>
      <c r="DP22" s="33">
        <v>2330198</v>
      </c>
      <c r="DQ22" s="33">
        <f t="shared" si="27"/>
        <v>1381</v>
      </c>
      <c r="DR22" s="232">
        <f>'[2]Reading.5.23'!DN22</f>
        <v>2366</v>
      </c>
      <c r="DT22" s="33">
        <v>3153517</v>
      </c>
      <c r="DU22" s="33">
        <f t="shared" si="28"/>
        <v>1817</v>
      </c>
      <c r="DV22" s="232">
        <f>'[2]Reading.5.23'!DR22</f>
        <v>3259</v>
      </c>
      <c r="DW22" s="558"/>
      <c r="DX22" s="33">
        <v>720</v>
      </c>
      <c r="DZ22" s="33">
        <f t="shared" si="29"/>
        <v>5288</v>
      </c>
      <c r="EA22" s="232">
        <f>'[2]Reading.5.23'!DW22</f>
        <v>6375</v>
      </c>
      <c r="EC22" s="190">
        <f t="shared" si="30"/>
        <v>3099.2000000000003</v>
      </c>
      <c r="ED22" s="263">
        <f>'[2]Reading.5.23'!C22*5.2</f>
        <v>2964</v>
      </c>
      <c r="EF22" s="33">
        <v>62040</v>
      </c>
      <c r="EG22" s="269">
        <f t="shared" si="31"/>
        <v>49</v>
      </c>
      <c r="EH22" s="232"/>
      <c r="EJ22" s="33">
        <v>24850</v>
      </c>
      <c r="EK22" s="269">
        <f t="shared" si="32"/>
        <v>21</v>
      </c>
      <c r="EL22" s="232"/>
    </row>
    <row r="23" spans="1:142" x14ac:dyDescent="0.2">
      <c r="A23" s="275">
        <v>45430</v>
      </c>
      <c r="B23" s="33">
        <v>305169</v>
      </c>
      <c r="C23" s="33">
        <f t="shared" si="0"/>
        <v>595</v>
      </c>
      <c r="D23" s="33"/>
      <c r="E23" s="546">
        <v>0</v>
      </c>
      <c r="F23" s="234">
        <v>770</v>
      </c>
      <c r="G23" s="33">
        <f t="shared" si="1"/>
        <v>595</v>
      </c>
      <c r="H23" s="186">
        <f>'[2]Reading.5.23'!G23</f>
        <v>616</v>
      </c>
      <c r="I23" s="183"/>
      <c r="J23" s="546">
        <v>208650</v>
      </c>
      <c r="K23" s="185">
        <f t="shared" si="2"/>
        <v>163.38</v>
      </c>
      <c r="L23" s="241">
        <f>'[2]Reading.5.23'!K23</f>
        <v>214.72800000000001</v>
      </c>
      <c r="M23" s="184"/>
      <c r="N23" s="546">
        <v>735824</v>
      </c>
      <c r="O23" s="185">
        <f t="shared" si="3"/>
        <v>451.78000000000003</v>
      </c>
      <c r="P23" s="241">
        <f>'[2]Reading.5.23'!O23</f>
        <v>659.23</v>
      </c>
      <c r="Q23" s="34"/>
      <c r="R23" s="546">
        <v>42700</v>
      </c>
      <c r="S23" s="33"/>
      <c r="T23" s="33">
        <f t="shared" si="4"/>
        <v>0</v>
      </c>
      <c r="U23" s="241">
        <f>'[2]Reading.5.23'!T23</f>
        <v>0</v>
      </c>
      <c r="V23" s="34"/>
      <c r="W23" s="548">
        <v>46057.03</v>
      </c>
      <c r="X23" s="185">
        <f t="shared" si="5"/>
        <v>34600.000000005821</v>
      </c>
      <c r="Y23" s="241">
        <f>'[2]Reading.5.23'!X23</f>
        <v>39879.999999975553</v>
      </c>
      <c r="Z23" s="34"/>
      <c r="AA23" s="249">
        <v>520034</v>
      </c>
      <c r="AB23" s="185">
        <f t="shared" si="6"/>
        <v>0</v>
      </c>
      <c r="AC23" s="241">
        <f>'[2]Reading.5.23'!AB23</f>
        <v>0</v>
      </c>
      <c r="AD23" s="34"/>
      <c r="AE23" s="243">
        <f t="shared" si="7"/>
        <v>34600.000000005821</v>
      </c>
      <c r="AF23" s="244">
        <f>'[2]Reading.5.23'!AE23</f>
        <v>39879.999999975553</v>
      </c>
      <c r="AG23" s="242">
        <f t="shared" si="8"/>
        <v>36343.599999999999</v>
      </c>
      <c r="AH23" s="34"/>
      <c r="AI23" s="549">
        <v>0.52090000000000003</v>
      </c>
      <c r="AJ23" s="188">
        <f>'[2]Reading.5.23'!AI23</f>
        <v>0.80230000000000001</v>
      </c>
      <c r="AK23" s="550">
        <v>0.68700000000000006</v>
      </c>
      <c r="AL23" s="34"/>
      <c r="AM23" s="551">
        <v>274</v>
      </c>
      <c r="AN23" s="302">
        <f>'[2]Reading.5.23'!AM23</f>
        <v>422</v>
      </c>
      <c r="AO23" s="189">
        <f t="shared" si="9"/>
        <v>373.5</v>
      </c>
      <c r="AP23" s="34"/>
      <c r="AQ23" s="248">
        <f>478*4</f>
        <v>1912</v>
      </c>
      <c r="AR23" s="244">
        <f>'[2]Reading.5.23'!AQ23</f>
        <v>2092</v>
      </c>
      <c r="AS23" s="34"/>
      <c r="AT23" s="552">
        <v>7194.14</v>
      </c>
      <c r="AU23" s="191">
        <f t="shared" si="10"/>
        <v>8840.0000000001455</v>
      </c>
      <c r="AV23" s="553">
        <f t="shared" si="11"/>
        <v>0.9688777117596582</v>
      </c>
      <c r="AW23" s="34"/>
      <c r="AX23" s="187"/>
      <c r="AY23" s="245">
        <f>'[2]Reading.5.23'!X23</f>
        <v>39879.999999975553</v>
      </c>
      <c r="AZ23" s="496">
        <f>'[2]Reading.5.23'!AB23</f>
        <v>0</v>
      </c>
      <c r="BA23" s="246">
        <f t="shared" si="12"/>
        <v>39879.999999975553</v>
      </c>
      <c r="BC23" s="554">
        <v>25</v>
      </c>
      <c r="BD23" s="555">
        <v>21</v>
      </c>
      <c r="BE23" s="556">
        <v>17</v>
      </c>
      <c r="BF23" s="557">
        <v>49</v>
      </c>
      <c r="BG23" s="212">
        <v>82</v>
      </c>
      <c r="BH23" s="555">
        <f>'[2]Reading.5.23'!BD23</f>
        <v>27.8</v>
      </c>
      <c r="BI23" s="555">
        <f>'[2]Reading.5.23'!BE23</f>
        <v>23</v>
      </c>
      <c r="BJ23" s="555">
        <f>'[2]Reading.5.23'!BF23</f>
        <v>100</v>
      </c>
      <c r="BL23" s="149">
        <v>526</v>
      </c>
      <c r="BN23" s="185">
        <f>'[2]Reading.5.23'!E21</f>
        <v>0</v>
      </c>
      <c r="BP23" s="33">
        <v>67827</v>
      </c>
      <c r="BQ23" s="33">
        <f t="shared" si="13"/>
        <v>42</v>
      </c>
      <c r="BR23" s="232">
        <f>'[2]Reading.5.23'!BQ23</f>
        <v>47</v>
      </c>
      <c r="BT23" s="33">
        <v>82922</v>
      </c>
      <c r="BU23" s="33">
        <f t="shared" si="14"/>
        <v>35</v>
      </c>
      <c r="BV23" s="232">
        <f>'[2]Reading.5.23'!BU23</f>
        <v>53</v>
      </c>
      <c r="BX23" s="33">
        <v>4053</v>
      </c>
      <c r="BY23" s="33">
        <f t="shared" si="15"/>
        <v>0</v>
      </c>
      <c r="BZ23" s="232">
        <f>'[2]Reading.5.23'!BY23</f>
        <v>0</v>
      </c>
      <c r="CB23" s="33">
        <v>235550</v>
      </c>
      <c r="CC23" s="33">
        <f t="shared" si="16"/>
        <v>60</v>
      </c>
      <c r="CD23" s="232">
        <f>'[2]Reading.5.23'!CC23</f>
        <v>50</v>
      </c>
      <c r="CF23" s="33">
        <v>6420</v>
      </c>
      <c r="CG23" s="33">
        <f t="shared" si="17"/>
        <v>5</v>
      </c>
      <c r="CH23" s="232">
        <f>'[2]Reading.5.23'!CG23</f>
        <v>0</v>
      </c>
      <c r="CI23" s="33">
        <v>19770</v>
      </c>
      <c r="CJ23" s="33">
        <f t="shared" si="18"/>
        <v>0</v>
      </c>
      <c r="CK23" s="232">
        <f>'[2]Reading.5.23'!CG23</f>
        <v>0</v>
      </c>
      <c r="CM23" s="33">
        <f t="shared" si="34"/>
        <v>137</v>
      </c>
      <c r="CN23" s="33">
        <f t="shared" si="34"/>
        <v>150</v>
      </c>
      <c r="CP23" s="33">
        <v>121343</v>
      </c>
      <c r="CQ23" s="33">
        <f t="shared" si="20"/>
        <v>470</v>
      </c>
      <c r="CR23" s="134">
        <f t="shared" si="21"/>
        <v>0.78991596638655459</v>
      </c>
      <c r="CS23" s="232">
        <f>'[2]Reading.5.23'!CN23</f>
        <v>280</v>
      </c>
      <c r="CT23" s="264">
        <f>'[2]Reading.5.23'!CO21</f>
        <v>0.41894353369763204</v>
      </c>
      <c r="CV23" s="33">
        <v>5285</v>
      </c>
      <c r="CW23" s="33">
        <f t="shared" si="22"/>
        <v>0</v>
      </c>
      <c r="CX23" s="232">
        <f>'[2]Reading.5.23'!CT23</f>
        <v>5</v>
      </c>
      <c r="CZ23" s="33">
        <v>1054</v>
      </c>
      <c r="DA23" s="33">
        <f t="shared" si="23"/>
        <v>5</v>
      </c>
      <c r="DB23" s="232">
        <f>'[2]Reading.5.23'!CX23</f>
        <v>8</v>
      </c>
      <c r="DD23" s="33">
        <v>1461684</v>
      </c>
      <c r="DE23" s="33">
        <f t="shared" si="24"/>
        <v>1189</v>
      </c>
      <c r="DF23" s="232">
        <f>'[2]Reading.5.23'!DB23</f>
        <v>1058</v>
      </c>
      <c r="DH23" s="33">
        <v>3400989</v>
      </c>
      <c r="DI23" s="33">
        <f t="shared" si="25"/>
        <v>2114</v>
      </c>
      <c r="DJ23" s="232">
        <f>'[2]Reading.5.23'!DF23</f>
        <v>2338</v>
      </c>
      <c r="DL23" s="33">
        <v>2944146</v>
      </c>
      <c r="DM23" s="33">
        <f t="shared" si="26"/>
        <v>44</v>
      </c>
      <c r="DN23" s="232">
        <f>'[2]Reading.5.23'!DJ23</f>
        <v>32</v>
      </c>
      <c r="DP23" s="33">
        <v>2330243</v>
      </c>
      <c r="DQ23" s="33">
        <f t="shared" si="27"/>
        <v>45</v>
      </c>
      <c r="DR23" s="232">
        <f>'[2]Reading.5.23'!DN23</f>
        <v>3361</v>
      </c>
      <c r="DT23" s="33">
        <v>3159692</v>
      </c>
      <c r="DU23" s="33">
        <f t="shared" si="28"/>
        <v>6175</v>
      </c>
      <c r="DV23" s="232">
        <f>'[2]Reading.5.23'!DR23</f>
        <v>2294</v>
      </c>
      <c r="DW23" s="558"/>
      <c r="DX23" s="33">
        <v>720</v>
      </c>
      <c r="DZ23" s="33">
        <f t="shared" si="29"/>
        <v>6984</v>
      </c>
      <c r="EA23" s="232">
        <f>'[2]Reading.5.23'!DW23</f>
        <v>6407</v>
      </c>
      <c r="EC23" s="190">
        <f t="shared" si="30"/>
        <v>3094</v>
      </c>
      <c r="ED23" s="263">
        <f>'[2]Reading.5.23'!C23*5.2</f>
        <v>3541.2000000000003</v>
      </c>
      <c r="EF23" s="33">
        <v>62126</v>
      </c>
      <c r="EG23" s="269">
        <f t="shared" si="31"/>
        <v>86</v>
      </c>
      <c r="EH23" s="232"/>
      <c r="EJ23" s="33">
        <v>24878</v>
      </c>
      <c r="EK23" s="269">
        <f t="shared" si="32"/>
        <v>28</v>
      </c>
      <c r="EL23" s="232"/>
    </row>
    <row r="24" spans="1:142" x14ac:dyDescent="0.2">
      <c r="A24" s="275">
        <v>45431</v>
      </c>
      <c r="B24" s="33">
        <v>305769</v>
      </c>
      <c r="C24" s="33">
        <f t="shared" si="0"/>
        <v>600</v>
      </c>
      <c r="D24" s="33"/>
      <c r="E24" s="546">
        <v>0</v>
      </c>
      <c r="F24" s="234">
        <v>835</v>
      </c>
      <c r="G24" s="33">
        <f t="shared" si="1"/>
        <v>535</v>
      </c>
      <c r="H24" s="186">
        <f>'[2]Reading.5.23'!G24</f>
        <v>598</v>
      </c>
      <c r="I24" s="183"/>
      <c r="J24" s="546">
        <v>208689</v>
      </c>
      <c r="K24" s="185">
        <f t="shared" si="2"/>
        <v>182.05199999999999</v>
      </c>
      <c r="L24" s="241">
        <f>'[2]Reading.5.23'!K24</f>
        <v>205.392</v>
      </c>
      <c r="M24" s="184"/>
      <c r="N24" s="546">
        <v>735926</v>
      </c>
      <c r="O24" s="185">
        <f t="shared" si="3"/>
        <v>470.22</v>
      </c>
      <c r="P24" s="241">
        <f>'[2]Reading.5.23'!O24</f>
        <v>553.20000000000005</v>
      </c>
      <c r="Q24" s="34"/>
      <c r="R24" s="546">
        <v>42700</v>
      </c>
      <c r="S24" s="33"/>
      <c r="T24" s="33">
        <f t="shared" si="4"/>
        <v>0</v>
      </c>
      <c r="U24" s="241">
        <f>'[2]Reading.5.23'!T24</f>
        <v>0</v>
      </c>
      <c r="V24" s="34"/>
      <c r="W24" s="548">
        <v>46066.59</v>
      </c>
      <c r="X24" s="185">
        <f t="shared" si="5"/>
        <v>38239.999999990687</v>
      </c>
      <c r="Y24" s="241">
        <f>'[2]Reading.5.23'!X24</f>
        <v>38680.000000022119</v>
      </c>
      <c r="Z24" s="34"/>
      <c r="AA24" s="249">
        <v>520034</v>
      </c>
      <c r="AB24" s="185">
        <f t="shared" si="6"/>
        <v>0</v>
      </c>
      <c r="AC24" s="241">
        <f>'[2]Reading.5.23'!AB24</f>
        <v>0</v>
      </c>
      <c r="AD24" s="34"/>
      <c r="AE24" s="243">
        <f t="shared" si="7"/>
        <v>38239.999999990687</v>
      </c>
      <c r="AF24" s="244">
        <f>'[2]Reading.5.23'!AE24</f>
        <v>38680.000000022119</v>
      </c>
      <c r="AG24" s="242">
        <f t="shared" si="8"/>
        <v>36343.599999999999</v>
      </c>
      <c r="AH24" s="34"/>
      <c r="AI24" s="549">
        <v>0.4677</v>
      </c>
      <c r="AJ24" s="188">
        <f>'[2]Reading.5.23'!AI24</f>
        <v>0.76619999999999999</v>
      </c>
      <c r="AK24" s="550">
        <v>0.68700000000000006</v>
      </c>
      <c r="AL24" s="34"/>
      <c r="AM24" s="551">
        <v>246</v>
      </c>
      <c r="AN24" s="302">
        <f>'[2]Reading.5.23'!AM24</f>
        <v>403</v>
      </c>
      <c r="AO24" s="189">
        <f t="shared" si="9"/>
        <v>373.5</v>
      </c>
      <c r="AP24" s="34"/>
      <c r="AQ24" s="248">
        <f>499*4</f>
        <v>1996</v>
      </c>
      <c r="AR24" s="244">
        <f>'[2]Reading.5.23'!AQ24</f>
        <v>2092</v>
      </c>
      <c r="AS24" s="34"/>
      <c r="AT24" s="552">
        <v>7196.7</v>
      </c>
      <c r="AU24" s="191">
        <f t="shared" si="10"/>
        <v>10239.999999997963</v>
      </c>
      <c r="AV24" s="553">
        <f t="shared" si="11"/>
        <v>0.9659660870870258</v>
      </c>
      <c r="AW24" s="34"/>
      <c r="AX24" s="187"/>
      <c r="AY24" s="245">
        <f>'[2]Reading.5.23'!X24</f>
        <v>38680.000000022119</v>
      </c>
      <c r="AZ24" s="496">
        <f>'[2]Reading.5.23'!AB24</f>
        <v>0</v>
      </c>
      <c r="BA24" s="246">
        <f t="shared" si="12"/>
        <v>38680.000000022119</v>
      </c>
      <c r="BC24" s="554">
        <v>25</v>
      </c>
      <c r="BD24" s="555">
        <v>21</v>
      </c>
      <c r="BE24" s="556">
        <v>17</v>
      </c>
      <c r="BF24" s="557">
        <v>49</v>
      </c>
      <c r="BG24" s="212">
        <v>82</v>
      </c>
      <c r="BH24" s="555">
        <f>'[2]Reading.5.23'!BD24</f>
        <v>30</v>
      </c>
      <c r="BI24" s="555">
        <f>'[2]Reading.5.23'!BE24</f>
        <v>24</v>
      </c>
      <c r="BJ24" s="555">
        <f>'[2]Reading.5.23'!BF24</f>
        <v>83</v>
      </c>
      <c r="BL24" s="149">
        <v>526</v>
      </c>
      <c r="BN24" s="185">
        <f>'[2]Reading.5.23'!E22</f>
        <v>0</v>
      </c>
      <c r="BP24" s="33">
        <v>67846</v>
      </c>
      <c r="BQ24" s="33">
        <f t="shared" si="13"/>
        <v>19</v>
      </c>
      <c r="BR24" s="232">
        <f>'[2]Reading.5.23'!BQ24</f>
        <v>33</v>
      </c>
      <c r="BT24" s="33">
        <v>82969</v>
      </c>
      <c r="BU24" s="33">
        <f t="shared" si="14"/>
        <v>47</v>
      </c>
      <c r="BV24" s="232">
        <f>'[2]Reading.5.23'!BU24</f>
        <v>43</v>
      </c>
      <c r="BX24" s="33">
        <v>4053</v>
      </c>
      <c r="BY24" s="33">
        <f t="shared" si="15"/>
        <v>0</v>
      </c>
      <c r="BZ24" s="232">
        <f>'[2]Reading.5.23'!BY24</f>
        <v>0</v>
      </c>
      <c r="CB24" s="33">
        <v>235610</v>
      </c>
      <c r="CC24" s="33">
        <f t="shared" si="16"/>
        <v>60</v>
      </c>
      <c r="CD24" s="232">
        <f>'[2]Reading.5.23'!CC24</f>
        <v>70</v>
      </c>
      <c r="CF24" s="33">
        <v>6425</v>
      </c>
      <c r="CG24" s="33">
        <f t="shared" si="17"/>
        <v>5</v>
      </c>
      <c r="CH24" s="232">
        <f>'[2]Reading.5.23'!CG24</f>
        <v>0</v>
      </c>
      <c r="CI24" s="33">
        <v>19770</v>
      </c>
      <c r="CJ24" s="33">
        <f t="shared" si="18"/>
        <v>0</v>
      </c>
      <c r="CK24" s="232">
        <f>'[2]Reading.5.23'!CG24</f>
        <v>0</v>
      </c>
      <c r="CM24" s="33">
        <f t="shared" si="34"/>
        <v>126</v>
      </c>
      <c r="CN24" s="33">
        <f t="shared" si="34"/>
        <v>146</v>
      </c>
      <c r="CP24" s="33">
        <v>121774</v>
      </c>
      <c r="CQ24" s="33">
        <f t="shared" si="20"/>
        <v>431</v>
      </c>
      <c r="CR24" s="134">
        <f t="shared" si="21"/>
        <v>0.80560747663551402</v>
      </c>
      <c r="CS24" s="232">
        <f>'[2]Reading.5.23'!CN24</f>
        <v>250</v>
      </c>
      <c r="CT24" s="264">
        <f>'[2]Reading.5.23'!CO22</f>
        <v>0.43478260869565216</v>
      </c>
      <c r="CV24" s="33">
        <v>5285</v>
      </c>
      <c r="CW24" s="33">
        <f t="shared" si="22"/>
        <v>0</v>
      </c>
      <c r="CX24" s="232">
        <f>'[2]Reading.5.23'!CT24</f>
        <v>4</v>
      </c>
      <c r="CZ24" s="33">
        <v>1056</v>
      </c>
      <c r="DA24" s="33">
        <f t="shared" si="23"/>
        <v>2</v>
      </c>
      <c r="DB24" s="232">
        <f>'[2]Reading.5.23'!CX24</f>
        <v>4</v>
      </c>
      <c r="DD24" s="33">
        <v>1462712</v>
      </c>
      <c r="DE24" s="33">
        <f t="shared" si="24"/>
        <v>1028</v>
      </c>
      <c r="DF24" s="232">
        <f>'[2]Reading.5.23'!DB24</f>
        <v>1100</v>
      </c>
      <c r="DH24" s="33">
        <v>3402170</v>
      </c>
      <c r="DI24" s="33">
        <f t="shared" si="25"/>
        <v>1181</v>
      </c>
      <c r="DJ24" s="232">
        <f>'[2]Reading.5.23'!DF24</f>
        <v>1649</v>
      </c>
      <c r="DL24" s="33">
        <v>2944162</v>
      </c>
      <c r="DM24" s="33">
        <f t="shared" si="26"/>
        <v>16</v>
      </c>
      <c r="DN24" s="232">
        <f>'[2]Reading.5.23'!DJ24</f>
        <v>31</v>
      </c>
      <c r="DP24" s="33">
        <v>2330250</v>
      </c>
      <c r="DQ24" s="33">
        <f t="shared" si="27"/>
        <v>7</v>
      </c>
      <c r="DR24" s="232">
        <f>'[2]Reading.5.23'!DN24</f>
        <v>3593</v>
      </c>
      <c r="DT24" s="33">
        <v>3163586</v>
      </c>
      <c r="DU24" s="33">
        <f t="shared" si="28"/>
        <v>3894</v>
      </c>
      <c r="DV24" s="232">
        <f>'[2]Reading.5.23'!DR24</f>
        <v>1543</v>
      </c>
      <c r="DW24" s="558"/>
      <c r="DX24" s="33">
        <v>720</v>
      </c>
      <c r="DZ24" s="33">
        <f t="shared" si="29"/>
        <v>4637</v>
      </c>
      <c r="EA24" s="232">
        <f>'[2]Reading.5.23'!DW24</f>
        <v>5887</v>
      </c>
      <c r="EC24" s="190">
        <f t="shared" si="30"/>
        <v>3120</v>
      </c>
      <c r="ED24" s="263">
        <f>'[2]Reading.5.23'!C24*5.2</f>
        <v>2953.6</v>
      </c>
      <c r="EF24" s="33">
        <v>62156</v>
      </c>
      <c r="EG24" s="269">
        <f t="shared" si="31"/>
        <v>30</v>
      </c>
      <c r="EH24" s="232"/>
      <c r="EJ24" s="33">
        <v>24890</v>
      </c>
      <c r="EK24" s="269">
        <f t="shared" si="32"/>
        <v>12</v>
      </c>
      <c r="EL24" s="232"/>
    </row>
    <row r="25" spans="1:142" x14ac:dyDescent="0.2">
      <c r="A25" s="275">
        <v>45432</v>
      </c>
      <c r="B25" s="33">
        <v>306339</v>
      </c>
      <c r="C25" s="33">
        <f t="shared" si="0"/>
        <v>570</v>
      </c>
      <c r="D25" s="33"/>
      <c r="E25" s="546">
        <v>0</v>
      </c>
      <c r="F25" s="234">
        <v>785</v>
      </c>
      <c r="G25" s="33">
        <f t="shared" si="1"/>
        <v>620</v>
      </c>
      <c r="H25" s="186">
        <f>'[2]Reading.5.23'!G25</f>
        <v>655</v>
      </c>
      <c r="I25" s="183"/>
      <c r="J25" s="546">
        <v>208722</v>
      </c>
      <c r="K25" s="185">
        <f t="shared" si="2"/>
        <v>154.04400000000001</v>
      </c>
      <c r="L25" s="241">
        <f>'[2]Reading.5.23'!K25</f>
        <v>196.05600000000001</v>
      </c>
      <c r="M25" s="184"/>
      <c r="N25" s="546">
        <v>736023</v>
      </c>
      <c r="O25" s="185">
        <f t="shared" si="3"/>
        <v>447.17</v>
      </c>
      <c r="P25" s="241">
        <f>'[2]Reading.5.23'!O25</f>
        <v>539.37</v>
      </c>
      <c r="Q25" s="34"/>
      <c r="R25" s="546">
        <v>42700</v>
      </c>
      <c r="S25" s="33"/>
      <c r="T25" s="33">
        <f t="shared" si="4"/>
        <v>0</v>
      </c>
      <c r="U25" s="241">
        <f>'[2]Reading.5.23'!T25</f>
        <v>0</v>
      </c>
      <c r="V25" s="34"/>
      <c r="W25" s="548">
        <v>46075.78</v>
      </c>
      <c r="X25" s="185">
        <f t="shared" si="5"/>
        <v>36760.000000009313</v>
      </c>
      <c r="Y25" s="241">
        <f>'[2]Reading.5.23'!X25</f>
        <v>37119.999999995343</v>
      </c>
      <c r="Z25" s="34"/>
      <c r="AA25" s="249">
        <v>520034</v>
      </c>
      <c r="AB25" s="185">
        <f t="shared" si="6"/>
        <v>0</v>
      </c>
      <c r="AC25" s="241">
        <f>'[2]Reading.5.23'!AB25</f>
        <v>0</v>
      </c>
      <c r="AD25" s="34"/>
      <c r="AE25" s="243">
        <f t="shared" si="7"/>
        <v>36760.000000009313</v>
      </c>
      <c r="AF25" s="244">
        <f>'[2]Reading.5.23'!AE25</f>
        <v>37119.999999995343</v>
      </c>
      <c r="AG25" s="242">
        <f t="shared" si="8"/>
        <v>36343.599999999999</v>
      </c>
      <c r="AH25" s="34"/>
      <c r="AI25" s="549">
        <v>0.4677</v>
      </c>
      <c r="AJ25" s="188">
        <f>'[2]Reading.5.23'!AI25</f>
        <v>0.79849999999999999</v>
      </c>
      <c r="AK25" s="550">
        <v>0.68700000000000006</v>
      </c>
      <c r="AL25" s="34"/>
      <c r="AM25" s="551">
        <v>247</v>
      </c>
      <c r="AN25" s="302">
        <f>'[2]Reading.5.23'!AM25</f>
        <v>420</v>
      </c>
      <c r="AO25" s="189">
        <f t="shared" si="9"/>
        <v>373.5</v>
      </c>
      <c r="AP25" s="34"/>
      <c r="AQ25" s="248">
        <f>499*4</f>
        <v>1996</v>
      </c>
      <c r="AR25" s="244">
        <f>'[2]Reading.5.23'!AQ25</f>
        <v>2092</v>
      </c>
      <c r="AS25" s="34"/>
      <c r="AT25" s="552">
        <v>7199.33</v>
      </c>
      <c r="AU25" s="191">
        <f t="shared" si="10"/>
        <v>10520.000000000437</v>
      </c>
      <c r="AV25" s="553">
        <f t="shared" si="11"/>
        <v>0.9614054270098108</v>
      </c>
      <c r="AW25" s="34"/>
      <c r="AX25" s="187"/>
      <c r="AY25" s="245">
        <f>'[2]Reading.5.23'!X25</f>
        <v>37119.999999995343</v>
      </c>
      <c r="AZ25" s="496">
        <f>'[2]Reading.5.23'!AB25</f>
        <v>0</v>
      </c>
      <c r="BA25" s="246">
        <f t="shared" si="12"/>
        <v>37119.999999995343</v>
      </c>
      <c r="BC25" s="554">
        <v>25</v>
      </c>
      <c r="BD25" s="555">
        <v>21</v>
      </c>
      <c r="BE25" s="556">
        <v>17</v>
      </c>
      <c r="BF25" s="557">
        <v>49</v>
      </c>
      <c r="BG25" s="212">
        <v>82</v>
      </c>
      <c r="BH25" s="555">
        <f>'[2]Reading.5.23'!BD25</f>
        <v>27</v>
      </c>
      <c r="BI25" s="555">
        <f>'[2]Reading.5.23'!BE25</f>
        <v>23</v>
      </c>
      <c r="BJ25" s="555">
        <f>'[2]Reading.5.23'!BF25</f>
        <v>57</v>
      </c>
      <c r="BL25" s="149">
        <v>526</v>
      </c>
      <c r="BN25" s="185">
        <f>'[2]Reading.5.23'!E23</f>
        <v>0</v>
      </c>
      <c r="BP25" s="33">
        <v>67875</v>
      </c>
      <c r="BQ25" s="33">
        <f t="shared" si="13"/>
        <v>29</v>
      </c>
      <c r="BR25" s="232">
        <f>'[2]Reading.5.23'!BQ25</f>
        <v>59</v>
      </c>
      <c r="BT25" s="33">
        <v>83010</v>
      </c>
      <c r="BU25" s="33">
        <f t="shared" si="14"/>
        <v>41</v>
      </c>
      <c r="BV25" s="232">
        <f>'[2]Reading.5.23'!BU25</f>
        <v>50</v>
      </c>
      <c r="BX25" s="33">
        <v>4053</v>
      </c>
      <c r="BY25" s="33">
        <f t="shared" si="15"/>
        <v>0</v>
      </c>
      <c r="BZ25" s="232">
        <f>'[2]Reading.5.23'!BY25</f>
        <v>0</v>
      </c>
      <c r="CB25" s="33">
        <v>235670</v>
      </c>
      <c r="CC25" s="33">
        <f t="shared" si="16"/>
        <v>60</v>
      </c>
      <c r="CD25" s="232">
        <f>'[2]Reading.5.23'!CC25</f>
        <v>70</v>
      </c>
      <c r="CF25" s="33">
        <v>6440</v>
      </c>
      <c r="CG25" s="33">
        <f t="shared" si="17"/>
        <v>15</v>
      </c>
      <c r="CH25" s="232">
        <f>'[2]Reading.5.23'!CG25</f>
        <v>0</v>
      </c>
      <c r="CI25" s="33">
        <v>19770</v>
      </c>
      <c r="CJ25" s="33">
        <f t="shared" si="18"/>
        <v>0</v>
      </c>
      <c r="CK25" s="232">
        <f>'[2]Reading.5.23'!CG25</f>
        <v>0</v>
      </c>
      <c r="CM25" s="33">
        <f t="shared" si="34"/>
        <v>130</v>
      </c>
      <c r="CN25" s="33">
        <f t="shared" si="34"/>
        <v>179</v>
      </c>
      <c r="CP25" s="33">
        <v>122217</v>
      </c>
      <c r="CQ25" s="33">
        <f t="shared" si="20"/>
        <v>443</v>
      </c>
      <c r="CR25" s="134">
        <f t="shared" si="21"/>
        <v>0.71451612903225803</v>
      </c>
      <c r="CS25" s="232">
        <f>'[2]Reading.5.23'!CN25</f>
        <v>266</v>
      </c>
      <c r="CT25" s="264">
        <f>'[2]Reading.5.23'!CO23</f>
        <v>0.45454545454545453</v>
      </c>
      <c r="CV25" s="33">
        <v>5285</v>
      </c>
      <c r="CW25" s="33">
        <f t="shared" si="22"/>
        <v>0</v>
      </c>
      <c r="CX25" s="232">
        <f>'[2]Reading.5.23'!CT25</f>
        <v>5</v>
      </c>
      <c r="CZ25" s="33">
        <v>1061</v>
      </c>
      <c r="DA25" s="33">
        <f t="shared" si="23"/>
        <v>5</v>
      </c>
      <c r="DB25" s="232">
        <f>'[2]Reading.5.23'!CX25</f>
        <v>7</v>
      </c>
      <c r="DD25" s="33">
        <v>1463735</v>
      </c>
      <c r="DE25" s="33">
        <f t="shared" si="24"/>
        <v>1023</v>
      </c>
      <c r="DF25" s="232">
        <f>'[2]Reading.5.23'!DB25</f>
        <v>1019</v>
      </c>
      <c r="DH25" s="33">
        <v>3403689</v>
      </c>
      <c r="DI25" s="33">
        <f t="shared" si="25"/>
        <v>1519</v>
      </c>
      <c r="DJ25" s="232">
        <f>'[2]Reading.5.23'!DF25</f>
        <v>2648</v>
      </c>
      <c r="DL25" s="33">
        <v>2944192</v>
      </c>
      <c r="DM25" s="33">
        <f t="shared" si="26"/>
        <v>30</v>
      </c>
      <c r="DN25" s="232">
        <f>'[2]Reading.5.23'!DJ25</f>
        <v>32</v>
      </c>
      <c r="DP25" s="33">
        <v>2331633</v>
      </c>
      <c r="DQ25" s="33">
        <f t="shared" si="27"/>
        <v>1383</v>
      </c>
      <c r="DR25" s="232">
        <f>'[2]Reading.5.23'!DN25</f>
        <v>3039</v>
      </c>
      <c r="DT25" s="33">
        <v>3167396</v>
      </c>
      <c r="DU25" s="33">
        <f t="shared" si="28"/>
        <v>3810</v>
      </c>
      <c r="DV25" s="232">
        <f>'[2]Reading.5.23'!DR25</f>
        <v>1611</v>
      </c>
      <c r="DW25" s="558"/>
      <c r="DX25" s="33">
        <v>720</v>
      </c>
      <c r="DZ25" s="33">
        <f t="shared" si="29"/>
        <v>5943</v>
      </c>
      <c r="EA25" s="232">
        <f>'[2]Reading.5.23'!DW25</f>
        <v>5402</v>
      </c>
      <c r="EC25" s="190">
        <f t="shared" si="30"/>
        <v>2964</v>
      </c>
      <c r="ED25" s="263">
        <f>'[2]Reading.5.23'!C25*5.2</f>
        <v>3302</v>
      </c>
      <c r="EF25" s="33">
        <v>62206</v>
      </c>
      <c r="EG25" s="269">
        <f t="shared" si="31"/>
        <v>50</v>
      </c>
      <c r="EH25" s="232"/>
      <c r="EJ25" s="33">
        <v>24911</v>
      </c>
      <c r="EK25" s="269">
        <f t="shared" si="32"/>
        <v>21</v>
      </c>
      <c r="EL25" s="232"/>
    </row>
    <row r="26" spans="1:142" x14ac:dyDescent="0.2">
      <c r="A26" s="275">
        <v>45433</v>
      </c>
      <c r="B26" s="33">
        <v>306843</v>
      </c>
      <c r="C26" s="33">
        <f t="shared" si="0"/>
        <v>504</v>
      </c>
      <c r="D26" s="33"/>
      <c r="E26" s="546">
        <v>0</v>
      </c>
      <c r="F26" s="234">
        <v>785</v>
      </c>
      <c r="G26" s="33">
        <f t="shared" si="1"/>
        <v>504</v>
      </c>
      <c r="H26" s="186">
        <f>'[2]Reading.5.23'!G26</f>
        <v>630</v>
      </c>
      <c r="I26" s="183"/>
      <c r="J26" s="546">
        <v>208759</v>
      </c>
      <c r="K26" s="185">
        <f t="shared" si="2"/>
        <v>172.71600000000001</v>
      </c>
      <c r="L26" s="241">
        <f>'[2]Reading.5.23'!K26</f>
        <v>228.732</v>
      </c>
      <c r="M26" s="184"/>
      <c r="N26" s="546">
        <v>736124</v>
      </c>
      <c r="O26" s="185">
        <f t="shared" si="3"/>
        <v>465.61</v>
      </c>
      <c r="P26" s="241">
        <f>'[2]Reading.5.23'!O26</f>
        <v>534.76</v>
      </c>
      <c r="Q26" s="34"/>
      <c r="R26" s="546">
        <v>42700</v>
      </c>
      <c r="S26" s="33"/>
      <c r="T26" s="33">
        <f t="shared" si="4"/>
        <v>0</v>
      </c>
      <c r="U26" s="241">
        <f>'[2]Reading.5.23'!T26</f>
        <v>0</v>
      </c>
      <c r="V26" s="34"/>
      <c r="W26" s="548">
        <v>46085.919999999998</v>
      </c>
      <c r="X26" s="185">
        <f t="shared" si="5"/>
        <v>40559.999999997672</v>
      </c>
      <c r="Y26" s="241">
        <f>'[2]Reading.5.23'!X26</f>
        <v>38079.999999987194</v>
      </c>
      <c r="Z26" s="34"/>
      <c r="AA26" s="249">
        <v>520034</v>
      </c>
      <c r="AB26" s="185">
        <f t="shared" si="6"/>
        <v>0</v>
      </c>
      <c r="AC26" s="241">
        <f>'[2]Reading.5.23'!AB26</f>
        <v>0</v>
      </c>
      <c r="AD26" s="34"/>
      <c r="AE26" s="243">
        <f t="shared" si="7"/>
        <v>40559.999999997672</v>
      </c>
      <c r="AF26" s="244">
        <f>'[2]Reading.5.23'!AE26</f>
        <v>38079.999999987194</v>
      </c>
      <c r="AG26" s="242">
        <f t="shared" si="8"/>
        <v>36343.599999999999</v>
      </c>
      <c r="AH26" s="34"/>
      <c r="AI26" s="549">
        <v>0.45629999999999998</v>
      </c>
      <c r="AJ26" s="188">
        <f>'[2]Reading.5.23'!AI26</f>
        <v>0.78959999999999997</v>
      </c>
      <c r="AK26" s="550">
        <v>0.68700000000000006</v>
      </c>
      <c r="AL26" s="34"/>
      <c r="AM26" s="551">
        <v>240</v>
      </c>
      <c r="AN26" s="302">
        <f>'[2]Reading.5.23'!AM26</f>
        <v>415</v>
      </c>
      <c r="AO26" s="189">
        <f t="shared" si="9"/>
        <v>373.5</v>
      </c>
      <c r="AP26" s="34"/>
      <c r="AQ26" s="248">
        <f>499*4</f>
        <v>1996</v>
      </c>
      <c r="AR26" s="244">
        <f>'[2]Reading.5.23'!AQ26</f>
        <v>2092</v>
      </c>
      <c r="AS26" s="34"/>
      <c r="AT26" s="552">
        <v>7202.16</v>
      </c>
      <c r="AU26" s="191">
        <f t="shared" si="10"/>
        <v>11319.999999999709</v>
      </c>
      <c r="AV26" s="553">
        <f t="shared" si="11"/>
        <v>0.96319058174491634</v>
      </c>
      <c r="AW26" s="34"/>
      <c r="AX26" s="187"/>
      <c r="AY26" s="245">
        <f>'[2]Reading.5.23'!X26</f>
        <v>38079.999999987194</v>
      </c>
      <c r="AZ26" s="496">
        <f>'[2]Reading.5.23'!AB26</f>
        <v>0</v>
      </c>
      <c r="BA26" s="246">
        <f t="shared" si="12"/>
        <v>38079.999999987194</v>
      </c>
      <c r="BC26" s="554">
        <v>23</v>
      </c>
      <c r="BD26" s="555">
        <v>22</v>
      </c>
      <c r="BE26" s="556">
        <v>18</v>
      </c>
      <c r="BF26" s="557">
        <v>62</v>
      </c>
      <c r="BG26" s="212">
        <v>83</v>
      </c>
      <c r="BH26" s="555">
        <f>'[2]Reading.5.23'!BD26</f>
        <v>26.2</v>
      </c>
      <c r="BI26" s="555">
        <f>'[2]Reading.5.23'!BE26</f>
        <v>22</v>
      </c>
      <c r="BJ26" s="555">
        <f>'[2]Reading.5.23'!BF26</f>
        <v>64</v>
      </c>
      <c r="BL26" s="149">
        <v>526</v>
      </c>
      <c r="BN26" s="185">
        <f>'[2]Reading.5.23'!E24</f>
        <v>0</v>
      </c>
      <c r="BP26" s="33">
        <v>67904</v>
      </c>
      <c r="BQ26" s="33">
        <f t="shared" si="13"/>
        <v>29</v>
      </c>
      <c r="BR26" s="232">
        <f>'[2]Reading.5.23'!BQ26</f>
        <v>38</v>
      </c>
      <c r="BT26" s="33">
        <v>83045</v>
      </c>
      <c r="BU26" s="33">
        <f t="shared" si="14"/>
        <v>35</v>
      </c>
      <c r="BV26" s="232">
        <f>'[2]Reading.5.23'!BU26</f>
        <v>42</v>
      </c>
      <c r="BX26" s="33">
        <v>4053</v>
      </c>
      <c r="BY26" s="33">
        <f t="shared" si="15"/>
        <v>0</v>
      </c>
      <c r="BZ26" s="232">
        <f>'[2]Reading.5.23'!BY26</f>
        <v>0</v>
      </c>
      <c r="CB26" s="33">
        <v>235730</v>
      </c>
      <c r="CC26" s="33">
        <f t="shared" si="16"/>
        <v>60</v>
      </c>
      <c r="CD26" s="232">
        <f>'[2]Reading.5.23'!CC26</f>
        <v>70</v>
      </c>
      <c r="CF26" s="33">
        <v>6450</v>
      </c>
      <c r="CG26" s="33">
        <f t="shared" si="17"/>
        <v>10</v>
      </c>
      <c r="CH26" s="232">
        <f>'[2]Reading.5.23'!CG26</f>
        <v>0</v>
      </c>
      <c r="CI26" s="33">
        <v>19770</v>
      </c>
      <c r="CJ26" s="33">
        <f t="shared" si="18"/>
        <v>0</v>
      </c>
      <c r="CK26" s="232">
        <f>'[2]Reading.5.23'!CG26</f>
        <v>0</v>
      </c>
      <c r="CM26" s="33">
        <f t="shared" si="34"/>
        <v>124</v>
      </c>
      <c r="CN26" s="33">
        <f t="shared" si="34"/>
        <v>150</v>
      </c>
      <c r="CP26" s="33">
        <v>122624</v>
      </c>
      <c r="CQ26" s="33">
        <f t="shared" si="20"/>
        <v>407</v>
      </c>
      <c r="CR26" s="134">
        <f t="shared" si="21"/>
        <v>0.80753968253968256</v>
      </c>
      <c r="CS26" s="232">
        <f>'[2]Reading.5.23'!CN26</f>
        <v>250</v>
      </c>
      <c r="CT26" s="264">
        <f>'[2]Reading.5.23'!CO24</f>
        <v>0.41806020066889632</v>
      </c>
      <c r="CV26" s="33">
        <v>5285</v>
      </c>
      <c r="CW26" s="33">
        <f t="shared" si="22"/>
        <v>0</v>
      </c>
      <c r="CX26" s="232">
        <f>'[2]Reading.5.23'!CT26</f>
        <v>4</v>
      </c>
      <c r="CZ26" s="33">
        <v>1064</v>
      </c>
      <c r="DA26" s="33">
        <f t="shared" si="23"/>
        <v>3</v>
      </c>
      <c r="DB26" s="232">
        <f>'[2]Reading.5.23'!CX26</f>
        <v>6</v>
      </c>
      <c r="DD26" s="33">
        <v>1464879</v>
      </c>
      <c r="DE26" s="33">
        <f t="shared" si="24"/>
        <v>1144</v>
      </c>
      <c r="DF26" s="232">
        <f>'[2]Reading.5.23'!DB26</f>
        <v>958</v>
      </c>
      <c r="DH26" s="33">
        <v>3405252</v>
      </c>
      <c r="DI26" s="33">
        <f t="shared" si="25"/>
        <v>1563</v>
      </c>
      <c r="DJ26" s="232">
        <f>'[2]Reading.5.23'!DF26</f>
        <v>1927</v>
      </c>
      <c r="DL26" s="33">
        <v>2944222</v>
      </c>
      <c r="DM26" s="33">
        <f t="shared" si="26"/>
        <v>30</v>
      </c>
      <c r="DN26" s="232">
        <f>'[2]Reading.5.23'!DJ26</f>
        <v>31</v>
      </c>
      <c r="DP26" s="33">
        <v>2334020</v>
      </c>
      <c r="DQ26" s="33">
        <f t="shared" si="27"/>
        <v>2387</v>
      </c>
      <c r="DR26" s="232">
        <f>'[2]Reading.5.23'!DN26</f>
        <v>3042</v>
      </c>
      <c r="DT26" s="33">
        <v>3178686</v>
      </c>
      <c r="DU26" s="33">
        <f t="shared" si="28"/>
        <v>11290</v>
      </c>
      <c r="DV26" s="232">
        <f>'[2]Reading.5.23'!DR26</f>
        <v>1857</v>
      </c>
      <c r="DW26" s="558"/>
      <c r="DX26" s="33">
        <v>720</v>
      </c>
      <c r="DZ26" s="33">
        <f t="shared" si="29"/>
        <v>14427</v>
      </c>
      <c r="EA26" s="232">
        <f>'[2]Reading.5.23'!DW26</f>
        <v>5650</v>
      </c>
      <c r="EC26" s="190">
        <f t="shared" si="30"/>
        <v>2620.8000000000002</v>
      </c>
      <c r="ED26" s="263">
        <f>'[2]Reading.5.23'!C26*5.2</f>
        <v>3588</v>
      </c>
      <c r="EF26" s="33">
        <v>62252</v>
      </c>
      <c r="EG26" s="269">
        <f t="shared" si="31"/>
        <v>46</v>
      </c>
      <c r="EH26" s="232"/>
      <c r="EJ26" s="33">
        <v>24932</v>
      </c>
      <c r="EK26" s="269">
        <f t="shared" si="32"/>
        <v>21</v>
      </c>
      <c r="EL26" s="232"/>
    </row>
    <row r="27" spans="1:142" x14ac:dyDescent="0.2">
      <c r="A27" s="275">
        <v>45434</v>
      </c>
      <c r="B27" s="33">
        <v>307438</v>
      </c>
      <c r="C27" s="33">
        <f t="shared" si="0"/>
        <v>595</v>
      </c>
      <c r="D27" s="33"/>
      <c r="E27" s="546">
        <v>0</v>
      </c>
      <c r="F27" s="234">
        <v>820</v>
      </c>
      <c r="G27" s="33">
        <f t="shared" si="1"/>
        <v>560</v>
      </c>
      <c r="H27" s="186">
        <f>'[2]Reading.5.23'!G27</f>
        <v>680</v>
      </c>
      <c r="I27" s="183"/>
      <c r="J27" s="546">
        <v>208793</v>
      </c>
      <c r="K27" s="185">
        <f t="shared" si="2"/>
        <v>158.71200000000002</v>
      </c>
      <c r="L27" s="241">
        <f>'[2]Reading.5.23'!K27</f>
        <v>205.392</v>
      </c>
      <c r="M27" s="184"/>
      <c r="N27" s="546">
        <v>736203</v>
      </c>
      <c r="O27" s="185">
        <f t="shared" si="3"/>
        <v>364.19</v>
      </c>
      <c r="P27" s="241">
        <f>'[2]Reading.5.23'!O27</f>
        <v>543.98</v>
      </c>
      <c r="Q27" s="34"/>
      <c r="R27" s="546">
        <v>42300</v>
      </c>
      <c r="S27" s="33"/>
      <c r="T27" s="33">
        <f t="shared" si="4"/>
        <v>400</v>
      </c>
      <c r="U27" s="241">
        <f>'[2]Reading.5.23'!T27</f>
        <v>0</v>
      </c>
      <c r="V27" s="34"/>
      <c r="W27" s="548">
        <v>46095.519999999997</v>
      </c>
      <c r="X27" s="185">
        <f t="shared" si="5"/>
        <v>38399.999999994179</v>
      </c>
      <c r="Y27" s="241">
        <f>'[2]Reading.5.23'!X27</f>
        <v>38240.000000019791</v>
      </c>
      <c r="Z27" s="34"/>
      <c r="AA27" s="249">
        <v>520039</v>
      </c>
      <c r="AB27" s="185">
        <f t="shared" si="6"/>
        <v>5</v>
      </c>
      <c r="AC27" s="241">
        <f>'[2]Reading.5.23'!AB27</f>
        <v>0</v>
      </c>
      <c r="AD27" s="34"/>
      <c r="AE27" s="243">
        <f t="shared" si="7"/>
        <v>38404.999999994179</v>
      </c>
      <c r="AF27" s="244">
        <f>'[2]Reading.5.23'!AE27</f>
        <v>38240.000000019791</v>
      </c>
      <c r="AG27" s="242">
        <f t="shared" si="8"/>
        <v>36343.599999999999</v>
      </c>
      <c r="AH27" s="34"/>
      <c r="AI27" s="549">
        <v>0.45629999999999998</v>
      </c>
      <c r="AJ27" s="188">
        <f>'[2]Reading.5.23'!AI27</f>
        <v>0.80989999999999995</v>
      </c>
      <c r="AK27" s="550">
        <v>0.68700000000000006</v>
      </c>
      <c r="AL27" s="34"/>
      <c r="AM27" s="551">
        <v>240</v>
      </c>
      <c r="AN27" s="302">
        <f>'[2]Reading.5.23'!AM27</f>
        <v>426</v>
      </c>
      <c r="AO27" s="189">
        <f t="shared" si="9"/>
        <v>373.5</v>
      </c>
      <c r="AP27" s="34"/>
      <c r="AQ27" s="248">
        <f>500*4</f>
        <v>2000</v>
      </c>
      <c r="AR27" s="244">
        <f>'[2]Reading.5.23'!AQ27</f>
        <v>2092</v>
      </c>
      <c r="AS27" s="34"/>
      <c r="AT27" s="552">
        <v>7204.98</v>
      </c>
      <c r="AU27" s="191">
        <f t="shared" si="10"/>
        <v>11279.999999998836</v>
      </c>
      <c r="AV27" s="553">
        <f t="shared" si="11"/>
        <v>0.95946093438976454</v>
      </c>
      <c r="AW27" s="34"/>
      <c r="AX27" s="187"/>
      <c r="AY27" s="245">
        <f>'[2]Reading.5.23'!X27</f>
        <v>38240.000000019791</v>
      </c>
      <c r="AZ27" s="496">
        <f>'[2]Reading.5.23'!AB27</f>
        <v>0</v>
      </c>
      <c r="BA27" s="246">
        <f t="shared" si="12"/>
        <v>38240.000000019791</v>
      </c>
      <c r="BC27" s="554">
        <v>23</v>
      </c>
      <c r="BD27" s="555">
        <v>22</v>
      </c>
      <c r="BE27" s="556">
        <v>18</v>
      </c>
      <c r="BF27" s="557">
        <v>62</v>
      </c>
      <c r="BG27" s="212">
        <v>83</v>
      </c>
      <c r="BH27" s="555">
        <f>'[2]Reading.5.23'!BD27</f>
        <v>28.6</v>
      </c>
      <c r="BI27" s="555">
        <f>'[2]Reading.5.23'!BE27</f>
        <v>24</v>
      </c>
      <c r="BJ27" s="555">
        <f>'[2]Reading.5.23'!BF27</f>
        <v>57</v>
      </c>
      <c r="BL27" s="149">
        <v>526</v>
      </c>
      <c r="BN27" s="185">
        <f>'[2]Reading.5.23'!E25</f>
        <v>0</v>
      </c>
      <c r="BP27" s="33">
        <v>67936</v>
      </c>
      <c r="BQ27" s="33">
        <f t="shared" si="13"/>
        <v>32</v>
      </c>
      <c r="BR27" s="232">
        <f>'[2]Reading.5.23'!BQ27</f>
        <v>35</v>
      </c>
      <c r="BT27" s="33">
        <v>83087</v>
      </c>
      <c r="BU27" s="33">
        <f t="shared" si="14"/>
        <v>42</v>
      </c>
      <c r="BV27" s="232">
        <f>'[2]Reading.5.23'!BU27</f>
        <v>40</v>
      </c>
      <c r="BX27" s="33">
        <v>4053</v>
      </c>
      <c r="BY27" s="33">
        <f t="shared" si="15"/>
        <v>0</v>
      </c>
      <c r="BZ27" s="232">
        <f>'[2]Reading.5.23'!BY27</f>
        <v>0</v>
      </c>
      <c r="CB27" s="33">
        <v>235780</v>
      </c>
      <c r="CC27" s="33">
        <f t="shared" si="16"/>
        <v>50</v>
      </c>
      <c r="CD27" s="232">
        <f>'[2]Reading.5.23'!CC27</f>
        <v>100</v>
      </c>
      <c r="CF27" s="33">
        <v>6460</v>
      </c>
      <c r="CG27" s="33">
        <f t="shared" si="17"/>
        <v>10</v>
      </c>
      <c r="CH27" s="232">
        <f>'[2]Reading.5.23'!CG27</f>
        <v>0</v>
      </c>
      <c r="CI27" s="33">
        <v>19770</v>
      </c>
      <c r="CJ27" s="33">
        <f t="shared" si="18"/>
        <v>0</v>
      </c>
      <c r="CK27" s="232">
        <f>'[2]Reading.5.23'!CG27</f>
        <v>0</v>
      </c>
      <c r="CM27" s="33">
        <f t="shared" si="34"/>
        <v>124</v>
      </c>
      <c r="CN27" s="33">
        <f t="shared" si="34"/>
        <v>175</v>
      </c>
      <c r="CP27" s="33">
        <v>123037</v>
      </c>
      <c r="CQ27" s="33">
        <f t="shared" si="20"/>
        <v>413</v>
      </c>
      <c r="CR27" s="134">
        <f t="shared" si="21"/>
        <v>0.73750000000000004</v>
      </c>
      <c r="CS27" s="232">
        <f>'[2]Reading.5.23'!CN27</f>
        <v>293</v>
      </c>
      <c r="CT27" s="264">
        <f>'[2]Reading.5.23'!CO25</f>
        <v>0.40610687022900765</v>
      </c>
      <c r="CV27" s="33">
        <v>5285</v>
      </c>
      <c r="CW27" s="33">
        <f t="shared" si="22"/>
        <v>0</v>
      </c>
      <c r="CX27" s="232">
        <f>'[2]Reading.5.23'!CT27</f>
        <v>3</v>
      </c>
      <c r="CZ27" s="33">
        <v>1067</v>
      </c>
      <c r="DA27" s="33">
        <f t="shared" si="23"/>
        <v>3</v>
      </c>
      <c r="DB27" s="232">
        <f>'[2]Reading.5.23'!CX27</f>
        <v>5</v>
      </c>
      <c r="DD27" s="33">
        <v>1465908</v>
      </c>
      <c r="DE27" s="33">
        <f t="shared" si="24"/>
        <v>1029</v>
      </c>
      <c r="DF27" s="232">
        <f>'[2]Reading.5.23'!DB27</f>
        <v>1016</v>
      </c>
      <c r="DH27" s="33">
        <v>3406714</v>
      </c>
      <c r="DI27" s="33">
        <f t="shared" si="25"/>
        <v>1462</v>
      </c>
      <c r="DJ27" s="232">
        <f>'[2]Reading.5.23'!DF27</f>
        <v>1681</v>
      </c>
      <c r="DL27" s="33">
        <v>2944250</v>
      </c>
      <c r="DM27" s="33">
        <f t="shared" si="26"/>
        <v>28</v>
      </c>
      <c r="DN27" s="232">
        <f>'[2]Reading.5.23'!DJ27</f>
        <v>33</v>
      </c>
      <c r="DP27" s="33">
        <v>2336103</v>
      </c>
      <c r="DQ27" s="33">
        <f t="shared" si="27"/>
        <v>2083</v>
      </c>
      <c r="DR27" s="232">
        <f>'[2]Reading.5.23'!DN27</f>
        <v>3174</v>
      </c>
      <c r="DT27" s="33">
        <v>3179346</v>
      </c>
      <c r="DU27" s="33">
        <f t="shared" si="28"/>
        <v>660</v>
      </c>
      <c r="DV27" s="232">
        <f>'[2]Reading.5.23'!DR27</f>
        <v>2152</v>
      </c>
      <c r="DW27" s="558"/>
      <c r="DX27" s="33">
        <v>720</v>
      </c>
      <c r="DZ27" s="33">
        <f t="shared" si="29"/>
        <v>3491</v>
      </c>
      <c r="EA27" s="232">
        <f>'[2]Reading.5.23'!DW27</f>
        <v>6079</v>
      </c>
      <c r="EC27" s="190">
        <f t="shared" si="30"/>
        <v>3094</v>
      </c>
      <c r="ED27" s="263">
        <f>'[2]Reading.5.23'!C27*5.2</f>
        <v>2912</v>
      </c>
      <c r="EF27" s="33">
        <v>62298</v>
      </c>
      <c r="EG27" s="269">
        <f t="shared" si="31"/>
        <v>46</v>
      </c>
      <c r="EH27" s="232"/>
      <c r="EJ27" s="33">
        <v>24955</v>
      </c>
      <c r="EK27" s="269">
        <f t="shared" si="32"/>
        <v>23</v>
      </c>
      <c r="EL27" s="232"/>
    </row>
    <row r="28" spans="1:142" x14ac:dyDescent="0.2">
      <c r="A28" s="275">
        <v>45435</v>
      </c>
      <c r="B28" s="33">
        <v>307954</v>
      </c>
      <c r="C28" s="33">
        <f t="shared" si="0"/>
        <v>516</v>
      </c>
      <c r="D28" s="33"/>
      <c r="E28" s="546">
        <v>0</v>
      </c>
      <c r="F28" s="234">
        <v>810</v>
      </c>
      <c r="G28" s="33">
        <f t="shared" si="1"/>
        <v>526</v>
      </c>
      <c r="H28" s="186">
        <f>'[2]Reading.5.23'!G28</f>
        <v>559</v>
      </c>
      <c r="I28" s="183"/>
      <c r="J28" s="546">
        <v>208824</v>
      </c>
      <c r="K28" s="185">
        <f t="shared" si="2"/>
        <v>144.708</v>
      </c>
      <c r="L28" s="241">
        <f>'[2]Reading.5.23'!K28</f>
        <v>219.39600000000002</v>
      </c>
      <c r="M28" s="184"/>
      <c r="N28" s="546">
        <v>736302</v>
      </c>
      <c r="O28" s="185">
        <f t="shared" si="3"/>
        <v>456.39000000000004</v>
      </c>
      <c r="P28" s="241">
        <f>'[2]Reading.5.23'!O28</f>
        <v>530.15000000000009</v>
      </c>
      <c r="Q28" s="34"/>
      <c r="R28" s="546">
        <v>42300</v>
      </c>
      <c r="S28" s="33"/>
      <c r="T28" s="33">
        <f t="shared" si="4"/>
        <v>0</v>
      </c>
      <c r="U28" s="241">
        <f>'[2]Reading.5.23'!T28</f>
        <v>0</v>
      </c>
      <c r="V28" s="34"/>
      <c r="W28" s="548">
        <v>46104.46</v>
      </c>
      <c r="X28" s="185">
        <f t="shared" si="5"/>
        <v>35760.000000009313</v>
      </c>
      <c r="Y28" s="241">
        <f>'[2]Reading.5.23'!X28</f>
        <v>38119.999999995343</v>
      </c>
      <c r="Z28" s="34"/>
      <c r="AA28" s="249">
        <v>520039</v>
      </c>
      <c r="AB28" s="185">
        <f t="shared" si="6"/>
        <v>0</v>
      </c>
      <c r="AC28" s="241">
        <f>'[2]Reading.5.23'!AB28</f>
        <v>0</v>
      </c>
      <c r="AD28" s="34"/>
      <c r="AE28" s="243">
        <f t="shared" si="7"/>
        <v>35760.000000009313</v>
      </c>
      <c r="AF28" s="244">
        <f>'[2]Reading.5.23'!AE28</f>
        <v>38119.999999995343</v>
      </c>
      <c r="AG28" s="242">
        <f t="shared" si="8"/>
        <v>36343.599999999999</v>
      </c>
      <c r="AH28" s="34"/>
      <c r="AI28" s="549">
        <v>0.46629999999999999</v>
      </c>
      <c r="AJ28" s="188">
        <f>'[2]Reading.5.23'!AI28</f>
        <v>0.80989999999999995</v>
      </c>
      <c r="AK28" s="550">
        <v>0.68700000000000006</v>
      </c>
      <c r="AL28" s="34"/>
      <c r="AM28" s="551">
        <v>245</v>
      </c>
      <c r="AN28" s="302">
        <f>'[2]Reading.5.23'!AM28</f>
        <v>426</v>
      </c>
      <c r="AO28" s="189">
        <f t="shared" si="9"/>
        <v>373.5</v>
      </c>
      <c r="AP28" s="34"/>
      <c r="AQ28" s="248">
        <f t="shared" ref="AQ28:AQ35" si="35">507*4</f>
        <v>2028</v>
      </c>
      <c r="AR28" s="244">
        <f>'[2]Reading.5.23'!AQ28</f>
        <v>2092</v>
      </c>
      <c r="AS28" s="34"/>
      <c r="AT28" s="552">
        <v>7207.52</v>
      </c>
      <c r="AU28" s="191">
        <f t="shared" si="10"/>
        <v>10160.000000003492</v>
      </c>
      <c r="AV28" s="553">
        <f t="shared" si="11"/>
        <v>0.96192892883107406</v>
      </c>
      <c r="AW28" s="34"/>
      <c r="AX28" s="187"/>
      <c r="AY28" s="245">
        <f>'[2]Reading.5.23'!X28</f>
        <v>38119.999999995343</v>
      </c>
      <c r="AZ28" s="496">
        <f>'[2]Reading.5.23'!AB28</f>
        <v>0</v>
      </c>
      <c r="BA28" s="246">
        <f t="shared" si="12"/>
        <v>38119.999999995343</v>
      </c>
      <c r="BC28" s="554">
        <v>23</v>
      </c>
      <c r="BD28" s="555">
        <v>22</v>
      </c>
      <c r="BE28" s="556">
        <v>18</v>
      </c>
      <c r="BF28" s="557">
        <v>62</v>
      </c>
      <c r="BG28" s="212">
        <v>83</v>
      </c>
      <c r="BH28" s="555">
        <f>'[2]Reading.5.23'!BD28</f>
        <v>28.6</v>
      </c>
      <c r="BI28" s="555">
        <f>'[2]Reading.5.23'!BE28</f>
        <v>24</v>
      </c>
      <c r="BJ28" s="555">
        <f>'[2]Reading.5.23'!BF28</f>
        <v>57</v>
      </c>
      <c r="BL28" s="149">
        <v>526</v>
      </c>
      <c r="BN28" s="185">
        <f>'[2]Reading.5.23'!E26</f>
        <v>0</v>
      </c>
      <c r="BP28" s="33">
        <v>67967</v>
      </c>
      <c r="BQ28" s="33">
        <f t="shared" si="13"/>
        <v>31</v>
      </c>
      <c r="BR28" s="232">
        <f>'[2]Reading.5.23'!BQ28</f>
        <v>45</v>
      </c>
      <c r="BT28" s="33">
        <v>83128</v>
      </c>
      <c r="BU28" s="33">
        <f t="shared" si="14"/>
        <v>41</v>
      </c>
      <c r="BV28" s="232">
        <f>'[2]Reading.5.23'!BU28</f>
        <v>40</v>
      </c>
      <c r="BX28" s="33">
        <v>4053</v>
      </c>
      <c r="BY28" s="33">
        <f t="shared" si="15"/>
        <v>0</v>
      </c>
      <c r="BZ28" s="232">
        <f>'[2]Reading.5.23'!BY28</f>
        <v>0</v>
      </c>
      <c r="CB28" s="33">
        <v>235840</v>
      </c>
      <c r="CC28" s="33">
        <f t="shared" si="16"/>
        <v>60</v>
      </c>
      <c r="CD28" s="232">
        <f>'[2]Reading.5.23'!CC28</f>
        <v>80</v>
      </c>
      <c r="CF28" s="33">
        <v>6465</v>
      </c>
      <c r="CG28" s="33">
        <f t="shared" si="17"/>
        <v>5</v>
      </c>
      <c r="CH28" s="232">
        <f>'[2]Reading.5.23'!CG28</f>
        <v>0</v>
      </c>
      <c r="CI28" s="33">
        <v>19770</v>
      </c>
      <c r="CJ28" s="33">
        <f t="shared" si="18"/>
        <v>0</v>
      </c>
      <c r="CK28" s="232">
        <f>'[2]Reading.5.23'!CG28</f>
        <v>0</v>
      </c>
      <c r="CM28" s="33">
        <f t="shared" si="34"/>
        <v>132</v>
      </c>
      <c r="CN28" s="33">
        <f t="shared" si="34"/>
        <v>165</v>
      </c>
      <c r="CP28" s="33">
        <v>123454</v>
      </c>
      <c r="CQ28" s="33">
        <f t="shared" si="20"/>
        <v>417</v>
      </c>
      <c r="CR28" s="134">
        <f t="shared" si="21"/>
        <v>0.79277566539923949</v>
      </c>
      <c r="CS28" s="232">
        <f>'[2]Reading.5.23'!CN28</f>
        <v>260</v>
      </c>
      <c r="CT28" s="264">
        <f>'[2]Reading.5.23'!CO26</f>
        <v>0.3968253968253968</v>
      </c>
      <c r="CV28" s="33">
        <v>5285</v>
      </c>
      <c r="CW28" s="33">
        <f t="shared" si="22"/>
        <v>0</v>
      </c>
      <c r="CX28" s="232">
        <f>'[2]Reading.5.23'!CT28</f>
        <v>3</v>
      </c>
      <c r="CZ28" s="33">
        <v>1071</v>
      </c>
      <c r="DA28" s="33">
        <f t="shared" si="23"/>
        <v>4</v>
      </c>
      <c r="DB28" s="232">
        <f>'[2]Reading.5.23'!CX28</f>
        <v>6</v>
      </c>
      <c r="DD28" s="33">
        <v>1466928</v>
      </c>
      <c r="DE28" s="33">
        <f t="shared" si="24"/>
        <v>1020</v>
      </c>
      <c r="DF28" s="232">
        <f>'[2]Reading.5.23'!DB28</f>
        <v>1080</v>
      </c>
      <c r="DH28" s="33">
        <v>3408203</v>
      </c>
      <c r="DI28" s="33">
        <f t="shared" si="25"/>
        <v>1489</v>
      </c>
      <c r="DJ28" s="232">
        <f>'[2]Reading.5.23'!DF28</f>
        <v>2191</v>
      </c>
      <c r="DL28" s="33">
        <v>2944282</v>
      </c>
      <c r="DM28" s="33">
        <f t="shared" si="26"/>
        <v>32</v>
      </c>
      <c r="DN28" s="232">
        <f>'[2]Reading.5.23'!DJ28</f>
        <v>31</v>
      </c>
      <c r="DP28" s="33">
        <v>2336408</v>
      </c>
      <c r="DQ28" s="33">
        <f t="shared" si="27"/>
        <v>305</v>
      </c>
      <c r="DR28" s="232">
        <f>'[2]Reading.5.23'!DN28</f>
        <v>3281</v>
      </c>
      <c r="DT28" s="33">
        <v>3181000</v>
      </c>
      <c r="DU28" s="33">
        <f t="shared" si="28"/>
        <v>1654</v>
      </c>
      <c r="DV28" s="232">
        <f>'[2]Reading.5.23'!DR28</f>
        <v>2224</v>
      </c>
      <c r="DW28" s="558"/>
      <c r="DX28" s="33">
        <v>720</v>
      </c>
      <c r="DZ28" s="33">
        <f t="shared" si="29"/>
        <v>2711</v>
      </c>
      <c r="EA28" s="232">
        <f>'[2]Reading.5.23'!DW28</f>
        <v>6256</v>
      </c>
      <c r="EC28" s="190">
        <f t="shared" si="30"/>
        <v>2683.2000000000003</v>
      </c>
      <c r="ED28" s="263">
        <f>'[2]Reading.5.23'!C28*5.2</f>
        <v>3530.8</v>
      </c>
      <c r="EF28" s="33">
        <v>62347</v>
      </c>
      <c r="EG28" s="269">
        <f t="shared" si="31"/>
        <v>49</v>
      </c>
      <c r="EH28" s="232"/>
      <c r="EJ28" s="33">
        <v>24974</v>
      </c>
      <c r="EK28" s="269">
        <f t="shared" si="32"/>
        <v>19</v>
      </c>
      <c r="EL28" s="232"/>
    </row>
    <row r="29" spans="1:142" x14ac:dyDescent="0.2">
      <c r="A29" s="275">
        <v>45436</v>
      </c>
      <c r="B29" s="33">
        <v>308536</v>
      </c>
      <c r="C29" s="33">
        <f t="shared" si="0"/>
        <v>582</v>
      </c>
      <c r="D29" s="33"/>
      <c r="E29" s="546">
        <v>0</v>
      </c>
      <c r="F29" s="234">
        <v>800</v>
      </c>
      <c r="G29" s="33">
        <f t="shared" si="1"/>
        <v>592</v>
      </c>
      <c r="H29" s="186">
        <f>'[2]Reading.5.23'!G29</f>
        <v>591</v>
      </c>
      <c r="I29" s="183"/>
      <c r="J29" s="546">
        <v>208859</v>
      </c>
      <c r="K29" s="185">
        <f t="shared" si="2"/>
        <v>163.38</v>
      </c>
      <c r="L29" s="241">
        <f>'[2]Reading.5.23'!K29</f>
        <v>196.05600000000001</v>
      </c>
      <c r="M29" s="184"/>
      <c r="N29" s="546">
        <v>736399</v>
      </c>
      <c r="O29" s="185">
        <f t="shared" si="3"/>
        <v>447.17</v>
      </c>
      <c r="P29" s="241">
        <f>'[2]Reading.5.23'!O29</f>
        <v>479.44000000000005</v>
      </c>
      <c r="Q29" s="34"/>
      <c r="R29" s="546">
        <v>42300</v>
      </c>
      <c r="S29" s="33"/>
      <c r="T29" s="33">
        <f t="shared" si="4"/>
        <v>0</v>
      </c>
      <c r="U29" s="241">
        <f>'[2]Reading.5.23'!T29</f>
        <v>0</v>
      </c>
      <c r="V29" s="34">
        <v>46114.06</v>
      </c>
      <c r="W29" s="548">
        <v>46114.06</v>
      </c>
      <c r="X29" s="185">
        <f t="shared" si="5"/>
        <v>38399.999999994179</v>
      </c>
      <c r="Y29" s="241">
        <f>'[2]Reading.5.23'!X29</f>
        <v>38519.999999989523</v>
      </c>
      <c r="Z29" s="34"/>
      <c r="AA29" s="249">
        <v>520039</v>
      </c>
      <c r="AB29" s="185">
        <f t="shared" si="6"/>
        <v>0</v>
      </c>
      <c r="AC29" s="241">
        <f>'[2]Reading.5.23'!AB29</f>
        <v>0</v>
      </c>
      <c r="AD29" s="34"/>
      <c r="AE29" s="243">
        <f t="shared" si="7"/>
        <v>38399.999999994179</v>
      </c>
      <c r="AF29" s="244">
        <f>'[2]Reading.5.23'!AE29</f>
        <v>38519.999999989523</v>
      </c>
      <c r="AG29" s="242">
        <f t="shared" si="8"/>
        <v>36343.599999999999</v>
      </c>
      <c r="AH29" s="34"/>
      <c r="AI29" s="549">
        <v>0.443</v>
      </c>
      <c r="AJ29" s="188">
        <f>'[2]Reading.5.23'!AI29</f>
        <v>0.78139999999999998</v>
      </c>
      <c r="AK29" s="550">
        <v>0.68700000000000006</v>
      </c>
      <c r="AL29" s="34"/>
      <c r="AM29" s="551">
        <v>233</v>
      </c>
      <c r="AN29" s="302">
        <f>'[2]Reading.5.23'!AM29</f>
        <v>411</v>
      </c>
      <c r="AO29" s="189">
        <f t="shared" si="9"/>
        <v>373.5</v>
      </c>
      <c r="AP29" s="34"/>
      <c r="AQ29" s="248">
        <f t="shared" si="35"/>
        <v>2028</v>
      </c>
      <c r="AR29" s="244">
        <f>'[2]Reading.5.23'!AQ29</f>
        <v>2092</v>
      </c>
      <c r="AS29" s="34"/>
      <c r="AT29" s="552">
        <v>7210.11</v>
      </c>
      <c r="AU29" s="191">
        <f t="shared" si="10"/>
        <v>10359.999999996944</v>
      </c>
      <c r="AV29" s="553">
        <f t="shared" si="11"/>
        <v>0.96547968252344862</v>
      </c>
      <c r="AW29" s="34"/>
      <c r="AX29" s="187"/>
      <c r="AY29" s="245">
        <f>'[2]Reading.5.23'!X29</f>
        <v>38519.999999989523</v>
      </c>
      <c r="AZ29" s="496">
        <f>'[2]Reading.5.23'!AB29</f>
        <v>0</v>
      </c>
      <c r="BA29" s="246">
        <f t="shared" si="12"/>
        <v>38519.999999989523</v>
      </c>
      <c r="BC29" s="554">
        <v>23</v>
      </c>
      <c r="BD29" s="555">
        <v>22</v>
      </c>
      <c r="BE29" s="556">
        <v>18</v>
      </c>
      <c r="BF29" s="557">
        <v>62</v>
      </c>
      <c r="BG29" s="212">
        <v>83</v>
      </c>
      <c r="BH29" s="555">
        <f>'[2]Reading.5.23'!BD29</f>
        <v>29.4</v>
      </c>
      <c r="BI29" s="555">
        <f>'[2]Reading.5.23'!BE29</f>
        <v>25</v>
      </c>
      <c r="BJ29" s="555">
        <f>'[2]Reading.5.23'!BF29</f>
        <v>78</v>
      </c>
      <c r="BL29" s="149">
        <v>526</v>
      </c>
      <c r="BN29" s="185">
        <f>'[2]Reading.5.23'!E27</f>
        <v>0</v>
      </c>
      <c r="BP29" s="33">
        <v>67998</v>
      </c>
      <c r="BQ29" s="33">
        <f t="shared" si="13"/>
        <v>31</v>
      </c>
      <c r="BR29" s="232">
        <f>'[2]Reading.5.23'!BQ29</f>
        <v>40</v>
      </c>
      <c r="BT29" s="33">
        <v>83167</v>
      </c>
      <c r="BU29" s="33">
        <f t="shared" si="14"/>
        <v>39</v>
      </c>
      <c r="BV29" s="232">
        <f>'[2]Reading.5.23'!BU29</f>
        <v>42</v>
      </c>
      <c r="BX29" s="33">
        <v>4053</v>
      </c>
      <c r="BY29" s="33">
        <f t="shared" si="15"/>
        <v>0</v>
      </c>
      <c r="BZ29" s="232">
        <f>'[2]Reading.5.23'!BY29</f>
        <v>0</v>
      </c>
      <c r="CB29" s="33">
        <v>235900</v>
      </c>
      <c r="CC29" s="33">
        <f t="shared" si="16"/>
        <v>60</v>
      </c>
      <c r="CD29" s="232">
        <f>'[2]Reading.5.23'!CC29</f>
        <v>100</v>
      </c>
      <c r="CF29" s="33">
        <v>6470</v>
      </c>
      <c r="CG29" s="33">
        <f t="shared" si="17"/>
        <v>5</v>
      </c>
      <c r="CH29" s="232">
        <f>'[2]Reading.5.23'!CG29</f>
        <v>0</v>
      </c>
      <c r="CI29" s="33">
        <v>19770</v>
      </c>
      <c r="CJ29" s="33">
        <f t="shared" si="18"/>
        <v>0</v>
      </c>
      <c r="CK29" s="232">
        <f>'[2]Reading.5.23'!CG29</f>
        <v>0</v>
      </c>
      <c r="CM29" s="33">
        <f t="shared" si="34"/>
        <v>130</v>
      </c>
      <c r="CN29" s="33">
        <f t="shared" si="34"/>
        <v>182</v>
      </c>
      <c r="CP29" s="33">
        <v>123862</v>
      </c>
      <c r="CQ29" s="33">
        <f t="shared" si="20"/>
        <v>408</v>
      </c>
      <c r="CR29" s="134">
        <f t="shared" si="21"/>
        <v>0.68918918918918914</v>
      </c>
      <c r="CS29" s="232">
        <f>'[2]Reading.5.23'!CN29</f>
        <v>280</v>
      </c>
      <c r="CT29" s="264">
        <f>'[2]Reading.5.23'!CO27</f>
        <v>0.43088235294117649</v>
      </c>
      <c r="CV29" s="33">
        <v>5285</v>
      </c>
      <c r="CW29" s="33">
        <f t="shared" si="22"/>
        <v>0</v>
      </c>
      <c r="CX29" s="232">
        <f>'[2]Reading.5.23'!CT29</f>
        <v>4</v>
      </c>
      <c r="CZ29" s="33">
        <v>1076</v>
      </c>
      <c r="DA29" s="33">
        <f t="shared" si="23"/>
        <v>5</v>
      </c>
      <c r="DB29" s="232">
        <f>'[2]Reading.5.23'!CX29</f>
        <v>6</v>
      </c>
      <c r="DD29" s="33">
        <v>1467953</v>
      </c>
      <c r="DE29" s="33">
        <f t="shared" si="24"/>
        <v>1025</v>
      </c>
      <c r="DF29" s="232">
        <f>'[2]Reading.5.23'!DB29</f>
        <v>1094</v>
      </c>
      <c r="DH29" s="33">
        <v>3409802</v>
      </c>
      <c r="DI29" s="33">
        <f t="shared" si="25"/>
        <v>1599</v>
      </c>
      <c r="DJ29" s="232">
        <f>'[2]Reading.5.23'!DF29</f>
        <v>1936</v>
      </c>
      <c r="DL29" s="33">
        <v>2944309</v>
      </c>
      <c r="DM29" s="33">
        <f t="shared" si="26"/>
        <v>27</v>
      </c>
      <c r="DN29" s="232">
        <f>'[2]Reading.5.23'!DJ29</f>
        <v>31</v>
      </c>
      <c r="DP29" s="33">
        <v>2340642</v>
      </c>
      <c r="DQ29" s="33">
        <f t="shared" si="27"/>
        <v>4234</v>
      </c>
      <c r="DR29" s="232">
        <f>'[2]Reading.5.23'!DN29</f>
        <v>3497</v>
      </c>
      <c r="DT29" s="33">
        <v>3181030</v>
      </c>
      <c r="DU29" s="33">
        <f t="shared" si="28"/>
        <v>30</v>
      </c>
      <c r="DV29" s="232">
        <f>'[2]Reading.5.23'!DR29</f>
        <v>1978</v>
      </c>
      <c r="DW29" s="558"/>
      <c r="DX29" s="33">
        <v>720</v>
      </c>
      <c r="DZ29" s="33">
        <f t="shared" si="29"/>
        <v>5011</v>
      </c>
      <c r="EA29" s="232">
        <f>'[2]Reading.5.23'!DW29</f>
        <v>6226</v>
      </c>
      <c r="EC29" s="190">
        <f t="shared" si="30"/>
        <v>3026.4</v>
      </c>
      <c r="ED29" s="263">
        <f>'[2]Reading.5.23'!C29*5.2</f>
        <v>2839.2000000000003</v>
      </c>
      <c r="EF29" s="33">
        <v>62400</v>
      </c>
      <c r="EG29" s="269">
        <f t="shared" si="31"/>
        <v>53</v>
      </c>
      <c r="EH29" s="232"/>
      <c r="EJ29" s="33">
        <v>24995</v>
      </c>
      <c r="EK29" s="269">
        <f t="shared" si="32"/>
        <v>21</v>
      </c>
      <c r="EL29" s="232"/>
    </row>
    <row r="30" spans="1:142" x14ac:dyDescent="0.2">
      <c r="A30" s="275">
        <v>45437</v>
      </c>
      <c r="B30" s="33">
        <v>309068</v>
      </c>
      <c r="C30" s="33">
        <f t="shared" si="0"/>
        <v>532</v>
      </c>
      <c r="D30" s="33"/>
      <c r="E30" s="546">
        <v>0</v>
      </c>
      <c r="F30" s="234">
        <v>815</v>
      </c>
      <c r="G30" s="33">
        <f t="shared" si="1"/>
        <v>517</v>
      </c>
      <c r="H30" s="186">
        <f>'[2]Reading.5.23'!G30</f>
        <v>536</v>
      </c>
      <c r="I30" s="183"/>
      <c r="J30" s="546">
        <v>208890</v>
      </c>
      <c r="K30" s="185">
        <f t="shared" si="2"/>
        <v>144.708</v>
      </c>
      <c r="L30" s="241">
        <f>'[2]Reading.5.23'!K30</f>
        <v>191.38800000000001</v>
      </c>
      <c r="M30" s="184"/>
      <c r="N30" s="546">
        <v>736476</v>
      </c>
      <c r="O30" s="185">
        <f t="shared" si="3"/>
        <v>354.97</v>
      </c>
      <c r="P30" s="241">
        <f>'[2]Reading.5.23'!O30</f>
        <v>502.49</v>
      </c>
      <c r="Q30" s="34"/>
      <c r="R30" s="546">
        <v>42300</v>
      </c>
      <c r="S30" s="33"/>
      <c r="T30" s="33">
        <f t="shared" si="4"/>
        <v>0</v>
      </c>
      <c r="U30" s="241">
        <f>'[2]Reading.5.23'!T30</f>
        <v>0</v>
      </c>
      <c r="V30" s="34">
        <v>46114.06</v>
      </c>
      <c r="W30" s="548">
        <v>46122.85</v>
      </c>
      <c r="X30" s="185">
        <f t="shared" si="5"/>
        <v>35160.000000003492</v>
      </c>
      <c r="Y30" s="241">
        <f>'[2]Reading.5.23'!X30</f>
        <v>39279.999999998836</v>
      </c>
      <c r="Z30" s="34"/>
      <c r="AA30" s="249">
        <v>520039</v>
      </c>
      <c r="AB30" s="185">
        <f t="shared" si="6"/>
        <v>0</v>
      </c>
      <c r="AC30" s="241">
        <f>'[2]Reading.5.23'!AB30</f>
        <v>0</v>
      </c>
      <c r="AD30" s="34"/>
      <c r="AE30" s="243">
        <f t="shared" si="7"/>
        <v>35160.000000003492</v>
      </c>
      <c r="AF30" s="244">
        <f>'[2]Reading.5.23'!AE30</f>
        <v>39279.999999998836</v>
      </c>
      <c r="AG30" s="242">
        <f t="shared" si="8"/>
        <v>36343.599999999999</v>
      </c>
      <c r="AH30" s="34"/>
      <c r="AI30" s="549">
        <v>0.40300000000000002</v>
      </c>
      <c r="AJ30" s="188">
        <f>'[2]Reading.5.23'!AI30</f>
        <v>0.74519999999999997</v>
      </c>
      <c r="AK30" s="550">
        <v>0.68700000000000006</v>
      </c>
      <c r="AL30" s="34"/>
      <c r="AM30" s="551">
        <v>212</v>
      </c>
      <c r="AN30" s="302">
        <f>'[2]Reading.5.23'!AM30</f>
        <v>392</v>
      </c>
      <c r="AO30" s="189">
        <f t="shared" si="9"/>
        <v>373.5</v>
      </c>
      <c r="AP30" s="34"/>
      <c r="AQ30" s="248">
        <f t="shared" si="35"/>
        <v>2028</v>
      </c>
      <c r="AR30" s="244">
        <f>'[2]Reading.5.23'!AQ30</f>
        <v>2092</v>
      </c>
      <c r="AS30" s="34"/>
      <c r="AT30" s="552">
        <v>7211.55</v>
      </c>
      <c r="AU30" s="191">
        <f t="shared" si="10"/>
        <v>5760.0000000020373</v>
      </c>
      <c r="AV30" s="553">
        <f t="shared" si="11"/>
        <v>0.98684528851933662</v>
      </c>
      <c r="AW30" s="34"/>
      <c r="AX30" s="187"/>
      <c r="AY30" s="245">
        <f>'[2]Reading.5.23'!X30</f>
        <v>39279.999999998836</v>
      </c>
      <c r="AZ30" s="496">
        <f>'[2]Reading.5.23'!AB30</f>
        <v>0</v>
      </c>
      <c r="BA30" s="246">
        <f t="shared" si="12"/>
        <v>39279.999999998836</v>
      </c>
      <c r="BC30" s="554">
        <v>23</v>
      </c>
      <c r="BD30" s="555">
        <v>22</v>
      </c>
      <c r="BE30" s="556">
        <v>18</v>
      </c>
      <c r="BF30" s="557">
        <v>62</v>
      </c>
      <c r="BG30" s="212">
        <v>83</v>
      </c>
      <c r="BH30" s="555">
        <f>'[2]Reading.5.23'!BD30</f>
        <v>32.1</v>
      </c>
      <c r="BI30" s="555">
        <f>'[2]Reading.5.23'!BE30</f>
        <v>26</v>
      </c>
      <c r="BJ30" s="555">
        <f>'[2]Reading.5.23'!BF30</f>
        <v>54</v>
      </c>
      <c r="BL30" s="149">
        <v>526</v>
      </c>
      <c r="BN30" s="185">
        <f>'[2]Reading.5.23'!E28</f>
        <v>0</v>
      </c>
      <c r="BP30" s="33">
        <v>68031</v>
      </c>
      <c r="BQ30" s="33">
        <f t="shared" si="13"/>
        <v>33</v>
      </c>
      <c r="BR30" s="232">
        <f>'[2]Reading.5.23'!BQ30</f>
        <v>39</v>
      </c>
      <c r="BT30" s="33">
        <v>83194</v>
      </c>
      <c r="BU30" s="33">
        <f t="shared" si="14"/>
        <v>27</v>
      </c>
      <c r="BV30" s="232">
        <f>'[2]Reading.5.23'!BU30</f>
        <v>41</v>
      </c>
      <c r="BX30" s="33">
        <v>4053</v>
      </c>
      <c r="BY30" s="33">
        <f t="shared" si="15"/>
        <v>0</v>
      </c>
      <c r="BZ30" s="232">
        <f>'[2]Reading.5.23'!BY30</f>
        <v>0</v>
      </c>
      <c r="CB30" s="33">
        <v>235960</v>
      </c>
      <c r="CC30" s="33">
        <f t="shared" si="16"/>
        <v>60</v>
      </c>
      <c r="CD30" s="232">
        <f>'[2]Reading.5.23'!CC30</f>
        <v>60</v>
      </c>
      <c r="CF30" s="33">
        <v>6475</v>
      </c>
      <c r="CG30" s="33">
        <f t="shared" si="17"/>
        <v>5</v>
      </c>
      <c r="CH30" s="232">
        <f>'[2]Reading.5.23'!CG30</f>
        <v>0</v>
      </c>
      <c r="CI30" s="33">
        <v>19770</v>
      </c>
      <c r="CJ30" s="33">
        <f t="shared" si="18"/>
        <v>0</v>
      </c>
      <c r="CK30" s="232">
        <f>'[2]Reading.5.23'!CG30</f>
        <v>0</v>
      </c>
      <c r="CM30" s="33">
        <f t="shared" si="34"/>
        <v>120</v>
      </c>
      <c r="CN30" s="33">
        <f t="shared" si="34"/>
        <v>140</v>
      </c>
      <c r="CP30" s="33">
        <v>124257</v>
      </c>
      <c r="CQ30" s="33">
        <f t="shared" si="20"/>
        <v>395</v>
      </c>
      <c r="CR30" s="134">
        <f t="shared" si="21"/>
        <v>0.76402321083172142</v>
      </c>
      <c r="CS30" s="232">
        <f>'[2]Reading.5.23'!CN30</f>
        <v>251</v>
      </c>
      <c r="CT30" s="264">
        <f>'[2]Reading.5.23'!CO28</f>
        <v>0.46511627906976744</v>
      </c>
      <c r="CV30" s="33">
        <v>5285</v>
      </c>
      <c r="CW30" s="33">
        <f t="shared" si="22"/>
        <v>0</v>
      </c>
      <c r="CX30" s="232">
        <f>'[2]Reading.5.23'!CT30</f>
        <v>3</v>
      </c>
      <c r="CZ30" s="33">
        <v>1080</v>
      </c>
      <c r="DA30" s="33">
        <f t="shared" si="23"/>
        <v>4</v>
      </c>
      <c r="DB30" s="232">
        <f>'[2]Reading.5.23'!CX30</f>
        <v>6</v>
      </c>
      <c r="DD30" s="33">
        <v>1468731</v>
      </c>
      <c r="DE30" s="33">
        <f t="shared" si="24"/>
        <v>778</v>
      </c>
      <c r="DF30" s="232">
        <f>'[2]Reading.5.23'!DB30</f>
        <v>1090</v>
      </c>
      <c r="DH30" s="33">
        <v>3411370</v>
      </c>
      <c r="DI30" s="33">
        <f t="shared" si="25"/>
        <v>1568</v>
      </c>
      <c r="DJ30" s="232">
        <f>'[2]Reading.5.23'!DF30</f>
        <v>1915</v>
      </c>
      <c r="DL30" s="33">
        <v>2944338</v>
      </c>
      <c r="DM30" s="33">
        <f t="shared" si="26"/>
        <v>29</v>
      </c>
      <c r="DN30" s="232">
        <f>'[2]Reading.5.23'!DJ30</f>
        <v>31</v>
      </c>
      <c r="DP30" s="33">
        <v>2342570</v>
      </c>
      <c r="DQ30" s="33">
        <f t="shared" si="27"/>
        <v>1928</v>
      </c>
      <c r="DR30" s="232">
        <f>'[2]Reading.5.23'!DN30</f>
        <v>3422</v>
      </c>
      <c r="DT30" s="33">
        <v>3181034</v>
      </c>
      <c r="DU30" s="33">
        <f t="shared" si="28"/>
        <v>4</v>
      </c>
      <c r="DV30" s="232">
        <f>'[2]Reading.5.23'!DR30</f>
        <v>2170</v>
      </c>
      <c r="DW30" s="558"/>
      <c r="DX30" s="33">
        <v>720</v>
      </c>
      <c r="DZ30" s="33">
        <f t="shared" si="29"/>
        <v>2681</v>
      </c>
      <c r="EA30" s="232">
        <f>'[2]Reading.5.23'!DW30</f>
        <v>6343</v>
      </c>
      <c r="EC30" s="190">
        <f t="shared" si="30"/>
        <v>2766.4</v>
      </c>
      <c r="ED30" s="263">
        <f>'[2]Reading.5.23'!C30*5.2</f>
        <v>2709.2000000000003</v>
      </c>
      <c r="EF30" s="33">
        <v>62458</v>
      </c>
      <c r="EG30" s="269">
        <f t="shared" si="31"/>
        <v>58</v>
      </c>
      <c r="EH30" s="232"/>
      <c r="EJ30" s="33">
        <v>25017</v>
      </c>
      <c r="EK30" s="269">
        <f t="shared" si="32"/>
        <v>22</v>
      </c>
      <c r="EL30" s="232"/>
    </row>
    <row r="31" spans="1:142" x14ac:dyDescent="0.2">
      <c r="A31" s="275">
        <v>45438</v>
      </c>
      <c r="B31" s="33">
        <v>309665</v>
      </c>
      <c r="C31" s="33">
        <f t="shared" si="0"/>
        <v>597</v>
      </c>
      <c r="D31" s="33"/>
      <c r="E31" s="546">
        <v>0</v>
      </c>
      <c r="F31" s="234">
        <v>845</v>
      </c>
      <c r="G31" s="33">
        <f t="shared" si="1"/>
        <v>567</v>
      </c>
      <c r="H31" s="186">
        <f>'[2]Reading.5.23'!G31</f>
        <v>570</v>
      </c>
      <c r="I31" s="183"/>
      <c r="J31" s="546">
        <v>208923</v>
      </c>
      <c r="K31" s="185">
        <f t="shared" si="2"/>
        <v>154.04400000000001</v>
      </c>
      <c r="L31" s="241">
        <f>'[2]Reading.5.23'!K31</f>
        <v>182.05199999999999</v>
      </c>
      <c r="M31" s="184"/>
      <c r="N31" s="546">
        <v>736573</v>
      </c>
      <c r="O31" s="185">
        <f t="shared" si="3"/>
        <v>447.17</v>
      </c>
      <c r="P31" s="241">
        <f>'[2]Reading.5.23'!O31</f>
        <v>461.00000000000006</v>
      </c>
      <c r="Q31" s="34"/>
      <c r="R31" s="546">
        <v>42300</v>
      </c>
      <c r="S31" s="33"/>
      <c r="T31" s="33">
        <f t="shared" si="4"/>
        <v>0</v>
      </c>
      <c r="U31" s="241">
        <f>'[2]Reading.5.23'!T31</f>
        <v>0</v>
      </c>
      <c r="V31" s="34">
        <v>46114.06</v>
      </c>
      <c r="W31" s="548">
        <v>46131.47</v>
      </c>
      <c r="X31" s="185">
        <f t="shared" si="5"/>
        <v>34480.000000010477</v>
      </c>
      <c r="Y31" s="241">
        <f>'[2]Reading.5.23'!X31</f>
        <v>37959.999999991851</v>
      </c>
      <c r="Z31" s="34"/>
      <c r="AA31" s="249">
        <v>520039</v>
      </c>
      <c r="AB31" s="185">
        <f t="shared" si="6"/>
        <v>0</v>
      </c>
      <c r="AC31" s="241">
        <f>'[2]Reading.5.23'!AB31</f>
        <v>0</v>
      </c>
      <c r="AD31" s="34"/>
      <c r="AE31" s="243">
        <f t="shared" si="7"/>
        <v>34480.000000010477</v>
      </c>
      <c r="AF31" s="244">
        <f>'[2]Reading.5.23'!AE31</f>
        <v>37959.999999991851</v>
      </c>
      <c r="AG31" s="242">
        <f t="shared" si="8"/>
        <v>36343.599999999999</v>
      </c>
      <c r="AH31" s="34"/>
      <c r="AI31" s="549">
        <v>0.33839999999999998</v>
      </c>
      <c r="AJ31" s="188">
        <f>'[2]Reading.5.23'!AI31</f>
        <v>0.69579999999999997</v>
      </c>
      <c r="AK31" s="550">
        <v>0.68700000000000006</v>
      </c>
      <c r="AL31" s="34"/>
      <c r="AM31" s="551">
        <v>178</v>
      </c>
      <c r="AN31" s="302">
        <f>'[2]Reading.5.23'!AM31</f>
        <v>366</v>
      </c>
      <c r="AO31" s="189">
        <f t="shared" si="9"/>
        <v>373.5</v>
      </c>
      <c r="AP31" s="34"/>
      <c r="AQ31" s="248">
        <f t="shared" si="35"/>
        <v>2028</v>
      </c>
      <c r="AR31" s="244">
        <f>'[2]Reading.5.23'!AQ31</f>
        <v>2092</v>
      </c>
      <c r="AS31" s="34"/>
      <c r="AT31" s="552">
        <v>7213.22</v>
      </c>
      <c r="AU31" s="191">
        <f t="shared" si="10"/>
        <v>6680.000000000291</v>
      </c>
      <c r="AV31" s="553">
        <f t="shared" si="11"/>
        <v>0.98174556433378779</v>
      </c>
      <c r="AW31" s="34"/>
      <c r="AX31" s="187"/>
      <c r="AY31" s="245">
        <f>'[2]Reading.5.23'!X31</f>
        <v>37959.999999991851</v>
      </c>
      <c r="AZ31" s="496">
        <f>'[2]Reading.5.23'!AB31</f>
        <v>0</v>
      </c>
      <c r="BA31" s="246">
        <f t="shared" si="12"/>
        <v>37959.999999991851</v>
      </c>
      <c r="BC31" s="554">
        <v>28</v>
      </c>
      <c r="BD31" s="555">
        <v>22</v>
      </c>
      <c r="BE31" s="556">
        <v>18</v>
      </c>
      <c r="BF31" s="557">
        <v>62</v>
      </c>
      <c r="BG31" s="212">
        <v>83</v>
      </c>
      <c r="BH31" s="555">
        <f>'[2]Reading.5.23'!BD31</f>
        <v>31.1</v>
      </c>
      <c r="BI31" s="555">
        <f>'[2]Reading.5.23'!BE31</f>
        <v>27</v>
      </c>
      <c r="BJ31" s="555">
        <f>'[2]Reading.5.23'!BF31</f>
        <v>54</v>
      </c>
      <c r="BL31" s="149">
        <v>526</v>
      </c>
      <c r="BN31" s="185">
        <f>'[2]Reading.5.23'!E29</f>
        <v>0</v>
      </c>
      <c r="BP31" s="33">
        <v>68055</v>
      </c>
      <c r="BQ31" s="33">
        <f t="shared" si="13"/>
        <v>24</v>
      </c>
      <c r="BR31" s="232">
        <f>'[2]Reading.5.23'!BQ31</f>
        <v>40</v>
      </c>
      <c r="BT31" s="33">
        <v>83230</v>
      </c>
      <c r="BU31" s="33">
        <f t="shared" si="14"/>
        <v>36</v>
      </c>
      <c r="BV31" s="232">
        <f>'[2]Reading.5.23'!BU31</f>
        <v>32</v>
      </c>
      <c r="BX31" s="33">
        <v>4053</v>
      </c>
      <c r="BY31" s="33">
        <f t="shared" si="15"/>
        <v>0</v>
      </c>
      <c r="BZ31" s="232">
        <f>'[2]Reading.5.23'!BY31</f>
        <v>0</v>
      </c>
      <c r="CB31" s="33">
        <v>236060</v>
      </c>
      <c r="CC31" s="33">
        <f t="shared" si="16"/>
        <v>100</v>
      </c>
      <c r="CD31" s="232">
        <f>'[2]Reading.5.23'!CC31</f>
        <v>50</v>
      </c>
      <c r="CF31" s="33">
        <v>6480</v>
      </c>
      <c r="CG31" s="33">
        <f t="shared" si="17"/>
        <v>5</v>
      </c>
      <c r="CH31" s="232">
        <f>'[2]Reading.5.23'!CG31</f>
        <v>0</v>
      </c>
      <c r="CI31" s="33">
        <v>19770</v>
      </c>
      <c r="CJ31" s="33">
        <f t="shared" si="18"/>
        <v>0</v>
      </c>
      <c r="CK31" s="232">
        <f>'[2]Reading.5.23'!CG31</f>
        <v>0</v>
      </c>
      <c r="CM31" s="33">
        <f t="shared" si="34"/>
        <v>160</v>
      </c>
      <c r="CN31" s="33">
        <f t="shared" si="34"/>
        <v>122</v>
      </c>
      <c r="CP31" s="33">
        <v>124647</v>
      </c>
      <c r="CQ31" s="33">
        <f t="shared" si="20"/>
        <v>390</v>
      </c>
      <c r="CR31" s="134">
        <f t="shared" si="21"/>
        <v>0.68783068783068779</v>
      </c>
      <c r="CS31" s="232">
        <f>'[2]Reading.5.23'!CN31</f>
        <v>218</v>
      </c>
      <c r="CT31" s="264">
        <f>'[2]Reading.5.23'!CO29</f>
        <v>0.47377326565143824</v>
      </c>
      <c r="CV31" s="33">
        <v>5285</v>
      </c>
      <c r="CW31" s="33">
        <f t="shared" si="22"/>
        <v>0</v>
      </c>
      <c r="CX31" s="232">
        <f>'[2]Reading.5.23'!CT31</f>
        <v>4</v>
      </c>
      <c r="CZ31" s="33">
        <v>1083</v>
      </c>
      <c r="DA31" s="33">
        <f t="shared" si="23"/>
        <v>3</v>
      </c>
      <c r="DB31" s="232">
        <f>'[2]Reading.5.23'!CX31</f>
        <v>5</v>
      </c>
      <c r="DD31" s="33">
        <v>1469725</v>
      </c>
      <c r="DE31" s="33">
        <f t="shared" si="24"/>
        <v>994</v>
      </c>
      <c r="DF31" s="232">
        <f>'[2]Reading.5.23'!DB31</f>
        <v>1000</v>
      </c>
      <c r="DH31" s="33">
        <v>3412767</v>
      </c>
      <c r="DI31" s="33">
        <f t="shared" si="25"/>
        <v>1397</v>
      </c>
      <c r="DJ31" s="232">
        <f>'[2]Reading.5.23'!DF31</f>
        <v>1787</v>
      </c>
      <c r="DL31" s="33">
        <v>2944369</v>
      </c>
      <c r="DM31" s="33">
        <f t="shared" si="26"/>
        <v>31</v>
      </c>
      <c r="DN31" s="232">
        <f>'[2]Reading.5.23'!DJ31</f>
        <v>30</v>
      </c>
      <c r="DP31" s="33">
        <v>2344683</v>
      </c>
      <c r="DQ31" s="33">
        <f t="shared" si="27"/>
        <v>2113</v>
      </c>
      <c r="DR31" s="232">
        <f>'[2]Reading.5.23'!DN31</f>
        <v>3296</v>
      </c>
      <c r="DT31" s="33">
        <v>3186445</v>
      </c>
      <c r="DU31" s="33">
        <f t="shared" si="28"/>
        <v>5411</v>
      </c>
      <c r="DV31" s="232">
        <f>'[2]Reading.5.23'!DR31</f>
        <v>1970</v>
      </c>
      <c r="DW31" s="558"/>
      <c r="DX31" s="33">
        <v>720</v>
      </c>
      <c r="DZ31" s="33">
        <f t="shared" si="29"/>
        <v>8275</v>
      </c>
      <c r="EA31" s="232">
        <f>'[2]Reading.5.23'!DW31</f>
        <v>6016</v>
      </c>
      <c r="EC31" s="190">
        <f t="shared" si="30"/>
        <v>3104.4</v>
      </c>
      <c r="ED31" s="263">
        <f>'[2]Reading.5.23'!C31*5.2</f>
        <v>3224</v>
      </c>
      <c r="EF31" s="33">
        <v>62501</v>
      </c>
      <c r="EG31" s="269">
        <f>EF31-EF30</f>
        <v>43</v>
      </c>
      <c r="EH31" s="232"/>
      <c r="EJ31" s="33">
        <v>25036</v>
      </c>
      <c r="EK31" s="269">
        <f t="shared" si="32"/>
        <v>19</v>
      </c>
      <c r="EL31" s="232"/>
    </row>
    <row r="32" spans="1:142" x14ac:dyDescent="0.2">
      <c r="A32" s="275">
        <v>45439</v>
      </c>
      <c r="B32" s="33">
        <v>310123</v>
      </c>
      <c r="C32" s="33">
        <f t="shared" si="0"/>
        <v>458</v>
      </c>
      <c r="D32" s="33"/>
      <c r="E32" s="546">
        <v>0</v>
      </c>
      <c r="F32" s="234">
        <v>845</v>
      </c>
      <c r="G32" s="33">
        <f t="shared" si="1"/>
        <v>458</v>
      </c>
      <c r="H32" s="186">
        <f>'[2]Reading.5.23'!G32</f>
        <v>538</v>
      </c>
      <c r="I32" s="183"/>
      <c r="J32" s="546">
        <v>208955</v>
      </c>
      <c r="K32" s="185">
        <f t="shared" si="2"/>
        <v>149.376</v>
      </c>
      <c r="L32" s="241">
        <f>'[2]Reading.5.23'!K32</f>
        <v>177.38400000000001</v>
      </c>
      <c r="M32" s="184"/>
      <c r="N32" s="546">
        <v>736664</v>
      </c>
      <c r="O32" s="185">
        <f t="shared" si="3"/>
        <v>419.51000000000005</v>
      </c>
      <c r="P32" s="241">
        <f>'[2]Reading.5.23'!O32</f>
        <v>525.54000000000008</v>
      </c>
      <c r="Q32" s="34"/>
      <c r="R32" s="546">
        <v>42300</v>
      </c>
      <c r="S32" s="33"/>
      <c r="T32" s="33">
        <f t="shared" si="4"/>
        <v>0</v>
      </c>
      <c r="U32" s="241">
        <f>'[2]Reading.5.23'!T32</f>
        <v>0</v>
      </c>
      <c r="V32" s="34"/>
      <c r="W32" s="548">
        <v>46140.1</v>
      </c>
      <c r="X32" s="185">
        <f t="shared" si="5"/>
        <v>34519.999999989523</v>
      </c>
      <c r="Y32" s="241">
        <f>'[2]Reading.5.23'!X32</f>
        <v>37960.000000020955</v>
      </c>
      <c r="Z32" s="34"/>
      <c r="AA32" s="249">
        <v>520039</v>
      </c>
      <c r="AB32" s="185">
        <f t="shared" si="6"/>
        <v>0</v>
      </c>
      <c r="AC32" s="241">
        <f>'[2]Reading.5.23'!AB32</f>
        <v>0</v>
      </c>
      <c r="AD32" s="34"/>
      <c r="AE32" s="243">
        <f t="shared" si="7"/>
        <v>34519.999999989523</v>
      </c>
      <c r="AF32" s="244">
        <f>'[2]Reading.5.23'!AE32</f>
        <v>37960.000000020955</v>
      </c>
      <c r="AG32" s="242">
        <f t="shared" si="8"/>
        <v>36343.599999999999</v>
      </c>
      <c r="AH32" s="34"/>
      <c r="AI32" s="549">
        <v>0.37640000000000001</v>
      </c>
      <c r="AJ32" s="188">
        <f>'[2]Reading.5.23'!AI32</f>
        <v>0.61029999999999995</v>
      </c>
      <c r="AK32" s="550">
        <v>0.68700000000000006</v>
      </c>
      <c r="AL32" s="34"/>
      <c r="AM32" s="551">
        <v>198</v>
      </c>
      <c r="AN32" s="302">
        <f>'[2]Reading.5.23'!AM32</f>
        <v>321</v>
      </c>
      <c r="AO32" s="189">
        <f t="shared" si="9"/>
        <v>373.5</v>
      </c>
      <c r="AP32" s="34"/>
      <c r="AQ32" s="248">
        <f t="shared" si="35"/>
        <v>2028</v>
      </c>
      <c r="AR32" s="244">
        <f>'[2]Reading.5.23'!AQ32</f>
        <v>2092</v>
      </c>
      <c r="AS32" s="34"/>
      <c r="AT32" s="552">
        <v>7214.94</v>
      </c>
      <c r="AU32" s="191">
        <f t="shared" si="10"/>
        <v>6879.9999999973807</v>
      </c>
      <c r="AV32" s="553">
        <f t="shared" si="11"/>
        <v>0.98071157937992892</v>
      </c>
      <c r="AW32" s="34"/>
      <c r="AX32" s="187"/>
      <c r="AY32" s="245">
        <f>'[2]Reading.5.23'!X32</f>
        <v>37960.000000020955</v>
      </c>
      <c r="AZ32" s="496">
        <f>'[2]Reading.5.23'!AB32</f>
        <v>0</v>
      </c>
      <c r="BA32" s="246">
        <f t="shared" si="12"/>
        <v>37960.000000020955</v>
      </c>
      <c r="BC32" s="554">
        <v>28</v>
      </c>
      <c r="BD32" s="555">
        <v>22</v>
      </c>
      <c r="BE32" s="556">
        <v>18</v>
      </c>
      <c r="BF32" s="557">
        <v>62</v>
      </c>
      <c r="BG32" s="212">
        <v>83</v>
      </c>
      <c r="BH32" s="555">
        <f>'[2]Reading.5.23'!BD32</f>
        <v>31.1</v>
      </c>
      <c r="BI32" s="555">
        <f>'[2]Reading.5.23'!BE32</f>
        <v>27</v>
      </c>
      <c r="BJ32" s="555">
        <f>'[2]Reading.5.23'!BF32</f>
        <v>54</v>
      </c>
      <c r="BL32" s="149">
        <v>526</v>
      </c>
      <c r="BN32" s="185">
        <f>'[2]Reading.5.23'!E30</f>
        <v>0</v>
      </c>
      <c r="BP32" s="33">
        <v>68079</v>
      </c>
      <c r="BQ32" s="33">
        <f t="shared" si="13"/>
        <v>24</v>
      </c>
      <c r="BR32" s="232">
        <f>'[2]Reading.5.23'!BQ32</f>
        <v>20</v>
      </c>
      <c r="BT32" s="33">
        <v>83263</v>
      </c>
      <c r="BU32" s="33">
        <f t="shared" si="14"/>
        <v>33</v>
      </c>
      <c r="BV32" s="232">
        <f>'[2]Reading.5.23'!BU32</f>
        <v>41</v>
      </c>
      <c r="BX32" s="33">
        <v>4053</v>
      </c>
      <c r="BY32" s="33">
        <f t="shared" si="15"/>
        <v>0</v>
      </c>
      <c r="BZ32" s="232">
        <f>'[2]Reading.5.23'!BY32</f>
        <v>37</v>
      </c>
      <c r="CB32" s="33">
        <v>236110</v>
      </c>
      <c r="CC32" s="33">
        <f t="shared" si="16"/>
        <v>50</v>
      </c>
      <c r="CD32" s="232">
        <f>'[2]Reading.5.23'!CC32</f>
        <v>70</v>
      </c>
      <c r="CF32" s="33">
        <v>6490</v>
      </c>
      <c r="CG32" s="33">
        <f t="shared" si="17"/>
        <v>10</v>
      </c>
      <c r="CH32" s="232">
        <f>'[2]Reading.5.23'!CG32</f>
        <v>0</v>
      </c>
      <c r="CI32" s="33">
        <v>19771</v>
      </c>
      <c r="CJ32" s="33">
        <f t="shared" si="18"/>
        <v>1</v>
      </c>
      <c r="CK32" s="232">
        <f>'[2]Reading.5.23'!CG32</f>
        <v>0</v>
      </c>
      <c r="CM32" s="33">
        <f t="shared" si="34"/>
        <v>108</v>
      </c>
      <c r="CN32" s="33">
        <f t="shared" si="34"/>
        <v>168</v>
      </c>
      <c r="CP32" s="33">
        <v>125047</v>
      </c>
      <c r="CQ32" s="33">
        <f t="shared" si="20"/>
        <v>400</v>
      </c>
      <c r="CR32" s="134">
        <f t="shared" si="21"/>
        <v>0.8733624454148472</v>
      </c>
      <c r="CS32" s="232">
        <f>'[2]Reading.5.23'!CN32</f>
        <v>241</v>
      </c>
      <c r="CT32" s="264">
        <f>'[2]Reading.5.23'!CO30</f>
        <v>0.46828358208955223</v>
      </c>
      <c r="CV32" s="33">
        <v>5285</v>
      </c>
      <c r="CW32" s="33">
        <f t="shared" si="22"/>
        <v>0</v>
      </c>
      <c r="CX32" s="232">
        <f>'[2]Reading.5.23'!CT32</f>
        <v>2</v>
      </c>
      <c r="CZ32" s="33">
        <v>1086</v>
      </c>
      <c r="DA32" s="33">
        <f t="shared" si="23"/>
        <v>3</v>
      </c>
      <c r="DB32" s="232">
        <f>'[2]Reading.5.23'!CX32</f>
        <v>4</v>
      </c>
      <c r="DD32" s="33">
        <v>1470615</v>
      </c>
      <c r="DE32" s="33">
        <f t="shared" si="24"/>
        <v>890</v>
      </c>
      <c r="DF32" s="232">
        <f>'[2]Reading.5.23'!DB32</f>
        <v>979</v>
      </c>
      <c r="DH32" s="33">
        <v>3414164</v>
      </c>
      <c r="DI32" s="33">
        <f t="shared" si="25"/>
        <v>1397</v>
      </c>
      <c r="DJ32" s="232">
        <f>'[2]Reading.5.23'!DF32</f>
        <v>1175</v>
      </c>
      <c r="DL32" s="33">
        <v>2944398</v>
      </c>
      <c r="DM32" s="33">
        <f t="shared" si="26"/>
        <v>29</v>
      </c>
      <c r="DN32" s="232">
        <f>'[2]Reading.5.23'!DJ32</f>
        <v>32</v>
      </c>
      <c r="DP32" s="33">
        <v>2346666</v>
      </c>
      <c r="DQ32" s="33">
        <f t="shared" si="27"/>
        <v>1983</v>
      </c>
      <c r="DR32" s="232">
        <f>'[2]Reading.5.23'!DN32</f>
        <v>3306</v>
      </c>
      <c r="DT32" s="33">
        <v>3189338</v>
      </c>
      <c r="DU32" s="33">
        <f t="shared" si="28"/>
        <v>2893</v>
      </c>
      <c r="DV32" s="232">
        <f>'[2]Reading.5.23'!DR32</f>
        <v>2021</v>
      </c>
      <c r="DW32" s="558"/>
      <c r="DX32" s="33">
        <v>720</v>
      </c>
      <c r="DZ32" s="33">
        <f t="shared" si="29"/>
        <v>5625</v>
      </c>
      <c r="EA32" s="232">
        <f>'[2]Reading.5.23'!DW32</f>
        <v>6079</v>
      </c>
      <c r="EC32" s="190">
        <f t="shared" si="30"/>
        <v>2381.6</v>
      </c>
      <c r="ED32" s="263">
        <f>'[2]Reading.5.23'!C32*5.2</f>
        <v>2615.6</v>
      </c>
      <c r="EF32" s="33">
        <v>62544</v>
      </c>
      <c r="EG32" s="269">
        <f>EF32-EF31</f>
        <v>43</v>
      </c>
      <c r="EH32" s="232"/>
      <c r="EJ32" s="33">
        <v>25055</v>
      </c>
      <c r="EK32" s="269">
        <f t="shared" si="32"/>
        <v>19</v>
      </c>
      <c r="EL32" s="232"/>
    </row>
    <row r="33" spans="1:142" x14ac:dyDescent="0.2">
      <c r="A33" s="275">
        <v>45440</v>
      </c>
      <c r="B33" s="33">
        <v>310673</v>
      </c>
      <c r="C33" s="33">
        <f t="shared" si="0"/>
        <v>550</v>
      </c>
      <c r="D33" s="33"/>
      <c r="E33" s="546">
        <v>0</v>
      </c>
      <c r="F33" s="234">
        <v>840</v>
      </c>
      <c r="G33" s="33">
        <f t="shared" si="1"/>
        <v>555</v>
      </c>
      <c r="H33" s="186">
        <f>'[2]Reading.5.23'!G33</f>
        <v>613</v>
      </c>
      <c r="I33" s="183"/>
      <c r="J33" s="546">
        <v>208986</v>
      </c>
      <c r="K33" s="185">
        <f t="shared" si="2"/>
        <v>144.708</v>
      </c>
      <c r="L33" s="241">
        <f>'[2]Reading.5.23'!K33</f>
        <v>172.71600000000001</v>
      </c>
      <c r="M33" s="184"/>
      <c r="N33" s="546">
        <v>736751</v>
      </c>
      <c r="O33" s="185">
        <f t="shared" si="3"/>
        <v>401.07000000000005</v>
      </c>
      <c r="P33" s="241">
        <f>'[2]Reading.5.23'!O33</f>
        <v>484.05</v>
      </c>
      <c r="Q33" s="34"/>
      <c r="R33" s="546">
        <v>42300</v>
      </c>
      <c r="S33" s="33"/>
      <c r="T33" s="33">
        <f t="shared" si="4"/>
        <v>0</v>
      </c>
      <c r="U33" s="241">
        <f>'[2]Reading.5.23'!T33</f>
        <v>0</v>
      </c>
      <c r="V33" s="34"/>
      <c r="W33" s="548">
        <v>46148.65</v>
      </c>
      <c r="X33" s="185">
        <f t="shared" si="5"/>
        <v>34200.000000011642</v>
      </c>
      <c r="Y33" s="241">
        <f>'[2]Reading.5.23'!X33</f>
        <v>36879.999999975553</v>
      </c>
      <c r="Z33" s="34"/>
      <c r="AA33" s="249">
        <v>520066</v>
      </c>
      <c r="AB33" s="185">
        <f t="shared" si="6"/>
        <v>27</v>
      </c>
      <c r="AC33" s="241">
        <f>'[2]Reading.5.23'!AB33</f>
        <v>0</v>
      </c>
      <c r="AD33" s="34"/>
      <c r="AE33" s="243">
        <f t="shared" si="7"/>
        <v>34227.000000011642</v>
      </c>
      <c r="AF33" s="244">
        <f>'[2]Reading.5.23'!AE33</f>
        <v>36879.999999975553</v>
      </c>
      <c r="AG33" s="242">
        <f t="shared" si="8"/>
        <v>36343.599999999999</v>
      </c>
      <c r="AH33" s="34"/>
      <c r="AI33" s="549">
        <v>0.36499999999999999</v>
      </c>
      <c r="AJ33" s="188">
        <f>'[2]Reading.5.23'!AI33</f>
        <v>0.56999999999999995</v>
      </c>
      <c r="AK33" s="550">
        <v>0.68700000000000006</v>
      </c>
      <c r="AL33" s="34"/>
      <c r="AM33" s="551">
        <v>192</v>
      </c>
      <c r="AN33" s="302">
        <f>'[2]Reading.5.23'!AM33</f>
        <v>298</v>
      </c>
      <c r="AO33" s="189">
        <f t="shared" si="9"/>
        <v>373.5</v>
      </c>
      <c r="AP33" s="34"/>
      <c r="AQ33" s="248">
        <f t="shared" si="35"/>
        <v>2028</v>
      </c>
      <c r="AR33" s="244">
        <f>'[2]Reading.5.23'!AQ33</f>
        <v>2092</v>
      </c>
      <c r="AS33" s="34"/>
      <c r="AT33" s="552">
        <v>7215.92</v>
      </c>
      <c r="AU33" s="191">
        <f t="shared" si="10"/>
        <v>3920.0000000018917</v>
      </c>
      <c r="AV33" s="553">
        <f t="shared" si="11"/>
        <v>0.99349516550123429</v>
      </c>
      <c r="AW33" s="34"/>
      <c r="AX33" s="187"/>
      <c r="AY33" s="245">
        <f>'[2]Reading.5.23'!X33</f>
        <v>36879.999999975553</v>
      </c>
      <c r="AZ33" s="496">
        <f>'[2]Reading.5.23'!AB33</f>
        <v>0</v>
      </c>
      <c r="BA33" s="246">
        <f t="shared" si="12"/>
        <v>36879.999999975553</v>
      </c>
      <c r="BC33" s="554">
        <v>28</v>
      </c>
      <c r="BD33" s="555">
        <v>22</v>
      </c>
      <c r="BE33" s="556">
        <v>18</v>
      </c>
      <c r="BF33" s="557">
        <v>62</v>
      </c>
      <c r="BG33" s="212">
        <v>83</v>
      </c>
      <c r="BH33" s="555">
        <f>'[2]Reading.5.23'!BD33</f>
        <v>31.4</v>
      </c>
      <c r="BI33" s="555">
        <f>'[2]Reading.5.23'!BE33</f>
        <v>27</v>
      </c>
      <c r="BJ33" s="555">
        <f>'[2]Reading.5.23'!BF33</f>
        <v>54</v>
      </c>
      <c r="BL33" s="149">
        <v>526</v>
      </c>
      <c r="BN33" s="185">
        <f>'[2]Reading.5.23'!E31</f>
        <v>0</v>
      </c>
      <c r="BP33" s="33">
        <v>68127</v>
      </c>
      <c r="BQ33" s="33">
        <f t="shared" si="13"/>
        <v>48</v>
      </c>
      <c r="BR33" s="232">
        <f>'[2]Reading.5.23'!BQ33</f>
        <v>40</v>
      </c>
      <c r="BT33" s="33">
        <v>83293</v>
      </c>
      <c r="BU33" s="33">
        <f t="shared" si="14"/>
        <v>30</v>
      </c>
      <c r="BV33" s="232">
        <f>'[2]Reading.5.23'!BU33</f>
        <v>40</v>
      </c>
      <c r="BX33" s="33">
        <v>4053</v>
      </c>
      <c r="BY33" s="33">
        <f t="shared" si="15"/>
        <v>0</v>
      </c>
      <c r="BZ33" s="232">
        <f>'[2]Reading.5.23'!BY33</f>
        <v>0</v>
      </c>
      <c r="CB33" s="33">
        <v>236140</v>
      </c>
      <c r="CC33" s="33">
        <f t="shared" si="16"/>
        <v>30</v>
      </c>
      <c r="CD33" s="232">
        <f>'[2]Reading.5.23'!CC33</f>
        <v>130</v>
      </c>
      <c r="CF33" s="33">
        <v>6500</v>
      </c>
      <c r="CG33" s="33">
        <f t="shared" si="17"/>
        <v>10</v>
      </c>
      <c r="CH33" s="232">
        <f>'[2]Reading.5.23'!CG33</f>
        <v>0</v>
      </c>
      <c r="CI33" s="33">
        <v>19771</v>
      </c>
      <c r="CJ33" s="33">
        <f t="shared" si="18"/>
        <v>0</v>
      </c>
      <c r="CK33" s="232">
        <f>'[2]Reading.5.23'!CG33</f>
        <v>0</v>
      </c>
      <c r="CM33" s="33">
        <f t="shared" si="34"/>
        <v>108</v>
      </c>
      <c r="CN33" s="33">
        <f t="shared" si="34"/>
        <v>210</v>
      </c>
      <c r="CP33" s="33">
        <v>125439</v>
      </c>
      <c r="CQ33" s="33">
        <f t="shared" si="20"/>
        <v>392</v>
      </c>
      <c r="CR33" s="134">
        <f t="shared" si="21"/>
        <v>0.70630630630630631</v>
      </c>
      <c r="CS33" s="232">
        <f>'[2]Reading.5.23'!CN33</f>
        <v>260</v>
      </c>
      <c r="CT33" s="264">
        <f>'[2]Reading.5.23'!CO31</f>
        <v>0.38245614035087722</v>
      </c>
      <c r="CV33" s="33">
        <v>5285</v>
      </c>
      <c r="CW33" s="33">
        <f t="shared" si="22"/>
        <v>0</v>
      </c>
      <c r="CX33" s="232">
        <f>'[2]Reading.5.23'!CT33</f>
        <v>4</v>
      </c>
      <c r="CZ33" s="33">
        <v>1090</v>
      </c>
      <c r="DA33" s="33">
        <f t="shared" si="23"/>
        <v>4</v>
      </c>
      <c r="DB33" s="232">
        <f>'[2]Reading.5.23'!CX33</f>
        <v>7</v>
      </c>
      <c r="DD33" s="33">
        <v>1471721</v>
      </c>
      <c r="DE33" s="33">
        <f t="shared" si="24"/>
        <v>1106</v>
      </c>
      <c r="DF33" s="232">
        <f>'[2]Reading.5.23'!DB33</f>
        <v>1017</v>
      </c>
      <c r="DH33" s="33">
        <v>3415793</v>
      </c>
      <c r="DI33" s="33">
        <f t="shared" si="25"/>
        <v>1629</v>
      </c>
      <c r="DJ33" s="232">
        <f>'[2]Reading.5.23'!DF33</f>
        <v>1934</v>
      </c>
      <c r="DL33" s="33">
        <v>2946620</v>
      </c>
      <c r="DM33" s="33">
        <f t="shared" si="26"/>
        <v>2222</v>
      </c>
      <c r="DN33" s="232">
        <f>'[2]Reading.5.23'!DJ33</f>
        <v>34</v>
      </c>
      <c r="DP33" s="33">
        <v>2348735</v>
      </c>
      <c r="DQ33" s="33">
        <f t="shared" si="27"/>
        <v>2069</v>
      </c>
      <c r="DR33" s="232">
        <f>'[2]Reading.5.23'!DN33</f>
        <v>3556</v>
      </c>
      <c r="DT33" s="33">
        <v>3190374</v>
      </c>
      <c r="DU33" s="33">
        <f t="shared" si="28"/>
        <v>1036</v>
      </c>
      <c r="DV33" s="232">
        <f>'[2]Reading.5.23'!DR33</f>
        <v>2166</v>
      </c>
      <c r="DW33" s="558"/>
      <c r="DX33" s="33">
        <v>720</v>
      </c>
      <c r="DZ33" s="33">
        <f t="shared" si="29"/>
        <v>6047</v>
      </c>
      <c r="EA33" s="232">
        <f>'[2]Reading.5.23'!DW33</f>
        <v>6476</v>
      </c>
      <c r="EC33" s="190">
        <f t="shared" si="30"/>
        <v>2860</v>
      </c>
      <c r="ED33" s="263">
        <f>'[2]Reading.5.23'!C33*5.2</f>
        <v>3213.6</v>
      </c>
      <c r="EF33" s="33">
        <v>62587</v>
      </c>
      <c r="EG33" s="269">
        <f>EF33-EF32</f>
        <v>43</v>
      </c>
      <c r="EH33" s="232"/>
      <c r="EJ33" s="33">
        <v>25074</v>
      </c>
      <c r="EK33" s="269">
        <f t="shared" si="32"/>
        <v>19</v>
      </c>
      <c r="EL33" s="232"/>
    </row>
    <row r="34" spans="1:142" x14ac:dyDescent="0.2">
      <c r="A34" s="275">
        <v>45441</v>
      </c>
      <c r="B34" s="33">
        <v>311206</v>
      </c>
      <c r="C34" s="33">
        <f t="shared" si="0"/>
        <v>533</v>
      </c>
      <c r="D34" s="33"/>
      <c r="E34" s="546">
        <v>0</v>
      </c>
      <c r="F34" s="234">
        <v>835</v>
      </c>
      <c r="G34" s="33">
        <f t="shared" si="1"/>
        <v>538</v>
      </c>
      <c r="H34" s="186">
        <f>'[2]Reading.5.23'!G34</f>
        <v>516</v>
      </c>
      <c r="I34" s="183"/>
      <c r="J34" s="546">
        <v>209020</v>
      </c>
      <c r="K34" s="185">
        <f t="shared" si="2"/>
        <v>158.71200000000002</v>
      </c>
      <c r="L34" s="241">
        <f>'[2]Reading.5.23'!K34</f>
        <v>186.72</v>
      </c>
      <c r="M34" s="184"/>
      <c r="N34" s="546">
        <v>736827</v>
      </c>
      <c r="O34" s="185">
        <f t="shared" si="3"/>
        <v>350.36</v>
      </c>
      <c r="P34" s="241">
        <f>'[2]Reading.5.23'!O34</f>
        <v>511.71000000000004</v>
      </c>
      <c r="Q34" s="34"/>
      <c r="R34" s="546">
        <v>42300</v>
      </c>
      <c r="S34" s="33"/>
      <c r="T34" s="33">
        <f t="shared" si="4"/>
        <v>0</v>
      </c>
      <c r="U34" s="241">
        <f>'[2]Reading.5.23'!T34</f>
        <v>0</v>
      </c>
      <c r="V34" s="34"/>
      <c r="W34" s="548">
        <v>46157.29</v>
      </c>
      <c r="X34" s="185">
        <f t="shared" si="5"/>
        <v>34559.999999997672</v>
      </c>
      <c r="Y34" s="241">
        <f>'[2]Reading.5.23'!X34</f>
        <v>36640.00000001397</v>
      </c>
      <c r="Z34" s="34"/>
      <c r="AA34" s="249">
        <v>520066</v>
      </c>
      <c r="AB34" s="185">
        <f t="shared" si="6"/>
        <v>0</v>
      </c>
      <c r="AC34" s="241">
        <f>'[2]Reading.5.23'!AB34</f>
        <v>0</v>
      </c>
      <c r="AD34" s="34"/>
      <c r="AE34" s="243">
        <f t="shared" si="7"/>
        <v>34559.999999997672</v>
      </c>
      <c r="AF34" s="244">
        <f>'[2]Reading.5.23'!AE34</f>
        <v>36640.00000001397</v>
      </c>
      <c r="AG34" s="242">
        <f t="shared" si="8"/>
        <v>36343.599999999999</v>
      </c>
      <c r="AH34" s="34"/>
      <c r="AI34" s="549">
        <v>0.36499999999999999</v>
      </c>
      <c r="AJ34" s="188">
        <f>'[2]Reading.5.23'!AI34</f>
        <v>0.59</v>
      </c>
      <c r="AK34" s="550">
        <v>0.68700000000000006</v>
      </c>
      <c r="AL34" s="34"/>
      <c r="AM34" s="551">
        <v>192</v>
      </c>
      <c r="AN34" s="302">
        <f>'[2]Reading.5.23'!AM34</f>
        <v>308</v>
      </c>
      <c r="AO34" s="189">
        <f t="shared" si="9"/>
        <v>373.5</v>
      </c>
      <c r="AP34" s="34"/>
      <c r="AQ34" s="248">
        <f t="shared" si="35"/>
        <v>2028</v>
      </c>
      <c r="AR34" s="244">
        <f>'[2]Reading.5.23'!AQ34</f>
        <v>2092</v>
      </c>
      <c r="AS34" s="34"/>
      <c r="AT34" s="552">
        <v>7217.87</v>
      </c>
      <c r="AU34" s="191">
        <f t="shared" si="10"/>
        <v>7799.9999999992724</v>
      </c>
      <c r="AV34" s="553">
        <f t="shared" si="11"/>
        <v>0.97546447098927014</v>
      </c>
      <c r="AW34" s="34"/>
      <c r="AX34" s="187"/>
      <c r="AY34" s="245">
        <f>'[2]Reading.5.23'!X34</f>
        <v>36640.00000001397</v>
      </c>
      <c r="AZ34" s="496">
        <f>'[2]Reading.5.23'!AB34</f>
        <v>0</v>
      </c>
      <c r="BA34" s="246">
        <f t="shared" si="12"/>
        <v>36640.00000001397</v>
      </c>
      <c r="BC34" s="554">
        <v>28</v>
      </c>
      <c r="BD34" s="555">
        <v>22</v>
      </c>
      <c r="BE34" s="556">
        <v>18</v>
      </c>
      <c r="BF34" s="557">
        <v>62</v>
      </c>
      <c r="BG34" s="212">
        <v>83</v>
      </c>
      <c r="BH34" s="555">
        <f>'[2]Reading.5.23'!BD34</f>
        <v>31.4</v>
      </c>
      <c r="BI34" s="555">
        <f>'[2]Reading.5.23'!BE34</f>
        <v>27</v>
      </c>
      <c r="BJ34" s="555">
        <f>'[2]Reading.5.23'!BF34</f>
        <v>54</v>
      </c>
      <c r="BL34" s="149">
        <v>526</v>
      </c>
      <c r="BN34" s="185">
        <f>'[2]Reading.5.23'!E32</f>
        <v>0</v>
      </c>
      <c r="BP34" s="33">
        <v>68150</v>
      </c>
      <c r="BQ34" s="33">
        <f t="shared" si="13"/>
        <v>23</v>
      </c>
      <c r="BR34" s="232">
        <f>'[2]Reading.5.23'!BQ34</f>
        <v>41</v>
      </c>
      <c r="BT34" s="33">
        <v>83321</v>
      </c>
      <c r="BU34" s="33">
        <f t="shared" si="14"/>
        <v>28</v>
      </c>
      <c r="BV34" s="232">
        <f>'[2]Reading.5.23'!BU34</f>
        <v>35</v>
      </c>
      <c r="BX34" s="33">
        <v>4053</v>
      </c>
      <c r="BY34" s="33">
        <f t="shared" si="15"/>
        <v>0</v>
      </c>
      <c r="BZ34" s="232">
        <f>'[2]Reading.5.23'!BY34</f>
        <v>0</v>
      </c>
      <c r="CB34" s="33">
        <v>236170</v>
      </c>
      <c r="CC34" s="33">
        <f t="shared" si="16"/>
        <v>30</v>
      </c>
      <c r="CD34" s="232">
        <f>'[2]Reading.5.23'!CC34</f>
        <v>60</v>
      </c>
      <c r="CF34" s="33">
        <v>6510</v>
      </c>
      <c r="CG34" s="33">
        <f t="shared" si="17"/>
        <v>10</v>
      </c>
      <c r="CH34" s="232">
        <f>'[2]Reading.5.23'!CG34</f>
        <v>0</v>
      </c>
      <c r="CI34" s="33">
        <v>19771</v>
      </c>
      <c r="CJ34" s="33">
        <f t="shared" si="18"/>
        <v>0</v>
      </c>
      <c r="CK34" s="232">
        <f>'[2]Reading.5.23'!CG34</f>
        <v>0</v>
      </c>
      <c r="CM34" s="33">
        <f t="shared" si="34"/>
        <v>81</v>
      </c>
      <c r="CN34" s="33">
        <f t="shared" si="34"/>
        <v>136</v>
      </c>
      <c r="CP34" s="33">
        <v>125834</v>
      </c>
      <c r="CQ34" s="33">
        <f t="shared" si="20"/>
        <v>395</v>
      </c>
      <c r="CR34" s="134">
        <f t="shared" si="21"/>
        <v>0.73420074349442377</v>
      </c>
      <c r="CS34" s="232">
        <f>'[2]Reading.5.23'!CN34</f>
        <v>267</v>
      </c>
      <c r="CT34" s="264">
        <f>'[2]Reading.5.23'!CO32</f>
        <v>0.44795539033457249</v>
      </c>
      <c r="CV34" s="33">
        <v>5285</v>
      </c>
      <c r="CW34" s="33">
        <f t="shared" si="22"/>
        <v>0</v>
      </c>
      <c r="CX34" s="232">
        <f>'[2]Reading.5.23'!CT34</f>
        <v>2</v>
      </c>
      <c r="CZ34" s="33">
        <v>1093</v>
      </c>
      <c r="DA34" s="33">
        <f t="shared" si="23"/>
        <v>3</v>
      </c>
      <c r="DB34" s="232">
        <f>'[2]Reading.5.23'!CX34</f>
        <v>11</v>
      </c>
      <c r="DD34" s="33">
        <v>1472569</v>
      </c>
      <c r="DE34" s="33">
        <f t="shared" si="24"/>
        <v>848</v>
      </c>
      <c r="DF34" s="232">
        <f>'[2]Reading.5.23'!DB34</f>
        <v>1185</v>
      </c>
      <c r="DH34" s="33">
        <v>3417072</v>
      </c>
      <c r="DI34" s="33">
        <f t="shared" si="25"/>
        <v>1279</v>
      </c>
      <c r="DJ34" s="232">
        <f>'[2]Reading.5.23'!DF34</f>
        <v>1826</v>
      </c>
      <c r="DL34" s="33">
        <v>2948897</v>
      </c>
      <c r="DM34" s="33">
        <f t="shared" si="26"/>
        <v>2277</v>
      </c>
      <c r="DN34" s="232">
        <f>'[2]Reading.5.23'!DJ34</f>
        <v>30</v>
      </c>
      <c r="DP34" s="33">
        <v>2350889</v>
      </c>
      <c r="DQ34" s="33">
        <f t="shared" si="27"/>
        <v>2154</v>
      </c>
      <c r="DR34" s="232">
        <f>'[2]Reading.5.23'!DN34</f>
        <v>3439</v>
      </c>
      <c r="DT34" s="33">
        <v>3190406</v>
      </c>
      <c r="DU34" s="33">
        <f t="shared" si="28"/>
        <v>32</v>
      </c>
      <c r="DV34" s="232">
        <f>'[2]Reading.5.23'!DR34</f>
        <v>2212</v>
      </c>
      <c r="DW34" s="558"/>
      <c r="DX34" s="33">
        <v>720</v>
      </c>
      <c r="DZ34" s="33">
        <f t="shared" si="29"/>
        <v>5183</v>
      </c>
      <c r="EA34" s="232">
        <f>'[2]Reading.5.23'!DW34</f>
        <v>6401</v>
      </c>
      <c r="EC34" s="190">
        <f t="shared" si="30"/>
        <v>2771.6</v>
      </c>
      <c r="ED34" s="263">
        <f>'[2]Reading.5.23'!C34*5.2</f>
        <v>2683.2000000000003</v>
      </c>
      <c r="EF34" s="33">
        <v>62640</v>
      </c>
      <c r="EG34" s="269">
        <f>EF34-EF33</f>
        <v>53</v>
      </c>
      <c r="EH34" s="232"/>
      <c r="EJ34" s="33">
        <v>25088</v>
      </c>
      <c r="EK34" s="269">
        <f t="shared" si="32"/>
        <v>14</v>
      </c>
      <c r="EL34" s="232"/>
    </row>
    <row r="35" spans="1:142" x14ac:dyDescent="0.2">
      <c r="A35" s="275">
        <v>45442</v>
      </c>
      <c r="B35" s="33">
        <v>311730</v>
      </c>
      <c r="C35" s="33">
        <f t="shared" si="0"/>
        <v>524</v>
      </c>
      <c r="D35" s="33"/>
      <c r="E35" s="546">
        <v>0</v>
      </c>
      <c r="F35" s="234">
        <v>830</v>
      </c>
      <c r="G35" s="33">
        <f t="shared" si="1"/>
        <v>529</v>
      </c>
      <c r="H35" s="186">
        <f>'[2]Reading.5.23'!G35</f>
        <v>555</v>
      </c>
      <c r="I35" s="183"/>
      <c r="J35" s="546">
        <v>209051</v>
      </c>
      <c r="K35" s="185">
        <f t="shared" si="2"/>
        <v>144.708</v>
      </c>
      <c r="L35" s="241">
        <f>'[2]Reading.5.23'!K35</f>
        <v>182.05199999999999</v>
      </c>
      <c r="M35" s="184"/>
      <c r="N35" s="546">
        <v>736915</v>
      </c>
      <c r="O35" s="185">
        <f t="shared" si="3"/>
        <v>405.68</v>
      </c>
      <c r="P35" s="241">
        <f>'[2]Reading.5.23'!O35</f>
        <v>520.93000000000006</v>
      </c>
      <c r="Q35" s="34"/>
      <c r="R35" s="546">
        <v>42300</v>
      </c>
      <c r="S35" s="33"/>
      <c r="T35" s="33">
        <f t="shared" si="4"/>
        <v>0</v>
      </c>
      <c r="U35" s="241">
        <f>'[2]Reading.5.23'!T35</f>
        <v>0</v>
      </c>
      <c r="V35" s="34"/>
      <c r="W35" s="548">
        <v>46165.54</v>
      </c>
      <c r="X35" s="185">
        <f t="shared" si="5"/>
        <v>33000</v>
      </c>
      <c r="Y35" s="241">
        <f>'[2]Reading.5.23'!X35</f>
        <v>37839.999999996508</v>
      </c>
      <c r="Z35" s="34"/>
      <c r="AA35" s="249">
        <v>520066</v>
      </c>
      <c r="AB35" s="185">
        <f t="shared" si="6"/>
        <v>0</v>
      </c>
      <c r="AC35" s="241">
        <f>'[2]Reading.5.23'!AB35</f>
        <v>0</v>
      </c>
      <c r="AD35" s="34"/>
      <c r="AE35" s="243">
        <f t="shared" si="7"/>
        <v>33000</v>
      </c>
      <c r="AF35" s="244">
        <f>'[2]Reading.5.23'!AE35</f>
        <v>37839.999999996508</v>
      </c>
      <c r="AG35" s="242">
        <f t="shared" si="8"/>
        <v>36343.599999999999</v>
      </c>
      <c r="AH35" s="34"/>
      <c r="AI35" s="549">
        <v>0.38519999999999999</v>
      </c>
      <c r="AJ35" s="188">
        <f>'[2]Reading.5.23'!AI35</f>
        <v>0.54</v>
      </c>
      <c r="AK35" s="550">
        <v>0.68700000000000006</v>
      </c>
      <c r="AL35" s="34"/>
      <c r="AM35" s="551">
        <v>203</v>
      </c>
      <c r="AN35" s="302">
        <f>'[2]Reading.5.23'!AM35</f>
        <v>284</v>
      </c>
      <c r="AO35" s="189">
        <f t="shared" si="9"/>
        <v>373.5</v>
      </c>
      <c r="AP35" s="34"/>
      <c r="AQ35" s="248">
        <f t="shared" si="35"/>
        <v>2028</v>
      </c>
      <c r="AR35" s="244">
        <f>'[2]Reading.5.23'!AQ35</f>
        <v>2092</v>
      </c>
      <c r="AS35" s="34"/>
      <c r="AT35" s="552">
        <v>7215.7</v>
      </c>
      <c r="AU35" s="191">
        <f t="shared" si="10"/>
        <v>-8680.000000000291</v>
      </c>
      <c r="AV35" s="553">
        <f t="shared" si="11"/>
        <v>0.96710489950561851</v>
      </c>
      <c r="AW35" s="34"/>
      <c r="AX35" s="187"/>
      <c r="AY35" s="245">
        <f>'[2]Reading.5.23'!X35</f>
        <v>37839.999999996508</v>
      </c>
      <c r="AZ35" s="496">
        <f>'[2]Reading.5.23'!AB35</f>
        <v>0</v>
      </c>
      <c r="BA35" s="246">
        <f t="shared" si="12"/>
        <v>37839.999999996508</v>
      </c>
      <c r="BC35" s="554">
        <v>28</v>
      </c>
      <c r="BD35" s="555">
        <v>22</v>
      </c>
      <c r="BE35" s="556">
        <v>18</v>
      </c>
      <c r="BF35" s="557">
        <v>62</v>
      </c>
      <c r="BG35" s="212">
        <v>83</v>
      </c>
      <c r="BH35" s="555">
        <f>'[2]Reading.5.23'!BD35</f>
        <v>29</v>
      </c>
      <c r="BI35" s="555">
        <f>'[2]Reading.5.23'!BE35</f>
        <v>26</v>
      </c>
      <c r="BJ35" s="555">
        <f>'[2]Reading.5.23'!BF35</f>
        <v>54</v>
      </c>
      <c r="BL35" s="149">
        <v>526</v>
      </c>
      <c r="BN35" s="185">
        <f>'[2]Reading.5.23'!E33</f>
        <v>0</v>
      </c>
      <c r="BP35" s="33">
        <v>68183</v>
      </c>
      <c r="BQ35" s="33">
        <f t="shared" si="13"/>
        <v>33</v>
      </c>
      <c r="BR35" s="232">
        <f>'[2]Reading.5.23'!BQ35</f>
        <v>39</v>
      </c>
      <c r="BT35" s="33">
        <v>83351</v>
      </c>
      <c r="BU35" s="33">
        <f t="shared" si="14"/>
        <v>30</v>
      </c>
      <c r="BV35" s="232">
        <f>'[2]Reading.5.23'!BU35</f>
        <v>40</v>
      </c>
      <c r="BX35" s="33">
        <v>4053</v>
      </c>
      <c r="BY35" s="33">
        <f t="shared" si="15"/>
        <v>0</v>
      </c>
      <c r="BZ35" s="232">
        <f>'[2]Reading.5.23'!BY35</f>
        <v>0</v>
      </c>
      <c r="CB35" s="33">
        <v>236210</v>
      </c>
      <c r="CC35" s="33">
        <f t="shared" si="16"/>
        <v>40</v>
      </c>
      <c r="CD35" s="232">
        <f>'[2]Reading.5.23'!CC35</f>
        <v>50</v>
      </c>
      <c r="CF35" s="33">
        <v>6520</v>
      </c>
      <c r="CG35" s="33">
        <f t="shared" si="17"/>
        <v>10</v>
      </c>
      <c r="CH35" s="232">
        <f>'[2]Reading.5.23'!CG35</f>
        <v>0</v>
      </c>
      <c r="CI35" s="33">
        <v>19771</v>
      </c>
      <c r="CJ35" s="33">
        <f t="shared" si="18"/>
        <v>0</v>
      </c>
      <c r="CK35" s="232">
        <f>'[2]Reading.5.23'!CG35</f>
        <v>0</v>
      </c>
      <c r="CM35" s="33">
        <f t="shared" si="34"/>
        <v>103</v>
      </c>
      <c r="CN35" s="33">
        <f t="shared" si="34"/>
        <v>129</v>
      </c>
      <c r="CP35" s="33">
        <v>126232</v>
      </c>
      <c r="CQ35" s="33">
        <f t="shared" si="20"/>
        <v>398</v>
      </c>
      <c r="CR35" s="134">
        <f t="shared" si="21"/>
        <v>0.75236294896030242</v>
      </c>
      <c r="CS35" s="232">
        <f>'[2]Reading.5.23'!CN35</f>
        <v>231</v>
      </c>
      <c r="CT35" s="264">
        <f>'[2]Reading.5.23'!CO33</f>
        <v>0.42414355628058725</v>
      </c>
      <c r="CV35" s="33">
        <v>5285</v>
      </c>
      <c r="CW35" s="33">
        <f t="shared" si="22"/>
        <v>0</v>
      </c>
      <c r="CX35" s="232">
        <f>'[2]Reading.5.23'!CT35</f>
        <v>4</v>
      </c>
      <c r="CZ35" s="33">
        <v>1097</v>
      </c>
      <c r="DA35" s="33">
        <f t="shared" si="23"/>
        <v>4</v>
      </c>
      <c r="DB35" s="232">
        <f>'[2]Reading.5.23'!CX35</f>
        <v>6</v>
      </c>
      <c r="DD35" s="33">
        <v>1473484</v>
      </c>
      <c r="DE35" s="33">
        <f t="shared" si="24"/>
        <v>915</v>
      </c>
      <c r="DF35" s="232">
        <f>'[2]Reading.5.23'!DB35</f>
        <v>1117</v>
      </c>
      <c r="DH35" s="33">
        <v>3418691</v>
      </c>
      <c r="DI35" s="33">
        <f t="shared" si="25"/>
        <v>1619</v>
      </c>
      <c r="DJ35" s="232">
        <f>'[2]Reading.5.23'!DF35</f>
        <v>1966</v>
      </c>
      <c r="DL35" s="33">
        <v>2950449</v>
      </c>
      <c r="DM35" s="33">
        <f t="shared" si="26"/>
        <v>1552</v>
      </c>
      <c r="DN35" s="232">
        <f>'[2]Reading.5.23'!DJ35</f>
        <v>32</v>
      </c>
      <c r="DP35" s="33">
        <v>2354610</v>
      </c>
      <c r="DQ35" s="33">
        <f t="shared" si="27"/>
        <v>3721</v>
      </c>
      <c r="DR35" s="232">
        <f>'[2]Reading.5.23'!DN35</f>
        <v>3387</v>
      </c>
      <c r="DT35" s="33">
        <v>3190438</v>
      </c>
      <c r="DU35" s="33">
        <f t="shared" si="28"/>
        <v>32</v>
      </c>
      <c r="DV35" s="232">
        <f>'[2]Reading.5.23'!DR35</f>
        <v>2207</v>
      </c>
      <c r="DW35" s="558"/>
      <c r="DX35" s="33">
        <v>720</v>
      </c>
      <c r="DZ35" s="33">
        <f t="shared" si="29"/>
        <v>6025</v>
      </c>
      <c r="EA35" s="232">
        <f>'[2]Reading.5.23'!DW35</f>
        <v>6346</v>
      </c>
      <c r="EC35" s="190">
        <f t="shared" si="30"/>
        <v>2724.8</v>
      </c>
      <c r="ED35" s="263">
        <f>'[2]Reading.5.23'!C35*5.2</f>
        <v>2990</v>
      </c>
      <c r="EF35" s="33">
        <v>62694</v>
      </c>
      <c r="EG35" s="269">
        <f>EF35-EF34</f>
        <v>54</v>
      </c>
      <c r="EH35" s="232"/>
      <c r="EJ35" s="33">
        <v>25114</v>
      </c>
      <c r="EK35" s="269">
        <f t="shared" si="32"/>
        <v>26</v>
      </c>
      <c r="EL35" s="232"/>
    </row>
    <row r="36" spans="1:142" x14ac:dyDescent="0.2">
      <c r="A36" s="275">
        <v>45443</v>
      </c>
      <c r="B36" s="33"/>
      <c r="C36" s="33"/>
      <c r="D36" s="33"/>
      <c r="E36" s="546"/>
      <c r="F36" s="234"/>
      <c r="G36" s="33"/>
      <c r="H36" s="186"/>
      <c r="I36" s="183"/>
      <c r="J36" s="546"/>
      <c r="K36" s="185"/>
      <c r="L36" s="241"/>
      <c r="M36" s="184"/>
      <c r="N36" s="546"/>
      <c r="O36" s="185"/>
      <c r="P36" s="241"/>
      <c r="Q36" s="34"/>
      <c r="R36" s="546"/>
      <c r="S36" s="33"/>
      <c r="T36" s="33"/>
      <c r="U36" s="241"/>
      <c r="V36" s="34"/>
      <c r="W36" s="548"/>
      <c r="X36" s="185"/>
      <c r="Y36" s="241"/>
      <c r="Z36" s="34"/>
      <c r="AA36" s="249"/>
      <c r="AB36" s="185"/>
      <c r="AC36" s="241"/>
      <c r="AD36" s="34"/>
      <c r="AE36" s="243"/>
      <c r="AF36" s="244"/>
      <c r="AG36" s="242"/>
      <c r="AH36" s="34"/>
      <c r="AI36" s="549"/>
      <c r="AJ36" s="188"/>
      <c r="AK36" s="550"/>
      <c r="AL36" s="34"/>
      <c r="AM36" s="551"/>
      <c r="AN36" s="302"/>
      <c r="AO36" s="189"/>
      <c r="AP36" s="34"/>
      <c r="AQ36" s="248"/>
      <c r="AR36" s="244"/>
      <c r="AS36" s="34"/>
      <c r="AT36" s="552"/>
      <c r="AU36" s="191"/>
      <c r="AV36" s="553"/>
      <c r="AW36" s="34"/>
      <c r="AX36" s="187"/>
      <c r="AY36" s="245"/>
      <c r="AZ36" s="496"/>
      <c r="BA36" s="246"/>
      <c r="BC36" s="554"/>
      <c r="BD36" s="555"/>
      <c r="BE36" s="556"/>
      <c r="BF36" s="557"/>
      <c r="BG36" s="212"/>
      <c r="BH36" s="555"/>
      <c r="BI36" s="555"/>
      <c r="BJ36" s="555"/>
      <c r="BL36" s="149"/>
      <c r="BN36" s="185"/>
      <c r="BP36" s="33"/>
      <c r="BQ36" s="33"/>
      <c r="BR36" s="232"/>
      <c r="BT36" s="33"/>
      <c r="BU36" s="33"/>
      <c r="BV36" s="232"/>
      <c r="BX36" s="33"/>
      <c r="BY36" s="33"/>
      <c r="BZ36" s="232"/>
      <c r="CB36" s="33"/>
      <c r="CC36" s="33"/>
      <c r="CD36" s="232"/>
      <c r="CF36" s="33"/>
      <c r="CG36" s="33"/>
      <c r="CH36" s="232"/>
      <c r="CI36" s="33"/>
      <c r="CJ36" s="33"/>
      <c r="CK36" s="232"/>
      <c r="CM36" s="33"/>
      <c r="CN36" s="33"/>
      <c r="CP36" s="33"/>
      <c r="CQ36" s="33"/>
      <c r="CR36" s="134"/>
      <c r="CS36" s="232"/>
      <c r="CT36" s="264"/>
      <c r="CV36" s="33"/>
      <c r="CW36" s="33"/>
      <c r="CX36" s="232"/>
      <c r="CZ36" s="33"/>
      <c r="DA36" s="33"/>
      <c r="DB36" s="232"/>
      <c r="DD36" s="33"/>
      <c r="DE36" s="33"/>
      <c r="DF36" s="232"/>
      <c r="DH36" s="33"/>
      <c r="DI36" s="33"/>
      <c r="DJ36" s="232"/>
      <c r="DL36" s="33"/>
      <c r="DM36" s="33"/>
      <c r="DN36" s="232"/>
      <c r="DP36" s="33"/>
      <c r="DQ36" s="33"/>
      <c r="DR36" s="232"/>
      <c r="DT36" s="33"/>
      <c r="DU36" s="33"/>
      <c r="DV36" s="232"/>
      <c r="DW36" s="558"/>
      <c r="DX36" s="33"/>
      <c r="DZ36" s="33"/>
      <c r="EA36" s="232"/>
      <c r="EC36" s="190"/>
      <c r="ED36" s="263"/>
      <c r="EF36" s="33"/>
      <c r="EG36" s="269"/>
      <c r="EH36" s="232"/>
      <c r="EJ36" s="33"/>
      <c r="EK36" s="269"/>
      <c r="EL36" s="232"/>
    </row>
    <row r="37" spans="1:142" ht="13.5" thickBot="1" x14ac:dyDescent="0.25">
      <c r="B37" s="562"/>
      <c r="C37" s="126">
        <f>AVERAGE(C6:C36)</f>
        <v>559.93333333333328</v>
      </c>
      <c r="E37" s="38">
        <f>SUM(E6:E36)</f>
        <v>0</v>
      </c>
      <c r="G37" s="55">
        <f>SUM(G6:G36)</f>
        <v>16748</v>
      </c>
      <c r="H37" s="111">
        <f>SUM(H6:H36)</f>
        <v>17362</v>
      </c>
      <c r="I37" s="125"/>
      <c r="J37" s="38"/>
      <c r="K37" s="55">
        <f>SUM(K6:K36)</f>
        <v>5097.4560000000001</v>
      </c>
      <c r="L37" s="111">
        <f>SUM(L6:L36)</f>
        <v>5531.579999999999</v>
      </c>
      <c r="M37" s="125"/>
      <c r="N37" s="38"/>
      <c r="O37" s="55">
        <f>SUM(O6:O36)</f>
        <v>13479.64</v>
      </c>
      <c r="P37" s="111">
        <f>SUM(P6:P36)</f>
        <v>15208.390000000003</v>
      </c>
      <c r="Q37" s="125"/>
      <c r="R37" s="38"/>
      <c r="S37" s="133">
        <f>SUM(S6:S36)</f>
        <v>0</v>
      </c>
      <c r="T37" s="55">
        <f>SUM(T6:T36)</f>
        <v>400</v>
      </c>
      <c r="U37" s="111">
        <f>SUM(U6:U36)</f>
        <v>210</v>
      </c>
      <c r="V37" s="125"/>
      <c r="W37" s="39"/>
      <c r="X37" s="55">
        <f>SUM(X6:X36)</f>
        <v>1038720.0000000012</v>
      </c>
      <c r="Y37" s="111">
        <f>SUM(Y6:Y36)</f>
        <v>1104279.9999999988</v>
      </c>
      <c r="Z37" s="125"/>
      <c r="AA37" s="38"/>
      <c r="AB37" s="55">
        <f>SUM(AB6:AB36)</f>
        <v>16</v>
      </c>
      <c r="AC37" s="111">
        <f>SUM(AC6:AC36)</f>
        <v>5300</v>
      </c>
      <c r="AD37" s="125"/>
      <c r="AE37" s="124">
        <f>SUM(AE6:AE36)</f>
        <v>1038736.0000000012</v>
      </c>
      <c r="AF37" s="111">
        <f>SUM(AF6:AF36)</f>
        <v>1109579.9999999988</v>
      </c>
      <c r="AG37" s="123">
        <f>SUM(AG6:AG36)</f>
        <v>1090307.9999999998</v>
      </c>
      <c r="AH37" s="125"/>
      <c r="AI37" s="497">
        <f>AVERAGE(AI6:AI36)</f>
        <v>0.47368333333333335</v>
      </c>
      <c r="AJ37" s="156">
        <f>AVERAGE(AJ6:AJ36)</f>
        <v>0.67346666666666666</v>
      </c>
      <c r="AK37" s="157">
        <f>AVERAGE(AK6:AK36)</f>
        <v>0.68700000000000006</v>
      </c>
      <c r="AL37" s="125"/>
      <c r="AM37" s="124">
        <f>SUM(AM6:AM36)</f>
        <v>7464</v>
      </c>
      <c r="AN37" s="111">
        <f>SUM(AN6:AN36)</f>
        <v>10624</v>
      </c>
      <c r="AO37" s="123">
        <f>SUM(AO6:AO36)</f>
        <v>11205</v>
      </c>
      <c r="AP37" s="125"/>
      <c r="AQ37" s="124">
        <f>MAX(AQ6:AQ36)</f>
        <v>2028</v>
      </c>
      <c r="AR37" s="111">
        <f>MAX(AR6:AR36)</f>
        <v>2092</v>
      </c>
      <c r="AS37" s="153"/>
      <c r="AT37" s="154"/>
      <c r="AU37" s="154"/>
      <c r="AV37" s="154">
        <f>AVERAGE(AV6:AV36)</f>
        <v>0.97765768840717437</v>
      </c>
      <c r="AW37" s="153"/>
      <c r="AX37" s="122"/>
      <c r="AY37" s="127">
        <f>SUM(AY6:AY36)</f>
        <v>1104279.9999999988</v>
      </c>
      <c r="AZ37" s="128">
        <f>SUM(AZ6:AZ36)</f>
        <v>5300</v>
      </c>
      <c r="BA37" s="129">
        <f>SUM(BA6:BA36)</f>
        <v>1109579.9999999988</v>
      </c>
      <c r="BC37" s="227">
        <f t="shared" ref="BC37:BG37" si="36">AVERAGE(BC6:BC36)</f>
        <v>24.433333333333334</v>
      </c>
      <c r="BD37" s="118">
        <f t="shared" si="36"/>
        <v>20.506666666666668</v>
      </c>
      <c r="BE37" s="152">
        <f t="shared" si="36"/>
        <v>16.600000000000001</v>
      </c>
      <c r="BF37" s="564">
        <f t="shared" si="36"/>
        <v>53.966666666666669</v>
      </c>
      <c r="BG37" s="227">
        <f t="shared" si="36"/>
        <v>81.933333333333337</v>
      </c>
      <c r="BH37" s="118">
        <f>AVERAGE(BH6:BH36)</f>
        <v>28.490000000000002</v>
      </c>
      <c r="BI37" s="152">
        <f>AVERAGE(BI6:BI36)</f>
        <v>24</v>
      </c>
      <c r="BJ37" s="564">
        <f>AVERAGE(BJ6:BJ36)</f>
        <v>61.666666666666664</v>
      </c>
      <c r="BL37" s="149">
        <f>SUM(BL6:BL36)</f>
        <v>15780</v>
      </c>
      <c r="BN37" s="176">
        <f>SUM(BN6:BN36)</f>
        <v>0</v>
      </c>
      <c r="BP37" s="33"/>
      <c r="BQ37" s="33">
        <f>SUM(BQ6:BQ36)</f>
        <v>934</v>
      </c>
      <c r="BR37" s="232">
        <f>SUM(BR6:BR36)</f>
        <v>1143</v>
      </c>
      <c r="BT37" s="33"/>
      <c r="BU37" s="33">
        <f>SUM(BU6:BU36)</f>
        <v>1130</v>
      </c>
      <c r="BV37" s="232">
        <f>SUM(BV6:BV36)</f>
        <v>1169</v>
      </c>
      <c r="BX37" s="33"/>
      <c r="BY37" s="33">
        <f>SUM(BY6:BY36)</f>
        <v>8</v>
      </c>
      <c r="BZ37" s="232">
        <f>SUM(BZ6:BZ36)</f>
        <v>114</v>
      </c>
      <c r="CB37" s="33"/>
      <c r="CC37" s="33">
        <f>SUM(CC6:CC36)</f>
        <v>1590</v>
      </c>
      <c r="CD37" s="232">
        <f>SUM(CD6:CD36)</f>
        <v>2136</v>
      </c>
      <c r="CF37" s="33"/>
      <c r="CG37" s="33">
        <f>SUM(CG6:CG36)</f>
        <v>210</v>
      </c>
      <c r="CH37" s="232">
        <f>SUM(CH6:CH36)</f>
        <v>0</v>
      </c>
      <c r="CI37" s="33"/>
      <c r="CJ37" s="33">
        <f>SUM(CJ6:CJ36)</f>
        <v>1</v>
      </c>
      <c r="CK37" s="232">
        <f>SUM(CK6:CK36)</f>
        <v>0</v>
      </c>
      <c r="CM37" s="33">
        <f>SUM(CM6:CM36)</f>
        <v>3663</v>
      </c>
      <c r="CN37" s="33">
        <f>SUM(CN6:CN36)</f>
        <v>4562</v>
      </c>
      <c r="CP37" s="33"/>
      <c r="CQ37" s="33">
        <f>SUM(CQ6:CQ36)</f>
        <v>12654</v>
      </c>
      <c r="CR37" s="565">
        <f>AVERAGE(CR6:CR36)</f>
        <v>0.7594556564419932</v>
      </c>
      <c r="CS37" s="232">
        <f>'[2]Reading.5.23'!CN35</f>
        <v>231</v>
      </c>
      <c r="CT37" s="264">
        <f>'[2]Reading.5.23'!CO35</f>
        <v>0.41621621621621624</v>
      </c>
      <c r="CV37" s="33"/>
      <c r="CW37" s="33">
        <f>SUM(CW6:CW36)</f>
        <v>9</v>
      </c>
      <c r="CX37" s="232">
        <f>SUM(CX6:CX36)</f>
        <v>99</v>
      </c>
      <c r="CZ37" s="33"/>
      <c r="DA37" s="33">
        <f>SUM(DA6:DA36)</f>
        <v>131</v>
      </c>
      <c r="DB37" s="232">
        <f>SUM(DB6:DB36)</f>
        <v>178</v>
      </c>
      <c r="DD37" s="33"/>
      <c r="DE37" s="33">
        <f>SUM(DE6:DE36)</f>
        <v>28225</v>
      </c>
      <c r="DF37" s="232">
        <f>SUM(DF6:DF36)</f>
        <v>31363</v>
      </c>
      <c r="DH37" s="33"/>
      <c r="DI37" s="33">
        <f>SUM(DI6:DI36)</f>
        <v>50046</v>
      </c>
      <c r="DJ37" s="232">
        <f>SUM(DJ6:DJ36)</f>
        <v>60316</v>
      </c>
      <c r="DL37" s="33"/>
      <c r="DM37" s="33">
        <f>SUM(DM6:DM36)</f>
        <v>31283</v>
      </c>
      <c r="DN37" s="232">
        <f>SUM(DN6:DN36)</f>
        <v>927</v>
      </c>
      <c r="DP37" s="33"/>
      <c r="DQ37" s="33">
        <f>SUM(DQ6:DQ36)</f>
        <v>55284</v>
      </c>
      <c r="DR37" s="232">
        <f>SUM(DR6:DR36)</f>
        <v>100868</v>
      </c>
      <c r="DT37" s="33"/>
      <c r="DU37" s="33">
        <f>SUM(DU6:DU36)</f>
        <v>53149</v>
      </c>
      <c r="DV37" s="232">
        <f>SUM(DV6:DV36)</f>
        <v>47875</v>
      </c>
      <c r="DW37" s="558"/>
      <c r="DX37" s="33"/>
      <c r="DZ37" s="33">
        <f>SUM(DZ6:DZ36)</f>
        <v>161316</v>
      </c>
      <c r="EA37" s="232">
        <f>SUM(EA6:EA36)</f>
        <v>171270</v>
      </c>
      <c r="EC37" s="190">
        <f>SUM(EC6:EC36)</f>
        <v>87349.6</v>
      </c>
      <c r="ED37" s="263">
        <f>SUM(ED6:ED36)</f>
        <v>90438.399999999994</v>
      </c>
      <c r="EF37" s="33"/>
      <c r="EG37" s="33">
        <f>SUM(EG6:EG36)</f>
        <v>1528</v>
      </c>
      <c r="EH37" s="232">
        <f>SUM(EH6:EH36)</f>
        <v>0</v>
      </c>
      <c r="EJ37" s="33"/>
      <c r="EK37" s="33">
        <f>SUM(EK6:EK36)</f>
        <v>642</v>
      </c>
      <c r="EL37" s="232">
        <f>SUM(EL6:EL36)</f>
        <v>0</v>
      </c>
    </row>
    <row r="38" spans="1:142" ht="13.5" thickTop="1" x14ac:dyDescent="0.2">
      <c r="B38" s="562"/>
      <c r="C38" t="s">
        <v>33</v>
      </c>
      <c r="W38" s="32"/>
      <c r="AP38" s="150" t="s">
        <v>99</v>
      </c>
      <c r="AQ38" s="151">
        <v>2216</v>
      </c>
      <c r="CQ38">
        <v>0</v>
      </c>
    </row>
    <row r="39" spans="1:142" x14ac:dyDescent="0.2">
      <c r="C39">
        <f>SUM(C6:C36)</f>
        <v>16798</v>
      </c>
      <c r="K39" s="301"/>
      <c r="P39" s="301"/>
      <c r="AP39" s="150" t="s">
        <v>101</v>
      </c>
      <c r="AQ39" s="151">
        <v>2160</v>
      </c>
    </row>
    <row r="40" spans="1:142" x14ac:dyDescent="0.2">
      <c r="G40" s="303"/>
      <c r="U40" s="566" t="s">
        <v>49</v>
      </c>
      <c r="V40" s="132"/>
      <c r="W40" s="132"/>
      <c r="X40" s="132"/>
      <c r="Y40" s="132"/>
      <c r="Z40" s="132"/>
      <c r="AA40" s="132"/>
      <c r="AB40" s="135">
        <f>'[2]Cost.5.24'!BG39</f>
        <v>150.08854933170167</v>
      </c>
      <c r="AC40" s="567" t="s">
        <v>51</v>
      </c>
      <c r="AF40" s="33" t="s">
        <v>46</v>
      </c>
      <c r="AG40" s="33"/>
      <c r="AH40" s="33"/>
      <c r="AI40" s="130"/>
      <c r="AJ40" s="134">
        <f>AJ37</f>
        <v>0.67346666666666666</v>
      </c>
      <c r="AM40" s="33" t="s">
        <v>56</v>
      </c>
      <c r="AN40" s="33"/>
      <c r="AO40" s="33"/>
      <c r="AP40" s="130"/>
      <c r="AQ40" s="132"/>
      <c r="AR40" s="131">
        <f>AF37/AN37</f>
        <v>104.44088855421676</v>
      </c>
      <c r="AY40" s="666" t="s">
        <v>278</v>
      </c>
      <c r="AZ40" s="666"/>
      <c r="BA40" s="666"/>
      <c r="BB40" s="666"/>
      <c r="BC40" s="666"/>
      <c r="BD40" s="666"/>
      <c r="BE40" s="666"/>
      <c r="BF40" s="666"/>
      <c r="BG40" s="666"/>
      <c r="BH40" s="666"/>
      <c r="BI40" s="666"/>
      <c r="BJ40" s="582"/>
    </row>
    <row r="41" spans="1:142" x14ac:dyDescent="0.2">
      <c r="U41" s="566" t="s">
        <v>50</v>
      </c>
      <c r="V41" s="132"/>
      <c r="W41" s="132"/>
      <c r="X41" s="132"/>
      <c r="Y41" s="132"/>
      <c r="Z41" s="132"/>
      <c r="AA41" s="132"/>
      <c r="AB41" s="135">
        <f>'[2]Cost.5.24'!BI39</f>
        <v>219.97542264406346</v>
      </c>
      <c r="AC41" s="567" t="s">
        <v>51</v>
      </c>
      <c r="AF41" s="33" t="s">
        <v>45</v>
      </c>
      <c r="AG41" s="33"/>
      <c r="AH41" s="33"/>
      <c r="AI41" s="130"/>
      <c r="AJ41" s="134">
        <f>AI37</f>
        <v>0.47368333333333335</v>
      </c>
      <c r="AM41" s="33" t="s">
        <v>55</v>
      </c>
      <c r="AN41" s="33"/>
      <c r="AO41" s="33"/>
      <c r="AP41" s="130"/>
      <c r="AQ41" s="132"/>
      <c r="AR41" s="131">
        <f>AE37/AM37</f>
        <v>139.16613076098622</v>
      </c>
      <c r="AZ41" s="233"/>
      <c r="BA41" s="666"/>
      <c r="BB41" s="666"/>
      <c r="BC41" s="666"/>
      <c r="BD41" s="666"/>
      <c r="BE41" s="666"/>
      <c r="BF41" s="666"/>
      <c r="BG41" s="666"/>
      <c r="BH41" s="666"/>
      <c r="BI41" s="666"/>
      <c r="BJ41" s="666"/>
      <c r="BK41" s="666"/>
    </row>
    <row r="42" spans="1:142" x14ac:dyDescent="0.2">
      <c r="U42" s="566" t="s">
        <v>48</v>
      </c>
      <c r="V42" s="132"/>
      <c r="W42" s="132"/>
      <c r="X42" s="132"/>
      <c r="Y42" s="132"/>
      <c r="Z42" s="132"/>
      <c r="AA42" s="132"/>
      <c r="AB42" s="135">
        <f>'[2]Cost.5.24'!BH39</f>
        <v>141.9434296325085</v>
      </c>
      <c r="AC42" s="567" t="s">
        <v>51</v>
      </c>
      <c r="AF42" s="33" t="s">
        <v>47</v>
      </c>
      <c r="AG42" s="33"/>
      <c r="AH42" s="130"/>
      <c r="AI42" s="132"/>
      <c r="AJ42" s="134">
        <f>AK37</f>
        <v>0.68700000000000006</v>
      </c>
      <c r="AM42" s="33" t="s">
        <v>54</v>
      </c>
      <c r="AN42" s="33"/>
      <c r="AO42" s="33"/>
      <c r="AP42" s="130"/>
      <c r="AQ42" s="132"/>
      <c r="AR42" s="131">
        <f>AG37/AO37</f>
        <v>97.305488621151255</v>
      </c>
      <c r="CC42">
        <f>229975+25</f>
        <v>230000</v>
      </c>
    </row>
    <row r="43" spans="1:142" x14ac:dyDescent="0.2">
      <c r="K43" s="265"/>
      <c r="AY43" s="674"/>
      <c r="AZ43" s="674"/>
      <c r="BA43" s="674"/>
      <c r="BB43" s="674"/>
      <c r="BC43" s="674"/>
      <c r="BD43" s="674"/>
      <c r="BE43" s="674"/>
      <c r="BF43" s="674"/>
      <c r="BG43" s="674"/>
      <c r="BH43" s="674"/>
    </row>
    <row r="44" spans="1:142" x14ac:dyDescent="0.2">
      <c r="AM44" s="33" t="s">
        <v>57</v>
      </c>
      <c r="AN44" s="33"/>
      <c r="AO44" s="33"/>
      <c r="AP44" s="130"/>
      <c r="AQ44" s="132"/>
      <c r="AR44" s="568">
        <f>AF37/BL37</f>
        <v>70.315589353612097</v>
      </c>
    </row>
    <row r="45" spans="1:142" x14ac:dyDescent="0.2">
      <c r="AM45" s="33" t="s">
        <v>58</v>
      </c>
      <c r="AN45" s="33"/>
      <c r="AO45" s="33"/>
      <c r="AP45" s="130"/>
      <c r="AQ45" s="132"/>
      <c r="AR45" s="131">
        <f>AE37/BL37</f>
        <v>65.82610899873265</v>
      </c>
      <c r="BA45" s="583"/>
    </row>
    <row r="46" spans="1:142" x14ac:dyDescent="0.2">
      <c r="AM46" s="33" t="s">
        <v>59</v>
      </c>
      <c r="AN46" s="33"/>
      <c r="AO46" s="33"/>
      <c r="AP46" s="130"/>
      <c r="AQ46" s="132"/>
      <c r="AR46" s="131">
        <f>AG37/BL37</f>
        <v>69.09429657794675</v>
      </c>
      <c r="AV46" s="569"/>
    </row>
    <row r="49" spans="37:60" x14ac:dyDescent="0.2">
      <c r="AM49" s="224"/>
    </row>
    <row r="50" spans="37:60" x14ac:dyDescent="0.2">
      <c r="AK50" s="570"/>
      <c r="AL50" s="571"/>
      <c r="AM50" s="572"/>
      <c r="AN50" s="571"/>
    </row>
    <row r="51" spans="37:60" x14ac:dyDescent="0.2">
      <c r="AK51" s="570"/>
      <c r="AL51" s="571"/>
      <c r="AM51" s="572"/>
      <c r="AN51" s="571"/>
    </row>
    <row r="52" spans="37:60" x14ac:dyDescent="0.2">
      <c r="AK52" s="570"/>
      <c r="AL52" s="571"/>
      <c r="AM52" s="572"/>
      <c r="AN52" s="571"/>
    </row>
    <row r="53" spans="37:60" x14ac:dyDescent="0.2">
      <c r="AK53" s="570"/>
      <c r="AL53" s="571"/>
      <c r="AM53" s="572"/>
      <c r="AN53" s="571"/>
    </row>
    <row r="54" spans="37:60" x14ac:dyDescent="0.2">
      <c r="AK54" s="570"/>
      <c r="AL54" s="571"/>
      <c r="AM54" s="572"/>
      <c r="AN54" s="571"/>
    </row>
    <row r="55" spans="37:60" x14ac:dyDescent="0.2">
      <c r="AK55" s="570"/>
      <c r="AL55" s="571"/>
      <c r="AM55" s="572"/>
      <c r="AN55" s="571"/>
    </row>
    <row r="56" spans="37:60" x14ac:dyDescent="0.2">
      <c r="AK56" s="570"/>
      <c r="AL56" s="571"/>
      <c r="AM56" s="572"/>
      <c r="AN56" s="571"/>
    </row>
    <row r="57" spans="37:60" x14ac:dyDescent="0.2">
      <c r="AK57" s="570"/>
      <c r="AL57" s="571"/>
      <c r="AM57" s="572"/>
      <c r="AN57" s="571"/>
    </row>
    <row r="58" spans="37:60" x14ac:dyDescent="0.2">
      <c r="AK58" s="570"/>
      <c r="AL58" s="571"/>
      <c r="AM58" s="572"/>
      <c r="AN58" s="571"/>
      <c r="BF58" s="334"/>
      <c r="BG58" s="334"/>
      <c r="BH58" s="334"/>
    </row>
    <row r="59" spans="37:60" x14ac:dyDescent="0.2">
      <c r="AK59" s="570"/>
      <c r="AL59" s="571"/>
      <c r="AM59" s="572"/>
      <c r="AN59" s="571"/>
      <c r="BF59" s="334"/>
      <c r="BG59" s="334"/>
      <c r="BH59" s="334"/>
    </row>
    <row r="60" spans="37:60" x14ac:dyDescent="0.2">
      <c r="AK60" s="570"/>
      <c r="AL60" s="571"/>
      <c r="AM60" s="572"/>
      <c r="AN60" s="571"/>
      <c r="BF60" s="334"/>
      <c r="BG60" s="334"/>
      <c r="BH60" s="334"/>
    </row>
    <row r="61" spans="37:60" x14ac:dyDescent="0.2">
      <c r="AK61" s="570"/>
      <c r="AL61" s="571"/>
      <c r="AM61" s="572"/>
      <c r="AN61" s="571"/>
      <c r="BF61" s="334"/>
      <c r="BG61" s="334"/>
      <c r="BH61" s="334"/>
    </row>
    <row r="62" spans="37:60" x14ac:dyDescent="0.2">
      <c r="AK62" s="570"/>
      <c r="AL62" s="571"/>
      <c r="AM62" s="572"/>
      <c r="AN62" s="571"/>
      <c r="BF62" s="334"/>
      <c r="BG62" s="334"/>
      <c r="BH62" s="334"/>
    </row>
    <row r="63" spans="37:60" x14ac:dyDescent="0.2">
      <c r="AK63" s="570"/>
      <c r="AL63" s="571"/>
      <c r="AM63" s="572"/>
      <c r="AN63" s="571"/>
      <c r="BF63" s="334"/>
      <c r="BG63" s="334"/>
      <c r="BH63" s="334"/>
    </row>
    <row r="64" spans="37:60" x14ac:dyDescent="0.2">
      <c r="AK64" s="570"/>
      <c r="AL64" s="571"/>
      <c r="AM64" s="572"/>
      <c r="AN64" s="571"/>
      <c r="BF64" s="334"/>
      <c r="BG64" s="334"/>
      <c r="BH64" s="334"/>
    </row>
    <row r="65" spans="37:60" x14ac:dyDescent="0.2">
      <c r="AK65" s="570"/>
      <c r="AL65" s="571"/>
      <c r="AM65" s="572"/>
      <c r="AN65" s="571"/>
      <c r="BF65" s="334"/>
      <c r="BG65" s="334"/>
      <c r="BH65" s="334"/>
    </row>
    <row r="66" spans="37:60" x14ac:dyDescent="0.2">
      <c r="AK66" s="570"/>
      <c r="AL66" s="571"/>
      <c r="AM66" s="572"/>
      <c r="AN66" s="571"/>
      <c r="BF66" s="334"/>
      <c r="BG66" s="334"/>
      <c r="BH66" s="334"/>
    </row>
    <row r="67" spans="37:60" x14ac:dyDescent="0.2">
      <c r="AK67" s="570"/>
      <c r="AL67" s="571"/>
      <c r="AM67" s="572"/>
      <c r="AN67" s="571"/>
      <c r="BF67" s="334"/>
      <c r="BG67" s="334"/>
      <c r="BH67" s="334"/>
    </row>
    <row r="68" spans="37:60" x14ac:dyDescent="0.2">
      <c r="AK68" s="570"/>
      <c r="AL68" s="571"/>
      <c r="AM68" s="572"/>
      <c r="AN68" s="571"/>
      <c r="BF68" s="334"/>
      <c r="BG68" s="334"/>
      <c r="BH68" s="334"/>
    </row>
    <row r="69" spans="37:60" x14ac:dyDescent="0.2">
      <c r="AK69" s="570"/>
      <c r="AL69" s="571"/>
      <c r="AM69" s="572"/>
      <c r="AN69" s="571"/>
      <c r="BF69" s="334"/>
      <c r="BG69" s="334"/>
      <c r="BH69" s="334"/>
    </row>
    <row r="70" spans="37:60" x14ac:dyDescent="0.2">
      <c r="AK70" s="570"/>
      <c r="AL70" s="571"/>
      <c r="AM70" s="572"/>
      <c r="AN70" s="571"/>
      <c r="BF70" s="334"/>
      <c r="BG70" s="334"/>
      <c r="BH70" s="334"/>
    </row>
    <row r="71" spans="37:60" x14ac:dyDescent="0.2">
      <c r="AK71" s="570"/>
      <c r="AL71" s="571"/>
      <c r="AM71" s="572"/>
      <c r="AN71" s="571"/>
      <c r="BF71" s="334"/>
      <c r="BG71" s="334"/>
      <c r="BH71" s="334"/>
    </row>
    <row r="72" spans="37:60" x14ac:dyDescent="0.2">
      <c r="AK72" s="570"/>
      <c r="AL72" s="571"/>
      <c r="AM72" s="572"/>
      <c r="AN72" s="571"/>
      <c r="BF72" s="334"/>
      <c r="BG72" s="334"/>
      <c r="BH72" s="334"/>
    </row>
    <row r="73" spans="37:60" x14ac:dyDescent="0.2">
      <c r="AK73" s="570"/>
      <c r="AL73" s="571"/>
      <c r="AM73" s="573"/>
      <c r="AN73" s="571"/>
      <c r="BF73" s="334"/>
      <c r="BG73" s="334"/>
      <c r="BH73" s="334"/>
    </row>
    <row r="74" spans="37:60" x14ac:dyDescent="0.2">
      <c r="AK74" s="570"/>
      <c r="AL74" s="571"/>
      <c r="AM74" s="571"/>
      <c r="AN74" s="571"/>
      <c r="BF74" s="334"/>
      <c r="BG74" s="334"/>
      <c r="BH74" s="334"/>
    </row>
    <row r="75" spans="37:60" x14ac:dyDescent="0.2">
      <c r="AK75" s="571"/>
      <c r="AL75" s="571"/>
      <c r="AM75" s="571"/>
      <c r="AN75" s="571"/>
      <c r="BF75" s="334"/>
      <c r="BG75" s="334"/>
      <c r="BH75" s="334"/>
    </row>
    <row r="76" spans="37:60" x14ac:dyDescent="0.2">
      <c r="AK76" s="571"/>
      <c r="AL76" s="571"/>
      <c r="AM76" s="571"/>
      <c r="AN76" s="571"/>
      <c r="BF76" s="334"/>
      <c r="BG76" s="334"/>
      <c r="BH76" s="334"/>
    </row>
    <row r="77" spans="37:60" x14ac:dyDescent="0.2">
      <c r="AK77" s="571"/>
      <c r="AL77" s="571"/>
      <c r="AM77" s="571"/>
      <c r="AN77" s="571"/>
      <c r="BF77" s="334"/>
      <c r="BG77" s="334"/>
      <c r="BH77" s="334"/>
    </row>
    <row r="78" spans="37:60" x14ac:dyDescent="0.2">
      <c r="AK78" s="571"/>
      <c r="AL78" s="571"/>
      <c r="AM78" s="571"/>
      <c r="AN78" s="571"/>
      <c r="BF78" s="334"/>
      <c r="BG78" s="334"/>
      <c r="BH78" s="334"/>
    </row>
    <row r="79" spans="37:60" x14ac:dyDescent="0.2">
      <c r="AK79" s="571"/>
      <c r="AL79" s="571"/>
      <c r="AM79" s="571"/>
      <c r="AN79" s="571"/>
      <c r="BF79" s="334"/>
      <c r="BG79" s="334"/>
      <c r="BH79" s="334"/>
    </row>
    <row r="80" spans="37:60" x14ac:dyDescent="0.2">
      <c r="AK80" s="571"/>
      <c r="AL80" s="571"/>
      <c r="AM80" s="571"/>
      <c r="AN80" s="571"/>
      <c r="BF80" s="334"/>
      <c r="BG80" s="334"/>
      <c r="BH80" s="334"/>
    </row>
    <row r="81" spans="37:60" x14ac:dyDescent="0.2">
      <c r="AK81" s="571"/>
      <c r="AL81" s="571"/>
      <c r="AM81" s="571"/>
      <c r="AN81" s="571"/>
      <c r="BF81" s="334"/>
      <c r="BG81" s="334"/>
      <c r="BH81" s="334"/>
    </row>
    <row r="82" spans="37:60" x14ac:dyDescent="0.2">
      <c r="BF82" s="334"/>
      <c r="BG82" s="334"/>
      <c r="BH82" s="334"/>
    </row>
    <row r="83" spans="37:60" x14ac:dyDescent="0.2">
      <c r="BF83" s="334"/>
      <c r="BG83" s="334"/>
      <c r="BH83" s="334"/>
    </row>
    <row r="88" spans="37:60" x14ac:dyDescent="0.2">
      <c r="AM88" s="211"/>
    </row>
    <row r="89" spans="37:60" x14ac:dyDescent="0.2">
      <c r="AM89" s="211"/>
    </row>
    <row r="90" spans="37:60" x14ac:dyDescent="0.2">
      <c r="AM90" s="211"/>
    </row>
    <row r="91" spans="37:60" x14ac:dyDescent="0.2">
      <c r="AM91" s="211"/>
    </row>
    <row r="92" spans="37:60" x14ac:dyDescent="0.2">
      <c r="AM92" s="211"/>
    </row>
    <row r="93" spans="37:60" x14ac:dyDescent="0.2">
      <c r="AM93" s="211"/>
    </row>
    <row r="94" spans="37:60" x14ac:dyDescent="0.2">
      <c r="AM94" s="211"/>
    </row>
    <row r="95" spans="37:60" x14ac:dyDescent="0.2">
      <c r="AM95" s="211"/>
    </row>
    <row r="96" spans="37:60" x14ac:dyDescent="0.2">
      <c r="AM96" s="211"/>
    </row>
    <row r="97" spans="39:39" x14ac:dyDescent="0.2">
      <c r="AM97" s="211"/>
    </row>
    <row r="98" spans="39:39" x14ac:dyDescent="0.2">
      <c r="AM98" s="211"/>
    </row>
    <row r="99" spans="39:39" x14ac:dyDescent="0.2">
      <c r="AM99" s="211"/>
    </row>
    <row r="100" spans="39:39" x14ac:dyDescent="0.2">
      <c r="AM100" s="211"/>
    </row>
    <row r="101" spans="39:39" x14ac:dyDescent="0.2">
      <c r="AM101" s="211"/>
    </row>
    <row r="102" spans="39:39" x14ac:dyDescent="0.2">
      <c r="AM102" s="211"/>
    </row>
    <row r="103" spans="39:39" x14ac:dyDescent="0.2">
      <c r="AM103" s="211"/>
    </row>
    <row r="104" spans="39:39" x14ac:dyDescent="0.2">
      <c r="AM104" s="211"/>
    </row>
    <row r="105" spans="39:39" x14ac:dyDescent="0.2">
      <c r="AM105" s="211"/>
    </row>
    <row r="106" spans="39:39" x14ac:dyDescent="0.2">
      <c r="AM106" s="211"/>
    </row>
    <row r="107" spans="39:39" x14ac:dyDescent="0.2">
      <c r="AM107" s="211"/>
    </row>
    <row r="108" spans="39:39" x14ac:dyDescent="0.2">
      <c r="AM108" s="211"/>
    </row>
    <row r="109" spans="39:39" x14ac:dyDescent="0.2">
      <c r="AM109" s="211"/>
    </row>
    <row r="110" spans="39:39" x14ac:dyDescent="0.2">
      <c r="AM110" s="211"/>
    </row>
    <row r="151" spans="69:69" x14ac:dyDescent="0.2">
      <c r="BQ151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0">
    <mergeCell ref="CV2:CX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  <mergeCell ref="AY43:BH43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P2:CT2"/>
    <mergeCell ref="BA41:BK41"/>
    <mergeCell ref="CB2:CD2"/>
    <mergeCell ref="CI2:CK2"/>
    <mergeCell ref="BX2:BZ2"/>
    <mergeCell ref="BT2:BV2"/>
    <mergeCell ref="BP2:BR2"/>
    <mergeCell ref="BN2:BN4"/>
    <mergeCell ref="AY40:BI40"/>
    <mergeCell ref="BL2:BL4"/>
    <mergeCell ref="BC4:BF4"/>
    <mergeCell ref="BG4:BJ4"/>
    <mergeCell ref="BC2:BJ2"/>
    <mergeCell ref="CF2:CH2"/>
  </mergeCells>
  <hyperlinks>
    <hyperlink ref="AY40" r:id="rId1"/>
  </hyperlinks>
  <pageMargins left="0.75" right="0.75" top="1" bottom="1" header="0.5" footer="0.5"/>
  <pageSetup orientation="portrait" horizontalDpi="300" verticalDpi="300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L46"/>
  <sheetViews>
    <sheetView workbookViewId="0">
      <selection activeCell="K4" sqref="K4"/>
    </sheetView>
  </sheetViews>
  <sheetFormatPr defaultColWidth="9.140625" defaultRowHeight="12.75" x14ac:dyDescent="0.2"/>
  <cols>
    <col min="1" max="1" width="1.5703125" customWidth="1"/>
    <col min="2" max="2" width="11.42578125" customWidth="1"/>
    <col min="3" max="3" width="1.140625" customWidth="1"/>
    <col min="4" max="4" width="7.85546875" customWidth="1"/>
    <col min="5" max="5" width="1.140625" customWidth="1"/>
    <col min="6" max="6" width="11.140625" customWidth="1"/>
    <col min="7" max="7" width="1.140625" customWidth="1"/>
    <col min="8" max="8" width="11.140625" customWidth="1"/>
    <col min="9" max="9" width="1.140625" customWidth="1"/>
    <col min="10" max="10" width="10.140625" customWidth="1"/>
    <col min="11" max="11" width="9.5703125" customWidth="1"/>
    <col min="12" max="12" width="15.7109375" customWidth="1"/>
    <col min="13" max="13" width="9.42578125" customWidth="1"/>
    <col min="14" max="14" width="1.140625" style="43" customWidth="1"/>
    <col min="15" max="16" width="10.28515625" customWidth="1"/>
    <col min="17" max="17" width="12" customWidth="1"/>
    <col min="20" max="20" width="8.140625" customWidth="1"/>
    <col min="21" max="21" width="1.140625" style="43" customWidth="1"/>
    <col min="22" max="23" width="10.28515625" style="43" customWidth="1"/>
    <col min="24" max="26" width="9" style="43" customWidth="1"/>
    <col min="27" max="27" width="1.140625" style="43" customWidth="1"/>
    <col min="28" max="39" width="10.7109375" style="43" customWidth="1"/>
    <col min="40" max="42" width="10.140625" style="43" customWidth="1"/>
    <col min="43" max="44" width="9" style="43" customWidth="1"/>
    <col min="45" max="45" width="9.42578125" customWidth="1"/>
    <col min="46" max="46" width="3.42578125" customWidth="1"/>
    <col min="47" max="47" width="1.85546875" customWidth="1"/>
    <col min="48" max="48" width="12.5703125" customWidth="1"/>
    <col min="49" max="49" width="11.5703125" customWidth="1"/>
    <col min="50" max="50" width="10.28515625" customWidth="1"/>
    <col min="51" max="51" width="11" customWidth="1"/>
    <col min="52" max="52" width="10" customWidth="1"/>
    <col min="53" max="53" width="9.7109375" customWidth="1"/>
    <col min="54" max="54" width="1.7109375" customWidth="1"/>
    <col min="55" max="56" width="11.42578125" customWidth="1"/>
    <col min="57" max="57" width="12" customWidth="1"/>
    <col min="58" max="58" width="1.42578125" customWidth="1"/>
    <col min="59" max="59" width="11.85546875" customWidth="1"/>
    <col min="60" max="60" width="10.7109375" customWidth="1"/>
    <col min="61" max="61" width="13.7109375" customWidth="1"/>
    <col min="62" max="62" width="1.7109375" customWidth="1"/>
    <col min="63" max="63" width="16.28515625" customWidth="1"/>
  </cols>
  <sheetData>
    <row r="1" spans="1:64" ht="13.5" thickBot="1" x14ac:dyDescent="0.25">
      <c r="H1">
        <f>H8*31</f>
        <v>10400.5</v>
      </c>
      <c r="K1">
        <f>K8*31</f>
        <v>1349554</v>
      </c>
      <c r="N1"/>
      <c r="P1">
        <f>P8*31</f>
        <v>2290.9</v>
      </c>
      <c r="R1">
        <f>R8*31</f>
        <v>14983.333333333332</v>
      </c>
      <c r="U1"/>
      <c r="V1"/>
      <c r="W1">
        <f>W8*31</f>
        <v>18547.3</v>
      </c>
      <c r="X1">
        <f>X8*31</f>
        <v>90137.666666666657</v>
      </c>
      <c r="Y1"/>
      <c r="Z1"/>
      <c r="AA1"/>
      <c r="AB1"/>
      <c r="AC1"/>
      <c r="AD1">
        <f>AD8*31</f>
        <v>12041.949999999999</v>
      </c>
      <c r="AE1"/>
      <c r="AF1"/>
      <c r="AG1"/>
      <c r="AH1"/>
      <c r="AI1"/>
      <c r="AJ1">
        <f>AJ8*31</f>
        <v>4013.9833333333331</v>
      </c>
      <c r="AK1"/>
      <c r="AL1"/>
      <c r="AM1"/>
      <c r="AN1"/>
      <c r="AO1"/>
      <c r="AP1">
        <f>AP8*31</f>
        <v>16055.933333333332</v>
      </c>
      <c r="AQ1">
        <f>AQ8*31</f>
        <v>60689.733333333337</v>
      </c>
      <c r="AR1"/>
    </row>
    <row r="2" spans="1:64" ht="26.25" thickBot="1" x14ac:dyDescent="0.4">
      <c r="A2" s="690" t="s">
        <v>280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1"/>
      <c r="V2" s="691"/>
      <c r="W2" s="691"/>
      <c r="X2" s="691"/>
      <c r="Y2" s="691"/>
      <c r="Z2" s="691"/>
      <c r="AA2" s="691"/>
      <c r="AB2" s="691"/>
      <c r="AC2" s="691"/>
      <c r="AD2" s="691"/>
      <c r="AE2" s="691"/>
      <c r="AF2" s="691"/>
      <c r="AG2" s="691"/>
      <c r="AH2" s="691"/>
      <c r="AI2" s="691"/>
      <c r="AJ2" s="691"/>
      <c r="AK2" s="691"/>
      <c r="AL2" s="691"/>
      <c r="AM2" s="691"/>
      <c r="AN2" s="691"/>
      <c r="AO2" s="691"/>
      <c r="AP2" s="691"/>
      <c r="AQ2" s="691"/>
      <c r="AR2" s="691"/>
      <c r="AS2" s="691"/>
      <c r="AT2" s="79"/>
      <c r="AU2" s="86"/>
      <c r="AV2" s="86" t="s">
        <v>261</v>
      </c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7"/>
      <c r="BK2" s="77"/>
      <c r="BL2" s="77"/>
    </row>
    <row r="3" spans="1:64" ht="26.25" thickBot="1" x14ac:dyDescent="0.4">
      <c r="A3" s="289"/>
      <c r="B3" s="290">
        <v>1</v>
      </c>
      <c r="C3" s="290">
        <v>2</v>
      </c>
      <c r="D3" s="290">
        <v>3</v>
      </c>
      <c r="E3" s="290">
        <v>4</v>
      </c>
      <c r="F3" s="290">
        <v>5</v>
      </c>
      <c r="G3" s="290">
        <v>6</v>
      </c>
      <c r="H3" s="290">
        <v>7</v>
      </c>
      <c r="I3" s="290">
        <v>8</v>
      </c>
      <c r="J3" s="290">
        <v>9</v>
      </c>
      <c r="K3" s="290">
        <v>10</v>
      </c>
      <c r="L3" s="290">
        <v>11</v>
      </c>
      <c r="M3" s="290">
        <v>12</v>
      </c>
      <c r="N3" s="290">
        <v>13</v>
      </c>
      <c r="O3" s="290">
        <v>14</v>
      </c>
      <c r="P3" s="290">
        <v>15</v>
      </c>
      <c r="Q3" s="290">
        <v>16</v>
      </c>
      <c r="R3" s="290">
        <v>17</v>
      </c>
      <c r="S3" s="290">
        <v>18</v>
      </c>
      <c r="T3" s="290">
        <v>19</v>
      </c>
      <c r="U3" s="290">
        <v>20</v>
      </c>
      <c r="V3" s="290">
        <v>21</v>
      </c>
      <c r="W3" s="290">
        <v>22</v>
      </c>
      <c r="X3" s="290">
        <v>23</v>
      </c>
      <c r="Y3" s="290">
        <v>24</v>
      </c>
      <c r="Z3" s="290">
        <v>25</v>
      </c>
      <c r="AA3" s="290">
        <v>26</v>
      </c>
      <c r="AB3" s="290">
        <v>27</v>
      </c>
      <c r="AC3" s="290">
        <v>28</v>
      </c>
      <c r="AD3" s="290">
        <v>29</v>
      </c>
      <c r="AE3" s="290">
        <v>30</v>
      </c>
      <c r="AF3" s="290">
        <v>31</v>
      </c>
      <c r="AG3" s="290">
        <v>32</v>
      </c>
      <c r="AH3" s="290">
        <v>33</v>
      </c>
      <c r="AI3" s="290">
        <v>34</v>
      </c>
      <c r="AJ3" s="290">
        <v>35</v>
      </c>
      <c r="AK3" s="290">
        <v>36</v>
      </c>
      <c r="AL3" s="290">
        <v>37</v>
      </c>
      <c r="AM3" s="290">
        <v>38</v>
      </c>
      <c r="AN3" s="290">
        <v>39</v>
      </c>
      <c r="AO3" s="290">
        <v>40</v>
      </c>
      <c r="AP3" s="290">
        <v>41</v>
      </c>
      <c r="AQ3" s="290">
        <v>42</v>
      </c>
      <c r="AR3" s="290">
        <v>43</v>
      </c>
      <c r="AS3" s="290">
        <v>44</v>
      </c>
      <c r="AT3" s="290">
        <v>45</v>
      </c>
      <c r="AU3" s="290">
        <v>46</v>
      </c>
      <c r="AV3" s="290">
        <v>47</v>
      </c>
      <c r="AW3" s="290">
        <v>48</v>
      </c>
      <c r="AX3" s="290">
        <v>49</v>
      </c>
      <c r="AY3" s="290">
        <v>50</v>
      </c>
      <c r="AZ3" s="290">
        <v>51</v>
      </c>
      <c r="BA3" s="290">
        <v>52</v>
      </c>
      <c r="BB3" s="290">
        <v>53</v>
      </c>
      <c r="BC3" s="290">
        <v>54</v>
      </c>
      <c r="BD3" s="290">
        <v>55</v>
      </c>
      <c r="BE3" s="290">
        <v>56</v>
      </c>
      <c r="BF3" s="290">
        <v>57</v>
      </c>
      <c r="BG3" s="290">
        <v>58</v>
      </c>
      <c r="BH3" s="290">
        <v>59</v>
      </c>
      <c r="BI3" s="290">
        <v>60</v>
      </c>
      <c r="BJ3" s="289"/>
      <c r="BK3" s="77"/>
      <c r="BL3" s="77"/>
    </row>
    <row r="4" spans="1:64" ht="37.9" customHeight="1" thickTop="1" thickBot="1" x14ac:dyDescent="0.2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8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7"/>
      <c r="BJ4" s="2"/>
    </row>
    <row r="5" spans="1:64" ht="13.5" customHeight="1" thickBot="1" x14ac:dyDescent="0.25">
      <c r="A5" s="3"/>
      <c r="B5" s="8"/>
      <c r="C5" s="8"/>
      <c r="D5" s="8"/>
      <c r="E5" s="8"/>
      <c r="F5" s="8"/>
      <c r="G5" s="8"/>
      <c r="H5" s="8"/>
      <c r="I5" s="8"/>
      <c r="J5" s="704" t="s">
        <v>3</v>
      </c>
      <c r="K5" s="705"/>
      <c r="L5" s="705"/>
      <c r="M5" s="706"/>
      <c r="N5" s="58"/>
      <c r="O5" s="701" t="s">
        <v>2</v>
      </c>
      <c r="P5" s="702"/>
      <c r="Q5" s="702"/>
      <c r="R5" s="702"/>
      <c r="S5" s="702"/>
      <c r="T5" s="703"/>
      <c r="U5" s="9"/>
      <c r="V5" s="698" t="s">
        <v>1</v>
      </c>
      <c r="W5" s="699"/>
      <c r="X5" s="699"/>
      <c r="Y5" s="699"/>
      <c r="Z5" s="700"/>
      <c r="AA5" s="10"/>
      <c r="AB5" s="707" t="s">
        <v>24</v>
      </c>
      <c r="AC5" s="708"/>
      <c r="AD5" s="708"/>
      <c r="AE5" s="708"/>
      <c r="AF5" s="708"/>
      <c r="AG5" s="708"/>
      <c r="AH5" s="708"/>
      <c r="AI5" s="708"/>
      <c r="AJ5" s="708"/>
      <c r="AK5" s="708"/>
      <c r="AL5" s="708"/>
      <c r="AM5" s="708"/>
      <c r="AN5" s="708"/>
      <c r="AO5" s="708"/>
      <c r="AP5" s="708"/>
      <c r="AQ5" s="708"/>
      <c r="AR5" s="708"/>
      <c r="AS5" s="709"/>
      <c r="AT5" s="89"/>
      <c r="AU5" s="34"/>
      <c r="AV5" s="692" t="s">
        <v>3</v>
      </c>
      <c r="AW5" s="693"/>
      <c r="AX5" s="694" t="s">
        <v>1</v>
      </c>
      <c r="AY5" s="695"/>
      <c r="AZ5" s="696" t="s">
        <v>24</v>
      </c>
      <c r="BA5" s="697"/>
      <c r="BB5" s="10"/>
      <c r="BC5" s="688" t="s">
        <v>53</v>
      </c>
      <c r="BD5" s="688" t="s">
        <v>30</v>
      </c>
      <c r="BE5" s="688" t="s">
        <v>31</v>
      </c>
      <c r="BF5" s="69"/>
      <c r="BG5" s="688" t="s">
        <v>52</v>
      </c>
      <c r="BH5" s="688" t="s">
        <v>27</v>
      </c>
      <c r="BI5" s="688" t="s">
        <v>28</v>
      </c>
      <c r="BJ5" s="4"/>
    </row>
    <row r="6" spans="1:64" ht="51.75" thickBot="1" x14ac:dyDescent="0.25">
      <c r="A6" s="3"/>
      <c r="B6" s="11" t="s">
        <v>0</v>
      </c>
      <c r="C6" s="12"/>
      <c r="D6" s="11" t="s">
        <v>16</v>
      </c>
      <c r="E6" s="12"/>
      <c r="F6" s="11" t="s">
        <v>22</v>
      </c>
      <c r="G6" s="12"/>
      <c r="H6" s="11" t="s">
        <v>32</v>
      </c>
      <c r="I6" s="12"/>
      <c r="J6" s="17" t="s">
        <v>6</v>
      </c>
      <c r="K6" s="18" t="s">
        <v>7</v>
      </c>
      <c r="L6" s="254" t="s">
        <v>130</v>
      </c>
      <c r="M6" s="30" t="s">
        <v>4</v>
      </c>
      <c r="N6" s="58"/>
      <c r="O6" s="15" t="s">
        <v>5</v>
      </c>
      <c r="P6" s="61" t="s">
        <v>79</v>
      </c>
      <c r="Q6" s="61" t="s">
        <v>23</v>
      </c>
      <c r="R6" s="16" t="s">
        <v>7</v>
      </c>
      <c r="S6" s="255" t="s">
        <v>130</v>
      </c>
      <c r="T6" s="27" t="s">
        <v>4</v>
      </c>
      <c r="U6" s="12"/>
      <c r="V6" s="13" t="s">
        <v>15</v>
      </c>
      <c r="W6" s="169" t="s">
        <v>78</v>
      </c>
      <c r="X6" s="14" t="s">
        <v>7</v>
      </c>
      <c r="Y6" s="257" t="s">
        <v>130</v>
      </c>
      <c r="Z6" s="28" t="s">
        <v>4</v>
      </c>
      <c r="AA6" s="19"/>
      <c r="AB6" s="175" t="s">
        <v>81</v>
      </c>
      <c r="AC6" s="171" t="s">
        <v>131</v>
      </c>
      <c r="AD6" s="171" t="s">
        <v>82</v>
      </c>
      <c r="AE6" s="171" t="s">
        <v>138</v>
      </c>
      <c r="AF6" s="171" t="s">
        <v>136</v>
      </c>
      <c r="AG6" s="171" t="s">
        <v>133</v>
      </c>
      <c r="AH6" s="171" t="s">
        <v>83</v>
      </c>
      <c r="AI6" s="171" t="s">
        <v>132</v>
      </c>
      <c r="AJ6" s="171" t="s">
        <v>84</v>
      </c>
      <c r="AK6" s="171" t="s">
        <v>139</v>
      </c>
      <c r="AL6" s="171" t="s">
        <v>137</v>
      </c>
      <c r="AM6" s="171" t="s">
        <v>134</v>
      </c>
      <c r="AN6" s="171" t="s">
        <v>80</v>
      </c>
      <c r="AO6" s="171" t="s">
        <v>135</v>
      </c>
      <c r="AP6" s="171" t="s">
        <v>85</v>
      </c>
      <c r="AQ6" s="64" t="s">
        <v>7</v>
      </c>
      <c r="AR6" s="259" t="s">
        <v>130</v>
      </c>
      <c r="AS6" s="65" t="s">
        <v>4</v>
      </c>
      <c r="AT6" s="90"/>
      <c r="AU6" s="34"/>
      <c r="AV6" s="70" t="s">
        <v>29</v>
      </c>
      <c r="AW6" s="71" t="s">
        <v>26</v>
      </c>
      <c r="AX6" s="72" t="s">
        <v>25</v>
      </c>
      <c r="AY6" s="73" t="s">
        <v>26</v>
      </c>
      <c r="AZ6" s="74" t="s">
        <v>25</v>
      </c>
      <c r="BA6" s="75" t="s">
        <v>26</v>
      </c>
      <c r="BB6" s="68"/>
      <c r="BC6" s="689"/>
      <c r="BD6" s="689"/>
      <c r="BE6" s="689"/>
      <c r="BF6" s="69"/>
      <c r="BG6" s="689"/>
      <c r="BH6" s="689"/>
      <c r="BI6" s="689"/>
      <c r="BJ6" s="4"/>
    </row>
    <row r="7" spans="1:64" ht="5.45" customHeight="1" thickBot="1" x14ac:dyDescent="0.25">
      <c r="A7" s="3"/>
      <c r="B7" s="12"/>
      <c r="C7" s="12"/>
      <c r="D7" s="57"/>
      <c r="E7" s="12"/>
      <c r="F7" s="12"/>
      <c r="G7" s="12"/>
      <c r="H7" s="117"/>
      <c r="I7" s="12"/>
      <c r="J7" s="12"/>
      <c r="K7" s="12"/>
      <c r="L7" s="12"/>
      <c r="M7" s="19"/>
      <c r="N7" s="34"/>
      <c r="O7" s="12"/>
      <c r="P7" s="117"/>
      <c r="Q7" s="12"/>
      <c r="R7" s="117"/>
      <c r="S7" s="117"/>
      <c r="T7" s="19"/>
      <c r="U7" s="12"/>
      <c r="V7" s="12"/>
      <c r="W7" s="12"/>
      <c r="X7" s="117"/>
      <c r="Y7" s="117"/>
      <c r="Z7" s="172"/>
      <c r="AA7" s="19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7"/>
      <c r="AQ7" s="12"/>
      <c r="AR7" s="12"/>
      <c r="AS7" s="19"/>
      <c r="AT7" s="90"/>
      <c r="AU7" s="34"/>
      <c r="AV7" s="76"/>
      <c r="AW7" s="76"/>
      <c r="AX7" s="76"/>
      <c r="AY7" s="76"/>
      <c r="AZ7" s="76"/>
      <c r="BA7" s="76"/>
      <c r="BB7" s="34"/>
      <c r="BC7" s="12"/>
      <c r="BD7" s="12"/>
      <c r="BE7" s="12"/>
      <c r="BF7" s="12"/>
      <c r="BG7" s="34"/>
      <c r="BH7" s="34"/>
      <c r="BI7" s="34"/>
      <c r="BJ7" s="4"/>
    </row>
    <row r="8" spans="1:64" ht="13.5" thickBot="1" x14ac:dyDescent="0.25">
      <c r="A8" s="3"/>
      <c r="B8" s="101">
        <v>45383</v>
      </c>
      <c r="C8" s="20"/>
      <c r="D8" s="136">
        <v>0.52090000000000003</v>
      </c>
      <c r="E8" s="96"/>
      <c r="F8" s="137">
        <v>274</v>
      </c>
      <c r="G8" s="95"/>
      <c r="H8" s="137">
        <v>335.5</v>
      </c>
      <c r="I8" s="96"/>
      <c r="J8" s="138">
        <v>27720.000000001164</v>
      </c>
      <c r="K8" s="200">
        <f>1306020/30</f>
        <v>43534</v>
      </c>
      <c r="L8" s="200">
        <v>32760.000000015134</v>
      </c>
      <c r="M8" s="228">
        <f t="shared" ref="M8:M37" si="0">J8*1.39</f>
        <v>38530.800000001618</v>
      </c>
      <c r="N8" s="98"/>
      <c r="O8" s="139">
        <v>0</v>
      </c>
      <c r="P8" s="247">
        <f t="shared" ref="P8:P37" si="1">2217/30</f>
        <v>73.900000000000006</v>
      </c>
      <c r="Q8" s="140">
        <v>0</v>
      </c>
      <c r="R8" s="201">
        <f t="shared" ref="R8:R37" si="2">14500/30</f>
        <v>483.33333333333331</v>
      </c>
      <c r="S8" s="256">
        <v>0</v>
      </c>
      <c r="T8" s="141">
        <f t="shared" ref="T8:T37" si="3">O8*5.86</f>
        <v>0</v>
      </c>
      <c r="U8" s="99"/>
      <c r="V8" s="142">
        <v>505</v>
      </c>
      <c r="W8" s="170">
        <f>17949/30</f>
        <v>598.29999999999995</v>
      </c>
      <c r="X8" s="202">
        <f>87230/30</f>
        <v>2907.6666666666665</v>
      </c>
      <c r="Y8" s="258">
        <v>2889.12</v>
      </c>
      <c r="Z8" s="29">
        <v>2454.3000000000002</v>
      </c>
      <c r="AA8" s="100"/>
      <c r="AB8" s="143">
        <v>391.85</v>
      </c>
      <c r="AC8" s="210">
        <f t="shared" ref="AC8:AC37" si="4">AB8*3.73</f>
        <v>1461.6005</v>
      </c>
      <c r="AD8" s="173">
        <f t="shared" ref="AD8:AD37" si="5">((15538/4)*3)/30</f>
        <v>388.45</v>
      </c>
      <c r="AE8" s="210">
        <f t="shared" ref="AE8:AE37" si="6">((58732/4)*3)/30</f>
        <v>1468.3</v>
      </c>
      <c r="AF8" s="210">
        <v>419.51000000000005</v>
      </c>
      <c r="AG8" s="210">
        <v>1564.7723000000001</v>
      </c>
      <c r="AH8" s="210">
        <v>112.03200000000001</v>
      </c>
      <c r="AI8" s="210">
        <f t="shared" ref="AI8:AI37" si="7">AH8*3.73</f>
        <v>417.87936000000002</v>
      </c>
      <c r="AJ8" s="173">
        <f t="shared" ref="AJ8:AJ37" si="8">(15538/4)/30</f>
        <v>129.48333333333332</v>
      </c>
      <c r="AK8" s="210">
        <f t="shared" ref="AK8:AK37" si="9">(58732/4)/30</f>
        <v>489.43333333333334</v>
      </c>
      <c r="AL8" s="210">
        <v>149.376</v>
      </c>
      <c r="AM8" s="210">
        <v>557.17248000000006</v>
      </c>
      <c r="AN8" s="173">
        <f t="shared" ref="AN8:AN37" si="10">AB8+AH8</f>
        <v>503.88200000000006</v>
      </c>
      <c r="AO8" s="173">
        <f t="shared" ref="AO8:AO37" si="11">AF8+AL8</f>
        <v>568.88600000000008</v>
      </c>
      <c r="AP8" s="173">
        <f t="shared" ref="AP8:AP37" si="12">AD8+AJ8</f>
        <v>517.93333333333328</v>
      </c>
      <c r="AQ8" s="179">
        <f t="shared" ref="AQ8:AQ37" si="13">58732/30</f>
        <v>1957.7333333333333</v>
      </c>
      <c r="AR8" s="260">
        <v>2121.9447800000003</v>
      </c>
      <c r="AS8" s="66">
        <f t="shared" ref="AS8:AS37" si="14">AC8+AI8</f>
        <v>1879.4798599999999</v>
      </c>
      <c r="AT8" s="116"/>
      <c r="AU8" s="115"/>
      <c r="AV8" s="235">
        <v>101.16788321168308</v>
      </c>
      <c r="AW8" s="236">
        <f t="shared" ref="AW8:AW37" si="15">(M8+T8)/F8</f>
        <v>140.62335766423948</v>
      </c>
      <c r="AX8" s="237">
        <f t="shared" ref="AX8:AX37" si="16">V8/F8</f>
        <v>1.8430656934306568</v>
      </c>
      <c r="AY8" s="238">
        <f t="shared" ref="AY8:AY37" si="17">Z8/F8</f>
        <v>8.9572992700729941</v>
      </c>
      <c r="AZ8" s="239">
        <f t="shared" ref="AZ8:AZ37" si="18">AN8/F8</f>
        <v>1.8389854014598543</v>
      </c>
      <c r="BA8" s="240">
        <f t="shared" ref="BA8:BA37" si="19">AS8/F8</f>
        <v>6.8594155474452556</v>
      </c>
      <c r="BB8" s="114"/>
      <c r="BC8" s="144">
        <v>37771.064780015135</v>
      </c>
      <c r="BD8" s="144">
        <f t="shared" ref="BD8:BD37" si="20">K8+R8+X8+AQ8</f>
        <v>48882.73333333333</v>
      </c>
      <c r="BE8" s="145">
        <f t="shared" ref="BE8:BE37" si="21">M8+T8+Z8+AS8</f>
        <v>42864.579860001621</v>
      </c>
      <c r="BF8" s="99"/>
      <c r="BG8" s="146">
        <v>165.66256482462779</v>
      </c>
      <c r="BH8" s="146">
        <f t="shared" ref="BH8:BH37" si="22">BD8/H8</f>
        <v>145.7011425732737</v>
      </c>
      <c r="BI8" s="147">
        <f t="shared" ref="BI8:BI37" si="23">BE8/F8</f>
        <v>156.44007248175774</v>
      </c>
      <c r="BJ8" s="4"/>
    </row>
    <row r="9" spans="1:64" ht="13.5" thickBot="1" x14ac:dyDescent="0.25">
      <c r="A9" s="3"/>
      <c r="B9" s="101">
        <v>45384</v>
      </c>
      <c r="C9" s="20"/>
      <c r="D9" s="136">
        <v>0.4924</v>
      </c>
      <c r="E9" s="96"/>
      <c r="F9" s="137">
        <v>259</v>
      </c>
      <c r="G9" s="95"/>
      <c r="H9" s="137">
        <v>335.5</v>
      </c>
      <c r="I9" s="96"/>
      <c r="J9" s="138">
        <v>28599.999999976717</v>
      </c>
      <c r="K9" s="200">
        <f t="shared" ref="K9:K37" si="24">1306020/30</f>
        <v>43534</v>
      </c>
      <c r="L9" s="200">
        <v>33331.999999980326</v>
      </c>
      <c r="M9" s="228">
        <f t="shared" si="0"/>
        <v>39753.999999967637</v>
      </c>
      <c r="N9" s="98"/>
      <c r="O9" s="139">
        <v>0</v>
      </c>
      <c r="P9" s="247">
        <f t="shared" si="1"/>
        <v>73.900000000000006</v>
      </c>
      <c r="Q9" s="140">
        <v>0</v>
      </c>
      <c r="R9" s="201">
        <f t="shared" si="2"/>
        <v>483.33333333333331</v>
      </c>
      <c r="S9" s="256">
        <v>0</v>
      </c>
      <c r="T9" s="141">
        <f t="shared" si="3"/>
        <v>0</v>
      </c>
      <c r="U9" s="99"/>
      <c r="V9" s="142">
        <v>460</v>
      </c>
      <c r="W9" s="170">
        <f t="shared" ref="W9:W37" si="25">17949/30</f>
        <v>598.29999999999995</v>
      </c>
      <c r="X9" s="202">
        <f t="shared" ref="X9:X37" si="26">87230/30</f>
        <v>2907.6666666666665</v>
      </c>
      <c r="Y9" s="258">
        <v>2495.5700000000002</v>
      </c>
      <c r="Z9" s="29">
        <v>2235.6000000000004</v>
      </c>
      <c r="AA9" s="100"/>
      <c r="AB9" s="143">
        <v>410.29</v>
      </c>
      <c r="AC9" s="210">
        <f t="shared" si="4"/>
        <v>1530.3817000000001</v>
      </c>
      <c r="AD9" s="173">
        <f t="shared" si="5"/>
        <v>388.45</v>
      </c>
      <c r="AE9" s="210">
        <f t="shared" si="6"/>
        <v>1468.3</v>
      </c>
      <c r="AF9" s="210">
        <v>410.29</v>
      </c>
      <c r="AG9" s="210">
        <v>1530.3817000000001</v>
      </c>
      <c r="AH9" s="210">
        <v>121.36800000000001</v>
      </c>
      <c r="AI9" s="210">
        <f t="shared" si="7"/>
        <v>452.70264000000003</v>
      </c>
      <c r="AJ9" s="173">
        <f t="shared" si="8"/>
        <v>129.48333333333332</v>
      </c>
      <c r="AK9" s="210">
        <f t="shared" si="9"/>
        <v>489.43333333333334</v>
      </c>
      <c r="AL9" s="210">
        <v>135.37200000000001</v>
      </c>
      <c r="AM9" s="210">
        <v>504.93756000000008</v>
      </c>
      <c r="AN9" s="173">
        <f t="shared" si="10"/>
        <v>531.65800000000002</v>
      </c>
      <c r="AO9" s="173">
        <f t="shared" si="11"/>
        <v>545.66200000000003</v>
      </c>
      <c r="AP9" s="173">
        <f t="shared" si="12"/>
        <v>517.93333333333328</v>
      </c>
      <c r="AQ9" s="179">
        <f t="shared" si="13"/>
        <v>1957.7333333333333</v>
      </c>
      <c r="AR9" s="260">
        <v>2035.3192600000002</v>
      </c>
      <c r="AS9" s="66">
        <f t="shared" si="14"/>
        <v>1983.0843400000001</v>
      </c>
      <c r="AT9" s="116"/>
      <c r="AU9" s="115"/>
      <c r="AV9" s="235">
        <v>110.42471042462053</v>
      </c>
      <c r="AW9" s="236">
        <f t="shared" si="15"/>
        <v>153.49034749022255</v>
      </c>
      <c r="AX9" s="237">
        <f t="shared" si="16"/>
        <v>1.7760617760617761</v>
      </c>
      <c r="AY9" s="238">
        <f t="shared" si="17"/>
        <v>8.6316602316602324</v>
      </c>
      <c r="AZ9" s="239">
        <f t="shared" si="18"/>
        <v>2.0527335907335909</v>
      </c>
      <c r="BA9" s="240">
        <f t="shared" si="19"/>
        <v>7.6566962934362941</v>
      </c>
      <c r="BB9" s="114"/>
      <c r="BC9" s="144">
        <v>37862.889259980322</v>
      </c>
      <c r="BD9" s="144">
        <f t="shared" si="20"/>
        <v>48882.73333333333</v>
      </c>
      <c r="BE9" s="145">
        <f t="shared" si="21"/>
        <v>43972.684339967636</v>
      </c>
      <c r="BF9" s="99"/>
      <c r="BG9" s="146">
        <v>179.44497279611528</v>
      </c>
      <c r="BH9" s="146">
        <f t="shared" si="22"/>
        <v>145.7011425732737</v>
      </c>
      <c r="BI9" s="147">
        <f t="shared" si="23"/>
        <v>169.77870401531905</v>
      </c>
      <c r="BJ9" s="4"/>
    </row>
    <row r="10" spans="1:64" ht="13.5" thickBot="1" x14ac:dyDescent="0.25">
      <c r="A10" s="3"/>
      <c r="B10" s="101">
        <v>45385</v>
      </c>
      <c r="C10" s="20"/>
      <c r="D10" s="136">
        <v>0.49430000000000002</v>
      </c>
      <c r="E10" s="96"/>
      <c r="F10" s="137">
        <v>260</v>
      </c>
      <c r="G10" s="95"/>
      <c r="H10" s="137">
        <v>335.5</v>
      </c>
      <c r="I10" s="96"/>
      <c r="J10" s="138">
        <v>29160.000000003492</v>
      </c>
      <c r="K10" s="200">
        <f t="shared" si="24"/>
        <v>43534</v>
      </c>
      <c r="L10" s="200">
        <v>33488.000000012107</v>
      </c>
      <c r="M10" s="228">
        <f t="shared" si="0"/>
        <v>40532.400000004855</v>
      </c>
      <c r="N10" s="98"/>
      <c r="O10" s="139">
        <v>0</v>
      </c>
      <c r="P10" s="247">
        <f t="shared" si="1"/>
        <v>73.900000000000006</v>
      </c>
      <c r="Q10" s="140">
        <v>0</v>
      </c>
      <c r="R10" s="201">
        <f t="shared" si="2"/>
        <v>483.33333333333331</v>
      </c>
      <c r="S10" s="256">
        <v>0</v>
      </c>
      <c r="T10" s="141">
        <f t="shared" si="3"/>
        <v>0</v>
      </c>
      <c r="U10" s="99"/>
      <c r="V10" s="142">
        <v>552</v>
      </c>
      <c r="W10" s="170">
        <f t="shared" si="25"/>
        <v>598.29999999999995</v>
      </c>
      <c r="X10" s="202">
        <f t="shared" si="26"/>
        <v>2907.6666666666665</v>
      </c>
      <c r="Y10" s="258">
        <v>2435.38</v>
      </c>
      <c r="Z10" s="29">
        <v>2682.7200000000003</v>
      </c>
      <c r="AA10" s="100"/>
      <c r="AB10" s="143">
        <v>387.24</v>
      </c>
      <c r="AC10" s="210">
        <f t="shared" si="4"/>
        <v>1444.4051999999999</v>
      </c>
      <c r="AD10" s="173">
        <f t="shared" si="5"/>
        <v>388.45</v>
      </c>
      <c r="AE10" s="210">
        <f t="shared" si="6"/>
        <v>1468.3</v>
      </c>
      <c r="AF10" s="210">
        <v>401.07000000000005</v>
      </c>
      <c r="AG10" s="210">
        <v>1495.9911000000002</v>
      </c>
      <c r="AH10" s="210">
        <v>149.376</v>
      </c>
      <c r="AI10" s="210">
        <f t="shared" si="7"/>
        <v>557.17248000000006</v>
      </c>
      <c r="AJ10" s="173">
        <f t="shared" si="8"/>
        <v>129.48333333333332</v>
      </c>
      <c r="AK10" s="210">
        <f t="shared" si="9"/>
        <v>489.43333333333334</v>
      </c>
      <c r="AL10" s="210">
        <v>144.708</v>
      </c>
      <c r="AM10" s="210">
        <v>539.76084000000003</v>
      </c>
      <c r="AN10" s="173">
        <f t="shared" si="10"/>
        <v>536.61599999999999</v>
      </c>
      <c r="AO10" s="173">
        <f t="shared" si="11"/>
        <v>545.77800000000002</v>
      </c>
      <c r="AP10" s="173">
        <f t="shared" si="12"/>
        <v>517.93333333333328</v>
      </c>
      <c r="AQ10" s="179">
        <f t="shared" si="13"/>
        <v>1957.7333333333333</v>
      </c>
      <c r="AR10" s="260">
        <v>2035.7519400000001</v>
      </c>
      <c r="AS10" s="66">
        <f t="shared" si="14"/>
        <v>2001.5776799999999</v>
      </c>
      <c r="AT10" s="116"/>
      <c r="AU10" s="115"/>
      <c r="AV10" s="235">
        <v>112.15384615385959</v>
      </c>
      <c r="AW10" s="236">
        <f t="shared" si="15"/>
        <v>155.89384615386481</v>
      </c>
      <c r="AX10" s="237">
        <f t="shared" si="16"/>
        <v>2.1230769230769231</v>
      </c>
      <c r="AY10" s="238">
        <f t="shared" si="17"/>
        <v>10.318153846153848</v>
      </c>
      <c r="AZ10" s="239">
        <f t="shared" si="18"/>
        <v>2.0639076923076924</v>
      </c>
      <c r="BA10" s="240">
        <f t="shared" si="19"/>
        <v>7.6983756923076916</v>
      </c>
      <c r="BB10" s="114"/>
      <c r="BC10" s="144">
        <v>37959.131940012106</v>
      </c>
      <c r="BD10" s="144">
        <f t="shared" si="20"/>
        <v>48882.73333333333</v>
      </c>
      <c r="BE10" s="145">
        <f t="shared" si="21"/>
        <v>45216.697680004858</v>
      </c>
      <c r="BF10" s="99"/>
      <c r="BG10" s="146">
        <v>162.21851256415431</v>
      </c>
      <c r="BH10" s="146">
        <f t="shared" si="22"/>
        <v>145.7011425732737</v>
      </c>
      <c r="BI10" s="147">
        <f t="shared" si="23"/>
        <v>173.91037569232637</v>
      </c>
      <c r="BJ10" s="4"/>
    </row>
    <row r="11" spans="1:64" ht="13.5" thickBot="1" x14ac:dyDescent="0.25">
      <c r="A11" s="3"/>
      <c r="B11" s="101">
        <v>45386</v>
      </c>
      <c r="C11" s="20"/>
      <c r="D11" s="136">
        <v>0.54</v>
      </c>
      <c r="E11" s="96"/>
      <c r="F11" s="137">
        <v>286</v>
      </c>
      <c r="G11" s="95"/>
      <c r="H11" s="137">
        <v>335.5</v>
      </c>
      <c r="I11" s="96"/>
      <c r="J11" s="138">
        <v>28200.000000011642</v>
      </c>
      <c r="K11" s="200">
        <f t="shared" si="24"/>
        <v>43534</v>
      </c>
      <c r="L11" s="200">
        <v>33123.999999975786</v>
      </c>
      <c r="M11" s="228">
        <f t="shared" si="0"/>
        <v>39198.000000016182</v>
      </c>
      <c r="N11" s="98"/>
      <c r="O11" s="139">
        <v>0</v>
      </c>
      <c r="P11" s="247">
        <f t="shared" si="1"/>
        <v>73.900000000000006</v>
      </c>
      <c r="Q11" s="140">
        <v>0</v>
      </c>
      <c r="R11" s="201">
        <f t="shared" si="2"/>
        <v>483.33333333333331</v>
      </c>
      <c r="S11" s="256">
        <v>0</v>
      </c>
      <c r="T11" s="141">
        <f t="shared" si="3"/>
        <v>0</v>
      </c>
      <c r="U11" s="99"/>
      <c r="V11" s="142">
        <v>519</v>
      </c>
      <c r="W11" s="170">
        <f t="shared" si="25"/>
        <v>598.29999999999995</v>
      </c>
      <c r="X11" s="202">
        <f t="shared" si="26"/>
        <v>2907.6666666666665</v>
      </c>
      <c r="Y11" s="258">
        <v>2463.16</v>
      </c>
      <c r="Z11" s="29">
        <v>2522.34</v>
      </c>
      <c r="AA11" s="100"/>
      <c r="AB11" s="143">
        <v>368.8</v>
      </c>
      <c r="AC11" s="210">
        <f t="shared" si="4"/>
        <v>1375.624</v>
      </c>
      <c r="AD11" s="173">
        <f t="shared" si="5"/>
        <v>388.45</v>
      </c>
      <c r="AE11" s="210">
        <f t="shared" si="6"/>
        <v>1468.3</v>
      </c>
      <c r="AF11" s="210">
        <v>391.85</v>
      </c>
      <c r="AG11" s="210">
        <v>1461.6005</v>
      </c>
      <c r="AH11" s="210">
        <v>158.71200000000002</v>
      </c>
      <c r="AI11" s="210">
        <f t="shared" si="7"/>
        <v>591.99576000000002</v>
      </c>
      <c r="AJ11" s="173">
        <f t="shared" si="8"/>
        <v>129.48333333333332</v>
      </c>
      <c r="AK11" s="210">
        <f t="shared" si="9"/>
        <v>489.43333333333334</v>
      </c>
      <c r="AL11" s="210">
        <v>149.376</v>
      </c>
      <c r="AM11" s="210">
        <v>557.17248000000006</v>
      </c>
      <c r="AN11" s="173">
        <f t="shared" si="10"/>
        <v>527.51200000000006</v>
      </c>
      <c r="AO11" s="173">
        <f t="shared" si="11"/>
        <v>541.226</v>
      </c>
      <c r="AP11" s="173">
        <f t="shared" si="12"/>
        <v>517.93333333333328</v>
      </c>
      <c r="AQ11" s="179">
        <f t="shared" si="13"/>
        <v>1957.7333333333333</v>
      </c>
      <c r="AR11" s="260">
        <v>2018.7729800000002</v>
      </c>
      <c r="AS11" s="66">
        <f t="shared" si="14"/>
        <v>1967.61976</v>
      </c>
      <c r="AT11" s="116"/>
      <c r="AU11" s="115"/>
      <c r="AV11" s="235">
        <v>98.6013986014393</v>
      </c>
      <c r="AW11" s="236">
        <f t="shared" si="15"/>
        <v>137.05594405600064</v>
      </c>
      <c r="AX11" s="237">
        <f t="shared" si="16"/>
        <v>1.8146853146853146</v>
      </c>
      <c r="AY11" s="238">
        <f t="shared" si="17"/>
        <v>8.8193706293706295</v>
      </c>
      <c r="AZ11" s="239">
        <f t="shared" si="18"/>
        <v>1.8444475524475525</v>
      </c>
      <c r="BA11" s="240">
        <f t="shared" si="19"/>
        <v>6.8797893706293705</v>
      </c>
      <c r="BB11" s="114"/>
      <c r="BC11" s="144">
        <v>37605.932979975791</v>
      </c>
      <c r="BD11" s="144">
        <f t="shared" si="20"/>
        <v>48882.73333333333</v>
      </c>
      <c r="BE11" s="145">
        <f t="shared" si="21"/>
        <v>43687.95976001618</v>
      </c>
      <c r="BF11" s="99"/>
      <c r="BG11" s="146">
        <v>151.02784329307548</v>
      </c>
      <c r="BH11" s="146">
        <f t="shared" si="22"/>
        <v>145.7011425732737</v>
      </c>
      <c r="BI11" s="147">
        <f t="shared" si="23"/>
        <v>152.75510405600062</v>
      </c>
      <c r="BJ11" s="4"/>
    </row>
    <row r="12" spans="1:64" ht="13.5" thickBot="1" x14ac:dyDescent="0.25">
      <c r="A12" s="3"/>
      <c r="B12" s="101">
        <v>45387</v>
      </c>
      <c r="C12" s="20"/>
      <c r="D12" s="136">
        <v>0.48099999999999998</v>
      </c>
      <c r="E12" s="96"/>
      <c r="F12" s="137">
        <v>253</v>
      </c>
      <c r="G12" s="95"/>
      <c r="H12" s="137">
        <v>335.5</v>
      </c>
      <c r="I12" s="96"/>
      <c r="J12" s="138">
        <v>30079.999999987194</v>
      </c>
      <c r="K12" s="200">
        <f t="shared" si="24"/>
        <v>43534</v>
      </c>
      <c r="L12" s="200">
        <v>35880.000000007567</v>
      </c>
      <c r="M12" s="228">
        <f t="shared" si="0"/>
        <v>41811.1999999822</v>
      </c>
      <c r="N12" s="98"/>
      <c r="O12" s="139">
        <v>0</v>
      </c>
      <c r="P12" s="247">
        <f t="shared" si="1"/>
        <v>73.900000000000006</v>
      </c>
      <c r="Q12" s="140">
        <v>0</v>
      </c>
      <c r="R12" s="201">
        <f t="shared" si="2"/>
        <v>483.33333333333331</v>
      </c>
      <c r="S12" s="256">
        <v>0</v>
      </c>
      <c r="T12" s="141">
        <f t="shared" si="3"/>
        <v>0</v>
      </c>
      <c r="U12" s="99"/>
      <c r="V12" s="142">
        <v>549</v>
      </c>
      <c r="W12" s="170">
        <f t="shared" si="25"/>
        <v>598.29999999999995</v>
      </c>
      <c r="X12" s="202">
        <f t="shared" si="26"/>
        <v>2907.6666666666665</v>
      </c>
      <c r="Y12" s="258">
        <v>2268.6999999999998</v>
      </c>
      <c r="Z12" s="29">
        <v>2668.1400000000003</v>
      </c>
      <c r="AA12" s="100"/>
      <c r="AB12" s="143">
        <v>414.9</v>
      </c>
      <c r="AC12" s="210">
        <f t="shared" si="4"/>
        <v>1547.577</v>
      </c>
      <c r="AD12" s="173">
        <f t="shared" si="5"/>
        <v>388.45</v>
      </c>
      <c r="AE12" s="210">
        <f t="shared" si="6"/>
        <v>1468.3</v>
      </c>
      <c r="AF12" s="210">
        <v>414.9</v>
      </c>
      <c r="AG12" s="210">
        <v>1547.5770000000002</v>
      </c>
      <c r="AH12" s="210">
        <v>158.71200000000002</v>
      </c>
      <c r="AI12" s="210">
        <f t="shared" si="7"/>
        <v>591.99576000000002</v>
      </c>
      <c r="AJ12" s="173">
        <f t="shared" si="8"/>
        <v>129.48333333333332</v>
      </c>
      <c r="AK12" s="210">
        <f t="shared" si="9"/>
        <v>489.43333333333334</v>
      </c>
      <c r="AL12" s="210">
        <v>163.38</v>
      </c>
      <c r="AM12" s="210">
        <v>609.40739999999994</v>
      </c>
      <c r="AN12" s="173">
        <f t="shared" si="10"/>
        <v>573.61199999999997</v>
      </c>
      <c r="AO12" s="173">
        <f t="shared" si="11"/>
        <v>578.28</v>
      </c>
      <c r="AP12" s="173">
        <f t="shared" si="12"/>
        <v>517.93333333333328</v>
      </c>
      <c r="AQ12" s="179">
        <f t="shared" si="13"/>
        <v>1957.7333333333333</v>
      </c>
      <c r="AR12" s="260">
        <v>2156.9844000000003</v>
      </c>
      <c r="AS12" s="66">
        <f t="shared" si="14"/>
        <v>2139.57276</v>
      </c>
      <c r="AT12" s="116"/>
      <c r="AU12" s="115"/>
      <c r="AV12" s="235">
        <v>118.89328063236046</v>
      </c>
      <c r="AW12" s="236">
        <f t="shared" si="15"/>
        <v>165.26166007898104</v>
      </c>
      <c r="AX12" s="237">
        <f t="shared" si="16"/>
        <v>2.1699604743083003</v>
      </c>
      <c r="AY12" s="238">
        <f t="shared" si="17"/>
        <v>10.546007905138341</v>
      </c>
      <c r="AZ12" s="239">
        <f t="shared" si="18"/>
        <v>2.2672411067193674</v>
      </c>
      <c r="BA12" s="240">
        <f t="shared" si="19"/>
        <v>8.4568093280632404</v>
      </c>
      <c r="BB12" s="114"/>
      <c r="BC12" s="144">
        <v>40305.684400007565</v>
      </c>
      <c r="BD12" s="144">
        <f t="shared" si="20"/>
        <v>48882.73333333333</v>
      </c>
      <c r="BE12" s="145">
        <f t="shared" si="21"/>
        <v>46618.912759982202</v>
      </c>
      <c r="BF12" s="99"/>
      <c r="BG12" s="146">
        <v>161.87021847392597</v>
      </c>
      <c r="BH12" s="146">
        <f t="shared" si="22"/>
        <v>145.7011425732737</v>
      </c>
      <c r="BI12" s="147">
        <f t="shared" si="23"/>
        <v>184.26447731218261</v>
      </c>
      <c r="BJ12" s="4"/>
    </row>
    <row r="13" spans="1:64" ht="13.5" thickBot="1" x14ac:dyDescent="0.25">
      <c r="A13" s="3"/>
      <c r="B13" s="101">
        <v>45388</v>
      </c>
      <c r="C13" s="20"/>
      <c r="D13" s="136">
        <v>0.51900000000000002</v>
      </c>
      <c r="E13" s="96"/>
      <c r="F13" s="137">
        <v>273</v>
      </c>
      <c r="G13" s="95"/>
      <c r="H13" s="137">
        <v>335.5</v>
      </c>
      <c r="I13" s="96"/>
      <c r="J13" s="138">
        <v>30160.000000003492</v>
      </c>
      <c r="K13" s="200">
        <f t="shared" si="24"/>
        <v>43534</v>
      </c>
      <c r="L13" s="200">
        <v>35932.000000018161</v>
      </c>
      <c r="M13" s="228">
        <f t="shared" si="0"/>
        <v>41922.400000004855</v>
      </c>
      <c r="N13" s="98"/>
      <c r="O13" s="139">
        <v>0</v>
      </c>
      <c r="P13" s="247">
        <f t="shared" si="1"/>
        <v>73.900000000000006</v>
      </c>
      <c r="Q13" s="140">
        <v>0</v>
      </c>
      <c r="R13" s="201">
        <f t="shared" si="2"/>
        <v>483.33333333333331</v>
      </c>
      <c r="S13" s="256">
        <v>0</v>
      </c>
      <c r="T13" s="141">
        <f t="shared" si="3"/>
        <v>0</v>
      </c>
      <c r="U13" s="99"/>
      <c r="V13" s="142">
        <v>525</v>
      </c>
      <c r="W13" s="170">
        <f t="shared" si="25"/>
        <v>598.29999999999995</v>
      </c>
      <c r="X13" s="202">
        <f t="shared" si="26"/>
        <v>2907.6666666666665</v>
      </c>
      <c r="Y13" s="258">
        <v>2694.66</v>
      </c>
      <c r="Z13" s="29">
        <v>2551.5</v>
      </c>
      <c r="AA13" s="100"/>
      <c r="AB13" s="143">
        <v>428.73</v>
      </c>
      <c r="AC13" s="210">
        <f t="shared" si="4"/>
        <v>1599.1629</v>
      </c>
      <c r="AD13" s="173">
        <f t="shared" si="5"/>
        <v>388.45</v>
      </c>
      <c r="AE13" s="210">
        <f t="shared" si="6"/>
        <v>1468.3</v>
      </c>
      <c r="AF13" s="210">
        <v>378.02000000000004</v>
      </c>
      <c r="AG13" s="210">
        <v>1410.0146000000002</v>
      </c>
      <c r="AH13" s="210">
        <v>149.376</v>
      </c>
      <c r="AI13" s="210">
        <f t="shared" si="7"/>
        <v>557.17248000000006</v>
      </c>
      <c r="AJ13" s="173">
        <f t="shared" si="8"/>
        <v>129.48333333333332</v>
      </c>
      <c r="AK13" s="210">
        <f t="shared" si="9"/>
        <v>489.43333333333334</v>
      </c>
      <c r="AL13" s="210">
        <v>149.376</v>
      </c>
      <c r="AM13" s="210">
        <v>557.17248000000006</v>
      </c>
      <c r="AN13" s="173">
        <f t="shared" si="10"/>
        <v>578.10599999999999</v>
      </c>
      <c r="AO13" s="173">
        <f t="shared" si="11"/>
        <v>527.39600000000007</v>
      </c>
      <c r="AP13" s="173">
        <f t="shared" si="12"/>
        <v>517.93333333333328</v>
      </c>
      <c r="AQ13" s="179">
        <f t="shared" si="13"/>
        <v>1957.7333333333333</v>
      </c>
      <c r="AR13" s="260">
        <v>1967.1870800000002</v>
      </c>
      <c r="AS13" s="66">
        <f t="shared" si="14"/>
        <v>2156.33538</v>
      </c>
      <c r="AT13" s="116"/>
      <c r="AU13" s="115"/>
      <c r="AV13" s="235">
        <v>110.47619047620327</v>
      </c>
      <c r="AW13" s="236">
        <f t="shared" si="15"/>
        <v>153.56190476192253</v>
      </c>
      <c r="AX13" s="237">
        <f t="shared" si="16"/>
        <v>1.9230769230769231</v>
      </c>
      <c r="AY13" s="238">
        <f t="shared" si="17"/>
        <v>9.3461538461538467</v>
      </c>
      <c r="AZ13" s="239">
        <f t="shared" si="18"/>
        <v>2.1176043956043955</v>
      </c>
      <c r="BA13" s="240">
        <f t="shared" si="19"/>
        <v>7.8986643956043956</v>
      </c>
      <c r="BB13" s="114"/>
      <c r="BC13" s="144">
        <v>40593.847080018168</v>
      </c>
      <c r="BD13" s="144">
        <f t="shared" si="20"/>
        <v>48882.73333333333</v>
      </c>
      <c r="BE13" s="145">
        <f t="shared" si="21"/>
        <v>46630.235380004851</v>
      </c>
      <c r="BF13" s="99"/>
      <c r="BG13" s="146">
        <v>150.34758177784508</v>
      </c>
      <c r="BH13" s="146">
        <f t="shared" si="22"/>
        <v>145.7011425732737</v>
      </c>
      <c r="BI13" s="147">
        <f t="shared" si="23"/>
        <v>170.80672300368079</v>
      </c>
      <c r="BJ13" s="4"/>
    </row>
    <row r="14" spans="1:64" ht="13.5" thickBot="1" x14ac:dyDescent="0.25">
      <c r="A14" s="3"/>
      <c r="B14" s="101">
        <v>45389</v>
      </c>
      <c r="C14" s="20"/>
      <c r="D14" s="136">
        <v>0.4753</v>
      </c>
      <c r="E14" s="96"/>
      <c r="F14" s="137">
        <v>250</v>
      </c>
      <c r="G14" s="95"/>
      <c r="H14" s="137">
        <v>335.5</v>
      </c>
      <c r="I14" s="96"/>
      <c r="J14" s="138">
        <v>28679.999999993015</v>
      </c>
      <c r="K14" s="200">
        <f t="shared" si="24"/>
        <v>43534</v>
      </c>
      <c r="L14" s="200">
        <v>39051.999999972759</v>
      </c>
      <c r="M14" s="228">
        <f t="shared" si="0"/>
        <v>39865.199999990291</v>
      </c>
      <c r="N14" s="98"/>
      <c r="O14" s="139">
        <v>0</v>
      </c>
      <c r="P14" s="247">
        <f t="shared" si="1"/>
        <v>73.900000000000006</v>
      </c>
      <c r="Q14" s="140">
        <v>20</v>
      </c>
      <c r="R14" s="201">
        <f t="shared" si="2"/>
        <v>483.33333333333331</v>
      </c>
      <c r="S14" s="256">
        <v>0</v>
      </c>
      <c r="T14" s="141">
        <f t="shared" si="3"/>
        <v>0</v>
      </c>
      <c r="U14" s="99"/>
      <c r="V14" s="142">
        <v>508</v>
      </c>
      <c r="W14" s="170">
        <f t="shared" si="25"/>
        <v>598.29999999999995</v>
      </c>
      <c r="X14" s="202">
        <f t="shared" si="26"/>
        <v>2907.6666666666665</v>
      </c>
      <c r="Y14" s="258">
        <v>2222.4</v>
      </c>
      <c r="Z14" s="29">
        <v>2468.88</v>
      </c>
      <c r="AA14" s="100"/>
      <c r="AB14" s="143">
        <v>414.9</v>
      </c>
      <c r="AC14" s="210">
        <f t="shared" si="4"/>
        <v>1547.577</v>
      </c>
      <c r="AD14" s="173">
        <f t="shared" si="5"/>
        <v>388.45</v>
      </c>
      <c r="AE14" s="210">
        <f t="shared" si="6"/>
        <v>1468.3</v>
      </c>
      <c r="AF14" s="210">
        <v>405.68</v>
      </c>
      <c r="AG14" s="210">
        <v>1513.1864</v>
      </c>
      <c r="AH14" s="210">
        <v>158.71200000000002</v>
      </c>
      <c r="AI14" s="210">
        <f t="shared" si="7"/>
        <v>591.99576000000002</v>
      </c>
      <c r="AJ14" s="173">
        <f t="shared" si="8"/>
        <v>129.48333333333332</v>
      </c>
      <c r="AK14" s="210">
        <f t="shared" si="9"/>
        <v>489.43333333333334</v>
      </c>
      <c r="AL14" s="210">
        <v>177.38400000000001</v>
      </c>
      <c r="AM14" s="210">
        <v>661.64232000000004</v>
      </c>
      <c r="AN14" s="173">
        <f t="shared" si="10"/>
        <v>573.61199999999997</v>
      </c>
      <c r="AO14" s="173">
        <f t="shared" si="11"/>
        <v>583.06400000000008</v>
      </c>
      <c r="AP14" s="173">
        <f t="shared" si="12"/>
        <v>517.93333333333328</v>
      </c>
      <c r="AQ14" s="179">
        <f t="shared" si="13"/>
        <v>1957.7333333333333</v>
      </c>
      <c r="AR14" s="260">
        <v>2174.82872</v>
      </c>
      <c r="AS14" s="66">
        <f t="shared" si="14"/>
        <v>2139.57276</v>
      </c>
      <c r="AT14" s="116"/>
      <c r="AU14" s="115"/>
      <c r="AV14" s="235">
        <v>114.79999999997206</v>
      </c>
      <c r="AW14" s="236">
        <f t="shared" si="15"/>
        <v>159.46079999996115</v>
      </c>
      <c r="AX14" s="237">
        <f t="shared" si="16"/>
        <v>2.032</v>
      </c>
      <c r="AY14" s="238">
        <f t="shared" si="17"/>
        <v>9.8755199999999999</v>
      </c>
      <c r="AZ14" s="239">
        <f t="shared" si="18"/>
        <v>2.294448</v>
      </c>
      <c r="BA14" s="240">
        <f t="shared" si="19"/>
        <v>8.5582910400000003</v>
      </c>
      <c r="BB14" s="114"/>
      <c r="BC14" s="144">
        <v>43449.228719972758</v>
      </c>
      <c r="BD14" s="144">
        <f t="shared" si="20"/>
        <v>48882.73333333333</v>
      </c>
      <c r="BE14" s="145">
        <f t="shared" si="21"/>
        <v>44473.652759990291</v>
      </c>
      <c r="BF14" s="99"/>
      <c r="BG14" s="146">
        <v>164.58041181807863</v>
      </c>
      <c r="BH14" s="146">
        <f t="shared" si="22"/>
        <v>145.7011425732737</v>
      </c>
      <c r="BI14" s="147">
        <f t="shared" si="23"/>
        <v>177.89461103996118</v>
      </c>
      <c r="BJ14" s="4"/>
    </row>
    <row r="15" spans="1:64" ht="13.5" thickBot="1" x14ac:dyDescent="0.25">
      <c r="A15" s="3"/>
      <c r="B15" s="101">
        <v>45390</v>
      </c>
      <c r="C15" s="20"/>
      <c r="D15" s="136">
        <v>0.48480000000000001</v>
      </c>
      <c r="E15" s="96"/>
      <c r="F15" s="137">
        <v>255</v>
      </c>
      <c r="G15" s="95"/>
      <c r="H15" s="137">
        <v>335.5</v>
      </c>
      <c r="I15" s="96"/>
      <c r="J15" s="138">
        <v>26559.999999997672</v>
      </c>
      <c r="K15" s="200">
        <f t="shared" si="24"/>
        <v>43534</v>
      </c>
      <c r="L15" s="200">
        <v>39156.000000031781</v>
      </c>
      <c r="M15" s="228">
        <f t="shared" si="0"/>
        <v>36918.399999996764</v>
      </c>
      <c r="N15" s="98"/>
      <c r="O15" s="139">
        <v>0</v>
      </c>
      <c r="P15" s="247">
        <f t="shared" si="1"/>
        <v>73.900000000000006</v>
      </c>
      <c r="Q15" s="140">
        <v>0</v>
      </c>
      <c r="R15" s="201">
        <f t="shared" si="2"/>
        <v>483.33333333333331</v>
      </c>
      <c r="S15" s="256">
        <v>0</v>
      </c>
      <c r="T15" s="141">
        <f t="shared" si="3"/>
        <v>0</v>
      </c>
      <c r="U15" s="99"/>
      <c r="V15" s="142">
        <v>527</v>
      </c>
      <c r="W15" s="170">
        <f t="shared" si="25"/>
        <v>598.29999999999995</v>
      </c>
      <c r="X15" s="202">
        <f t="shared" si="26"/>
        <v>2907.6666666666665</v>
      </c>
      <c r="Y15" s="258">
        <v>2074.2399999999998</v>
      </c>
      <c r="Z15" s="29">
        <v>2561.2200000000003</v>
      </c>
      <c r="AA15" s="100"/>
      <c r="AB15" s="143">
        <v>401.07000000000005</v>
      </c>
      <c r="AC15" s="210">
        <f t="shared" si="4"/>
        <v>1495.9911000000002</v>
      </c>
      <c r="AD15" s="173">
        <f t="shared" si="5"/>
        <v>388.45</v>
      </c>
      <c r="AE15" s="210">
        <f t="shared" si="6"/>
        <v>1468.3</v>
      </c>
      <c r="AF15" s="210">
        <v>424.12</v>
      </c>
      <c r="AG15" s="210">
        <v>1581.9675999999999</v>
      </c>
      <c r="AH15" s="210">
        <v>144.708</v>
      </c>
      <c r="AI15" s="210">
        <f t="shared" si="7"/>
        <v>539.76084000000003</v>
      </c>
      <c r="AJ15" s="173">
        <f t="shared" si="8"/>
        <v>129.48333333333332</v>
      </c>
      <c r="AK15" s="210">
        <f t="shared" si="9"/>
        <v>489.43333333333334</v>
      </c>
      <c r="AL15" s="210">
        <v>144.708</v>
      </c>
      <c r="AM15" s="210">
        <v>539.76084000000003</v>
      </c>
      <c r="AN15" s="173">
        <f t="shared" si="10"/>
        <v>545.77800000000002</v>
      </c>
      <c r="AO15" s="173">
        <f t="shared" si="11"/>
        <v>568.82799999999997</v>
      </c>
      <c r="AP15" s="173">
        <f t="shared" si="12"/>
        <v>517.93333333333328</v>
      </c>
      <c r="AQ15" s="179">
        <f t="shared" si="13"/>
        <v>1957.7333333333333</v>
      </c>
      <c r="AR15" s="260">
        <v>2121.7284399999999</v>
      </c>
      <c r="AS15" s="66">
        <f t="shared" si="14"/>
        <v>2035.7519400000001</v>
      </c>
      <c r="AT15" s="116"/>
      <c r="AU15" s="115"/>
      <c r="AV15" s="235">
        <v>104.15686274508892</v>
      </c>
      <c r="AW15" s="236">
        <f t="shared" si="15"/>
        <v>144.77803921567357</v>
      </c>
      <c r="AX15" s="237">
        <f t="shared" si="16"/>
        <v>2.0666666666666669</v>
      </c>
      <c r="AY15" s="238">
        <f t="shared" si="17"/>
        <v>10.044</v>
      </c>
      <c r="AZ15" s="239">
        <f t="shared" si="18"/>
        <v>2.1403058823529411</v>
      </c>
      <c r="BA15" s="240">
        <f t="shared" si="19"/>
        <v>7.9833409411764711</v>
      </c>
      <c r="BB15" s="114"/>
      <c r="BC15" s="144">
        <v>43351.968440031778</v>
      </c>
      <c r="BD15" s="144">
        <f t="shared" si="20"/>
        <v>48882.73333333333</v>
      </c>
      <c r="BE15" s="145">
        <f t="shared" si="21"/>
        <v>41515.371939996767</v>
      </c>
      <c r="BF15" s="99"/>
      <c r="BG15" s="146">
        <v>157.072349420405</v>
      </c>
      <c r="BH15" s="146">
        <f t="shared" si="22"/>
        <v>145.7011425732737</v>
      </c>
      <c r="BI15" s="147">
        <f t="shared" si="23"/>
        <v>162.80538015685008</v>
      </c>
      <c r="BJ15" s="4"/>
    </row>
    <row r="16" spans="1:64" ht="13.5" thickBot="1" x14ac:dyDescent="0.25">
      <c r="A16" s="3"/>
      <c r="B16" s="101">
        <v>45391</v>
      </c>
      <c r="C16" s="20"/>
      <c r="D16" s="136">
        <v>0.55130000000000001</v>
      </c>
      <c r="E16" s="96"/>
      <c r="F16" s="137">
        <v>290</v>
      </c>
      <c r="G16" s="95"/>
      <c r="H16" s="137">
        <v>335.5</v>
      </c>
      <c r="I16" s="96"/>
      <c r="J16" s="138">
        <v>29960.000000020955</v>
      </c>
      <c r="K16" s="200">
        <f t="shared" si="24"/>
        <v>43534</v>
      </c>
      <c r="L16" s="200">
        <v>39259.999999977299</v>
      </c>
      <c r="M16" s="228">
        <f t="shared" si="0"/>
        <v>41644.400000029127</v>
      </c>
      <c r="N16" s="98"/>
      <c r="O16" s="139">
        <v>0</v>
      </c>
      <c r="P16" s="247">
        <f t="shared" si="1"/>
        <v>73.900000000000006</v>
      </c>
      <c r="Q16" s="140">
        <v>0</v>
      </c>
      <c r="R16" s="201">
        <f t="shared" si="2"/>
        <v>483.33333333333331</v>
      </c>
      <c r="S16" s="256">
        <v>0</v>
      </c>
      <c r="T16" s="141">
        <f t="shared" si="3"/>
        <v>0</v>
      </c>
      <c r="U16" s="99"/>
      <c r="V16" s="142">
        <v>540</v>
      </c>
      <c r="W16" s="170">
        <f t="shared" si="25"/>
        <v>598.29999999999995</v>
      </c>
      <c r="X16" s="202">
        <f t="shared" si="26"/>
        <v>2907.6666666666665</v>
      </c>
      <c r="Y16" s="258">
        <v>2486.31</v>
      </c>
      <c r="Z16" s="29">
        <v>2624.4</v>
      </c>
      <c r="AA16" s="100"/>
      <c r="AB16" s="143">
        <v>419.51000000000005</v>
      </c>
      <c r="AC16" s="210">
        <f t="shared" si="4"/>
        <v>1564.7723000000001</v>
      </c>
      <c r="AD16" s="173">
        <f t="shared" si="5"/>
        <v>388.45</v>
      </c>
      <c r="AE16" s="210">
        <f t="shared" si="6"/>
        <v>1468.3</v>
      </c>
      <c r="AF16" s="210">
        <v>391.85</v>
      </c>
      <c r="AG16" s="210">
        <v>1461.6005</v>
      </c>
      <c r="AH16" s="210">
        <v>154.04400000000001</v>
      </c>
      <c r="AI16" s="210">
        <f t="shared" si="7"/>
        <v>574.58411999999998</v>
      </c>
      <c r="AJ16" s="173">
        <f t="shared" si="8"/>
        <v>129.48333333333332</v>
      </c>
      <c r="AK16" s="210">
        <f t="shared" si="9"/>
        <v>489.43333333333334</v>
      </c>
      <c r="AL16" s="210">
        <v>130.70400000000001</v>
      </c>
      <c r="AM16" s="210">
        <v>487.52592000000004</v>
      </c>
      <c r="AN16" s="173">
        <f t="shared" si="10"/>
        <v>573.55400000000009</v>
      </c>
      <c r="AO16" s="173">
        <f t="shared" si="11"/>
        <v>522.55400000000009</v>
      </c>
      <c r="AP16" s="173">
        <f t="shared" si="12"/>
        <v>517.93333333333328</v>
      </c>
      <c r="AQ16" s="179">
        <f t="shared" si="13"/>
        <v>1957.7333333333333</v>
      </c>
      <c r="AR16" s="260">
        <v>1949.1264200000001</v>
      </c>
      <c r="AS16" s="66">
        <f t="shared" si="14"/>
        <v>2139.3564200000001</v>
      </c>
      <c r="AT16" s="116"/>
      <c r="AU16" s="115"/>
      <c r="AV16" s="235">
        <v>103.31034482765847</v>
      </c>
      <c r="AW16" s="236">
        <f t="shared" si="15"/>
        <v>143.60137931044525</v>
      </c>
      <c r="AX16" s="237">
        <f t="shared" si="16"/>
        <v>1.8620689655172413</v>
      </c>
      <c r="AY16" s="238">
        <f t="shared" si="17"/>
        <v>9.049655172413793</v>
      </c>
      <c r="AZ16" s="239">
        <f t="shared" si="18"/>
        <v>1.9777724137931036</v>
      </c>
      <c r="BA16" s="240">
        <f t="shared" si="19"/>
        <v>7.3770911034482758</v>
      </c>
      <c r="BB16" s="114"/>
      <c r="BC16" s="144">
        <v>43695.436419977297</v>
      </c>
      <c r="BD16" s="144">
        <f t="shared" si="20"/>
        <v>48882.73333333333</v>
      </c>
      <c r="BE16" s="145">
        <f t="shared" si="21"/>
        <v>46408.156420029132</v>
      </c>
      <c r="BF16" s="99"/>
      <c r="BG16" s="146">
        <v>166.77647488540953</v>
      </c>
      <c r="BH16" s="146">
        <f t="shared" si="22"/>
        <v>145.7011425732737</v>
      </c>
      <c r="BI16" s="147">
        <f t="shared" si="23"/>
        <v>160.02812558630734</v>
      </c>
      <c r="BJ16" s="4"/>
    </row>
    <row r="17" spans="1:62" ht="13.5" thickBot="1" x14ac:dyDescent="0.25">
      <c r="A17" s="3"/>
      <c r="B17" s="101">
        <v>45392</v>
      </c>
      <c r="C17" s="20"/>
      <c r="D17" s="136">
        <v>0.69199999999999995</v>
      </c>
      <c r="E17" s="96"/>
      <c r="F17" s="137">
        <v>364</v>
      </c>
      <c r="G17" s="95"/>
      <c r="H17" s="137">
        <v>335.5</v>
      </c>
      <c r="I17" s="96"/>
      <c r="J17" s="138">
        <v>33079.999999987194</v>
      </c>
      <c r="K17" s="200">
        <f t="shared" si="24"/>
        <v>43534</v>
      </c>
      <c r="L17" s="200">
        <v>41132.000000018161</v>
      </c>
      <c r="M17" s="228">
        <f t="shared" si="0"/>
        <v>45981.1999999822</v>
      </c>
      <c r="N17" s="98"/>
      <c r="O17" s="139">
        <v>0</v>
      </c>
      <c r="P17" s="247">
        <f t="shared" si="1"/>
        <v>73.900000000000006</v>
      </c>
      <c r="Q17" s="140">
        <v>0</v>
      </c>
      <c r="R17" s="201">
        <f t="shared" si="2"/>
        <v>483.33333333333331</v>
      </c>
      <c r="S17" s="256">
        <v>0</v>
      </c>
      <c r="T17" s="141">
        <f t="shared" si="3"/>
        <v>0</v>
      </c>
      <c r="U17" s="99"/>
      <c r="V17" s="142">
        <v>599</v>
      </c>
      <c r="W17" s="170">
        <f t="shared" si="25"/>
        <v>598.29999999999995</v>
      </c>
      <c r="X17" s="202">
        <f t="shared" si="26"/>
        <v>2907.6666666666665</v>
      </c>
      <c r="Y17" s="258">
        <v>2176.1</v>
      </c>
      <c r="Z17" s="29">
        <v>2911.1400000000003</v>
      </c>
      <c r="AA17" s="100"/>
      <c r="AB17" s="143">
        <v>497.88000000000005</v>
      </c>
      <c r="AC17" s="210">
        <f t="shared" si="4"/>
        <v>1857.0924000000002</v>
      </c>
      <c r="AD17" s="173">
        <f t="shared" si="5"/>
        <v>388.45</v>
      </c>
      <c r="AE17" s="210">
        <f t="shared" si="6"/>
        <v>1468.3</v>
      </c>
      <c r="AF17" s="210">
        <v>414.9</v>
      </c>
      <c r="AG17" s="210">
        <v>1547.5770000000002</v>
      </c>
      <c r="AH17" s="210">
        <v>247.404</v>
      </c>
      <c r="AI17" s="210">
        <f t="shared" si="7"/>
        <v>922.81691999999998</v>
      </c>
      <c r="AJ17" s="173">
        <f t="shared" si="8"/>
        <v>129.48333333333332</v>
      </c>
      <c r="AK17" s="210">
        <f t="shared" si="9"/>
        <v>489.43333333333334</v>
      </c>
      <c r="AL17" s="210">
        <v>149.376</v>
      </c>
      <c r="AM17" s="210">
        <v>557.17248000000006</v>
      </c>
      <c r="AN17" s="173">
        <f t="shared" si="10"/>
        <v>745.28400000000011</v>
      </c>
      <c r="AO17" s="173">
        <f t="shared" si="11"/>
        <v>564.27599999999995</v>
      </c>
      <c r="AP17" s="173">
        <f t="shared" si="12"/>
        <v>517.93333333333328</v>
      </c>
      <c r="AQ17" s="179">
        <f t="shared" si="13"/>
        <v>1957.7333333333333</v>
      </c>
      <c r="AR17" s="260">
        <v>2104.7494800000004</v>
      </c>
      <c r="AS17" s="66">
        <f t="shared" si="14"/>
        <v>2779.9093200000002</v>
      </c>
      <c r="AT17" s="116"/>
      <c r="AU17" s="115"/>
      <c r="AV17" s="235">
        <v>90.879120879085704</v>
      </c>
      <c r="AW17" s="236">
        <f t="shared" si="15"/>
        <v>126.32197802192913</v>
      </c>
      <c r="AX17" s="237">
        <f t="shared" si="16"/>
        <v>1.6456043956043955</v>
      </c>
      <c r="AY17" s="238">
        <f t="shared" si="17"/>
        <v>7.9976373626373638</v>
      </c>
      <c r="AZ17" s="239">
        <f t="shared" si="18"/>
        <v>2.0474835164835166</v>
      </c>
      <c r="BA17" s="240">
        <f t="shared" si="19"/>
        <v>7.6371135164835167</v>
      </c>
      <c r="BB17" s="114"/>
      <c r="BC17" s="144">
        <v>45412.849480018158</v>
      </c>
      <c r="BD17" s="144">
        <f t="shared" si="20"/>
        <v>48882.73333333333</v>
      </c>
      <c r="BE17" s="145">
        <f t="shared" si="21"/>
        <v>51672.249319982198</v>
      </c>
      <c r="BF17" s="99"/>
      <c r="BG17" s="146">
        <v>181.65139792007264</v>
      </c>
      <c r="BH17" s="146">
        <f t="shared" si="22"/>
        <v>145.7011425732737</v>
      </c>
      <c r="BI17" s="147">
        <f t="shared" si="23"/>
        <v>141.95672890104998</v>
      </c>
      <c r="BJ17" s="4"/>
    </row>
    <row r="18" spans="1:62" ht="13.5" thickBot="1" x14ac:dyDescent="0.25">
      <c r="A18" s="3"/>
      <c r="B18" s="101">
        <v>45393</v>
      </c>
      <c r="C18" s="20"/>
      <c r="D18" s="136">
        <v>0.83840000000000003</v>
      </c>
      <c r="E18" s="96"/>
      <c r="F18" s="137">
        <v>441</v>
      </c>
      <c r="G18" s="95"/>
      <c r="H18" s="137">
        <v>335.5</v>
      </c>
      <c r="I18" s="96"/>
      <c r="J18" s="138">
        <v>34240.000000019791</v>
      </c>
      <c r="K18" s="200">
        <f t="shared" si="24"/>
        <v>43534</v>
      </c>
      <c r="L18" s="200">
        <v>39208.00000000454</v>
      </c>
      <c r="M18" s="228">
        <f t="shared" si="0"/>
        <v>47593.600000027509</v>
      </c>
      <c r="N18" s="98"/>
      <c r="O18" s="139">
        <v>0</v>
      </c>
      <c r="P18" s="247">
        <f t="shared" si="1"/>
        <v>73.900000000000006</v>
      </c>
      <c r="Q18" s="140">
        <v>0</v>
      </c>
      <c r="R18" s="201">
        <f t="shared" si="2"/>
        <v>483.33333333333331</v>
      </c>
      <c r="S18" s="256">
        <v>0</v>
      </c>
      <c r="T18" s="141">
        <f t="shared" si="3"/>
        <v>0</v>
      </c>
      <c r="U18" s="99"/>
      <c r="V18" s="142">
        <v>596</v>
      </c>
      <c r="W18" s="170">
        <f t="shared" si="25"/>
        <v>598.29999999999995</v>
      </c>
      <c r="X18" s="202">
        <f t="shared" si="26"/>
        <v>2907.6666666666665</v>
      </c>
      <c r="Y18" s="258">
        <v>2185.36</v>
      </c>
      <c r="Z18" s="29">
        <v>2896.5600000000004</v>
      </c>
      <c r="AA18" s="100"/>
      <c r="AB18" s="143">
        <v>525.54000000000008</v>
      </c>
      <c r="AC18" s="210">
        <f t="shared" si="4"/>
        <v>1960.2642000000003</v>
      </c>
      <c r="AD18" s="173">
        <f t="shared" si="5"/>
        <v>388.45</v>
      </c>
      <c r="AE18" s="210">
        <f t="shared" si="6"/>
        <v>1468.3</v>
      </c>
      <c r="AF18" s="210">
        <v>401.07000000000005</v>
      </c>
      <c r="AG18" s="210">
        <v>1495.9911000000002</v>
      </c>
      <c r="AH18" s="210">
        <v>196.05600000000001</v>
      </c>
      <c r="AI18" s="210">
        <f t="shared" si="7"/>
        <v>731.28888000000006</v>
      </c>
      <c r="AJ18" s="173">
        <f t="shared" si="8"/>
        <v>129.48333333333332</v>
      </c>
      <c r="AK18" s="210">
        <f t="shared" si="9"/>
        <v>489.43333333333334</v>
      </c>
      <c r="AL18" s="210">
        <v>149.376</v>
      </c>
      <c r="AM18" s="210">
        <v>557.17248000000006</v>
      </c>
      <c r="AN18" s="173">
        <f t="shared" si="10"/>
        <v>721.59600000000012</v>
      </c>
      <c r="AO18" s="173">
        <f t="shared" si="11"/>
        <v>550.44600000000003</v>
      </c>
      <c r="AP18" s="173">
        <f t="shared" si="12"/>
        <v>517.93333333333328</v>
      </c>
      <c r="AQ18" s="179">
        <f t="shared" si="13"/>
        <v>1957.7333333333333</v>
      </c>
      <c r="AR18" s="260">
        <v>2053.1635800000004</v>
      </c>
      <c r="AS18" s="66">
        <f t="shared" si="14"/>
        <v>2691.5530800000006</v>
      </c>
      <c r="AT18" s="116"/>
      <c r="AU18" s="115"/>
      <c r="AV18" s="235">
        <v>77.641723356053944</v>
      </c>
      <c r="AW18" s="236">
        <f t="shared" si="15"/>
        <v>107.92199546491499</v>
      </c>
      <c r="AX18" s="237">
        <f t="shared" si="16"/>
        <v>1.3514739229024944</v>
      </c>
      <c r="AY18" s="238">
        <f t="shared" si="17"/>
        <v>6.568163265306123</v>
      </c>
      <c r="AZ18" s="239">
        <f t="shared" si="18"/>
        <v>1.6362721088435377</v>
      </c>
      <c r="BA18" s="240">
        <f t="shared" si="19"/>
        <v>6.1032949659863958</v>
      </c>
      <c r="BB18" s="114"/>
      <c r="BC18" s="144">
        <v>43446.523580004541</v>
      </c>
      <c r="BD18" s="144">
        <f t="shared" si="20"/>
        <v>48882.73333333333</v>
      </c>
      <c r="BE18" s="145">
        <f t="shared" si="21"/>
        <v>53181.713080027504</v>
      </c>
      <c r="BF18" s="99"/>
      <c r="BG18" s="146">
        <v>171.04930543308873</v>
      </c>
      <c r="BH18" s="146">
        <f t="shared" si="22"/>
        <v>145.7011425732737</v>
      </c>
      <c r="BI18" s="147">
        <f t="shared" si="23"/>
        <v>120.59345369620749</v>
      </c>
      <c r="BJ18" s="4"/>
    </row>
    <row r="19" spans="1:62" ht="13.5" thickBot="1" x14ac:dyDescent="0.25">
      <c r="A19" s="3"/>
      <c r="B19" s="101">
        <v>45394</v>
      </c>
      <c r="C19" s="20"/>
      <c r="D19" s="136">
        <v>0.85740000000000005</v>
      </c>
      <c r="E19" s="96"/>
      <c r="F19" s="137">
        <v>451</v>
      </c>
      <c r="G19" s="95"/>
      <c r="H19" s="137">
        <v>335.5</v>
      </c>
      <c r="I19" s="96"/>
      <c r="J19" s="138">
        <v>35559.999999997672</v>
      </c>
      <c r="K19" s="200">
        <f t="shared" si="24"/>
        <v>43534</v>
      </c>
      <c r="L19" s="200">
        <v>37595.999999978812</v>
      </c>
      <c r="M19" s="228">
        <f t="shared" si="0"/>
        <v>49428.399999996764</v>
      </c>
      <c r="N19" s="98"/>
      <c r="O19" s="139">
        <v>0</v>
      </c>
      <c r="P19" s="247">
        <f t="shared" si="1"/>
        <v>73.900000000000006</v>
      </c>
      <c r="Q19" s="140">
        <v>0</v>
      </c>
      <c r="R19" s="201">
        <f t="shared" si="2"/>
        <v>483.33333333333331</v>
      </c>
      <c r="S19" s="256">
        <v>0</v>
      </c>
      <c r="T19" s="141">
        <f t="shared" si="3"/>
        <v>0</v>
      </c>
      <c r="U19" s="99"/>
      <c r="V19" s="142">
        <v>683</v>
      </c>
      <c r="W19" s="170">
        <f t="shared" si="25"/>
        <v>598.29999999999995</v>
      </c>
      <c r="X19" s="202">
        <f t="shared" si="26"/>
        <v>2907.6666666666665</v>
      </c>
      <c r="Y19" s="258">
        <v>2375.19</v>
      </c>
      <c r="Z19" s="29">
        <v>3319.38</v>
      </c>
      <c r="AA19" s="100"/>
      <c r="AB19" s="143">
        <v>534.76</v>
      </c>
      <c r="AC19" s="210">
        <f t="shared" si="4"/>
        <v>1994.6548</v>
      </c>
      <c r="AD19" s="173">
        <f t="shared" si="5"/>
        <v>388.45</v>
      </c>
      <c r="AE19" s="210">
        <f t="shared" si="6"/>
        <v>1468.3</v>
      </c>
      <c r="AF19" s="210">
        <v>461.00000000000006</v>
      </c>
      <c r="AG19" s="210">
        <v>1719.5300000000002</v>
      </c>
      <c r="AH19" s="210">
        <v>200.72400000000002</v>
      </c>
      <c r="AI19" s="210">
        <f t="shared" si="7"/>
        <v>748.7005200000001</v>
      </c>
      <c r="AJ19" s="173">
        <f t="shared" si="8"/>
        <v>129.48333333333332</v>
      </c>
      <c r="AK19" s="210">
        <f t="shared" si="9"/>
        <v>489.43333333333334</v>
      </c>
      <c r="AL19" s="210">
        <v>168.048</v>
      </c>
      <c r="AM19" s="210">
        <v>626.81903999999997</v>
      </c>
      <c r="AN19" s="173">
        <f t="shared" si="10"/>
        <v>735.48400000000004</v>
      </c>
      <c r="AO19" s="173">
        <f t="shared" si="11"/>
        <v>629.048</v>
      </c>
      <c r="AP19" s="173">
        <f t="shared" si="12"/>
        <v>517.93333333333328</v>
      </c>
      <c r="AQ19" s="179">
        <f t="shared" si="13"/>
        <v>1957.7333333333333</v>
      </c>
      <c r="AR19" s="260">
        <v>2346.3490400000001</v>
      </c>
      <c r="AS19" s="66">
        <f t="shared" si="14"/>
        <v>2743.3553200000001</v>
      </c>
      <c r="AT19" s="116"/>
      <c r="AU19" s="115"/>
      <c r="AV19" s="235">
        <v>78.847006651879539</v>
      </c>
      <c r="AW19" s="236">
        <f t="shared" si="15"/>
        <v>109.59733924611255</v>
      </c>
      <c r="AX19" s="237">
        <f t="shared" si="16"/>
        <v>1.5144124168514412</v>
      </c>
      <c r="AY19" s="238">
        <f t="shared" si="17"/>
        <v>7.3600443458980047</v>
      </c>
      <c r="AZ19" s="239">
        <f t="shared" si="18"/>
        <v>1.6307849223946786</v>
      </c>
      <c r="BA19" s="240">
        <f t="shared" si="19"/>
        <v>6.082827760532151</v>
      </c>
      <c r="BB19" s="114"/>
      <c r="BC19" s="144">
        <v>42317.539039978816</v>
      </c>
      <c r="BD19" s="144">
        <f t="shared" si="20"/>
        <v>48882.73333333333</v>
      </c>
      <c r="BE19" s="145">
        <f t="shared" si="21"/>
        <v>55491.135319996763</v>
      </c>
      <c r="BF19" s="99"/>
      <c r="BG19" s="146">
        <v>169.27015615991527</v>
      </c>
      <c r="BH19" s="146">
        <f t="shared" si="22"/>
        <v>145.7011425732737</v>
      </c>
      <c r="BI19" s="147">
        <f t="shared" si="23"/>
        <v>123.04021135254271</v>
      </c>
      <c r="BJ19" s="4"/>
    </row>
    <row r="20" spans="1:62" ht="13.5" thickBot="1" x14ac:dyDescent="0.25">
      <c r="A20" s="3"/>
      <c r="B20" s="101">
        <v>45395</v>
      </c>
      <c r="C20" s="20"/>
      <c r="D20" s="136">
        <v>0.8327</v>
      </c>
      <c r="E20" s="96"/>
      <c r="F20" s="137">
        <v>438</v>
      </c>
      <c r="G20" s="95"/>
      <c r="H20" s="137">
        <v>335.5</v>
      </c>
      <c r="I20" s="96"/>
      <c r="J20" s="138">
        <v>35959.999999991851</v>
      </c>
      <c r="K20" s="200">
        <f t="shared" si="24"/>
        <v>43534</v>
      </c>
      <c r="L20" s="200">
        <v>37180.000000007567</v>
      </c>
      <c r="M20" s="228">
        <f t="shared" si="0"/>
        <v>49984.399999988673</v>
      </c>
      <c r="N20" s="98"/>
      <c r="O20" s="139">
        <v>0</v>
      </c>
      <c r="P20" s="247">
        <f t="shared" si="1"/>
        <v>73.900000000000006</v>
      </c>
      <c r="Q20" s="140">
        <v>0</v>
      </c>
      <c r="R20" s="201">
        <f t="shared" si="2"/>
        <v>483.33333333333331</v>
      </c>
      <c r="S20" s="256">
        <v>0</v>
      </c>
      <c r="T20" s="141">
        <f t="shared" si="3"/>
        <v>0</v>
      </c>
      <c r="U20" s="99"/>
      <c r="V20" s="142">
        <v>667</v>
      </c>
      <c r="W20" s="170">
        <f t="shared" si="25"/>
        <v>598.29999999999995</v>
      </c>
      <c r="X20" s="202">
        <f t="shared" si="26"/>
        <v>2907.6666666666665</v>
      </c>
      <c r="Y20" s="258">
        <v>2240.92</v>
      </c>
      <c r="Z20" s="29">
        <v>3241.6200000000003</v>
      </c>
      <c r="AA20" s="100"/>
      <c r="AB20" s="143">
        <v>539.37</v>
      </c>
      <c r="AC20" s="210">
        <f t="shared" si="4"/>
        <v>2011.8501000000001</v>
      </c>
      <c r="AD20" s="173">
        <f t="shared" si="5"/>
        <v>388.45</v>
      </c>
      <c r="AE20" s="210">
        <f t="shared" si="6"/>
        <v>1468.3</v>
      </c>
      <c r="AF20" s="210">
        <v>401.07000000000005</v>
      </c>
      <c r="AG20" s="210">
        <v>1495.9911000000002</v>
      </c>
      <c r="AH20" s="210">
        <v>224.06400000000002</v>
      </c>
      <c r="AI20" s="210">
        <f t="shared" si="7"/>
        <v>835.75872000000004</v>
      </c>
      <c r="AJ20" s="173">
        <f t="shared" si="8"/>
        <v>129.48333333333332</v>
      </c>
      <c r="AK20" s="210">
        <f t="shared" si="9"/>
        <v>489.43333333333334</v>
      </c>
      <c r="AL20" s="210">
        <v>154.04400000000001</v>
      </c>
      <c r="AM20" s="210">
        <v>574.58411999999998</v>
      </c>
      <c r="AN20" s="173">
        <f t="shared" si="10"/>
        <v>763.43399999999997</v>
      </c>
      <c r="AO20" s="173">
        <f t="shared" si="11"/>
        <v>555.11400000000003</v>
      </c>
      <c r="AP20" s="173">
        <f t="shared" si="12"/>
        <v>517.93333333333328</v>
      </c>
      <c r="AQ20" s="179">
        <f t="shared" si="13"/>
        <v>1957.7333333333333</v>
      </c>
      <c r="AR20" s="260">
        <v>2070.5752200000002</v>
      </c>
      <c r="AS20" s="66">
        <f t="shared" si="14"/>
        <v>2847.6088200000004</v>
      </c>
      <c r="AT20" s="116"/>
      <c r="AU20" s="115"/>
      <c r="AV20" s="235">
        <v>82.100456620985966</v>
      </c>
      <c r="AW20" s="236">
        <f t="shared" si="15"/>
        <v>114.11963470317049</v>
      </c>
      <c r="AX20" s="237">
        <f t="shared" si="16"/>
        <v>1.5228310502283104</v>
      </c>
      <c r="AY20" s="238">
        <f t="shared" si="17"/>
        <v>7.40095890410959</v>
      </c>
      <c r="AZ20" s="239">
        <f t="shared" si="18"/>
        <v>1.7429999999999999</v>
      </c>
      <c r="BA20" s="240">
        <f t="shared" si="19"/>
        <v>6.5013900000000007</v>
      </c>
      <c r="BB20" s="114"/>
      <c r="BC20" s="144">
        <v>41491.495220007564</v>
      </c>
      <c r="BD20" s="144">
        <f t="shared" si="20"/>
        <v>48882.73333333333</v>
      </c>
      <c r="BE20" s="145">
        <f t="shared" si="21"/>
        <v>56073.628819988677</v>
      </c>
      <c r="BF20" s="99"/>
      <c r="BG20" s="146">
        <v>161.44550669263643</v>
      </c>
      <c r="BH20" s="146">
        <f t="shared" si="22"/>
        <v>145.7011425732737</v>
      </c>
      <c r="BI20" s="147">
        <f t="shared" si="23"/>
        <v>128.02198360728008</v>
      </c>
      <c r="BJ20" s="4"/>
    </row>
    <row r="21" spans="1:62" ht="13.5" thickBot="1" x14ac:dyDescent="0.25">
      <c r="A21" s="3"/>
      <c r="B21" s="101">
        <v>45396</v>
      </c>
      <c r="C21" s="20"/>
      <c r="D21" s="136">
        <v>0.74519999999999997</v>
      </c>
      <c r="E21" s="96"/>
      <c r="F21" s="137">
        <v>392</v>
      </c>
      <c r="G21" s="95"/>
      <c r="H21" s="137">
        <v>335.5</v>
      </c>
      <c r="I21" s="96"/>
      <c r="J21" s="138">
        <v>35239.999999990687</v>
      </c>
      <c r="K21" s="200">
        <f t="shared" si="24"/>
        <v>43534</v>
      </c>
      <c r="L21" s="200">
        <v>38116.00000000908</v>
      </c>
      <c r="M21" s="228">
        <f t="shared" si="0"/>
        <v>48983.599999987055</v>
      </c>
      <c r="N21" s="98"/>
      <c r="O21" s="139">
        <v>0</v>
      </c>
      <c r="P21" s="247">
        <f t="shared" si="1"/>
        <v>73.900000000000006</v>
      </c>
      <c r="Q21" s="140">
        <v>0</v>
      </c>
      <c r="R21" s="201">
        <f t="shared" si="2"/>
        <v>483.33333333333331</v>
      </c>
      <c r="S21" s="256">
        <v>0</v>
      </c>
      <c r="T21" s="141">
        <f t="shared" si="3"/>
        <v>0</v>
      </c>
      <c r="U21" s="99"/>
      <c r="V21" s="142">
        <v>631</v>
      </c>
      <c r="W21" s="170">
        <f t="shared" si="25"/>
        <v>598.29999999999995</v>
      </c>
      <c r="X21" s="202">
        <f t="shared" si="26"/>
        <v>2907.6666666666665</v>
      </c>
      <c r="Y21" s="258">
        <v>2347.41</v>
      </c>
      <c r="Z21" s="29">
        <v>3066.6600000000003</v>
      </c>
      <c r="AA21" s="100"/>
      <c r="AB21" s="143">
        <v>553.20000000000005</v>
      </c>
      <c r="AC21" s="210">
        <f t="shared" si="4"/>
        <v>2063.4360000000001</v>
      </c>
      <c r="AD21" s="173">
        <f t="shared" si="5"/>
        <v>388.45</v>
      </c>
      <c r="AE21" s="210">
        <f t="shared" si="6"/>
        <v>1468.3</v>
      </c>
      <c r="AF21" s="210">
        <v>424.12</v>
      </c>
      <c r="AG21" s="210">
        <v>1581.9675999999999</v>
      </c>
      <c r="AH21" s="210">
        <v>182.05199999999999</v>
      </c>
      <c r="AI21" s="210">
        <f t="shared" si="7"/>
        <v>679.05395999999996</v>
      </c>
      <c r="AJ21" s="173">
        <f t="shared" si="8"/>
        <v>129.48333333333332</v>
      </c>
      <c r="AK21" s="210">
        <f t="shared" si="9"/>
        <v>489.43333333333334</v>
      </c>
      <c r="AL21" s="210">
        <v>163.38</v>
      </c>
      <c r="AM21" s="210">
        <v>609.40739999999994</v>
      </c>
      <c r="AN21" s="173">
        <f t="shared" si="10"/>
        <v>735.25200000000007</v>
      </c>
      <c r="AO21" s="173">
        <f t="shared" si="11"/>
        <v>587.5</v>
      </c>
      <c r="AP21" s="173">
        <f t="shared" si="12"/>
        <v>517.93333333333328</v>
      </c>
      <c r="AQ21" s="179">
        <f t="shared" si="13"/>
        <v>1957.7333333333333</v>
      </c>
      <c r="AR21" s="260">
        <v>2191.375</v>
      </c>
      <c r="AS21" s="66">
        <f t="shared" si="14"/>
        <v>2742.4899599999999</v>
      </c>
      <c r="AT21" s="116"/>
      <c r="AU21" s="115"/>
      <c r="AV21" s="235">
        <v>89.897959183649718</v>
      </c>
      <c r="AW21" s="236">
        <f t="shared" si="15"/>
        <v>124.9581632652731</v>
      </c>
      <c r="AX21" s="237">
        <f t="shared" si="16"/>
        <v>1.6096938775510203</v>
      </c>
      <c r="AY21" s="238">
        <f t="shared" si="17"/>
        <v>7.8231122448979598</v>
      </c>
      <c r="AZ21" s="239">
        <f t="shared" si="18"/>
        <v>1.8756428571428574</v>
      </c>
      <c r="BA21" s="240">
        <f t="shared" si="19"/>
        <v>6.9961478571428568</v>
      </c>
      <c r="BB21" s="114"/>
      <c r="BC21" s="144">
        <v>42654.785000009084</v>
      </c>
      <c r="BD21" s="144">
        <f t="shared" si="20"/>
        <v>48882.73333333333</v>
      </c>
      <c r="BE21" s="145">
        <f t="shared" si="21"/>
        <v>54792.749959987057</v>
      </c>
      <c r="BF21" s="99"/>
      <c r="BG21" s="146">
        <v>176.25944214879786</v>
      </c>
      <c r="BH21" s="146">
        <f t="shared" si="22"/>
        <v>145.7011425732737</v>
      </c>
      <c r="BI21" s="147">
        <f t="shared" si="23"/>
        <v>139.77742336731393</v>
      </c>
      <c r="BJ21" s="4"/>
    </row>
    <row r="22" spans="1:62" ht="13.5" thickBot="1" x14ac:dyDescent="0.25">
      <c r="A22" s="3"/>
      <c r="B22" s="101">
        <v>45397</v>
      </c>
      <c r="C22" s="20"/>
      <c r="D22" s="136">
        <v>0.68059999999999998</v>
      </c>
      <c r="E22" s="96"/>
      <c r="F22" s="137">
        <v>358</v>
      </c>
      <c r="G22" s="95"/>
      <c r="H22" s="137">
        <v>335.5</v>
      </c>
      <c r="I22" s="96"/>
      <c r="J22" s="138">
        <v>34240.000000019791</v>
      </c>
      <c r="K22" s="200">
        <f t="shared" si="24"/>
        <v>43534</v>
      </c>
      <c r="L22" s="200">
        <v>42275.999999986379</v>
      </c>
      <c r="M22" s="228">
        <f t="shared" si="0"/>
        <v>47593.600000027509</v>
      </c>
      <c r="N22" s="98"/>
      <c r="O22" s="139">
        <v>0</v>
      </c>
      <c r="P22" s="247">
        <f t="shared" si="1"/>
        <v>73.900000000000006</v>
      </c>
      <c r="Q22" s="140">
        <v>0</v>
      </c>
      <c r="R22" s="201">
        <f t="shared" si="2"/>
        <v>483.33333333333331</v>
      </c>
      <c r="S22" s="256">
        <v>0</v>
      </c>
      <c r="T22" s="141">
        <f t="shared" si="3"/>
        <v>0</v>
      </c>
      <c r="U22" s="99"/>
      <c r="V22" s="142">
        <v>626</v>
      </c>
      <c r="W22" s="170">
        <f t="shared" si="25"/>
        <v>598.29999999999995</v>
      </c>
      <c r="X22" s="202">
        <f t="shared" si="26"/>
        <v>2907.6666666666665</v>
      </c>
      <c r="Y22" s="258">
        <v>2657.62</v>
      </c>
      <c r="Z22" s="29">
        <v>3042.36</v>
      </c>
      <c r="AA22" s="100"/>
      <c r="AB22" s="143">
        <v>543.98</v>
      </c>
      <c r="AC22" s="210">
        <f t="shared" si="4"/>
        <v>2029.0454</v>
      </c>
      <c r="AD22" s="173">
        <f t="shared" si="5"/>
        <v>388.45</v>
      </c>
      <c r="AE22" s="210">
        <f t="shared" si="6"/>
        <v>1468.3</v>
      </c>
      <c r="AF22" s="210">
        <v>428.73</v>
      </c>
      <c r="AG22" s="210">
        <v>1599.1629</v>
      </c>
      <c r="AH22" s="210">
        <v>158.71200000000002</v>
      </c>
      <c r="AI22" s="210">
        <f t="shared" si="7"/>
        <v>591.99576000000002</v>
      </c>
      <c r="AJ22" s="173">
        <f t="shared" si="8"/>
        <v>129.48333333333332</v>
      </c>
      <c r="AK22" s="210">
        <f t="shared" si="9"/>
        <v>489.43333333333334</v>
      </c>
      <c r="AL22" s="210">
        <v>158.71200000000002</v>
      </c>
      <c r="AM22" s="210">
        <v>591.99576000000002</v>
      </c>
      <c r="AN22" s="173">
        <f t="shared" si="10"/>
        <v>702.69200000000001</v>
      </c>
      <c r="AO22" s="173">
        <f t="shared" si="11"/>
        <v>587.44200000000001</v>
      </c>
      <c r="AP22" s="173">
        <f t="shared" si="12"/>
        <v>517.93333333333328</v>
      </c>
      <c r="AQ22" s="179">
        <f t="shared" si="13"/>
        <v>1957.7333333333333</v>
      </c>
      <c r="AR22" s="260">
        <v>2191.1586600000001</v>
      </c>
      <c r="AS22" s="66">
        <f t="shared" si="14"/>
        <v>2621.0411599999998</v>
      </c>
      <c r="AT22" s="116"/>
      <c r="AU22" s="115"/>
      <c r="AV22" s="235">
        <v>95.642458100613936</v>
      </c>
      <c r="AW22" s="236">
        <f t="shared" si="15"/>
        <v>132.94301675985338</v>
      </c>
      <c r="AX22" s="237">
        <f t="shared" si="16"/>
        <v>1.7486033519553073</v>
      </c>
      <c r="AY22" s="238">
        <f t="shared" si="17"/>
        <v>8.4982122905027939</v>
      </c>
      <c r="AZ22" s="239">
        <f t="shared" si="18"/>
        <v>1.9628268156424582</v>
      </c>
      <c r="BA22" s="240">
        <f t="shared" si="19"/>
        <v>7.3213440223463682</v>
      </c>
      <c r="BB22" s="114"/>
      <c r="BC22" s="144">
        <v>47124.778659986383</v>
      </c>
      <c r="BD22" s="144">
        <f t="shared" si="20"/>
        <v>48882.73333333333</v>
      </c>
      <c r="BE22" s="145">
        <f t="shared" si="21"/>
        <v>53257.00116002751</v>
      </c>
      <c r="BF22" s="99"/>
      <c r="BG22" s="146">
        <v>176.49729835200893</v>
      </c>
      <c r="BH22" s="146">
        <f t="shared" si="22"/>
        <v>145.7011425732737</v>
      </c>
      <c r="BI22" s="147">
        <f t="shared" si="23"/>
        <v>148.76257307270254</v>
      </c>
      <c r="BJ22" s="4"/>
    </row>
    <row r="23" spans="1:62" ht="13.5" thickBot="1" x14ac:dyDescent="0.25">
      <c r="A23" s="3"/>
      <c r="B23" s="101">
        <v>45398</v>
      </c>
      <c r="C23" s="20"/>
      <c r="D23" s="136">
        <v>0.64639999999999997</v>
      </c>
      <c r="E23" s="96"/>
      <c r="F23" s="137">
        <v>340</v>
      </c>
      <c r="G23" s="95"/>
      <c r="H23" s="137">
        <v>335.5</v>
      </c>
      <c r="I23" s="96"/>
      <c r="J23" s="138">
        <v>32839.999999996508</v>
      </c>
      <c r="K23" s="200">
        <f t="shared" si="24"/>
        <v>43534</v>
      </c>
      <c r="L23" s="200">
        <v>34736.000000001513</v>
      </c>
      <c r="M23" s="228">
        <f t="shared" si="0"/>
        <v>45647.599999995145</v>
      </c>
      <c r="N23" s="98"/>
      <c r="O23" s="139">
        <v>0</v>
      </c>
      <c r="P23" s="247">
        <f t="shared" si="1"/>
        <v>73.900000000000006</v>
      </c>
      <c r="Q23" s="140">
        <v>0</v>
      </c>
      <c r="R23" s="201">
        <f t="shared" si="2"/>
        <v>483.33333333333331</v>
      </c>
      <c r="S23" s="256">
        <v>0</v>
      </c>
      <c r="T23" s="141">
        <f t="shared" si="3"/>
        <v>0</v>
      </c>
      <c r="U23" s="99"/>
      <c r="V23" s="142">
        <v>554</v>
      </c>
      <c r="W23" s="170">
        <f t="shared" si="25"/>
        <v>598.29999999999995</v>
      </c>
      <c r="X23" s="202">
        <f t="shared" si="26"/>
        <v>2907.6666666666665</v>
      </c>
      <c r="Y23" s="258">
        <v>2194.62</v>
      </c>
      <c r="Z23" s="29">
        <v>2692.44</v>
      </c>
      <c r="AA23" s="100"/>
      <c r="AB23" s="143">
        <v>507.1</v>
      </c>
      <c r="AC23" s="210">
        <f t="shared" si="4"/>
        <v>1891.4830000000002</v>
      </c>
      <c r="AD23" s="173">
        <f t="shared" si="5"/>
        <v>388.45</v>
      </c>
      <c r="AE23" s="210">
        <f t="shared" si="6"/>
        <v>1468.3</v>
      </c>
      <c r="AF23" s="210">
        <v>419.51000000000005</v>
      </c>
      <c r="AG23" s="210">
        <v>1564.7723000000001</v>
      </c>
      <c r="AH23" s="210">
        <v>177.38400000000001</v>
      </c>
      <c r="AI23" s="210">
        <f t="shared" si="7"/>
        <v>661.64232000000004</v>
      </c>
      <c r="AJ23" s="173">
        <f t="shared" si="8"/>
        <v>129.48333333333332</v>
      </c>
      <c r="AK23" s="210">
        <f t="shared" si="9"/>
        <v>489.43333333333334</v>
      </c>
      <c r="AL23" s="210">
        <v>168.048</v>
      </c>
      <c r="AM23" s="210">
        <v>626.81903999999997</v>
      </c>
      <c r="AN23" s="173">
        <f t="shared" si="10"/>
        <v>684.48400000000004</v>
      </c>
      <c r="AO23" s="173">
        <f t="shared" si="11"/>
        <v>587.55799999999999</v>
      </c>
      <c r="AP23" s="173">
        <f t="shared" si="12"/>
        <v>517.93333333333328</v>
      </c>
      <c r="AQ23" s="179">
        <f t="shared" si="13"/>
        <v>1957.7333333333333</v>
      </c>
      <c r="AR23" s="260">
        <v>2191.5913399999999</v>
      </c>
      <c r="AS23" s="66">
        <f t="shared" si="14"/>
        <v>2553.1253200000001</v>
      </c>
      <c r="AT23" s="116"/>
      <c r="AU23" s="115"/>
      <c r="AV23" s="235">
        <v>96.588235294107378</v>
      </c>
      <c r="AW23" s="236">
        <f t="shared" si="15"/>
        <v>134.25764705880925</v>
      </c>
      <c r="AX23" s="237">
        <f t="shared" si="16"/>
        <v>1.6294117647058823</v>
      </c>
      <c r="AY23" s="238">
        <f t="shared" si="17"/>
        <v>7.9189411764705886</v>
      </c>
      <c r="AZ23" s="239">
        <f t="shared" si="18"/>
        <v>2.0131882352941179</v>
      </c>
      <c r="BA23" s="240">
        <f t="shared" si="19"/>
        <v>7.5091921176470589</v>
      </c>
      <c r="BB23" s="114"/>
      <c r="BC23" s="144">
        <v>39122.211340001515</v>
      </c>
      <c r="BD23" s="144">
        <f t="shared" si="20"/>
        <v>48882.73333333333</v>
      </c>
      <c r="BE23" s="145">
        <f t="shared" si="21"/>
        <v>50893.165319995147</v>
      </c>
      <c r="BF23" s="99"/>
      <c r="BG23" s="146">
        <v>147.07598248120871</v>
      </c>
      <c r="BH23" s="146">
        <f t="shared" si="22"/>
        <v>145.7011425732737</v>
      </c>
      <c r="BI23" s="147">
        <f t="shared" si="23"/>
        <v>149.68578035292691</v>
      </c>
      <c r="BJ23" s="4"/>
    </row>
    <row r="24" spans="1:62" ht="13.5" thickBot="1" x14ac:dyDescent="0.25">
      <c r="A24" s="3"/>
      <c r="B24" s="101">
        <v>45399</v>
      </c>
      <c r="C24" s="20"/>
      <c r="D24" s="136">
        <v>0.64259999999999995</v>
      </c>
      <c r="E24" s="96"/>
      <c r="F24" s="137">
        <v>338</v>
      </c>
      <c r="G24" s="95"/>
      <c r="H24" s="137">
        <v>335.5</v>
      </c>
      <c r="I24" s="96"/>
      <c r="J24" s="138">
        <v>34079.999999987194</v>
      </c>
      <c r="K24" s="200">
        <f t="shared" si="24"/>
        <v>43534</v>
      </c>
      <c r="L24" s="200">
        <v>42796.000000016647</v>
      </c>
      <c r="M24" s="228">
        <f t="shared" si="0"/>
        <v>47371.1999999822</v>
      </c>
      <c r="N24" s="98"/>
      <c r="O24" s="139">
        <v>0</v>
      </c>
      <c r="P24" s="247">
        <f t="shared" si="1"/>
        <v>73.900000000000006</v>
      </c>
      <c r="Q24" s="140">
        <v>0</v>
      </c>
      <c r="R24" s="201">
        <f t="shared" si="2"/>
        <v>483.33333333333331</v>
      </c>
      <c r="S24" s="256">
        <v>0</v>
      </c>
      <c r="T24" s="141">
        <f t="shared" si="3"/>
        <v>0</v>
      </c>
      <c r="U24" s="99"/>
      <c r="V24" s="142">
        <v>565</v>
      </c>
      <c r="W24" s="170">
        <f t="shared" si="25"/>
        <v>598.29999999999995</v>
      </c>
      <c r="X24" s="202">
        <f t="shared" si="26"/>
        <v>2907.6666666666665</v>
      </c>
      <c r="Y24" s="258">
        <v>2421.4899999999998</v>
      </c>
      <c r="Z24" s="29">
        <v>2745.9</v>
      </c>
      <c r="AA24" s="100"/>
      <c r="AB24" s="143">
        <v>507.1</v>
      </c>
      <c r="AC24" s="210">
        <f t="shared" si="4"/>
        <v>1891.4830000000002</v>
      </c>
      <c r="AD24" s="173">
        <f t="shared" si="5"/>
        <v>388.45</v>
      </c>
      <c r="AE24" s="210">
        <f t="shared" si="6"/>
        <v>1468.3</v>
      </c>
      <c r="AF24" s="210">
        <v>456.39000000000004</v>
      </c>
      <c r="AG24" s="210">
        <v>1702.3347000000001</v>
      </c>
      <c r="AH24" s="210">
        <v>196.05600000000001</v>
      </c>
      <c r="AI24" s="210">
        <f t="shared" si="7"/>
        <v>731.28888000000006</v>
      </c>
      <c r="AJ24" s="173">
        <f t="shared" si="8"/>
        <v>129.48333333333332</v>
      </c>
      <c r="AK24" s="210">
        <f t="shared" si="9"/>
        <v>489.43333333333334</v>
      </c>
      <c r="AL24" s="210">
        <v>182.05199999999999</v>
      </c>
      <c r="AM24" s="210">
        <v>679.05395999999996</v>
      </c>
      <c r="AN24" s="173">
        <f t="shared" si="10"/>
        <v>703.15600000000006</v>
      </c>
      <c r="AO24" s="173">
        <f t="shared" si="11"/>
        <v>638.44200000000001</v>
      </c>
      <c r="AP24" s="173">
        <f t="shared" si="12"/>
        <v>517.93333333333328</v>
      </c>
      <c r="AQ24" s="179">
        <f t="shared" si="13"/>
        <v>1957.7333333333333</v>
      </c>
      <c r="AR24" s="260">
        <v>2381.3886600000001</v>
      </c>
      <c r="AS24" s="66">
        <f t="shared" si="14"/>
        <v>2622.7718800000002</v>
      </c>
      <c r="AT24" s="116"/>
      <c r="AU24" s="115"/>
      <c r="AV24" s="235">
        <v>100.82840236682601</v>
      </c>
      <c r="AW24" s="236">
        <f t="shared" si="15"/>
        <v>140.15147928988816</v>
      </c>
      <c r="AX24" s="237">
        <f t="shared" si="16"/>
        <v>1.6715976331360947</v>
      </c>
      <c r="AY24" s="238">
        <f t="shared" si="17"/>
        <v>8.1239644970414204</v>
      </c>
      <c r="AZ24" s="239">
        <f t="shared" si="18"/>
        <v>2.0803431952662725</v>
      </c>
      <c r="BA24" s="240">
        <f t="shared" si="19"/>
        <v>7.759680118343196</v>
      </c>
      <c r="BB24" s="114"/>
      <c r="BC24" s="144">
        <v>47598.878660016642</v>
      </c>
      <c r="BD24" s="144">
        <f t="shared" si="20"/>
        <v>48882.73333333333</v>
      </c>
      <c r="BE24" s="145">
        <f t="shared" si="21"/>
        <v>52739.871879982202</v>
      </c>
      <c r="BF24" s="99"/>
      <c r="BG24" s="146">
        <v>178.94315285720543</v>
      </c>
      <c r="BH24" s="146">
        <f t="shared" si="22"/>
        <v>145.7011425732737</v>
      </c>
      <c r="BI24" s="147">
        <f t="shared" si="23"/>
        <v>156.0351239052728</v>
      </c>
      <c r="BJ24" s="4"/>
    </row>
    <row r="25" spans="1:62" ht="13.5" thickBot="1" x14ac:dyDescent="0.25">
      <c r="A25" s="3"/>
      <c r="B25" s="101">
        <v>45400</v>
      </c>
      <c r="C25" s="20"/>
      <c r="D25" s="136">
        <v>0.64259999999999995</v>
      </c>
      <c r="E25" s="96"/>
      <c r="F25" s="137">
        <v>338</v>
      </c>
      <c r="G25" s="95"/>
      <c r="H25" s="137">
        <v>335.5</v>
      </c>
      <c r="I25" s="96"/>
      <c r="J25" s="138">
        <v>33959.999999991851</v>
      </c>
      <c r="K25" s="200">
        <f t="shared" si="24"/>
        <v>43534</v>
      </c>
      <c r="L25" s="200">
        <v>42743.999999968219</v>
      </c>
      <c r="M25" s="228">
        <f t="shared" si="0"/>
        <v>47204.399999988673</v>
      </c>
      <c r="N25" s="98"/>
      <c r="O25" s="139">
        <v>0</v>
      </c>
      <c r="P25" s="247">
        <f t="shared" si="1"/>
        <v>73.900000000000006</v>
      </c>
      <c r="Q25" s="140">
        <v>0</v>
      </c>
      <c r="R25" s="201">
        <f t="shared" si="2"/>
        <v>483.33333333333331</v>
      </c>
      <c r="S25" s="256">
        <v>0</v>
      </c>
      <c r="T25" s="141">
        <f t="shared" si="3"/>
        <v>0</v>
      </c>
      <c r="U25" s="99"/>
      <c r="V25" s="142">
        <v>596</v>
      </c>
      <c r="W25" s="170">
        <f t="shared" si="25"/>
        <v>598.29999999999995</v>
      </c>
      <c r="X25" s="202">
        <f t="shared" si="26"/>
        <v>2907.6666666666665</v>
      </c>
      <c r="Y25" s="258">
        <v>2412.23</v>
      </c>
      <c r="Z25" s="29">
        <v>2896.5600000000004</v>
      </c>
      <c r="AA25" s="100"/>
      <c r="AB25" s="143">
        <v>470.22</v>
      </c>
      <c r="AC25" s="210">
        <f t="shared" si="4"/>
        <v>1753.9206000000001</v>
      </c>
      <c r="AD25" s="173">
        <f t="shared" si="5"/>
        <v>388.45</v>
      </c>
      <c r="AE25" s="210">
        <f t="shared" si="6"/>
        <v>1468.3</v>
      </c>
      <c r="AF25" s="210">
        <v>433.34</v>
      </c>
      <c r="AG25" s="210">
        <v>1616.3582000000001</v>
      </c>
      <c r="AH25" s="210">
        <v>172.71600000000001</v>
      </c>
      <c r="AI25" s="210">
        <f t="shared" si="7"/>
        <v>644.23068000000001</v>
      </c>
      <c r="AJ25" s="173">
        <f t="shared" si="8"/>
        <v>129.48333333333332</v>
      </c>
      <c r="AK25" s="210">
        <f t="shared" si="9"/>
        <v>489.43333333333334</v>
      </c>
      <c r="AL25" s="210">
        <v>186.72</v>
      </c>
      <c r="AM25" s="210">
        <v>696.46559999999999</v>
      </c>
      <c r="AN25" s="173">
        <f t="shared" si="10"/>
        <v>642.93600000000004</v>
      </c>
      <c r="AO25" s="173">
        <f t="shared" si="11"/>
        <v>620.05999999999995</v>
      </c>
      <c r="AP25" s="173">
        <f t="shared" si="12"/>
        <v>517.93333333333328</v>
      </c>
      <c r="AQ25" s="179">
        <f t="shared" si="13"/>
        <v>1957.7333333333333</v>
      </c>
      <c r="AR25" s="260">
        <v>2312.8238000000001</v>
      </c>
      <c r="AS25" s="66">
        <f t="shared" si="14"/>
        <v>2398.15128</v>
      </c>
      <c r="AT25" s="116"/>
      <c r="AU25" s="115"/>
      <c r="AV25" s="235">
        <v>100.47337278104098</v>
      </c>
      <c r="AW25" s="236">
        <f t="shared" si="15"/>
        <v>139.65798816564697</v>
      </c>
      <c r="AX25" s="237">
        <f t="shared" si="16"/>
        <v>1.7633136094674555</v>
      </c>
      <c r="AY25" s="238">
        <f t="shared" si="17"/>
        <v>8.5697041420118349</v>
      </c>
      <c r="AZ25" s="239">
        <f t="shared" si="18"/>
        <v>1.9021775147928994</v>
      </c>
      <c r="BA25" s="240">
        <f t="shared" si="19"/>
        <v>7.0951221301775149</v>
      </c>
      <c r="BB25" s="114"/>
      <c r="BC25" s="144">
        <v>47469.05379996822</v>
      </c>
      <c r="BD25" s="144">
        <f t="shared" si="20"/>
        <v>48882.73333333333</v>
      </c>
      <c r="BE25" s="145">
        <f t="shared" si="21"/>
        <v>52499.111279988669</v>
      </c>
      <c r="BF25" s="99"/>
      <c r="BG25" s="146">
        <v>170.13997777766386</v>
      </c>
      <c r="BH25" s="146">
        <f t="shared" si="22"/>
        <v>145.7011425732737</v>
      </c>
      <c r="BI25" s="147">
        <f t="shared" si="23"/>
        <v>155.32281443783629</v>
      </c>
      <c r="BJ25" s="4"/>
    </row>
    <row r="26" spans="1:62" ht="12.75" customHeight="1" thickBot="1" x14ac:dyDescent="0.25">
      <c r="A26" s="3"/>
      <c r="B26" s="101">
        <v>45401</v>
      </c>
      <c r="C26" s="20"/>
      <c r="D26" s="136">
        <v>0.63880000000000003</v>
      </c>
      <c r="E26" s="96"/>
      <c r="F26" s="137">
        <v>336</v>
      </c>
      <c r="G26" s="95"/>
      <c r="H26" s="137">
        <v>335.5</v>
      </c>
      <c r="I26" s="96"/>
      <c r="J26" s="138">
        <v>35640.00000001397</v>
      </c>
      <c r="K26" s="200">
        <f t="shared" si="24"/>
        <v>43534</v>
      </c>
      <c r="L26" s="200">
        <v>44720.000000030268</v>
      </c>
      <c r="M26" s="228">
        <f t="shared" si="0"/>
        <v>49539.600000019418</v>
      </c>
      <c r="N26" s="98"/>
      <c r="O26" s="139">
        <v>0</v>
      </c>
      <c r="P26" s="247">
        <f t="shared" si="1"/>
        <v>73.900000000000006</v>
      </c>
      <c r="Q26" s="140">
        <v>0</v>
      </c>
      <c r="R26" s="201">
        <f t="shared" si="2"/>
        <v>483.33333333333331</v>
      </c>
      <c r="S26" s="256">
        <v>0</v>
      </c>
      <c r="T26" s="141">
        <f t="shared" si="3"/>
        <v>0</v>
      </c>
      <c r="U26" s="99"/>
      <c r="V26" s="142">
        <v>661</v>
      </c>
      <c r="W26" s="170">
        <f t="shared" si="25"/>
        <v>598.29999999999995</v>
      </c>
      <c r="X26" s="202">
        <f t="shared" si="26"/>
        <v>2907.6666666666665</v>
      </c>
      <c r="Y26" s="258">
        <v>2282.59</v>
      </c>
      <c r="Z26" s="29">
        <v>3212.46</v>
      </c>
      <c r="AA26" s="100"/>
      <c r="AB26" s="143">
        <v>497.88000000000005</v>
      </c>
      <c r="AC26" s="210">
        <f t="shared" si="4"/>
        <v>1857.0924000000002</v>
      </c>
      <c r="AD26" s="173">
        <f t="shared" si="5"/>
        <v>388.45</v>
      </c>
      <c r="AE26" s="210">
        <f t="shared" si="6"/>
        <v>1468.3</v>
      </c>
      <c r="AF26" s="210">
        <v>396.46000000000004</v>
      </c>
      <c r="AG26" s="210">
        <v>1478.7958000000001</v>
      </c>
      <c r="AH26" s="210">
        <v>168.048</v>
      </c>
      <c r="AI26" s="210">
        <f t="shared" si="7"/>
        <v>626.81903999999997</v>
      </c>
      <c r="AJ26" s="173">
        <f t="shared" si="8"/>
        <v>129.48333333333332</v>
      </c>
      <c r="AK26" s="210">
        <f t="shared" si="9"/>
        <v>489.43333333333334</v>
      </c>
      <c r="AL26" s="210">
        <v>210.06</v>
      </c>
      <c r="AM26" s="210">
        <v>783.52380000000005</v>
      </c>
      <c r="AN26" s="173">
        <f t="shared" si="10"/>
        <v>665.92800000000011</v>
      </c>
      <c r="AO26" s="173">
        <f t="shared" si="11"/>
        <v>606.52</v>
      </c>
      <c r="AP26" s="173">
        <f t="shared" si="12"/>
        <v>517.93333333333328</v>
      </c>
      <c r="AQ26" s="179">
        <f t="shared" si="13"/>
        <v>1957.7333333333333</v>
      </c>
      <c r="AR26" s="260">
        <v>2262.3196000000003</v>
      </c>
      <c r="AS26" s="66">
        <f t="shared" si="14"/>
        <v>2483.9114400000003</v>
      </c>
      <c r="AT26" s="116"/>
      <c r="AU26" s="115"/>
      <c r="AV26" s="235">
        <v>106.07142857147015</v>
      </c>
      <c r="AW26" s="236">
        <f t="shared" si="15"/>
        <v>147.4392857143435</v>
      </c>
      <c r="AX26" s="237">
        <f t="shared" si="16"/>
        <v>1.9672619047619047</v>
      </c>
      <c r="AY26" s="238">
        <f t="shared" si="17"/>
        <v>9.5608928571428571</v>
      </c>
      <c r="AZ26" s="239">
        <f t="shared" si="18"/>
        <v>1.9819285714285717</v>
      </c>
      <c r="BA26" s="240">
        <f t="shared" si="19"/>
        <v>7.3925935714285727</v>
      </c>
      <c r="BB26" s="114"/>
      <c r="BC26" s="144">
        <v>49264.909600030267</v>
      </c>
      <c r="BD26" s="144">
        <f t="shared" si="20"/>
        <v>48882.73333333333</v>
      </c>
      <c r="BE26" s="145">
        <f t="shared" si="21"/>
        <v>55235.971440019421</v>
      </c>
      <c r="BF26" s="99"/>
      <c r="BG26" s="146">
        <v>166.99969355942463</v>
      </c>
      <c r="BH26" s="146">
        <f t="shared" si="22"/>
        <v>145.7011425732737</v>
      </c>
      <c r="BI26" s="147">
        <f t="shared" si="23"/>
        <v>164.39277214291494</v>
      </c>
      <c r="BJ26" s="4"/>
    </row>
    <row r="27" spans="1:62" ht="13.5" thickBot="1" x14ac:dyDescent="0.25">
      <c r="A27" s="3"/>
      <c r="B27" s="101">
        <v>45402</v>
      </c>
      <c r="C27" s="20"/>
      <c r="D27" s="136">
        <v>0.66349999999999998</v>
      </c>
      <c r="E27" s="96"/>
      <c r="F27" s="137">
        <v>349</v>
      </c>
      <c r="G27" s="95"/>
      <c r="H27" s="137">
        <v>335.5</v>
      </c>
      <c r="I27" s="96"/>
      <c r="J27" s="138">
        <v>34639.999999984866</v>
      </c>
      <c r="K27" s="200">
        <f t="shared" si="24"/>
        <v>43534</v>
      </c>
      <c r="L27" s="200">
        <v>47683.99999999092</v>
      </c>
      <c r="M27" s="228">
        <f t="shared" si="0"/>
        <v>48149.599999978964</v>
      </c>
      <c r="N27" s="98"/>
      <c r="O27" s="139">
        <v>0</v>
      </c>
      <c r="P27" s="247">
        <f t="shared" si="1"/>
        <v>73.900000000000006</v>
      </c>
      <c r="Q27" s="140">
        <v>0</v>
      </c>
      <c r="R27" s="201">
        <f t="shared" si="2"/>
        <v>483.33333333333331</v>
      </c>
      <c r="S27" s="256">
        <v>0</v>
      </c>
      <c r="T27" s="141">
        <f t="shared" si="3"/>
        <v>0</v>
      </c>
      <c r="U27" s="99"/>
      <c r="V27" s="142">
        <v>506</v>
      </c>
      <c r="W27" s="170">
        <f t="shared" si="25"/>
        <v>598.29999999999995</v>
      </c>
      <c r="X27" s="202">
        <f t="shared" si="26"/>
        <v>2907.6666666666665</v>
      </c>
      <c r="Y27" s="258">
        <v>2838.19</v>
      </c>
      <c r="Z27" s="29">
        <v>2459.1600000000003</v>
      </c>
      <c r="AA27" s="100"/>
      <c r="AB27" s="143">
        <v>456.39000000000004</v>
      </c>
      <c r="AC27" s="210">
        <f t="shared" si="4"/>
        <v>1702.3347000000001</v>
      </c>
      <c r="AD27" s="173">
        <f t="shared" si="5"/>
        <v>388.45</v>
      </c>
      <c r="AE27" s="210">
        <f t="shared" si="6"/>
        <v>1468.3</v>
      </c>
      <c r="AF27" s="210">
        <v>410.29</v>
      </c>
      <c r="AG27" s="210">
        <v>1530.3817000000001</v>
      </c>
      <c r="AH27" s="210">
        <v>182.05199999999999</v>
      </c>
      <c r="AI27" s="210">
        <f t="shared" si="7"/>
        <v>679.05395999999996</v>
      </c>
      <c r="AJ27" s="173">
        <f t="shared" si="8"/>
        <v>129.48333333333332</v>
      </c>
      <c r="AK27" s="210">
        <f t="shared" si="9"/>
        <v>489.43333333333334</v>
      </c>
      <c r="AL27" s="210">
        <v>214.72800000000001</v>
      </c>
      <c r="AM27" s="210">
        <v>800.93544000000009</v>
      </c>
      <c r="AN27" s="173">
        <f t="shared" si="10"/>
        <v>638.44200000000001</v>
      </c>
      <c r="AO27" s="173">
        <f t="shared" si="11"/>
        <v>625.01800000000003</v>
      </c>
      <c r="AP27" s="173">
        <f t="shared" si="12"/>
        <v>517.93333333333328</v>
      </c>
      <c r="AQ27" s="179">
        <f t="shared" si="13"/>
        <v>1957.7333333333333</v>
      </c>
      <c r="AR27" s="260">
        <v>2331.3171400000001</v>
      </c>
      <c r="AS27" s="66">
        <f t="shared" si="14"/>
        <v>2381.3886600000001</v>
      </c>
      <c r="AT27" s="116"/>
      <c r="AU27" s="115"/>
      <c r="AV27" s="235">
        <v>99.255014326604197</v>
      </c>
      <c r="AW27" s="236">
        <f t="shared" si="15"/>
        <v>137.96446991397983</v>
      </c>
      <c r="AX27" s="237">
        <f t="shared" si="16"/>
        <v>1.4498567335243553</v>
      </c>
      <c r="AY27" s="238">
        <f t="shared" si="17"/>
        <v>7.046303724928368</v>
      </c>
      <c r="AZ27" s="239">
        <f t="shared" si="18"/>
        <v>1.8293467048710601</v>
      </c>
      <c r="BA27" s="240">
        <f t="shared" si="19"/>
        <v>6.8234632091690548</v>
      </c>
      <c r="BB27" s="114"/>
      <c r="BC27" s="144">
        <v>52853.507139990921</v>
      </c>
      <c r="BD27" s="144">
        <f t="shared" si="20"/>
        <v>48882.73333333333</v>
      </c>
      <c r="BE27" s="145">
        <f t="shared" si="21"/>
        <v>52990.148659978964</v>
      </c>
      <c r="BF27" s="99"/>
      <c r="BG27" s="146">
        <v>161.13874128046012</v>
      </c>
      <c r="BH27" s="146">
        <f t="shared" si="22"/>
        <v>145.7011425732737</v>
      </c>
      <c r="BI27" s="147">
        <f t="shared" si="23"/>
        <v>151.83423684807727</v>
      </c>
      <c r="BJ27" s="4"/>
    </row>
    <row r="28" spans="1:62" ht="13.5" thickBot="1" x14ac:dyDescent="0.25">
      <c r="A28" s="3"/>
      <c r="B28" s="101">
        <v>45403</v>
      </c>
      <c r="C28" s="20"/>
      <c r="D28" s="136">
        <v>0.70909999999999995</v>
      </c>
      <c r="E28" s="96"/>
      <c r="F28" s="137">
        <v>373</v>
      </c>
      <c r="G28" s="95"/>
      <c r="H28" s="137">
        <v>335.5</v>
      </c>
      <c r="I28" s="96"/>
      <c r="J28" s="138">
        <v>33240.000000019791</v>
      </c>
      <c r="K28" s="200">
        <f t="shared" si="24"/>
        <v>43534</v>
      </c>
      <c r="L28" s="200">
        <v>45967.999999981839</v>
      </c>
      <c r="M28" s="228">
        <f t="shared" si="0"/>
        <v>46203.600000027509</v>
      </c>
      <c r="N28" s="98"/>
      <c r="O28" s="139">
        <v>0</v>
      </c>
      <c r="P28" s="247">
        <f t="shared" si="1"/>
        <v>73.900000000000006</v>
      </c>
      <c r="Q28" s="140">
        <v>0</v>
      </c>
      <c r="R28" s="201">
        <f t="shared" si="2"/>
        <v>483.33333333333331</v>
      </c>
      <c r="S28" s="256">
        <v>0</v>
      </c>
      <c r="T28" s="141">
        <f t="shared" si="3"/>
        <v>0</v>
      </c>
      <c r="U28" s="99"/>
      <c r="V28" s="142">
        <v>513</v>
      </c>
      <c r="W28" s="170">
        <f t="shared" si="25"/>
        <v>598.29999999999995</v>
      </c>
      <c r="X28" s="202">
        <f t="shared" si="26"/>
        <v>2907.6666666666665</v>
      </c>
      <c r="Y28" s="258">
        <v>2912.27</v>
      </c>
      <c r="Z28" s="29">
        <v>2493.1800000000003</v>
      </c>
      <c r="AA28" s="100"/>
      <c r="AB28" s="143">
        <v>470.22</v>
      </c>
      <c r="AC28" s="210">
        <f t="shared" si="4"/>
        <v>1753.9206000000001</v>
      </c>
      <c r="AD28" s="173">
        <f t="shared" si="5"/>
        <v>388.45</v>
      </c>
      <c r="AE28" s="210">
        <f t="shared" si="6"/>
        <v>1468.3</v>
      </c>
      <c r="AF28" s="210">
        <v>543.98</v>
      </c>
      <c r="AG28" s="210">
        <v>2029.0454</v>
      </c>
      <c r="AH28" s="210">
        <v>191.38800000000001</v>
      </c>
      <c r="AI28" s="210">
        <f t="shared" si="7"/>
        <v>713.87724000000003</v>
      </c>
      <c r="AJ28" s="173">
        <f t="shared" si="8"/>
        <v>129.48333333333332</v>
      </c>
      <c r="AK28" s="210">
        <f t="shared" si="9"/>
        <v>489.43333333333334</v>
      </c>
      <c r="AL28" s="210">
        <v>210.06</v>
      </c>
      <c r="AM28" s="210">
        <v>783.52380000000005</v>
      </c>
      <c r="AN28" s="173">
        <f t="shared" si="10"/>
        <v>661.60800000000006</v>
      </c>
      <c r="AO28" s="173">
        <f t="shared" si="11"/>
        <v>754.04</v>
      </c>
      <c r="AP28" s="173">
        <f t="shared" si="12"/>
        <v>517.93333333333328</v>
      </c>
      <c r="AQ28" s="179">
        <f t="shared" si="13"/>
        <v>1957.7333333333333</v>
      </c>
      <c r="AR28" s="260">
        <v>2812.5691999999999</v>
      </c>
      <c r="AS28" s="66">
        <f t="shared" si="14"/>
        <v>2467.7978400000002</v>
      </c>
      <c r="AT28" s="116"/>
      <c r="AU28" s="115"/>
      <c r="AV28" s="235">
        <v>89.11528150139354</v>
      </c>
      <c r="AW28" s="236">
        <f t="shared" si="15"/>
        <v>123.87024128693702</v>
      </c>
      <c r="AX28" s="237">
        <f t="shared" si="16"/>
        <v>1.3753351206434317</v>
      </c>
      <c r="AY28" s="238">
        <f t="shared" si="17"/>
        <v>6.6841286863270781</v>
      </c>
      <c r="AZ28" s="239">
        <f t="shared" si="18"/>
        <v>1.7737479892761396</v>
      </c>
      <c r="BA28" s="240">
        <f t="shared" si="19"/>
        <v>6.6160800000000002</v>
      </c>
      <c r="BB28" s="114"/>
      <c r="BC28" s="144">
        <v>51692.839199981834</v>
      </c>
      <c r="BD28" s="144">
        <f t="shared" si="20"/>
        <v>48882.73333333333</v>
      </c>
      <c r="BE28" s="145">
        <f t="shared" si="21"/>
        <v>51164.577840027509</v>
      </c>
      <c r="BF28" s="99"/>
      <c r="BG28" s="146">
        <v>137.48095531910062</v>
      </c>
      <c r="BH28" s="146">
        <f t="shared" si="22"/>
        <v>145.7011425732737</v>
      </c>
      <c r="BI28" s="147">
        <f t="shared" si="23"/>
        <v>137.17044997326408</v>
      </c>
      <c r="BJ28" s="4"/>
    </row>
    <row r="29" spans="1:62" ht="13.5" thickBot="1" x14ac:dyDescent="0.25">
      <c r="A29" s="3"/>
      <c r="B29" s="101">
        <v>45404</v>
      </c>
      <c r="C29" s="20"/>
      <c r="D29" s="136">
        <v>0.73</v>
      </c>
      <c r="E29" s="96"/>
      <c r="F29" s="137">
        <v>384</v>
      </c>
      <c r="G29" s="95"/>
      <c r="H29" s="137">
        <v>335.5</v>
      </c>
      <c r="I29" s="96"/>
      <c r="J29" s="138">
        <v>36679.999999993015</v>
      </c>
      <c r="K29" s="200">
        <f t="shared" si="24"/>
        <v>43534</v>
      </c>
      <c r="L29" s="200">
        <v>50388.000000012107</v>
      </c>
      <c r="M29" s="228">
        <f t="shared" si="0"/>
        <v>50985.199999990291</v>
      </c>
      <c r="N29" s="98"/>
      <c r="O29" s="139">
        <v>0</v>
      </c>
      <c r="P29" s="247">
        <f t="shared" si="1"/>
        <v>73.900000000000006</v>
      </c>
      <c r="Q29" s="140">
        <v>0</v>
      </c>
      <c r="R29" s="201">
        <f t="shared" si="2"/>
        <v>483.33333333333331</v>
      </c>
      <c r="S29" s="256">
        <v>0</v>
      </c>
      <c r="T29" s="141">
        <f t="shared" si="3"/>
        <v>0</v>
      </c>
      <c r="U29" s="99"/>
      <c r="V29" s="142">
        <v>541</v>
      </c>
      <c r="W29" s="170">
        <f t="shared" si="25"/>
        <v>598.29999999999995</v>
      </c>
      <c r="X29" s="202">
        <f t="shared" si="26"/>
        <v>2907.6666666666665</v>
      </c>
      <c r="Y29" s="258">
        <v>2819.67</v>
      </c>
      <c r="Z29" s="29">
        <v>2629.26</v>
      </c>
      <c r="AA29" s="100"/>
      <c r="AB29" s="143">
        <v>493.27000000000004</v>
      </c>
      <c r="AC29" s="210">
        <f t="shared" si="4"/>
        <v>1839.8971000000001</v>
      </c>
      <c r="AD29" s="173">
        <f t="shared" si="5"/>
        <v>388.45</v>
      </c>
      <c r="AE29" s="210">
        <f t="shared" si="6"/>
        <v>1468.3</v>
      </c>
      <c r="AF29" s="210">
        <v>571.64</v>
      </c>
      <c r="AG29" s="210">
        <v>2132.2172</v>
      </c>
      <c r="AH29" s="210">
        <v>182.05199999999999</v>
      </c>
      <c r="AI29" s="210">
        <f t="shared" si="7"/>
        <v>679.05395999999996</v>
      </c>
      <c r="AJ29" s="173">
        <f t="shared" si="8"/>
        <v>129.48333333333332</v>
      </c>
      <c r="AK29" s="210">
        <f t="shared" si="9"/>
        <v>489.43333333333334</v>
      </c>
      <c r="AL29" s="210">
        <v>242.73600000000002</v>
      </c>
      <c r="AM29" s="210">
        <v>905.40528000000006</v>
      </c>
      <c r="AN29" s="173">
        <f t="shared" si="10"/>
        <v>675.322</v>
      </c>
      <c r="AO29" s="173">
        <f t="shared" si="11"/>
        <v>814.37599999999998</v>
      </c>
      <c r="AP29" s="173">
        <f t="shared" si="12"/>
        <v>517.93333333333328</v>
      </c>
      <c r="AQ29" s="179">
        <f t="shared" si="13"/>
        <v>1957.7333333333333</v>
      </c>
      <c r="AR29" s="260">
        <v>3037.62248</v>
      </c>
      <c r="AS29" s="66">
        <f t="shared" si="14"/>
        <v>2518.9510600000003</v>
      </c>
      <c r="AT29" s="116"/>
      <c r="AU29" s="115"/>
      <c r="AV29" s="235">
        <v>95.520833333315139</v>
      </c>
      <c r="AW29" s="236">
        <f t="shared" si="15"/>
        <v>132.77395833330806</v>
      </c>
      <c r="AX29" s="237">
        <f t="shared" si="16"/>
        <v>1.4088541666666667</v>
      </c>
      <c r="AY29" s="238">
        <f t="shared" si="17"/>
        <v>6.8470312500000006</v>
      </c>
      <c r="AZ29" s="239">
        <f t="shared" si="18"/>
        <v>1.7586510416666667</v>
      </c>
      <c r="BA29" s="240">
        <f t="shared" si="19"/>
        <v>6.5597683854166675</v>
      </c>
      <c r="BB29" s="114"/>
      <c r="BC29" s="144">
        <v>56245.292480012104</v>
      </c>
      <c r="BD29" s="144">
        <f t="shared" si="20"/>
        <v>48882.73333333333</v>
      </c>
      <c r="BE29" s="145">
        <f t="shared" si="21"/>
        <v>56133.411059990292</v>
      </c>
      <c r="BF29" s="99"/>
      <c r="BG29" s="146">
        <v>132.03120300472324</v>
      </c>
      <c r="BH29" s="146">
        <f t="shared" si="22"/>
        <v>145.7011425732737</v>
      </c>
      <c r="BI29" s="147">
        <f t="shared" si="23"/>
        <v>146.18075796872472</v>
      </c>
      <c r="BJ29" s="4"/>
    </row>
    <row r="30" spans="1:62" ht="13.5" thickBot="1" x14ac:dyDescent="0.25">
      <c r="A30" s="3"/>
      <c r="B30" s="101">
        <v>45405</v>
      </c>
      <c r="C30" s="20"/>
      <c r="D30" s="136">
        <v>0.65200000000000002</v>
      </c>
      <c r="E30" s="96"/>
      <c r="F30" s="137">
        <v>342</v>
      </c>
      <c r="G30" s="95"/>
      <c r="H30" s="137">
        <v>335.5</v>
      </c>
      <c r="I30" s="96"/>
      <c r="J30" s="138">
        <v>34880.000000004657</v>
      </c>
      <c r="K30" s="200">
        <f t="shared" si="24"/>
        <v>43534</v>
      </c>
      <c r="L30" s="200">
        <v>47372.000000003027</v>
      </c>
      <c r="M30" s="228">
        <f t="shared" si="0"/>
        <v>48483.200000006473</v>
      </c>
      <c r="N30" s="98"/>
      <c r="O30" s="139">
        <v>0</v>
      </c>
      <c r="P30" s="247">
        <f t="shared" si="1"/>
        <v>73.900000000000006</v>
      </c>
      <c r="Q30" s="140">
        <v>0</v>
      </c>
      <c r="R30" s="201">
        <f t="shared" si="2"/>
        <v>483.33333333333331</v>
      </c>
      <c r="S30" s="256">
        <v>0</v>
      </c>
      <c r="T30" s="141">
        <f t="shared" si="3"/>
        <v>0</v>
      </c>
      <c r="U30" s="99"/>
      <c r="V30" s="142">
        <v>549</v>
      </c>
      <c r="W30" s="170">
        <f t="shared" si="25"/>
        <v>598.29999999999995</v>
      </c>
      <c r="X30" s="202">
        <f t="shared" si="26"/>
        <v>2907.6666666666665</v>
      </c>
      <c r="Y30" s="258">
        <v>2940.0499999999997</v>
      </c>
      <c r="Z30" s="29">
        <v>2668.1400000000003</v>
      </c>
      <c r="AA30" s="100"/>
      <c r="AB30" s="143">
        <v>396.46000000000004</v>
      </c>
      <c r="AC30" s="210">
        <f t="shared" si="4"/>
        <v>1478.7958000000001</v>
      </c>
      <c r="AD30" s="173">
        <f t="shared" si="5"/>
        <v>388.45</v>
      </c>
      <c r="AE30" s="210">
        <f t="shared" si="6"/>
        <v>1468.3</v>
      </c>
      <c r="AF30" s="210">
        <v>557.81000000000006</v>
      </c>
      <c r="AG30" s="210">
        <v>2080.6313</v>
      </c>
      <c r="AH30" s="210">
        <v>158.71200000000002</v>
      </c>
      <c r="AI30" s="210">
        <f t="shared" si="7"/>
        <v>591.99576000000002</v>
      </c>
      <c r="AJ30" s="173">
        <f t="shared" si="8"/>
        <v>129.48333333333332</v>
      </c>
      <c r="AK30" s="210">
        <f t="shared" si="9"/>
        <v>489.43333333333334</v>
      </c>
      <c r="AL30" s="210">
        <v>270.74400000000003</v>
      </c>
      <c r="AM30" s="210">
        <v>1009.8751200000002</v>
      </c>
      <c r="AN30" s="173">
        <f t="shared" si="10"/>
        <v>555.17200000000003</v>
      </c>
      <c r="AO30" s="173">
        <f t="shared" si="11"/>
        <v>828.55400000000009</v>
      </c>
      <c r="AP30" s="173">
        <f t="shared" si="12"/>
        <v>517.93333333333328</v>
      </c>
      <c r="AQ30" s="179">
        <f t="shared" si="13"/>
        <v>1957.7333333333333</v>
      </c>
      <c r="AR30" s="260">
        <v>3090.5064200000002</v>
      </c>
      <c r="AS30" s="66">
        <f t="shared" si="14"/>
        <v>2070.7915600000001</v>
      </c>
      <c r="AT30" s="116"/>
      <c r="AU30" s="115"/>
      <c r="AV30" s="235">
        <v>101.98830409358087</v>
      </c>
      <c r="AW30" s="236">
        <f t="shared" si="15"/>
        <v>141.76374269007741</v>
      </c>
      <c r="AX30" s="237">
        <f t="shared" si="16"/>
        <v>1.6052631578947369</v>
      </c>
      <c r="AY30" s="238">
        <f t="shared" si="17"/>
        <v>7.8015789473684221</v>
      </c>
      <c r="AZ30" s="239">
        <f t="shared" si="18"/>
        <v>1.6233099415204679</v>
      </c>
      <c r="BA30" s="240">
        <f t="shared" si="19"/>
        <v>6.0549460818713454</v>
      </c>
      <c r="BB30" s="114"/>
      <c r="BC30" s="144">
        <v>53402.556420003028</v>
      </c>
      <c r="BD30" s="144">
        <f t="shared" si="20"/>
        <v>48882.73333333333</v>
      </c>
      <c r="BE30" s="145">
        <f t="shared" si="21"/>
        <v>53222.13156000647</v>
      </c>
      <c r="BF30" s="99"/>
      <c r="BG30" s="146">
        <v>119.4688063087316</v>
      </c>
      <c r="BH30" s="146">
        <f t="shared" si="22"/>
        <v>145.7011425732737</v>
      </c>
      <c r="BI30" s="147">
        <f t="shared" si="23"/>
        <v>155.62026771931716</v>
      </c>
      <c r="BJ30" s="4"/>
    </row>
    <row r="31" spans="1:62" ht="13.5" thickBot="1" x14ac:dyDescent="0.25">
      <c r="A31" s="3"/>
      <c r="B31" s="101">
        <v>45406</v>
      </c>
      <c r="C31" s="20"/>
      <c r="D31" s="136">
        <v>0.64829999999999999</v>
      </c>
      <c r="E31" s="96"/>
      <c r="F31" s="137">
        <v>341</v>
      </c>
      <c r="G31" s="95"/>
      <c r="H31" s="137">
        <v>335.5</v>
      </c>
      <c r="I31" s="96"/>
      <c r="J31" s="138">
        <v>35639.999999984866</v>
      </c>
      <c r="K31" s="200">
        <f t="shared" si="24"/>
        <v>43534</v>
      </c>
      <c r="L31" s="200">
        <v>54755.999999993946</v>
      </c>
      <c r="M31" s="228">
        <f t="shared" si="0"/>
        <v>49539.599999978964</v>
      </c>
      <c r="N31" s="98"/>
      <c r="O31" s="139">
        <v>0</v>
      </c>
      <c r="P31" s="247">
        <f t="shared" si="1"/>
        <v>73.900000000000006</v>
      </c>
      <c r="Q31" s="140">
        <v>0</v>
      </c>
      <c r="R31" s="201">
        <f t="shared" si="2"/>
        <v>483.33333333333331</v>
      </c>
      <c r="S31" s="256">
        <v>0</v>
      </c>
      <c r="T31" s="141">
        <f t="shared" si="3"/>
        <v>0</v>
      </c>
      <c r="U31" s="99"/>
      <c r="V31" s="142">
        <v>435</v>
      </c>
      <c r="W31" s="170">
        <f t="shared" si="25"/>
        <v>598.29999999999995</v>
      </c>
      <c r="X31" s="202">
        <f t="shared" si="26"/>
        <v>2907.6666666666665</v>
      </c>
      <c r="Y31" s="258">
        <v>2861.34</v>
      </c>
      <c r="Z31" s="29">
        <v>2114.1000000000004</v>
      </c>
      <c r="AA31" s="100"/>
      <c r="AB31" s="143">
        <v>447.17</v>
      </c>
      <c r="AC31" s="210">
        <f t="shared" si="4"/>
        <v>1667.9441000000002</v>
      </c>
      <c r="AD31" s="173">
        <f t="shared" si="5"/>
        <v>388.45</v>
      </c>
      <c r="AE31" s="210">
        <f t="shared" si="6"/>
        <v>1468.3</v>
      </c>
      <c r="AF31" s="210">
        <v>594.69000000000005</v>
      </c>
      <c r="AG31" s="210">
        <v>2218.1937000000003</v>
      </c>
      <c r="AH31" s="210">
        <v>200.72400000000002</v>
      </c>
      <c r="AI31" s="210">
        <f t="shared" si="7"/>
        <v>748.7005200000001</v>
      </c>
      <c r="AJ31" s="173">
        <f t="shared" si="8"/>
        <v>129.48333333333332</v>
      </c>
      <c r="AK31" s="210">
        <f t="shared" si="9"/>
        <v>489.43333333333334</v>
      </c>
      <c r="AL31" s="210">
        <v>219.39600000000002</v>
      </c>
      <c r="AM31" s="210">
        <v>818.34708000000001</v>
      </c>
      <c r="AN31" s="173">
        <f t="shared" si="10"/>
        <v>647.89400000000001</v>
      </c>
      <c r="AO31" s="173">
        <f t="shared" si="11"/>
        <v>814.08600000000001</v>
      </c>
      <c r="AP31" s="173">
        <f t="shared" si="12"/>
        <v>517.93333333333328</v>
      </c>
      <c r="AQ31" s="179">
        <f t="shared" si="13"/>
        <v>1957.7333333333333</v>
      </c>
      <c r="AR31" s="260">
        <v>3036.5407800000003</v>
      </c>
      <c r="AS31" s="66">
        <f t="shared" si="14"/>
        <v>2416.64462</v>
      </c>
      <c r="AT31" s="116"/>
      <c r="AU31" s="115"/>
      <c r="AV31" s="235">
        <v>104.51612903221368</v>
      </c>
      <c r="AW31" s="236">
        <f t="shared" si="15"/>
        <v>145.27741935477701</v>
      </c>
      <c r="AX31" s="237">
        <f t="shared" si="16"/>
        <v>1.2756598240469208</v>
      </c>
      <c r="AY31" s="238">
        <f t="shared" si="17"/>
        <v>6.1997067448680365</v>
      </c>
      <c r="AZ31" s="239">
        <f t="shared" si="18"/>
        <v>1.8999824046920821</v>
      </c>
      <c r="BA31" s="240">
        <f t="shared" si="19"/>
        <v>7.0869343695014662</v>
      </c>
      <c r="BB31" s="114"/>
      <c r="BC31" s="144">
        <v>60653.880779993946</v>
      </c>
      <c r="BD31" s="144">
        <f t="shared" si="20"/>
        <v>48882.73333333333</v>
      </c>
      <c r="BE31" s="145">
        <f t="shared" si="21"/>
        <v>54070.344619978961</v>
      </c>
      <c r="BF31" s="99"/>
      <c r="BG31" s="146">
        <v>138.79606585810973</v>
      </c>
      <c r="BH31" s="146">
        <f t="shared" si="22"/>
        <v>145.7011425732737</v>
      </c>
      <c r="BI31" s="147">
        <f t="shared" si="23"/>
        <v>158.56406046914651</v>
      </c>
      <c r="BJ31" s="4"/>
    </row>
    <row r="32" spans="1:62" ht="13.5" thickBot="1" x14ac:dyDescent="0.25">
      <c r="A32" s="3"/>
      <c r="B32" s="101">
        <v>45407</v>
      </c>
      <c r="C32" s="20"/>
      <c r="D32" s="136">
        <v>0.73</v>
      </c>
      <c r="E32" s="96"/>
      <c r="F32" s="137">
        <v>384</v>
      </c>
      <c r="G32" s="95"/>
      <c r="H32" s="137">
        <v>335.5</v>
      </c>
      <c r="I32" s="96"/>
      <c r="J32" s="138">
        <v>35880.000000004657</v>
      </c>
      <c r="K32" s="200">
        <f t="shared" si="24"/>
        <v>43534</v>
      </c>
      <c r="L32" s="200">
        <v>49191.99999999546</v>
      </c>
      <c r="M32" s="228">
        <f t="shared" si="0"/>
        <v>49873.200000006473</v>
      </c>
      <c r="N32" s="98"/>
      <c r="O32" s="139">
        <v>0</v>
      </c>
      <c r="P32" s="247">
        <f t="shared" si="1"/>
        <v>73.900000000000006</v>
      </c>
      <c r="Q32" s="140">
        <v>0</v>
      </c>
      <c r="R32" s="201">
        <f t="shared" si="2"/>
        <v>483.33333333333331</v>
      </c>
      <c r="S32" s="256">
        <v>0</v>
      </c>
      <c r="T32" s="141">
        <f t="shared" si="3"/>
        <v>0</v>
      </c>
      <c r="U32" s="99"/>
      <c r="V32" s="142">
        <v>855</v>
      </c>
      <c r="W32" s="170">
        <f t="shared" si="25"/>
        <v>598.29999999999995</v>
      </c>
      <c r="X32" s="202">
        <f t="shared" si="26"/>
        <v>2907.6666666666665</v>
      </c>
      <c r="Y32" s="258">
        <v>3213.22</v>
      </c>
      <c r="Z32" s="29">
        <v>4155.3</v>
      </c>
      <c r="AA32" s="100"/>
      <c r="AB32" s="143">
        <v>507.1</v>
      </c>
      <c r="AC32" s="210">
        <f t="shared" si="4"/>
        <v>1891.4830000000002</v>
      </c>
      <c r="AD32" s="173">
        <f t="shared" si="5"/>
        <v>388.45</v>
      </c>
      <c r="AE32" s="210">
        <f t="shared" si="6"/>
        <v>1468.3</v>
      </c>
      <c r="AF32" s="210">
        <v>571.64</v>
      </c>
      <c r="AG32" s="210">
        <v>2132.2172</v>
      </c>
      <c r="AH32" s="210">
        <v>149.376</v>
      </c>
      <c r="AI32" s="210">
        <f t="shared" si="7"/>
        <v>557.17248000000006</v>
      </c>
      <c r="AJ32" s="173">
        <f t="shared" si="8"/>
        <v>129.48333333333332</v>
      </c>
      <c r="AK32" s="210">
        <f t="shared" si="9"/>
        <v>489.43333333333334</v>
      </c>
      <c r="AL32" s="210">
        <v>219.39600000000002</v>
      </c>
      <c r="AM32" s="210">
        <v>818.34708000000001</v>
      </c>
      <c r="AN32" s="173">
        <f t="shared" si="10"/>
        <v>656.476</v>
      </c>
      <c r="AO32" s="173">
        <f t="shared" si="11"/>
        <v>791.03600000000006</v>
      </c>
      <c r="AP32" s="173">
        <f t="shared" si="12"/>
        <v>517.93333333333328</v>
      </c>
      <c r="AQ32" s="179">
        <f t="shared" si="13"/>
        <v>1957.7333333333333</v>
      </c>
      <c r="AR32" s="260">
        <v>2950.5642800000001</v>
      </c>
      <c r="AS32" s="66">
        <f t="shared" si="14"/>
        <v>2448.6554800000004</v>
      </c>
      <c r="AT32" s="116"/>
      <c r="AU32" s="115"/>
      <c r="AV32" s="235">
        <v>93.437500000012122</v>
      </c>
      <c r="AW32" s="236">
        <f t="shared" si="15"/>
        <v>129.87812500001687</v>
      </c>
      <c r="AX32" s="237">
        <f t="shared" si="16"/>
        <v>2.2265625</v>
      </c>
      <c r="AY32" s="238">
        <f t="shared" si="17"/>
        <v>10.821093750000001</v>
      </c>
      <c r="AZ32" s="239">
        <f t="shared" si="18"/>
        <v>1.7095729166666667</v>
      </c>
      <c r="BA32" s="240">
        <f t="shared" si="19"/>
        <v>6.3767069791666673</v>
      </c>
      <c r="BB32" s="114"/>
      <c r="BC32" s="144">
        <v>55355.78427999546</v>
      </c>
      <c r="BD32" s="144">
        <f t="shared" si="20"/>
        <v>48882.73333333333</v>
      </c>
      <c r="BE32" s="145">
        <f t="shared" si="21"/>
        <v>56477.155480006477</v>
      </c>
      <c r="BF32" s="99"/>
      <c r="BG32" s="146">
        <v>130.2489041882246</v>
      </c>
      <c r="BH32" s="146">
        <f t="shared" si="22"/>
        <v>145.7011425732737</v>
      </c>
      <c r="BI32" s="147">
        <f t="shared" si="23"/>
        <v>147.07592572918352</v>
      </c>
      <c r="BJ32" s="4"/>
    </row>
    <row r="33" spans="1:62" ht="13.5" thickBot="1" x14ac:dyDescent="0.25">
      <c r="A33" s="3"/>
      <c r="B33" s="101">
        <v>45408</v>
      </c>
      <c r="C33" s="20"/>
      <c r="D33" s="136">
        <v>0.71289999999999998</v>
      </c>
      <c r="E33" s="96"/>
      <c r="F33" s="137">
        <v>375</v>
      </c>
      <c r="G33" s="95"/>
      <c r="H33" s="137">
        <v>335.5</v>
      </c>
      <c r="I33" s="96"/>
      <c r="J33" s="138">
        <v>39880.000000004657</v>
      </c>
      <c r="K33" s="200">
        <f t="shared" si="24"/>
        <v>43534</v>
      </c>
      <c r="L33" s="200">
        <v>51116.00000000908</v>
      </c>
      <c r="M33" s="228">
        <f t="shared" si="0"/>
        <v>55433.200000006465</v>
      </c>
      <c r="N33" s="98"/>
      <c r="O33" s="139">
        <v>0</v>
      </c>
      <c r="P33" s="247">
        <f t="shared" si="1"/>
        <v>73.900000000000006</v>
      </c>
      <c r="Q33" s="140">
        <v>0</v>
      </c>
      <c r="R33" s="201">
        <f t="shared" si="2"/>
        <v>483.33333333333331</v>
      </c>
      <c r="S33" s="256">
        <v>0</v>
      </c>
      <c r="T33" s="141">
        <f t="shared" si="3"/>
        <v>0</v>
      </c>
      <c r="U33" s="99"/>
      <c r="V33" s="142">
        <v>613</v>
      </c>
      <c r="W33" s="170">
        <f t="shared" si="25"/>
        <v>598.29999999999995</v>
      </c>
      <c r="X33" s="202">
        <f t="shared" si="26"/>
        <v>2907.6666666666665</v>
      </c>
      <c r="Y33" s="258">
        <v>2782.63</v>
      </c>
      <c r="Z33" s="29">
        <v>2979.1800000000003</v>
      </c>
      <c r="AA33" s="100"/>
      <c r="AB33" s="143">
        <v>373.41</v>
      </c>
      <c r="AC33" s="210">
        <f t="shared" si="4"/>
        <v>1392.8193000000001</v>
      </c>
      <c r="AD33" s="173">
        <f t="shared" si="5"/>
        <v>388.45</v>
      </c>
      <c r="AE33" s="210">
        <f t="shared" si="6"/>
        <v>1468.3</v>
      </c>
      <c r="AF33" s="210">
        <v>567.03000000000009</v>
      </c>
      <c r="AG33" s="210">
        <v>2115.0219000000002</v>
      </c>
      <c r="AH33" s="210">
        <v>186.72</v>
      </c>
      <c r="AI33" s="210">
        <f t="shared" si="7"/>
        <v>696.46559999999999</v>
      </c>
      <c r="AJ33" s="173">
        <f t="shared" si="8"/>
        <v>129.48333333333332</v>
      </c>
      <c r="AK33" s="210">
        <f t="shared" si="9"/>
        <v>489.43333333333334</v>
      </c>
      <c r="AL33" s="210">
        <v>233.4</v>
      </c>
      <c r="AM33" s="210">
        <v>870.58199999999999</v>
      </c>
      <c r="AN33" s="173">
        <f t="shared" si="10"/>
        <v>560.13</v>
      </c>
      <c r="AO33" s="173">
        <f t="shared" si="11"/>
        <v>800.43000000000006</v>
      </c>
      <c r="AP33" s="173">
        <f t="shared" si="12"/>
        <v>517.93333333333328</v>
      </c>
      <c r="AQ33" s="179">
        <f t="shared" si="13"/>
        <v>1957.7333333333333</v>
      </c>
      <c r="AR33" s="260">
        <v>2985.6039000000001</v>
      </c>
      <c r="AS33" s="66">
        <f t="shared" si="14"/>
        <v>2089.2849000000001</v>
      </c>
      <c r="AT33" s="116"/>
      <c r="AU33" s="115"/>
      <c r="AV33" s="235">
        <v>106.34666666667908</v>
      </c>
      <c r="AW33" s="236">
        <f t="shared" si="15"/>
        <v>147.82186666668392</v>
      </c>
      <c r="AX33" s="237">
        <f t="shared" si="16"/>
        <v>1.6346666666666667</v>
      </c>
      <c r="AY33" s="238">
        <f t="shared" si="17"/>
        <v>7.9444800000000004</v>
      </c>
      <c r="AZ33" s="239">
        <f t="shared" si="18"/>
        <v>1.4936799999999999</v>
      </c>
      <c r="BA33" s="240">
        <f t="shared" si="19"/>
        <v>5.5714264</v>
      </c>
      <c r="BB33" s="114"/>
      <c r="BC33" s="144">
        <v>56884.23390000908</v>
      </c>
      <c r="BD33" s="144">
        <f t="shared" si="20"/>
        <v>48882.73333333333</v>
      </c>
      <c r="BE33" s="145">
        <f t="shared" si="21"/>
        <v>60501.664900006464</v>
      </c>
      <c r="BF33" s="99"/>
      <c r="BG33" s="146">
        <v>147.36848160624115</v>
      </c>
      <c r="BH33" s="146">
        <f t="shared" si="22"/>
        <v>145.7011425732737</v>
      </c>
      <c r="BI33" s="147">
        <f t="shared" si="23"/>
        <v>161.33777306668389</v>
      </c>
      <c r="BJ33" s="4"/>
    </row>
    <row r="34" spans="1:62" ht="13.5" thickBot="1" x14ac:dyDescent="0.25">
      <c r="A34" s="3"/>
      <c r="B34" s="101">
        <v>45409</v>
      </c>
      <c r="C34" s="20"/>
      <c r="D34" s="136">
        <v>0.74139999999999995</v>
      </c>
      <c r="E34" s="96"/>
      <c r="F34" s="137">
        <v>390</v>
      </c>
      <c r="G34" s="95"/>
      <c r="H34" s="137">
        <v>335.5</v>
      </c>
      <c r="I34" s="96"/>
      <c r="J34" s="138">
        <v>38839.999999996508</v>
      </c>
      <c r="K34" s="200">
        <f t="shared" si="24"/>
        <v>43534</v>
      </c>
      <c r="L34" s="200">
        <v>47111.999999987893</v>
      </c>
      <c r="M34" s="228">
        <f t="shared" si="0"/>
        <v>53987.599999995138</v>
      </c>
      <c r="N34" s="98"/>
      <c r="O34" s="139">
        <v>0</v>
      </c>
      <c r="P34" s="247">
        <f t="shared" si="1"/>
        <v>73.900000000000006</v>
      </c>
      <c r="Q34" s="140">
        <v>0</v>
      </c>
      <c r="R34" s="201">
        <f t="shared" si="2"/>
        <v>483.33333333333331</v>
      </c>
      <c r="S34" s="256">
        <v>0</v>
      </c>
      <c r="T34" s="141">
        <f t="shared" si="3"/>
        <v>0</v>
      </c>
      <c r="U34" s="99"/>
      <c r="V34" s="142">
        <v>711</v>
      </c>
      <c r="W34" s="170">
        <f t="shared" si="25"/>
        <v>598.29999999999995</v>
      </c>
      <c r="X34" s="202">
        <f t="shared" si="26"/>
        <v>2907.6666666666665</v>
      </c>
      <c r="Y34" s="258">
        <v>2736.33</v>
      </c>
      <c r="Z34" s="29">
        <v>3455.46</v>
      </c>
      <c r="AA34" s="100"/>
      <c r="AB34" s="143">
        <v>507.1</v>
      </c>
      <c r="AC34" s="210">
        <f t="shared" si="4"/>
        <v>1891.4830000000002</v>
      </c>
      <c r="AD34" s="173">
        <f t="shared" si="5"/>
        <v>388.45</v>
      </c>
      <c r="AE34" s="210">
        <f t="shared" si="6"/>
        <v>1468.3</v>
      </c>
      <c r="AF34" s="210">
        <v>525.54000000000008</v>
      </c>
      <c r="AG34" s="210">
        <v>1960.2642000000003</v>
      </c>
      <c r="AH34" s="210">
        <v>182.05199999999999</v>
      </c>
      <c r="AI34" s="210">
        <f t="shared" si="7"/>
        <v>679.05395999999996</v>
      </c>
      <c r="AJ34" s="173">
        <f t="shared" si="8"/>
        <v>129.48333333333332</v>
      </c>
      <c r="AK34" s="210">
        <f t="shared" si="9"/>
        <v>489.43333333333334</v>
      </c>
      <c r="AL34" s="210">
        <v>186.72</v>
      </c>
      <c r="AM34" s="210">
        <v>696.46559999999999</v>
      </c>
      <c r="AN34" s="173">
        <f t="shared" si="10"/>
        <v>689.15200000000004</v>
      </c>
      <c r="AO34" s="173">
        <f t="shared" si="11"/>
        <v>712.2600000000001</v>
      </c>
      <c r="AP34" s="173">
        <f t="shared" si="12"/>
        <v>517.93333333333328</v>
      </c>
      <c r="AQ34" s="179">
        <f t="shared" si="13"/>
        <v>1957.7333333333333</v>
      </c>
      <c r="AR34" s="260">
        <v>2656.7298000000001</v>
      </c>
      <c r="AS34" s="66">
        <f t="shared" si="14"/>
        <v>2570.5369600000004</v>
      </c>
      <c r="AT34" s="116"/>
      <c r="AU34" s="115"/>
      <c r="AV34" s="235">
        <v>99.589743589734638</v>
      </c>
      <c r="AW34" s="236">
        <f t="shared" si="15"/>
        <v>138.42974358973112</v>
      </c>
      <c r="AX34" s="237">
        <f t="shared" si="16"/>
        <v>1.823076923076923</v>
      </c>
      <c r="AY34" s="238">
        <f t="shared" si="17"/>
        <v>8.860153846153846</v>
      </c>
      <c r="AZ34" s="239">
        <f t="shared" si="18"/>
        <v>1.7670564102564104</v>
      </c>
      <c r="BA34" s="240">
        <f t="shared" si="19"/>
        <v>6.5911204102564112</v>
      </c>
      <c r="BB34" s="114"/>
      <c r="BC34" s="144">
        <v>52505.059799987896</v>
      </c>
      <c r="BD34" s="144">
        <f t="shared" si="20"/>
        <v>48882.73333333333</v>
      </c>
      <c r="BE34" s="145">
        <f t="shared" si="21"/>
        <v>60013.596959995135</v>
      </c>
      <c r="BF34" s="99"/>
      <c r="BG34" s="146">
        <v>141.14263387093521</v>
      </c>
      <c r="BH34" s="146">
        <f t="shared" si="22"/>
        <v>145.7011425732737</v>
      </c>
      <c r="BI34" s="147">
        <f t="shared" si="23"/>
        <v>153.88101784614136</v>
      </c>
      <c r="BJ34" s="4"/>
    </row>
    <row r="35" spans="1:62" ht="13.5" thickBot="1" x14ac:dyDescent="0.25">
      <c r="A35" s="3"/>
      <c r="B35" s="101">
        <v>45410</v>
      </c>
      <c r="C35" s="20"/>
      <c r="D35" s="136">
        <v>0.59889999999999999</v>
      </c>
      <c r="E35" s="96"/>
      <c r="F35" s="137">
        <v>315</v>
      </c>
      <c r="G35" s="95"/>
      <c r="H35" s="137">
        <v>335.5</v>
      </c>
      <c r="I35" s="96"/>
      <c r="J35" s="138">
        <v>34600.000000005821</v>
      </c>
      <c r="K35" s="200">
        <f t="shared" si="24"/>
        <v>43534</v>
      </c>
      <c r="L35" s="200">
        <v>50127.999999996973</v>
      </c>
      <c r="M35" s="228">
        <f t="shared" si="0"/>
        <v>48094.000000008091</v>
      </c>
      <c r="N35" s="98"/>
      <c r="O35" s="139">
        <v>0</v>
      </c>
      <c r="P35" s="247">
        <f t="shared" si="1"/>
        <v>73.900000000000006</v>
      </c>
      <c r="Q35" s="140">
        <v>0</v>
      </c>
      <c r="R35" s="201">
        <f t="shared" si="2"/>
        <v>483.33333333333331</v>
      </c>
      <c r="S35" s="256">
        <v>0</v>
      </c>
      <c r="T35" s="141">
        <f t="shared" si="3"/>
        <v>0</v>
      </c>
      <c r="U35" s="99"/>
      <c r="V35" s="142">
        <v>379</v>
      </c>
      <c r="W35" s="170">
        <f t="shared" si="25"/>
        <v>598.29999999999995</v>
      </c>
      <c r="X35" s="202">
        <f t="shared" si="26"/>
        <v>2907.6666666666665</v>
      </c>
      <c r="Y35" s="258">
        <v>2546.5</v>
      </c>
      <c r="Z35" s="29">
        <v>1841.94</v>
      </c>
      <c r="AA35" s="100"/>
      <c r="AB35" s="143">
        <v>474.83000000000004</v>
      </c>
      <c r="AC35" s="210">
        <f t="shared" si="4"/>
        <v>1771.1159000000002</v>
      </c>
      <c r="AD35" s="173">
        <f t="shared" si="5"/>
        <v>388.45</v>
      </c>
      <c r="AE35" s="210">
        <f t="shared" si="6"/>
        <v>1468.3</v>
      </c>
      <c r="AF35" s="210">
        <v>511.71000000000004</v>
      </c>
      <c r="AG35" s="210">
        <v>1908.6783</v>
      </c>
      <c r="AH35" s="210">
        <v>168.048</v>
      </c>
      <c r="AI35" s="210">
        <f t="shared" si="7"/>
        <v>626.81903999999997</v>
      </c>
      <c r="AJ35" s="173">
        <f t="shared" si="8"/>
        <v>129.48333333333332</v>
      </c>
      <c r="AK35" s="210">
        <f t="shared" si="9"/>
        <v>489.43333333333334</v>
      </c>
      <c r="AL35" s="210">
        <v>177.38400000000001</v>
      </c>
      <c r="AM35" s="210">
        <v>661.64232000000004</v>
      </c>
      <c r="AN35" s="173">
        <f t="shared" si="10"/>
        <v>642.87800000000004</v>
      </c>
      <c r="AO35" s="173">
        <f t="shared" si="11"/>
        <v>689.09400000000005</v>
      </c>
      <c r="AP35" s="173">
        <f t="shared" si="12"/>
        <v>517.93333333333328</v>
      </c>
      <c r="AQ35" s="179">
        <f t="shared" si="13"/>
        <v>1957.7333333333333</v>
      </c>
      <c r="AR35" s="260">
        <v>2570.32062</v>
      </c>
      <c r="AS35" s="66">
        <f t="shared" si="14"/>
        <v>2397.9349400000001</v>
      </c>
      <c r="AT35" s="116"/>
      <c r="AU35" s="115"/>
      <c r="AV35" s="235">
        <v>109.84126984128832</v>
      </c>
      <c r="AW35" s="236">
        <f t="shared" si="15"/>
        <v>152.67936507939078</v>
      </c>
      <c r="AX35" s="237">
        <f t="shared" si="16"/>
        <v>1.2031746031746031</v>
      </c>
      <c r="AY35" s="238">
        <f t="shared" si="17"/>
        <v>5.8474285714285719</v>
      </c>
      <c r="AZ35" s="239">
        <f t="shared" si="18"/>
        <v>2.0408825396825399</v>
      </c>
      <c r="BA35" s="240">
        <f t="shared" si="19"/>
        <v>7.6124918730158733</v>
      </c>
      <c r="BB35" s="114"/>
      <c r="BC35" s="144">
        <v>55244.820619996972</v>
      </c>
      <c r="BD35" s="144">
        <f t="shared" si="20"/>
        <v>48882.73333333333</v>
      </c>
      <c r="BE35" s="145">
        <f t="shared" si="21"/>
        <v>52333.874940008092</v>
      </c>
      <c r="BF35" s="99"/>
      <c r="BG35" s="146">
        <v>166.40006210842461</v>
      </c>
      <c r="BH35" s="146">
        <f t="shared" si="22"/>
        <v>145.7011425732737</v>
      </c>
      <c r="BI35" s="147">
        <f t="shared" si="23"/>
        <v>166.13928552383521</v>
      </c>
      <c r="BJ35" s="4"/>
    </row>
    <row r="36" spans="1:62" ht="13.5" thickBot="1" x14ac:dyDescent="0.25">
      <c r="A36" s="3"/>
      <c r="B36" s="101">
        <v>45411</v>
      </c>
      <c r="C36" s="20"/>
      <c r="D36" s="136">
        <v>0.58169999999999999</v>
      </c>
      <c r="E36" s="96"/>
      <c r="F36" s="137">
        <v>306</v>
      </c>
      <c r="G36" s="95"/>
      <c r="H36" s="137">
        <v>335.5</v>
      </c>
      <c r="I36" s="96"/>
      <c r="J36" s="138">
        <v>36440.000000002328</v>
      </c>
      <c r="K36" s="200">
        <f t="shared" si="24"/>
        <v>43534</v>
      </c>
      <c r="L36" s="200">
        <v>42172.000000003027</v>
      </c>
      <c r="M36" s="228">
        <f t="shared" si="0"/>
        <v>50651.600000003236</v>
      </c>
      <c r="N36" s="98"/>
      <c r="O36" s="139">
        <v>0</v>
      </c>
      <c r="P36" s="247">
        <f t="shared" si="1"/>
        <v>73.900000000000006</v>
      </c>
      <c r="Q36" s="140">
        <v>0</v>
      </c>
      <c r="R36" s="201">
        <f t="shared" si="2"/>
        <v>483.33333333333331</v>
      </c>
      <c r="S36" s="256">
        <v>0</v>
      </c>
      <c r="T36" s="141">
        <f t="shared" si="3"/>
        <v>0</v>
      </c>
      <c r="U36" s="99"/>
      <c r="V36" s="142">
        <v>625</v>
      </c>
      <c r="W36" s="170">
        <f t="shared" si="25"/>
        <v>598.29999999999995</v>
      </c>
      <c r="X36" s="202">
        <f t="shared" si="26"/>
        <v>2907.6666666666665</v>
      </c>
      <c r="Y36" s="258">
        <v>2370.56</v>
      </c>
      <c r="Z36" s="29">
        <v>3037.5</v>
      </c>
      <c r="AA36" s="100"/>
      <c r="AB36" s="143">
        <v>497.88000000000005</v>
      </c>
      <c r="AC36" s="210">
        <f t="shared" si="4"/>
        <v>1857.0924000000002</v>
      </c>
      <c r="AD36" s="173">
        <f t="shared" si="5"/>
        <v>388.45</v>
      </c>
      <c r="AE36" s="210">
        <f t="shared" si="6"/>
        <v>1468.3</v>
      </c>
      <c r="AF36" s="210">
        <v>534.76</v>
      </c>
      <c r="AG36" s="210">
        <v>1994.6548</v>
      </c>
      <c r="AH36" s="210">
        <v>126.036</v>
      </c>
      <c r="AI36" s="210">
        <f t="shared" si="7"/>
        <v>470.11428000000001</v>
      </c>
      <c r="AJ36" s="173">
        <f t="shared" si="8"/>
        <v>129.48333333333332</v>
      </c>
      <c r="AK36" s="210">
        <f t="shared" si="9"/>
        <v>489.43333333333334</v>
      </c>
      <c r="AL36" s="210">
        <v>182.05199999999999</v>
      </c>
      <c r="AM36" s="210">
        <v>679.05395999999996</v>
      </c>
      <c r="AN36" s="173">
        <f t="shared" si="10"/>
        <v>623.91600000000005</v>
      </c>
      <c r="AO36" s="173">
        <f t="shared" si="11"/>
        <v>716.81200000000001</v>
      </c>
      <c r="AP36" s="173">
        <f t="shared" si="12"/>
        <v>517.93333333333328</v>
      </c>
      <c r="AQ36" s="179">
        <f t="shared" si="13"/>
        <v>1957.7333333333333</v>
      </c>
      <c r="AR36" s="260">
        <v>2673.70876</v>
      </c>
      <c r="AS36" s="66">
        <f t="shared" si="14"/>
        <v>2327.2066800000002</v>
      </c>
      <c r="AT36" s="116"/>
      <c r="AU36" s="115"/>
      <c r="AV36" s="235">
        <v>119.08496732026904</v>
      </c>
      <c r="AW36" s="236">
        <f t="shared" si="15"/>
        <v>165.52810457517398</v>
      </c>
      <c r="AX36" s="237">
        <f t="shared" si="16"/>
        <v>2.0424836601307188</v>
      </c>
      <c r="AY36" s="238">
        <f t="shared" si="17"/>
        <v>9.9264705882352935</v>
      </c>
      <c r="AZ36" s="239">
        <f t="shared" si="18"/>
        <v>2.0389411764705883</v>
      </c>
      <c r="BA36" s="240">
        <f t="shared" si="19"/>
        <v>7.605250588235295</v>
      </c>
      <c r="BB36" s="114"/>
      <c r="BC36" s="144">
        <v>47216.268760003026</v>
      </c>
      <c r="BD36" s="144">
        <f t="shared" si="20"/>
        <v>48882.73333333333</v>
      </c>
      <c r="BE36" s="145">
        <f t="shared" si="21"/>
        <v>56016.306680003239</v>
      </c>
      <c r="BF36" s="99"/>
      <c r="BG36" s="146">
        <v>156.345260794712</v>
      </c>
      <c r="BH36" s="146">
        <f t="shared" si="22"/>
        <v>145.7011425732737</v>
      </c>
      <c r="BI36" s="147">
        <f t="shared" si="23"/>
        <v>183.05982575164458</v>
      </c>
      <c r="BJ36" s="4"/>
    </row>
    <row r="37" spans="1:62" ht="13.5" thickBot="1" x14ac:dyDescent="0.25">
      <c r="A37" s="3"/>
      <c r="B37" s="101">
        <v>45412</v>
      </c>
      <c r="C37" s="20"/>
      <c r="D37" s="136">
        <v>0.55510000000000004</v>
      </c>
      <c r="E37" s="96"/>
      <c r="F37" s="137">
        <v>291</v>
      </c>
      <c r="G37" s="95"/>
      <c r="H37" s="137">
        <v>335.5</v>
      </c>
      <c r="I37" s="96"/>
      <c r="J37" s="138">
        <v>32559.999999997672</v>
      </c>
      <c r="K37" s="200">
        <f t="shared" si="24"/>
        <v>43534</v>
      </c>
      <c r="L37" s="200">
        <v>41652.000000010594</v>
      </c>
      <c r="M37" s="228">
        <f t="shared" si="0"/>
        <v>45258.399999996764</v>
      </c>
      <c r="N37" s="98"/>
      <c r="O37" s="139">
        <v>0</v>
      </c>
      <c r="P37" s="247">
        <f t="shared" si="1"/>
        <v>73.900000000000006</v>
      </c>
      <c r="Q37" s="140">
        <v>0</v>
      </c>
      <c r="R37" s="201">
        <f t="shared" si="2"/>
        <v>483.33333333333331</v>
      </c>
      <c r="S37" s="256">
        <v>0</v>
      </c>
      <c r="T37" s="141">
        <f t="shared" si="3"/>
        <v>0</v>
      </c>
      <c r="U37" s="99"/>
      <c r="V37" s="142">
        <v>512</v>
      </c>
      <c r="W37" s="170">
        <f t="shared" si="25"/>
        <v>598.29999999999995</v>
      </c>
      <c r="X37" s="202">
        <f t="shared" si="26"/>
        <v>2907.6666666666665</v>
      </c>
      <c r="Y37" s="258">
        <v>1930.71</v>
      </c>
      <c r="Z37" s="29">
        <v>2488.3200000000002</v>
      </c>
      <c r="AA37" s="100"/>
      <c r="AB37" s="143">
        <v>461.00000000000006</v>
      </c>
      <c r="AC37" s="210">
        <f t="shared" si="4"/>
        <v>1719.5300000000002</v>
      </c>
      <c r="AD37" s="173">
        <f t="shared" si="5"/>
        <v>388.45</v>
      </c>
      <c r="AE37" s="210">
        <f t="shared" si="6"/>
        <v>1468.3</v>
      </c>
      <c r="AF37" s="210">
        <v>516.32000000000005</v>
      </c>
      <c r="AG37" s="210">
        <v>1925.8736000000001</v>
      </c>
      <c r="AH37" s="210">
        <v>154.04400000000001</v>
      </c>
      <c r="AI37" s="210">
        <f t="shared" si="7"/>
        <v>574.58411999999998</v>
      </c>
      <c r="AJ37" s="173">
        <f t="shared" si="8"/>
        <v>129.48333333333332</v>
      </c>
      <c r="AK37" s="210">
        <f t="shared" si="9"/>
        <v>489.43333333333334</v>
      </c>
      <c r="AL37" s="210">
        <v>168.048</v>
      </c>
      <c r="AM37" s="210">
        <v>626.81903999999997</v>
      </c>
      <c r="AN37" s="173">
        <f t="shared" si="10"/>
        <v>615.0440000000001</v>
      </c>
      <c r="AO37" s="173">
        <f t="shared" si="11"/>
        <v>684.36800000000005</v>
      </c>
      <c r="AP37" s="173">
        <f t="shared" si="12"/>
        <v>517.93333333333328</v>
      </c>
      <c r="AQ37" s="179">
        <f t="shared" si="13"/>
        <v>1957.7333333333333</v>
      </c>
      <c r="AR37" s="260">
        <v>2552.6926400000002</v>
      </c>
      <c r="AS37" s="66">
        <f t="shared" si="14"/>
        <v>2294.1141200000002</v>
      </c>
      <c r="AT37" s="116"/>
      <c r="AU37" s="115"/>
      <c r="AV37" s="235">
        <v>111.89003436425317</v>
      </c>
      <c r="AW37" s="236">
        <f t="shared" si="15"/>
        <v>155.52714776631191</v>
      </c>
      <c r="AX37" s="237">
        <f t="shared" si="16"/>
        <v>1.7594501718213058</v>
      </c>
      <c r="AY37" s="238">
        <f t="shared" si="17"/>
        <v>8.5509278350515476</v>
      </c>
      <c r="AZ37" s="239">
        <f t="shared" si="18"/>
        <v>2.1135532646048114</v>
      </c>
      <c r="BA37" s="240">
        <f t="shared" si="19"/>
        <v>7.8835536769759456</v>
      </c>
      <c r="BB37" s="114"/>
      <c r="BC37" s="144">
        <v>46135.402640010594</v>
      </c>
      <c r="BD37" s="144">
        <f t="shared" si="20"/>
        <v>48882.73333333333</v>
      </c>
      <c r="BE37" s="145">
        <f t="shared" si="21"/>
        <v>50040.834119996762</v>
      </c>
      <c r="BF37" s="99"/>
      <c r="BG37" s="146">
        <v>160.7505318467268</v>
      </c>
      <c r="BH37" s="146">
        <f t="shared" si="22"/>
        <v>145.7011425732737</v>
      </c>
      <c r="BI37" s="147">
        <f t="shared" si="23"/>
        <v>171.96162927833939</v>
      </c>
      <c r="BJ37" s="4"/>
    </row>
    <row r="38" spans="1:62" ht="13.5" thickBot="1" x14ac:dyDescent="0.25">
      <c r="A38" s="3"/>
      <c r="B38" s="101"/>
      <c r="C38" s="20"/>
      <c r="D38" s="136"/>
      <c r="E38" s="96"/>
      <c r="F38" s="137"/>
      <c r="G38" s="95"/>
      <c r="H38" s="137"/>
      <c r="I38" s="96"/>
      <c r="J38" s="138"/>
      <c r="K38" s="200"/>
      <c r="L38" s="200"/>
      <c r="M38" s="228"/>
      <c r="N38" s="98"/>
      <c r="O38" s="139"/>
      <c r="P38" s="247"/>
      <c r="Q38" s="140"/>
      <c r="R38" s="201"/>
      <c r="S38" s="256"/>
      <c r="T38" s="141"/>
      <c r="U38" s="99"/>
      <c r="V38" s="142"/>
      <c r="W38" s="170"/>
      <c r="X38" s="202"/>
      <c r="Y38" s="258"/>
      <c r="Z38" s="29"/>
      <c r="AA38" s="100"/>
      <c r="AB38" s="143"/>
      <c r="AC38" s="210"/>
      <c r="AD38" s="173"/>
      <c r="AE38" s="210"/>
      <c r="AF38" s="210"/>
      <c r="AG38" s="210"/>
      <c r="AH38" s="210"/>
      <c r="AI38" s="210"/>
      <c r="AJ38" s="173"/>
      <c r="AK38" s="210"/>
      <c r="AL38" s="210"/>
      <c r="AM38" s="210"/>
      <c r="AN38" s="173"/>
      <c r="AO38" s="173"/>
      <c r="AP38" s="173"/>
      <c r="AQ38" s="179"/>
      <c r="AR38" s="260"/>
      <c r="AS38" s="66"/>
      <c r="AT38" s="116"/>
      <c r="AU38" s="115"/>
      <c r="AV38" s="235"/>
      <c r="AW38" s="236"/>
      <c r="AX38" s="237"/>
      <c r="AY38" s="238"/>
      <c r="AZ38" s="239"/>
      <c r="BA38" s="240"/>
      <c r="BB38" s="114"/>
      <c r="BC38" s="144"/>
      <c r="BD38" s="144"/>
      <c r="BE38" s="145"/>
      <c r="BF38" s="99"/>
      <c r="BG38" s="146"/>
      <c r="BH38" s="146"/>
      <c r="BI38" s="147"/>
      <c r="BJ38" s="4"/>
    </row>
    <row r="39" spans="1:62" ht="27" customHeight="1" thickBot="1" x14ac:dyDescent="0.25">
      <c r="A39" s="3"/>
      <c r="B39" s="485" t="s">
        <v>13</v>
      </c>
      <c r="C39" s="23"/>
      <c r="D39" s="80">
        <f>AVERAGE(D8:D38)</f>
        <v>0.63662000000000007</v>
      </c>
      <c r="E39" s="97"/>
      <c r="F39" s="94">
        <f>SUM(F8:F38)</f>
        <v>10046</v>
      </c>
      <c r="G39" s="95"/>
      <c r="H39" s="94">
        <f>SUM(H8:H38)</f>
        <v>10065</v>
      </c>
      <c r="I39" s="23"/>
      <c r="J39" s="51">
        <f>SUM(J8:J38)</f>
        <v>997239.99999999069</v>
      </c>
      <c r="K39" s="52">
        <f>SUM(K8:K38)</f>
        <v>1306020</v>
      </c>
      <c r="L39" s="52">
        <f>SUM(L8:L38)</f>
        <v>1250027.9999999972</v>
      </c>
      <c r="M39" s="31">
        <f>SUM(M8:M38)</f>
        <v>1386163.5999999875</v>
      </c>
      <c r="N39" s="98"/>
      <c r="O39" s="49">
        <f t="shared" ref="O39:T39" si="27">SUM(O8:O38)</f>
        <v>0</v>
      </c>
      <c r="P39" s="85">
        <f t="shared" si="27"/>
        <v>2217.0000000000014</v>
      </c>
      <c r="Q39" s="85">
        <f t="shared" si="27"/>
        <v>20</v>
      </c>
      <c r="R39" s="50">
        <f t="shared" si="27"/>
        <v>14500.000000000005</v>
      </c>
      <c r="S39" s="50">
        <f t="shared" si="27"/>
        <v>0</v>
      </c>
      <c r="T39" s="48">
        <f t="shared" si="27"/>
        <v>0</v>
      </c>
      <c r="U39" s="21"/>
      <c r="V39" s="53">
        <f>SUM(V8:V38)</f>
        <v>17102</v>
      </c>
      <c r="W39" s="54">
        <f>SUM(W8:W38)</f>
        <v>17948.999999999989</v>
      </c>
      <c r="X39" s="54">
        <f>SUM(X8:X38)</f>
        <v>87230.000000000015</v>
      </c>
      <c r="Y39" s="54">
        <f>SUM(Y8:Y38)</f>
        <v>75274.540000000023</v>
      </c>
      <c r="Z39" s="29">
        <f>SUM(Z8:Z38)</f>
        <v>83115.720000000045</v>
      </c>
      <c r="AA39" s="22"/>
      <c r="AB39" s="174">
        <f t="shared" ref="AB39:AS39" si="28">SUM(AB8:AB38)</f>
        <v>13899.15</v>
      </c>
      <c r="AC39" s="67">
        <f t="shared" si="28"/>
        <v>51843.8295</v>
      </c>
      <c r="AD39" s="67">
        <f t="shared" si="28"/>
        <v>11653.500000000004</v>
      </c>
      <c r="AE39" s="67">
        <f t="shared" si="28"/>
        <v>44049.000000000007</v>
      </c>
      <c r="AF39" s="67">
        <f t="shared" si="28"/>
        <v>13779.290000000003</v>
      </c>
      <c r="AG39" s="67">
        <f t="shared" si="28"/>
        <v>51396.751699999993</v>
      </c>
      <c r="AH39" s="67">
        <f t="shared" si="28"/>
        <v>5111.46</v>
      </c>
      <c r="AI39" s="67">
        <f t="shared" si="28"/>
        <v>19065.745800000001</v>
      </c>
      <c r="AJ39" s="67">
        <f t="shared" si="28"/>
        <v>3884.4999999999968</v>
      </c>
      <c r="AK39" s="67">
        <f t="shared" si="28"/>
        <v>14682.999999999989</v>
      </c>
      <c r="AL39" s="67">
        <f t="shared" si="28"/>
        <v>5358.8639999999996</v>
      </c>
      <c r="AM39" s="67">
        <f t="shared" si="28"/>
        <v>19988.562719999998</v>
      </c>
      <c r="AN39" s="67">
        <f t="shared" si="28"/>
        <v>19010.610000000008</v>
      </c>
      <c r="AO39" s="67">
        <f t="shared" si="28"/>
        <v>19138.153999999999</v>
      </c>
      <c r="AP39" s="67">
        <f t="shared" si="28"/>
        <v>15537.999999999987</v>
      </c>
      <c r="AQ39" s="67">
        <f t="shared" si="28"/>
        <v>58731.999999999956</v>
      </c>
      <c r="AR39" s="67">
        <f t="shared" si="28"/>
        <v>71385.314419999981</v>
      </c>
      <c r="AS39" s="66">
        <f t="shared" si="28"/>
        <v>70909.575299999997</v>
      </c>
      <c r="AT39" s="91"/>
      <c r="AU39" s="34"/>
      <c r="AV39" s="81">
        <f t="shared" ref="AV39:BA39" si="29">AVERAGE(AV8:AV38)</f>
        <v>100.78468083159811</v>
      </c>
      <c r="AW39" s="83">
        <f t="shared" si="29"/>
        <v>140.0869996892547</v>
      </c>
      <c r="AX39" s="81">
        <f t="shared" si="29"/>
        <v>1.727975006387815</v>
      </c>
      <c r="AY39" s="82">
        <f t="shared" si="29"/>
        <v>8.3979585310447771</v>
      </c>
      <c r="AZ39" s="84">
        <f t="shared" si="29"/>
        <v>1.9173272720804941</v>
      </c>
      <c r="BA39" s="82">
        <f t="shared" si="29"/>
        <v>7.1516307248602464</v>
      </c>
      <c r="BB39" s="34"/>
      <c r="BC39" s="24">
        <f>SUM(BC8:BC38)</f>
        <v>1396687.8544199967</v>
      </c>
      <c r="BD39" s="24">
        <f>SUM(BD8:BD38)</f>
        <v>1466482</v>
      </c>
      <c r="BE39" s="78">
        <f>SUM(BE8:BE38)</f>
        <v>1540188.8952999869</v>
      </c>
      <c r="BF39" s="99"/>
      <c r="BG39" s="93">
        <v>155.41202341381961</v>
      </c>
      <c r="BH39" s="93">
        <f>AVERAGE(BH8:BH38)</f>
        <v>145.70114257327361</v>
      </c>
      <c r="BI39" s="93">
        <f>AVERAGE(BI8:BI38)</f>
        <v>155.63658894515976</v>
      </c>
      <c r="BJ39" s="4"/>
    </row>
    <row r="40" spans="1:62" ht="7.5" customHeight="1" thickBot="1" x14ac:dyDescent="0.25">
      <c r="A40" s="5"/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60"/>
      <c r="O40" s="25"/>
      <c r="P40" s="25"/>
      <c r="Q40" s="25"/>
      <c r="R40" s="26"/>
      <c r="S40" s="26"/>
      <c r="T40" s="26"/>
      <c r="U40" s="26"/>
      <c r="V40" s="25"/>
      <c r="W40" s="25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92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26"/>
      <c r="BJ40" s="6"/>
    </row>
    <row r="41" spans="1:62" ht="13.5" thickTop="1" x14ac:dyDescent="0.2"/>
    <row r="42" spans="1:62" x14ac:dyDescent="0.2">
      <c r="J42">
        <f>+J39/30</f>
        <v>33241.333333333023</v>
      </c>
      <c r="K42">
        <v>0.64</v>
      </c>
      <c r="M42" s="46"/>
      <c r="N42"/>
      <c r="T42" s="47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BG42" s="46"/>
      <c r="BH42" s="46"/>
    </row>
    <row r="43" spans="1:62" ht="13.5" thickBot="1" x14ac:dyDescent="0.25">
      <c r="J43">
        <f>+J42*K43</f>
        <v>27257.893333333079</v>
      </c>
      <c r="K43">
        <v>0.82</v>
      </c>
      <c r="M43" s="44"/>
      <c r="N43" s="44"/>
      <c r="O43" s="44"/>
      <c r="P43" s="44"/>
      <c r="Q43" s="44"/>
      <c r="R43" s="44"/>
      <c r="S43" s="44"/>
      <c r="T43" s="45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</row>
    <row r="44" spans="1:62" x14ac:dyDescent="0.2">
      <c r="J44" s="200">
        <f>+J43/K42</f>
        <v>42590.458333332936</v>
      </c>
      <c r="L44" s="200">
        <f>+J44*30</f>
        <v>1277713.7499999881</v>
      </c>
    </row>
    <row r="45" spans="1:62" ht="13.5" thickBot="1" x14ac:dyDescent="0.25"/>
    <row r="46" spans="1:62" x14ac:dyDescent="0.2">
      <c r="L46" s="200">
        <f>+L44*1.94</f>
        <v>2478764.674999977</v>
      </c>
    </row>
  </sheetData>
  <mergeCells count="14">
    <mergeCell ref="A2:AS2"/>
    <mergeCell ref="BH5:BH6"/>
    <mergeCell ref="BC5:BC6"/>
    <mergeCell ref="BG5:BG6"/>
    <mergeCell ref="BI5:BI6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ageMargins left="0.36" right="0.16" top="0.28999999999999998" bottom="0.39" header="0.28000000000000003" footer="0.34"/>
  <pageSetup paperSize="9" scale="80" fitToHeight="0" pageOrder="overThenDown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5:R38"/>
  <sheetViews>
    <sheetView workbookViewId="0"/>
  </sheetViews>
  <sheetFormatPr defaultRowHeight="12.75" x14ac:dyDescent="0.2"/>
  <sheetData>
    <row r="5" spans="2:18" ht="30" customHeight="1" x14ac:dyDescent="0.2">
      <c r="B5" s="774" t="s">
        <v>145</v>
      </c>
      <c r="C5" s="774"/>
      <c r="D5" s="774"/>
      <c r="E5" s="774"/>
      <c r="F5" s="774"/>
      <c r="G5" s="774"/>
      <c r="H5" s="774"/>
      <c r="I5" s="774"/>
      <c r="J5" s="774"/>
      <c r="K5" s="774"/>
      <c r="L5" s="774"/>
      <c r="M5" s="774"/>
      <c r="N5" s="774"/>
      <c r="O5" s="774"/>
      <c r="P5" s="774"/>
      <c r="Q5" s="774"/>
      <c r="R5" s="774"/>
    </row>
    <row r="6" spans="2:18" ht="25.5" x14ac:dyDescent="0.2">
      <c r="B6" s="267" t="s">
        <v>146</v>
      </c>
      <c r="C6" s="775" t="s">
        <v>147</v>
      </c>
      <c r="D6" s="775"/>
      <c r="E6" s="775"/>
      <c r="F6" s="775" t="s">
        <v>148</v>
      </c>
      <c r="G6" s="775"/>
      <c r="H6" s="775"/>
      <c r="I6" s="775" t="s">
        <v>149</v>
      </c>
      <c r="J6" s="775"/>
      <c r="K6" s="775"/>
      <c r="L6" s="775" t="s">
        <v>150</v>
      </c>
      <c r="M6" s="775"/>
      <c r="N6" s="775"/>
      <c r="O6" s="775" t="s">
        <v>151</v>
      </c>
      <c r="P6" s="775"/>
      <c r="Q6" s="775"/>
      <c r="R6" s="267" t="s">
        <v>152</v>
      </c>
    </row>
    <row r="7" spans="2:18" x14ac:dyDescent="0.2">
      <c r="B7" s="268" t="s">
        <v>153</v>
      </c>
      <c r="C7" s="268" t="s">
        <v>154</v>
      </c>
      <c r="D7" s="268" t="s">
        <v>155</v>
      </c>
      <c r="E7" s="268" t="s">
        <v>156</v>
      </c>
      <c r="F7" s="268" t="s">
        <v>154</v>
      </c>
      <c r="G7" s="268" t="s">
        <v>155</v>
      </c>
      <c r="H7" s="268" t="s">
        <v>156</v>
      </c>
      <c r="I7" s="268" t="s">
        <v>154</v>
      </c>
      <c r="J7" s="268" t="s">
        <v>155</v>
      </c>
      <c r="K7" s="268" t="s">
        <v>156</v>
      </c>
      <c r="L7" s="268" t="s">
        <v>154</v>
      </c>
      <c r="M7" s="268" t="s">
        <v>155</v>
      </c>
      <c r="N7" s="268" t="s">
        <v>156</v>
      </c>
      <c r="O7" s="268" t="s">
        <v>154</v>
      </c>
      <c r="P7" s="268" t="s">
        <v>155</v>
      </c>
      <c r="Q7" s="268" t="s">
        <v>156</v>
      </c>
    </row>
    <row r="8" spans="2:18" x14ac:dyDescent="0.2">
      <c r="B8" s="268">
        <v>1</v>
      </c>
      <c r="C8" s="268">
        <v>35</v>
      </c>
      <c r="D8" s="268">
        <v>29.8</v>
      </c>
      <c r="E8" s="268">
        <v>25</v>
      </c>
      <c r="F8" s="268">
        <v>14</v>
      </c>
      <c r="G8" s="268">
        <v>10.3</v>
      </c>
      <c r="H8" s="268">
        <v>7</v>
      </c>
      <c r="I8" s="268">
        <v>50</v>
      </c>
      <c r="J8" s="268">
        <v>31</v>
      </c>
      <c r="K8" s="268">
        <v>20</v>
      </c>
      <c r="L8" s="268">
        <v>37</v>
      </c>
      <c r="M8" s="268">
        <v>23.4</v>
      </c>
      <c r="N8" s="268">
        <v>4</v>
      </c>
      <c r="O8" s="268">
        <v>1003.9</v>
      </c>
      <c r="P8" s="268">
        <v>1002.9</v>
      </c>
      <c r="Q8" s="268">
        <v>1001.9</v>
      </c>
    </row>
    <row r="9" spans="2:18" x14ac:dyDescent="0.2">
      <c r="B9" s="268">
        <v>2</v>
      </c>
      <c r="C9" s="268">
        <v>39</v>
      </c>
      <c r="D9" s="268">
        <v>33.4</v>
      </c>
      <c r="E9" s="268">
        <v>26</v>
      </c>
      <c r="F9" s="268">
        <v>12</v>
      </c>
      <c r="G9" s="268">
        <v>8.6</v>
      </c>
      <c r="H9" s="268">
        <v>4</v>
      </c>
      <c r="I9" s="268">
        <v>42</v>
      </c>
      <c r="J9" s="268">
        <v>22.9</v>
      </c>
      <c r="K9" s="268">
        <v>14</v>
      </c>
      <c r="L9" s="268">
        <v>33</v>
      </c>
      <c r="M9" s="268">
        <v>13.8</v>
      </c>
      <c r="N9" s="268">
        <v>0</v>
      </c>
      <c r="O9" s="268">
        <v>1001.9</v>
      </c>
      <c r="P9" s="268">
        <v>1000.2</v>
      </c>
      <c r="Q9" s="268">
        <v>998.9</v>
      </c>
    </row>
    <row r="10" spans="2:18" x14ac:dyDescent="0.2">
      <c r="B10" s="268">
        <v>3</v>
      </c>
      <c r="C10" s="268">
        <v>33</v>
      </c>
      <c r="D10" s="268">
        <v>28.9</v>
      </c>
      <c r="E10" s="268">
        <v>24</v>
      </c>
      <c r="F10" s="268">
        <v>17</v>
      </c>
      <c r="G10" s="268">
        <v>12.1</v>
      </c>
      <c r="H10" s="268">
        <v>7</v>
      </c>
      <c r="I10" s="268">
        <v>65</v>
      </c>
      <c r="J10" s="268">
        <v>37.200000000000003</v>
      </c>
      <c r="K10" s="268">
        <v>20</v>
      </c>
      <c r="L10" s="268">
        <v>30</v>
      </c>
      <c r="M10" s="268">
        <v>16.3</v>
      </c>
      <c r="N10" s="268">
        <v>0</v>
      </c>
      <c r="O10" s="268">
        <v>1005.9</v>
      </c>
      <c r="P10" s="268">
        <v>1003.7</v>
      </c>
      <c r="Q10" s="268">
        <v>1001.9</v>
      </c>
    </row>
    <row r="11" spans="2:18" x14ac:dyDescent="0.2">
      <c r="B11" s="268">
        <v>4</v>
      </c>
      <c r="C11" s="268">
        <v>36</v>
      </c>
      <c r="D11" s="268">
        <v>31.1</v>
      </c>
      <c r="E11" s="268">
        <v>26</v>
      </c>
      <c r="F11" s="268">
        <v>15</v>
      </c>
      <c r="G11" s="268">
        <v>11.7</v>
      </c>
      <c r="H11" s="268">
        <v>10</v>
      </c>
      <c r="I11" s="268">
        <v>51</v>
      </c>
      <c r="J11" s="268">
        <v>31.3</v>
      </c>
      <c r="K11" s="268">
        <v>20</v>
      </c>
      <c r="L11" s="268">
        <v>30</v>
      </c>
      <c r="M11" s="268">
        <v>16.100000000000001</v>
      </c>
      <c r="N11" s="268">
        <v>6</v>
      </c>
      <c r="O11" s="268">
        <v>1004.9</v>
      </c>
      <c r="P11" s="268">
        <v>1003.4</v>
      </c>
      <c r="Q11" s="268">
        <v>1001.9</v>
      </c>
    </row>
    <row r="12" spans="2:18" x14ac:dyDescent="0.2">
      <c r="B12" s="268">
        <v>5</v>
      </c>
      <c r="C12" s="268">
        <v>36</v>
      </c>
      <c r="D12" s="268">
        <v>30.8</v>
      </c>
      <c r="E12" s="268">
        <v>26</v>
      </c>
      <c r="F12" s="268">
        <v>18</v>
      </c>
      <c r="G12" s="268">
        <v>15.1</v>
      </c>
      <c r="H12" s="268">
        <v>12</v>
      </c>
      <c r="I12" s="268">
        <v>61</v>
      </c>
      <c r="J12" s="268">
        <v>39.5</v>
      </c>
      <c r="K12" s="268">
        <v>28</v>
      </c>
      <c r="L12" s="268">
        <v>35</v>
      </c>
      <c r="M12" s="268">
        <v>25.1</v>
      </c>
      <c r="N12" s="268">
        <v>11</v>
      </c>
      <c r="O12" s="268">
        <v>1004.9</v>
      </c>
      <c r="P12" s="268">
        <v>1002.9</v>
      </c>
      <c r="Q12" s="268">
        <v>1000.9</v>
      </c>
    </row>
    <row r="13" spans="2:18" x14ac:dyDescent="0.2">
      <c r="B13" s="268">
        <v>6</v>
      </c>
      <c r="C13" s="268">
        <v>37</v>
      </c>
      <c r="D13" s="268">
        <v>31.4</v>
      </c>
      <c r="E13" s="268">
        <v>27</v>
      </c>
      <c r="F13" s="268">
        <v>17</v>
      </c>
      <c r="G13" s="268">
        <v>14.7</v>
      </c>
      <c r="H13" s="268">
        <v>11</v>
      </c>
      <c r="I13" s="268">
        <v>54</v>
      </c>
      <c r="J13" s="268">
        <v>37.6</v>
      </c>
      <c r="K13" s="268">
        <v>21</v>
      </c>
      <c r="L13" s="268">
        <v>28</v>
      </c>
      <c r="M13" s="268">
        <v>14.5</v>
      </c>
      <c r="N13" s="268">
        <v>0</v>
      </c>
      <c r="O13" s="268">
        <v>1004.9</v>
      </c>
      <c r="P13" s="268">
        <v>1002.6</v>
      </c>
      <c r="Q13" s="268">
        <v>1000.9</v>
      </c>
    </row>
    <row r="14" spans="2:18" x14ac:dyDescent="0.2">
      <c r="B14" s="268">
        <v>7</v>
      </c>
      <c r="C14" s="268">
        <v>39</v>
      </c>
      <c r="D14" s="268">
        <v>32.200000000000003</v>
      </c>
      <c r="E14" s="268">
        <v>28</v>
      </c>
      <c r="F14" s="268">
        <v>18</v>
      </c>
      <c r="G14" s="268">
        <v>15.3</v>
      </c>
      <c r="H14" s="268">
        <v>13</v>
      </c>
      <c r="I14" s="268">
        <v>48</v>
      </c>
      <c r="J14" s="268">
        <v>36.9</v>
      </c>
      <c r="K14" s="268">
        <v>22</v>
      </c>
      <c r="L14" s="268">
        <v>22</v>
      </c>
      <c r="M14" s="268">
        <v>9.1999999999999993</v>
      </c>
      <c r="N14" s="268">
        <v>0</v>
      </c>
      <c r="O14" s="268">
        <v>1002.9</v>
      </c>
      <c r="P14" s="268">
        <v>1001</v>
      </c>
      <c r="Q14" s="268">
        <v>999.9</v>
      </c>
    </row>
    <row r="15" spans="2:18" x14ac:dyDescent="0.2">
      <c r="B15" s="268">
        <v>8</v>
      </c>
      <c r="C15" s="268">
        <v>39</v>
      </c>
      <c r="D15" s="268">
        <v>33.700000000000003</v>
      </c>
      <c r="E15" s="268">
        <v>26</v>
      </c>
      <c r="F15" s="268">
        <v>21</v>
      </c>
      <c r="G15" s="268">
        <v>15.5</v>
      </c>
      <c r="H15" s="268">
        <v>12</v>
      </c>
      <c r="I15" s="268">
        <v>51</v>
      </c>
      <c r="J15" s="268">
        <v>34.5</v>
      </c>
      <c r="K15" s="268">
        <v>20</v>
      </c>
      <c r="L15" s="268">
        <v>19</v>
      </c>
      <c r="M15" s="268">
        <v>8.4</v>
      </c>
      <c r="N15" s="268">
        <v>0</v>
      </c>
      <c r="O15" s="268">
        <v>1000.9</v>
      </c>
      <c r="P15" s="268">
        <v>999.3</v>
      </c>
      <c r="Q15" s="268">
        <v>997.9</v>
      </c>
    </row>
    <row r="16" spans="2:18" x14ac:dyDescent="0.2">
      <c r="B16" s="268">
        <v>9</v>
      </c>
      <c r="C16" s="268">
        <v>38</v>
      </c>
      <c r="D16" s="268">
        <v>33</v>
      </c>
      <c r="E16" s="268">
        <v>29</v>
      </c>
      <c r="F16" s="268">
        <v>16</v>
      </c>
      <c r="G16" s="268">
        <v>14.1</v>
      </c>
      <c r="H16" s="268">
        <v>12</v>
      </c>
      <c r="I16" s="268">
        <v>45</v>
      </c>
      <c r="J16" s="268">
        <v>32.299999999999997</v>
      </c>
      <c r="K16" s="268">
        <v>21</v>
      </c>
      <c r="L16" s="268">
        <v>28</v>
      </c>
      <c r="M16" s="268">
        <v>15.9</v>
      </c>
      <c r="N16" s="268">
        <v>6</v>
      </c>
      <c r="O16" s="268">
        <v>1001.9</v>
      </c>
      <c r="P16" s="268">
        <v>1000.1</v>
      </c>
      <c r="Q16" s="268">
        <v>998.9</v>
      </c>
    </row>
    <row r="17" spans="2:17" x14ac:dyDescent="0.2">
      <c r="B17" s="268">
        <v>10</v>
      </c>
      <c r="C17" s="268">
        <v>38</v>
      </c>
      <c r="D17" s="268">
        <v>33</v>
      </c>
      <c r="E17" s="268">
        <v>28</v>
      </c>
      <c r="F17" s="268">
        <v>17</v>
      </c>
      <c r="G17" s="268">
        <v>13.5</v>
      </c>
      <c r="H17" s="268">
        <v>9</v>
      </c>
      <c r="I17" s="268">
        <v>51</v>
      </c>
      <c r="J17" s="268">
        <v>32</v>
      </c>
      <c r="K17" s="268">
        <v>18</v>
      </c>
      <c r="L17" s="268">
        <v>37</v>
      </c>
      <c r="M17" s="268">
        <v>22.5</v>
      </c>
      <c r="N17" s="268">
        <v>9</v>
      </c>
      <c r="O17" s="268">
        <v>1002.9</v>
      </c>
      <c r="P17" s="268">
        <v>1001.9</v>
      </c>
      <c r="Q17" s="268">
        <v>1000.9</v>
      </c>
    </row>
    <row r="18" spans="2:17" x14ac:dyDescent="0.2">
      <c r="B18" s="268">
        <v>11</v>
      </c>
      <c r="C18" s="268">
        <v>38</v>
      </c>
      <c r="D18" s="268">
        <v>33.5</v>
      </c>
      <c r="E18" s="268">
        <v>29</v>
      </c>
      <c r="F18" s="268">
        <v>17</v>
      </c>
      <c r="G18" s="268">
        <v>14.2</v>
      </c>
      <c r="H18" s="268">
        <v>12</v>
      </c>
      <c r="I18" s="268">
        <v>45</v>
      </c>
      <c r="J18" s="268">
        <v>31.5</v>
      </c>
      <c r="K18" s="268">
        <v>22</v>
      </c>
      <c r="L18" s="268">
        <v>31</v>
      </c>
      <c r="M18" s="268">
        <v>23.9</v>
      </c>
      <c r="N18" s="268">
        <v>19</v>
      </c>
      <c r="O18" s="268">
        <v>1003.9</v>
      </c>
      <c r="P18" s="268">
        <v>1002.1</v>
      </c>
      <c r="Q18" s="268">
        <v>1000.9</v>
      </c>
    </row>
    <row r="19" spans="2:17" x14ac:dyDescent="0.2">
      <c r="B19" s="268">
        <v>12</v>
      </c>
      <c r="C19" s="268">
        <v>37</v>
      </c>
      <c r="D19" s="268">
        <v>31.9</v>
      </c>
      <c r="E19" s="268">
        <v>26</v>
      </c>
      <c r="F19" s="268">
        <v>17</v>
      </c>
      <c r="G19" s="268">
        <v>15.6</v>
      </c>
      <c r="H19" s="268">
        <v>14</v>
      </c>
      <c r="I19" s="268">
        <v>51</v>
      </c>
      <c r="J19" s="268">
        <v>37.9</v>
      </c>
      <c r="K19" s="268">
        <v>29</v>
      </c>
      <c r="L19" s="268">
        <v>44</v>
      </c>
      <c r="M19" s="268">
        <v>32.5</v>
      </c>
      <c r="N19" s="268">
        <v>20</v>
      </c>
      <c r="O19" s="268">
        <v>1002.9</v>
      </c>
      <c r="P19" s="268">
        <v>1001.6</v>
      </c>
      <c r="Q19" s="268">
        <v>1000.9</v>
      </c>
    </row>
    <row r="20" spans="2:17" x14ac:dyDescent="0.2">
      <c r="B20" s="268">
        <v>13</v>
      </c>
      <c r="C20" s="268">
        <v>38</v>
      </c>
      <c r="D20" s="268">
        <v>33.799999999999997</v>
      </c>
      <c r="E20" s="268">
        <v>28</v>
      </c>
      <c r="F20" s="268">
        <v>21</v>
      </c>
      <c r="G20" s="268">
        <v>16.3</v>
      </c>
      <c r="H20" s="268">
        <v>13</v>
      </c>
      <c r="I20" s="268">
        <v>48</v>
      </c>
      <c r="J20" s="268">
        <v>35.5</v>
      </c>
      <c r="K20" s="268">
        <v>25</v>
      </c>
      <c r="L20" s="268">
        <v>26</v>
      </c>
      <c r="M20" s="268">
        <v>11.1</v>
      </c>
      <c r="N20" s="268">
        <v>0</v>
      </c>
      <c r="O20" s="268">
        <v>1000.9</v>
      </c>
      <c r="P20" s="268">
        <v>1000</v>
      </c>
      <c r="Q20" s="268">
        <v>997.9</v>
      </c>
    </row>
    <row r="21" spans="2:17" x14ac:dyDescent="0.2">
      <c r="B21" s="268">
        <v>14</v>
      </c>
      <c r="C21" s="268">
        <v>38</v>
      </c>
      <c r="D21" s="268">
        <v>33.5</v>
      </c>
      <c r="E21" s="268">
        <v>30</v>
      </c>
      <c r="F21" s="268">
        <v>21</v>
      </c>
      <c r="G21" s="268">
        <v>19.3</v>
      </c>
      <c r="H21" s="268">
        <v>17</v>
      </c>
      <c r="I21" s="268">
        <v>55</v>
      </c>
      <c r="J21" s="268">
        <v>43.4</v>
      </c>
      <c r="K21" s="268">
        <v>35</v>
      </c>
      <c r="L21" s="268">
        <v>35</v>
      </c>
      <c r="M21" s="268">
        <v>20.7</v>
      </c>
      <c r="N21" s="268">
        <v>0</v>
      </c>
      <c r="O21" s="268">
        <v>998.9</v>
      </c>
      <c r="P21" s="268">
        <v>997.7</v>
      </c>
      <c r="Q21" s="268">
        <v>996</v>
      </c>
    </row>
    <row r="22" spans="2:17" x14ac:dyDescent="0.2">
      <c r="B22" s="268">
        <v>15</v>
      </c>
      <c r="C22" s="268">
        <v>35</v>
      </c>
      <c r="D22" s="268">
        <v>30.5</v>
      </c>
      <c r="E22" s="268">
        <v>26</v>
      </c>
      <c r="F22" s="268">
        <v>21</v>
      </c>
      <c r="G22" s="268">
        <v>19.7</v>
      </c>
      <c r="H22" s="268">
        <v>18</v>
      </c>
      <c r="I22" s="268">
        <v>61</v>
      </c>
      <c r="J22" s="268">
        <v>52.7</v>
      </c>
      <c r="K22" s="268">
        <v>44</v>
      </c>
      <c r="L22" s="268">
        <v>35</v>
      </c>
      <c r="M22" s="268">
        <v>26.9</v>
      </c>
      <c r="N22" s="268">
        <v>19</v>
      </c>
      <c r="O22" s="268">
        <v>1001.9</v>
      </c>
      <c r="P22" s="268">
        <v>1000.2</v>
      </c>
      <c r="Q22" s="268">
        <v>997.9</v>
      </c>
    </row>
    <row r="23" spans="2:17" x14ac:dyDescent="0.2">
      <c r="B23" s="268">
        <v>16</v>
      </c>
      <c r="C23" s="268">
        <v>37</v>
      </c>
      <c r="D23" s="268">
        <v>30.9</v>
      </c>
      <c r="E23" s="268">
        <v>26</v>
      </c>
      <c r="F23" s="268">
        <v>23</v>
      </c>
      <c r="G23" s="268">
        <v>19.5</v>
      </c>
      <c r="H23" s="268">
        <v>7</v>
      </c>
      <c r="I23" s="268">
        <v>65</v>
      </c>
      <c r="J23" s="268">
        <v>51.6</v>
      </c>
      <c r="K23" s="268">
        <v>26</v>
      </c>
      <c r="L23" s="268">
        <v>31</v>
      </c>
      <c r="M23" s="268">
        <v>21.7</v>
      </c>
      <c r="N23" s="268">
        <v>4</v>
      </c>
      <c r="O23" s="268">
        <v>1002.9</v>
      </c>
      <c r="P23" s="268">
        <v>1001.2</v>
      </c>
      <c r="Q23" s="268">
        <v>999.9</v>
      </c>
    </row>
    <row r="24" spans="2:17" x14ac:dyDescent="0.2">
      <c r="B24" s="268">
        <v>17</v>
      </c>
      <c r="C24" s="268">
        <v>41</v>
      </c>
      <c r="D24" s="268">
        <v>34.200000000000003</v>
      </c>
      <c r="E24" s="268">
        <v>29</v>
      </c>
      <c r="F24" s="268">
        <v>23</v>
      </c>
      <c r="G24" s="268">
        <v>20.399999999999999</v>
      </c>
      <c r="H24" s="268">
        <v>17</v>
      </c>
      <c r="I24" s="268">
        <v>70</v>
      </c>
      <c r="J24" s="268">
        <v>45.8</v>
      </c>
      <c r="K24" s="268">
        <v>27</v>
      </c>
      <c r="L24" s="268">
        <v>31</v>
      </c>
      <c r="M24" s="268">
        <v>21.3</v>
      </c>
      <c r="N24" s="268">
        <v>11</v>
      </c>
      <c r="O24" s="268">
        <v>1002.9</v>
      </c>
      <c r="P24" s="268">
        <v>1001.2</v>
      </c>
      <c r="Q24" s="268">
        <v>999.9</v>
      </c>
    </row>
    <row r="25" spans="2:17" x14ac:dyDescent="0.2">
      <c r="B25" s="268">
        <v>18</v>
      </c>
      <c r="C25" s="268">
        <v>39</v>
      </c>
      <c r="D25" s="268">
        <v>33.4</v>
      </c>
      <c r="E25" s="268">
        <v>29</v>
      </c>
      <c r="F25" s="268">
        <v>22</v>
      </c>
      <c r="G25" s="268">
        <v>18.3</v>
      </c>
      <c r="H25" s="268">
        <v>13</v>
      </c>
      <c r="I25" s="268">
        <v>66</v>
      </c>
      <c r="J25" s="268">
        <v>42.6</v>
      </c>
      <c r="K25" s="268">
        <v>22</v>
      </c>
      <c r="L25" s="268">
        <v>35</v>
      </c>
      <c r="M25" s="268">
        <v>14.3</v>
      </c>
      <c r="N25" s="268">
        <v>0</v>
      </c>
      <c r="O25" s="268">
        <v>1001.9</v>
      </c>
      <c r="P25" s="268">
        <v>1000.2</v>
      </c>
      <c r="Q25" s="268">
        <v>998.9</v>
      </c>
    </row>
    <row r="26" spans="2:17" x14ac:dyDescent="0.2">
      <c r="B26" s="268">
        <v>19</v>
      </c>
      <c r="C26" s="268">
        <v>36</v>
      </c>
      <c r="D26" s="268">
        <v>30.3</v>
      </c>
      <c r="E26" s="268">
        <v>26</v>
      </c>
      <c r="F26" s="268">
        <v>23</v>
      </c>
      <c r="G26" s="268">
        <v>20.6</v>
      </c>
      <c r="H26" s="268">
        <v>18</v>
      </c>
      <c r="I26" s="268">
        <v>74</v>
      </c>
      <c r="J26" s="268">
        <v>57.2</v>
      </c>
      <c r="K26" s="268">
        <v>34</v>
      </c>
      <c r="L26" s="268">
        <v>35</v>
      </c>
      <c r="M26" s="268">
        <v>28.3</v>
      </c>
      <c r="N26" s="268">
        <v>19</v>
      </c>
      <c r="O26" s="268">
        <v>1002.9</v>
      </c>
      <c r="P26" s="268">
        <v>1001.3</v>
      </c>
      <c r="Q26" s="268">
        <v>998.9</v>
      </c>
    </row>
    <row r="27" spans="2:17" x14ac:dyDescent="0.2">
      <c r="B27" s="268">
        <v>20</v>
      </c>
      <c r="C27" s="268">
        <v>35</v>
      </c>
      <c r="D27" s="268">
        <v>30.2</v>
      </c>
      <c r="E27" s="268">
        <v>25</v>
      </c>
      <c r="F27" s="268">
        <v>23</v>
      </c>
      <c r="G27" s="268">
        <v>20.8</v>
      </c>
      <c r="H27" s="268">
        <v>19</v>
      </c>
      <c r="I27" s="268">
        <v>74</v>
      </c>
      <c r="J27" s="268">
        <v>57.9</v>
      </c>
      <c r="K27" s="268">
        <v>44</v>
      </c>
      <c r="L27" s="268">
        <v>31</v>
      </c>
      <c r="M27" s="268">
        <v>25.1</v>
      </c>
      <c r="N27" s="268">
        <v>11</v>
      </c>
      <c r="O27" s="268">
        <v>1003.9</v>
      </c>
      <c r="P27" s="268">
        <v>1001.8</v>
      </c>
      <c r="Q27" s="268">
        <v>1000.9</v>
      </c>
    </row>
    <row r="28" spans="2:17" x14ac:dyDescent="0.2">
      <c r="B28" s="268">
        <v>21</v>
      </c>
      <c r="C28" s="268">
        <v>37</v>
      </c>
      <c r="D28" s="268">
        <v>31.8</v>
      </c>
      <c r="E28" s="268">
        <v>26</v>
      </c>
      <c r="F28" s="268">
        <v>26</v>
      </c>
      <c r="G28" s="268">
        <v>20.7</v>
      </c>
      <c r="H28" s="268">
        <v>14</v>
      </c>
      <c r="I28" s="268">
        <v>74</v>
      </c>
      <c r="J28" s="268">
        <v>53.5</v>
      </c>
      <c r="K28" s="268">
        <v>28</v>
      </c>
      <c r="L28" s="268">
        <v>30</v>
      </c>
      <c r="M28" s="268">
        <v>15.3</v>
      </c>
      <c r="N28" s="268">
        <v>0</v>
      </c>
      <c r="O28" s="268">
        <v>1003.9</v>
      </c>
      <c r="P28" s="268">
        <v>1002.1</v>
      </c>
      <c r="Q28" s="268">
        <v>1000.9</v>
      </c>
    </row>
    <row r="29" spans="2:17" x14ac:dyDescent="0.2">
      <c r="B29" s="268">
        <v>22</v>
      </c>
      <c r="C29" s="268">
        <v>40</v>
      </c>
      <c r="D29" s="268">
        <v>34.799999999999997</v>
      </c>
      <c r="E29" s="268">
        <v>28</v>
      </c>
      <c r="F29" s="268">
        <v>20</v>
      </c>
      <c r="G29" s="268">
        <v>13.3</v>
      </c>
      <c r="H29" s="268">
        <v>9</v>
      </c>
      <c r="I29" s="268">
        <v>48</v>
      </c>
      <c r="J29" s="268">
        <v>28.8</v>
      </c>
      <c r="K29" s="268">
        <v>17</v>
      </c>
      <c r="L29" s="268">
        <v>20</v>
      </c>
      <c r="M29" s="268">
        <v>9.1</v>
      </c>
      <c r="N29" s="268">
        <v>0</v>
      </c>
      <c r="O29" s="268">
        <v>1002.9</v>
      </c>
      <c r="P29" s="268">
        <v>1001.2</v>
      </c>
      <c r="Q29" s="268">
        <v>999.9</v>
      </c>
    </row>
    <row r="30" spans="2:17" x14ac:dyDescent="0.2">
      <c r="B30" s="268">
        <v>23</v>
      </c>
      <c r="C30" s="268">
        <v>39</v>
      </c>
      <c r="D30" s="268">
        <v>34.299999999999997</v>
      </c>
      <c r="E30" s="268">
        <v>29</v>
      </c>
      <c r="F30" s="268">
        <v>17</v>
      </c>
      <c r="G30" s="268">
        <v>11.7</v>
      </c>
      <c r="H30" s="268">
        <v>9</v>
      </c>
      <c r="I30" s="268">
        <v>48</v>
      </c>
      <c r="J30" s="268">
        <v>26.2</v>
      </c>
      <c r="K30" s="268">
        <v>17</v>
      </c>
      <c r="L30" s="268">
        <v>33</v>
      </c>
      <c r="M30" s="268">
        <v>23.9</v>
      </c>
      <c r="N30" s="268">
        <v>11</v>
      </c>
      <c r="O30" s="268">
        <v>1004.9</v>
      </c>
      <c r="P30" s="268">
        <v>1003.2</v>
      </c>
      <c r="Q30" s="268">
        <v>1000.9</v>
      </c>
    </row>
    <row r="31" spans="2:17" x14ac:dyDescent="0.2">
      <c r="B31" s="268">
        <v>24</v>
      </c>
      <c r="C31" s="268">
        <v>37</v>
      </c>
      <c r="D31" s="268">
        <v>32.200000000000003</v>
      </c>
      <c r="E31" s="268">
        <v>28</v>
      </c>
      <c r="F31" s="268">
        <v>16</v>
      </c>
      <c r="G31" s="268">
        <v>12.5</v>
      </c>
      <c r="H31" s="268">
        <v>9</v>
      </c>
      <c r="I31" s="268">
        <v>45</v>
      </c>
      <c r="J31" s="268">
        <v>30.5</v>
      </c>
      <c r="K31" s="268">
        <v>19</v>
      </c>
      <c r="L31" s="268">
        <v>37</v>
      </c>
      <c r="M31" s="268">
        <v>28.6</v>
      </c>
      <c r="N31" s="268">
        <v>19</v>
      </c>
      <c r="O31" s="268">
        <v>1005.9</v>
      </c>
      <c r="P31" s="268">
        <v>1004</v>
      </c>
      <c r="Q31" s="268">
        <v>1002.9</v>
      </c>
    </row>
    <row r="32" spans="2:17" x14ac:dyDescent="0.2">
      <c r="B32" s="268">
        <v>25</v>
      </c>
      <c r="C32" s="268">
        <v>36</v>
      </c>
      <c r="D32" s="268">
        <v>30.8</v>
      </c>
      <c r="E32" s="268">
        <v>26</v>
      </c>
      <c r="F32" s="268">
        <v>17</v>
      </c>
      <c r="G32" s="268">
        <v>14.5</v>
      </c>
      <c r="H32" s="268">
        <v>12</v>
      </c>
      <c r="I32" s="268">
        <v>57</v>
      </c>
      <c r="J32" s="268">
        <v>38.299999999999997</v>
      </c>
      <c r="K32" s="268">
        <v>26</v>
      </c>
      <c r="L32" s="268">
        <v>41</v>
      </c>
      <c r="M32" s="268">
        <v>28.1</v>
      </c>
      <c r="N32" s="268">
        <v>19</v>
      </c>
      <c r="O32" s="268">
        <v>1002.9</v>
      </c>
      <c r="P32" s="268">
        <v>1001</v>
      </c>
      <c r="Q32" s="268">
        <v>998.9</v>
      </c>
    </row>
    <row r="33" spans="2:17" x14ac:dyDescent="0.2">
      <c r="B33" s="268">
        <v>26</v>
      </c>
      <c r="C33" s="268">
        <v>36</v>
      </c>
      <c r="D33" s="268">
        <v>31.5</v>
      </c>
      <c r="E33" s="268">
        <v>26</v>
      </c>
      <c r="F33" s="268">
        <v>19</v>
      </c>
      <c r="G33" s="268">
        <v>15.4</v>
      </c>
      <c r="H33" s="268">
        <v>9</v>
      </c>
      <c r="I33" s="268">
        <v>65</v>
      </c>
      <c r="J33" s="268">
        <v>39.6</v>
      </c>
      <c r="K33" s="268">
        <v>19</v>
      </c>
      <c r="L33" s="268">
        <v>30</v>
      </c>
      <c r="M33" s="268">
        <v>23.5</v>
      </c>
      <c r="N33" s="268">
        <v>15</v>
      </c>
      <c r="O33" s="268">
        <v>999.9</v>
      </c>
      <c r="P33" s="268">
        <v>998.6</v>
      </c>
      <c r="Q33" s="268">
        <v>997</v>
      </c>
    </row>
    <row r="34" spans="2:17" x14ac:dyDescent="0.2">
      <c r="B34" s="268">
        <v>27</v>
      </c>
      <c r="C34" s="268">
        <v>38</v>
      </c>
      <c r="D34" s="268">
        <v>32.1</v>
      </c>
      <c r="E34" s="268">
        <v>28</v>
      </c>
      <c r="F34" s="268">
        <v>19</v>
      </c>
      <c r="G34" s="268">
        <v>16.2</v>
      </c>
      <c r="H34" s="268">
        <v>13</v>
      </c>
      <c r="I34" s="268">
        <v>58</v>
      </c>
      <c r="J34" s="268">
        <v>39.1</v>
      </c>
      <c r="K34" s="268">
        <v>25</v>
      </c>
      <c r="L34" s="268">
        <v>26</v>
      </c>
      <c r="M34" s="268">
        <v>15.1</v>
      </c>
      <c r="N34" s="268">
        <v>0</v>
      </c>
      <c r="O34" s="268">
        <v>999.9</v>
      </c>
      <c r="P34" s="268">
        <v>998.8</v>
      </c>
      <c r="Q34" s="268">
        <v>997.9</v>
      </c>
    </row>
    <row r="35" spans="2:17" x14ac:dyDescent="0.2">
      <c r="B35" s="268">
        <v>28</v>
      </c>
      <c r="C35" s="268">
        <v>39</v>
      </c>
      <c r="D35" s="268">
        <v>33.4</v>
      </c>
      <c r="E35" s="268">
        <v>28</v>
      </c>
      <c r="F35" s="268">
        <v>18</v>
      </c>
      <c r="G35" s="268">
        <v>15.5</v>
      </c>
      <c r="H35" s="268">
        <v>12</v>
      </c>
      <c r="I35" s="268">
        <v>54</v>
      </c>
      <c r="J35" s="268">
        <v>35.1</v>
      </c>
      <c r="K35" s="268">
        <v>20</v>
      </c>
      <c r="L35" s="268">
        <v>26</v>
      </c>
      <c r="M35" s="268">
        <v>14.2</v>
      </c>
      <c r="N35" s="268">
        <v>0</v>
      </c>
      <c r="O35" s="268">
        <v>999.9</v>
      </c>
      <c r="P35" s="268">
        <v>998.6</v>
      </c>
      <c r="Q35" s="268">
        <v>997</v>
      </c>
    </row>
    <row r="36" spans="2:17" x14ac:dyDescent="0.2">
      <c r="B36" s="268">
        <v>29</v>
      </c>
      <c r="C36" s="268">
        <v>38</v>
      </c>
      <c r="D36" s="268">
        <v>33.5</v>
      </c>
      <c r="E36" s="268">
        <v>29</v>
      </c>
      <c r="F36" s="268">
        <v>16</v>
      </c>
      <c r="G36" s="268">
        <v>13.3</v>
      </c>
      <c r="H36" s="268">
        <v>10</v>
      </c>
      <c r="I36" s="268">
        <v>45</v>
      </c>
      <c r="J36" s="268">
        <v>30</v>
      </c>
      <c r="K36" s="268">
        <v>20</v>
      </c>
      <c r="L36" s="268">
        <v>31</v>
      </c>
      <c r="M36" s="268">
        <v>18.2</v>
      </c>
      <c r="N36" s="268">
        <v>0</v>
      </c>
      <c r="O36" s="268">
        <v>998.9</v>
      </c>
      <c r="P36" s="268">
        <v>997.7</v>
      </c>
      <c r="Q36" s="268">
        <v>996</v>
      </c>
    </row>
    <row r="37" spans="2:17" x14ac:dyDescent="0.2">
      <c r="B37" s="268">
        <v>30</v>
      </c>
      <c r="C37" s="268">
        <v>37</v>
      </c>
      <c r="D37" s="268">
        <v>33.700000000000003</v>
      </c>
      <c r="E37" s="268">
        <v>29</v>
      </c>
      <c r="F37" s="268">
        <v>15</v>
      </c>
      <c r="G37" s="268">
        <v>11.5</v>
      </c>
      <c r="H37" s="268">
        <v>8</v>
      </c>
      <c r="I37" s="268">
        <v>40</v>
      </c>
      <c r="J37" s="268">
        <v>26.3</v>
      </c>
      <c r="K37" s="268">
        <v>19</v>
      </c>
      <c r="L37" s="268">
        <v>26</v>
      </c>
      <c r="M37" s="268">
        <v>17.100000000000001</v>
      </c>
      <c r="N37" s="268">
        <v>7</v>
      </c>
      <c r="O37" s="268">
        <v>998.9</v>
      </c>
      <c r="P37" s="268">
        <v>997</v>
      </c>
      <c r="Q37" s="268">
        <v>996</v>
      </c>
    </row>
    <row r="38" spans="2:17" ht="14.25" x14ac:dyDescent="0.2">
      <c r="L38" s="266"/>
      <c r="M38" s="266"/>
      <c r="N38" s="266"/>
    </row>
  </sheetData>
  <mergeCells count="6">
    <mergeCell ref="B5:R5"/>
    <mergeCell ref="C6:E6"/>
    <mergeCell ref="F6:H6"/>
    <mergeCell ref="I6:K6"/>
    <mergeCell ref="L6:N6"/>
    <mergeCell ref="O6:Q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61"/>
  <sheetViews>
    <sheetView topLeftCell="A4" workbookViewId="0">
      <selection activeCell="B9" sqref="B9"/>
    </sheetView>
  </sheetViews>
  <sheetFormatPr defaultColWidth="9.140625" defaultRowHeight="12.75" x14ac:dyDescent="0.2"/>
  <cols>
    <col min="1" max="1" width="39.28515625" customWidth="1"/>
    <col min="2" max="7" width="13.7109375" customWidth="1"/>
  </cols>
  <sheetData>
    <row r="1" spans="1:13" x14ac:dyDescent="0.2">
      <c r="A1" s="158"/>
      <c r="B1" s="158"/>
      <c r="C1" s="158"/>
      <c r="D1" s="158"/>
      <c r="E1" s="158"/>
      <c r="F1" s="158"/>
      <c r="G1" s="158"/>
    </row>
    <row r="2" spans="1:13" ht="18" x14ac:dyDescent="0.2">
      <c r="A2" s="159" t="s">
        <v>66</v>
      </c>
      <c r="B2" s="776">
        <f ca="1">TODAY()-1</f>
        <v>45786</v>
      </c>
      <c r="C2" s="776"/>
      <c r="D2" s="287"/>
      <c r="E2" s="158"/>
      <c r="F2" s="158"/>
      <c r="G2" s="158"/>
    </row>
    <row r="3" spans="1:13" ht="6" customHeight="1" x14ac:dyDescent="0.2">
      <c r="A3" s="158"/>
      <c r="B3" s="158"/>
      <c r="C3" s="158"/>
      <c r="D3" s="158"/>
      <c r="E3" s="158"/>
      <c r="F3" s="158"/>
      <c r="G3" s="158"/>
    </row>
    <row r="4" spans="1:13" ht="18" x14ac:dyDescent="0.2">
      <c r="A4" s="192" t="s">
        <v>65</v>
      </c>
      <c r="B4" s="158"/>
      <c r="C4" s="158"/>
      <c r="D4" s="158"/>
      <c r="E4" s="158"/>
      <c r="F4" s="158"/>
      <c r="G4" s="158"/>
    </row>
    <row r="5" spans="1:13" x14ac:dyDescent="0.2">
      <c r="A5" s="158"/>
      <c r="B5" s="158"/>
      <c r="C5" s="158"/>
      <c r="D5" s="158"/>
      <c r="E5" s="158"/>
      <c r="F5" s="158"/>
      <c r="G5" s="158"/>
      <c r="I5" s="777" t="s">
        <v>93</v>
      </c>
      <c r="J5" s="777"/>
      <c r="K5" s="777"/>
      <c r="L5" s="777"/>
      <c r="M5" s="777"/>
    </row>
    <row r="6" spans="1:13" x14ac:dyDescent="0.2">
      <c r="A6" s="158"/>
      <c r="B6" s="646" t="s">
        <v>68</v>
      </c>
      <c r="C6" s="647"/>
      <c r="D6" s="648"/>
      <c r="E6" s="645" t="s">
        <v>70</v>
      </c>
      <c r="F6" s="645"/>
      <c r="G6" s="645"/>
    </row>
    <row r="7" spans="1:13" x14ac:dyDescent="0.2">
      <c r="A7" s="158"/>
      <c r="B7" s="162" t="s">
        <v>69</v>
      </c>
      <c r="C7" s="162" t="s">
        <v>17</v>
      </c>
      <c r="D7" s="162" t="s">
        <v>18</v>
      </c>
      <c r="E7" s="163" t="s">
        <v>69</v>
      </c>
      <c r="F7" s="163" t="s">
        <v>17</v>
      </c>
      <c r="G7" s="163" t="s">
        <v>18</v>
      </c>
    </row>
    <row r="8" spans="1:13" ht="6" customHeight="1" x14ac:dyDescent="0.2">
      <c r="A8" s="158"/>
      <c r="B8" s="164"/>
      <c r="C8" s="164"/>
      <c r="D8" s="164"/>
      <c r="E8" s="164"/>
      <c r="F8" s="164"/>
      <c r="G8" s="164"/>
    </row>
    <row r="9" spans="1:13" ht="20.100000000000001" customHeight="1" x14ac:dyDescent="0.2">
      <c r="A9" s="167" t="s">
        <v>22</v>
      </c>
      <c r="B9" s="178">
        <v>274</v>
      </c>
      <c r="C9" s="160">
        <f>'Reading.5.25'!AO6</f>
        <v>286.45161290322579</v>
      </c>
      <c r="D9" s="178">
        <v>225</v>
      </c>
      <c r="E9" s="177">
        <f>'Reading.5.25'!AM37</f>
        <v>3337.0491999999999</v>
      </c>
      <c r="F9" s="161">
        <f>'cost.5.25'!H39</f>
        <v>1707.4285714285711</v>
      </c>
      <c r="G9" s="161">
        <f>'Reading.5.25'!AN37</f>
        <v>2371</v>
      </c>
    </row>
    <row r="10" spans="1:13" ht="20.100000000000001" customHeight="1" x14ac:dyDescent="0.2">
      <c r="A10" s="167" t="s">
        <v>67</v>
      </c>
      <c r="B10" s="276">
        <v>0.57999999999999996</v>
      </c>
      <c r="C10" s="181">
        <f>'Reading.5.25'!AK6</f>
        <v>0.54500000000000004</v>
      </c>
      <c r="D10" s="180">
        <v>0.43</v>
      </c>
      <c r="E10" s="182">
        <f>'Reading.5.25'!AI37</f>
        <v>0.79302499999999987</v>
      </c>
      <c r="F10" s="182">
        <f>'Reading.5.25'!AK37:AK37</f>
        <v>0.54500000000000004</v>
      </c>
      <c r="G10" s="182">
        <f>'Reading.5.25'!AJ37</f>
        <v>0.56718749999999996</v>
      </c>
    </row>
    <row r="11" spans="1:13" ht="6.75" customHeight="1" x14ac:dyDescent="0.2">
      <c r="A11" s="165"/>
      <c r="B11" s="166"/>
      <c r="C11" s="166"/>
      <c r="D11" s="166"/>
      <c r="E11" s="166"/>
      <c r="F11" s="166"/>
      <c r="G11" s="166"/>
    </row>
    <row r="12" spans="1:13" ht="20.100000000000001" customHeight="1" x14ac:dyDescent="0.2">
      <c r="A12" s="167" t="s">
        <v>86</v>
      </c>
      <c r="B12" s="203">
        <f>'Reading.5.25'!AE30</f>
        <v>0</v>
      </c>
      <c r="C12" s="160">
        <f>'Reading.5.25'!AG6</f>
        <v>38659.096774193546</v>
      </c>
      <c r="D12" s="178">
        <f>'Reading.5.25'!AF30</f>
        <v>0</v>
      </c>
      <c r="E12" s="204">
        <f>'Reading.5.25'!AE37</f>
        <v>295880.00000000466</v>
      </c>
      <c r="F12" s="161">
        <f>'Reading.5.25'!AG37</f>
        <v>309272.77419354836</v>
      </c>
      <c r="G12" s="161">
        <f>'Reading.5.25'!AF37</f>
        <v>267519.99999998952</v>
      </c>
    </row>
    <row r="13" spans="1:13" ht="20.100000000000001" customHeight="1" x14ac:dyDescent="0.2">
      <c r="A13" s="167" t="s">
        <v>74</v>
      </c>
      <c r="B13" s="178">
        <v>0</v>
      </c>
      <c r="C13" s="160">
        <f>'cost.5.25'!P8</f>
        <v>0</v>
      </c>
      <c r="D13" s="178">
        <v>0</v>
      </c>
      <c r="E13" s="161">
        <f>'Reading.5.25'!T37</f>
        <v>0</v>
      </c>
      <c r="F13" s="161">
        <f>'cost.5.25'!P39</f>
        <v>0</v>
      </c>
      <c r="G13" s="161">
        <f>'Reading.5.25'!U37</f>
        <v>0</v>
      </c>
    </row>
    <row r="14" spans="1:13" ht="7.5" customHeight="1" x14ac:dyDescent="0.2">
      <c r="A14" s="165"/>
      <c r="B14" s="166"/>
      <c r="C14" s="166"/>
      <c r="D14" s="166"/>
      <c r="E14" s="166"/>
      <c r="F14" s="166"/>
      <c r="G14" s="166"/>
    </row>
    <row r="15" spans="1:13" ht="20.100000000000001" customHeight="1" x14ac:dyDescent="0.2">
      <c r="A15" s="167" t="s">
        <v>75</v>
      </c>
      <c r="B15" s="178">
        <f>'Reading.5.25'!O30</f>
        <v>0</v>
      </c>
      <c r="C15" s="160">
        <f>'cost.5.25'!AD8</f>
        <v>522.72580645161293</v>
      </c>
      <c r="D15" s="178">
        <f>'Reading.5.25'!P30</f>
        <v>0</v>
      </c>
      <c r="E15" s="161">
        <f>'Reading.5.25'!O37</f>
        <v>5306.1100000000006</v>
      </c>
      <c r="F15" s="161">
        <f>'cost.5.25'!AD39</f>
        <v>4181.8064516129025</v>
      </c>
      <c r="G15" s="161">
        <f>'Reading.5.25'!P37</f>
        <v>3881.62</v>
      </c>
    </row>
    <row r="16" spans="1:13" ht="20.100000000000001" customHeight="1" x14ac:dyDescent="0.2">
      <c r="A16" s="167" t="s">
        <v>71</v>
      </c>
      <c r="B16" s="178">
        <f>'Reading.5.25'!K30</f>
        <v>0</v>
      </c>
      <c r="C16" s="160">
        <f>'cost.5.25'!AJ8</f>
        <v>174.24193548387098</v>
      </c>
      <c r="D16" s="178">
        <f>'Reading.5.25'!L30</f>
        <v>0</v>
      </c>
      <c r="E16" s="161">
        <f>'Reading.5.25'!K37</f>
        <v>2067.9240000000004</v>
      </c>
      <c r="F16" s="161">
        <f>'cost.5.25'!AJ39</f>
        <v>1393.9354838709678</v>
      </c>
      <c r="G16" s="161">
        <f>'Reading.5.25'!L37</f>
        <v>1423.7400000000002</v>
      </c>
    </row>
    <row r="17" spans="1:10" ht="6" customHeight="1" x14ac:dyDescent="0.2">
      <c r="A17" s="165"/>
      <c r="B17" s="166"/>
      <c r="C17" s="166"/>
      <c r="D17" s="166"/>
      <c r="E17" s="166"/>
      <c r="F17" s="166"/>
      <c r="G17" s="166"/>
    </row>
    <row r="18" spans="1:10" ht="20.100000000000001" customHeight="1" x14ac:dyDescent="0.2">
      <c r="A18" s="167" t="s">
        <v>72</v>
      </c>
      <c r="B18" s="178">
        <f>'Reading.5.25'!CJ30</f>
        <v>0</v>
      </c>
      <c r="C18" s="160">
        <v>0</v>
      </c>
      <c r="D18" s="178">
        <v>0</v>
      </c>
      <c r="E18" s="161" t="e">
        <f>'Reading.5.25'!#REF!</f>
        <v>#REF!</v>
      </c>
      <c r="F18" s="161">
        <v>0</v>
      </c>
      <c r="G18" s="161">
        <f>'Reading.5.25'!BN37</f>
        <v>0</v>
      </c>
    </row>
    <row r="19" spans="1:10" ht="20.100000000000001" customHeight="1" x14ac:dyDescent="0.2">
      <c r="A19" s="167" t="s">
        <v>73</v>
      </c>
      <c r="B19" s="178">
        <v>493</v>
      </c>
      <c r="C19" s="160">
        <v>496</v>
      </c>
      <c r="D19" s="178">
        <v>529</v>
      </c>
      <c r="E19" s="161">
        <f>'Reading.5.25'!G37</f>
        <v>5442</v>
      </c>
      <c r="F19" s="161">
        <f>'cost.5.25'!W39</f>
        <v>4863.2258064516127</v>
      </c>
      <c r="G19" s="161">
        <f>'Reading.5.25'!H37</f>
        <v>4450</v>
      </c>
    </row>
    <row r="20" spans="1:10" x14ac:dyDescent="0.2">
      <c r="A20" s="158"/>
      <c r="B20" s="158"/>
      <c r="C20" s="158"/>
      <c r="D20" s="158"/>
      <c r="E20" s="158"/>
      <c r="F20" s="158"/>
      <c r="G20" s="158"/>
    </row>
    <row r="21" spans="1:10" ht="15.75" x14ac:dyDescent="0.2">
      <c r="A21" s="168" t="s">
        <v>76</v>
      </c>
      <c r="B21" s="252">
        <f>'cost.5.25'!BE32</f>
        <v>0</v>
      </c>
      <c r="C21" s="195">
        <f>'cost.5.25'!BD8</f>
        <v>86204.290322580637</v>
      </c>
      <c r="D21" s="194">
        <f>'cost.5.25'!BC32</f>
        <v>0</v>
      </c>
      <c r="E21" s="251">
        <f>'cost.5.25'!BE39</f>
        <v>629824.88630000909</v>
      </c>
      <c r="F21" s="197">
        <f>'cost.5.25'!BD39</f>
        <v>689634.32258064498</v>
      </c>
      <c r="G21" s="197">
        <f>'cost.5.25'!BC39</f>
        <v>313464.72253996762</v>
      </c>
    </row>
    <row r="22" spans="1:10" ht="15.75" x14ac:dyDescent="0.2">
      <c r="A22" s="168" t="s">
        <v>77</v>
      </c>
      <c r="B22" s="229">
        <f>B21/B9</f>
        <v>0</v>
      </c>
      <c r="C22" s="196">
        <f>C21/C9</f>
        <v>300.93840090090089</v>
      </c>
      <c r="D22" s="196">
        <f>D21/D9</f>
        <v>0</v>
      </c>
      <c r="E22" s="230">
        <f>'cost.5.25'!BI39</f>
        <v>189.86451188446625</v>
      </c>
      <c r="F22" s="198">
        <f>F21/F9</f>
        <v>403.90229736148893</v>
      </c>
      <c r="G22" s="198">
        <f>G21/G9</f>
        <v>132.20781212145408</v>
      </c>
      <c r="H22" s="43"/>
    </row>
    <row r="23" spans="1:10" ht="15.75" x14ac:dyDescent="0.2">
      <c r="A23" s="168" t="s">
        <v>158</v>
      </c>
      <c r="B23" s="229">
        <f>B21/526</f>
        <v>0</v>
      </c>
      <c r="C23" s="196">
        <f>C21/526</f>
        <v>163.88648350300502</v>
      </c>
      <c r="D23" s="196">
        <f>D22/D10</f>
        <v>0</v>
      </c>
      <c r="E23" s="230">
        <f>E21/(526*25)</f>
        <v>47.895428615970275</v>
      </c>
      <c r="F23" s="198">
        <f>F21/11572</f>
        <v>59.59508491018363</v>
      </c>
      <c r="G23" s="198">
        <f>G22/G10</f>
        <v>233.09366324443698</v>
      </c>
      <c r="H23" s="43"/>
    </row>
    <row r="24" spans="1:10" ht="15.75" x14ac:dyDescent="0.2">
      <c r="A24" s="168" t="s">
        <v>159</v>
      </c>
      <c r="B24" s="229">
        <f>B22</f>
        <v>0</v>
      </c>
      <c r="C24" s="196">
        <v>213</v>
      </c>
      <c r="D24" s="196" t="e">
        <f>D23/D11</f>
        <v>#DIV/0!</v>
      </c>
      <c r="E24" s="230">
        <f>E22</f>
        <v>189.86451188446625</v>
      </c>
      <c r="F24" s="198">
        <f>C24</f>
        <v>213</v>
      </c>
      <c r="G24" s="198" t="e">
        <f>G23/G11</f>
        <v>#DIV/0!</v>
      </c>
      <c r="H24" s="43"/>
    </row>
    <row r="25" spans="1:10" ht="15.75" x14ac:dyDescent="0.2">
      <c r="A25" s="168" t="s">
        <v>160</v>
      </c>
      <c r="B25" s="229">
        <f>B23</f>
        <v>0</v>
      </c>
      <c r="C25" s="196">
        <v>76.819999999999993</v>
      </c>
      <c r="D25" s="196" t="e">
        <f>D23/D11</f>
        <v>#DIV/0!</v>
      </c>
      <c r="E25" s="230">
        <f>E23</f>
        <v>47.895428615970275</v>
      </c>
      <c r="F25" s="198">
        <f>C25</f>
        <v>76.819999999999993</v>
      </c>
      <c r="G25" s="198" t="e">
        <f>G23/G11</f>
        <v>#DIV/0!</v>
      </c>
      <c r="H25" s="43"/>
    </row>
    <row r="26" spans="1:10" ht="15.75" x14ac:dyDescent="0.2">
      <c r="A26" s="270"/>
      <c r="B26" s="271"/>
      <c r="C26" s="272"/>
      <c r="D26" s="272"/>
      <c r="E26" s="271"/>
      <c r="F26" s="272"/>
      <c r="G26" s="272"/>
      <c r="H26" s="273"/>
      <c r="I26" s="274"/>
      <c r="J26" s="274"/>
    </row>
    <row r="27" spans="1:10" x14ac:dyDescent="0.2">
      <c r="A27" s="158"/>
      <c r="B27" s="158"/>
      <c r="C27" s="158"/>
      <c r="D27" s="158"/>
      <c r="E27" s="158"/>
      <c r="F27" s="158"/>
      <c r="G27" s="158"/>
    </row>
    <row r="28" spans="1:10" x14ac:dyDescent="0.2">
      <c r="A28" s="158"/>
      <c r="B28" s="158"/>
      <c r="C28" s="158"/>
      <c r="D28" s="158"/>
      <c r="E28" s="158"/>
      <c r="F28" s="158"/>
      <c r="G28" s="158"/>
    </row>
    <row r="29" spans="1:10" x14ac:dyDescent="0.2">
      <c r="A29" s="158"/>
      <c r="B29" s="158"/>
      <c r="C29" s="158"/>
      <c r="D29" s="158"/>
      <c r="E29" s="158"/>
      <c r="F29" s="158"/>
      <c r="G29" s="158"/>
    </row>
    <row r="30" spans="1:10" x14ac:dyDescent="0.2">
      <c r="A30" s="158"/>
      <c r="B30" s="158"/>
      <c r="C30" s="158"/>
      <c r="D30" s="158"/>
      <c r="E30" s="158"/>
      <c r="F30" s="158"/>
      <c r="G30" s="158"/>
    </row>
    <row r="31" spans="1:10" x14ac:dyDescent="0.2">
      <c r="A31" s="158"/>
      <c r="B31" s="158"/>
      <c r="C31" s="158"/>
      <c r="D31" s="158"/>
      <c r="E31" s="158"/>
      <c r="F31" s="158"/>
      <c r="G31" s="158"/>
    </row>
    <row r="32" spans="1:10" x14ac:dyDescent="0.2">
      <c r="A32" s="158"/>
      <c r="B32" s="158"/>
      <c r="C32" s="158"/>
      <c r="D32" s="158"/>
      <c r="E32" s="158"/>
      <c r="F32" s="158"/>
      <c r="G32" s="158"/>
    </row>
    <row r="33" spans="1:13" x14ac:dyDescent="0.2">
      <c r="A33" s="158"/>
      <c r="B33" s="158"/>
      <c r="C33" s="158"/>
      <c r="D33" s="158"/>
      <c r="E33" s="158"/>
      <c r="F33" s="158"/>
      <c r="G33" s="158"/>
    </row>
    <row r="34" spans="1:13" x14ac:dyDescent="0.2">
      <c r="A34" s="158"/>
      <c r="B34" s="158"/>
      <c r="C34" s="158"/>
      <c r="D34" s="158"/>
      <c r="E34" s="158"/>
      <c r="F34" s="158"/>
      <c r="G34" s="158"/>
    </row>
    <row r="35" spans="1:13" x14ac:dyDescent="0.2">
      <c r="A35" s="158"/>
      <c r="B35" s="158"/>
      <c r="C35" s="158"/>
      <c r="D35" s="158"/>
      <c r="E35" s="158"/>
      <c r="F35" s="158"/>
      <c r="G35" s="158"/>
    </row>
    <row r="36" spans="1:13" x14ac:dyDescent="0.2">
      <c r="A36" s="158"/>
      <c r="B36" s="158"/>
      <c r="C36" s="158"/>
      <c r="D36" s="158"/>
      <c r="E36" s="158"/>
      <c r="F36" s="158"/>
      <c r="G36" s="158"/>
    </row>
    <row r="46" spans="1:13" x14ac:dyDescent="0.2">
      <c r="A46" s="651" t="s">
        <v>91</v>
      </c>
      <c r="B46" s="651"/>
      <c r="C46" s="193"/>
      <c r="D46" s="651" t="s">
        <v>87</v>
      </c>
      <c r="E46" s="651"/>
      <c r="F46" s="651"/>
      <c r="I46" s="651" t="s">
        <v>89</v>
      </c>
      <c r="J46" s="651"/>
      <c r="K46" s="651"/>
      <c r="L46" s="651"/>
      <c r="M46" s="651"/>
    </row>
    <row r="47" spans="1:13" ht="13.5" thickBot="1" x14ac:dyDescent="0.25">
      <c r="A47" s="262"/>
      <c r="B47" s="262"/>
      <c r="C47" s="193"/>
      <c r="D47" s="674" t="s">
        <v>88</v>
      </c>
      <c r="E47" s="674"/>
      <c r="F47" s="674"/>
      <c r="I47" s="674" t="s">
        <v>90</v>
      </c>
      <c r="J47" s="674"/>
      <c r="K47" s="674"/>
      <c r="L47" s="674"/>
      <c r="M47" s="674"/>
    </row>
    <row r="48" spans="1:13" x14ac:dyDescent="0.2">
      <c r="A48" s="652" t="s">
        <v>98</v>
      </c>
      <c r="B48" s="639" t="s">
        <v>68</v>
      </c>
      <c r="C48" s="650"/>
      <c r="D48" s="226" t="s">
        <v>96</v>
      </c>
      <c r="E48" s="225" t="s">
        <v>18</v>
      </c>
      <c r="F48" s="148"/>
      <c r="I48" s="148"/>
      <c r="J48" s="148"/>
      <c r="K48" s="148"/>
      <c r="L48" s="148"/>
      <c r="M48" s="148"/>
    </row>
    <row r="49" spans="1:13" x14ac:dyDescent="0.2">
      <c r="A49" s="653"/>
      <c r="B49" s="205" t="s">
        <v>69</v>
      </c>
      <c r="C49" s="207" t="s">
        <v>100</v>
      </c>
      <c r="D49" s="208" t="s">
        <v>97</v>
      </c>
      <c r="E49" s="208" t="s">
        <v>97</v>
      </c>
      <c r="F49" s="148"/>
      <c r="I49" s="148"/>
      <c r="J49" s="148"/>
      <c r="K49" s="148"/>
      <c r="L49" s="148"/>
      <c r="M49" s="148"/>
    </row>
    <row r="50" spans="1:13" ht="13.5" thickBot="1" x14ac:dyDescent="0.25">
      <c r="A50" s="654"/>
      <c r="B50" s="250">
        <f>'Reading.5.25'!AQ37</f>
        <v>2056</v>
      </c>
      <c r="C50" s="223">
        <f>'Reading.5.25'!AQ38</f>
        <v>2216</v>
      </c>
      <c r="D50" s="209">
        <v>2180</v>
      </c>
      <c r="E50" s="209">
        <v>2120</v>
      </c>
      <c r="F50" s="148"/>
      <c r="I50" s="148"/>
      <c r="J50" s="148"/>
      <c r="K50" s="148"/>
      <c r="L50" s="148"/>
      <c r="M50" s="148"/>
    </row>
    <row r="51" spans="1:13" ht="13.5" thickBot="1" x14ac:dyDescent="0.25"/>
    <row r="52" spans="1:13" x14ac:dyDescent="0.2">
      <c r="A52" s="637" t="s">
        <v>95</v>
      </c>
      <c r="B52" s="639" t="s">
        <v>68</v>
      </c>
      <c r="C52" s="640"/>
      <c r="D52" s="641" t="s">
        <v>70</v>
      </c>
      <c r="E52" s="642"/>
    </row>
    <row r="53" spans="1:13" x14ac:dyDescent="0.2">
      <c r="A53" s="638"/>
      <c r="B53" s="205" t="s">
        <v>69</v>
      </c>
      <c r="C53" s="206" t="s">
        <v>94</v>
      </c>
      <c r="D53" s="216" t="s">
        <v>69</v>
      </c>
      <c r="E53" s="206" t="s">
        <v>18</v>
      </c>
    </row>
    <row r="54" spans="1:13" x14ac:dyDescent="0.2">
      <c r="A54" s="638"/>
      <c r="B54" s="213">
        <v>36</v>
      </c>
      <c r="C54" s="214">
        <v>31</v>
      </c>
      <c r="D54" s="217">
        <f>'Reading.5.25'!BC37</f>
        <v>28.375</v>
      </c>
      <c r="E54" s="215">
        <f>'Reading.5.25'!BG37</f>
        <v>80</v>
      </c>
    </row>
    <row r="55" spans="1:13" ht="13.5" thickBot="1" x14ac:dyDescent="0.25">
      <c r="A55" s="218" t="s">
        <v>109</v>
      </c>
      <c r="B55" s="221">
        <v>50</v>
      </c>
      <c r="C55" s="222">
        <v>60</v>
      </c>
      <c r="D55" s="219">
        <f>'Reading.5.25'!BF37</f>
        <v>23.75</v>
      </c>
      <c r="E55" s="220">
        <f>'Reading.5.25'!BJ37</f>
        <v>51.375</v>
      </c>
    </row>
    <row r="57" spans="1:13" x14ac:dyDescent="0.2">
      <c r="A57" s="199" t="s">
        <v>92</v>
      </c>
    </row>
    <row r="58" spans="1:13" x14ac:dyDescent="0.2">
      <c r="A58" s="43"/>
    </row>
    <row r="60" spans="1:13" x14ac:dyDescent="0.2">
      <c r="A60" s="43"/>
    </row>
    <row r="61" spans="1:13" x14ac:dyDescent="0.2">
      <c r="A61" s="43"/>
    </row>
  </sheetData>
  <mergeCells count="14">
    <mergeCell ref="D47:F47"/>
    <mergeCell ref="I47:M47"/>
    <mergeCell ref="A48:A50"/>
    <mergeCell ref="B48:C48"/>
    <mergeCell ref="A52:A54"/>
    <mergeCell ref="B52:C52"/>
    <mergeCell ref="D52:E52"/>
    <mergeCell ref="B2:C2"/>
    <mergeCell ref="I5:M5"/>
    <mergeCell ref="B6:D6"/>
    <mergeCell ref="E6:G6"/>
    <mergeCell ref="A46:B46"/>
    <mergeCell ref="D46:F46"/>
    <mergeCell ref="I46:M46"/>
  </mergeCells>
  <pageMargins left="0.7" right="1.1200000000000001" top="0.85" bottom="0.68" header="0.3" footer="0.3"/>
  <pageSetup scale="6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19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36" baseType="lpstr">
      <vt:lpstr>Total</vt:lpstr>
      <vt:lpstr>Daily Consumption</vt:lpstr>
      <vt:lpstr>Reading.5.25</vt:lpstr>
      <vt:lpstr>Sheet4</vt:lpstr>
      <vt:lpstr>cost.5.25</vt:lpstr>
      <vt:lpstr>Domestic Water</vt:lpstr>
      <vt:lpstr>Main Pool</vt:lpstr>
      <vt:lpstr>Heated Pool</vt:lpstr>
      <vt:lpstr>Kids pool </vt:lpstr>
      <vt:lpstr>Jacuzzi</vt:lpstr>
      <vt:lpstr>Fountains &amp; Lagoons</vt:lpstr>
      <vt:lpstr>Boilers</vt:lpstr>
      <vt:lpstr>Chillers</vt:lpstr>
      <vt:lpstr>Reading.5.24</vt:lpstr>
      <vt:lpstr>Cost.4.24</vt:lpstr>
      <vt:lpstr>Sheet1</vt:lpstr>
      <vt:lpstr>Daily Consumption new</vt:lpstr>
      <vt:lpstr>Sheet2</vt:lpstr>
      <vt:lpstr>Sheet3</vt:lpstr>
      <vt:lpstr>Electricity Chart</vt:lpstr>
      <vt:lpstr>Boiler Gas Chart</vt:lpstr>
      <vt:lpstr>Kitchen Gas Chart</vt:lpstr>
      <vt:lpstr>Water Consumption</vt:lpstr>
      <vt:lpstr>Boilers!Print_Area</vt:lpstr>
      <vt:lpstr>'Daily Consumption new'!Print_Area</vt:lpstr>
      <vt:lpstr>'Domestic Water'!Print_Area</vt:lpstr>
      <vt:lpstr>'Fountains &amp; Lagoons'!Print_Area</vt:lpstr>
      <vt:lpstr>'Heated Pool'!Print_Area</vt:lpstr>
      <vt:lpstr>Jacuzzi!Print_Area</vt:lpstr>
      <vt:lpstr>'Kids pool '!Print_Area</vt:lpstr>
      <vt:lpstr>'Main Pool'!Print_Area</vt:lpstr>
      <vt:lpstr>Reading.5.25!Print_Area</vt:lpstr>
      <vt:lpstr>Chillers!Print_Titles</vt:lpstr>
      <vt:lpstr>Cost.4.24!Print_Titles</vt:lpstr>
      <vt:lpstr>cost.5.25!Print_Titles</vt:lpstr>
      <vt:lpstr>شت8</vt:lpstr>
    </vt:vector>
  </TitlesOfParts>
  <Manager/>
  <Company>Rotana Hotels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ahmed Ibraheem</cp:lastModifiedBy>
  <cp:lastPrinted>2025-05-09T07:53:56Z</cp:lastPrinted>
  <dcterms:created xsi:type="dcterms:W3CDTF">2006-04-11T08:27:10Z</dcterms:created>
  <dcterms:modified xsi:type="dcterms:W3CDTF">2025-05-10T07:58:17Z</dcterms:modified>
  <cp:category/>
</cp:coreProperties>
</file>