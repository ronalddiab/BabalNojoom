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2/"/>
    </mc:Choice>
  </mc:AlternateContent>
  <xr:revisionPtr revIDLastSave="731" documentId="8_{8847650D-614C-4264-8C87-30D8B5EB4252}" xr6:coauthVersionLast="47" xr6:coauthVersionMax="47" xr10:uidLastSave="{1CF7A784-78EA-4AA7-A4CF-2C75BC1A948A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5" l="1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E6" i="3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<sst xmlns="http://schemas.openxmlformats.org/spreadsheetml/2006/main" count="123" uniqueCount="88">
  <si>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</si>
  <si>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</si>
  <si>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</si>
  <si>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</si>
  <si>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</si>
  <si>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</si>
  <si>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</si>
  <si>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</si>
  <si>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</si>
  <si>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</si>
  <si>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</si>
  <si>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</si>
  <si>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</si>
  <si>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</si>
  <si>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</si>
  <si>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</si>
  <si>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</si>
  <si>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</si>
  <si>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</si>
  <si>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</si>
  <si>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</si>
  <si>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</si>
  <si>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</si>
  <si>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</si>
  <si>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</si>
  <si>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</si>
  <si>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</si>
  <si>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</si>
  <si>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</si>
  <si>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</si>
  <si>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</si>
  <si>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</si>
  <si>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</si>
  <si>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</si>
  <si>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</si>
  <si>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DAILY GAS METER READINGS &amp; CONSUMPTION (Liters) MARCH 2023</t>
  </si>
  <si>
    <t>LAST MONTH'S FINAL READING</t>
  </si>
  <si>
    <t xml:space="preserve">                                       </t>
  </si>
  <si>
    <t>TOTAL Consumption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</si>
  <si>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</si>
  <si>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</si>
  <si>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</si>
  <si>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</si>
  <si>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</si>
  <si>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</si>
  <si>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</si>
  <si>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</si>
  <si>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</si>
  <si>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</si>
  <si>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</si>
  <si>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</si>
  <si>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</si>
  <si>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</si>
  <si>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</si>
  <si>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</si>
  <si>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</si>
  <si>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</si>
  <si>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</si>
  <si>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</si>
  <si>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</si>
  <si>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</si>
  <si>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</si>
  <si>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</si>
  <si>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</si>
  <si>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</si>
  <si>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</si>
  <si>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</si>
  <si>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</si>
  <si>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</si>
  <si>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</si>
  <si>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</si>
  <si>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</si>
  <si>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</si>
  <si>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</si>
  <si>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</si>
  <si>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</si>
  <si>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</si>
  <si>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</si>
  <si>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</si>
  <si>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</si>
  <si>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</si>
  <si>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>Date</t>
  </si>
  <si>
    <t>Occupied</t>
  </si>
  <si>
    <t># Guest</t>
  </si>
  <si>
    <t>TOTAL MTD</t>
  </si>
  <si>
    <t>DAILY ELECTRICITY METER READINGS &amp; CONSUMPTION MARCH 2022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</si>
  <si>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MARCH  2022</t>
    </r>
  </si>
  <si>
    <t>Occupied Room &amp; Number of Guest
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</si>
</sst>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9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9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69" fontId="28" fillId="0" borderId="2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E2" sqref="E2:E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25">
      <c r="A2" s="9" t="s">
        <v>12</v>
      </c>
      <c r="B2" s="10">
        <v>1</v>
      </c>
      <c r="C2" s="10">
        <v>3</v>
      </c>
      <c r="D2" s="10">
        <v>2022</v>
      </c>
      <c r="E2" s="4" cm="1">
        <f t="array" ref="E2:E32">TRANSPOSE(Electricity!E21:AI21)</f>
        <v>28504</v>
      </c>
      <c r="F2" s="11">
        <v>0.2</v>
      </c>
      <c r="G2" s="4">
        <f>LPG!C4</f>
        <v>2144.7819354838712</v>
      </c>
      <c r="H2" s="11">
        <v>2.2099929250646428</v>
      </c>
      <c r="I2" s="4" cm="1">
        <f t="array" ref="I2:I32">TRANSPOSE(Water!E15:AI15)</f>
        <v>298.27899999999357</v>
      </c>
      <c r="J2" s="11">
        <v>7.84</v>
      </c>
      <c r="K2" s="4">
        <f>'Occupied &amp; No. of Guest'!B3</f>
        <v>483</v>
      </c>
      <c r="L2" s="4">
        <f>'Occupied &amp; No. of Guest'!C3</f>
        <v>651</v>
      </c>
    </row>
    <row r="3" spans="1:12" x14ac:dyDescent="0.25">
      <c r="A3" s="9" t="s">
        <v>12</v>
      </c>
      <c r="B3" s="10">
        <f>B2+1</f>
        <v>2</v>
      </c>
      <c r="C3" s="10">
        <v>3</v>
      </c>
      <c r="D3" s="10">
        <v>2022</v>
      </c>
      <c r="E3" s="4">
        <v>28907</v>
      </c>
      <c r="F3" s="11">
        <v>0.2</v>
      </c>
      <c r="G3" s="4">
        <f>LPG!C5</f>
        <v>2144.7819354838712</v>
      </c>
      <c r="H3" s="11">
        <v>2.2099929250646428</v>
      </c>
      <c r="I3" s="4">
        <v>275.32699999997681</v>
      </c>
      <c r="J3" s="11">
        <v>7.84</v>
      </c>
      <c r="K3" s="4">
        <f>'Occupied &amp; No. of Guest'!B4</f>
        <v>467</v>
      </c>
      <c r="L3" s="4">
        <f>'Occupied &amp; No. of Guest'!C4</f>
        <v>593</v>
      </c>
    </row>
    <row r="4" spans="1:12" x14ac:dyDescent="0.25">
      <c r="A4" s="9" t="s">
        <v>12</v>
      </c>
      <c r="B4" s="10">
        <f t="shared" ref="B4:B32" si="0">B3+1</f>
        <v>3</v>
      </c>
      <c r="C4" s="10">
        <v>3</v>
      </c>
      <c r="D4" s="10">
        <v>2022</v>
      </c>
      <c r="E4" s="4">
        <v>30297</v>
      </c>
      <c r="F4" s="11">
        <v>0.2</v>
      </c>
      <c r="G4" s="4">
        <f>LPG!C6</f>
        <v>2144.7819354838712</v>
      </c>
      <c r="H4" s="11">
        <v>2.2099929250646428</v>
      </c>
      <c r="I4" s="4">
        <v>368.17699999999473</v>
      </c>
      <c r="J4" s="11">
        <v>7.84</v>
      </c>
      <c r="K4" s="4">
        <f>'Occupied &amp; No. of Guest'!B5</f>
        <v>444</v>
      </c>
      <c r="L4" s="4">
        <f>'Occupied &amp; No. of Guest'!C5</f>
        <v>540</v>
      </c>
    </row>
    <row r="5" spans="1:12" x14ac:dyDescent="0.25">
      <c r="A5" s="9" t="s">
        <v>12</v>
      </c>
      <c r="B5" s="10">
        <f t="shared" si="0"/>
        <v>4</v>
      </c>
      <c r="C5" s="10">
        <v>3</v>
      </c>
      <c r="D5" s="10">
        <v>2022</v>
      </c>
      <c r="E5" s="4">
        <v>30498</v>
      </c>
      <c r="F5" s="11">
        <v>0.2</v>
      </c>
      <c r="G5" s="4">
        <f>LPG!C7</f>
        <v>2144.7819354838712</v>
      </c>
      <c r="H5" s="11">
        <v>2.2099929250646428</v>
      </c>
      <c r="I5" s="4">
        <v>313.20000000000522</v>
      </c>
      <c r="J5" s="11">
        <v>7.84</v>
      </c>
      <c r="K5" s="4">
        <f>'Occupied &amp; No. of Guest'!B6</f>
        <v>438</v>
      </c>
      <c r="L5" s="4">
        <f>'Occupied &amp; No. of Guest'!C6</f>
        <v>566</v>
      </c>
    </row>
    <row r="6" spans="1:12" x14ac:dyDescent="0.25">
      <c r="A6" s="9" t="s">
        <v>12</v>
      </c>
      <c r="B6" s="10">
        <f t="shared" si="0"/>
        <v>5</v>
      </c>
      <c r="C6" s="10">
        <v>3</v>
      </c>
      <c r="D6" s="10">
        <v>2022</v>
      </c>
      <c r="E6" s="4">
        <v>30317</v>
      </c>
      <c r="F6" s="11">
        <v>0.2</v>
      </c>
      <c r="G6" s="4">
        <f>LPG!C8</f>
        <v>2144.7819354838712</v>
      </c>
      <c r="H6" s="11">
        <v>2.2099929250646428</v>
      </c>
      <c r="I6" s="4">
        <v>349.0750000000221</v>
      </c>
      <c r="J6" s="11">
        <v>7.84</v>
      </c>
      <c r="K6" s="4">
        <f>'Occupied &amp; No. of Guest'!B7</f>
        <v>409</v>
      </c>
      <c r="L6" s="4">
        <f>'Occupied &amp; No. of Guest'!C7</f>
        <v>524</v>
      </c>
    </row>
    <row r="7" spans="1:12" x14ac:dyDescent="0.25">
      <c r="A7" s="9" t="s">
        <v>12</v>
      </c>
      <c r="B7" s="10">
        <f t="shared" si="0"/>
        <v>6</v>
      </c>
      <c r="C7" s="10">
        <v>3</v>
      </c>
      <c r="D7" s="10">
        <v>2022</v>
      </c>
      <c r="E7" s="4">
        <v>28920</v>
      </c>
      <c r="F7" s="11">
        <v>0.2</v>
      </c>
      <c r="G7" s="4">
        <f>LPG!C9</f>
        <v>2144.7819354838712</v>
      </c>
      <c r="H7" s="11">
        <v>2.2099929250646428</v>
      </c>
      <c r="I7" s="4">
        <v>246.74999999999483</v>
      </c>
      <c r="J7" s="11">
        <v>7.84</v>
      </c>
      <c r="K7" s="4">
        <f>'Occupied &amp; No. of Guest'!B8</f>
        <v>381</v>
      </c>
      <c r="L7" s="4">
        <f>'Occupied &amp; No. of Guest'!C8</f>
        <v>436</v>
      </c>
    </row>
    <row r="8" spans="1:12" x14ac:dyDescent="0.25">
      <c r="A8" s="9" t="s">
        <v>12</v>
      </c>
      <c r="B8" s="10">
        <f t="shared" si="0"/>
        <v>7</v>
      </c>
      <c r="C8" s="10">
        <v>3</v>
      </c>
      <c r="D8" s="10">
        <v>2022</v>
      </c>
      <c r="E8" s="4">
        <v>31708</v>
      </c>
      <c r="F8" s="11">
        <v>0.2</v>
      </c>
      <c r="G8" s="4">
        <f>LPG!C10</f>
        <v>2144.7819354838712</v>
      </c>
      <c r="H8" s="11">
        <v>2.2099929250646428</v>
      </c>
      <c r="I8" s="4">
        <v>357.91000000001281</v>
      </c>
      <c r="J8" s="11">
        <v>7.84</v>
      </c>
      <c r="K8" s="4">
        <f>'Occupied &amp; No. of Guest'!B9</f>
        <v>450</v>
      </c>
      <c r="L8" s="4">
        <f>'Occupied &amp; No. of Guest'!C9</f>
        <v>517</v>
      </c>
    </row>
    <row r="9" spans="1:12" x14ac:dyDescent="0.25">
      <c r="A9" s="9" t="s">
        <v>12</v>
      </c>
      <c r="B9" s="10">
        <f t="shared" si="0"/>
        <v>8</v>
      </c>
      <c r="C9" s="10">
        <v>3</v>
      </c>
      <c r="D9" s="10">
        <v>2022</v>
      </c>
      <c r="E9" s="4">
        <v>32509</v>
      </c>
      <c r="F9" s="11">
        <v>0.2</v>
      </c>
      <c r="G9" s="4">
        <f>LPG!C11</f>
        <v>2144.7819354838712</v>
      </c>
      <c r="H9" s="11">
        <v>2.2099929250646428</v>
      </c>
      <c r="I9" s="4">
        <v>290.12200000001042</v>
      </c>
      <c r="J9" s="11">
        <v>7.84</v>
      </c>
      <c r="K9" s="4">
        <f>'Occupied &amp; No. of Guest'!B10</f>
        <v>465</v>
      </c>
      <c r="L9" s="4">
        <f>'Occupied &amp; No. of Guest'!C10</f>
        <v>540</v>
      </c>
    </row>
    <row r="10" spans="1:12" x14ac:dyDescent="0.25">
      <c r="A10" s="9" t="s">
        <v>12</v>
      </c>
      <c r="B10" s="10">
        <f t="shared" si="0"/>
        <v>9</v>
      </c>
      <c r="C10" s="10">
        <v>3</v>
      </c>
      <c r="D10" s="10">
        <v>2022</v>
      </c>
      <c r="E10" s="4">
        <v>30510</v>
      </c>
      <c r="F10" s="11">
        <v>0.2</v>
      </c>
      <c r="G10" s="4">
        <f>LPG!C12</f>
        <v>2144.7819354838712</v>
      </c>
      <c r="H10" s="11">
        <v>2.2099929250646428</v>
      </c>
      <c r="I10" s="4">
        <v>352.41599999996095</v>
      </c>
      <c r="J10" s="11">
        <v>7.84</v>
      </c>
      <c r="K10" s="4">
        <f>'Occupied &amp; No. of Guest'!B11</f>
        <v>474</v>
      </c>
      <c r="L10" s="4">
        <f>'Occupied &amp; No. of Guest'!C11</f>
        <v>585</v>
      </c>
    </row>
    <row r="11" spans="1:12" x14ac:dyDescent="0.25">
      <c r="A11" s="9" t="s">
        <v>12</v>
      </c>
      <c r="B11" s="10">
        <f t="shared" si="0"/>
        <v>10</v>
      </c>
      <c r="C11" s="10">
        <v>3</v>
      </c>
      <c r="D11" s="10">
        <v>2022</v>
      </c>
      <c r="E11" s="4">
        <v>33308</v>
      </c>
      <c r="F11" s="11">
        <v>0.2</v>
      </c>
      <c r="G11" s="4">
        <f>LPG!C13</f>
        <v>2144.7819354838712</v>
      </c>
      <c r="H11" s="11">
        <v>2.2099929250646428</v>
      </c>
      <c r="I11" s="4">
        <v>379.01600000001696</v>
      </c>
      <c r="J11" s="11">
        <v>7.84</v>
      </c>
      <c r="K11" s="4">
        <f>'Occupied &amp; No. of Guest'!B12</f>
        <v>415</v>
      </c>
      <c r="L11" s="4">
        <f>'Occupied &amp; No. of Guest'!C12</f>
        <v>497</v>
      </c>
    </row>
    <row r="12" spans="1:12" x14ac:dyDescent="0.25">
      <c r="A12" s="9" t="s">
        <v>12</v>
      </c>
      <c r="B12" s="10">
        <f t="shared" si="0"/>
        <v>11</v>
      </c>
      <c r="C12" s="10">
        <v>3</v>
      </c>
      <c r="D12" s="10">
        <v>2022</v>
      </c>
      <c r="E12" s="4">
        <v>31704</v>
      </c>
      <c r="F12" s="11">
        <v>0.2</v>
      </c>
      <c r="G12" s="4">
        <f>LPG!C14</f>
        <v>2144.7819354838712</v>
      </c>
      <c r="H12" s="11">
        <v>2.2099929250646428</v>
      </c>
      <c r="I12" s="4">
        <v>283.80000000002207</v>
      </c>
      <c r="J12" s="11">
        <v>7.84</v>
      </c>
      <c r="K12" s="4">
        <f>'Occupied &amp; No. of Guest'!B13</f>
        <v>370</v>
      </c>
      <c r="L12" s="4">
        <f>'Occupied &amp; No. of Guest'!C13</f>
        <v>463</v>
      </c>
    </row>
    <row r="13" spans="1:12" x14ac:dyDescent="0.25">
      <c r="A13" s="9" t="s">
        <v>12</v>
      </c>
      <c r="B13" s="10">
        <f t="shared" si="0"/>
        <v>12</v>
      </c>
      <c r="C13" s="10">
        <v>3</v>
      </c>
      <c r="D13" s="10">
        <v>2022</v>
      </c>
      <c r="E13" s="4">
        <v>32317</v>
      </c>
      <c r="F13" s="11">
        <v>0.2</v>
      </c>
      <c r="G13" s="4">
        <f>LPG!C15</f>
        <v>2144.7819354838712</v>
      </c>
      <c r="H13" s="11">
        <v>2.2099929250646428</v>
      </c>
      <c r="I13" s="4">
        <v>358.85799999998187</v>
      </c>
      <c r="J13" s="11">
        <v>7.84</v>
      </c>
      <c r="K13" s="4">
        <f>'Occupied &amp; No. of Guest'!B14</f>
        <v>379</v>
      </c>
      <c r="L13" s="4">
        <f>'Occupied &amp; No. of Guest'!C14</f>
        <v>483</v>
      </c>
    </row>
    <row r="14" spans="1:12" x14ac:dyDescent="0.25">
      <c r="A14" s="9" t="s">
        <v>12</v>
      </c>
      <c r="B14" s="10">
        <f t="shared" si="0"/>
        <v>13</v>
      </c>
      <c r="C14" s="10">
        <v>3</v>
      </c>
      <c r="D14" s="10">
        <v>2022</v>
      </c>
      <c r="E14" s="4">
        <v>34544</v>
      </c>
      <c r="F14" s="11">
        <v>0.2</v>
      </c>
      <c r="G14" s="4">
        <f>LPG!C16</f>
        <v>2144.7819354838712</v>
      </c>
      <c r="H14" s="11">
        <v>2.2099929250646428</v>
      </c>
      <c r="I14" s="4">
        <v>333.9559999999675</v>
      </c>
      <c r="J14" s="11">
        <v>7.84</v>
      </c>
      <c r="K14" s="4">
        <f>'Occupied &amp; No. of Guest'!B15</f>
        <v>366</v>
      </c>
      <c r="L14" s="4">
        <f>'Occupied &amp; No. of Guest'!C15</f>
        <v>421</v>
      </c>
    </row>
    <row r="15" spans="1:12" x14ac:dyDescent="0.25">
      <c r="A15" s="9" t="s">
        <v>12</v>
      </c>
      <c r="B15" s="10">
        <f t="shared" si="0"/>
        <v>14</v>
      </c>
      <c r="C15" s="10">
        <v>3</v>
      </c>
      <c r="D15" s="10">
        <v>2022</v>
      </c>
      <c r="E15" s="4">
        <v>33457</v>
      </c>
      <c r="F15" s="11">
        <v>0.2</v>
      </c>
      <c r="G15" s="4">
        <f>LPG!C17</f>
        <v>2144.7819354838712</v>
      </c>
      <c r="H15" s="11">
        <v>2.2099929250646428</v>
      </c>
      <c r="I15" s="4">
        <v>338.36300000004536</v>
      </c>
      <c r="J15" s="11">
        <v>7.84</v>
      </c>
      <c r="K15" s="4">
        <f>'Occupied &amp; No. of Guest'!B16</f>
        <v>426</v>
      </c>
      <c r="L15" s="4">
        <f>'Occupied &amp; No. of Guest'!C16</f>
        <v>483</v>
      </c>
    </row>
    <row r="16" spans="1:12" x14ac:dyDescent="0.25">
      <c r="A16" s="9" t="s">
        <v>12</v>
      </c>
      <c r="B16" s="10">
        <f t="shared" si="0"/>
        <v>15</v>
      </c>
      <c r="C16" s="10">
        <v>3</v>
      </c>
      <c r="D16" s="10">
        <v>2022</v>
      </c>
      <c r="E16" s="4">
        <v>33909</v>
      </c>
      <c r="F16" s="11">
        <v>0.2</v>
      </c>
      <c r="G16" s="4">
        <f>LPG!C18</f>
        <v>2144.7819354838712</v>
      </c>
      <c r="H16" s="11">
        <v>2.2099929250646428</v>
      </c>
      <c r="I16" s="4">
        <v>363.6399999999872</v>
      </c>
      <c r="J16" s="11">
        <v>7.84</v>
      </c>
      <c r="K16" s="4">
        <f>'Occupied &amp; No. of Guest'!B17</f>
        <v>441</v>
      </c>
      <c r="L16" s="4">
        <f>'Occupied &amp; No. of Guest'!C17</f>
        <v>531</v>
      </c>
    </row>
    <row r="17" spans="1:12" x14ac:dyDescent="0.25">
      <c r="A17" s="9" t="s">
        <v>12</v>
      </c>
      <c r="B17" s="10">
        <f t="shared" si="0"/>
        <v>16</v>
      </c>
      <c r="C17" s="10">
        <v>3</v>
      </c>
      <c r="D17" s="10">
        <v>2022</v>
      </c>
      <c r="E17" s="4">
        <v>35912</v>
      </c>
      <c r="F17" s="11">
        <v>0.2</v>
      </c>
      <c r="G17" s="4">
        <f>LPG!C19</f>
        <v>2144.7819354838712</v>
      </c>
      <c r="H17" s="11">
        <v>2.2099929250646428</v>
      </c>
      <c r="I17" s="4">
        <v>349.78999999998314</v>
      </c>
      <c r="J17" s="11">
        <v>7.84</v>
      </c>
      <c r="K17" s="4">
        <f>'Occupied &amp; No. of Guest'!B18</f>
        <v>459</v>
      </c>
      <c r="L17" s="4">
        <f>'Occupied &amp; No. of Guest'!C18</f>
        <v>571</v>
      </c>
    </row>
    <row r="18" spans="1:12" x14ac:dyDescent="0.25">
      <c r="A18" s="9" t="s">
        <v>12</v>
      </c>
      <c r="B18" s="10">
        <f t="shared" si="0"/>
        <v>17</v>
      </c>
      <c r="C18" s="10">
        <v>3</v>
      </c>
      <c r="D18" s="10">
        <v>2022</v>
      </c>
      <c r="E18" s="4">
        <v>31510</v>
      </c>
      <c r="F18" s="11">
        <v>0.2</v>
      </c>
      <c r="G18" s="4">
        <f>LPG!C20</f>
        <v>2144.7819354838712</v>
      </c>
      <c r="H18" s="11">
        <v>2.2099929250646428</v>
      </c>
      <c r="I18" s="4">
        <v>330.75999999999476</v>
      </c>
      <c r="J18" s="11">
        <v>7.84</v>
      </c>
      <c r="K18" s="4">
        <f>'Occupied &amp; No. of Guest'!B19</f>
        <v>433</v>
      </c>
      <c r="L18" s="4">
        <f>'Occupied &amp; No. of Guest'!C19</f>
        <v>528</v>
      </c>
    </row>
    <row r="19" spans="1:12" x14ac:dyDescent="0.25">
      <c r="A19" s="9" t="s">
        <v>12</v>
      </c>
      <c r="B19" s="10">
        <f t="shared" si="0"/>
        <v>18</v>
      </c>
      <c r="C19" s="10">
        <v>3</v>
      </c>
      <c r="D19" s="10">
        <v>2022</v>
      </c>
      <c r="E19" s="4">
        <v>32722</v>
      </c>
      <c r="F19" s="11">
        <v>0.2</v>
      </c>
      <c r="G19" s="4">
        <f>LPG!C21</f>
        <v>2144.7819354838712</v>
      </c>
      <c r="H19" s="11">
        <v>2.2099929250646428</v>
      </c>
      <c r="I19" s="4">
        <v>345.73200000003499</v>
      </c>
      <c r="J19" s="11">
        <v>7.84</v>
      </c>
      <c r="K19" s="4">
        <f>'Occupied &amp; No. of Guest'!B20</f>
        <v>396</v>
      </c>
      <c r="L19" s="4">
        <f>'Occupied &amp; No. of Guest'!C20</f>
        <v>477</v>
      </c>
    </row>
    <row r="20" spans="1:12" x14ac:dyDescent="0.25">
      <c r="A20" s="9" t="s">
        <v>12</v>
      </c>
      <c r="B20" s="10">
        <f t="shared" si="0"/>
        <v>19</v>
      </c>
      <c r="C20" s="10">
        <v>3</v>
      </c>
      <c r="D20" s="10">
        <v>2022</v>
      </c>
      <c r="E20" s="4">
        <v>30299</v>
      </c>
      <c r="F20" s="11">
        <v>0.2</v>
      </c>
      <c r="G20" s="4">
        <f>LPG!C22</f>
        <v>2144.7819354838712</v>
      </c>
      <c r="H20" s="11">
        <v>2.2099929250646428</v>
      </c>
      <c r="I20" s="4">
        <v>319.68199999999877</v>
      </c>
      <c r="J20" s="11">
        <v>7.84</v>
      </c>
      <c r="K20" s="4">
        <f>'Occupied &amp; No. of Guest'!B21</f>
        <v>389</v>
      </c>
      <c r="L20" s="4">
        <f>'Occupied &amp; No. of Guest'!C21</f>
        <v>462</v>
      </c>
    </row>
    <row r="21" spans="1:12" x14ac:dyDescent="0.25">
      <c r="A21" s="9" t="s">
        <v>12</v>
      </c>
      <c r="B21" s="10">
        <f t="shared" si="0"/>
        <v>20</v>
      </c>
      <c r="C21" s="10">
        <v>3</v>
      </c>
      <c r="D21" s="10">
        <v>2022</v>
      </c>
      <c r="E21" s="4">
        <v>31099</v>
      </c>
      <c r="F21" s="11">
        <v>0.2</v>
      </c>
      <c r="G21" s="4">
        <f>LPG!C23</f>
        <v>2144.7819354838712</v>
      </c>
      <c r="H21" s="11">
        <v>2.2099929250646428</v>
      </c>
      <c r="I21" s="4">
        <v>259.17500000001166</v>
      </c>
      <c r="J21" s="11">
        <v>7.84</v>
      </c>
      <c r="K21" s="4">
        <f>'Occupied &amp; No. of Guest'!B22</f>
        <v>377</v>
      </c>
      <c r="L21" s="4">
        <f>'Occupied &amp; No. of Guest'!C22</f>
        <v>435</v>
      </c>
    </row>
    <row r="22" spans="1:12" x14ac:dyDescent="0.25">
      <c r="A22" s="9" t="s">
        <v>12</v>
      </c>
      <c r="B22" s="10">
        <f t="shared" si="0"/>
        <v>21</v>
      </c>
      <c r="C22" s="10">
        <v>3</v>
      </c>
      <c r="D22" s="10">
        <v>2022</v>
      </c>
      <c r="E22" s="4">
        <v>30701</v>
      </c>
      <c r="F22" s="11">
        <v>0.2</v>
      </c>
      <c r="G22" s="4">
        <f>LPG!C24</f>
        <v>2144.7819354838712</v>
      </c>
      <c r="H22" s="11">
        <v>2.2099929250646428</v>
      </c>
      <c r="I22" s="4">
        <v>327.78899999995343</v>
      </c>
      <c r="J22" s="11">
        <v>7.84</v>
      </c>
      <c r="K22" s="4">
        <f>'Occupied &amp; No. of Guest'!B23</f>
        <v>366</v>
      </c>
      <c r="L22" s="4">
        <f>'Occupied &amp; No. of Guest'!C23</f>
        <v>421</v>
      </c>
    </row>
    <row r="23" spans="1:12" x14ac:dyDescent="0.25">
      <c r="A23" s="9" t="s">
        <v>12</v>
      </c>
      <c r="B23" s="10">
        <f t="shared" si="0"/>
        <v>22</v>
      </c>
      <c r="C23" s="10">
        <v>3</v>
      </c>
      <c r="D23" s="10">
        <v>2022</v>
      </c>
      <c r="E23" s="4">
        <v>32264</v>
      </c>
      <c r="F23" s="11">
        <v>0.2</v>
      </c>
      <c r="G23" s="4">
        <f>LPG!C25</f>
        <v>2144.7819354838712</v>
      </c>
      <c r="H23" s="11">
        <v>2.2099929250646428</v>
      </c>
      <c r="I23" s="4">
        <v>238.16199999999071</v>
      </c>
      <c r="J23" s="11">
        <v>7.84</v>
      </c>
      <c r="K23" s="4">
        <f>'Occupied &amp; No. of Guest'!B24</f>
        <v>420</v>
      </c>
      <c r="L23" s="4">
        <f>'Occupied &amp; No. of Guest'!C24</f>
        <v>512</v>
      </c>
    </row>
    <row r="24" spans="1:12" x14ac:dyDescent="0.25">
      <c r="A24" s="9" t="s">
        <v>12</v>
      </c>
      <c r="B24" s="10">
        <f t="shared" si="0"/>
        <v>23</v>
      </c>
      <c r="C24" s="10">
        <v>3</v>
      </c>
      <c r="D24" s="10">
        <v>2022</v>
      </c>
      <c r="E24" s="4">
        <v>32886</v>
      </c>
      <c r="F24" s="11">
        <v>0.2</v>
      </c>
      <c r="G24" s="4">
        <f>LPG!C26</f>
        <v>2144.7819354838712</v>
      </c>
      <c r="H24" s="11">
        <v>2.2099929250646428</v>
      </c>
      <c r="I24" s="4">
        <v>282.43200000003378</v>
      </c>
      <c r="J24" s="11">
        <v>7.84</v>
      </c>
      <c r="K24" s="4">
        <f>'Occupied &amp; No. of Guest'!B25</f>
        <v>440</v>
      </c>
      <c r="L24" s="4">
        <f>'Occupied &amp; No. of Guest'!C25</f>
        <v>546</v>
      </c>
    </row>
    <row r="25" spans="1:12" x14ac:dyDescent="0.25">
      <c r="A25" s="9" t="s">
        <v>12</v>
      </c>
      <c r="B25" s="10">
        <f t="shared" si="0"/>
        <v>24</v>
      </c>
      <c r="C25" s="10">
        <v>3</v>
      </c>
      <c r="D25" s="10">
        <v>2022</v>
      </c>
      <c r="E25" s="4">
        <v>32706</v>
      </c>
      <c r="F25" s="11">
        <v>0.2</v>
      </c>
      <c r="G25" s="4">
        <f>LPG!C27</f>
        <v>2144.7819354838712</v>
      </c>
      <c r="H25" s="11">
        <v>2.2099929250646428</v>
      </c>
      <c r="I25" s="4">
        <v>361.81399999998951</v>
      </c>
      <c r="J25" s="11">
        <v>7.84</v>
      </c>
      <c r="K25" s="4">
        <f>'Occupied &amp; No. of Guest'!B26</f>
        <v>365</v>
      </c>
      <c r="L25" s="4">
        <f>'Occupied &amp; No. of Guest'!C26</f>
        <v>428</v>
      </c>
    </row>
    <row r="26" spans="1:12" x14ac:dyDescent="0.25">
      <c r="A26" s="9" t="s">
        <v>12</v>
      </c>
      <c r="B26" s="10">
        <f>B25+1</f>
        <v>25</v>
      </c>
      <c r="C26" s="10">
        <v>3</v>
      </c>
      <c r="D26" s="10">
        <v>2022</v>
      </c>
      <c r="E26" s="4">
        <v>33452</v>
      </c>
      <c r="F26" s="11">
        <v>0.2</v>
      </c>
      <c r="G26" s="4">
        <f>LPG!C28</f>
        <v>2144.7819354838712</v>
      </c>
      <c r="H26" s="11">
        <v>2.2099929250646428</v>
      </c>
      <c r="I26" s="4">
        <v>291.24000000001161</v>
      </c>
      <c r="J26" s="11">
        <v>7.84</v>
      </c>
      <c r="K26" s="4">
        <f>'Occupied &amp; No. of Guest'!B27</f>
        <v>398</v>
      </c>
      <c r="L26" s="4">
        <f>'Occupied &amp; No. of Guest'!C27</f>
        <v>522</v>
      </c>
    </row>
    <row r="27" spans="1:12" x14ac:dyDescent="0.25">
      <c r="A27" s="9" t="s">
        <v>12</v>
      </c>
      <c r="B27" s="10">
        <f t="shared" si="0"/>
        <v>26</v>
      </c>
      <c r="C27" s="10">
        <v>3</v>
      </c>
      <c r="D27" s="10">
        <v>2022</v>
      </c>
      <c r="E27" s="4">
        <v>35272</v>
      </c>
      <c r="F27" s="11">
        <v>0.2</v>
      </c>
      <c r="G27" s="4">
        <f>LPG!C29</f>
        <v>2144.7819354838712</v>
      </c>
      <c r="H27" s="11">
        <v>2.2099929250646428</v>
      </c>
      <c r="I27" s="4">
        <v>400.46800000000923</v>
      </c>
      <c r="J27" s="11">
        <v>7.84</v>
      </c>
      <c r="K27" s="4">
        <f>'Occupied &amp; No. of Guest'!B28</f>
        <v>444</v>
      </c>
      <c r="L27" s="4">
        <f>'Occupied &amp; No. of Guest'!C28</f>
        <v>598</v>
      </c>
    </row>
    <row r="28" spans="1:12" x14ac:dyDescent="0.25">
      <c r="A28" s="9" t="s">
        <v>12</v>
      </c>
      <c r="B28" s="10">
        <f t="shared" si="0"/>
        <v>27</v>
      </c>
      <c r="C28" s="10">
        <v>3</v>
      </c>
      <c r="D28" s="10">
        <v>2022</v>
      </c>
      <c r="E28" s="4">
        <v>32269</v>
      </c>
      <c r="F28" s="11">
        <v>0.2</v>
      </c>
      <c r="G28" s="4">
        <f>LPG!C30</f>
        <v>2144.7819354838712</v>
      </c>
      <c r="H28" s="11">
        <v>2.2099929250646428</v>
      </c>
      <c r="I28" s="4">
        <v>326.04099999999073</v>
      </c>
      <c r="J28" s="11">
        <v>7.84</v>
      </c>
      <c r="K28" s="4">
        <f>'Occupied &amp; No. of Guest'!B29</f>
        <v>375</v>
      </c>
      <c r="L28" s="4">
        <f>'Occupied &amp; No. of Guest'!C29</f>
        <v>464</v>
      </c>
    </row>
    <row r="29" spans="1:12" x14ac:dyDescent="0.25">
      <c r="A29" s="9" t="s">
        <v>12</v>
      </c>
      <c r="B29" s="10">
        <f t="shared" si="0"/>
        <v>28</v>
      </c>
      <c r="C29" s="10">
        <v>3</v>
      </c>
      <c r="D29" s="10">
        <v>2022</v>
      </c>
      <c r="E29" s="4">
        <v>32065</v>
      </c>
      <c r="F29" s="11">
        <v>0.2</v>
      </c>
      <c r="G29" s="4">
        <f>LPG!C31</f>
        <v>2144.7819354838712</v>
      </c>
      <c r="H29" s="11">
        <v>2.2099929250646428</v>
      </c>
      <c r="I29" s="4">
        <v>396.35900000001561</v>
      </c>
      <c r="J29" s="11">
        <v>7.84</v>
      </c>
      <c r="K29" s="4">
        <f>'Occupied &amp; No. of Guest'!B30</f>
        <v>387</v>
      </c>
      <c r="L29" s="4">
        <f>'Occupied &amp; No. of Guest'!C30</f>
        <v>461</v>
      </c>
    </row>
    <row r="30" spans="1:12" x14ac:dyDescent="0.25">
      <c r="A30" s="9" t="s">
        <v>12</v>
      </c>
      <c r="B30" s="10">
        <f t="shared" si="0"/>
        <v>29</v>
      </c>
      <c r="C30" s="10">
        <v>3</v>
      </c>
      <c r="D30" s="10">
        <v>2022</v>
      </c>
      <c r="E30" s="4">
        <v>29678</v>
      </c>
      <c r="F30" s="11">
        <v>0.2</v>
      </c>
      <c r="G30" s="4">
        <f>LPG!C32</f>
        <v>2144.7819354838712</v>
      </c>
      <c r="H30" s="11">
        <v>2.2099929250646428</v>
      </c>
      <c r="I30" s="4">
        <v>279.78999999994943</v>
      </c>
      <c r="J30" s="11">
        <v>7.84</v>
      </c>
      <c r="K30" s="4">
        <f>'Occupied &amp; No. of Guest'!B31</f>
        <v>426</v>
      </c>
      <c r="L30" s="4">
        <f>'Occupied &amp; No. of Guest'!C31</f>
        <v>537</v>
      </c>
    </row>
    <row r="31" spans="1:12" x14ac:dyDescent="0.25">
      <c r="A31" s="9" t="s">
        <v>12</v>
      </c>
      <c r="B31" s="10">
        <f t="shared" si="0"/>
        <v>30</v>
      </c>
      <c r="C31" s="10">
        <v>3</v>
      </c>
      <c r="D31" s="10">
        <v>2022</v>
      </c>
      <c r="E31" s="4">
        <v>31856</v>
      </c>
      <c r="F31" s="11">
        <v>0.2</v>
      </c>
      <c r="G31" s="4">
        <f>LPG!C33</f>
        <v>2144.7819354838712</v>
      </c>
      <c r="H31" s="11">
        <v>2.2099929250646428</v>
      </c>
      <c r="I31" s="4">
        <v>343.95099999999888</v>
      </c>
      <c r="J31" s="11">
        <v>7.84</v>
      </c>
      <c r="K31" s="4">
        <f>'Occupied &amp; No. of Guest'!B32</f>
        <v>427</v>
      </c>
      <c r="L31" s="4">
        <f>'Occupied &amp; No. of Guest'!C32</f>
        <v>531</v>
      </c>
    </row>
    <row r="32" spans="1:12" x14ac:dyDescent="0.25">
      <c r="A32" s="9" t="s">
        <v>12</v>
      </c>
      <c r="B32" s="10">
        <f t="shared" si="0"/>
        <v>31</v>
      </c>
      <c r="C32" s="10">
        <v>3</v>
      </c>
      <c r="D32" s="10">
        <v>2022</v>
      </c>
      <c r="E32" s="4">
        <v>31056</v>
      </c>
      <c r="F32" s="11">
        <v>0.2</v>
      </c>
      <c r="G32" s="4">
        <f>LPG!C34</f>
        <v>2144.7819354838712</v>
      </c>
      <c r="H32" s="11">
        <v>2.2099929250646428</v>
      </c>
      <c r="I32" s="4">
        <v>343.88900000002837</v>
      </c>
      <c r="J32" s="11">
        <v>7.84</v>
      </c>
      <c r="K32" s="4">
        <f>'Occupied &amp; No. of Guest'!B33</f>
        <v>374</v>
      </c>
      <c r="L32" s="4">
        <f>'Occupied &amp; No. of Guest'!C33</f>
        <v>444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8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63" t="s">
        <v>85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67" s="14" customFormat="1" ht="29.25" customHeight="1" thickBot="1" x14ac:dyDescent="0.3"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</row>
    <row r="4" spans="1:67" ht="39" thickBot="1" x14ac:dyDescent="0.25">
      <c r="A4" s="15" t="s">
        <v>13</v>
      </c>
      <c r="B4" s="16" t="s">
        <v>14</v>
      </c>
      <c r="C4" s="17" t="s">
        <v>15</v>
      </c>
      <c r="D4" s="18" t="s">
        <v>16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65">
        <v>1</v>
      </c>
      <c r="B5" s="20" t="s">
        <v>17</v>
      </c>
      <c r="C5" s="67" t="s">
        <v>18</v>
      </c>
      <c r="D5" s="21">
        <v>85467</v>
      </c>
      <c r="E5" s="21">
        <v>85488</v>
      </c>
      <c r="F5" s="21">
        <v>85509</v>
      </c>
      <c r="G5" s="21">
        <v>85531</v>
      </c>
      <c r="H5" s="21">
        <v>85554</v>
      </c>
      <c r="I5" s="21">
        <v>85576</v>
      </c>
      <c r="J5" s="21">
        <v>85597</v>
      </c>
      <c r="K5" s="21">
        <v>85620</v>
      </c>
      <c r="L5" s="21">
        <v>85643</v>
      </c>
      <c r="M5" s="21">
        <v>85664</v>
      </c>
      <c r="N5" s="21">
        <v>85687</v>
      </c>
      <c r="O5" s="21">
        <v>85708</v>
      </c>
      <c r="P5" s="21">
        <v>85730</v>
      </c>
      <c r="Q5" s="21">
        <v>85753</v>
      </c>
      <c r="R5" s="21">
        <v>85775</v>
      </c>
      <c r="S5" s="21">
        <v>85797</v>
      </c>
      <c r="T5" s="21">
        <v>85821</v>
      </c>
      <c r="U5" s="21">
        <v>85843</v>
      </c>
      <c r="V5" s="21">
        <v>85867</v>
      </c>
      <c r="W5" s="21">
        <v>85889</v>
      </c>
      <c r="X5" s="21">
        <v>85911</v>
      </c>
      <c r="Y5" s="21">
        <v>85933</v>
      </c>
      <c r="Z5" s="21">
        <v>85955</v>
      </c>
      <c r="AA5" s="21">
        <v>85978</v>
      </c>
      <c r="AB5" s="21">
        <v>86000</v>
      </c>
      <c r="AC5" s="21">
        <v>86022</v>
      </c>
      <c r="AD5" s="21">
        <v>86045</v>
      </c>
      <c r="AE5" s="21">
        <v>86067</v>
      </c>
      <c r="AF5" s="21">
        <v>86090</v>
      </c>
      <c r="AG5" s="21">
        <v>86111</v>
      </c>
      <c r="AH5" s="21">
        <v>86133</v>
      </c>
      <c r="AI5" s="21">
        <v>86155</v>
      </c>
    </row>
    <row r="6" spans="1:67" s="24" customFormat="1" ht="21.75" customHeight="1" thickBot="1" x14ac:dyDescent="0.25">
      <c r="A6" s="66"/>
      <c r="B6" s="22"/>
      <c r="C6" s="68"/>
      <c r="D6" s="23"/>
      <c r="E6" s="23">
        <f>(E5-D5)*1000</f>
        <v>21000</v>
      </c>
      <c r="F6" s="23">
        <f t="shared" ref="F6:AI6" si="0">(F5-E5)*1000</f>
        <v>21000</v>
      </c>
      <c r="G6" s="23">
        <f t="shared" si="0"/>
        <v>22000</v>
      </c>
      <c r="H6" s="23">
        <f t="shared" si="0"/>
        <v>23000</v>
      </c>
      <c r="I6" s="23">
        <f t="shared" si="0"/>
        <v>22000</v>
      </c>
      <c r="J6" s="23">
        <f t="shared" si="0"/>
        <v>21000</v>
      </c>
      <c r="K6" s="23">
        <f t="shared" si="0"/>
        <v>23000</v>
      </c>
      <c r="L6" s="23">
        <f t="shared" si="0"/>
        <v>23000</v>
      </c>
      <c r="M6" s="23">
        <f t="shared" si="0"/>
        <v>21000</v>
      </c>
      <c r="N6" s="23">
        <f t="shared" si="0"/>
        <v>23000</v>
      </c>
      <c r="O6" s="23">
        <f t="shared" si="0"/>
        <v>21000</v>
      </c>
      <c r="P6" s="23">
        <f t="shared" si="0"/>
        <v>22000</v>
      </c>
      <c r="Q6" s="23">
        <f t="shared" si="0"/>
        <v>23000</v>
      </c>
      <c r="R6" s="23">
        <f t="shared" si="0"/>
        <v>22000</v>
      </c>
      <c r="S6" s="23">
        <f t="shared" si="0"/>
        <v>22000</v>
      </c>
      <c r="T6" s="23">
        <f t="shared" si="0"/>
        <v>24000</v>
      </c>
      <c r="U6" s="23">
        <f t="shared" si="0"/>
        <v>22000</v>
      </c>
      <c r="V6" s="23">
        <f t="shared" si="0"/>
        <v>24000</v>
      </c>
      <c r="W6" s="23">
        <f t="shared" si="0"/>
        <v>22000</v>
      </c>
      <c r="X6" s="23">
        <f t="shared" si="0"/>
        <v>22000</v>
      </c>
      <c r="Y6" s="23">
        <f t="shared" si="0"/>
        <v>22000</v>
      </c>
      <c r="Z6" s="23">
        <f t="shared" si="0"/>
        <v>22000</v>
      </c>
      <c r="AA6" s="23">
        <f t="shared" si="0"/>
        <v>23000</v>
      </c>
      <c r="AB6" s="23">
        <f t="shared" si="0"/>
        <v>22000</v>
      </c>
      <c r="AC6" s="23">
        <f t="shared" si="0"/>
        <v>22000</v>
      </c>
      <c r="AD6" s="23">
        <f t="shared" si="0"/>
        <v>23000</v>
      </c>
      <c r="AE6" s="23">
        <f t="shared" si="0"/>
        <v>22000</v>
      </c>
      <c r="AF6" s="23">
        <f t="shared" si="0"/>
        <v>23000</v>
      </c>
      <c r="AG6" s="23">
        <f t="shared" si="0"/>
        <v>21000</v>
      </c>
      <c r="AH6" s="23">
        <f t="shared" si="0"/>
        <v>22000</v>
      </c>
      <c r="AI6" s="23">
        <f t="shared" si="0"/>
        <v>22000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69">
        <v>2</v>
      </c>
      <c r="B7" s="25" t="s">
        <v>19</v>
      </c>
      <c r="C7" s="71" t="s">
        <v>20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  <c r="AI7" s="21">
        <v>29383</v>
      </c>
    </row>
    <row r="8" spans="1:67" s="24" customFormat="1" ht="21.75" customHeight="1" thickBot="1" x14ac:dyDescent="0.25">
      <c r="A8" s="70"/>
      <c r="B8" s="22"/>
      <c r="C8" s="68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23">
        <f t="shared" ref="AI8" si="30">(AI7-AH7)*1000</f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6">
        <v>3</v>
      </c>
      <c r="B9" s="36" t="s">
        <v>21</v>
      </c>
      <c r="C9" s="78" t="s">
        <v>22</v>
      </c>
      <c r="D9" s="21">
        <v>98040</v>
      </c>
      <c r="E9" s="21">
        <v>98043</v>
      </c>
      <c r="F9" s="21">
        <v>98047</v>
      </c>
      <c r="G9" s="21">
        <v>98051</v>
      </c>
      <c r="H9" s="21">
        <v>98054</v>
      </c>
      <c r="I9" s="21">
        <v>98058</v>
      </c>
      <c r="J9" s="21">
        <v>98062</v>
      </c>
      <c r="K9" s="21">
        <v>98066</v>
      </c>
      <c r="L9" s="21">
        <v>98070</v>
      </c>
      <c r="M9" s="21">
        <v>98075</v>
      </c>
      <c r="N9" s="21">
        <v>98081</v>
      </c>
      <c r="O9" s="21">
        <v>98089</v>
      </c>
      <c r="P9" s="21">
        <v>98096</v>
      </c>
      <c r="Q9" s="21">
        <v>98104</v>
      </c>
      <c r="R9" s="21">
        <v>98113</v>
      </c>
      <c r="S9" s="21">
        <v>98121</v>
      </c>
      <c r="T9" s="21">
        <v>98130</v>
      </c>
      <c r="U9" s="21">
        <v>98131</v>
      </c>
      <c r="V9" s="21">
        <v>98133</v>
      </c>
      <c r="W9" s="21">
        <v>98136</v>
      </c>
      <c r="X9" s="21">
        <v>98139</v>
      </c>
      <c r="Y9" s="21">
        <v>98142</v>
      </c>
      <c r="Z9" s="21">
        <v>98149</v>
      </c>
      <c r="AA9" s="21">
        <v>98154</v>
      </c>
      <c r="AB9" s="21">
        <v>98162</v>
      </c>
      <c r="AC9" s="21">
        <v>98173</v>
      </c>
      <c r="AD9" s="21">
        <v>98185</v>
      </c>
      <c r="AE9" s="21">
        <v>98193</v>
      </c>
      <c r="AF9" s="21">
        <v>98196</v>
      </c>
      <c r="AG9" s="21">
        <v>98198</v>
      </c>
      <c r="AH9" s="21">
        <v>98206</v>
      </c>
      <c r="AI9" s="21">
        <v>98226</v>
      </c>
    </row>
    <row r="10" spans="1:67" s="24" customFormat="1" ht="21.75" customHeight="1" thickBot="1" x14ac:dyDescent="0.25">
      <c r="A10" s="77"/>
      <c r="B10" s="37"/>
      <c r="C10" s="75"/>
      <c r="D10" s="23"/>
      <c r="E10" s="23">
        <f>(E9-D9)*1000</f>
        <v>3000</v>
      </c>
      <c r="F10" s="23">
        <f t="shared" ref="F10" si="31">(F9-E9)*1000</f>
        <v>4000</v>
      </c>
      <c r="G10" s="23">
        <f t="shared" ref="G10" si="32">(G9-F9)*1000</f>
        <v>4000</v>
      </c>
      <c r="H10" s="23">
        <f t="shared" ref="H10" si="33">(H9-G9)*1000</f>
        <v>3000</v>
      </c>
      <c r="I10" s="23">
        <f t="shared" ref="I10" si="34">(I9-H9)*1000</f>
        <v>4000</v>
      </c>
      <c r="J10" s="23">
        <f t="shared" ref="J10" si="35">(J9-I9)*1000</f>
        <v>4000</v>
      </c>
      <c r="K10" s="23">
        <f t="shared" ref="K10" si="36">(K9-J9)*1000</f>
        <v>4000</v>
      </c>
      <c r="L10" s="23">
        <f t="shared" ref="L10" si="37">(L9-K9)*1000</f>
        <v>4000</v>
      </c>
      <c r="M10" s="23">
        <f t="shared" ref="M10" si="38">(M9-L9)*1000</f>
        <v>5000</v>
      </c>
      <c r="N10" s="23">
        <f t="shared" ref="N10" si="39">(N9-M9)*1000</f>
        <v>6000</v>
      </c>
      <c r="O10" s="23">
        <f t="shared" ref="O10" si="40">(O9-N9)*1000</f>
        <v>8000</v>
      </c>
      <c r="P10" s="23">
        <f t="shared" ref="P10" si="41">(P9-O9)*1000</f>
        <v>7000</v>
      </c>
      <c r="Q10" s="23">
        <f t="shared" ref="Q10" si="42">(Q9-P9)*1000</f>
        <v>8000</v>
      </c>
      <c r="R10" s="23">
        <f t="shared" ref="R10" si="43">(R9-Q9)*1000</f>
        <v>9000</v>
      </c>
      <c r="S10" s="23">
        <f t="shared" ref="S10" si="44">(S9-R9)*1000</f>
        <v>8000</v>
      </c>
      <c r="T10" s="23">
        <f t="shared" ref="T10" si="45">(T9-S9)*1000</f>
        <v>9000</v>
      </c>
      <c r="U10" s="23">
        <f t="shared" ref="U10" si="46">(U9-T9)*1000</f>
        <v>1000</v>
      </c>
      <c r="V10" s="23">
        <f t="shared" ref="V10" si="47">(V9-U9)*1000</f>
        <v>2000</v>
      </c>
      <c r="W10" s="23">
        <f t="shared" ref="W10" si="48">(W9-V9)*1000</f>
        <v>3000</v>
      </c>
      <c r="X10" s="23">
        <f t="shared" ref="X10" si="49">(X9-W9)*1000</f>
        <v>3000</v>
      </c>
      <c r="Y10" s="23">
        <f t="shared" ref="Y10" si="50">(Y9-X9)*1000</f>
        <v>3000</v>
      </c>
      <c r="Z10" s="23">
        <f t="shared" ref="Z10" si="51">(Z9-Y9)*1000</f>
        <v>7000</v>
      </c>
      <c r="AA10" s="23">
        <f t="shared" ref="AA10" si="52">(AA9-Z9)*1000</f>
        <v>5000</v>
      </c>
      <c r="AB10" s="23">
        <f t="shared" ref="AB10" si="53">(AB9-AA9)*1000</f>
        <v>8000</v>
      </c>
      <c r="AC10" s="23">
        <f t="shared" ref="AC10" si="54">(AC9-AB9)*1000</f>
        <v>11000</v>
      </c>
      <c r="AD10" s="23">
        <f t="shared" ref="AD10" si="55">(AD9-AC9)*1000</f>
        <v>12000</v>
      </c>
      <c r="AE10" s="23">
        <f t="shared" ref="AE10" si="56">(AE9-AD9)*1000</f>
        <v>8000</v>
      </c>
      <c r="AF10" s="23">
        <f t="shared" ref="AF10" si="57">(AF9-AE9)*1000</f>
        <v>3000</v>
      </c>
      <c r="AG10" s="23">
        <f t="shared" ref="AG10" si="58">(AG9-AF9)*1000</f>
        <v>2000</v>
      </c>
      <c r="AH10" s="23">
        <f t="shared" ref="AH10" si="59">(AH9-AG9)*1000</f>
        <v>8000</v>
      </c>
      <c r="AI10" s="23">
        <f t="shared" ref="AI10" si="60">(AI9-AH9)*1000</f>
        <v>20000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2">
        <v>4</v>
      </c>
      <c r="B11" s="36" t="s">
        <v>23</v>
      </c>
      <c r="C11" s="78" t="s">
        <v>24</v>
      </c>
      <c r="D11" s="21">
        <v>83585</v>
      </c>
      <c r="E11" s="21">
        <v>83600</v>
      </c>
      <c r="F11" s="21">
        <v>83615</v>
      </c>
      <c r="G11" s="21">
        <v>83631</v>
      </c>
      <c r="H11" s="21">
        <v>83646</v>
      </c>
      <c r="I11" s="21">
        <v>83662</v>
      </c>
      <c r="J11" s="21">
        <v>83677</v>
      </c>
      <c r="K11" s="21">
        <v>83694</v>
      </c>
      <c r="L11" s="21">
        <v>83713</v>
      </c>
      <c r="M11" s="21">
        <v>83731</v>
      </c>
      <c r="N11" s="21">
        <v>83750</v>
      </c>
      <c r="O11" s="21">
        <v>83768</v>
      </c>
      <c r="P11" s="21">
        <v>83786</v>
      </c>
      <c r="Q11" s="21">
        <v>83806</v>
      </c>
      <c r="R11" s="21">
        <v>83824</v>
      </c>
      <c r="S11" s="21">
        <v>83845</v>
      </c>
      <c r="T11" s="21">
        <v>83865</v>
      </c>
      <c r="U11" s="21">
        <v>83887</v>
      </c>
      <c r="V11" s="21">
        <v>83906</v>
      </c>
      <c r="W11" s="21">
        <v>83923</v>
      </c>
      <c r="X11" s="21">
        <v>83942</v>
      </c>
      <c r="Y11" s="21">
        <v>83960</v>
      </c>
      <c r="Z11" s="21">
        <v>83978</v>
      </c>
      <c r="AA11" s="21">
        <v>83997</v>
      </c>
      <c r="AB11" s="21">
        <v>84015</v>
      </c>
      <c r="AC11" s="21">
        <v>84032</v>
      </c>
      <c r="AD11" s="21">
        <v>84050</v>
      </c>
      <c r="AE11" s="21">
        <v>84067</v>
      </c>
      <c r="AF11" s="21">
        <v>84086</v>
      </c>
      <c r="AG11" s="21">
        <v>84105</v>
      </c>
      <c r="AH11" s="21">
        <v>84121</v>
      </c>
      <c r="AI11" s="21">
        <v>84123</v>
      </c>
    </row>
    <row r="12" spans="1:67" s="38" customFormat="1" ht="21.75" customHeight="1" thickBot="1" x14ac:dyDescent="0.25">
      <c r="A12" s="73"/>
      <c r="B12" s="37"/>
      <c r="C12" s="75"/>
      <c r="D12" s="23"/>
      <c r="E12" s="23">
        <f>(E11-D11)*1000</f>
        <v>15000</v>
      </c>
      <c r="F12" s="23">
        <f t="shared" ref="F12" si="61">(F11-E11)*1000</f>
        <v>15000</v>
      </c>
      <c r="G12" s="23">
        <f t="shared" ref="G12" si="62">(G11-F11)*1000</f>
        <v>16000</v>
      </c>
      <c r="H12" s="23">
        <f t="shared" ref="H12" si="63">(H11-G11)*1000</f>
        <v>15000</v>
      </c>
      <c r="I12" s="23">
        <f t="shared" ref="I12" si="64">(I11-H11)*1000</f>
        <v>16000</v>
      </c>
      <c r="J12" s="23">
        <f t="shared" ref="J12" si="65">(J11-I11)*1000</f>
        <v>15000</v>
      </c>
      <c r="K12" s="23">
        <f t="shared" ref="K12" si="66">(K11-J11)*1000</f>
        <v>17000</v>
      </c>
      <c r="L12" s="23">
        <f t="shared" ref="L12" si="67">(L11-K11)*1000</f>
        <v>19000</v>
      </c>
      <c r="M12" s="23">
        <f t="shared" ref="M12" si="68">(M11-L11)*1000</f>
        <v>18000</v>
      </c>
      <c r="N12" s="23">
        <f t="shared" ref="N12" si="69">(N11-M11)*1000</f>
        <v>19000</v>
      </c>
      <c r="O12" s="23">
        <f t="shared" ref="O12" si="70">(O11-N11)*1000</f>
        <v>18000</v>
      </c>
      <c r="P12" s="23">
        <f t="shared" ref="P12" si="71">(P11-O11)*1000</f>
        <v>18000</v>
      </c>
      <c r="Q12" s="23">
        <f t="shared" ref="Q12" si="72">(Q11-P11)*1000</f>
        <v>20000</v>
      </c>
      <c r="R12" s="23">
        <f t="shared" ref="R12" si="73">(R11-Q11)*1000</f>
        <v>18000</v>
      </c>
      <c r="S12" s="23">
        <f t="shared" ref="S12" si="74">(S11-R11)*1000</f>
        <v>21000</v>
      </c>
      <c r="T12" s="23">
        <f t="shared" ref="T12" si="75">(T11-S11)*1000</f>
        <v>20000</v>
      </c>
      <c r="U12" s="23">
        <f t="shared" ref="U12" si="76">(U11-T11)*1000</f>
        <v>22000</v>
      </c>
      <c r="V12" s="23">
        <f t="shared" ref="V12" si="77">(V11-U11)*1000</f>
        <v>19000</v>
      </c>
      <c r="W12" s="23">
        <f t="shared" ref="W12" si="78">(W11-V11)*1000</f>
        <v>17000</v>
      </c>
      <c r="X12" s="23">
        <f t="shared" ref="X12" si="79">(X11-W11)*1000</f>
        <v>19000</v>
      </c>
      <c r="Y12" s="23">
        <f t="shared" ref="Y12" si="80">(Y11-X11)*1000</f>
        <v>18000</v>
      </c>
      <c r="Z12" s="23">
        <f t="shared" ref="Z12" si="81">(Z11-Y11)*1000</f>
        <v>18000</v>
      </c>
      <c r="AA12" s="23">
        <f t="shared" ref="AA12" si="82">(AA11-Z11)*1000</f>
        <v>19000</v>
      </c>
      <c r="AB12" s="23">
        <f t="shared" ref="AB12" si="83">(AB11-AA11)*1000</f>
        <v>18000</v>
      </c>
      <c r="AC12" s="23">
        <f t="shared" ref="AC12" si="84">(AC11-AB11)*1000</f>
        <v>17000</v>
      </c>
      <c r="AD12" s="23">
        <f t="shared" ref="AD12" si="85">(AD11-AC11)*1000</f>
        <v>18000</v>
      </c>
      <c r="AE12" s="23">
        <f t="shared" ref="AE12" si="86">(AE11-AD11)*1000</f>
        <v>17000</v>
      </c>
      <c r="AF12" s="23">
        <f t="shared" ref="AF12" si="87">(AF11-AE11)*1000</f>
        <v>19000</v>
      </c>
      <c r="AG12" s="23">
        <f t="shared" ref="AG12" si="88">(AG11-AF11)*1000</f>
        <v>19000</v>
      </c>
      <c r="AH12" s="23">
        <f t="shared" ref="AH12" si="89">(AH11-AG11)*1000</f>
        <v>16000</v>
      </c>
      <c r="AI12" s="23">
        <f t="shared" ref="AI12" si="90">(AI11-AH11)*1000</f>
        <v>2000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6">
        <v>7</v>
      </c>
      <c r="B13" s="39" t="s">
        <v>25</v>
      </c>
      <c r="C13" s="74" t="s">
        <v>26</v>
      </c>
      <c r="D13" s="40">
        <v>3090</v>
      </c>
      <c r="E13" s="40">
        <v>3090</v>
      </c>
      <c r="F13" s="40">
        <v>3090</v>
      </c>
      <c r="G13" s="40">
        <v>3090</v>
      </c>
      <c r="H13" s="40">
        <v>3090</v>
      </c>
      <c r="I13" s="40">
        <v>3090</v>
      </c>
      <c r="J13" s="40">
        <v>3090</v>
      </c>
      <c r="K13" s="40">
        <v>3090</v>
      </c>
      <c r="L13" s="40">
        <v>3090</v>
      </c>
      <c r="M13" s="40">
        <v>3090</v>
      </c>
      <c r="N13" s="40">
        <v>3090</v>
      </c>
      <c r="O13" s="40">
        <v>3090</v>
      </c>
      <c r="P13" s="40">
        <v>3090</v>
      </c>
      <c r="Q13" s="40">
        <v>3090</v>
      </c>
      <c r="R13" s="40">
        <v>3090</v>
      </c>
      <c r="S13" s="40">
        <v>3090</v>
      </c>
      <c r="T13" s="40">
        <v>3090</v>
      </c>
      <c r="U13" s="40">
        <v>3090</v>
      </c>
      <c r="V13" s="40">
        <v>3093</v>
      </c>
      <c r="W13" s="40">
        <v>3093</v>
      </c>
      <c r="X13" s="40">
        <v>3093</v>
      </c>
      <c r="Y13" s="40">
        <v>3093</v>
      </c>
      <c r="Z13" s="40">
        <v>3093</v>
      </c>
      <c r="AA13" s="40">
        <v>3093</v>
      </c>
      <c r="AB13" s="40">
        <v>3093</v>
      </c>
      <c r="AC13" s="40">
        <v>3093</v>
      </c>
      <c r="AD13" s="40">
        <v>3093</v>
      </c>
      <c r="AE13" s="40">
        <v>3093</v>
      </c>
      <c r="AF13" s="40">
        <v>3093</v>
      </c>
      <c r="AG13" s="40">
        <v>3093</v>
      </c>
      <c r="AH13" s="40">
        <v>3093</v>
      </c>
      <c r="AI13" s="40">
        <v>3093</v>
      </c>
    </row>
    <row r="14" spans="1:67" s="24" customFormat="1" ht="21.75" customHeight="1" thickBot="1" x14ac:dyDescent="0.25">
      <c r="A14" s="77"/>
      <c r="B14" s="41"/>
      <c r="C14" s="75"/>
      <c r="D14" s="42"/>
      <c r="E14" s="42">
        <f t="shared" ref="E14:Q14" si="91">E13-D13</f>
        <v>0</v>
      </c>
      <c r="F14" s="42">
        <f t="shared" si="91"/>
        <v>0</v>
      </c>
      <c r="G14" s="42">
        <f t="shared" si="91"/>
        <v>0</v>
      </c>
      <c r="H14" s="42">
        <f t="shared" si="91"/>
        <v>0</v>
      </c>
      <c r="I14" s="42">
        <f t="shared" si="91"/>
        <v>0</v>
      </c>
      <c r="J14" s="42">
        <f t="shared" si="91"/>
        <v>0</v>
      </c>
      <c r="K14" s="42">
        <f t="shared" si="91"/>
        <v>0</v>
      </c>
      <c r="L14" s="42">
        <f t="shared" si="91"/>
        <v>0</v>
      </c>
      <c r="M14" s="42">
        <f t="shared" si="91"/>
        <v>0</v>
      </c>
      <c r="N14" s="42">
        <f t="shared" si="91"/>
        <v>0</v>
      </c>
      <c r="O14" s="42">
        <f t="shared" si="91"/>
        <v>0</v>
      </c>
      <c r="P14" s="42">
        <f t="shared" si="91"/>
        <v>0</v>
      </c>
      <c r="Q14" s="42">
        <f t="shared" si="91"/>
        <v>0</v>
      </c>
      <c r="R14" s="42">
        <v>357</v>
      </c>
      <c r="S14" s="42">
        <f t="shared" ref="S14:AB14" si="92">S13-R13</f>
        <v>0</v>
      </c>
      <c r="T14" s="42">
        <f t="shared" si="92"/>
        <v>0</v>
      </c>
      <c r="U14" s="42">
        <f t="shared" si="92"/>
        <v>0</v>
      </c>
      <c r="V14" s="42">
        <f t="shared" si="92"/>
        <v>3</v>
      </c>
      <c r="W14" s="42">
        <f t="shared" si="92"/>
        <v>0</v>
      </c>
      <c r="X14" s="42">
        <f t="shared" si="92"/>
        <v>0</v>
      </c>
      <c r="Y14" s="42">
        <f t="shared" si="92"/>
        <v>0</v>
      </c>
      <c r="Z14" s="42">
        <f t="shared" si="92"/>
        <v>0</v>
      </c>
      <c r="AA14" s="42">
        <f t="shared" si="92"/>
        <v>0</v>
      </c>
      <c r="AB14" s="42">
        <f t="shared" si="92"/>
        <v>0</v>
      </c>
      <c r="AC14" s="42">
        <f>AC13-AB13</f>
        <v>0</v>
      </c>
      <c r="AD14" s="42">
        <f t="shared" ref="AD14:AI14" si="93">AD13-AC13</f>
        <v>0</v>
      </c>
      <c r="AE14" s="42">
        <f t="shared" si="93"/>
        <v>0</v>
      </c>
      <c r="AF14" s="42">
        <f t="shared" si="93"/>
        <v>0</v>
      </c>
      <c r="AG14" s="42">
        <f t="shared" si="93"/>
        <v>0</v>
      </c>
      <c r="AH14" s="42">
        <f t="shared" si="93"/>
        <v>0</v>
      </c>
      <c r="AI14" s="42">
        <f t="shared" si="93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2">
        <v>8</v>
      </c>
      <c r="B15" s="39" t="s">
        <v>27</v>
      </c>
      <c r="C15" s="74" t="s">
        <v>28</v>
      </c>
      <c r="D15" s="40">
        <v>357</v>
      </c>
      <c r="E15" s="40">
        <v>357</v>
      </c>
      <c r="F15" s="40">
        <v>357</v>
      </c>
      <c r="G15" s="40">
        <v>357</v>
      </c>
      <c r="H15" s="40">
        <v>357</v>
      </c>
      <c r="I15" s="40">
        <v>357</v>
      </c>
      <c r="J15" s="40">
        <v>357</v>
      </c>
      <c r="K15" s="40">
        <v>357</v>
      </c>
      <c r="L15" s="40">
        <v>357</v>
      </c>
      <c r="M15" s="40">
        <v>357</v>
      </c>
      <c r="N15" s="40">
        <v>357</v>
      </c>
      <c r="O15" s="40">
        <v>357</v>
      </c>
      <c r="P15" s="40">
        <v>357</v>
      </c>
      <c r="Q15" s="40">
        <v>357</v>
      </c>
      <c r="R15" s="40">
        <v>357</v>
      </c>
      <c r="S15" s="40">
        <v>358</v>
      </c>
      <c r="T15" s="40">
        <v>358</v>
      </c>
      <c r="U15" s="40">
        <v>358</v>
      </c>
      <c r="V15" s="40">
        <v>359</v>
      </c>
      <c r="W15" s="40">
        <v>359</v>
      </c>
      <c r="X15" s="40">
        <v>359</v>
      </c>
      <c r="Y15" s="40">
        <v>359</v>
      </c>
      <c r="Z15" s="40">
        <v>359</v>
      </c>
      <c r="AA15" s="40">
        <v>359</v>
      </c>
      <c r="AB15" s="40">
        <v>359</v>
      </c>
      <c r="AC15" s="40">
        <v>359</v>
      </c>
      <c r="AD15" s="40">
        <v>359</v>
      </c>
      <c r="AE15" s="40">
        <v>359</v>
      </c>
      <c r="AF15" s="40">
        <v>359</v>
      </c>
      <c r="AG15" s="40">
        <v>359</v>
      </c>
      <c r="AH15" s="40">
        <v>359</v>
      </c>
      <c r="AI15" s="40">
        <v>359</v>
      </c>
    </row>
    <row r="16" spans="1:67" s="24" customFormat="1" ht="21.75" customHeight="1" thickBot="1" x14ac:dyDescent="0.25">
      <c r="A16" s="73"/>
      <c r="B16" s="41"/>
      <c r="C16" s="75"/>
      <c r="D16" s="42"/>
      <c r="E16" s="42">
        <f t="shared" ref="E16:AI16" si="94">E15-D15</f>
        <v>0</v>
      </c>
      <c r="F16" s="42">
        <f t="shared" si="94"/>
        <v>0</v>
      </c>
      <c r="G16" s="42">
        <f t="shared" si="94"/>
        <v>0</v>
      </c>
      <c r="H16" s="42">
        <f t="shared" si="94"/>
        <v>0</v>
      </c>
      <c r="I16" s="42">
        <f t="shared" si="94"/>
        <v>0</v>
      </c>
      <c r="J16" s="42">
        <f t="shared" si="94"/>
        <v>0</v>
      </c>
      <c r="K16" s="42">
        <f t="shared" si="94"/>
        <v>0</v>
      </c>
      <c r="L16" s="42">
        <f t="shared" si="94"/>
        <v>0</v>
      </c>
      <c r="M16" s="42">
        <f t="shared" si="94"/>
        <v>0</v>
      </c>
      <c r="N16" s="42">
        <f t="shared" si="94"/>
        <v>0</v>
      </c>
      <c r="O16" s="42">
        <f t="shared" si="94"/>
        <v>0</v>
      </c>
      <c r="P16" s="42">
        <f t="shared" si="94"/>
        <v>0</v>
      </c>
      <c r="Q16" s="42">
        <f t="shared" si="94"/>
        <v>0</v>
      </c>
      <c r="R16" s="42">
        <f t="shared" si="94"/>
        <v>0</v>
      </c>
      <c r="S16" s="42">
        <f t="shared" si="94"/>
        <v>1</v>
      </c>
      <c r="T16" s="42">
        <f t="shared" si="94"/>
        <v>0</v>
      </c>
      <c r="U16" s="42">
        <f t="shared" si="94"/>
        <v>0</v>
      </c>
      <c r="V16" s="42">
        <f t="shared" si="94"/>
        <v>1</v>
      </c>
      <c r="W16" s="42">
        <f t="shared" si="94"/>
        <v>0</v>
      </c>
      <c r="X16" s="42">
        <f t="shared" si="94"/>
        <v>0</v>
      </c>
      <c r="Y16" s="42">
        <f t="shared" si="94"/>
        <v>0</v>
      </c>
      <c r="Z16" s="42">
        <f t="shared" si="94"/>
        <v>0</v>
      </c>
      <c r="AA16" s="42">
        <f t="shared" si="94"/>
        <v>0</v>
      </c>
      <c r="AB16" s="42">
        <f t="shared" si="94"/>
        <v>0</v>
      </c>
      <c r="AC16" s="42">
        <f t="shared" si="94"/>
        <v>0</v>
      </c>
      <c r="AD16" s="42">
        <f t="shared" si="94"/>
        <v>0</v>
      </c>
      <c r="AE16" s="42">
        <f t="shared" si="94"/>
        <v>0</v>
      </c>
      <c r="AF16" s="42">
        <f t="shared" si="94"/>
        <v>0</v>
      </c>
      <c r="AG16" s="42">
        <f t="shared" si="94"/>
        <v>0</v>
      </c>
      <c r="AH16" s="42">
        <f t="shared" si="94"/>
        <v>0</v>
      </c>
      <c r="AI16" s="42">
        <f t="shared" si="94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2">
        <v>13</v>
      </c>
      <c r="B17" s="39" t="s">
        <v>29</v>
      </c>
      <c r="C17" s="74" t="s">
        <v>30</v>
      </c>
      <c r="D17" s="40">
        <v>1187592</v>
      </c>
      <c r="E17" s="40">
        <v>1187859</v>
      </c>
      <c r="F17" s="40">
        <v>1188133</v>
      </c>
      <c r="G17" s="40">
        <v>1188394</v>
      </c>
      <c r="H17" s="40">
        <v>1188657</v>
      </c>
      <c r="I17" s="40">
        <v>1188940</v>
      </c>
      <c r="J17" s="40">
        <v>1189225</v>
      </c>
      <c r="K17" s="40">
        <v>1189495</v>
      </c>
      <c r="L17" s="40">
        <v>1189767</v>
      </c>
      <c r="M17" s="40">
        <v>1190040</v>
      </c>
      <c r="N17" s="40">
        <v>1190313</v>
      </c>
      <c r="O17" s="40">
        <v>1190582</v>
      </c>
      <c r="P17" s="40">
        <v>1190859</v>
      </c>
      <c r="Q17" s="40">
        <v>1191163</v>
      </c>
      <c r="R17" s="40">
        <v>1191424</v>
      </c>
      <c r="S17" s="40">
        <v>1191695</v>
      </c>
      <c r="T17" s="40">
        <v>1191968</v>
      </c>
      <c r="U17" s="40">
        <v>1192241</v>
      </c>
      <c r="V17" s="40">
        <v>1192523</v>
      </c>
      <c r="W17" s="40">
        <v>1192784</v>
      </c>
      <c r="X17" s="40">
        <v>1193045</v>
      </c>
      <c r="Y17" s="40">
        <v>1193308</v>
      </c>
      <c r="Z17" s="40">
        <v>1193533</v>
      </c>
      <c r="AA17" s="40">
        <v>1193784</v>
      </c>
      <c r="AB17" s="40">
        <v>1194054</v>
      </c>
      <c r="AC17" s="40">
        <v>1194274</v>
      </c>
      <c r="AD17" s="40">
        <v>1194514</v>
      </c>
      <c r="AE17" s="40">
        <v>1194745</v>
      </c>
      <c r="AF17" s="40">
        <v>1194977</v>
      </c>
      <c r="AG17" s="40">
        <v>1195220</v>
      </c>
      <c r="AH17" s="40">
        <v>1195445</v>
      </c>
      <c r="AI17" s="40">
        <v>1195669</v>
      </c>
    </row>
    <row r="18" spans="1:35" ht="21.75" customHeight="1" thickBot="1" x14ac:dyDescent="0.25">
      <c r="A18" s="80"/>
      <c r="B18" s="43"/>
      <c r="C18" s="81"/>
      <c r="D18" s="42"/>
      <c r="E18" s="42">
        <f t="shared" ref="E18:AI18" si="95">E17-D17</f>
        <v>267</v>
      </c>
      <c r="F18" s="42">
        <f t="shared" si="95"/>
        <v>274</v>
      </c>
      <c r="G18" s="42">
        <f t="shared" si="95"/>
        <v>261</v>
      </c>
      <c r="H18" s="42">
        <f t="shared" si="95"/>
        <v>263</v>
      </c>
      <c r="I18" s="42">
        <f t="shared" si="95"/>
        <v>283</v>
      </c>
      <c r="J18" s="42">
        <f t="shared" si="95"/>
        <v>285</v>
      </c>
      <c r="K18" s="42">
        <f t="shared" si="95"/>
        <v>270</v>
      </c>
      <c r="L18" s="42">
        <f t="shared" si="95"/>
        <v>272</v>
      </c>
      <c r="M18" s="42">
        <f t="shared" si="95"/>
        <v>273</v>
      </c>
      <c r="N18" s="42">
        <f t="shared" si="95"/>
        <v>273</v>
      </c>
      <c r="O18" s="42">
        <f t="shared" si="95"/>
        <v>269</v>
      </c>
      <c r="P18" s="42">
        <f t="shared" si="95"/>
        <v>277</v>
      </c>
      <c r="Q18" s="42">
        <f t="shared" si="95"/>
        <v>304</v>
      </c>
      <c r="R18" s="42">
        <f t="shared" si="95"/>
        <v>261</v>
      </c>
      <c r="S18" s="42">
        <f t="shared" si="95"/>
        <v>271</v>
      </c>
      <c r="T18" s="42">
        <f t="shared" si="95"/>
        <v>273</v>
      </c>
      <c r="U18" s="42">
        <f t="shared" si="95"/>
        <v>273</v>
      </c>
      <c r="V18" s="42">
        <f t="shared" si="95"/>
        <v>282</v>
      </c>
      <c r="W18" s="42">
        <f t="shared" si="95"/>
        <v>261</v>
      </c>
      <c r="X18" s="42">
        <f t="shared" si="95"/>
        <v>261</v>
      </c>
      <c r="Y18" s="42">
        <f t="shared" si="95"/>
        <v>263</v>
      </c>
      <c r="Z18" s="42">
        <f t="shared" si="95"/>
        <v>225</v>
      </c>
      <c r="AA18" s="42">
        <f t="shared" si="95"/>
        <v>251</v>
      </c>
      <c r="AB18" s="42">
        <f t="shared" si="95"/>
        <v>270</v>
      </c>
      <c r="AC18" s="42">
        <f t="shared" si="95"/>
        <v>220</v>
      </c>
      <c r="AD18" s="42">
        <f t="shared" si="95"/>
        <v>240</v>
      </c>
      <c r="AE18" s="42">
        <f t="shared" si="95"/>
        <v>231</v>
      </c>
      <c r="AF18" s="42">
        <f t="shared" si="95"/>
        <v>232</v>
      </c>
      <c r="AG18" s="42">
        <f t="shared" si="95"/>
        <v>243</v>
      </c>
      <c r="AH18" s="42">
        <f t="shared" si="95"/>
        <v>225</v>
      </c>
      <c r="AI18" s="42">
        <f t="shared" si="95"/>
        <v>224</v>
      </c>
    </row>
    <row r="19" spans="1:35" ht="21.75" customHeight="1" x14ac:dyDescent="0.2">
      <c r="A19" s="82">
        <v>14</v>
      </c>
      <c r="B19" s="39" t="s">
        <v>31</v>
      </c>
      <c r="C19" s="74" t="s">
        <v>32</v>
      </c>
      <c r="D19" s="40">
        <v>340853</v>
      </c>
      <c r="E19" s="40">
        <v>340890</v>
      </c>
      <c r="F19" s="40">
        <v>340923</v>
      </c>
      <c r="G19" s="40">
        <v>340959</v>
      </c>
      <c r="H19" s="40">
        <v>340994</v>
      </c>
      <c r="I19" s="40">
        <v>341028</v>
      </c>
      <c r="J19" s="40">
        <v>341063</v>
      </c>
      <c r="K19" s="40">
        <v>341101</v>
      </c>
      <c r="L19" s="40">
        <v>341138</v>
      </c>
      <c r="M19" s="40">
        <v>341175</v>
      </c>
      <c r="N19" s="40">
        <v>341210</v>
      </c>
      <c r="O19" s="40">
        <v>341245</v>
      </c>
      <c r="P19" s="40">
        <v>341285</v>
      </c>
      <c r="Q19" s="40">
        <v>341325</v>
      </c>
      <c r="R19" s="40">
        <v>341364</v>
      </c>
      <c r="S19" s="40">
        <v>341401</v>
      </c>
      <c r="T19" s="40">
        <v>341440</v>
      </c>
      <c r="U19" s="40">
        <v>341477</v>
      </c>
      <c r="V19" s="40">
        <v>341513</v>
      </c>
      <c r="W19" s="40">
        <v>341551</v>
      </c>
      <c r="X19" s="40">
        <v>341589</v>
      </c>
      <c r="Y19" s="40">
        <v>341627</v>
      </c>
      <c r="Z19" s="40">
        <v>341666</v>
      </c>
      <c r="AA19" s="40">
        <v>341701</v>
      </c>
      <c r="AB19" s="40">
        <v>341737</v>
      </c>
      <c r="AC19" s="40">
        <v>341769</v>
      </c>
      <c r="AD19" s="40">
        <v>341801</v>
      </c>
      <c r="AE19" s="40">
        <v>341839</v>
      </c>
      <c r="AF19" s="40">
        <v>341872</v>
      </c>
      <c r="AG19" s="40">
        <v>341907</v>
      </c>
      <c r="AH19" s="40">
        <v>341938</v>
      </c>
      <c r="AI19" s="40">
        <v>341970</v>
      </c>
    </row>
    <row r="20" spans="1:35" ht="21.75" customHeight="1" thickBot="1" x14ac:dyDescent="0.25">
      <c r="A20" s="77"/>
      <c r="B20" s="43"/>
      <c r="C20" s="81"/>
      <c r="D20" s="42"/>
      <c r="E20" s="42">
        <f t="shared" ref="E20:AI20" si="96">E19-D19</f>
        <v>37</v>
      </c>
      <c r="F20" s="42">
        <f t="shared" si="96"/>
        <v>33</v>
      </c>
      <c r="G20" s="42">
        <f t="shared" si="96"/>
        <v>36</v>
      </c>
      <c r="H20" s="42">
        <f t="shared" si="96"/>
        <v>35</v>
      </c>
      <c r="I20" s="42">
        <f t="shared" si="96"/>
        <v>34</v>
      </c>
      <c r="J20" s="42">
        <f t="shared" si="96"/>
        <v>35</v>
      </c>
      <c r="K20" s="42">
        <f t="shared" si="96"/>
        <v>38</v>
      </c>
      <c r="L20" s="42">
        <f t="shared" si="96"/>
        <v>37</v>
      </c>
      <c r="M20" s="42">
        <f t="shared" si="96"/>
        <v>37</v>
      </c>
      <c r="N20" s="42">
        <f t="shared" si="96"/>
        <v>35</v>
      </c>
      <c r="O20" s="42">
        <f t="shared" si="96"/>
        <v>35</v>
      </c>
      <c r="P20" s="42">
        <f t="shared" si="96"/>
        <v>40</v>
      </c>
      <c r="Q20" s="42">
        <f t="shared" si="96"/>
        <v>40</v>
      </c>
      <c r="R20" s="42">
        <f t="shared" si="96"/>
        <v>39</v>
      </c>
      <c r="S20" s="42">
        <f t="shared" si="96"/>
        <v>37</v>
      </c>
      <c r="T20" s="42">
        <f t="shared" si="96"/>
        <v>39</v>
      </c>
      <c r="U20" s="42">
        <f t="shared" si="96"/>
        <v>37</v>
      </c>
      <c r="V20" s="42">
        <f t="shared" si="96"/>
        <v>36</v>
      </c>
      <c r="W20" s="42">
        <f t="shared" si="96"/>
        <v>38</v>
      </c>
      <c r="X20" s="42">
        <f t="shared" si="96"/>
        <v>38</v>
      </c>
      <c r="Y20" s="42">
        <f t="shared" si="96"/>
        <v>38</v>
      </c>
      <c r="Z20" s="42">
        <f t="shared" si="96"/>
        <v>39</v>
      </c>
      <c r="AA20" s="42">
        <f t="shared" si="96"/>
        <v>35</v>
      </c>
      <c r="AB20" s="42">
        <f t="shared" si="96"/>
        <v>36</v>
      </c>
      <c r="AC20" s="42">
        <f t="shared" si="96"/>
        <v>32</v>
      </c>
      <c r="AD20" s="42">
        <f t="shared" si="96"/>
        <v>32</v>
      </c>
      <c r="AE20" s="42">
        <f t="shared" si="96"/>
        <v>38</v>
      </c>
      <c r="AF20" s="42">
        <f t="shared" si="96"/>
        <v>33</v>
      </c>
      <c r="AG20" s="42">
        <f t="shared" si="96"/>
        <v>35</v>
      </c>
      <c r="AH20" s="42">
        <f t="shared" si="96"/>
        <v>31</v>
      </c>
      <c r="AI20" s="42">
        <f t="shared" si="96"/>
        <v>32</v>
      </c>
    </row>
    <row r="21" spans="1:35" ht="27" customHeight="1" x14ac:dyDescent="0.3">
      <c r="B21" s="83" t="s">
        <v>33</v>
      </c>
      <c r="C21" s="83"/>
      <c r="D21" s="44"/>
      <c r="E21" s="45">
        <f>((E6+E8)+((E10+E12)*40%)+(E14+E16+E18+E20))</f>
        <v>28504</v>
      </c>
      <c r="F21" s="45">
        <f t="shared" ref="F21:AI21" si="97">((F6+F8)+((F10+F12)*40%)+(F14+F16+F18+F20))</f>
        <v>28907</v>
      </c>
      <c r="G21" s="45">
        <f t="shared" si="97"/>
        <v>30297</v>
      </c>
      <c r="H21" s="45">
        <f t="shared" si="97"/>
        <v>30498</v>
      </c>
      <c r="I21" s="45">
        <f t="shared" si="97"/>
        <v>30317</v>
      </c>
      <c r="J21" s="45">
        <f t="shared" si="97"/>
        <v>28920</v>
      </c>
      <c r="K21" s="45">
        <f t="shared" si="97"/>
        <v>31708</v>
      </c>
      <c r="L21" s="45">
        <f t="shared" si="97"/>
        <v>32509</v>
      </c>
      <c r="M21" s="45">
        <f t="shared" si="97"/>
        <v>30510</v>
      </c>
      <c r="N21" s="45">
        <f t="shared" si="97"/>
        <v>33308</v>
      </c>
      <c r="O21" s="45">
        <f t="shared" si="97"/>
        <v>31704</v>
      </c>
      <c r="P21" s="45">
        <f t="shared" si="97"/>
        <v>32317</v>
      </c>
      <c r="Q21" s="45">
        <f t="shared" si="97"/>
        <v>34544</v>
      </c>
      <c r="R21" s="45">
        <f t="shared" si="97"/>
        <v>33457</v>
      </c>
      <c r="S21" s="45">
        <f t="shared" si="97"/>
        <v>33909</v>
      </c>
      <c r="T21" s="45">
        <f t="shared" si="97"/>
        <v>35912</v>
      </c>
      <c r="U21" s="45">
        <f t="shared" si="97"/>
        <v>31510</v>
      </c>
      <c r="V21" s="45">
        <f t="shared" si="97"/>
        <v>32722</v>
      </c>
      <c r="W21" s="45">
        <f t="shared" si="97"/>
        <v>30299</v>
      </c>
      <c r="X21" s="45">
        <f t="shared" si="97"/>
        <v>31099</v>
      </c>
      <c r="Y21" s="45">
        <f t="shared" si="97"/>
        <v>30701</v>
      </c>
      <c r="Z21" s="45">
        <f t="shared" si="97"/>
        <v>32264</v>
      </c>
      <c r="AA21" s="45">
        <f t="shared" si="97"/>
        <v>32886</v>
      </c>
      <c r="AB21" s="45">
        <f t="shared" si="97"/>
        <v>32706</v>
      </c>
      <c r="AC21" s="45">
        <f t="shared" si="97"/>
        <v>33452</v>
      </c>
      <c r="AD21" s="45">
        <f t="shared" si="97"/>
        <v>35272</v>
      </c>
      <c r="AE21" s="45">
        <f t="shared" si="97"/>
        <v>32269</v>
      </c>
      <c r="AF21" s="45">
        <f t="shared" si="97"/>
        <v>32065</v>
      </c>
      <c r="AG21" s="45">
        <f t="shared" si="97"/>
        <v>29678</v>
      </c>
      <c r="AH21" s="45">
        <f t="shared" si="97"/>
        <v>31856</v>
      </c>
      <c r="AI21" s="45">
        <f t="shared" si="97"/>
        <v>31056</v>
      </c>
    </row>
    <row r="22" spans="1:35" ht="27" customHeight="1" x14ac:dyDescent="0.3">
      <c r="B22" s="79" t="s">
        <v>34</v>
      </c>
      <c r="C22" s="79"/>
      <c r="D22" s="44"/>
      <c r="E22" s="59">
        <f>SUM(E21:AI21)</f>
        <v>987156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E15" sqref="E15:AI15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8" t="s">
        <v>86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</row>
    <row r="3" spans="1:42" s="8" customFormat="1" ht="30" customHeight="1" thickBot="1" x14ac:dyDescent="0.3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</row>
    <row r="4" spans="1:42" s="30" customFormat="1" ht="57.75" customHeight="1" thickBot="1" x14ac:dyDescent="0.3">
      <c r="A4" s="15" t="s">
        <v>13</v>
      </c>
      <c r="B4" s="27" t="s">
        <v>39</v>
      </c>
      <c r="C4" s="27" t="s">
        <v>15</v>
      </c>
      <c r="D4" s="28" t="s">
        <v>36</v>
      </c>
      <c r="E4" s="29" t="s">
        <v>40</v>
      </c>
      <c r="F4" s="29" t="s">
        <v>41</v>
      </c>
      <c r="G4" s="29" t="s">
        <v>42</v>
      </c>
      <c r="H4" s="29" t="s">
        <v>43</v>
      </c>
      <c r="I4" s="29" t="s">
        <v>44</v>
      </c>
      <c r="J4" s="29" t="s">
        <v>45</v>
      </c>
      <c r="K4" s="29" t="s">
        <v>46</v>
      </c>
      <c r="L4" s="29" t="s">
        <v>47</v>
      </c>
      <c r="M4" s="29" t="s">
        <v>48</v>
      </c>
      <c r="N4" s="29" t="s">
        <v>49</v>
      </c>
      <c r="O4" s="29" t="s">
        <v>50</v>
      </c>
      <c r="P4" s="29" t="s">
        <v>51</v>
      </c>
      <c r="Q4" s="29" t="s">
        <v>52</v>
      </c>
      <c r="R4" s="29" t="s">
        <v>53</v>
      </c>
      <c r="S4" s="29" t="s">
        <v>54</v>
      </c>
      <c r="T4" s="29" t="s">
        <v>55</v>
      </c>
      <c r="U4" s="29" t="s">
        <v>56</v>
      </c>
      <c r="V4" s="29" t="s">
        <v>57</v>
      </c>
      <c r="W4" s="29" t="s">
        <v>58</v>
      </c>
      <c r="X4" s="29" t="s">
        <v>59</v>
      </c>
      <c r="Y4" s="29" t="s">
        <v>60</v>
      </c>
      <c r="Z4" s="29" t="s">
        <v>61</v>
      </c>
      <c r="AA4" s="29" t="s">
        <v>62</v>
      </c>
      <c r="AB4" s="29" t="s">
        <v>63</v>
      </c>
      <c r="AC4" s="29" t="s">
        <v>64</v>
      </c>
      <c r="AD4" s="29" t="s">
        <v>65</v>
      </c>
      <c r="AE4" s="29" t="s">
        <v>66</v>
      </c>
      <c r="AF4" s="29" t="s">
        <v>67</v>
      </c>
      <c r="AG4" s="29" t="s">
        <v>68</v>
      </c>
      <c r="AH4" s="29" t="s">
        <v>69</v>
      </c>
      <c r="AI4" s="29" t="s">
        <v>70</v>
      </c>
    </row>
    <row r="5" spans="1:42" s="8" customFormat="1" ht="40.5" customHeight="1" thickBot="1" x14ac:dyDescent="0.3">
      <c r="A5" s="91" t="s">
        <v>40</v>
      </c>
      <c r="B5" s="27" t="s">
        <v>71</v>
      </c>
      <c r="C5" s="93" t="s">
        <v>72</v>
      </c>
      <c r="D5" s="31">
        <v>296094.90000000002</v>
      </c>
      <c r="E5" s="31">
        <v>296300.7</v>
      </c>
      <c r="F5" s="31">
        <v>296509.3</v>
      </c>
      <c r="G5" s="31">
        <v>296741.8</v>
      </c>
      <c r="H5" s="31">
        <v>296984.8</v>
      </c>
      <c r="I5" s="31">
        <v>297214</v>
      </c>
      <c r="J5" s="31">
        <v>297410.5</v>
      </c>
      <c r="K5" s="31">
        <v>297616.40000000002</v>
      </c>
      <c r="L5" s="31">
        <v>297825.40000000002</v>
      </c>
      <c r="M5" s="31">
        <v>298030.5</v>
      </c>
      <c r="N5" s="31">
        <v>298247.2</v>
      </c>
      <c r="O5" s="31">
        <v>298444.40000000002</v>
      </c>
      <c r="P5" s="31">
        <v>298630</v>
      </c>
      <c r="Q5" s="31">
        <v>298823.8</v>
      </c>
      <c r="R5" s="31">
        <v>299010.40000000002</v>
      </c>
      <c r="S5" s="31">
        <v>299192</v>
      </c>
      <c r="T5" s="31">
        <v>299421.3</v>
      </c>
      <c r="U5" s="31">
        <v>299623.3</v>
      </c>
      <c r="V5" s="31">
        <v>299853.90000000002</v>
      </c>
      <c r="W5" s="31">
        <v>300044.7</v>
      </c>
      <c r="X5" s="31">
        <v>300232.40000000002</v>
      </c>
      <c r="Y5" s="31">
        <v>300416.59999999998</v>
      </c>
      <c r="Z5" s="31">
        <v>300591.3</v>
      </c>
      <c r="AA5" s="31">
        <v>300777.7</v>
      </c>
      <c r="AB5" s="31">
        <v>300966.7</v>
      </c>
      <c r="AC5" s="31">
        <v>301163.40000000002</v>
      </c>
      <c r="AD5" s="31">
        <v>301403.2</v>
      </c>
      <c r="AE5" s="31">
        <v>301630.90000000002</v>
      </c>
      <c r="AF5" s="31">
        <v>301851.90000000002</v>
      </c>
      <c r="AG5" s="31">
        <v>302048.3</v>
      </c>
      <c r="AH5" s="31">
        <v>302240.09999999998</v>
      </c>
      <c r="AI5" s="31">
        <v>302431</v>
      </c>
    </row>
    <row r="6" spans="1:42" s="34" customFormat="1" ht="25.7" customHeight="1" thickBot="1" x14ac:dyDescent="0.3">
      <c r="A6" s="92"/>
      <c r="B6" s="32"/>
      <c r="C6" s="93"/>
      <c r="D6" s="33"/>
      <c r="E6" s="33">
        <f t="shared" ref="E6:AI6" si="0">E5-D5</f>
        <v>205.79999999998836</v>
      </c>
      <c r="F6" s="33">
        <f t="shared" si="0"/>
        <v>208.59999999997672</v>
      </c>
      <c r="G6" s="33">
        <f t="shared" si="0"/>
        <v>232.5</v>
      </c>
      <c r="H6" s="33">
        <f t="shared" si="0"/>
        <v>243</v>
      </c>
      <c r="I6" s="33">
        <f t="shared" si="0"/>
        <v>229.20000000001164</v>
      </c>
      <c r="J6" s="33">
        <f t="shared" si="0"/>
        <v>196.5</v>
      </c>
      <c r="K6" s="33">
        <f t="shared" si="0"/>
        <v>205.90000000002328</v>
      </c>
      <c r="L6" s="33">
        <f t="shared" si="0"/>
        <v>209</v>
      </c>
      <c r="M6" s="33">
        <f t="shared" si="0"/>
        <v>205.09999999997672</v>
      </c>
      <c r="N6" s="33">
        <f t="shared" si="0"/>
        <v>216.70000000001164</v>
      </c>
      <c r="O6" s="33">
        <f t="shared" si="0"/>
        <v>197.20000000001164</v>
      </c>
      <c r="P6" s="33">
        <f t="shared" si="0"/>
        <v>185.59999999997672</v>
      </c>
      <c r="Q6" s="33">
        <f t="shared" si="0"/>
        <v>193.79999999998836</v>
      </c>
      <c r="R6" s="33">
        <f t="shared" si="0"/>
        <v>186.60000000003492</v>
      </c>
      <c r="S6" s="33">
        <f t="shared" si="0"/>
        <v>181.59999999997672</v>
      </c>
      <c r="T6" s="33">
        <f t="shared" si="0"/>
        <v>229.29999999998836</v>
      </c>
      <c r="U6" s="33">
        <f t="shared" si="0"/>
        <v>202</v>
      </c>
      <c r="V6" s="33">
        <f t="shared" si="0"/>
        <v>230.60000000003492</v>
      </c>
      <c r="W6" s="33">
        <f t="shared" si="0"/>
        <v>190.79999999998836</v>
      </c>
      <c r="X6" s="33">
        <f t="shared" si="0"/>
        <v>187.70000000001164</v>
      </c>
      <c r="Y6" s="33">
        <f t="shared" si="0"/>
        <v>184.19999999995343</v>
      </c>
      <c r="Z6" s="33">
        <f t="shared" si="0"/>
        <v>174.70000000001164</v>
      </c>
      <c r="AA6" s="33">
        <f t="shared" si="0"/>
        <v>186.40000000002328</v>
      </c>
      <c r="AB6" s="33">
        <f t="shared" si="0"/>
        <v>189</v>
      </c>
      <c r="AC6" s="33">
        <f t="shared" si="0"/>
        <v>196.70000000001164</v>
      </c>
      <c r="AD6" s="33">
        <f t="shared" si="0"/>
        <v>239.79999999998836</v>
      </c>
      <c r="AE6" s="33">
        <f t="shared" si="0"/>
        <v>227.70000000001164</v>
      </c>
      <c r="AF6" s="33">
        <f t="shared" si="0"/>
        <v>221</v>
      </c>
      <c r="AG6" s="33">
        <f t="shared" si="0"/>
        <v>196.39999999996508</v>
      </c>
      <c r="AH6" s="33">
        <f t="shared" si="0"/>
        <v>191.79999999998836</v>
      </c>
      <c r="AI6" s="33">
        <f t="shared" si="0"/>
        <v>190.90000000002328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1" t="s">
        <v>42</v>
      </c>
      <c r="B7" s="49" t="s">
        <v>73</v>
      </c>
      <c r="C7" s="93" t="s">
        <v>74</v>
      </c>
      <c r="D7" s="31">
        <v>339476.8</v>
      </c>
      <c r="E7" s="31">
        <v>339626</v>
      </c>
      <c r="F7" s="31">
        <v>339747.5</v>
      </c>
      <c r="G7" s="31">
        <v>339943.8</v>
      </c>
      <c r="H7" s="31">
        <v>340075.5</v>
      </c>
      <c r="I7" s="31">
        <v>340264.9</v>
      </c>
      <c r="J7" s="31">
        <v>340369.2</v>
      </c>
      <c r="K7" s="31">
        <v>340603.3</v>
      </c>
      <c r="L7" s="31">
        <v>340760.7</v>
      </c>
      <c r="M7" s="31">
        <v>340990.6</v>
      </c>
      <c r="N7" s="31">
        <v>341241.3</v>
      </c>
      <c r="O7" s="31">
        <v>341418.7</v>
      </c>
      <c r="P7" s="31">
        <v>341707.4</v>
      </c>
      <c r="Q7" s="31">
        <v>341959.1</v>
      </c>
      <c r="R7" s="31">
        <v>342231.5</v>
      </c>
      <c r="S7" s="31">
        <v>342518.4</v>
      </c>
      <c r="T7" s="31">
        <v>342751.2</v>
      </c>
      <c r="U7" s="31">
        <v>343011.5</v>
      </c>
      <c r="V7" s="31">
        <v>343166</v>
      </c>
      <c r="W7" s="31">
        <v>343353.4</v>
      </c>
      <c r="X7" s="31">
        <v>343486.9</v>
      </c>
      <c r="Y7" s="31">
        <v>343711.9</v>
      </c>
      <c r="Z7" s="31">
        <v>343845.1</v>
      </c>
      <c r="AA7" s="31">
        <v>344014.5</v>
      </c>
      <c r="AB7" s="31">
        <v>344277.6</v>
      </c>
      <c r="AC7" s="31">
        <v>344457.6</v>
      </c>
      <c r="AD7" s="31">
        <v>344712.9</v>
      </c>
      <c r="AE7" s="31">
        <v>344887.1</v>
      </c>
      <c r="AF7" s="31">
        <v>345141.2</v>
      </c>
      <c r="AG7" s="31">
        <v>345287.1</v>
      </c>
      <c r="AH7" s="31">
        <v>345508</v>
      </c>
      <c r="AI7" s="31">
        <v>345731.2</v>
      </c>
    </row>
    <row r="8" spans="1:42" s="34" customFormat="1" ht="25.7" customHeight="1" thickBot="1" x14ac:dyDescent="0.3">
      <c r="A8" s="92"/>
      <c r="B8" s="47"/>
      <c r="C8" s="93"/>
      <c r="D8" s="33"/>
      <c r="E8" s="33">
        <f t="shared" ref="E8:AI8" si="1">E7-D7</f>
        <v>149.20000000001164</v>
      </c>
      <c r="F8" s="33">
        <f t="shared" si="1"/>
        <v>121.5</v>
      </c>
      <c r="G8" s="33">
        <f t="shared" si="1"/>
        <v>196.29999999998836</v>
      </c>
      <c r="H8" s="33">
        <f t="shared" si="1"/>
        <v>131.70000000001164</v>
      </c>
      <c r="I8" s="33">
        <f t="shared" si="1"/>
        <v>189.40000000002328</v>
      </c>
      <c r="J8" s="33">
        <f t="shared" si="1"/>
        <v>104.29999999998836</v>
      </c>
      <c r="K8" s="33">
        <f t="shared" si="1"/>
        <v>234.09999999997672</v>
      </c>
      <c r="L8" s="33">
        <f t="shared" si="1"/>
        <v>157.40000000002328</v>
      </c>
      <c r="M8" s="33">
        <f t="shared" si="1"/>
        <v>229.89999999996508</v>
      </c>
      <c r="N8" s="33">
        <f t="shared" si="1"/>
        <v>250.70000000001164</v>
      </c>
      <c r="O8" s="33">
        <f t="shared" si="1"/>
        <v>177.40000000002328</v>
      </c>
      <c r="P8" s="33">
        <f t="shared" si="1"/>
        <v>288.70000000001164</v>
      </c>
      <c r="Q8" s="33">
        <f t="shared" si="1"/>
        <v>251.69999999995343</v>
      </c>
      <c r="R8" s="33">
        <f t="shared" si="1"/>
        <v>272.40000000002328</v>
      </c>
      <c r="S8" s="33">
        <f t="shared" si="1"/>
        <v>286.90000000002328</v>
      </c>
      <c r="T8" s="33">
        <f t="shared" si="1"/>
        <v>232.79999999998836</v>
      </c>
      <c r="U8" s="33">
        <f t="shared" si="1"/>
        <v>260.29999999998836</v>
      </c>
      <c r="V8" s="33">
        <f t="shared" si="1"/>
        <v>154.5</v>
      </c>
      <c r="W8" s="33">
        <f t="shared" si="1"/>
        <v>187.40000000002328</v>
      </c>
      <c r="X8" s="33">
        <f t="shared" si="1"/>
        <v>133.5</v>
      </c>
      <c r="Y8" s="33">
        <f t="shared" si="1"/>
        <v>225</v>
      </c>
      <c r="Z8" s="33">
        <f t="shared" si="1"/>
        <v>133.19999999995343</v>
      </c>
      <c r="AA8" s="33">
        <f t="shared" si="1"/>
        <v>169.40000000002328</v>
      </c>
      <c r="AB8" s="33">
        <f t="shared" si="1"/>
        <v>263.09999999997672</v>
      </c>
      <c r="AC8" s="33">
        <f t="shared" si="1"/>
        <v>180</v>
      </c>
      <c r="AD8" s="33">
        <f t="shared" si="1"/>
        <v>255.30000000004657</v>
      </c>
      <c r="AE8" s="33">
        <f t="shared" si="1"/>
        <v>174.19999999995343</v>
      </c>
      <c r="AF8" s="33">
        <f t="shared" si="1"/>
        <v>254.10000000003492</v>
      </c>
      <c r="AG8" s="33">
        <f t="shared" si="1"/>
        <v>145.89999999996508</v>
      </c>
      <c r="AH8" s="33">
        <f t="shared" si="1"/>
        <v>220.90000000002328</v>
      </c>
      <c r="AI8" s="33">
        <f t="shared" si="1"/>
        <v>223.20000000001164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1">
        <v>4</v>
      </c>
      <c r="B9" s="46" t="s">
        <v>75</v>
      </c>
      <c r="C9" s="93" t="s">
        <v>76</v>
      </c>
      <c r="D9" s="31">
        <v>5345</v>
      </c>
      <c r="E9" s="31">
        <v>5377</v>
      </c>
      <c r="F9" s="31">
        <v>5395</v>
      </c>
      <c r="G9" s="31">
        <v>5493</v>
      </c>
      <c r="H9" s="31">
        <v>5507</v>
      </c>
      <c r="I9" s="31">
        <v>5582</v>
      </c>
      <c r="J9" s="31">
        <v>5583</v>
      </c>
      <c r="K9" s="31">
        <v>5683</v>
      </c>
      <c r="L9" s="31">
        <v>5702</v>
      </c>
      <c r="M9" s="31">
        <v>5791</v>
      </c>
      <c r="N9" s="31">
        <v>5899</v>
      </c>
      <c r="O9" s="31">
        <v>5911</v>
      </c>
      <c r="P9" s="31">
        <v>5998</v>
      </c>
      <c r="Q9" s="31">
        <v>6048</v>
      </c>
      <c r="R9" s="31">
        <v>6110</v>
      </c>
      <c r="S9" s="31">
        <v>6221</v>
      </c>
      <c r="T9" s="31">
        <v>6253</v>
      </c>
      <c r="U9" s="31">
        <v>6270</v>
      </c>
      <c r="V9" s="31">
        <v>6368</v>
      </c>
      <c r="W9" s="31">
        <v>6467</v>
      </c>
      <c r="X9" s="31">
        <v>6483</v>
      </c>
      <c r="Y9" s="31">
        <v>6574</v>
      </c>
      <c r="Z9" s="31">
        <v>6577</v>
      </c>
      <c r="AA9" s="31">
        <v>6612</v>
      </c>
      <c r="AB9" s="31">
        <v>6730</v>
      </c>
      <c r="AC9" s="31">
        <v>6746</v>
      </c>
      <c r="AD9" s="31">
        <v>6847</v>
      </c>
      <c r="AE9" s="31">
        <v>6876</v>
      </c>
      <c r="AF9" s="31">
        <v>7001</v>
      </c>
      <c r="AG9" s="31">
        <v>7032</v>
      </c>
      <c r="AH9" s="31">
        <v>7140</v>
      </c>
      <c r="AI9" s="31">
        <v>7250</v>
      </c>
    </row>
    <row r="10" spans="1:42" s="34" customFormat="1" ht="25.7" customHeight="1" thickBot="1" x14ac:dyDescent="0.3">
      <c r="A10" s="92"/>
      <c r="B10" s="47"/>
      <c r="C10" s="93"/>
      <c r="D10" s="33"/>
      <c r="E10" s="33">
        <f t="shared" ref="E10:AI10" si="2">E9-D9</f>
        <v>32</v>
      </c>
      <c r="F10" s="33">
        <f t="shared" si="2"/>
        <v>18</v>
      </c>
      <c r="G10" s="33">
        <f t="shared" si="2"/>
        <v>98</v>
      </c>
      <c r="H10" s="33">
        <f t="shared" si="2"/>
        <v>14</v>
      </c>
      <c r="I10" s="33">
        <f t="shared" si="2"/>
        <v>75</v>
      </c>
      <c r="J10" s="33">
        <f t="shared" si="2"/>
        <v>1</v>
      </c>
      <c r="K10" s="33">
        <f t="shared" si="2"/>
        <v>100</v>
      </c>
      <c r="L10" s="33">
        <f t="shared" si="2"/>
        <v>19</v>
      </c>
      <c r="M10" s="33">
        <f t="shared" si="2"/>
        <v>89</v>
      </c>
      <c r="N10" s="33">
        <f t="shared" si="2"/>
        <v>108</v>
      </c>
      <c r="O10" s="33">
        <f t="shared" si="2"/>
        <v>12</v>
      </c>
      <c r="P10" s="33">
        <f t="shared" si="2"/>
        <v>87</v>
      </c>
      <c r="Q10" s="33">
        <f t="shared" si="2"/>
        <v>50</v>
      </c>
      <c r="R10" s="33">
        <f t="shared" si="2"/>
        <v>62</v>
      </c>
      <c r="S10" s="33">
        <f t="shared" si="2"/>
        <v>111</v>
      </c>
      <c r="T10" s="33">
        <f t="shared" si="2"/>
        <v>32</v>
      </c>
      <c r="U10" s="33">
        <f t="shared" si="2"/>
        <v>17</v>
      </c>
      <c r="V10" s="33">
        <f t="shared" si="2"/>
        <v>98</v>
      </c>
      <c r="W10" s="33">
        <f t="shared" si="2"/>
        <v>99</v>
      </c>
      <c r="X10" s="33">
        <f t="shared" si="2"/>
        <v>16</v>
      </c>
      <c r="Y10" s="33">
        <f t="shared" si="2"/>
        <v>91</v>
      </c>
      <c r="Z10" s="33">
        <f t="shared" si="2"/>
        <v>3</v>
      </c>
      <c r="AA10" s="33">
        <f t="shared" si="2"/>
        <v>35</v>
      </c>
      <c r="AB10" s="33">
        <f t="shared" si="2"/>
        <v>118</v>
      </c>
      <c r="AC10" s="33">
        <f t="shared" si="2"/>
        <v>16</v>
      </c>
      <c r="AD10" s="33">
        <f t="shared" si="2"/>
        <v>101</v>
      </c>
      <c r="AE10" s="33">
        <f t="shared" si="2"/>
        <v>29</v>
      </c>
      <c r="AF10" s="33">
        <f t="shared" si="2"/>
        <v>125</v>
      </c>
      <c r="AG10" s="33">
        <f t="shared" si="2"/>
        <v>31</v>
      </c>
      <c r="AH10" s="33">
        <f t="shared" si="2"/>
        <v>108</v>
      </c>
      <c r="AI10" s="33">
        <f t="shared" si="2"/>
        <v>110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4">
        <v>5</v>
      </c>
      <c r="B11" s="27">
        <v>68864837</v>
      </c>
      <c r="C11" s="93" t="s">
        <v>77</v>
      </c>
      <c r="D11" s="31">
        <v>483.09</v>
      </c>
      <c r="E11" s="31">
        <v>484.10899999999998</v>
      </c>
      <c r="F11" s="31">
        <v>485.00299999999999</v>
      </c>
      <c r="G11" s="31">
        <v>486.22800000000001</v>
      </c>
      <c r="H11" s="31">
        <v>488.03699999999998</v>
      </c>
      <c r="I11" s="31">
        <v>488.48700000000002</v>
      </c>
      <c r="J11" s="31">
        <v>489.31799999999998</v>
      </c>
      <c r="K11" s="31">
        <v>490.02600000000001</v>
      </c>
      <c r="L11" s="31">
        <v>490.91500000000002</v>
      </c>
      <c r="M11" s="31">
        <v>492.25400000000002</v>
      </c>
      <c r="N11" s="31">
        <v>492.87900000000002</v>
      </c>
      <c r="O11" s="31">
        <v>493.68400000000003</v>
      </c>
      <c r="P11" s="31">
        <v>495.43299999999999</v>
      </c>
      <c r="Q11" s="31">
        <v>497.23</v>
      </c>
      <c r="R11" s="31">
        <v>497.80900000000003</v>
      </c>
      <c r="S11" s="31">
        <v>499.23700000000002</v>
      </c>
      <c r="T11" s="31">
        <v>499.80799999999999</v>
      </c>
      <c r="U11" s="31">
        <v>500.72199999999998</v>
      </c>
      <c r="V11" s="31">
        <v>501.54700000000003</v>
      </c>
      <c r="W11" s="31">
        <v>501.54899999999998</v>
      </c>
      <c r="X11" s="31">
        <v>503.60399999999998</v>
      </c>
      <c r="Y11" s="31">
        <v>504.32900000000001</v>
      </c>
      <c r="Z11" s="31">
        <v>505.80599999999998</v>
      </c>
      <c r="AA11" s="31">
        <v>506.935</v>
      </c>
      <c r="AB11" s="31">
        <v>507.49400000000003</v>
      </c>
      <c r="AC11" s="31">
        <v>509.89100000000002</v>
      </c>
      <c r="AD11" s="31">
        <v>510.15499999999997</v>
      </c>
      <c r="AE11" s="31">
        <v>511.971</v>
      </c>
      <c r="AF11" s="31">
        <v>514.12699999999995</v>
      </c>
      <c r="AG11" s="31">
        <v>516.74300000000005</v>
      </c>
      <c r="AH11" s="31">
        <v>518.54700000000003</v>
      </c>
      <c r="AI11" s="31">
        <v>520.18899999999996</v>
      </c>
    </row>
    <row r="12" spans="1:42" s="8" customFormat="1" ht="25.7" customHeight="1" thickBot="1" x14ac:dyDescent="0.3">
      <c r="A12" s="95"/>
      <c r="B12" s="48"/>
      <c r="C12" s="93"/>
      <c r="D12" s="33"/>
      <c r="E12" s="33">
        <f t="shared" ref="E12:AI12" si="3">E11-D11</f>
        <v>1.0190000000000055</v>
      </c>
      <c r="F12" s="33">
        <f t="shared" si="3"/>
        <v>0.89400000000000546</v>
      </c>
      <c r="G12" s="33">
        <f t="shared" si="3"/>
        <v>1.2250000000000227</v>
      </c>
      <c r="H12" s="33">
        <f t="shared" si="3"/>
        <v>1.8089999999999691</v>
      </c>
      <c r="I12" s="33">
        <f t="shared" si="3"/>
        <v>0.45000000000004547</v>
      </c>
      <c r="J12" s="33">
        <f t="shared" si="3"/>
        <v>0.83099999999996044</v>
      </c>
      <c r="K12" s="33">
        <f t="shared" si="3"/>
        <v>0.70800000000002683</v>
      </c>
      <c r="L12" s="33">
        <f t="shared" si="3"/>
        <v>0.88900000000001</v>
      </c>
      <c r="M12" s="33">
        <f t="shared" si="3"/>
        <v>1.3389999999999986</v>
      </c>
      <c r="N12" s="33">
        <f t="shared" si="3"/>
        <v>0.625</v>
      </c>
      <c r="O12" s="33">
        <f t="shared" si="3"/>
        <v>0.80500000000000682</v>
      </c>
      <c r="P12" s="33">
        <f t="shared" si="3"/>
        <v>1.7489999999999668</v>
      </c>
      <c r="Q12" s="33">
        <f t="shared" si="3"/>
        <v>1.7970000000000255</v>
      </c>
      <c r="R12" s="33">
        <f t="shared" si="3"/>
        <v>0.57900000000000773</v>
      </c>
      <c r="S12" s="33">
        <f t="shared" si="3"/>
        <v>1.4279999999999973</v>
      </c>
      <c r="T12" s="33">
        <f t="shared" si="3"/>
        <v>0.57099999999996953</v>
      </c>
      <c r="U12" s="33">
        <f t="shared" si="3"/>
        <v>0.91399999999998727</v>
      </c>
      <c r="V12" s="33">
        <f t="shared" si="3"/>
        <v>0.82500000000004547</v>
      </c>
      <c r="W12" s="33">
        <f t="shared" si="3"/>
        <v>1.9999999999527063E-3</v>
      </c>
      <c r="X12" s="33">
        <f t="shared" si="3"/>
        <v>2.0550000000000068</v>
      </c>
      <c r="Y12" s="33">
        <f t="shared" si="3"/>
        <v>0.72500000000002274</v>
      </c>
      <c r="Z12" s="33">
        <f t="shared" si="3"/>
        <v>1.4769999999999754</v>
      </c>
      <c r="AA12" s="33">
        <f t="shared" si="3"/>
        <v>1.1290000000000191</v>
      </c>
      <c r="AB12" s="33">
        <f t="shared" si="3"/>
        <v>0.55900000000002592</v>
      </c>
      <c r="AC12" s="33">
        <f t="shared" si="3"/>
        <v>2.3969999999999914</v>
      </c>
      <c r="AD12" s="33">
        <f t="shared" si="3"/>
        <v>0.26399999999995316</v>
      </c>
      <c r="AE12" s="33">
        <f t="shared" si="3"/>
        <v>1.8160000000000309</v>
      </c>
      <c r="AF12" s="33">
        <f t="shared" si="3"/>
        <v>2.1559999999999491</v>
      </c>
      <c r="AG12" s="33">
        <f t="shared" si="3"/>
        <v>2.6160000000000991</v>
      </c>
      <c r="AH12" s="33">
        <f t="shared" si="3"/>
        <v>1.8039999999999736</v>
      </c>
      <c r="AI12" s="33">
        <f t="shared" si="3"/>
        <v>1.6419999999999391</v>
      </c>
    </row>
    <row r="13" spans="1:42" s="8" customFormat="1" ht="25.7" customHeight="1" thickBot="1" x14ac:dyDescent="0.3">
      <c r="A13" s="94">
        <v>6</v>
      </c>
      <c r="B13" s="27">
        <v>65296485</v>
      </c>
      <c r="C13" s="93" t="s">
        <v>78</v>
      </c>
      <c r="D13" s="31">
        <v>630.86599999999999</v>
      </c>
      <c r="E13" s="31">
        <v>640.78599999999994</v>
      </c>
      <c r="F13" s="31">
        <v>643.84400000000005</v>
      </c>
      <c r="G13" s="31">
        <v>645.86099999999999</v>
      </c>
      <c r="H13" s="31">
        <v>648.68700000000001</v>
      </c>
      <c r="I13" s="31">
        <v>649.13199999999995</v>
      </c>
      <c r="J13" s="31">
        <v>651.16600000000005</v>
      </c>
      <c r="K13" s="31">
        <v>652.12300000000005</v>
      </c>
      <c r="L13" s="31">
        <v>652.976</v>
      </c>
      <c r="M13" s="31">
        <v>655.44799999999998</v>
      </c>
      <c r="N13" s="31">
        <v>655.72400000000005</v>
      </c>
      <c r="O13" s="31">
        <v>656.28899999999999</v>
      </c>
      <c r="P13" s="31">
        <v>658.73299999999995</v>
      </c>
      <c r="Q13" s="31">
        <v>661.327</v>
      </c>
      <c r="R13" s="31">
        <v>662.03099999999995</v>
      </c>
      <c r="S13" s="31">
        <v>663.58799999999997</v>
      </c>
      <c r="T13" s="31">
        <v>664.34699999999998</v>
      </c>
      <c r="U13" s="31">
        <v>667.40800000000002</v>
      </c>
      <c r="V13" s="31">
        <v>668.09</v>
      </c>
      <c r="W13" s="31">
        <v>668.09</v>
      </c>
      <c r="X13" s="31">
        <v>670.23500000000001</v>
      </c>
      <c r="Y13" s="31">
        <v>670.899</v>
      </c>
      <c r="Z13" s="31">
        <v>671.59400000000005</v>
      </c>
      <c r="AA13" s="31">
        <v>674.51700000000005</v>
      </c>
      <c r="AB13" s="31">
        <v>675.27700000000004</v>
      </c>
      <c r="AC13" s="31">
        <v>679.22</v>
      </c>
      <c r="AD13" s="31">
        <v>679.28899999999999</v>
      </c>
      <c r="AE13" s="31">
        <v>684.37400000000002</v>
      </c>
      <c r="AF13" s="31">
        <v>686.98199999999997</v>
      </c>
      <c r="AG13" s="31">
        <v>688.15099999999995</v>
      </c>
      <c r="AH13" s="31">
        <v>690.49300000000005</v>
      </c>
      <c r="AI13" s="31">
        <v>691.9</v>
      </c>
    </row>
    <row r="14" spans="1:42" s="8" customFormat="1" ht="25.7" customHeight="1" thickBot="1" x14ac:dyDescent="0.3">
      <c r="A14" s="95"/>
      <c r="B14" s="48"/>
      <c r="C14" s="93"/>
      <c r="D14" s="33"/>
      <c r="E14" s="33">
        <f t="shared" ref="E14:AI14" si="4">E13-D13</f>
        <v>9.9199999999999591</v>
      </c>
      <c r="F14" s="33">
        <f t="shared" si="4"/>
        <v>3.0580000000001064</v>
      </c>
      <c r="G14" s="33">
        <f t="shared" si="4"/>
        <v>2.0169999999999391</v>
      </c>
      <c r="H14" s="33">
        <f t="shared" si="4"/>
        <v>2.8260000000000218</v>
      </c>
      <c r="I14" s="33">
        <f t="shared" si="4"/>
        <v>0.44499999999993634</v>
      </c>
      <c r="J14" s="33">
        <f t="shared" si="4"/>
        <v>2.0340000000001055</v>
      </c>
      <c r="K14" s="33">
        <f t="shared" si="4"/>
        <v>0.95699999999999363</v>
      </c>
      <c r="L14" s="33">
        <f t="shared" si="4"/>
        <v>0.8529999999999518</v>
      </c>
      <c r="M14" s="33">
        <f t="shared" si="4"/>
        <v>2.47199999999998</v>
      </c>
      <c r="N14" s="33">
        <f t="shared" si="4"/>
        <v>0.2760000000000673</v>
      </c>
      <c r="O14" s="33">
        <f t="shared" si="4"/>
        <v>0.56499999999994088</v>
      </c>
      <c r="P14" s="33">
        <f t="shared" si="4"/>
        <v>2.44399999999996</v>
      </c>
      <c r="Q14" s="33">
        <f t="shared" si="4"/>
        <v>2.5940000000000509</v>
      </c>
      <c r="R14" s="33">
        <f t="shared" si="4"/>
        <v>0.70399999999995089</v>
      </c>
      <c r="S14" s="33">
        <f t="shared" si="4"/>
        <v>1.5570000000000164</v>
      </c>
      <c r="T14" s="33">
        <f t="shared" si="4"/>
        <v>0.75900000000001455</v>
      </c>
      <c r="U14" s="33">
        <f t="shared" si="4"/>
        <v>3.0610000000000355</v>
      </c>
      <c r="V14" s="33">
        <f t="shared" si="4"/>
        <v>0.68200000000001637</v>
      </c>
      <c r="W14" s="33">
        <f t="shared" si="4"/>
        <v>0</v>
      </c>
      <c r="X14" s="33">
        <f t="shared" si="4"/>
        <v>2.1449999999999818</v>
      </c>
      <c r="Y14" s="33">
        <f t="shared" si="4"/>
        <v>0.66399999999998727</v>
      </c>
      <c r="Z14" s="33">
        <f t="shared" si="4"/>
        <v>0.69500000000005002</v>
      </c>
      <c r="AA14" s="33">
        <f t="shared" si="4"/>
        <v>2.9230000000000018</v>
      </c>
      <c r="AB14" s="33">
        <f t="shared" si="4"/>
        <v>0.75999999999999091</v>
      </c>
      <c r="AC14" s="33">
        <f t="shared" si="4"/>
        <v>3.9429999999999836</v>
      </c>
      <c r="AD14" s="33">
        <f t="shared" si="4"/>
        <v>6.8999999999959982E-2</v>
      </c>
      <c r="AE14" s="33">
        <f t="shared" si="4"/>
        <v>5.0850000000000364</v>
      </c>
      <c r="AF14" s="33">
        <f t="shared" si="4"/>
        <v>2.6079999999999472</v>
      </c>
      <c r="AG14" s="33">
        <f t="shared" si="4"/>
        <v>1.1689999999999827</v>
      </c>
      <c r="AH14" s="33">
        <f t="shared" si="4"/>
        <v>2.3420000000000982</v>
      </c>
      <c r="AI14" s="33">
        <f t="shared" si="4"/>
        <v>1.4069999999999254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7" t="s">
        <v>79</v>
      </c>
      <c r="C15" s="87"/>
      <c r="D15" s="50"/>
      <c r="E15" s="50">
        <f>E6+((E8*45%)+(E10*45%)+(E12+E14))</f>
        <v>298.27899999999357</v>
      </c>
      <c r="F15" s="50">
        <f t="shared" ref="F15:AI15" si="5">F6+((F8*45%)+(F10*45%)+(F12+F14))</f>
        <v>275.32699999997681</v>
      </c>
      <c r="G15" s="50">
        <f t="shared" si="5"/>
        <v>368.17699999999473</v>
      </c>
      <c r="H15" s="50">
        <f t="shared" si="5"/>
        <v>313.20000000000522</v>
      </c>
      <c r="I15" s="50">
        <f t="shared" si="5"/>
        <v>349.0750000000221</v>
      </c>
      <c r="J15" s="50">
        <f t="shared" si="5"/>
        <v>246.74999999999483</v>
      </c>
      <c r="K15" s="50">
        <f t="shared" si="5"/>
        <v>357.91000000001281</v>
      </c>
      <c r="L15" s="50">
        <f t="shared" si="5"/>
        <v>290.12200000001042</v>
      </c>
      <c r="M15" s="50">
        <f t="shared" si="5"/>
        <v>352.41599999996095</v>
      </c>
      <c r="N15" s="50">
        <f t="shared" si="5"/>
        <v>379.01600000001696</v>
      </c>
      <c r="O15" s="50">
        <f t="shared" si="5"/>
        <v>283.80000000002207</v>
      </c>
      <c r="P15" s="50">
        <f t="shared" si="5"/>
        <v>358.85799999998187</v>
      </c>
      <c r="Q15" s="50">
        <f t="shared" si="5"/>
        <v>333.9559999999675</v>
      </c>
      <c r="R15" s="50">
        <f t="shared" si="5"/>
        <v>338.36300000004536</v>
      </c>
      <c r="S15" s="50">
        <f t="shared" si="5"/>
        <v>363.6399999999872</v>
      </c>
      <c r="T15" s="50">
        <f t="shared" si="5"/>
        <v>349.78999999998314</v>
      </c>
      <c r="U15" s="50">
        <f t="shared" si="5"/>
        <v>330.75999999999476</v>
      </c>
      <c r="V15" s="50">
        <f t="shared" si="5"/>
        <v>345.73200000003499</v>
      </c>
      <c r="W15" s="50">
        <f t="shared" si="5"/>
        <v>319.68199999999877</v>
      </c>
      <c r="X15" s="50">
        <f t="shared" si="5"/>
        <v>259.17500000001166</v>
      </c>
      <c r="Y15" s="50">
        <f t="shared" si="5"/>
        <v>327.78899999995343</v>
      </c>
      <c r="Z15" s="50">
        <f t="shared" si="5"/>
        <v>238.16199999999071</v>
      </c>
      <c r="AA15" s="50">
        <f t="shared" si="5"/>
        <v>282.43200000003378</v>
      </c>
      <c r="AB15" s="50">
        <f t="shared" si="5"/>
        <v>361.81399999998951</v>
      </c>
      <c r="AC15" s="50">
        <f t="shared" si="5"/>
        <v>291.24000000001161</v>
      </c>
      <c r="AD15" s="50">
        <f t="shared" si="5"/>
        <v>400.46800000000923</v>
      </c>
      <c r="AE15" s="50">
        <f t="shared" si="5"/>
        <v>326.04099999999073</v>
      </c>
      <c r="AF15" s="50">
        <f t="shared" si="5"/>
        <v>396.35900000001561</v>
      </c>
      <c r="AG15" s="50">
        <f t="shared" si="5"/>
        <v>279.78999999994943</v>
      </c>
      <c r="AH15" s="50">
        <f t="shared" si="5"/>
        <v>343.95099999999888</v>
      </c>
      <c r="AI15" s="50">
        <f t="shared" si="5"/>
        <v>343.88900000002837</v>
      </c>
    </row>
    <row r="16" spans="1:42" ht="33" customHeight="1" x14ac:dyDescent="0.25">
      <c r="B16" s="86" t="s">
        <v>80</v>
      </c>
      <c r="C16" s="86"/>
      <c r="D16" s="50"/>
      <c r="E16" s="58">
        <f>SUM(E15:AI15)</f>
        <v>10105.962999999987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15" activePane="bottomLeft" state="frozen"/>
      <selection pane="bottomLeft" activeCell="B3" sqref="B3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84" t="s">
        <v>35</v>
      </c>
      <c r="B1" s="84"/>
      <c r="C1" s="84"/>
    </row>
    <row r="3" spans="1:7" ht="48" x14ac:dyDescent="0.25">
      <c r="A3" s="51" t="s">
        <v>36</v>
      </c>
      <c r="B3" s="52">
        <v>66488.240000000005</v>
      </c>
      <c r="C3" s="53"/>
    </row>
    <row r="4" spans="1:7" ht="28.5" customHeight="1" x14ac:dyDescent="0.25">
      <c r="A4" s="54">
        <v>1</v>
      </c>
      <c r="B4" s="52"/>
      <c r="C4" s="53">
        <f>B3/31</f>
        <v>2144.7819354838712</v>
      </c>
    </row>
    <row r="5" spans="1:7" ht="28.5" customHeight="1" x14ac:dyDescent="0.25">
      <c r="A5" s="54">
        <v>2</v>
      </c>
      <c r="B5" s="52"/>
      <c r="C5" s="53">
        <v>2144.7819354838712</v>
      </c>
    </row>
    <row r="6" spans="1:7" ht="28.5" customHeight="1" x14ac:dyDescent="0.25">
      <c r="A6" s="55">
        <v>3</v>
      </c>
      <c r="B6" s="52"/>
      <c r="C6" s="53">
        <v>2144.7819354838712</v>
      </c>
    </row>
    <row r="7" spans="1:7" ht="28.5" customHeight="1" x14ac:dyDescent="0.25">
      <c r="A7" s="54">
        <v>4</v>
      </c>
      <c r="B7" s="52"/>
      <c r="C7" s="53">
        <v>2144.7819354838712</v>
      </c>
    </row>
    <row r="8" spans="1:7" ht="28.5" customHeight="1" x14ac:dyDescent="0.25">
      <c r="A8" s="54">
        <v>5</v>
      </c>
      <c r="B8" s="52"/>
      <c r="C8" s="53">
        <v>2144.7819354838712</v>
      </c>
    </row>
    <row r="9" spans="1:7" ht="28.5" customHeight="1" x14ac:dyDescent="0.25">
      <c r="A9" s="54">
        <v>6</v>
      </c>
      <c r="B9" s="52"/>
      <c r="C9" s="53">
        <v>2144.7819354838712</v>
      </c>
      <c r="G9" t="s">
        <v>37</v>
      </c>
    </row>
    <row r="10" spans="1:7" ht="28.5" customHeight="1" x14ac:dyDescent="0.25">
      <c r="A10" s="54">
        <v>7</v>
      </c>
      <c r="B10" s="52"/>
      <c r="C10" s="53">
        <v>2144.7819354838712</v>
      </c>
    </row>
    <row r="11" spans="1:7" ht="28.5" customHeight="1" x14ac:dyDescent="0.25">
      <c r="A11" s="54">
        <v>8</v>
      </c>
      <c r="B11" s="52"/>
      <c r="C11" s="53">
        <v>2144.7819354838712</v>
      </c>
    </row>
    <row r="12" spans="1:7" ht="28.5" customHeight="1" x14ac:dyDescent="0.25">
      <c r="A12" s="54">
        <v>9</v>
      </c>
      <c r="B12" s="52"/>
      <c r="C12" s="53">
        <v>2144.7819354838712</v>
      </c>
    </row>
    <row r="13" spans="1:7" ht="28.5" customHeight="1" x14ac:dyDescent="0.25">
      <c r="A13" s="54">
        <v>10</v>
      </c>
      <c r="B13" s="52"/>
      <c r="C13" s="53">
        <v>2144.7819354838712</v>
      </c>
    </row>
    <row r="14" spans="1:7" ht="28.5" customHeight="1" x14ac:dyDescent="0.25">
      <c r="A14" s="54">
        <v>11</v>
      </c>
      <c r="B14" s="52"/>
      <c r="C14" s="53">
        <v>2144.7819354838712</v>
      </c>
    </row>
    <row r="15" spans="1:7" ht="28.5" customHeight="1" x14ac:dyDescent="0.25">
      <c r="A15" s="54">
        <v>12</v>
      </c>
      <c r="B15" s="52"/>
      <c r="C15" s="53">
        <v>2144.7819354838712</v>
      </c>
    </row>
    <row r="16" spans="1:7" ht="28.5" customHeight="1" x14ac:dyDescent="0.25">
      <c r="A16" s="54">
        <v>13</v>
      </c>
      <c r="B16" s="52"/>
      <c r="C16" s="53">
        <v>2144.7819354838712</v>
      </c>
    </row>
    <row r="17" spans="1:4" ht="28.5" customHeight="1" x14ac:dyDescent="0.25">
      <c r="A17" s="54">
        <v>14</v>
      </c>
      <c r="B17" s="52"/>
      <c r="C17" s="53">
        <v>2144.7819354838712</v>
      </c>
    </row>
    <row r="18" spans="1:4" ht="28.5" customHeight="1" x14ac:dyDescent="0.25">
      <c r="A18" s="54">
        <v>15</v>
      </c>
      <c r="B18" s="52"/>
      <c r="C18" s="53">
        <v>2144.7819354838712</v>
      </c>
    </row>
    <row r="19" spans="1:4" ht="28.5" customHeight="1" x14ac:dyDescent="0.25">
      <c r="A19" s="54">
        <v>16</v>
      </c>
      <c r="B19" s="52"/>
      <c r="C19" s="53">
        <v>2144.7819354838712</v>
      </c>
    </row>
    <row r="20" spans="1:4" ht="28.5" customHeight="1" x14ac:dyDescent="0.25">
      <c r="A20" s="54">
        <v>17</v>
      </c>
      <c r="B20" s="52"/>
      <c r="C20" s="53">
        <v>2144.7819354838712</v>
      </c>
    </row>
    <row r="21" spans="1:4" ht="28.5" customHeight="1" x14ac:dyDescent="0.25">
      <c r="A21" s="54">
        <v>18</v>
      </c>
      <c r="B21" s="52"/>
      <c r="C21" s="53">
        <v>2144.7819354838712</v>
      </c>
    </row>
    <row r="22" spans="1:4" ht="28.5" customHeight="1" x14ac:dyDescent="0.25">
      <c r="A22" s="54">
        <v>19</v>
      </c>
      <c r="B22" s="52"/>
      <c r="C22" s="53">
        <v>2144.7819354838712</v>
      </c>
    </row>
    <row r="23" spans="1:4" ht="28.5" customHeight="1" x14ac:dyDescent="0.25">
      <c r="A23" s="54">
        <v>20</v>
      </c>
      <c r="B23" s="52"/>
      <c r="C23" s="53">
        <v>2144.7819354838712</v>
      </c>
    </row>
    <row r="24" spans="1:4" ht="28.5" customHeight="1" x14ac:dyDescent="0.25">
      <c r="A24" s="54">
        <v>21</v>
      </c>
      <c r="B24" s="52"/>
      <c r="C24" s="53">
        <v>2144.7819354838712</v>
      </c>
    </row>
    <row r="25" spans="1:4" ht="28.5" customHeight="1" x14ac:dyDescent="0.25">
      <c r="A25" s="54">
        <v>22</v>
      </c>
      <c r="B25" s="52"/>
      <c r="C25" s="53">
        <v>2144.7819354838712</v>
      </c>
    </row>
    <row r="26" spans="1:4" ht="28.5" customHeight="1" x14ac:dyDescent="0.25">
      <c r="A26" s="54">
        <v>23</v>
      </c>
      <c r="B26" s="52"/>
      <c r="C26" s="53">
        <v>2144.7819354838712</v>
      </c>
    </row>
    <row r="27" spans="1:4" ht="28.5" customHeight="1" x14ac:dyDescent="0.25">
      <c r="A27" s="54">
        <v>24</v>
      </c>
      <c r="B27" s="52"/>
      <c r="C27" s="53">
        <v>2144.7819354838712</v>
      </c>
    </row>
    <row r="28" spans="1:4" ht="28.5" customHeight="1" x14ac:dyDescent="0.25">
      <c r="A28" s="54">
        <v>25</v>
      </c>
      <c r="B28" s="52"/>
      <c r="C28" s="53">
        <v>2144.7819354838712</v>
      </c>
      <c r="D28" s="56"/>
    </row>
    <row r="29" spans="1:4" ht="28.5" customHeight="1" x14ac:dyDescent="0.25">
      <c r="A29" s="54">
        <v>26</v>
      </c>
      <c r="B29" s="52"/>
      <c r="C29" s="53">
        <v>2144.7819354838712</v>
      </c>
      <c r="D29" s="56"/>
    </row>
    <row r="30" spans="1:4" ht="28.5" customHeight="1" x14ac:dyDescent="0.25">
      <c r="A30" s="54">
        <v>27</v>
      </c>
      <c r="B30" s="52"/>
      <c r="C30" s="53">
        <v>2144.7819354838712</v>
      </c>
    </row>
    <row r="31" spans="1:4" ht="28.5" customHeight="1" x14ac:dyDescent="0.25">
      <c r="A31" s="54">
        <v>28</v>
      </c>
      <c r="B31" s="52"/>
      <c r="C31" s="53">
        <v>2144.7819354838712</v>
      </c>
    </row>
    <row r="32" spans="1:4" ht="28.5" customHeight="1" x14ac:dyDescent="0.25">
      <c r="A32" s="54">
        <v>29</v>
      </c>
      <c r="B32" s="52"/>
      <c r="C32" s="53">
        <v>2144.7819354838712</v>
      </c>
    </row>
    <row r="33" spans="1:3" ht="28.5" customHeight="1" x14ac:dyDescent="0.25">
      <c r="A33" s="54">
        <v>30</v>
      </c>
      <c r="B33" s="52"/>
      <c r="C33" s="53">
        <v>2144.7819354838712</v>
      </c>
    </row>
    <row r="34" spans="1:3" ht="28.5" customHeight="1" x14ac:dyDescent="0.25">
      <c r="A34" s="54">
        <v>31</v>
      </c>
      <c r="B34" s="52"/>
      <c r="C34" s="53">
        <v>2144.7819354838712</v>
      </c>
    </row>
    <row r="35" spans="1:3" x14ac:dyDescent="0.25">
      <c r="A35" s="85" t="s">
        <v>38</v>
      </c>
      <c r="B35" s="85"/>
      <c r="C35" s="57">
        <f>SUM(C4:C34)</f>
        <v>66488.24000000002</v>
      </c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5" zoomScaleNormal="100" workbookViewId="0">
      <selection activeCell="C34" sqref="C34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6" t="s">
        <v>87</v>
      </c>
      <c r="B1" s="96"/>
      <c r="C1" s="96"/>
    </row>
    <row r="2" spans="1:3" ht="24.95" customHeight="1" x14ac:dyDescent="0.25">
      <c r="A2" s="60" t="s">
        <v>81</v>
      </c>
      <c r="B2" s="60" t="s">
        <v>82</v>
      </c>
      <c r="C2" s="60" t="s">
        <v>83</v>
      </c>
    </row>
    <row r="3" spans="1:3" ht="24.95" customHeight="1" x14ac:dyDescent="0.25">
      <c r="A3" s="61">
        <v>44621</v>
      </c>
      <c r="B3" s="97">
        <v>483</v>
      </c>
      <c r="C3" s="97">
        <v>651</v>
      </c>
    </row>
    <row r="4" spans="1:3" ht="24.95" customHeight="1" x14ac:dyDescent="0.25">
      <c r="A4" s="61">
        <v>44622</v>
      </c>
      <c r="B4" s="97">
        <v>467</v>
      </c>
      <c r="C4" s="97">
        <v>593</v>
      </c>
    </row>
    <row r="5" spans="1:3" ht="24.95" customHeight="1" x14ac:dyDescent="0.25">
      <c r="A5" s="61">
        <v>44623</v>
      </c>
      <c r="B5" s="97">
        <v>444</v>
      </c>
      <c r="C5" s="97">
        <v>540</v>
      </c>
    </row>
    <row r="6" spans="1:3" ht="24.95" customHeight="1" x14ac:dyDescent="0.25">
      <c r="A6" s="61">
        <v>44624</v>
      </c>
      <c r="B6" s="97">
        <v>438</v>
      </c>
      <c r="C6" s="97">
        <v>566</v>
      </c>
    </row>
    <row r="7" spans="1:3" ht="24.95" customHeight="1" x14ac:dyDescent="0.25">
      <c r="A7" s="61">
        <v>44625</v>
      </c>
      <c r="B7" s="97">
        <v>409</v>
      </c>
      <c r="C7" s="97">
        <v>524</v>
      </c>
    </row>
    <row r="8" spans="1:3" ht="24.95" customHeight="1" x14ac:dyDescent="0.25">
      <c r="A8" s="61">
        <v>44626</v>
      </c>
      <c r="B8" s="97">
        <v>381</v>
      </c>
      <c r="C8" s="97">
        <v>436</v>
      </c>
    </row>
    <row r="9" spans="1:3" ht="24.95" customHeight="1" x14ac:dyDescent="0.25">
      <c r="A9" s="61">
        <v>44627</v>
      </c>
      <c r="B9" s="97">
        <v>450</v>
      </c>
      <c r="C9" s="97">
        <v>517</v>
      </c>
    </row>
    <row r="10" spans="1:3" ht="24.95" customHeight="1" x14ac:dyDescent="0.25">
      <c r="A10" s="61">
        <v>44628</v>
      </c>
      <c r="B10" s="97">
        <v>465</v>
      </c>
      <c r="C10" s="97">
        <v>540</v>
      </c>
    </row>
    <row r="11" spans="1:3" ht="24.95" customHeight="1" x14ac:dyDescent="0.25">
      <c r="A11" s="61">
        <v>44629</v>
      </c>
      <c r="B11" s="97">
        <v>474</v>
      </c>
      <c r="C11" s="97">
        <v>585</v>
      </c>
    </row>
    <row r="12" spans="1:3" ht="24.95" customHeight="1" x14ac:dyDescent="0.25">
      <c r="A12" s="61">
        <v>44630</v>
      </c>
      <c r="B12" s="97">
        <v>415</v>
      </c>
      <c r="C12" s="97">
        <v>497</v>
      </c>
    </row>
    <row r="13" spans="1:3" ht="24.95" customHeight="1" x14ac:dyDescent="0.25">
      <c r="A13" s="61">
        <v>44631</v>
      </c>
      <c r="B13" s="97">
        <v>370</v>
      </c>
      <c r="C13" s="97">
        <v>463</v>
      </c>
    </row>
    <row r="14" spans="1:3" ht="24.95" customHeight="1" x14ac:dyDescent="0.25">
      <c r="A14" s="61">
        <v>44632</v>
      </c>
      <c r="B14" s="97">
        <v>379</v>
      </c>
      <c r="C14" s="97">
        <v>483</v>
      </c>
    </row>
    <row r="15" spans="1:3" ht="24.95" customHeight="1" x14ac:dyDescent="0.25">
      <c r="A15" s="61">
        <v>44633</v>
      </c>
      <c r="B15" s="97">
        <v>366</v>
      </c>
      <c r="C15" s="97">
        <v>421</v>
      </c>
    </row>
    <row r="16" spans="1:3" ht="24.95" customHeight="1" x14ac:dyDescent="0.25">
      <c r="A16" s="61">
        <v>44634</v>
      </c>
      <c r="B16" s="97">
        <v>426</v>
      </c>
      <c r="C16" s="97">
        <v>483</v>
      </c>
    </row>
    <row r="17" spans="1:3" ht="24.95" customHeight="1" x14ac:dyDescent="0.25">
      <c r="A17" s="61">
        <v>44635</v>
      </c>
      <c r="B17" s="97">
        <v>441</v>
      </c>
      <c r="C17" s="97">
        <v>531</v>
      </c>
    </row>
    <row r="18" spans="1:3" ht="24.95" customHeight="1" x14ac:dyDescent="0.25">
      <c r="A18" s="61">
        <v>44636</v>
      </c>
      <c r="B18" s="97">
        <v>459</v>
      </c>
      <c r="C18" s="97">
        <v>571</v>
      </c>
    </row>
    <row r="19" spans="1:3" ht="24.95" customHeight="1" x14ac:dyDescent="0.25">
      <c r="A19" s="61">
        <v>44637</v>
      </c>
      <c r="B19" s="97">
        <v>433</v>
      </c>
      <c r="C19" s="97">
        <v>528</v>
      </c>
    </row>
    <row r="20" spans="1:3" ht="24.95" customHeight="1" x14ac:dyDescent="0.25">
      <c r="A20" s="61">
        <v>44638</v>
      </c>
      <c r="B20" s="97">
        <v>396</v>
      </c>
      <c r="C20" s="97">
        <v>477</v>
      </c>
    </row>
    <row r="21" spans="1:3" ht="24.95" customHeight="1" x14ac:dyDescent="0.25">
      <c r="A21" s="61">
        <v>44639</v>
      </c>
      <c r="B21" s="97">
        <v>389</v>
      </c>
      <c r="C21" s="97">
        <v>462</v>
      </c>
    </row>
    <row r="22" spans="1:3" ht="24.95" customHeight="1" x14ac:dyDescent="0.25">
      <c r="A22" s="61">
        <v>44640</v>
      </c>
      <c r="B22" s="97">
        <v>377</v>
      </c>
      <c r="C22" s="97">
        <v>435</v>
      </c>
    </row>
    <row r="23" spans="1:3" ht="24.95" customHeight="1" x14ac:dyDescent="0.25">
      <c r="A23" s="61">
        <v>44641</v>
      </c>
      <c r="B23" s="97">
        <v>366</v>
      </c>
      <c r="C23" s="97">
        <v>421</v>
      </c>
    </row>
    <row r="24" spans="1:3" ht="24.95" customHeight="1" x14ac:dyDescent="0.25">
      <c r="A24" s="61">
        <v>44642</v>
      </c>
      <c r="B24" s="97">
        <v>420</v>
      </c>
      <c r="C24" s="97">
        <v>512</v>
      </c>
    </row>
    <row r="25" spans="1:3" ht="24.95" customHeight="1" x14ac:dyDescent="0.25">
      <c r="A25" s="61">
        <v>44643</v>
      </c>
      <c r="B25" s="97">
        <v>440</v>
      </c>
      <c r="C25" s="97">
        <v>546</v>
      </c>
    </row>
    <row r="26" spans="1:3" ht="24.95" customHeight="1" x14ac:dyDescent="0.25">
      <c r="A26" s="61">
        <v>44644</v>
      </c>
      <c r="B26" s="97">
        <v>365</v>
      </c>
      <c r="C26" s="97">
        <v>428</v>
      </c>
    </row>
    <row r="27" spans="1:3" ht="24.95" customHeight="1" x14ac:dyDescent="0.25">
      <c r="A27" s="61">
        <v>44645</v>
      </c>
      <c r="B27" s="97">
        <v>398</v>
      </c>
      <c r="C27" s="97">
        <v>522</v>
      </c>
    </row>
    <row r="28" spans="1:3" ht="24.95" customHeight="1" x14ac:dyDescent="0.25">
      <c r="A28" s="61">
        <v>44646</v>
      </c>
      <c r="B28" s="97">
        <v>444</v>
      </c>
      <c r="C28" s="97">
        <v>598</v>
      </c>
    </row>
    <row r="29" spans="1:3" ht="24.95" customHeight="1" x14ac:dyDescent="0.25">
      <c r="A29" s="61">
        <v>44647</v>
      </c>
      <c r="B29" s="97">
        <v>375</v>
      </c>
      <c r="C29" s="97">
        <v>464</v>
      </c>
    </row>
    <row r="30" spans="1:3" ht="24.95" customHeight="1" x14ac:dyDescent="0.25">
      <c r="A30" s="61">
        <v>44648</v>
      </c>
      <c r="B30" s="97">
        <v>387</v>
      </c>
      <c r="C30" s="97">
        <v>461</v>
      </c>
    </row>
    <row r="31" spans="1:3" ht="24.95" customHeight="1" x14ac:dyDescent="0.25">
      <c r="A31" s="61">
        <v>44649</v>
      </c>
      <c r="B31" s="97">
        <v>426</v>
      </c>
      <c r="C31" s="97">
        <v>537</v>
      </c>
    </row>
    <row r="32" spans="1:3" ht="24.95" customHeight="1" x14ac:dyDescent="0.25">
      <c r="A32" s="61">
        <v>44650</v>
      </c>
      <c r="B32" s="97">
        <v>427</v>
      </c>
      <c r="C32" s="97">
        <v>531</v>
      </c>
    </row>
    <row r="33" spans="1:3" ht="24.95" customHeight="1" x14ac:dyDescent="0.25">
      <c r="A33" s="61">
        <v>44651</v>
      </c>
      <c r="B33" s="97">
        <v>374</v>
      </c>
      <c r="C33" s="97">
        <v>444</v>
      </c>
    </row>
    <row r="34" spans="1:3" ht="30.75" customHeight="1" x14ac:dyDescent="0.25">
      <c r="A34" s="60" t="s">
        <v>84</v>
      </c>
      <c r="B34" s="62">
        <f>SUM(B3:B33)</f>
        <v>12884</v>
      </c>
      <c r="C34" s="62">
        <f>SUM(C3:C33)</f>
        <v>15767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2025-03-18T07:37:50Z</dcterms:modified>
  <cp:category/>
  <cp:contentStatus/>
</cp:coreProperties>
</file>