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573" documentId="8_{8847650D-614C-4264-8C87-30D8B5EB4252}" xr6:coauthVersionLast="47" xr6:coauthVersionMax="47" xr10:uidLastSave="{FB1B5A6A-5821-489E-BABB-AC1AE8FECD01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C4" i="6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I6" i="5"/>
  <c r="H6" i="5"/>
  <c r="G6" i="5"/>
  <c r="F6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<sst xmlns="http://schemas.openxmlformats.org/spreadsheetml/2006/main" count="123" uniqueCount="88">
  <si>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</si>
  <si>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</si>
  <si>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</si>
  <si>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</si>
  <si>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</si>
  <si>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</si>
  <si>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</si>
  <si>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</si>
  <si>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</si>
  <si>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</si>
  <si>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</si>
  <si>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</si>
  <si>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</si>
  <si>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</si>
  <si>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</si>
  <si>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</si>
  <si>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</si>
  <si>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</si>
  <si>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</si>
  <si>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</si>
  <si>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</si>
  <si>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</si>
  <si>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</si>
  <si>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</si>
  <si>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</si>
  <si>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</si>
  <si>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</si>
  <si>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</si>
  <si>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</si>
  <si>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</si>
  <si>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</si>
  <si>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</si>
  <si>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</si>
  <si>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</si>
  <si>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</si>
  <si>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</si>
  <si>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</si>
  <si>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</si>
  <si>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</si>
  <si>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</si>
  <si>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</si>
  <si>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</si>
  <si>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</si>
  <si>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</si>
  <si>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</si>
  <si>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</si>
  <si>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</si>
  <si>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</si>
  <si>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</si>
  <si>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</si>
  <si>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</si>
  <si>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</si>
  <si>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</si>
  <si>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</si>
  <si>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</si>
  <si>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</si>
  <si>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</si>
  <si>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</si>
  <si>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</si>
  <si>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</si>
  <si>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</si>
  <si>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</si>
  <si>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</si>
  <si>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</si>
  <si>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</si>
  <si>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</si>
  <si>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</si>
  <si>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</si>
  <si>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</si>
  <si>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</si>
  <si>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</si>
  <si>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</si>
  <si>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</si>
  <si>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</si>
  <si>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</si>
  <si>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</si>
  <si>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</si>
  <si>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</si>
  <si>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</si>
  <si>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</si>
  <si>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</si>
  <si>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</si>
  <si>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</si>
  <si>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</si>
  <si>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MARCH 2024</t>
  </si>
  <si>
    <t>DAILY GAS METER READINGS &amp; CONSUMPTION (Liters) MARCH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</si>
  <si>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MARCH  2024</t>
    </r>
  </si>
  <si>
    <t>Occupied Room &amp; Number of Guest -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</si>
</sst>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#,##0.000"/>
    <numFmt numFmtId="167" formatCode="#,##0.0"/>
    <numFmt numFmtId="168" formatCode="0.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5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7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5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8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5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3</v>
      </c>
      <c r="D2" s="10">
        <v>2024</v>
      </c>
      <c r="E2" s="4" cm="1">
        <f t="array" ref="E2:E32">TRANSPOSE(Electricity!E21:AI21)</f>
        <v>30402.799999999999</v>
      </c>
      <c r="F2" s="11">
        <v>0.2</v>
      </c>
      <c r="G2" s="4">
        <f>LPG!C4</f>
        <v>2492.8064516129034</v>
      </c>
      <c r="H2" s="11">
        <v>1.65</v>
      </c>
      <c r="I2" s="4" cm="1">
        <f t="array" ref="I2:I32">TRANSPOSE(Water!E15:AI15)</f>
        <v>313.78899999999453</v>
      </c>
      <c r="J2" s="11">
        <v>7.84</v>
      </c>
      <c r="K2" s="4">
        <f>'Occupied &amp; No. of Guest'!B3</f>
        <v>460</v>
      </c>
      <c r="L2" s="4">
        <f>'Occupied &amp; No. of Guest'!C3</f>
        <v>712</v>
      </c>
    </row>
    <row r="3" spans="1:12" x14ac:dyDescent="0.25">
      <c r="A3" s="9" t="s">
        <v>52</v>
      </c>
      <c r="B3" s="10">
        <f>B2+1</f>
        <v>2</v>
      </c>
      <c r="C3" s="10">
        <v>3</v>
      </c>
      <c r="D3" s="10">
        <v>2024</v>
      </c>
      <c r="E3" s="4">
        <v>25934.400000000001</v>
      </c>
      <c r="F3" s="11">
        <v>0.2</v>
      </c>
      <c r="G3" s="4">
        <f>LPG!C5</f>
        <v>2492.8064516129034</v>
      </c>
      <c r="H3" s="11">
        <v>1.65</v>
      </c>
      <c r="I3" s="4">
        <v>260.35599999998453</v>
      </c>
      <c r="J3" s="11">
        <v>7.84</v>
      </c>
      <c r="K3" s="4">
        <f>'Occupied &amp; No. of Guest'!B4</f>
        <v>470</v>
      </c>
      <c r="L3" s="4">
        <f>'Occupied &amp; No. of Guest'!C4</f>
        <v>705</v>
      </c>
    </row>
    <row r="4" spans="1:12" x14ac:dyDescent="0.25">
      <c r="A4" s="9" t="s">
        <v>52</v>
      </c>
      <c r="B4" s="10">
        <f t="shared" ref="B4:B32" si="0">B3+1</f>
        <v>3</v>
      </c>
      <c r="C4" s="10">
        <v>3</v>
      </c>
      <c r="D4" s="10">
        <v>2024</v>
      </c>
      <c r="E4" s="4">
        <v>27848.6</v>
      </c>
      <c r="F4" s="11">
        <v>0.2</v>
      </c>
      <c r="G4" s="4">
        <f>LPG!C6</f>
        <v>2492.8064516129034</v>
      </c>
      <c r="H4" s="11">
        <v>1.65</v>
      </c>
      <c r="I4" s="4">
        <v>274.34899999999988</v>
      </c>
      <c r="J4" s="11">
        <v>7.84</v>
      </c>
      <c r="K4" s="4">
        <f>'Occupied &amp; No. of Guest'!B5</f>
        <v>465</v>
      </c>
      <c r="L4" s="4">
        <f>'Occupied &amp; No. of Guest'!C5</f>
        <v>643</v>
      </c>
    </row>
    <row r="5" spans="1:12" x14ac:dyDescent="0.25">
      <c r="A5" s="9" t="s">
        <v>52</v>
      </c>
      <c r="B5" s="10">
        <f t="shared" si="0"/>
        <v>4</v>
      </c>
      <c r="C5" s="10">
        <v>3</v>
      </c>
      <c r="D5" s="10">
        <v>2024</v>
      </c>
      <c r="E5" s="4">
        <v>29776</v>
      </c>
      <c r="F5" s="11">
        <v>0.2</v>
      </c>
      <c r="G5" s="4">
        <f>LPG!C7</f>
        <v>2492.8064516129034</v>
      </c>
      <c r="H5" s="11">
        <v>1.65</v>
      </c>
      <c r="I5" s="4">
        <v>278.35600000001045</v>
      </c>
      <c r="J5" s="11">
        <v>7.84</v>
      </c>
      <c r="K5" s="4">
        <f>'Occupied &amp; No. of Guest'!B6</f>
        <v>437</v>
      </c>
      <c r="L5" s="4">
        <f>'Occupied &amp; No. of Guest'!C6</f>
        <v>607</v>
      </c>
    </row>
    <row r="6" spans="1:12" x14ac:dyDescent="0.25">
      <c r="A6" s="9" t="s">
        <v>52</v>
      </c>
      <c r="B6" s="10">
        <f t="shared" si="0"/>
        <v>5</v>
      </c>
      <c r="C6" s="10">
        <v>3</v>
      </c>
      <c r="D6" s="10">
        <v>2024</v>
      </c>
      <c r="E6" s="4">
        <v>30252.400000000001</v>
      </c>
      <c r="F6" s="11">
        <v>0.2</v>
      </c>
      <c r="G6" s="4">
        <f>LPG!C8</f>
        <v>2492.8064516129034</v>
      </c>
      <c r="H6" s="11">
        <v>1.65</v>
      </c>
      <c r="I6" s="4">
        <v>269.04900000000038</v>
      </c>
      <c r="J6" s="11">
        <v>7.84</v>
      </c>
      <c r="K6" s="4">
        <f>'Occupied &amp; No. of Guest'!B7</f>
        <v>480</v>
      </c>
      <c r="L6" s="4">
        <f>'Occupied &amp; No. of Guest'!C7</f>
        <v>653</v>
      </c>
    </row>
    <row r="7" spans="1:12" x14ac:dyDescent="0.25">
      <c r="A7" s="9" t="s">
        <v>52</v>
      </c>
      <c r="B7" s="10">
        <f t="shared" si="0"/>
        <v>6</v>
      </c>
      <c r="C7" s="10">
        <v>3</v>
      </c>
      <c r="D7" s="10">
        <v>2024</v>
      </c>
      <c r="E7" s="4">
        <v>30355.8</v>
      </c>
      <c r="F7" s="11">
        <v>0.2</v>
      </c>
      <c r="G7" s="4">
        <f>LPG!C9</f>
        <v>2492.8064516129034</v>
      </c>
      <c r="H7" s="11">
        <v>1.65</v>
      </c>
      <c r="I7" s="4">
        <v>300.20199999999443</v>
      </c>
      <c r="J7" s="11">
        <v>7.84</v>
      </c>
      <c r="K7" s="4">
        <f>'Occupied &amp; No. of Guest'!B8</f>
        <v>478</v>
      </c>
      <c r="L7" s="4">
        <f>'Occupied &amp; No. of Guest'!C8</f>
        <v>654</v>
      </c>
    </row>
    <row r="8" spans="1:12" x14ac:dyDescent="0.25">
      <c r="A8" s="9" t="s">
        <v>52</v>
      </c>
      <c r="B8" s="10">
        <f t="shared" si="0"/>
        <v>7</v>
      </c>
      <c r="C8" s="10">
        <v>3</v>
      </c>
      <c r="D8" s="10">
        <v>2024</v>
      </c>
      <c r="E8" s="4">
        <v>30477</v>
      </c>
      <c r="F8" s="11">
        <v>0.2</v>
      </c>
      <c r="G8" s="4">
        <f>LPG!C10</f>
        <v>2492.8064516129034</v>
      </c>
      <c r="H8" s="11">
        <v>1.65</v>
      </c>
      <c r="I8" s="4">
        <v>326.26300000001066</v>
      </c>
      <c r="J8" s="11">
        <v>7.84</v>
      </c>
      <c r="K8" s="4">
        <f>'Occupied &amp; No. of Guest'!B9</f>
        <v>471</v>
      </c>
      <c r="L8" s="4">
        <f>'Occupied &amp; No. of Guest'!C9</f>
        <v>686</v>
      </c>
    </row>
    <row r="9" spans="1:12" x14ac:dyDescent="0.25">
      <c r="A9" s="9" t="s">
        <v>52</v>
      </c>
      <c r="B9" s="10">
        <f t="shared" si="0"/>
        <v>8</v>
      </c>
      <c r="C9" s="10">
        <v>3</v>
      </c>
      <c r="D9" s="10">
        <v>2024</v>
      </c>
      <c r="E9" s="4">
        <v>33131</v>
      </c>
      <c r="F9" s="11">
        <v>0.2</v>
      </c>
      <c r="G9" s="4">
        <f>LPG!C11</f>
        <v>2492.8064516129034</v>
      </c>
      <c r="H9" s="11">
        <v>1.65</v>
      </c>
      <c r="I9" s="4">
        <v>296.68300000000517</v>
      </c>
      <c r="J9" s="11">
        <v>7.84</v>
      </c>
      <c r="K9" s="4">
        <f>'Occupied &amp; No. of Guest'!B10</f>
        <v>409</v>
      </c>
      <c r="L9" s="4">
        <f>'Occupied &amp; No. of Guest'!C10</f>
        <v>629</v>
      </c>
    </row>
    <row r="10" spans="1:12" x14ac:dyDescent="0.25">
      <c r="A10" s="9" t="s">
        <v>52</v>
      </c>
      <c r="B10" s="10">
        <f t="shared" si="0"/>
        <v>9</v>
      </c>
      <c r="C10" s="10">
        <v>3</v>
      </c>
      <c r="D10" s="10">
        <v>2024</v>
      </c>
      <c r="E10" s="4">
        <v>28490.2</v>
      </c>
      <c r="F10" s="11">
        <v>0.2</v>
      </c>
      <c r="G10" s="4">
        <f>LPG!C12</f>
        <v>2492.8064516129034</v>
      </c>
      <c r="H10" s="11">
        <v>1.65</v>
      </c>
      <c r="I10" s="4">
        <v>310.63699999997914</v>
      </c>
      <c r="J10" s="11">
        <v>7.84</v>
      </c>
      <c r="K10" s="4">
        <f>'Occupied &amp; No. of Guest'!B11</f>
        <v>356</v>
      </c>
      <c r="L10" s="4">
        <f>'Occupied &amp; No. of Guest'!C11</f>
        <v>534</v>
      </c>
    </row>
    <row r="11" spans="1:12" x14ac:dyDescent="0.25">
      <c r="A11" s="9" t="s">
        <v>52</v>
      </c>
      <c r="B11" s="10">
        <f t="shared" si="0"/>
        <v>10</v>
      </c>
      <c r="C11" s="10">
        <v>3</v>
      </c>
      <c r="D11" s="10">
        <v>2024</v>
      </c>
      <c r="E11" s="4">
        <v>28943.4</v>
      </c>
      <c r="F11" s="11">
        <v>0.2</v>
      </c>
      <c r="G11" s="4">
        <f>LPG!C13</f>
        <v>2492.8064516129034</v>
      </c>
      <c r="H11" s="11">
        <v>1.65</v>
      </c>
      <c r="I11" s="4">
        <v>255.49600000001041</v>
      </c>
      <c r="J11" s="11">
        <v>7.84</v>
      </c>
      <c r="K11" s="4">
        <f>'Occupied &amp; No. of Guest'!B12</f>
        <v>307</v>
      </c>
      <c r="L11" s="4">
        <f>'Occupied &amp; No. of Guest'!C12</f>
        <v>435</v>
      </c>
    </row>
    <row r="12" spans="1:12" x14ac:dyDescent="0.25">
      <c r="A12" s="9" t="s">
        <v>52</v>
      </c>
      <c r="B12" s="10">
        <f t="shared" si="0"/>
        <v>11</v>
      </c>
      <c r="C12" s="10">
        <v>3</v>
      </c>
      <c r="D12" s="10">
        <v>2024</v>
      </c>
      <c r="E12" s="4">
        <v>28752</v>
      </c>
      <c r="F12" s="11">
        <v>0.2</v>
      </c>
      <c r="G12" s="4">
        <f>LPG!C14</f>
        <v>2492.8064516129034</v>
      </c>
      <c r="H12" s="11">
        <v>1.65</v>
      </c>
      <c r="I12" s="4">
        <v>208.74099999998967</v>
      </c>
      <c r="J12" s="11">
        <v>7.84</v>
      </c>
      <c r="K12" s="4">
        <f>'Occupied &amp; No. of Guest'!B13</f>
        <v>322</v>
      </c>
      <c r="L12" s="4">
        <f>'Occupied &amp; No. of Guest'!C13</f>
        <v>458</v>
      </c>
    </row>
    <row r="13" spans="1:12" x14ac:dyDescent="0.25">
      <c r="A13" s="9" t="s">
        <v>52</v>
      </c>
      <c r="B13" s="10">
        <f t="shared" si="0"/>
        <v>12</v>
      </c>
      <c r="C13" s="10">
        <v>3</v>
      </c>
      <c r="D13" s="10">
        <v>2024</v>
      </c>
      <c r="E13" s="4">
        <v>28454.2</v>
      </c>
      <c r="F13" s="11">
        <v>0.2</v>
      </c>
      <c r="G13" s="4">
        <f>LPG!C15</f>
        <v>2492.8064516129034</v>
      </c>
      <c r="H13" s="11">
        <v>1.65</v>
      </c>
      <c r="I13" s="4">
        <v>241.01700000002111</v>
      </c>
      <c r="J13" s="11">
        <v>7.84</v>
      </c>
      <c r="K13" s="4">
        <f>'Occupied &amp; No. of Guest'!B14</f>
        <v>415</v>
      </c>
      <c r="L13" s="4">
        <f>'Occupied &amp; No. of Guest'!C14</f>
        <v>601</v>
      </c>
    </row>
    <row r="14" spans="1:12" x14ac:dyDescent="0.25">
      <c r="A14" s="9" t="s">
        <v>52</v>
      </c>
      <c r="B14" s="10">
        <f t="shared" si="0"/>
        <v>13</v>
      </c>
      <c r="C14" s="10">
        <v>3</v>
      </c>
      <c r="D14" s="10">
        <v>2024</v>
      </c>
      <c r="E14" s="4">
        <v>28011.4</v>
      </c>
      <c r="F14" s="11">
        <v>0.2</v>
      </c>
      <c r="G14" s="4">
        <f>LPG!C16</f>
        <v>2492.8064516129034</v>
      </c>
      <c r="H14" s="11">
        <v>1.65</v>
      </c>
      <c r="I14" s="4">
        <v>230.25199999998912</v>
      </c>
      <c r="J14" s="11">
        <v>7.84</v>
      </c>
      <c r="K14" s="4">
        <f>'Occupied &amp; No. of Guest'!B15</f>
        <v>323</v>
      </c>
      <c r="L14" s="4">
        <f>'Occupied &amp; No. of Guest'!C15</f>
        <v>439</v>
      </c>
    </row>
    <row r="15" spans="1:12" x14ac:dyDescent="0.25">
      <c r="A15" s="9" t="s">
        <v>52</v>
      </c>
      <c r="B15" s="10">
        <f t="shared" si="0"/>
        <v>14</v>
      </c>
      <c r="C15" s="10">
        <v>3</v>
      </c>
      <c r="D15" s="10">
        <v>2024</v>
      </c>
      <c r="E15" s="4">
        <v>31335.800000000003</v>
      </c>
      <c r="F15" s="11">
        <v>0.2</v>
      </c>
      <c r="G15" s="4">
        <f>LPG!C17</f>
        <v>2492.8064516129034</v>
      </c>
      <c r="H15" s="11">
        <v>1.65</v>
      </c>
      <c r="I15" s="4">
        <v>229.01599999999513</v>
      </c>
      <c r="J15" s="11">
        <v>7.84</v>
      </c>
      <c r="K15" s="4">
        <f>'Occupied &amp; No. of Guest'!B16</f>
        <v>252</v>
      </c>
      <c r="L15" s="4">
        <f>'Occupied &amp; No. of Guest'!C16</f>
        <v>380</v>
      </c>
    </row>
    <row r="16" spans="1:12" x14ac:dyDescent="0.25">
      <c r="A16" s="9" t="s">
        <v>52</v>
      </c>
      <c r="B16" s="10">
        <f t="shared" si="0"/>
        <v>15</v>
      </c>
      <c r="C16" s="10">
        <v>3</v>
      </c>
      <c r="D16" s="10">
        <v>2024</v>
      </c>
      <c r="E16" s="4">
        <v>31441.200000000001</v>
      </c>
      <c r="F16" s="11">
        <v>0.2</v>
      </c>
      <c r="G16" s="4">
        <f>LPG!C18</f>
        <v>2492.8064516129034</v>
      </c>
      <c r="H16" s="11">
        <v>1.65</v>
      </c>
      <c r="I16" s="4">
        <v>257.62000000000495</v>
      </c>
      <c r="J16" s="11">
        <v>7.84</v>
      </c>
      <c r="K16" s="4">
        <f>'Occupied &amp; No. of Guest'!B17</f>
        <v>287</v>
      </c>
      <c r="L16" s="4">
        <f>'Occupied &amp; No. of Guest'!C17</f>
        <v>440</v>
      </c>
    </row>
    <row r="17" spans="1:12" x14ac:dyDescent="0.25">
      <c r="A17" s="9" t="s">
        <v>52</v>
      </c>
      <c r="B17" s="10">
        <f t="shared" si="0"/>
        <v>16</v>
      </c>
      <c r="C17" s="10">
        <v>3</v>
      </c>
      <c r="D17" s="10">
        <v>2024</v>
      </c>
      <c r="E17" s="4">
        <v>30782.6</v>
      </c>
      <c r="F17" s="11">
        <v>0.2</v>
      </c>
      <c r="G17" s="4">
        <f>LPG!C19</f>
        <v>2492.8064516129034</v>
      </c>
      <c r="H17" s="11">
        <v>1.65</v>
      </c>
      <c r="I17" s="4">
        <v>227.3280000000106</v>
      </c>
      <c r="J17" s="11">
        <v>7.84</v>
      </c>
      <c r="K17" s="4">
        <f>'Occupied &amp; No. of Guest'!B18</f>
        <v>283</v>
      </c>
      <c r="L17" s="4">
        <f>'Occupied &amp; No. of Guest'!C18</f>
        <v>444</v>
      </c>
    </row>
    <row r="18" spans="1:12" x14ac:dyDescent="0.25">
      <c r="A18" s="9" t="s">
        <v>52</v>
      </c>
      <c r="B18" s="10">
        <f t="shared" si="0"/>
        <v>17</v>
      </c>
      <c r="C18" s="10">
        <v>3</v>
      </c>
      <c r="D18" s="10">
        <v>2024</v>
      </c>
      <c r="E18" s="4">
        <v>31263.200000000001</v>
      </c>
      <c r="F18" s="11">
        <v>0.2</v>
      </c>
      <c r="G18" s="4">
        <f>LPG!C20</f>
        <v>2492.8064516129034</v>
      </c>
      <c r="H18" s="11">
        <v>1.65</v>
      </c>
      <c r="I18" s="4">
        <v>361.12599999998957</v>
      </c>
      <c r="J18" s="11">
        <v>7.84</v>
      </c>
      <c r="K18" s="4">
        <f>'Occupied &amp; No. of Guest'!B19</f>
        <v>288</v>
      </c>
      <c r="L18" s="4">
        <f>'Occupied &amp; No. of Guest'!C19</f>
        <v>441</v>
      </c>
    </row>
    <row r="19" spans="1:12" x14ac:dyDescent="0.25">
      <c r="A19" s="9" t="s">
        <v>52</v>
      </c>
      <c r="B19" s="10">
        <f t="shared" si="0"/>
        <v>18</v>
      </c>
      <c r="C19" s="10">
        <v>3</v>
      </c>
      <c r="D19" s="10">
        <v>2024</v>
      </c>
      <c r="E19" s="4">
        <v>31153.200000000001</v>
      </c>
      <c r="F19" s="11">
        <v>0.2</v>
      </c>
      <c r="G19" s="4">
        <f>LPG!C21</f>
        <v>2492.8064516129034</v>
      </c>
      <c r="H19" s="11">
        <v>1.65</v>
      </c>
      <c r="I19" s="4">
        <v>103.3269999999944</v>
      </c>
      <c r="J19" s="11">
        <v>7.84</v>
      </c>
      <c r="K19" s="4">
        <f>'Occupied &amp; No. of Guest'!B20</f>
        <v>322</v>
      </c>
      <c r="L19" s="4">
        <f>'Occupied &amp; No. of Guest'!C20</f>
        <v>494</v>
      </c>
    </row>
    <row r="20" spans="1:12" x14ac:dyDescent="0.25">
      <c r="A20" s="9" t="s">
        <v>52</v>
      </c>
      <c r="B20" s="10">
        <f t="shared" si="0"/>
        <v>19</v>
      </c>
      <c r="C20" s="10">
        <v>3</v>
      </c>
      <c r="D20" s="10">
        <v>2024</v>
      </c>
      <c r="E20" s="4">
        <v>34360.6</v>
      </c>
      <c r="F20" s="11">
        <v>0.2</v>
      </c>
      <c r="G20" s="4">
        <f>LPG!C22</f>
        <v>2492.8064516129034</v>
      </c>
      <c r="H20" s="11">
        <v>1.65</v>
      </c>
      <c r="I20" s="4">
        <v>276.37600000000009</v>
      </c>
      <c r="J20" s="11">
        <v>7.84</v>
      </c>
      <c r="K20" s="4">
        <f>'Occupied &amp; No. of Guest'!B21</f>
        <v>370</v>
      </c>
      <c r="L20" s="4">
        <f>'Occupied &amp; No. of Guest'!C21</f>
        <v>535</v>
      </c>
    </row>
    <row r="21" spans="1:12" x14ac:dyDescent="0.25">
      <c r="A21" s="9" t="s">
        <v>52</v>
      </c>
      <c r="B21" s="10">
        <f t="shared" si="0"/>
        <v>20</v>
      </c>
      <c r="C21" s="10">
        <v>3</v>
      </c>
      <c r="D21" s="10">
        <v>2024</v>
      </c>
      <c r="E21" s="4">
        <v>31934.2</v>
      </c>
      <c r="F21" s="11">
        <v>0.2</v>
      </c>
      <c r="G21" s="4">
        <f>LPG!C23</f>
        <v>2492.8064516129034</v>
      </c>
      <c r="H21" s="11">
        <v>1.65</v>
      </c>
      <c r="I21" s="4">
        <v>280.17300000000535</v>
      </c>
      <c r="J21" s="11">
        <v>7.84</v>
      </c>
      <c r="K21" s="4">
        <f>'Occupied &amp; No. of Guest'!B22</f>
        <v>362</v>
      </c>
      <c r="L21" s="4">
        <f>'Occupied &amp; No. of Guest'!C22</f>
        <v>485</v>
      </c>
    </row>
    <row r="22" spans="1:12" x14ac:dyDescent="0.25">
      <c r="A22" s="9" t="s">
        <v>52</v>
      </c>
      <c r="B22" s="10">
        <f t="shared" si="0"/>
        <v>21</v>
      </c>
      <c r="C22" s="10">
        <v>3</v>
      </c>
      <c r="D22" s="10">
        <v>2024</v>
      </c>
      <c r="E22" s="4">
        <v>38994.400000000001</v>
      </c>
      <c r="F22" s="11">
        <v>0.2</v>
      </c>
      <c r="G22" s="4">
        <f>LPG!C24</f>
        <v>2492.8064516129034</v>
      </c>
      <c r="H22" s="11">
        <v>1.65</v>
      </c>
      <c r="I22" s="4">
        <v>304.66299999998949</v>
      </c>
      <c r="J22" s="11">
        <v>7.84</v>
      </c>
      <c r="K22" s="4">
        <f>'Occupied &amp; No. of Guest'!B23</f>
        <v>362</v>
      </c>
      <c r="L22" s="4">
        <f>'Occupied &amp; No. of Guest'!C23</f>
        <v>560</v>
      </c>
    </row>
    <row r="23" spans="1:12" x14ac:dyDescent="0.25">
      <c r="A23" s="9" t="s">
        <v>52</v>
      </c>
      <c r="B23" s="10">
        <f t="shared" si="0"/>
        <v>22</v>
      </c>
      <c r="C23" s="10">
        <v>3</v>
      </c>
      <c r="D23" s="10">
        <v>2024</v>
      </c>
      <c r="E23" s="4">
        <v>30357.4</v>
      </c>
      <c r="F23" s="11">
        <v>0.2</v>
      </c>
      <c r="G23" s="4">
        <f>LPG!C25</f>
        <v>2492.8064516129034</v>
      </c>
      <c r="H23" s="11">
        <v>1.65</v>
      </c>
      <c r="I23" s="4">
        <v>288.60100000001592</v>
      </c>
      <c r="J23" s="11">
        <v>7.84</v>
      </c>
      <c r="K23" s="4">
        <f>'Occupied &amp; No. of Guest'!B24</f>
        <v>322</v>
      </c>
      <c r="L23" s="4">
        <f>'Occupied &amp; No. of Guest'!C24</f>
        <v>508</v>
      </c>
    </row>
    <row r="24" spans="1:12" x14ac:dyDescent="0.25">
      <c r="A24" s="9" t="s">
        <v>52</v>
      </c>
      <c r="B24" s="10">
        <f t="shared" si="0"/>
        <v>23</v>
      </c>
      <c r="C24" s="10">
        <v>3</v>
      </c>
      <c r="D24" s="10">
        <v>2024</v>
      </c>
      <c r="E24" s="4">
        <v>30055</v>
      </c>
      <c r="F24" s="11">
        <v>0.2</v>
      </c>
      <c r="G24" s="4">
        <f>LPG!C26</f>
        <v>2492.8064516129034</v>
      </c>
      <c r="H24" s="11">
        <v>1.65</v>
      </c>
      <c r="I24" s="4">
        <v>295.29499999998421</v>
      </c>
      <c r="J24" s="11">
        <v>7.84</v>
      </c>
      <c r="K24" s="4">
        <f>'Occupied &amp; No. of Guest'!B25</f>
        <v>252</v>
      </c>
      <c r="L24" s="4">
        <f>'Occupied &amp; No. of Guest'!C25</f>
        <v>391</v>
      </c>
    </row>
    <row r="25" spans="1:12" x14ac:dyDescent="0.25">
      <c r="A25" s="9" t="s">
        <v>52</v>
      </c>
      <c r="B25" s="10">
        <f t="shared" si="0"/>
        <v>24</v>
      </c>
      <c r="C25" s="10">
        <v>3</v>
      </c>
      <c r="D25" s="10">
        <v>2024</v>
      </c>
      <c r="E25" s="4">
        <v>32577.200000000001</v>
      </c>
      <c r="F25" s="11">
        <v>0.2</v>
      </c>
      <c r="G25" s="4">
        <f>LPG!C27</f>
        <v>2492.8064516129034</v>
      </c>
      <c r="H25" s="11">
        <v>1.65</v>
      </c>
      <c r="I25" s="4">
        <v>251.88400000001047</v>
      </c>
      <c r="J25" s="11">
        <v>7.84</v>
      </c>
      <c r="K25" s="4">
        <f>'Occupied &amp; No. of Guest'!B26</f>
        <v>289</v>
      </c>
      <c r="L25" s="4">
        <f>'Occupied &amp; No. of Guest'!C26</f>
        <v>443</v>
      </c>
    </row>
    <row r="26" spans="1:12" x14ac:dyDescent="0.25">
      <c r="A26" s="9" t="s">
        <v>52</v>
      </c>
      <c r="B26" s="10">
        <f>B25+1</f>
        <v>25</v>
      </c>
      <c r="C26" s="10">
        <v>3</v>
      </c>
      <c r="D26" s="10">
        <v>2024</v>
      </c>
      <c r="E26" s="4">
        <v>33380.400000000001</v>
      </c>
      <c r="F26" s="11">
        <v>0.2</v>
      </c>
      <c r="G26" s="4">
        <f>LPG!C28</f>
        <v>2492.8064516129034</v>
      </c>
      <c r="H26" s="11">
        <v>1.65</v>
      </c>
      <c r="I26" s="4">
        <v>295.12400000000531</v>
      </c>
      <c r="J26" s="11">
        <v>7.84</v>
      </c>
      <c r="K26" s="4">
        <f>'Occupied &amp; No. of Guest'!B27</f>
        <v>271</v>
      </c>
      <c r="L26" s="4">
        <f>'Occupied &amp; No. of Guest'!C27</f>
        <v>386</v>
      </c>
    </row>
    <row r="27" spans="1:12" x14ac:dyDescent="0.25">
      <c r="A27" s="9" t="s">
        <v>52</v>
      </c>
      <c r="B27" s="10">
        <f t="shared" si="0"/>
        <v>26</v>
      </c>
      <c r="C27" s="10">
        <v>3</v>
      </c>
      <c r="D27" s="10">
        <v>2024</v>
      </c>
      <c r="E27" s="4">
        <v>30879.800000000003</v>
      </c>
      <c r="F27" s="11">
        <v>0.2</v>
      </c>
      <c r="G27" s="4">
        <f>LPG!C29</f>
        <v>2492.8064516129034</v>
      </c>
      <c r="H27" s="11">
        <v>1.65</v>
      </c>
      <c r="I27" s="4">
        <v>269.25999999998947</v>
      </c>
      <c r="J27" s="11">
        <v>7.84</v>
      </c>
      <c r="K27" s="4">
        <f>'Occupied &amp; No. of Guest'!B28</f>
        <v>298</v>
      </c>
      <c r="L27" s="4">
        <f>'Occupied &amp; No. of Guest'!C28</f>
        <v>442</v>
      </c>
    </row>
    <row r="28" spans="1:12" x14ac:dyDescent="0.25">
      <c r="A28" s="9" t="s">
        <v>52</v>
      </c>
      <c r="B28" s="10">
        <f t="shared" si="0"/>
        <v>27</v>
      </c>
      <c r="C28" s="10">
        <v>3</v>
      </c>
      <c r="D28" s="10">
        <v>2024</v>
      </c>
      <c r="E28" s="4">
        <v>27913.8</v>
      </c>
      <c r="F28" s="11">
        <v>0.2</v>
      </c>
      <c r="G28" s="4">
        <f>LPG!C30</f>
        <v>2492.8064516129034</v>
      </c>
      <c r="H28" s="11">
        <v>1.65</v>
      </c>
      <c r="I28" s="4">
        <v>285.09800000001587</v>
      </c>
      <c r="J28" s="11">
        <v>7.84</v>
      </c>
      <c r="K28" s="4">
        <f>'Occupied &amp; No. of Guest'!B29</f>
        <v>243</v>
      </c>
      <c r="L28" s="4">
        <f>'Occupied &amp; No. of Guest'!C29</f>
        <v>339</v>
      </c>
    </row>
    <row r="29" spans="1:12" x14ac:dyDescent="0.25">
      <c r="A29" s="9" t="s">
        <v>52</v>
      </c>
      <c r="B29" s="10">
        <f t="shared" si="0"/>
        <v>28</v>
      </c>
      <c r="C29" s="10">
        <v>3</v>
      </c>
      <c r="D29" s="10">
        <v>2024</v>
      </c>
      <c r="E29" s="4">
        <v>29241.200000000001</v>
      </c>
      <c r="F29" s="11">
        <v>0.2</v>
      </c>
      <c r="G29" s="4">
        <f>LPG!C31</f>
        <v>2492.8064516129034</v>
      </c>
      <c r="H29" s="11">
        <v>1.65</v>
      </c>
      <c r="I29" s="4">
        <v>320.01999999998952</v>
      </c>
      <c r="J29" s="11">
        <v>7.84</v>
      </c>
      <c r="K29" s="4">
        <f>'Occupied &amp; No. of Guest'!B30</f>
        <v>323</v>
      </c>
      <c r="L29" s="4">
        <f>'Occupied &amp; No. of Guest'!C30</f>
        <v>533</v>
      </c>
    </row>
    <row r="30" spans="1:12" x14ac:dyDescent="0.25">
      <c r="A30" s="9" t="s">
        <v>52</v>
      </c>
      <c r="B30" s="10">
        <f t="shared" si="0"/>
        <v>29</v>
      </c>
      <c r="C30" s="10">
        <v>3</v>
      </c>
      <c r="D30" s="10">
        <v>2024</v>
      </c>
      <c r="E30" s="4">
        <v>32773.599999999999</v>
      </c>
      <c r="F30" s="11">
        <v>0.2</v>
      </c>
      <c r="G30" s="4">
        <f>LPG!C32</f>
        <v>2492.8064516129034</v>
      </c>
      <c r="H30" s="11">
        <v>1.65</v>
      </c>
      <c r="I30" s="4">
        <v>236.02200000000502</v>
      </c>
      <c r="J30" s="11">
        <v>7.84</v>
      </c>
      <c r="K30" s="4">
        <f>'Occupied &amp; No. of Guest'!B31</f>
        <v>236</v>
      </c>
      <c r="L30" s="4">
        <f>'Occupied &amp; No. of Guest'!C31</f>
        <v>400</v>
      </c>
    </row>
    <row r="31" spans="1:12" x14ac:dyDescent="0.25">
      <c r="A31" s="9" t="s">
        <v>52</v>
      </c>
      <c r="B31" s="10">
        <f t="shared" si="0"/>
        <v>30</v>
      </c>
      <c r="C31" s="10">
        <v>3</v>
      </c>
      <c r="D31" s="10">
        <v>2024</v>
      </c>
      <c r="E31" s="4">
        <v>29384.800000000003</v>
      </c>
      <c r="F31" s="11">
        <v>0.2</v>
      </c>
      <c r="G31" s="4">
        <f>LPG!C33</f>
        <v>2492.8064516129034</v>
      </c>
      <c r="H31" s="11">
        <v>1.65</v>
      </c>
      <c r="I31" s="4">
        <v>389.23099999999999</v>
      </c>
      <c r="J31" s="11">
        <v>7.84</v>
      </c>
      <c r="K31" s="4">
        <f>'Occupied &amp; No. of Guest'!B32</f>
        <v>231</v>
      </c>
      <c r="L31" s="4">
        <f>'Occupied &amp; No. of Guest'!C32</f>
        <v>367</v>
      </c>
    </row>
    <row r="32" spans="1:12" x14ac:dyDescent="0.25">
      <c r="A32" s="9" t="s">
        <v>52</v>
      </c>
      <c r="B32" s="10">
        <f t="shared" si="0"/>
        <v>31</v>
      </c>
      <c r="C32" s="10">
        <v>3</v>
      </c>
      <c r="D32" s="10">
        <v>2024</v>
      </c>
      <c r="E32" s="4">
        <v>29424.2</v>
      </c>
      <c r="F32" s="11">
        <v>0.2</v>
      </c>
      <c r="G32" s="4">
        <f>LPG!C34</f>
        <v>2492.8064516129034</v>
      </c>
      <c r="H32" s="11">
        <v>1.65</v>
      </c>
      <c r="I32" s="4">
        <v>117.44200000000501</v>
      </c>
      <c r="J32" s="11">
        <v>7.84</v>
      </c>
      <c r="K32" s="4">
        <f>'Occupied &amp; No. of Guest'!B33</f>
        <v>283</v>
      </c>
      <c r="L32" s="4">
        <f>'Occupied &amp; No. of Guest'!C33</f>
        <v>410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Normal="100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A2" sqref="A2:AI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5" t="s">
        <v>84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</row>
    <row r="3" spans="1:67" s="14" customFormat="1" ht="29.25" customHeight="1" thickBot="1" x14ac:dyDescent="0.3"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7">
        <v>1</v>
      </c>
      <c r="B5" s="20" t="s">
        <v>14</v>
      </c>
      <c r="C5" s="69" t="s">
        <v>15</v>
      </c>
      <c r="D5" s="21">
        <v>8095112</v>
      </c>
      <c r="E5" s="21">
        <v>8118341</v>
      </c>
      <c r="F5" s="21">
        <v>8138029</v>
      </c>
      <c r="G5" s="21">
        <v>8159208</v>
      </c>
      <c r="H5" s="21">
        <v>8181574</v>
      </c>
      <c r="I5" s="21">
        <v>8203405</v>
      </c>
      <c r="J5" s="21">
        <v>8225657</v>
      </c>
      <c r="K5" s="21">
        <v>8247993</v>
      </c>
      <c r="L5" s="21">
        <v>8269839</v>
      </c>
      <c r="M5" s="21">
        <v>8291782</v>
      </c>
      <c r="N5" s="21">
        <v>8312465</v>
      </c>
      <c r="O5" s="21">
        <v>8333065</v>
      </c>
      <c r="P5" s="21">
        <v>8353603</v>
      </c>
      <c r="Q5" s="21">
        <v>8373778</v>
      </c>
      <c r="R5" s="21">
        <v>8395453</v>
      </c>
      <c r="S5" s="21">
        <v>8417705</v>
      </c>
      <c r="T5" s="21">
        <v>8438466</v>
      </c>
      <c r="U5" s="21">
        <v>8459416</v>
      </c>
      <c r="V5" s="21">
        <v>8480158</v>
      </c>
      <c r="W5" s="21">
        <v>8502406</v>
      </c>
      <c r="X5" s="21">
        <v>8522699</v>
      </c>
      <c r="Y5" s="21">
        <v>8545821</v>
      </c>
      <c r="Z5" s="21">
        <v>8567196</v>
      </c>
      <c r="AA5" s="21">
        <v>8588313</v>
      </c>
      <c r="AB5" s="21">
        <v>8609025</v>
      </c>
      <c r="AC5" s="21">
        <v>8630367</v>
      </c>
      <c r="AD5" s="21">
        <v>8651692</v>
      </c>
      <c r="AE5" s="21">
        <v>8671860</v>
      </c>
      <c r="AF5" s="21">
        <v>8692803</v>
      </c>
      <c r="AG5" s="21">
        <v>8716524</v>
      </c>
      <c r="AH5" s="21">
        <v>8737212</v>
      </c>
      <c r="AI5" s="21">
        <v>8757607</v>
      </c>
    </row>
    <row r="6" spans="1:67" s="24" customFormat="1" ht="21.75" customHeight="1" thickBot="1" x14ac:dyDescent="0.25">
      <c r="A6" s="68"/>
      <c r="B6" s="22"/>
      <c r="C6" s="70"/>
      <c r="D6" s="23"/>
      <c r="E6" s="23">
        <f t="shared" ref="E6:AI6" si="0">E5-D5</f>
        <v>23229</v>
      </c>
      <c r="F6" s="23">
        <f t="shared" si="0"/>
        <v>19688</v>
      </c>
      <c r="G6" s="23">
        <f t="shared" si="0"/>
        <v>21179</v>
      </c>
      <c r="H6" s="23">
        <f t="shared" si="0"/>
        <v>22366</v>
      </c>
      <c r="I6" s="23">
        <f t="shared" si="0"/>
        <v>21831</v>
      </c>
      <c r="J6" s="23">
        <f t="shared" si="0"/>
        <v>22252</v>
      </c>
      <c r="K6" s="23">
        <f t="shared" si="0"/>
        <v>22336</v>
      </c>
      <c r="L6" s="23">
        <f t="shared" si="0"/>
        <v>21846</v>
      </c>
      <c r="M6" s="23">
        <f t="shared" si="0"/>
        <v>21943</v>
      </c>
      <c r="N6" s="23">
        <f t="shared" si="0"/>
        <v>20683</v>
      </c>
      <c r="O6" s="23">
        <f t="shared" si="0"/>
        <v>20600</v>
      </c>
      <c r="P6" s="23">
        <f t="shared" si="0"/>
        <v>20538</v>
      </c>
      <c r="Q6" s="23">
        <f t="shared" si="0"/>
        <v>20175</v>
      </c>
      <c r="R6" s="23">
        <f t="shared" si="0"/>
        <v>21675</v>
      </c>
      <c r="S6" s="23">
        <f t="shared" si="0"/>
        <v>22252</v>
      </c>
      <c r="T6" s="23">
        <f t="shared" si="0"/>
        <v>20761</v>
      </c>
      <c r="U6" s="23">
        <f t="shared" si="0"/>
        <v>20950</v>
      </c>
      <c r="V6" s="23">
        <f t="shared" si="0"/>
        <v>20742</v>
      </c>
      <c r="W6" s="23">
        <f t="shared" si="0"/>
        <v>22248</v>
      </c>
      <c r="X6" s="23">
        <f t="shared" si="0"/>
        <v>20293</v>
      </c>
      <c r="Y6" s="23">
        <f t="shared" si="0"/>
        <v>23122</v>
      </c>
      <c r="Z6" s="23">
        <f t="shared" si="0"/>
        <v>21375</v>
      </c>
      <c r="AA6" s="23">
        <f t="shared" si="0"/>
        <v>21117</v>
      </c>
      <c r="AB6" s="23">
        <f t="shared" si="0"/>
        <v>20712</v>
      </c>
      <c r="AC6" s="23">
        <f t="shared" si="0"/>
        <v>21342</v>
      </c>
      <c r="AD6" s="23">
        <f t="shared" si="0"/>
        <v>21325</v>
      </c>
      <c r="AE6" s="23">
        <f t="shared" si="0"/>
        <v>20168</v>
      </c>
      <c r="AF6" s="23">
        <f t="shared" si="0"/>
        <v>20943</v>
      </c>
      <c r="AG6" s="23">
        <f t="shared" si="0"/>
        <v>23721</v>
      </c>
      <c r="AH6" s="23">
        <f t="shared" si="0"/>
        <v>20688</v>
      </c>
      <c r="AI6" s="23">
        <f t="shared" si="0"/>
        <v>20395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1">
        <v>2</v>
      </c>
      <c r="B7" s="25" t="s">
        <v>16</v>
      </c>
      <c r="C7" s="73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72"/>
      <c r="B8" s="22"/>
      <c r="C8" s="70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53</v>
      </c>
      <c r="C9" s="80" t="s">
        <v>54</v>
      </c>
      <c r="D9" s="21">
        <v>9382937</v>
      </c>
      <c r="E9" s="21">
        <v>9387034</v>
      </c>
      <c r="F9" s="21">
        <v>9390537</v>
      </c>
      <c r="G9" s="21">
        <v>9394338</v>
      </c>
      <c r="H9" s="21">
        <v>9396217</v>
      </c>
      <c r="I9" s="21">
        <v>9397078</v>
      </c>
      <c r="J9" s="21">
        <v>9397873</v>
      </c>
      <c r="K9" s="21">
        <v>9398695</v>
      </c>
      <c r="L9" s="21">
        <v>9402560</v>
      </c>
      <c r="M9" s="21">
        <v>9403465</v>
      </c>
      <c r="N9" s="21">
        <v>9404425</v>
      </c>
      <c r="O9" s="21">
        <v>9406031</v>
      </c>
      <c r="P9" s="21">
        <v>9407875</v>
      </c>
      <c r="Q9" s="21">
        <v>9409585</v>
      </c>
      <c r="R9" s="21">
        <v>9415072</v>
      </c>
      <c r="S9" s="21">
        <v>9417403</v>
      </c>
      <c r="T9" s="21">
        <v>9422985</v>
      </c>
      <c r="U9" s="21">
        <v>9428866</v>
      </c>
      <c r="V9" s="21">
        <v>9434050</v>
      </c>
      <c r="W9" s="21">
        <v>9443270</v>
      </c>
      <c r="X9" s="21">
        <v>9452143</v>
      </c>
      <c r="Y9" s="21">
        <v>9469620</v>
      </c>
      <c r="Z9" s="21">
        <v>9471564</v>
      </c>
      <c r="AA9" s="21">
        <v>9473199</v>
      </c>
      <c r="AB9" s="21">
        <v>9488821</v>
      </c>
      <c r="AC9" s="21">
        <v>9499293</v>
      </c>
      <c r="AD9" s="21">
        <v>9505461</v>
      </c>
      <c r="AE9" s="21">
        <v>9506802</v>
      </c>
      <c r="AF9" s="21">
        <v>9506813</v>
      </c>
      <c r="AG9" s="21">
        <v>9506984</v>
      </c>
      <c r="AH9" s="21">
        <v>9507275</v>
      </c>
      <c r="AI9" s="21">
        <v>9507844</v>
      </c>
    </row>
    <row r="10" spans="1:67" s="24" customFormat="1" ht="21.75" customHeight="1" thickBot="1" x14ac:dyDescent="0.25">
      <c r="A10" s="79"/>
      <c r="B10" s="37"/>
      <c r="C10" s="77"/>
      <c r="D10" s="23"/>
      <c r="E10" s="23">
        <f t="shared" ref="E10:AI10" si="2">E9-D9</f>
        <v>4097</v>
      </c>
      <c r="F10" s="23">
        <f t="shared" si="2"/>
        <v>3503</v>
      </c>
      <c r="G10" s="23">
        <f t="shared" si="2"/>
        <v>3801</v>
      </c>
      <c r="H10" s="23">
        <f t="shared" si="2"/>
        <v>1879</v>
      </c>
      <c r="I10" s="23">
        <f t="shared" si="2"/>
        <v>861</v>
      </c>
      <c r="J10" s="23">
        <f t="shared" si="2"/>
        <v>795</v>
      </c>
      <c r="K10" s="23">
        <f t="shared" si="2"/>
        <v>822</v>
      </c>
      <c r="L10" s="23">
        <f t="shared" si="2"/>
        <v>3865</v>
      </c>
      <c r="M10" s="23">
        <f t="shared" si="2"/>
        <v>905</v>
      </c>
      <c r="N10" s="23">
        <f t="shared" si="2"/>
        <v>960</v>
      </c>
      <c r="O10" s="23">
        <f t="shared" si="2"/>
        <v>1606</v>
      </c>
      <c r="P10" s="23">
        <f t="shared" si="2"/>
        <v>1844</v>
      </c>
      <c r="Q10" s="23">
        <f t="shared" si="2"/>
        <v>1710</v>
      </c>
      <c r="R10" s="23">
        <f t="shared" si="2"/>
        <v>5487</v>
      </c>
      <c r="S10" s="23">
        <f t="shared" si="2"/>
        <v>2331</v>
      </c>
      <c r="T10" s="23">
        <f t="shared" si="2"/>
        <v>5582</v>
      </c>
      <c r="U10" s="23">
        <f t="shared" si="2"/>
        <v>5881</v>
      </c>
      <c r="V10" s="23">
        <f t="shared" si="2"/>
        <v>5184</v>
      </c>
      <c r="W10" s="23">
        <f t="shared" si="2"/>
        <v>9220</v>
      </c>
      <c r="X10" s="23">
        <f t="shared" si="2"/>
        <v>8873</v>
      </c>
      <c r="Y10" s="23">
        <f t="shared" si="2"/>
        <v>17477</v>
      </c>
      <c r="Z10" s="23">
        <f t="shared" si="2"/>
        <v>1944</v>
      </c>
      <c r="AA10" s="23">
        <f t="shared" si="2"/>
        <v>1635</v>
      </c>
      <c r="AB10" s="23">
        <f t="shared" si="2"/>
        <v>15622</v>
      </c>
      <c r="AC10" s="23">
        <f t="shared" si="2"/>
        <v>10472</v>
      </c>
      <c r="AD10" s="23">
        <f t="shared" si="2"/>
        <v>6168</v>
      </c>
      <c r="AE10" s="23">
        <f t="shared" si="2"/>
        <v>1341</v>
      </c>
      <c r="AF10" s="23">
        <f t="shared" si="2"/>
        <v>11</v>
      </c>
      <c r="AG10" s="23">
        <f t="shared" si="2"/>
        <v>171</v>
      </c>
      <c r="AH10" s="23">
        <f t="shared" si="2"/>
        <v>291</v>
      </c>
      <c r="AI10" s="23">
        <f t="shared" si="2"/>
        <v>569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4">
        <v>4</v>
      </c>
      <c r="B11" s="36" t="s">
        <v>55</v>
      </c>
      <c r="C11" s="80" t="s">
        <v>56</v>
      </c>
      <c r="D11" s="21">
        <v>4443820</v>
      </c>
      <c r="E11" s="21">
        <v>4456760</v>
      </c>
      <c r="F11" s="21">
        <v>4468048</v>
      </c>
      <c r="G11" s="21">
        <v>4479961</v>
      </c>
      <c r="H11" s="21">
        <v>4495707</v>
      </c>
      <c r="I11" s="21">
        <v>4514992</v>
      </c>
      <c r="J11" s="21">
        <v>4533469</v>
      </c>
      <c r="K11" s="21">
        <v>4552077</v>
      </c>
      <c r="L11" s="21">
        <v>4575477</v>
      </c>
      <c r="M11" s="21">
        <v>4589970</v>
      </c>
      <c r="N11" s="21">
        <v>4608721</v>
      </c>
      <c r="O11" s="21">
        <v>4626755</v>
      </c>
      <c r="P11" s="21">
        <v>4643989</v>
      </c>
      <c r="Q11" s="21">
        <v>4661190</v>
      </c>
      <c r="R11" s="21">
        <v>4679220</v>
      </c>
      <c r="S11" s="21">
        <v>4699027</v>
      </c>
      <c r="T11" s="21">
        <v>4717764</v>
      </c>
      <c r="U11" s="21">
        <v>4736881</v>
      </c>
      <c r="V11" s="21">
        <v>4757005</v>
      </c>
      <c r="W11" s="21">
        <v>4777374</v>
      </c>
      <c r="X11" s="21">
        <v>4796999</v>
      </c>
      <c r="Y11" s="21">
        <v>4818483</v>
      </c>
      <c r="Z11" s="21">
        <v>4838330</v>
      </c>
      <c r="AA11" s="21">
        <v>4858305</v>
      </c>
      <c r="AB11" s="21">
        <v>4871656</v>
      </c>
      <c r="AC11" s="21">
        <v>4890575</v>
      </c>
      <c r="AD11" s="21">
        <v>4907574</v>
      </c>
      <c r="AE11" s="21">
        <v>4924880</v>
      </c>
      <c r="AF11" s="21">
        <v>4944857</v>
      </c>
      <c r="AG11" s="21">
        <v>4966590</v>
      </c>
      <c r="AH11" s="21">
        <v>4987321</v>
      </c>
      <c r="AI11" s="21">
        <v>5008590</v>
      </c>
    </row>
    <row r="12" spans="1:67" s="38" customFormat="1" ht="21.75" customHeight="1" thickBot="1" x14ac:dyDescent="0.25">
      <c r="A12" s="75"/>
      <c r="B12" s="37"/>
      <c r="C12" s="77"/>
      <c r="D12" s="23"/>
      <c r="E12" s="23">
        <f t="shared" ref="E12:AI12" si="3">E11-D11</f>
        <v>12940</v>
      </c>
      <c r="F12" s="23">
        <f t="shared" si="3"/>
        <v>11288</v>
      </c>
      <c r="G12" s="23">
        <f t="shared" si="3"/>
        <v>11913</v>
      </c>
      <c r="H12" s="23">
        <f t="shared" si="3"/>
        <v>15746</v>
      </c>
      <c r="I12" s="23">
        <f t="shared" si="3"/>
        <v>19285</v>
      </c>
      <c r="J12" s="23">
        <f t="shared" si="3"/>
        <v>18477</v>
      </c>
      <c r="K12" s="23">
        <f t="shared" si="3"/>
        <v>18608</v>
      </c>
      <c r="L12" s="23">
        <f t="shared" si="3"/>
        <v>23400</v>
      </c>
      <c r="M12" s="23">
        <f t="shared" si="3"/>
        <v>14493</v>
      </c>
      <c r="N12" s="23">
        <f t="shared" si="3"/>
        <v>18751</v>
      </c>
      <c r="O12" s="23">
        <f t="shared" si="3"/>
        <v>18034</v>
      </c>
      <c r="P12" s="23">
        <f t="shared" si="3"/>
        <v>17234</v>
      </c>
      <c r="Q12" s="23">
        <f t="shared" si="3"/>
        <v>17201</v>
      </c>
      <c r="R12" s="23">
        <f t="shared" si="3"/>
        <v>18030</v>
      </c>
      <c r="S12" s="23">
        <f t="shared" si="3"/>
        <v>19807</v>
      </c>
      <c r="T12" s="23">
        <f t="shared" si="3"/>
        <v>18737</v>
      </c>
      <c r="U12" s="23">
        <f t="shared" si="3"/>
        <v>19117</v>
      </c>
      <c r="V12" s="23">
        <f t="shared" si="3"/>
        <v>20124</v>
      </c>
      <c r="W12" s="23">
        <f t="shared" si="3"/>
        <v>20369</v>
      </c>
      <c r="X12" s="23">
        <f t="shared" si="3"/>
        <v>19625</v>
      </c>
      <c r="Y12" s="23">
        <f t="shared" si="3"/>
        <v>21484</v>
      </c>
      <c r="Z12" s="23">
        <f t="shared" si="3"/>
        <v>19847</v>
      </c>
      <c r="AA12" s="23">
        <f t="shared" si="3"/>
        <v>19975</v>
      </c>
      <c r="AB12" s="23">
        <f t="shared" si="3"/>
        <v>13351</v>
      </c>
      <c r="AC12" s="23">
        <f t="shared" si="3"/>
        <v>18919</v>
      </c>
      <c r="AD12" s="23">
        <f t="shared" si="3"/>
        <v>16999</v>
      </c>
      <c r="AE12" s="23">
        <f t="shared" si="3"/>
        <v>17306</v>
      </c>
      <c r="AF12" s="23">
        <f t="shared" si="3"/>
        <v>19977</v>
      </c>
      <c r="AG12" s="23">
        <f t="shared" si="3"/>
        <v>21733</v>
      </c>
      <c r="AH12" s="23">
        <f t="shared" si="3"/>
        <v>20731</v>
      </c>
      <c r="AI12" s="23">
        <f t="shared" si="3"/>
        <v>21269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57</v>
      </c>
      <c r="C13" s="76" t="s">
        <v>58</v>
      </c>
      <c r="D13" s="40">
        <v>3217</v>
      </c>
      <c r="E13" s="40">
        <v>3217</v>
      </c>
      <c r="F13" s="40">
        <v>3217</v>
      </c>
      <c r="G13" s="40">
        <v>3217</v>
      </c>
      <c r="H13" s="40">
        <v>3217</v>
      </c>
      <c r="I13" s="40">
        <v>3217</v>
      </c>
      <c r="J13" s="40">
        <v>3217</v>
      </c>
      <c r="K13" s="40">
        <v>3217</v>
      </c>
      <c r="L13" s="40">
        <v>3217</v>
      </c>
      <c r="M13" s="40">
        <v>3217</v>
      </c>
      <c r="N13" s="40">
        <v>3217</v>
      </c>
      <c r="O13" s="40">
        <v>3217</v>
      </c>
      <c r="P13" s="40">
        <v>3217</v>
      </c>
      <c r="Q13" s="40">
        <v>3217</v>
      </c>
      <c r="R13" s="40">
        <v>3218</v>
      </c>
      <c r="S13" s="40">
        <v>3218</v>
      </c>
      <c r="T13" s="40">
        <v>3218</v>
      </c>
      <c r="U13" s="40">
        <v>3218</v>
      </c>
      <c r="V13" s="40">
        <v>3218</v>
      </c>
      <c r="W13" s="40">
        <v>3218</v>
      </c>
      <c r="X13" s="40">
        <v>3218</v>
      </c>
      <c r="Y13" s="40">
        <v>3218</v>
      </c>
      <c r="Z13" s="40">
        <v>3218</v>
      </c>
      <c r="AA13" s="40">
        <v>3221</v>
      </c>
      <c r="AB13" s="40">
        <v>3221</v>
      </c>
      <c r="AC13" s="40">
        <v>3221</v>
      </c>
      <c r="AD13" s="40">
        <v>3221</v>
      </c>
      <c r="AE13" s="40">
        <v>3221</v>
      </c>
      <c r="AF13" s="40">
        <v>3221</v>
      </c>
      <c r="AG13" s="40">
        <v>3221</v>
      </c>
      <c r="AH13" s="40">
        <v>3221</v>
      </c>
      <c r="AI13" s="40">
        <v>3221</v>
      </c>
    </row>
    <row r="14" spans="1:67" s="24" customFormat="1" ht="21.75" customHeight="1" thickBot="1" x14ac:dyDescent="0.25">
      <c r="A14" s="79"/>
      <c r="B14" s="41"/>
      <c r="C14" s="77"/>
      <c r="D14" s="42"/>
      <c r="E14" s="42">
        <f t="shared" ref="E14:AI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1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3</v>
      </c>
      <c r="AB14" s="42">
        <f t="shared" si="4"/>
        <v>0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4">
        <v>8</v>
      </c>
      <c r="B15" s="39" t="s">
        <v>59</v>
      </c>
      <c r="C15" s="76" t="s">
        <v>60</v>
      </c>
      <c r="D15" s="40">
        <v>447</v>
      </c>
      <c r="E15" s="40">
        <v>447</v>
      </c>
      <c r="F15" s="40">
        <v>447</v>
      </c>
      <c r="G15" s="40">
        <v>447</v>
      </c>
      <c r="H15" s="40">
        <v>447</v>
      </c>
      <c r="I15" s="40">
        <v>447</v>
      </c>
      <c r="J15" s="40">
        <v>447</v>
      </c>
      <c r="K15" s="40">
        <v>447</v>
      </c>
      <c r="L15" s="40">
        <v>447</v>
      </c>
      <c r="M15" s="40">
        <v>447</v>
      </c>
      <c r="N15" s="40">
        <v>448</v>
      </c>
      <c r="O15" s="40">
        <v>448</v>
      </c>
      <c r="P15" s="40">
        <v>448</v>
      </c>
      <c r="Q15" s="40">
        <v>448</v>
      </c>
      <c r="R15" s="40">
        <v>448</v>
      </c>
      <c r="S15" s="40">
        <v>448</v>
      </c>
      <c r="T15" s="40">
        <v>448</v>
      </c>
      <c r="U15" s="40">
        <v>448</v>
      </c>
      <c r="V15" s="40">
        <v>448</v>
      </c>
      <c r="W15" s="40">
        <v>448</v>
      </c>
      <c r="X15" s="40">
        <v>448</v>
      </c>
      <c r="Y15" s="40">
        <v>448</v>
      </c>
      <c r="Z15" s="40">
        <v>448</v>
      </c>
      <c r="AA15" s="40">
        <v>451</v>
      </c>
      <c r="AB15" s="40">
        <v>451</v>
      </c>
      <c r="AC15" s="40">
        <v>451</v>
      </c>
      <c r="AD15" s="40">
        <v>451</v>
      </c>
      <c r="AE15" s="40">
        <v>451</v>
      </c>
      <c r="AF15" s="40">
        <v>451</v>
      </c>
      <c r="AG15" s="40">
        <v>451</v>
      </c>
      <c r="AH15" s="40">
        <v>451</v>
      </c>
      <c r="AI15" s="40">
        <v>451</v>
      </c>
    </row>
    <row r="16" spans="1:67" s="24" customFormat="1" ht="21.75" customHeight="1" thickBot="1" x14ac:dyDescent="0.25">
      <c r="A16" s="75"/>
      <c r="B16" s="41"/>
      <c r="C16" s="77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1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3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4">
        <v>13</v>
      </c>
      <c r="B17" s="39" t="s">
        <v>61</v>
      </c>
      <c r="C17" s="76" t="s">
        <v>62</v>
      </c>
      <c r="D17" s="40">
        <v>1385453</v>
      </c>
      <c r="E17" s="40">
        <v>1385759</v>
      </c>
      <c r="F17" s="40">
        <v>1386037</v>
      </c>
      <c r="G17" s="40">
        <v>1386368</v>
      </c>
      <c r="H17" s="40">
        <v>1386686</v>
      </c>
      <c r="I17" s="40">
        <v>1386996</v>
      </c>
      <c r="J17" s="40">
        <v>1387334</v>
      </c>
      <c r="K17" s="40">
        <v>1387651</v>
      </c>
      <c r="L17" s="40">
        <v>1387977</v>
      </c>
      <c r="M17" s="40">
        <v>1388313</v>
      </c>
      <c r="N17" s="40">
        <v>1388635</v>
      </c>
      <c r="O17" s="40">
        <v>1388881</v>
      </c>
      <c r="P17" s="40">
        <v>1389118</v>
      </c>
      <c r="Q17" s="40">
        <v>1389349</v>
      </c>
      <c r="R17" s="40">
        <v>1389558</v>
      </c>
      <c r="S17" s="40">
        <v>1389844</v>
      </c>
      <c r="T17" s="40">
        <v>1390091</v>
      </c>
      <c r="U17" s="40">
        <v>1390357</v>
      </c>
      <c r="V17" s="40">
        <v>1390600</v>
      </c>
      <c r="W17" s="40">
        <v>1390833</v>
      </c>
      <c r="X17" s="40">
        <v>1391031</v>
      </c>
      <c r="Y17" s="40">
        <v>1391272</v>
      </c>
      <c r="Z17" s="40">
        <v>1391493</v>
      </c>
      <c r="AA17" s="40">
        <v>1391736</v>
      </c>
      <c r="AB17" s="40">
        <v>1391966</v>
      </c>
      <c r="AC17" s="40">
        <v>1392202</v>
      </c>
      <c r="AD17" s="40">
        <v>1392446</v>
      </c>
      <c r="AE17" s="40">
        <v>1392690</v>
      </c>
      <c r="AF17" s="40">
        <v>1392945</v>
      </c>
      <c r="AG17" s="40">
        <v>1393185</v>
      </c>
      <c r="AH17" s="40">
        <v>1393429</v>
      </c>
      <c r="AI17" s="40">
        <v>1393679</v>
      </c>
    </row>
    <row r="18" spans="1:35" ht="21.75" customHeight="1" thickBot="1" x14ac:dyDescent="0.25">
      <c r="A18" s="82"/>
      <c r="B18" s="43"/>
      <c r="C18" s="83"/>
      <c r="D18" s="42"/>
      <c r="E18" s="42">
        <f t="shared" ref="E18:AI18" si="6">E17-D17</f>
        <v>306</v>
      </c>
      <c r="F18" s="42">
        <f t="shared" si="6"/>
        <v>278</v>
      </c>
      <c r="G18" s="42">
        <f t="shared" si="6"/>
        <v>331</v>
      </c>
      <c r="H18" s="42">
        <f t="shared" si="6"/>
        <v>318</v>
      </c>
      <c r="I18" s="42">
        <f t="shared" si="6"/>
        <v>310</v>
      </c>
      <c r="J18" s="42">
        <f t="shared" si="6"/>
        <v>338</v>
      </c>
      <c r="K18" s="42">
        <f t="shared" si="6"/>
        <v>317</v>
      </c>
      <c r="L18" s="42">
        <f t="shared" si="6"/>
        <v>326</v>
      </c>
      <c r="M18" s="42">
        <f t="shared" si="6"/>
        <v>336</v>
      </c>
      <c r="N18" s="42">
        <f t="shared" si="6"/>
        <v>322</v>
      </c>
      <c r="O18" s="42">
        <f t="shared" si="6"/>
        <v>246</v>
      </c>
      <c r="P18" s="42">
        <f t="shared" si="6"/>
        <v>237</v>
      </c>
      <c r="Q18" s="42">
        <f t="shared" si="6"/>
        <v>231</v>
      </c>
      <c r="R18" s="42">
        <f t="shared" si="6"/>
        <v>209</v>
      </c>
      <c r="S18" s="42">
        <f t="shared" si="6"/>
        <v>286</v>
      </c>
      <c r="T18" s="42">
        <f t="shared" si="6"/>
        <v>247</v>
      </c>
      <c r="U18" s="42">
        <f t="shared" si="6"/>
        <v>266</v>
      </c>
      <c r="V18" s="42">
        <f t="shared" si="6"/>
        <v>243</v>
      </c>
      <c r="W18" s="42">
        <f t="shared" si="6"/>
        <v>233</v>
      </c>
      <c r="X18" s="42">
        <f t="shared" si="6"/>
        <v>198</v>
      </c>
      <c r="Y18" s="42">
        <f t="shared" si="6"/>
        <v>241</v>
      </c>
      <c r="Z18" s="42">
        <f t="shared" si="6"/>
        <v>221</v>
      </c>
      <c r="AA18" s="42">
        <f t="shared" si="6"/>
        <v>243</v>
      </c>
      <c r="AB18" s="42">
        <f t="shared" si="6"/>
        <v>230</v>
      </c>
      <c r="AC18" s="42">
        <f t="shared" si="6"/>
        <v>236</v>
      </c>
      <c r="AD18" s="42">
        <f t="shared" si="6"/>
        <v>244</v>
      </c>
      <c r="AE18" s="42">
        <f t="shared" si="6"/>
        <v>244</v>
      </c>
      <c r="AF18" s="42">
        <f t="shared" si="6"/>
        <v>255</v>
      </c>
      <c r="AG18" s="42">
        <f t="shared" si="6"/>
        <v>240</v>
      </c>
      <c r="AH18" s="42">
        <f t="shared" si="6"/>
        <v>244</v>
      </c>
      <c r="AI18" s="42">
        <f t="shared" si="6"/>
        <v>250</v>
      </c>
    </row>
    <row r="19" spans="1:35" ht="21.75" customHeight="1" x14ac:dyDescent="0.2">
      <c r="A19" s="84">
        <v>14</v>
      </c>
      <c r="B19" s="39" t="s">
        <v>63</v>
      </c>
      <c r="C19" s="76" t="s">
        <v>64</v>
      </c>
      <c r="D19" s="40">
        <v>373128</v>
      </c>
      <c r="E19" s="40">
        <v>373181</v>
      </c>
      <c r="F19" s="40">
        <v>373233</v>
      </c>
      <c r="G19" s="40">
        <v>373286</v>
      </c>
      <c r="H19" s="40">
        <v>373328</v>
      </c>
      <c r="I19" s="40">
        <v>373381</v>
      </c>
      <c r="J19" s="40">
        <v>373438</v>
      </c>
      <c r="K19" s="40">
        <v>373490</v>
      </c>
      <c r="L19" s="40">
        <v>373543</v>
      </c>
      <c r="M19" s="40">
        <v>373595</v>
      </c>
      <c r="N19" s="40">
        <v>373648</v>
      </c>
      <c r="O19" s="40">
        <v>373698</v>
      </c>
      <c r="P19" s="40">
        <v>373746</v>
      </c>
      <c r="Q19" s="40">
        <v>373787</v>
      </c>
      <c r="R19" s="40">
        <v>373831</v>
      </c>
      <c r="S19" s="40">
        <v>373879</v>
      </c>
      <c r="T19" s="40">
        <v>373926</v>
      </c>
      <c r="U19" s="40">
        <v>373974</v>
      </c>
      <c r="V19" s="40">
        <v>374019</v>
      </c>
      <c r="W19" s="40">
        <v>374063</v>
      </c>
      <c r="X19" s="40">
        <v>374107</v>
      </c>
      <c r="Y19" s="40">
        <v>374154</v>
      </c>
      <c r="Z19" s="40">
        <v>374199</v>
      </c>
      <c r="AA19" s="40">
        <v>374244</v>
      </c>
      <c r="AB19" s="40">
        <v>374290</v>
      </c>
      <c r="AC19" s="40">
        <v>374336</v>
      </c>
      <c r="AD19" s="40">
        <v>374380</v>
      </c>
      <c r="AE19" s="40">
        <v>374423</v>
      </c>
      <c r="AF19" s="40">
        <v>374471</v>
      </c>
      <c r="AG19" s="40">
        <v>374522</v>
      </c>
      <c r="AH19" s="40">
        <v>374566</v>
      </c>
      <c r="AI19" s="40">
        <v>374610</v>
      </c>
    </row>
    <row r="20" spans="1:35" ht="21.75" customHeight="1" thickBot="1" x14ac:dyDescent="0.25">
      <c r="A20" s="79"/>
      <c r="B20" s="43"/>
      <c r="C20" s="83"/>
      <c r="D20" s="42"/>
      <c r="E20" s="42">
        <f>E19-D19</f>
        <v>53</v>
      </c>
      <c r="F20" s="42">
        <f t="shared" ref="F20:AI20" si="7">F19-E19</f>
        <v>52</v>
      </c>
      <c r="G20" s="42">
        <f t="shared" si="7"/>
        <v>53</v>
      </c>
      <c r="H20" s="42">
        <f t="shared" si="7"/>
        <v>42</v>
      </c>
      <c r="I20" s="42">
        <f t="shared" si="7"/>
        <v>53</v>
      </c>
      <c r="J20" s="42">
        <f t="shared" si="7"/>
        <v>57</v>
      </c>
      <c r="K20" s="42">
        <f t="shared" si="7"/>
        <v>52</v>
      </c>
      <c r="L20" s="42">
        <f t="shared" si="7"/>
        <v>53</v>
      </c>
      <c r="M20" s="42">
        <f t="shared" si="7"/>
        <v>52</v>
      </c>
      <c r="N20" s="42">
        <f t="shared" si="7"/>
        <v>53</v>
      </c>
      <c r="O20" s="42">
        <f t="shared" si="7"/>
        <v>50</v>
      </c>
      <c r="P20" s="42">
        <f t="shared" si="7"/>
        <v>48</v>
      </c>
      <c r="Q20" s="42">
        <f t="shared" si="7"/>
        <v>41</v>
      </c>
      <c r="R20" s="42">
        <f t="shared" si="7"/>
        <v>44</v>
      </c>
      <c r="S20" s="42">
        <f t="shared" si="7"/>
        <v>48</v>
      </c>
      <c r="T20" s="42">
        <f t="shared" si="7"/>
        <v>47</v>
      </c>
      <c r="U20" s="42">
        <f t="shared" si="7"/>
        <v>48</v>
      </c>
      <c r="V20" s="42">
        <f t="shared" si="7"/>
        <v>45</v>
      </c>
      <c r="W20" s="42">
        <f t="shared" si="7"/>
        <v>44</v>
      </c>
      <c r="X20" s="42">
        <f t="shared" si="7"/>
        <v>44</v>
      </c>
      <c r="Y20" s="42">
        <f t="shared" si="7"/>
        <v>47</v>
      </c>
      <c r="Z20" s="42">
        <f t="shared" si="7"/>
        <v>45</v>
      </c>
      <c r="AA20" s="42">
        <f t="shared" si="7"/>
        <v>45</v>
      </c>
      <c r="AB20" s="42">
        <f t="shared" si="7"/>
        <v>46</v>
      </c>
      <c r="AC20" s="42">
        <f t="shared" si="7"/>
        <v>46</v>
      </c>
      <c r="AD20" s="42">
        <f t="shared" si="7"/>
        <v>44</v>
      </c>
      <c r="AE20" s="42">
        <f t="shared" si="7"/>
        <v>43</v>
      </c>
      <c r="AF20" s="42">
        <f t="shared" si="7"/>
        <v>48</v>
      </c>
      <c r="AG20" s="42">
        <f t="shared" si="7"/>
        <v>51</v>
      </c>
      <c r="AH20" s="42">
        <f t="shared" si="7"/>
        <v>44</v>
      </c>
      <c r="AI20" s="42">
        <f t="shared" si="7"/>
        <v>44</v>
      </c>
    </row>
    <row r="21" spans="1:35" ht="27" customHeight="1" x14ac:dyDescent="0.3">
      <c r="B21" s="85" t="s">
        <v>65</v>
      </c>
      <c r="C21" s="85"/>
      <c r="D21" s="44"/>
      <c r="E21" s="59">
        <f>((E6+E8)+((E10+E12)*40%)+(E14+E16+E18+E20))</f>
        <v>30402.799999999999</v>
      </c>
      <c r="F21" s="59">
        <f t="shared" ref="F21:AI21" si="8">((F6+F8)+((F10+F12)*40%)+(F14+F16+F18+F20))</f>
        <v>25934.400000000001</v>
      </c>
      <c r="G21" s="59">
        <f t="shared" si="8"/>
        <v>27848.6</v>
      </c>
      <c r="H21" s="59">
        <f t="shared" si="8"/>
        <v>29776</v>
      </c>
      <c r="I21" s="59">
        <f t="shared" si="8"/>
        <v>30252.400000000001</v>
      </c>
      <c r="J21" s="59">
        <f t="shared" si="8"/>
        <v>30355.8</v>
      </c>
      <c r="K21" s="59">
        <f t="shared" si="8"/>
        <v>30477</v>
      </c>
      <c r="L21" s="59">
        <f t="shared" si="8"/>
        <v>33131</v>
      </c>
      <c r="M21" s="59">
        <f t="shared" si="8"/>
        <v>28490.2</v>
      </c>
      <c r="N21" s="59">
        <f t="shared" si="8"/>
        <v>28943.4</v>
      </c>
      <c r="O21" s="59">
        <f t="shared" si="8"/>
        <v>28752</v>
      </c>
      <c r="P21" s="59">
        <f t="shared" si="8"/>
        <v>28454.2</v>
      </c>
      <c r="Q21" s="59">
        <f t="shared" si="8"/>
        <v>28011.4</v>
      </c>
      <c r="R21" s="59">
        <f t="shared" si="8"/>
        <v>31335.800000000003</v>
      </c>
      <c r="S21" s="59">
        <f t="shared" si="8"/>
        <v>31441.200000000001</v>
      </c>
      <c r="T21" s="59">
        <f t="shared" si="8"/>
        <v>30782.6</v>
      </c>
      <c r="U21" s="59">
        <f t="shared" si="8"/>
        <v>31263.200000000001</v>
      </c>
      <c r="V21" s="59">
        <f t="shared" si="8"/>
        <v>31153.200000000001</v>
      </c>
      <c r="W21" s="59">
        <f t="shared" si="8"/>
        <v>34360.6</v>
      </c>
      <c r="X21" s="59">
        <f t="shared" si="8"/>
        <v>31934.2</v>
      </c>
      <c r="Y21" s="59">
        <f t="shared" si="8"/>
        <v>38994.400000000001</v>
      </c>
      <c r="Z21" s="59">
        <f t="shared" si="8"/>
        <v>30357.4</v>
      </c>
      <c r="AA21" s="59">
        <f t="shared" si="8"/>
        <v>30055</v>
      </c>
      <c r="AB21" s="59">
        <f t="shared" si="8"/>
        <v>32577.200000000001</v>
      </c>
      <c r="AC21" s="59">
        <f t="shared" si="8"/>
        <v>33380.400000000001</v>
      </c>
      <c r="AD21" s="59">
        <f t="shared" si="8"/>
        <v>30879.800000000003</v>
      </c>
      <c r="AE21" s="59">
        <f t="shared" si="8"/>
        <v>27913.8</v>
      </c>
      <c r="AF21" s="59">
        <f t="shared" si="8"/>
        <v>29241.200000000001</v>
      </c>
      <c r="AG21" s="59">
        <f t="shared" si="8"/>
        <v>32773.599999999999</v>
      </c>
      <c r="AH21" s="59">
        <f t="shared" si="8"/>
        <v>29384.800000000003</v>
      </c>
      <c r="AI21" s="59">
        <f t="shared" si="8"/>
        <v>29424.2</v>
      </c>
    </row>
    <row r="22" spans="1:35" ht="27" customHeight="1" x14ac:dyDescent="0.3">
      <c r="B22" s="81" t="s">
        <v>66</v>
      </c>
      <c r="C22" s="81"/>
      <c r="D22" s="44"/>
      <c r="E22" s="59">
        <f>SUM(E21:AI21)</f>
        <v>948081.79999999993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4" activePane="bottomLeft" state="frozen"/>
      <selection pane="bottomLeft" activeCell="C4" sqref="C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6" t="s">
        <v>85</v>
      </c>
      <c r="B1" s="86"/>
      <c r="C1" s="86"/>
    </row>
    <row r="3" spans="1:7" ht="48" x14ac:dyDescent="0.25">
      <c r="A3" s="51" t="s">
        <v>19</v>
      </c>
      <c r="B3" s="52">
        <v>77277</v>
      </c>
      <c r="C3" s="53"/>
    </row>
    <row r="4" spans="1:7" ht="28.5" customHeight="1" x14ac:dyDescent="0.25">
      <c r="A4" s="54">
        <v>1</v>
      </c>
      <c r="B4" s="52"/>
      <c r="C4" s="53">
        <f>B3/31</f>
        <v>2492.8064516129034</v>
      </c>
    </row>
    <row r="5" spans="1:7" ht="28.5" customHeight="1" x14ac:dyDescent="0.25">
      <c r="A5" s="54">
        <v>2</v>
      </c>
      <c r="B5" s="52"/>
      <c r="C5" s="53">
        <v>2492.8064516129034</v>
      </c>
    </row>
    <row r="6" spans="1:7" ht="28.5" customHeight="1" x14ac:dyDescent="0.25">
      <c r="A6" s="55">
        <v>3</v>
      </c>
      <c r="B6" s="52"/>
      <c r="C6" s="53">
        <v>2492.8064516129034</v>
      </c>
    </row>
    <row r="7" spans="1:7" ht="28.5" customHeight="1" x14ac:dyDescent="0.25">
      <c r="A7" s="54">
        <v>4</v>
      </c>
      <c r="B7" s="52"/>
      <c r="C7" s="53">
        <v>2492.8064516129034</v>
      </c>
    </row>
    <row r="8" spans="1:7" ht="28.5" customHeight="1" x14ac:dyDescent="0.25">
      <c r="A8" s="54">
        <v>5</v>
      </c>
      <c r="B8" s="52"/>
      <c r="C8" s="53">
        <v>2492.8064516129034</v>
      </c>
    </row>
    <row r="9" spans="1:7" ht="28.5" customHeight="1" x14ac:dyDescent="0.25">
      <c r="A9" s="54">
        <v>6</v>
      </c>
      <c r="B9" s="52"/>
      <c r="C9" s="53">
        <v>2492.8064516129034</v>
      </c>
      <c r="G9" t="s">
        <v>75</v>
      </c>
    </row>
    <row r="10" spans="1:7" ht="28.5" customHeight="1" x14ac:dyDescent="0.25">
      <c r="A10" s="54">
        <v>7</v>
      </c>
      <c r="B10" s="52"/>
      <c r="C10" s="53">
        <v>2492.8064516129034</v>
      </c>
    </row>
    <row r="11" spans="1:7" ht="28.5" customHeight="1" x14ac:dyDescent="0.25">
      <c r="A11" s="54">
        <v>8</v>
      </c>
      <c r="B11" s="52"/>
      <c r="C11" s="53">
        <v>2492.8064516129034</v>
      </c>
    </row>
    <row r="12" spans="1:7" ht="28.5" customHeight="1" x14ac:dyDescent="0.25">
      <c r="A12" s="54">
        <v>9</v>
      </c>
      <c r="B12" s="52"/>
      <c r="C12" s="53">
        <v>2492.8064516129034</v>
      </c>
    </row>
    <row r="13" spans="1:7" ht="28.5" customHeight="1" x14ac:dyDescent="0.25">
      <c r="A13" s="54">
        <v>10</v>
      </c>
      <c r="B13" s="52"/>
      <c r="C13" s="53">
        <v>2492.8064516129034</v>
      </c>
    </row>
    <row r="14" spans="1:7" ht="28.5" customHeight="1" x14ac:dyDescent="0.25">
      <c r="A14" s="54">
        <v>11</v>
      </c>
      <c r="B14" s="52"/>
      <c r="C14" s="53">
        <v>2492.8064516129034</v>
      </c>
    </row>
    <row r="15" spans="1:7" ht="28.5" customHeight="1" x14ac:dyDescent="0.25">
      <c r="A15" s="54">
        <v>12</v>
      </c>
      <c r="B15" s="52"/>
      <c r="C15" s="53">
        <v>2492.8064516129034</v>
      </c>
    </row>
    <row r="16" spans="1:7" ht="28.5" customHeight="1" x14ac:dyDescent="0.25">
      <c r="A16" s="54">
        <v>13</v>
      </c>
      <c r="B16" s="52"/>
      <c r="C16" s="53">
        <v>2492.8064516129034</v>
      </c>
    </row>
    <row r="17" spans="1:4" ht="28.5" customHeight="1" x14ac:dyDescent="0.25">
      <c r="A17" s="54">
        <v>14</v>
      </c>
      <c r="B17" s="52"/>
      <c r="C17" s="53">
        <v>2492.8064516129034</v>
      </c>
    </row>
    <row r="18" spans="1:4" ht="28.5" customHeight="1" x14ac:dyDescent="0.25">
      <c r="A18" s="54">
        <v>15</v>
      </c>
      <c r="B18" s="52"/>
      <c r="C18" s="53">
        <v>2492.8064516129034</v>
      </c>
    </row>
    <row r="19" spans="1:4" ht="28.5" customHeight="1" x14ac:dyDescent="0.25">
      <c r="A19" s="54">
        <v>16</v>
      </c>
      <c r="B19" s="52"/>
      <c r="C19" s="53">
        <v>2492.8064516129034</v>
      </c>
    </row>
    <row r="20" spans="1:4" ht="28.5" customHeight="1" x14ac:dyDescent="0.25">
      <c r="A20" s="54">
        <v>17</v>
      </c>
      <c r="B20" s="52"/>
      <c r="C20" s="53">
        <v>2492.8064516129034</v>
      </c>
    </row>
    <row r="21" spans="1:4" ht="28.5" customHeight="1" x14ac:dyDescent="0.25">
      <c r="A21" s="54">
        <v>18</v>
      </c>
      <c r="B21" s="52"/>
      <c r="C21" s="53">
        <v>2492.8064516129034</v>
      </c>
    </row>
    <row r="22" spans="1:4" ht="28.5" customHeight="1" x14ac:dyDescent="0.25">
      <c r="A22" s="54">
        <v>19</v>
      </c>
      <c r="B22" s="52"/>
      <c r="C22" s="53">
        <v>2492.8064516129034</v>
      </c>
    </row>
    <row r="23" spans="1:4" ht="28.5" customHeight="1" x14ac:dyDescent="0.25">
      <c r="A23" s="54">
        <v>20</v>
      </c>
      <c r="B23" s="52"/>
      <c r="C23" s="53">
        <v>2492.8064516129034</v>
      </c>
    </row>
    <row r="24" spans="1:4" ht="28.5" customHeight="1" x14ac:dyDescent="0.25">
      <c r="A24" s="54">
        <v>21</v>
      </c>
      <c r="B24" s="52"/>
      <c r="C24" s="53">
        <v>2492.8064516129034</v>
      </c>
    </row>
    <row r="25" spans="1:4" ht="28.5" customHeight="1" x14ac:dyDescent="0.25">
      <c r="A25" s="54">
        <v>22</v>
      </c>
      <c r="B25" s="52"/>
      <c r="C25" s="53">
        <v>2492.8064516129034</v>
      </c>
    </row>
    <row r="26" spans="1:4" ht="28.5" customHeight="1" x14ac:dyDescent="0.25">
      <c r="A26" s="54">
        <v>23</v>
      </c>
      <c r="B26" s="52"/>
      <c r="C26" s="53">
        <v>2492.8064516129034</v>
      </c>
    </row>
    <row r="27" spans="1:4" ht="28.5" customHeight="1" x14ac:dyDescent="0.25">
      <c r="A27" s="54">
        <v>24</v>
      </c>
      <c r="B27" s="52"/>
      <c r="C27" s="53">
        <v>2492.8064516129034</v>
      </c>
    </row>
    <row r="28" spans="1:4" ht="28.5" customHeight="1" x14ac:dyDescent="0.25">
      <c r="A28" s="54">
        <v>25</v>
      </c>
      <c r="B28" s="52"/>
      <c r="C28" s="53">
        <v>2492.8064516129034</v>
      </c>
      <c r="D28" s="56"/>
    </row>
    <row r="29" spans="1:4" ht="28.5" customHeight="1" x14ac:dyDescent="0.25">
      <c r="A29" s="54">
        <v>26</v>
      </c>
      <c r="B29" s="52"/>
      <c r="C29" s="53">
        <v>2492.8064516129034</v>
      </c>
      <c r="D29" s="56"/>
    </row>
    <row r="30" spans="1:4" ht="28.5" customHeight="1" x14ac:dyDescent="0.25">
      <c r="A30" s="54">
        <v>27</v>
      </c>
      <c r="B30" s="52"/>
      <c r="C30" s="53">
        <v>2492.8064516129034</v>
      </c>
    </row>
    <row r="31" spans="1:4" ht="28.5" customHeight="1" x14ac:dyDescent="0.25">
      <c r="A31" s="54">
        <v>28</v>
      </c>
      <c r="B31" s="52"/>
      <c r="C31" s="53">
        <v>2492.8064516129034</v>
      </c>
    </row>
    <row r="32" spans="1:4" ht="28.5" customHeight="1" x14ac:dyDescent="0.25">
      <c r="A32" s="54">
        <v>29</v>
      </c>
      <c r="B32" s="52"/>
      <c r="C32" s="53">
        <v>2492.8064516129034</v>
      </c>
    </row>
    <row r="33" spans="1:3" ht="28.5" customHeight="1" x14ac:dyDescent="0.25">
      <c r="A33" s="54">
        <v>30</v>
      </c>
      <c r="B33" s="52"/>
      <c r="C33" s="53">
        <v>2492.8064516129034</v>
      </c>
    </row>
    <row r="34" spans="1:3" ht="28.5" customHeight="1" x14ac:dyDescent="0.25">
      <c r="A34" s="54">
        <v>31</v>
      </c>
      <c r="B34" s="52"/>
      <c r="C34" s="53">
        <v>2492.8064516129034</v>
      </c>
    </row>
    <row r="35" spans="1:3" x14ac:dyDescent="0.25">
      <c r="A35" s="87" t="s">
        <v>76</v>
      </c>
      <c r="B35" s="87"/>
      <c r="C35" s="57">
        <f>SUM(C4:C34)</f>
        <v>77277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0" t="s">
        <v>86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42" s="8" customFormat="1" ht="30" customHeight="1" thickBot="1" x14ac:dyDescent="0.3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3" t="s">
        <v>20</v>
      </c>
      <c r="B5" s="27" t="s">
        <v>48</v>
      </c>
      <c r="C5" s="95" t="s">
        <v>49</v>
      </c>
      <c r="D5" s="31">
        <v>90177</v>
      </c>
      <c r="E5" s="31">
        <v>90477</v>
      </c>
      <c r="F5" s="31">
        <v>90728</v>
      </c>
      <c r="G5" s="31">
        <v>90990</v>
      </c>
      <c r="H5" s="31">
        <v>91257</v>
      </c>
      <c r="I5" s="31">
        <v>91516</v>
      </c>
      <c r="J5" s="31">
        <v>91806</v>
      </c>
      <c r="K5" s="31">
        <v>92121</v>
      </c>
      <c r="L5" s="31">
        <v>92392</v>
      </c>
      <c r="M5" s="31">
        <v>92689</v>
      </c>
      <c r="N5" s="31">
        <v>92936</v>
      </c>
      <c r="O5" s="31">
        <v>93133</v>
      </c>
      <c r="P5" s="31">
        <v>93365</v>
      </c>
      <c r="Q5" s="31">
        <v>93586</v>
      </c>
      <c r="R5" s="31">
        <v>93798</v>
      </c>
      <c r="S5" s="31">
        <v>94033</v>
      </c>
      <c r="T5" s="31">
        <v>94250</v>
      </c>
      <c r="U5" s="31">
        <v>94600</v>
      </c>
      <c r="V5" s="31">
        <v>94692</v>
      </c>
      <c r="W5" s="31">
        <v>94952</v>
      </c>
      <c r="X5" s="31">
        <v>95216</v>
      </c>
      <c r="Y5" s="31">
        <v>95505</v>
      </c>
      <c r="Z5" s="31">
        <v>95776</v>
      </c>
      <c r="AA5" s="31">
        <v>96064</v>
      </c>
      <c r="AB5" s="31">
        <v>96310</v>
      </c>
      <c r="AC5" s="31">
        <v>96589</v>
      </c>
      <c r="AD5" s="31">
        <v>96846</v>
      </c>
      <c r="AE5" s="31">
        <v>97123</v>
      </c>
      <c r="AF5" s="31">
        <v>97436</v>
      </c>
      <c r="AG5" s="31">
        <v>97659</v>
      </c>
      <c r="AH5" s="31">
        <v>98041</v>
      </c>
      <c r="AI5" s="31">
        <v>98143</v>
      </c>
    </row>
    <row r="6" spans="1:42" s="34" customFormat="1" ht="25.7" customHeight="1" thickBot="1" x14ac:dyDescent="0.3">
      <c r="A6" s="94"/>
      <c r="B6" s="32"/>
      <c r="C6" s="95"/>
      <c r="D6" s="33"/>
      <c r="E6" s="33">
        <f>E5-D5</f>
        <v>300</v>
      </c>
      <c r="F6" s="33">
        <f t="shared" ref="F6:AI6" si="0">F5-E5</f>
        <v>251</v>
      </c>
      <c r="G6" s="33">
        <f t="shared" si="0"/>
        <v>262</v>
      </c>
      <c r="H6" s="33">
        <f t="shared" si="0"/>
        <v>267</v>
      </c>
      <c r="I6" s="33">
        <f t="shared" si="0"/>
        <v>259</v>
      </c>
      <c r="J6" s="33">
        <f>J5-I5</f>
        <v>290</v>
      </c>
      <c r="K6" s="33">
        <f t="shared" si="0"/>
        <v>315</v>
      </c>
      <c r="L6" s="33">
        <f t="shared" si="0"/>
        <v>271</v>
      </c>
      <c r="M6" s="33">
        <f t="shared" si="0"/>
        <v>297</v>
      </c>
      <c r="N6" s="33">
        <f t="shared" si="0"/>
        <v>247</v>
      </c>
      <c r="O6" s="33">
        <f t="shared" si="0"/>
        <v>197</v>
      </c>
      <c r="P6" s="33">
        <f t="shared" si="0"/>
        <v>232</v>
      </c>
      <c r="Q6" s="33">
        <f t="shared" si="0"/>
        <v>221</v>
      </c>
      <c r="R6" s="33">
        <f t="shared" si="0"/>
        <v>212</v>
      </c>
      <c r="S6" s="33">
        <f t="shared" si="0"/>
        <v>235</v>
      </c>
      <c r="T6" s="33">
        <f t="shared" si="0"/>
        <v>217</v>
      </c>
      <c r="U6" s="33">
        <f>U5-T5</f>
        <v>350</v>
      </c>
      <c r="V6" s="33">
        <f t="shared" si="0"/>
        <v>92</v>
      </c>
      <c r="W6" s="33">
        <f t="shared" si="0"/>
        <v>260</v>
      </c>
      <c r="X6" s="33">
        <f t="shared" si="0"/>
        <v>264</v>
      </c>
      <c r="Y6" s="33">
        <f t="shared" si="0"/>
        <v>289</v>
      </c>
      <c r="Z6" s="33">
        <f t="shared" si="0"/>
        <v>271</v>
      </c>
      <c r="AA6" s="33">
        <f t="shared" si="0"/>
        <v>288</v>
      </c>
      <c r="AB6" s="33">
        <f t="shared" si="0"/>
        <v>246</v>
      </c>
      <c r="AC6" s="33">
        <f t="shared" si="0"/>
        <v>279</v>
      </c>
      <c r="AD6" s="33">
        <f t="shared" si="0"/>
        <v>257</v>
      </c>
      <c r="AE6" s="33">
        <f t="shared" si="0"/>
        <v>277</v>
      </c>
      <c r="AF6" s="33">
        <f t="shared" si="0"/>
        <v>313</v>
      </c>
      <c r="AG6" s="33">
        <f t="shared" si="0"/>
        <v>223</v>
      </c>
      <c r="AH6" s="33">
        <f t="shared" si="0"/>
        <v>382</v>
      </c>
      <c r="AI6" s="33">
        <f t="shared" si="0"/>
        <v>102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3" t="s">
        <v>22</v>
      </c>
      <c r="B7" s="49" t="s">
        <v>69</v>
      </c>
      <c r="C7" s="95" t="s">
        <v>70</v>
      </c>
      <c r="D7" s="31">
        <v>400683.4</v>
      </c>
      <c r="E7" s="31">
        <v>400703.7</v>
      </c>
      <c r="F7" s="31">
        <v>400717.1</v>
      </c>
      <c r="G7" s="31">
        <v>400733.1</v>
      </c>
      <c r="H7" s="31">
        <v>400750</v>
      </c>
      <c r="I7" s="31">
        <v>400763.5</v>
      </c>
      <c r="J7" s="31">
        <v>400774.3</v>
      </c>
      <c r="K7" s="31">
        <v>400785.2</v>
      </c>
      <c r="L7" s="31">
        <v>400810.9</v>
      </c>
      <c r="M7" s="31">
        <v>400825.1</v>
      </c>
      <c r="N7" s="31">
        <v>400835</v>
      </c>
      <c r="O7" s="31">
        <v>400845.1</v>
      </c>
      <c r="P7" s="31">
        <v>400858.4</v>
      </c>
      <c r="Q7" s="31">
        <v>400874.5</v>
      </c>
      <c r="R7" s="31">
        <v>400906.3</v>
      </c>
      <c r="S7" s="31">
        <v>400928</v>
      </c>
      <c r="T7" s="31">
        <v>400943.4</v>
      </c>
      <c r="U7" s="31">
        <v>400960.5</v>
      </c>
      <c r="V7" s="31">
        <v>400978.8</v>
      </c>
      <c r="W7" s="31">
        <v>400998.3</v>
      </c>
      <c r="X7" s="31">
        <v>401019.5</v>
      </c>
      <c r="Y7" s="31">
        <v>401041.6</v>
      </c>
      <c r="Z7" s="31">
        <v>401058.7</v>
      </c>
      <c r="AA7" s="31">
        <v>401071.1</v>
      </c>
      <c r="AB7" s="31">
        <v>401079.5</v>
      </c>
      <c r="AC7" s="31">
        <v>401110.7</v>
      </c>
      <c r="AD7" s="31">
        <v>401128.8</v>
      </c>
      <c r="AE7" s="31">
        <v>401142.9</v>
      </c>
      <c r="AF7" s="31">
        <v>401158.5</v>
      </c>
      <c r="AG7" s="31">
        <v>401176.2</v>
      </c>
      <c r="AH7" s="31">
        <v>401186.2</v>
      </c>
      <c r="AI7" s="31">
        <v>401203.4</v>
      </c>
    </row>
    <row r="8" spans="1:42" s="34" customFormat="1" ht="25.7" customHeight="1" thickBot="1" x14ac:dyDescent="0.3">
      <c r="A8" s="94"/>
      <c r="B8" s="47"/>
      <c r="C8" s="95"/>
      <c r="D8" s="33"/>
      <c r="E8" s="33">
        <f>E7-D7</f>
        <v>20.299999999988358</v>
      </c>
      <c r="F8" s="33">
        <f t="shared" ref="F8:AI8" si="1">F7-E7</f>
        <v>13.399999999965075</v>
      </c>
      <c r="G8" s="33">
        <f t="shared" si="1"/>
        <v>16</v>
      </c>
      <c r="H8" s="33">
        <f t="shared" si="1"/>
        <v>16.900000000023283</v>
      </c>
      <c r="I8" s="33">
        <f t="shared" si="1"/>
        <v>13.5</v>
      </c>
      <c r="J8" s="33">
        <f t="shared" si="1"/>
        <v>10.799999999988358</v>
      </c>
      <c r="K8" s="33">
        <f t="shared" si="1"/>
        <v>10.900000000023283</v>
      </c>
      <c r="L8" s="33">
        <f t="shared" si="1"/>
        <v>25.700000000011642</v>
      </c>
      <c r="M8" s="33">
        <f t="shared" si="1"/>
        <v>14.199999999953434</v>
      </c>
      <c r="N8" s="33">
        <f t="shared" si="1"/>
        <v>9.9000000000232831</v>
      </c>
      <c r="O8" s="33">
        <f t="shared" si="1"/>
        <v>10.099999999976717</v>
      </c>
      <c r="P8" s="33">
        <f t="shared" si="1"/>
        <v>13.300000000046566</v>
      </c>
      <c r="Q8" s="33">
        <f t="shared" si="1"/>
        <v>16.099999999976717</v>
      </c>
      <c r="R8" s="33">
        <f t="shared" si="1"/>
        <v>31.799999999988358</v>
      </c>
      <c r="S8" s="33">
        <f t="shared" si="1"/>
        <v>21.700000000011642</v>
      </c>
      <c r="T8" s="33">
        <f t="shared" si="1"/>
        <v>15.400000000023283</v>
      </c>
      <c r="U8" s="33">
        <f t="shared" si="1"/>
        <v>17.099999999976717</v>
      </c>
      <c r="V8" s="33">
        <f t="shared" si="1"/>
        <v>18.299999999988358</v>
      </c>
      <c r="W8" s="33">
        <f t="shared" si="1"/>
        <v>19.5</v>
      </c>
      <c r="X8" s="33">
        <f t="shared" si="1"/>
        <v>21.200000000011642</v>
      </c>
      <c r="Y8" s="33">
        <f t="shared" si="1"/>
        <v>22.099999999976717</v>
      </c>
      <c r="Z8" s="33">
        <f t="shared" si="1"/>
        <v>17.100000000034925</v>
      </c>
      <c r="AA8" s="33">
        <f t="shared" si="1"/>
        <v>12.399999999965075</v>
      </c>
      <c r="AB8" s="33">
        <f t="shared" si="1"/>
        <v>8.4000000000232831</v>
      </c>
      <c r="AC8" s="33">
        <f t="shared" si="1"/>
        <v>31.200000000011642</v>
      </c>
      <c r="AD8" s="33">
        <f t="shared" si="1"/>
        <v>18.099999999976717</v>
      </c>
      <c r="AE8" s="33">
        <f t="shared" si="1"/>
        <v>14.100000000034925</v>
      </c>
      <c r="AF8" s="33">
        <f t="shared" si="1"/>
        <v>15.599999999976717</v>
      </c>
      <c r="AG8" s="33">
        <f t="shared" si="1"/>
        <v>17.700000000011642</v>
      </c>
      <c r="AH8" s="33">
        <f t="shared" si="1"/>
        <v>10</v>
      </c>
      <c r="AI8" s="33">
        <f t="shared" si="1"/>
        <v>17.200000000011642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3">
        <v>4</v>
      </c>
      <c r="B9" s="46" t="s">
        <v>67</v>
      </c>
      <c r="C9" s="95" t="s">
        <v>68</v>
      </c>
      <c r="D9" s="64">
        <v>72044</v>
      </c>
      <c r="E9" s="64">
        <v>72044</v>
      </c>
      <c r="F9" s="64">
        <v>72044</v>
      </c>
      <c r="G9" s="64">
        <v>72044</v>
      </c>
      <c r="H9" s="64">
        <v>72044</v>
      </c>
      <c r="I9" s="64">
        <v>72044</v>
      </c>
      <c r="J9" s="64">
        <v>72044</v>
      </c>
      <c r="K9" s="64">
        <v>72044</v>
      </c>
      <c r="L9" s="64">
        <v>72044</v>
      </c>
      <c r="M9" s="64">
        <v>72044</v>
      </c>
      <c r="N9" s="64">
        <v>72044</v>
      </c>
      <c r="O9" s="64">
        <v>72044</v>
      </c>
      <c r="P9" s="64">
        <v>72044</v>
      </c>
      <c r="Q9" s="64">
        <v>72044</v>
      </c>
      <c r="R9" s="64">
        <v>72044</v>
      </c>
      <c r="S9" s="64">
        <v>72061</v>
      </c>
      <c r="T9" s="64">
        <v>72061</v>
      </c>
      <c r="U9" s="64">
        <v>72061</v>
      </c>
      <c r="V9" s="64">
        <v>72061</v>
      </c>
      <c r="W9" s="64">
        <v>72061</v>
      </c>
      <c r="X9" s="64">
        <v>72065</v>
      </c>
      <c r="Y9" s="64">
        <v>72067</v>
      </c>
      <c r="Z9" s="64">
        <v>72067</v>
      </c>
      <c r="AA9" s="64">
        <v>72067</v>
      </c>
      <c r="AB9" s="64">
        <v>72068</v>
      </c>
      <c r="AC9" s="64">
        <v>72068</v>
      </c>
      <c r="AD9" s="64">
        <v>72069</v>
      </c>
      <c r="AE9" s="64">
        <v>72069</v>
      </c>
      <c r="AF9" s="64">
        <v>72069</v>
      </c>
      <c r="AG9" s="64">
        <v>72069</v>
      </c>
      <c r="AH9" s="64">
        <v>72069</v>
      </c>
      <c r="AI9" s="64">
        <v>72069</v>
      </c>
    </row>
    <row r="10" spans="1:42" s="34" customFormat="1" ht="25.7" customHeight="1" thickBot="1" x14ac:dyDescent="0.3">
      <c r="A10" s="94"/>
      <c r="B10" s="47"/>
      <c r="C10" s="95"/>
      <c r="D10" s="33"/>
      <c r="E10" s="33">
        <f t="shared" ref="E10:AI10" si="2">E9-D9</f>
        <v>0</v>
      </c>
      <c r="F10" s="33">
        <f t="shared" si="2"/>
        <v>0</v>
      </c>
      <c r="G10" s="33">
        <f t="shared" si="2"/>
        <v>0</v>
      </c>
      <c r="H10" s="33">
        <f t="shared" si="2"/>
        <v>0</v>
      </c>
      <c r="I10" s="33">
        <f t="shared" si="2"/>
        <v>0</v>
      </c>
      <c r="J10" s="33">
        <f t="shared" si="2"/>
        <v>0</v>
      </c>
      <c r="K10" s="33">
        <f t="shared" si="2"/>
        <v>0</v>
      </c>
      <c r="L10" s="33">
        <f t="shared" si="2"/>
        <v>0</v>
      </c>
      <c r="M10" s="33">
        <f t="shared" si="2"/>
        <v>0</v>
      </c>
      <c r="N10" s="33">
        <f t="shared" si="2"/>
        <v>0</v>
      </c>
      <c r="O10" s="33">
        <f t="shared" si="2"/>
        <v>0</v>
      </c>
      <c r="P10" s="33">
        <f t="shared" si="2"/>
        <v>0</v>
      </c>
      <c r="Q10" s="33">
        <f t="shared" si="2"/>
        <v>0</v>
      </c>
      <c r="R10" s="33">
        <f t="shared" si="2"/>
        <v>0</v>
      </c>
      <c r="S10" s="33">
        <f t="shared" si="2"/>
        <v>17</v>
      </c>
      <c r="T10" s="33">
        <f t="shared" si="2"/>
        <v>0</v>
      </c>
      <c r="U10" s="33">
        <f t="shared" si="2"/>
        <v>0</v>
      </c>
      <c r="V10" s="33">
        <f t="shared" si="2"/>
        <v>0</v>
      </c>
      <c r="W10" s="33">
        <f t="shared" si="2"/>
        <v>0</v>
      </c>
      <c r="X10" s="33">
        <f t="shared" si="2"/>
        <v>4</v>
      </c>
      <c r="Y10" s="33">
        <f t="shared" si="2"/>
        <v>2</v>
      </c>
      <c r="Z10" s="33">
        <f t="shared" si="2"/>
        <v>0</v>
      </c>
      <c r="AA10" s="33">
        <f t="shared" si="2"/>
        <v>0</v>
      </c>
      <c r="AB10" s="33">
        <f t="shared" si="2"/>
        <v>1</v>
      </c>
      <c r="AC10" s="33">
        <f t="shared" si="2"/>
        <v>0</v>
      </c>
      <c r="AD10" s="33">
        <f t="shared" si="2"/>
        <v>1</v>
      </c>
      <c r="AE10" s="33">
        <f t="shared" si="2"/>
        <v>0</v>
      </c>
      <c r="AF10" s="33">
        <f t="shared" si="2"/>
        <v>0</v>
      </c>
      <c r="AG10" s="33">
        <f t="shared" si="2"/>
        <v>0</v>
      </c>
      <c r="AH10" s="33">
        <f t="shared" si="2"/>
        <v>0</v>
      </c>
      <c r="AI10" s="33">
        <f t="shared" si="2"/>
        <v>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6">
        <v>5</v>
      </c>
      <c r="B11" s="27">
        <v>68864837</v>
      </c>
      <c r="C11" s="95" t="s">
        <v>74</v>
      </c>
      <c r="D11" s="31">
        <v>1828.2270000000001</v>
      </c>
      <c r="E11" s="31">
        <v>1829.9059999999999</v>
      </c>
      <c r="F11" s="31">
        <v>1831.4159999999999</v>
      </c>
      <c r="G11" s="31">
        <v>1833.298</v>
      </c>
      <c r="H11" s="31">
        <v>1836.625</v>
      </c>
      <c r="I11" s="31">
        <v>1839.825</v>
      </c>
      <c r="J11" s="31">
        <v>1842.568</v>
      </c>
      <c r="K11" s="31">
        <v>1846.5719999999999</v>
      </c>
      <c r="L11" s="31">
        <v>1850.3579999999999</v>
      </c>
      <c r="M11" s="31">
        <v>1855.04</v>
      </c>
      <c r="N11" s="31">
        <v>1858.394</v>
      </c>
      <c r="O11" s="31">
        <v>1862.4639999999999</v>
      </c>
      <c r="P11" s="31">
        <v>1865.4960000000001</v>
      </c>
      <c r="Q11" s="31">
        <v>1867.2750000000001</v>
      </c>
      <c r="R11" s="31">
        <v>1869.4010000000001</v>
      </c>
      <c r="S11" s="31">
        <v>1871.509</v>
      </c>
      <c r="T11" s="31">
        <v>1873.761</v>
      </c>
      <c r="U11" s="31">
        <v>1875.346</v>
      </c>
      <c r="V11" s="31">
        <v>1877.029</v>
      </c>
      <c r="W11" s="31">
        <v>1878.011</v>
      </c>
      <c r="X11" s="31">
        <v>1878.703</v>
      </c>
      <c r="Y11" s="31">
        <v>1879.633</v>
      </c>
      <c r="Z11" s="31">
        <v>1880.4090000000001</v>
      </c>
      <c r="AA11" s="31">
        <v>1881.4159999999999</v>
      </c>
      <c r="AB11" s="31">
        <v>1882.414</v>
      </c>
      <c r="AC11" s="31">
        <v>1883.7860000000001</v>
      </c>
      <c r="AD11" s="31">
        <v>1885.8009999999999</v>
      </c>
      <c r="AE11" s="31">
        <v>1886.6880000000001</v>
      </c>
      <c r="AF11" s="31">
        <v>1886.6880000000001</v>
      </c>
      <c r="AG11" s="31">
        <v>1889.625</v>
      </c>
      <c r="AH11" s="31">
        <v>1890.711</v>
      </c>
      <c r="AI11" s="31">
        <v>1891.146</v>
      </c>
    </row>
    <row r="12" spans="1:42" s="8" customFormat="1" ht="25.7" customHeight="1" thickBot="1" x14ac:dyDescent="0.3">
      <c r="A12" s="97"/>
      <c r="B12" s="48"/>
      <c r="C12" s="95"/>
      <c r="D12" s="33"/>
      <c r="E12" s="33">
        <f>E11-D11</f>
        <v>1.6789999999998599</v>
      </c>
      <c r="F12" s="33">
        <f t="shared" ref="F12:AI12" si="3">F11-E11</f>
        <v>1.5099999999999909</v>
      </c>
      <c r="G12" s="33">
        <f t="shared" si="3"/>
        <v>1.8820000000000618</v>
      </c>
      <c r="H12" s="33">
        <f t="shared" si="3"/>
        <v>3.3269999999999982</v>
      </c>
      <c r="I12" s="33">
        <f t="shared" si="3"/>
        <v>3.2000000000000455</v>
      </c>
      <c r="J12" s="33">
        <f t="shared" si="3"/>
        <v>2.7429999999999382</v>
      </c>
      <c r="K12" s="33">
        <f t="shared" si="3"/>
        <v>4.0039999999999054</v>
      </c>
      <c r="L12" s="33">
        <f t="shared" si="3"/>
        <v>3.7860000000000582</v>
      </c>
      <c r="M12" s="33">
        <f t="shared" si="3"/>
        <v>4.6820000000000164</v>
      </c>
      <c r="N12" s="33">
        <f t="shared" si="3"/>
        <v>3.3540000000000418</v>
      </c>
      <c r="O12" s="33">
        <f t="shared" si="3"/>
        <v>4.0699999999999363</v>
      </c>
      <c r="P12" s="33">
        <f t="shared" si="3"/>
        <v>3.0320000000001528</v>
      </c>
      <c r="Q12" s="33">
        <f t="shared" si="3"/>
        <v>1.7789999999999964</v>
      </c>
      <c r="R12" s="33">
        <f t="shared" si="3"/>
        <v>2.1259999999999764</v>
      </c>
      <c r="S12" s="33">
        <f t="shared" si="3"/>
        <v>2.1079999999999472</v>
      </c>
      <c r="T12" s="33">
        <f t="shared" si="3"/>
        <v>2.2519999999999527</v>
      </c>
      <c r="U12" s="33">
        <f t="shared" si="3"/>
        <v>1.5850000000000364</v>
      </c>
      <c r="V12" s="33">
        <f t="shared" si="3"/>
        <v>1.6829999999999927</v>
      </c>
      <c r="W12" s="33">
        <f t="shared" si="3"/>
        <v>0.9819999999999709</v>
      </c>
      <c r="X12" s="33">
        <f t="shared" si="3"/>
        <v>0.69200000000000728</v>
      </c>
      <c r="Y12" s="33">
        <f t="shared" si="3"/>
        <v>0.93000000000006366</v>
      </c>
      <c r="Z12" s="33">
        <f t="shared" si="3"/>
        <v>0.7760000000000673</v>
      </c>
      <c r="AA12" s="33">
        <f t="shared" si="3"/>
        <v>1.0069999999998345</v>
      </c>
      <c r="AB12" s="33">
        <f t="shared" si="3"/>
        <v>0.99800000000004729</v>
      </c>
      <c r="AC12" s="33">
        <f t="shared" si="3"/>
        <v>1.3720000000000709</v>
      </c>
      <c r="AD12" s="33">
        <f t="shared" si="3"/>
        <v>2.0149999999998727</v>
      </c>
      <c r="AE12" s="33">
        <f t="shared" si="3"/>
        <v>0.88700000000017099</v>
      </c>
      <c r="AF12" s="33">
        <f t="shared" si="3"/>
        <v>0</v>
      </c>
      <c r="AG12" s="33">
        <f t="shared" si="3"/>
        <v>2.9369999999998981</v>
      </c>
      <c r="AH12" s="33">
        <f t="shared" si="3"/>
        <v>1.0860000000000127</v>
      </c>
      <c r="AI12" s="33">
        <f t="shared" si="3"/>
        <v>0.43499999999994543</v>
      </c>
    </row>
    <row r="13" spans="1:42" s="8" customFormat="1" ht="25.7" customHeight="1" thickBot="1" x14ac:dyDescent="0.3">
      <c r="A13" s="96">
        <v>6</v>
      </c>
      <c r="B13" s="27">
        <v>65296485</v>
      </c>
      <c r="C13" s="95" t="s">
        <v>73</v>
      </c>
      <c r="D13" s="31">
        <v>2211.4479999999999</v>
      </c>
      <c r="E13" s="31">
        <v>2214.4229999999998</v>
      </c>
      <c r="F13" s="31">
        <v>2216.239</v>
      </c>
      <c r="G13" s="31">
        <v>2219.5059999999999</v>
      </c>
      <c r="H13" s="31">
        <v>2219.9299999999998</v>
      </c>
      <c r="I13" s="31">
        <v>2220.7040000000002</v>
      </c>
      <c r="J13" s="31">
        <v>2223.3029999999999</v>
      </c>
      <c r="K13" s="31">
        <v>2225.6570000000002</v>
      </c>
      <c r="L13" s="31">
        <v>2235.989</v>
      </c>
      <c r="M13" s="31">
        <v>2238.5540000000001</v>
      </c>
      <c r="N13" s="31">
        <v>2239.241</v>
      </c>
      <c r="O13" s="31">
        <v>2242.3670000000002</v>
      </c>
      <c r="P13" s="31">
        <v>2242.3670000000002</v>
      </c>
      <c r="Q13" s="31">
        <v>2242.5949999999998</v>
      </c>
      <c r="R13" s="31">
        <v>2243.1750000000002</v>
      </c>
      <c r="S13" s="31">
        <v>2246.2719999999999</v>
      </c>
      <c r="T13" s="31">
        <v>2247.4180000000001</v>
      </c>
      <c r="U13" s="31">
        <v>2249.2640000000001</v>
      </c>
      <c r="V13" s="31">
        <v>2250.6729999999998</v>
      </c>
      <c r="W13" s="31">
        <v>2257.2919999999999</v>
      </c>
      <c r="X13" s="31">
        <v>2261.433</v>
      </c>
      <c r="Y13" s="31">
        <v>2265.3209999999999</v>
      </c>
      <c r="Z13" s="31">
        <v>2274.451</v>
      </c>
      <c r="AA13" s="31">
        <v>2275.1590000000001</v>
      </c>
      <c r="AB13" s="31">
        <v>2275.8150000000001</v>
      </c>
      <c r="AC13" s="31">
        <v>2276.527</v>
      </c>
      <c r="AD13" s="31">
        <v>2278.1770000000001</v>
      </c>
      <c r="AE13" s="31">
        <v>2279.0430000000001</v>
      </c>
      <c r="AF13" s="31">
        <v>2279.0430000000001</v>
      </c>
      <c r="AG13" s="31">
        <v>2281.163</v>
      </c>
      <c r="AH13" s="31">
        <v>2282.808</v>
      </c>
      <c r="AI13" s="31">
        <v>2290.0749999999998</v>
      </c>
    </row>
    <row r="14" spans="1:42" s="8" customFormat="1" ht="25.7" customHeight="1" thickBot="1" x14ac:dyDescent="0.3">
      <c r="A14" s="97"/>
      <c r="B14" s="48"/>
      <c r="C14" s="95"/>
      <c r="D14" s="33"/>
      <c r="E14" s="33">
        <f>E13-D13</f>
        <v>2.9749999999999091</v>
      </c>
      <c r="F14" s="33">
        <f t="shared" ref="F14:M14" si="4">F13-E13</f>
        <v>1.8160000000002583</v>
      </c>
      <c r="G14" s="33">
        <f t="shared" si="4"/>
        <v>3.2669999999998254</v>
      </c>
      <c r="H14" s="33">
        <f t="shared" si="4"/>
        <v>0.42399999999997817</v>
      </c>
      <c r="I14" s="33">
        <f t="shared" si="4"/>
        <v>0.77400000000034197</v>
      </c>
      <c r="J14" s="33">
        <f t="shared" si="4"/>
        <v>2.5989999999997053</v>
      </c>
      <c r="K14" s="33">
        <f t="shared" si="4"/>
        <v>2.3540000000002692</v>
      </c>
      <c r="L14" s="33">
        <f t="shared" si="4"/>
        <v>10.33199999999988</v>
      </c>
      <c r="M14" s="33">
        <f t="shared" si="4"/>
        <v>2.5650000000000546</v>
      </c>
      <c r="N14" s="33">
        <f>N13-M13</f>
        <v>0.68699999999989814</v>
      </c>
      <c r="O14" s="33">
        <f t="shared" ref="O14:AI14" si="5">O13-N13</f>
        <v>3.1260000000002037</v>
      </c>
      <c r="P14" s="33">
        <f t="shared" si="5"/>
        <v>0</v>
      </c>
      <c r="Q14" s="33">
        <f t="shared" si="5"/>
        <v>0.22799999999961074</v>
      </c>
      <c r="R14" s="33">
        <f t="shared" si="5"/>
        <v>0.58000000000038199</v>
      </c>
      <c r="S14" s="33">
        <f t="shared" si="5"/>
        <v>3.0969999999997526</v>
      </c>
      <c r="T14" s="33">
        <f t="shared" si="5"/>
        <v>1.1460000000001855</v>
      </c>
      <c r="U14" s="33">
        <f t="shared" si="5"/>
        <v>1.8460000000000036</v>
      </c>
      <c r="V14" s="33">
        <f t="shared" si="5"/>
        <v>1.4089999999996508</v>
      </c>
      <c r="W14" s="33">
        <f t="shared" si="5"/>
        <v>6.6190000000001419</v>
      </c>
      <c r="X14" s="33">
        <f t="shared" si="5"/>
        <v>4.1410000000000764</v>
      </c>
      <c r="Y14" s="33">
        <f t="shared" si="5"/>
        <v>3.88799999999992</v>
      </c>
      <c r="Z14" s="33">
        <f t="shared" si="5"/>
        <v>9.1300000000001091</v>
      </c>
      <c r="AA14" s="33">
        <f t="shared" si="5"/>
        <v>0.70800000000008367</v>
      </c>
      <c r="AB14" s="33">
        <f t="shared" si="5"/>
        <v>0.65599999999994907</v>
      </c>
      <c r="AC14" s="33">
        <f t="shared" si="5"/>
        <v>0.71199999999998909</v>
      </c>
      <c r="AD14" s="33">
        <f t="shared" si="5"/>
        <v>1.6500000000000909</v>
      </c>
      <c r="AE14" s="33">
        <f t="shared" si="5"/>
        <v>0.86599999999998545</v>
      </c>
      <c r="AF14" s="33">
        <f t="shared" si="5"/>
        <v>0</v>
      </c>
      <c r="AG14" s="33">
        <f t="shared" si="5"/>
        <v>2.1199999999998909</v>
      </c>
      <c r="AH14" s="33">
        <f t="shared" si="5"/>
        <v>1.6449999999999818</v>
      </c>
      <c r="AI14" s="33">
        <f t="shared" si="5"/>
        <v>7.2669999999998254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9" t="s">
        <v>71</v>
      </c>
      <c r="C15" s="89"/>
      <c r="D15" s="50"/>
      <c r="E15" s="58">
        <f>E6+((E8*45%)+(E10*45%)+(E12+E14))</f>
        <v>313.78899999999453</v>
      </c>
      <c r="F15" s="58">
        <f t="shared" ref="F15:AI15" si="6">F6+((F8*45%)+(F10*45%)+(F12+F14))</f>
        <v>260.35599999998453</v>
      </c>
      <c r="G15" s="58">
        <f t="shared" si="6"/>
        <v>274.34899999999988</v>
      </c>
      <c r="H15" s="58">
        <f t="shared" si="6"/>
        <v>278.35600000001045</v>
      </c>
      <c r="I15" s="58">
        <f t="shared" si="6"/>
        <v>269.04900000000038</v>
      </c>
      <c r="J15" s="58">
        <f t="shared" si="6"/>
        <v>300.20199999999443</v>
      </c>
      <c r="K15" s="58">
        <f t="shared" si="6"/>
        <v>326.26300000001066</v>
      </c>
      <c r="L15" s="58">
        <f t="shared" si="6"/>
        <v>296.68300000000517</v>
      </c>
      <c r="M15" s="58">
        <f t="shared" si="6"/>
        <v>310.63699999997914</v>
      </c>
      <c r="N15" s="58">
        <f t="shared" si="6"/>
        <v>255.49600000001041</v>
      </c>
      <c r="O15" s="58">
        <f t="shared" si="6"/>
        <v>208.74099999998967</v>
      </c>
      <c r="P15" s="58">
        <f t="shared" si="6"/>
        <v>241.01700000002111</v>
      </c>
      <c r="Q15" s="58">
        <f t="shared" si="6"/>
        <v>230.25199999998912</v>
      </c>
      <c r="R15" s="58">
        <f t="shared" si="6"/>
        <v>229.01599999999513</v>
      </c>
      <c r="S15" s="58">
        <f t="shared" si="6"/>
        <v>257.62000000000495</v>
      </c>
      <c r="T15" s="58">
        <f t="shared" si="6"/>
        <v>227.3280000000106</v>
      </c>
      <c r="U15" s="58">
        <f t="shared" si="6"/>
        <v>361.12599999998957</v>
      </c>
      <c r="V15" s="58">
        <f t="shared" si="6"/>
        <v>103.3269999999944</v>
      </c>
      <c r="W15" s="58">
        <f t="shared" si="6"/>
        <v>276.37600000000009</v>
      </c>
      <c r="X15" s="58">
        <f t="shared" si="6"/>
        <v>280.17300000000535</v>
      </c>
      <c r="Y15" s="58">
        <f t="shared" si="6"/>
        <v>304.66299999998949</v>
      </c>
      <c r="Z15" s="58">
        <f t="shared" si="6"/>
        <v>288.60100000001592</v>
      </c>
      <c r="AA15" s="58">
        <f t="shared" si="6"/>
        <v>295.29499999998421</v>
      </c>
      <c r="AB15" s="58">
        <f t="shared" si="6"/>
        <v>251.88400000001047</v>
      </c>
      <c r="AC15" s="58">
        <f t="shared" si="6"/>
        <v>295.12400000000531</v>
      </c>
      <c r="AD15" s="58">
        <f t="shared" si="6"/>
        <v>269.25999999998947</v>
      </c>
      <c r="AE15" s="58">
        <f t="shared" si="6"/>
        <v>285.09800000001587</v>
      </c>
      <c r="AF15" s="58">
        <f t="shared" si="6"/>
        <v>320.01999999998952</v>
      </c>
      <c r="AG15" s="58">
        <f t="shared" si="6"/>
        <v>236.02200000000502</v>
      </c>
      <c r="AH15" s="58">
        <f t="shared" si="6"/>
        <v>389.23099999999999</v>
      </c>
      <c r="AI15" s="58">
        <f t="shared" si="6"/>
        <v>117.44200000000501</v>
      </c>
    </row>
    <row r="16" spans="1:42" ht="33" customHeight="1" x14ac:dyDescent="0.25">
      <c r="B16" s="88" t="s">
        <v>72</v>
      </c>
      <c r="C16" s="88"/>
      <c r="D16" s="50"/>
      <c r="E16" s="58">
        <f>SUM(E15:AI15)</f>
        <v>8352.7960000000021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6" zoomScaleNormal="100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8" t="s">
        <v>87</v>
      </c>
      <c r="B1" s="98"/>
      <c r="C1" s="98"/>
    </row>
    <row r="2" spans="1:3" ht="24.95" customHeight="1" x14ac:dyDescent="0.25">
      <c r="A2" s="60" t="s">
        <v>82</v>
      </c>
      <c r="B2" s="60" t="s">
        <v>80</v>
      </c>
      <c r="C2" s="60" t="s">
        <v>81</v>
      </c>
    </row>
    <row r="3" spans="1:3" ht="24.95" customHeight="1" x14ac:dyDescent="0.25">
      <c r="A3" s="61">
        <v>45352</v>
      </c>
      <c r="B3" s="62">
        <v>460</v>
      </c>
      <c r="C3" s="62">
        <v>712</v>
      </c>
    </row>
    <row r="4" spans="1:3" ht="24.95" customHeight="1" x14ac:dyDescent="0.25">
      <c r="A4" s="61">
        <v>45353</v>
      </c>
      <c r="B4" s="62">
        <v>470</v>
      </c>
      <c r="C4" s="62">
        <v>705</v>
      </c>
    </row>
    <row r="5" spans="1:3" ht="24.95" customHeight="1" x14ac:dyDescent="0.25">
      <c r="A5" s="61">
        <v>45354</v>
      </c>
      <c r="B5" s="62">
        <v>465</v>
      </c>
      <c r="C5" s="62">
        <v>643</v>
      </c>
    </row>
    <row r="6" spans="1:3" ht="24.95" customHeight="1" x14ac:dyDescent="0.25">
      <c r="A6" s="61">
        <v>45355</v>
      </c>
      <c r="B6" s="62">
        <v>437</v>
      </c>
      <c r="C6" s="62">
        <v>607</v>
      </c>
    </row>
    <row r="7" spans="1:3" ht="24.95" customHeight="1" x14ac:dyDescent="0.25">
      <c r="A7" s="61">
        <v>45356</v>
      </c>
      <c r="B7" s="62">
        <v>480</v>
      </c>
      <c r="C7" s="62">
        <v>653</v>
      </c>
    </row>
    <row r="8" spans="1:3" ht="24.95" customHeight="1" x14ac:dyDescent="0.25">
      <c r="A8" s="61">
        <v>45357</v>
      </c>
      <c r="B8" s="62">
        <v>478</v>
      </c>
      <c r="C8" s="62">
        <v>654</v>
      </c>
    </row>
    <row r="9" spans="1:3" ht="24.95" customHeight="1" x14ac:dyDescent="0.25">
      <c r="A9" s="61">
        <v>45358</v>
      </c>
      <c r="B9" s="62">
        <v>471</v>
      </c>
      <c r="C9" s="62">
        <v>686</v>
      </c>
    </row>
    <row r="10" spans="1:3" ht="24.95" customHeight="1" x14ac:dyDescent="0.25">
      <c r="A10" s="61">
        <v>45359</v>
      </c>
      <c r="B10" s="62">
        <v>409</v>
      </c>
      <c r="C10" s="62">
        <v>629</v>
      </c>
    </row>
    <row r="11" spans="1:3" ht="24.95" customHeight="1" x14ac:dyDescent="0.25">
      <c r="A11" s="61">
        <v>45360</v>
      </c>
      <c r="B11" s="62">
        <v>356</v>
      </c>
      <c r="C11" s="62">
        <v>534</v>
      </c>
    </row>
    <row r="12" spans="1:3" ht="24.95" customHeight="1" x14ac:dyDescent="0.25">
      <c r="A12" s="61">
        <v>45361</v>
      </c>
      <c r="B12" s="62">
        <v>307</v>
      </c>
      <c r="C12" s="62">
        <v>435</v>
      </c>
    </row>
    <row r="13" spans="1:3" ht="24.95" customHeight="1" x14ac:dyDescent="0.25">
      <c r="A13" s="61">
        <v>45362</v>
      </c>
      <c r="B13" s="62">
        <v>322</v>
      </c>
      <c r="C13" s="62">
        <v>458</v>
      </c>
    </row>
    <row r="14" spans="1:3" ht="24.95" customHeight="1" x14ac:dyDescent="0.25">
      <c r="A14" s="61">
        <v>45363</v>
      </c>
      <c r="B14" s="62">
        <v>415</v>
      </c>
      <c r="C14" s="62">
        <v>601</v>
      </c>
    </row>
    <row r="15" spans="1:3" ht="24.95" customHeight="1" x14ac:dyDescent="0.25">
      <c r="A15" s="61">
        <v>45364</v>
      </c>
      <c r="B15" s="62">
        <v>323</v>
      </c>
      <c r="C15" s="62">
        <v>439</v>
      </c>
    </row>
    <row r="16" spans="1:3" ht="24.95" customHeight="1" x14ac:dyDescent="0.25">
      <c r="A16" s="61">
        <v>45365</v>
      </c>
      <c r="B16" s="62">
        <v>252</v>
      </c>
      <c r="C16" s="62">
        <v>380</v>
      </c>
    </row>
    <row r="17" spans="1:3" ht="24.95" customHeight="1" x14ac:dyDescent="0.25">
      <c r="A17" s="61">
        <v>45366</v>
      </c>
      <c r="B17" s="62">
        <v>287</v>
      </c>
      <c r="C17" s="62">
        <v>440</v>
      </c>
    </row>
    <row r="18" spans="1:3" ht="24.95" customHeight="1" x14ac:dyDescent="0.25">
      <c r="A18" s="61">
        <v>45367</v>
      </c>
      <c r="B18" s="62">
        <v>283</v>
      </c>
      <c r="C18" s="62">
        <v>444</v>
      </c>
    </row>
    <row r="19" spans="1:3" ht="24.95" customHeight="1" x14ac:dyDescent="0.25">
      <c r="A19" s="61">
        <v>45368</v>
      </c>
      <c r="B19" s="62">
        <v>288</v>
      </c>
      <c r="C19" s="62">
        <v>441</v>
      </c>
    </row>
    <row r="20" spans="1:3" ht="24.95" customHeight="1" x14ac:dyDescent="0.25">
      <c r="A20" s="61">
        <v>45369</v>
      </c>
      <c r="B20" s="62">
        <v>322</v>
      </c>
      <c r="C20" s="62">
        <v>494</v>
      </c>
    </row>
    <row r="21" spans="1:3" ht="24.95" customHeight="1" x14ac:dyDescent="0.25">
      <c r="A21" s="61">
        <v>45370</v>
      </c>
      <c r="B21" s="62">
        <v>370</v>
      </c>
      <c r="C21" s="62">
        <v>535</v>
      </c>
    </row>
    <row r="22" spans="1:3" ht="24.95" customHeight="1" x14ac:dyDescent="0.25">
      <c r="A22" s="61">
        <v>45371</v>
      </c>
      <c r="B22" s="62">
        <v>362</v>
      </c>
      <c r="C22" s="62">
        <v>485</v>
      </c>
    </row>
    <row r="23" spans="1:3" ht="24.95" customHeight="1" x14ac:dyDescent="0.25">
      <c r="A23" s="61">
        <v>45372</v>
      </c>
      <c r="B23" s="62">
        <v>362</v>
      </c>
      <c r="C23" s="62">
        <v>560</v>
      </c>
    </row>
    <row r="24" spans="1:3" ht="24.95" customHeight="1" x14ac:dyDescent="0.25">
      <c r="A24" s="61">
        <v>45373</v>
      </c>
      <c r="B24" s="62">
        <v>322</v>
      </c>
      <c r="C24" s="62">
        <v>508</v>
      </c>
    </row>
    <row r="25" spans="1:3" ht="24.95" customHeight="1" x14ac:dyDescent="0.25">
      <c r="A25" s="61">
        <v>45374</v>
      </c>
      <c r="B25" s="62">
        <v>252</v>
      </c>
      <c r="C25" s="62">
        <v>391</v>
      </c>
    </row>
    <row r="26" spans="1:3" ht="24.95" customHeight="1" x14ac:dyDescent="0.25">
      <c r="A26" s="61">
        <v>45375</v>
      </c>
      <c r="B26" s="62">
        <v>289</v>
      </c>
      <c r="C26" s="62">
        <v>443</v>
      </c>
    </row>
    <row r="27" spans="1:3" ht="24.95" customHeight="1" x14ac:dyDescent="0.25">
      <c r="A27" s="61">
        <v>45376</v>
      </c>
      <c r="B27" s="62">
        <v>271</v>
      </c>
      <c r="C27" s="62">
        <v>386</v>
      </c>
    </row>
    <row r="28" spans="1:3" ht="24.95" customHeight="1" x14ac:dyDescent="0.25">
      <c r="A28" s="61">
        <v>45377</v>
      </c>
      <c r="B28" s="62">
        <v>298</v>
      </c>
      <c r="C28" s="62">
        <v>442</v>
      </c>
    </row>
    <row r="29" spans="1:3" ht="24.95" customHeight="1" x14ac:dyDescent="0.25">
      <c r="A29" s="61">
        <v>45378</v>
      </c>
      <c r="B29" s="62">
        <v>243</v>
      </c>
      <c r="C29" s="62">
        <v>339</v>
      </c>
    </row>
    <row r="30" spans="1:3" ht="24.95" customHeight="1" x14ac:dyDescent="0.25">
      <c r="A30" s="61">
        <v>45379</v>
      </c>
      <c r="B30" s="62">
        <v>323</v>
      </c>
      <c r="C30" s="62">
        <v>533</v>
      </c>
    </row>
    <row r="31" spans="1:3" ht="24.95" customHeight="1" x14ac:dyDescent="0.25">
      <c r="A31" s="61">
        <v>45380</v>
      </c>
      <c r="B31" s="62">
        <v>236</v>
      </c>
      <c r="C31" s="62">
        <v>400</v>
      </c>
    </row>
    <row r="32" spans="1:3" ht="24.95" customHeight="1" x14ac:dyDescent="0.25">
      <c r="A32" s="61">
        <v>45381</v>
      </c>
      <c r="B32" s="62">
        <v>231</v>
      </c>
      <c r="C32" s="62">
        <v>367</v>
      </c>
    </row>
    <row r="33" spans="1:3" ht="24.95" customHeight="1" x14ac:dyDescent="0.25">
      <c r="A33" s="61">
        <v>45382</v>
      </c>
      <c r="B33" s="62">
        <v>283</v>
      </c>
      <c r="C33" s="62">
        <v>410</v>
      </c>
    </row>
    <row r="34" spans="1:3" ht="30.75" customHeight="1" x14ac:dyDescent="0.25">
      <c r="A34" s="60" t="s">
        <v>83</v>
      </c>
      <c r="B34" s="63">
        <f>SUM(B3:B33)</f>
        <v>10667</v>
      </c>
      <c r="C34" s="63">
        <f>SUM(C3:C33)</f>
        <v>15754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38970-6571-44F4-B6FD-A24EFB0B3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Babu Alamkulath</cp:lastModifiedBy>
  <dcterms:created xsi:type="dcterms:W3CDTF">2019-05-13T11:08:30Z</dcterms:created>
  <dcterms:modified xsi:type="dcterms:W3CDTF">2025-03-14T13:56:01Z</dcterms:modified>
</cp:coreProperties>
</file>