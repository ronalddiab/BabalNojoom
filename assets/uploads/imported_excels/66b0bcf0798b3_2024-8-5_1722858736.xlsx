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385D0FBD-67A3-44D2-84C0-E3B41C8A6EFF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ly 2024" sheetId="7" r:id="rId3"/>
  </sheets>
  <definedNames>
    <definedName name="_xlnm.Print_Area" localSheetId="2">'July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AD40" i="7" l="1"/>
  <c r="B32" i="4" l="1"/>
  <c r="E32" i="4"/>
  <c r="I32" i="4"/>
  <c r="M32" i="4"/>
  <c r="N32" i="4"/>
  <c r="O32" i="5"/>
  <c r="N32" i="5"/>
  <c r="M32" i="5"/>
  <c r="L32" i="5"/>
  <c r="K32" i="5"/>
  <c r="J32" i="5"/>
  <c r="I32" i="5"/>
  <c r="H32" i="5"/>
  <c r="G32" i="5"/>
  <c r="F32" i="5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7"/>
  <c r="G58" i="7" s="1"/>
  <c r="L58" i="7" s="1"/>
  <c r="B57" i="7"/>
  <c r="G57" i="7" s="1"/>
  <c r="L57" i="7" s="1"/>
  <c r="G56" i="7"/>
  <c r="L56" i="7" s="1"/>
  <c r="B56" i="7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X43" i="7"/>
  <c r="AG43" i="7" s="1"/>
  <c r="Z43" i="7" s="1"/>
  <c r="V43" i="7"/>
  <c r="R43" i="7"/>
  <c r="T43" i="7" s="1"/>
  <c r="O43" i="7"/>
  <c r="L43" i="7"/>
  <c r="M43" i="7" s="1"/>
  <c r="J43" i="7"/>
  <c r="G43" i="7"/>
  <c r="D43" i="7"/>
  <c r="V42" i="7"/>
  <c r="O42" i="7"/>
  <c r="J42" i="7"/>
  <c r="AG41" i="7"/>
  <c r="Z41" i="7"/>
  <c r="V41" i="7"/>
  <c r="T41" i="7"/>
  <c r="O41" i="7"/>
  <c r="M41" i="7"/>
  <c r="J41" i="7"/>
  <c r="G41" i="7"/>
  <c r="AG40" i="7"/>
  <c r="Z40" i="7"/>
  <c r="V40" i="7"/>
  <c r="T40" i="7"/>
  <c r="O40" i="7"/>
  <c r="M40" i="7"/>
  <c r="J40" i="7"/>
  <c r="G40" i="7"/>
  <c r="AG39" i="7"/>
  <c r="AG44" i="7" s="1"/>
  <c r="Z44" i="7" s="1"/>
  <c r="V39" i="7"/>
  <c r="O39" i="7"/>
  <c r="J39" i="7"/>
  <c r="AG38" i="7"/>
  <c r="AE36" i="7"/>
  <c r="AD36" i="7"/>
  <c r="AV35" i="7"/>
  <c r="AW35" i="7" s="1"/>
  <c r="AT35" i="7"/>
  <c r="AS35" i="7"/>
  <c r="AP35" i="7"/>
  <c r="AQ35" i="7" s="1"/>
  <c r="AN35" i="7"/>
  <c r="AM35" i="7"/>
  <c r="AJ35" i="7"/>
  <c r="AK35" i="7" s="1"/>
  <c r="AH35" i="7"/>
  <c r="AG35" i="7"/>
  <c r="AC35" i="7"/>
  <c r="AA35" i="7"/>
  <c r="Z35" i="7"/>
  <c r="W35" i="7"/>
  <c r="X35" i="7" s="1"/>
  <c r="Y35" i="7" s="1"/>
  <c r="U35" i="7"/>
  <c r="T35" i="7"/>
  <c r="S35" i="7"/>
  <c r="P35" i="7"/>
  <c r="Q35" i="7" s="1"/>
  <c r="N35" i="7"/>
  <c r="K35" i="7"/>
  <c r="L35" i="7" s="1"/>
  <c r="H35" i="7"/>
  <c r="I35" i="7" s="1"/>
  <c r="G35" i="7"/>
  <c r="E35" i="7"/>
  <c r="C35" i="7"/>
  <c r="AW34" i="7"/>
  <c r="AV34" i="7"/>
  <c r="AS34" i="7"/>
  <c r="AT34" i="7" s="1"/>
  <c r="AQ34" i="7"/>
  <c r="AP34" i="7"/>
  <c r="AM34" i="7"/>
  <c r="AN34" i="7" s="1"/>
  <c r="AK34" i="7"/>
  <c r="AJ34" i="7"/>
  <c r="AG34" i="7"/>
  <c r="AH34" i="7" s="1"/>
  <c r="AC34" i="7"/>
  <c r="Z34" i="7"/>
  <c r="X34" i="7"/>
  <c r="Y34" i="7" s="1"/>
  <c r="AA34" i="7" s="1"/>
  <c r="W34" i="7"/>
  <c r="U34" i="7"/>
  <c r="S34" i="7"/>
  <c r="T34" i="7" s="1"/>
  <c r="P34" i="7"/>
  <c r="N34" i="7"/>
  <c r="Q34" i="7" s="1"/>
  <c r="L34" i="7"/>
  <c r="K34" i="7"/>
  <c r="H34" i="7"/>
  <c r="I34" i="7" s="1"/>
  <c r="G34" i="7"/>
  <c r="E34" i="7"/>
  <c r="C34" i="7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Z33" i="7"/>
  <c r="W33" i="7"/>
  <c r="X33" i="7" s="1"/>
  <c r="Y33" i="7" s="1"/>
  <c r="AA33" i="7" s="1"/>
  <c r="S33" i="7"/>
  <c r="T33" i="7" s="1"/>
  <c r="U33" i="7" s="1"/>
  <c r="P33" i="7"/>
  <c r="N33" i="7"/>
  <c r="Q33" i="7" s="1"/>
  <c r="L33" i="7"/>
  <c r="K33" i="7"/>
  <c r="G33" i="7"/>
  <c r="H33" i="7" s="1"/>
  <c r="I33" i="7" s="1"/>
  <c r="E33" i="7"/>
  <c r="C33" i="7"/>
  <c r="AV32" i="7"/>
  <c r="AW32" i="7" s="1"/>
  <c r="AT32" i="7"/>
  <c r="AS32" i="7"/>
  <c r="AP32" i="7"/>
  <c r="AQ32" i="7" s="1"/>
  <c r="AN32" i="7"/>
  <c r="AM32" i="7"/>
  <c r="AJ32" i="7"/>
  <c r="AK32" i="7" s="1"/>
  <c r="AH32" i="7"/>
  <c r="AG32" i="7"/>
  <c r="AC32" i="7"/>
  <c r="AA32" i="7"/>
  <c r="Z32" i="7"/>
  <c r="W32" i="7"/>
  <c r="X32" i="7" s="1"/>
  <c r="Y32" i="7" s="1"/>
  <c r="S32" i="7"/>
  <c r="T32" i="7" s="1"/>
  <c r="U32" i="7" s="1"/>
  <c r="P32" i="7"/>
  <c r="Q32" i="7" s="1"/>
  <c r="N32" i="7"/>
  <c r="L32" i="7"/>
  <c r="K32" i="7"/>
  <c r="G32" i="7"/>
  <c r="E32" i="7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Z31" i="7"/>
  <c r="Y31" i="7"/>
  <c r="AA31" i="7" s="1"/>
  <c r="W31" i="7"/>
  <c r="X31" i="7" s="1"/>
  <c r="U31" i="7"/>
  <c r="T31" i="7"/>
  <c r="S31" i="7"/>
  <c r="P31" i="7"/>
  <c r="Q31" i="7" s="1"/>
  <c r="N31" i="7"/>
  <c r="K31" i="7"/>
  <c r="L31" i="7" s="1"/>
  <c r="G31" i="7"/>
  <c r="E31" i="7"/>
  <c r="H31" i="7" s="1"/>
  <c r="I31" i="7" s="1"/>
  <c r="C31" i="7"/>
  <c r="AW30" i="7"/>
  <c r="AV30" i="7"/>
  <c r="AT30" i="7"/>
  <c r="AS30" i="7"/>
  <c r="AQ30" i="7"/>
  <c r="AP30" i="7"/>
  <c r="AN30" i="7"/>
  <c r="AM30" i="7"/>
  <c r="AK30" i="7"/>
  <c r="AJ30" i="7"/>
  <c r="AH30" i="7"/>
  <c r="AG30" i="7"/>
  <c r="AC30" i="7"/>
  <c r="Z30" i="7"/>
  <c r="Y30" i="7"/>
  <c r="AA30" i="7" s="1"/>
  <c r="X30" i="7"/>
  <c r="W30" i="7"/>
  <c r="S30" i="7"/>
  <c r="T30" i="7" s="1"/>
  <c r="U30" i="7" s="1"/>
  <c r="P30" i="7"/>
  <c r="N30" i="7"/>
  <c r="L30" i="7"/>
  <c r="K30" i="7"/>
  <c r="G30" i="7"/>
  <c r="E30" i="7"/>
  <c r="C30" i="7"/>
  <c r="H30" i="7" s="1"/>
  <c r="I30" i="7" s="1"/>
  <c r="AV29" i="7"/>
  <c r="AW29" i="7" s="1"/>
  <c r="AS29" i="7"/>
  <c r="AT29" i="7" s="1"/>
  <c r="AQ29" i="7"/>
  <c r="AP29" i="7"/>
  <c r="AM29" i="7"/>
  <c r="AN29" i="7" s="1"/>
  <c r="AJ29" i="7"/>
  <c r="AK29" i="7" s="1"/>
  <c r="AG29" i="7"/>
  <c r="AH29" i="7" s="1"/>
  <c r="AC29" i="7"/>
  <c r="Z29" i="7"/>
  <c r="X29" i="7"/>
  <c r="Y29" i="7" s="1"/>
  <c r="AA29" i="7" s="1"/>
  <c r="W29" i="7"/>
  <c r="T29" i="7"/>
  <c r="U29" i="7" s="1"/>
  <c r="S29" i="7"/>
  <c r="Q29" i="7"/>
  <c r="P29" i="7"/>
  <c r="N29" i="7"/>
  <c r="K29" i="7"/>
  <c r="L29" i="7" s="1"/>
  <c r="H29" i="7"/>
  <c r="I29" i="7" s="1"/>
  <c r="G29" i="7"/>
  <c r="E29" i="7"/>
  <c r="C29" i="7"/>
  <c r="AW28" i="7"/>
  <c r="AV28" i="7"/>
  <c r="AT28" i="7"/>
  <c r="AS28" i="7"/>
  <c r="AQ28" i="7"/>
  <c r="AP28" i="7"/>
  <c r="AN28" i="7"/>
  <c r="AM28" i="7"/>
  <c r="AK28" i="7"/>
  <c r="AJ28" i="7"/>
  <c r="AH28" i="7"/>
  <c r="AG28" i="7"/>
  <c r="AC28" i="7"/>
  <c r="Z28" i="7"/>
  <c r="W28" i="7"/>
  <c r="X28" i="7" s="1"/>
  <c r="Y28" i="7" s="1"/>
  <c r="AA28" i="7" s="1"/>
  <c r="U28" i="7"/>
  <c r="S28" i="7"/>
  <c r="T28" i="7" s="1"/>
  <c r="P28" i="7"/>
  <c r="Q28" i="7" s="1"/>
  <c r="N28" i="7"/>
  <c r="K28" i="7"/>
  <c r="L28" i="7" s="1"/>
  <c r="G28" i="7"/>
  <c r="E28" i="7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Z27" i="7"/>
  <c r="W27" i="7"/>
  <c r="X27" i="7" s="1"/>
  <c r="Y27" i="7" s="1"/>
  <c r="AA27" i="7" s="1"/>
  <c r="T27" i="7"/>
  <c r="U27" i="7" s="1"/>
  <c r="S27" i="7"/>
  <c r="P27" i="7"/>
  <c r="N27" i="7"/>
  <c r="Q27" i="7" s="1"/>
  <c r="K27" i="7"/>
  <c r="L27" i="7" s="1"/>
  <c r="G27" i="7"/>
  <c r="E27" i="7"/>
  <c r="C27" i="7"/>
  <c r="AW26" i="7"/>
  <c r="AV26" i="7"/>
  <c r="AT26" i="7"/>
  <c r="AS26" i="7"/>
  <c r="AQ26" i="7"/>
  <c r="AP26" i="7"/>
  <c r="AN26" i="7"/>
  <c r="AM26" i="7"/>
  <c r="AK26" i="7"/>
  <c r="AJ26" i="7"/>
  <c r="AH26" i="7"/>
  <c r="AG26" i="7"/>
  <c r="AC26" i="7"/>
  <c r="Z26" i="7"/>
  <c r="Y26" i="7"/>
  <c r="AA26" i="7" s="1"/>
  <c r="X26" i="7"/>
  <c r="W26" i="7"/>
  <c r="T26" i="7"/>
  <c r="U26" i="7" s="1"/>
  <c r="S26" i="7"/>
  <c r="P26" i="7"/>
  <c r="N26" i="7"/>
  <c r="Q26" i="7" s="1"/>
  <c r="L26" i="7"/>
  <c r="K26" i="7"/>
  <c r="G26" i="7"/>
  <c r="H26" i="7" s="1"/>
  <c r="I26" i="7" s="1"/>
  <c r="E26" i="7"/>
  <c r="C26" i="7"/>
  <c r="AV25" i="7"/>
  <c r="AW25" i="7" s="1"/>
  <c r="AS25" i="7"/>
  <c r="AT25" i="7" s="1"/>
  <c r="AP25" i="7"/>
  <c r="AQ25" i="7" s="1"/>
  <c r="AM25" i="7"/>
  <c r="AN25" i="7" s="1"/>
  <c r="AK25" i="7"/>
  <c r="AJ25" i="7"/>
  <c r="AG25" i="7"/>
  <c r="AH25" i="7" s="1"/>
  <c r="AC25" i="7"/>
  <c r="Z25" i="7"/>
  <c r="W25" i="7"/>
  <c r="X25" i="7" s="1"/>
  <c r="Y25" i="7" s="1"/>
  <c r="AA25" i="7" s="1"/>
  <c r="S25" i="7"/>
  <c r="T25" i="7" s="1"/>
  <c r="U25" i="7" s="1"/>
  <c r="Q25" i="7"/>
  <c r="P25" i="7"/>
  <c r="N25" i="7"/>
  <c r="L25" i="7"/>
  <c r="K25" i="7"/>
  <c r="G25" i="7"/>
  <c r="E25" i="7"/>
  <c r="H25" i="7" s="1"/>
  <c r="I25" i="7" s="1"/>
  <c r="C25" i="7"/>
  <c r="AW24" i="7"/>
  <c r="AV24" i="7"/>
  <c r="AT24" i="7"/>
  <c r="AS24" i="7"/>
  <c r="AQ24" i="7"/>
  <c r="AP24" i="7"/>
  <c r="AN24" i="7"/>
  <c r="AM24" i="7"/>
  <c r="AK24" i="7"/>
  <c r="AJ24" i="7"/>
  <c r="AH24" i="7"/>
  <c r="AG24" i="7"/>
  <c r="AC24" i="7"/>
  <c r="Z24" i="7"/>
  <c r="X24" i="7"/>
  <c r="Y24" i="7" s="1"/>
  <c r="AA24" i="7" s="1"/>
  <c r="W24" i="7"/>
  <c r="S24" i="7"/>
  <c r="T24" i="7" s="1"/>
  <c r="U24" i="7" s="1"/>
  <c r="P24" i="7"/>
  <c r="Q24" i="7" s="1"/>
  <c r="N24" i="7"/>
  <c r="K24" i="7"/>
  <c r="L24" i="7" s="1"/>
  <c r="I24" i="7"/>
  <c r="G24" i="7"/>
  <c r="E24" i="7"/>
  <c r="C24" i="7"/>
  <c r="H24" i="7" s="1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Z23" i="7"/>
  <c r="Y23" i="7"/>
  <c r="AA23" i="7" s="1"/>
  <c r="W23" i="7"/>
  <c r="X23" i="7" s="1"/>
  <c r="S23" i="7"/>
  <c r="T23" i="7" s="1"/>
  <c r="U23" i="7" s="1"/>
  <c r="P23" i="7"/>
  <c r="N23" i="7"/>
  <c r="L23" i="7"/>
  <c r="K23" i="7"/>
  <c r="G23" i="7"/>
  <c r="E23" i="7"/>
  <c r="C23" i="7"/>
  <c r="H23" i="7" s="1"/>
  <c r="I23" i="7" s="1"/>
  <c r="AV22" i="7"/>
  <c r="AW22" i="7" s="1"/>
  <c r="AS22" i="7"/>
  <c r="AT22" i="7" s="1"/>
  <c r="AQ22" i="7"/>
  <c r="AP22" i="7"/>
  <c r="AM22" i="7"/>
  <c r="AN22" i="7" s="1"/>
  <c r="AJ22" i="7"/>
  <c r="AK22" i="7" s="1"/>
  <c r="AG22" i="7"/>
  <c r="AH22" i="7" s="1"/>
  <c r="AC22" i="7"/>
  <c r="Z22" i="7"/>
  <c r="W22" i="7"/>
  <c r="X22" i="7" s="1"/>
  <c r="Y22" i="7" s="1"/>
  <c r="AA22" i="7" s="1"/>
  <c r="T22" i="7"/>
  <c r="U22" i="7" s="1"/>
  <c r="S22" i="7"/>
  <c r="P22" i="7"/>
  <c r="N22" i="7"/>
  <c r="Q22" i="7" s="1"/>
  <c r="K22" i="7"/>
  <c r="L22" i="7" s="1"/>
  <c r="G22" i="7"/>
  <c r="H22" i="7" s="1"/>
  <c r="I22" i="7" s="1"/>
  <c r="E22" i="7"/>
  <c r="C22" i="7"/>
  <c r="AV21" i="7"/>
  <c r="AW21" i="7" s="1"/>
  <c r="AT21" i="7"/>
  <c r="AS21" i="7"/>
  <c r="AP21" i="7"/>
  <c r="AQ21" i="7" s="1"/>
  <c r="AN21" i="7"/>
  <c r="AM21" i="7"/>
  <c r="AJ21" i="7"/>
  <c r="AK21" i="7" s="1"/>
  <c r="AH21" i="7"/>
  <c r="AG21" i="7"/>
  <c r="AC21" i="7"/>
  <c r="Z21" i="7"/>
  <c r="W21" i="7"/>
  <c r="X21" i="7" s="1"/>
  <c r="Y21" i="7" s="1"/>
  <c r="AA21" i="7" s="1"/>
  <c r="U21" i="7"/>
  <c r="S21" i="7"/>
  <c r="T21" i="7" s="1"/>
  <c r="P21" i="7"/>
  <c r="Q21" i="7" s="1"/>
  <c r="N21" i="7"/>
  <c r="K21" i="7"/>
  <c r="L21" i="7" s="1"/>
  <c r="G21" i="7"/>
  <c r="E21" i="7"/>
  <c r="C21" i="7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Z20" i="7"/>
  <c r="W20" i="7"/>
  <c r="X20" i="7" s="1"/>
  <c r="Y20" i="7" s="1"/>
  <c r="AA20" i="7" s="1"/>
  <c r="T20" i="7"/>
  <c r="U20" i="7" s="1"/>
  <c r="S20" i="7"/>
  <c r="Q20" i="7"/>
  <c r="P20" i="7"/>
  <c r="N20" i="7"/>
  <c r="K20" i="7"/>
  <c r="L20" i="7" s="1"/>
  <c r="G20" i="7"/>
  <c r="E20" i="7"/>
  <c r="C20" i="7"/>
  <c r="H20" i="7" s="1"/>
  <c r="I20" i="7" s="1"/>
  <c r="AW19" i="7"/>
  <c r="AV19" i="7"/>
  <c r="AS19" i="7"/>
  <c r="AT19" i="7" s="1"/>
  <c r="AQ19" i="7"/>
  <c r="AP19" i="7"/>
  <c r="AM19" i="7"/>
  <c r="AN19" i="7" s="1"/>
  <c r="AK19" i="7"/>
  <c r="AJ19" i="7"/>
  <c r="AG19" i="7"/>
  <c r="AH19" i="7" s="1"/>
  <c r="AC19" i="7"/>
  <c r="Z19" i="7"/>
  <c r="X19" i="7"/>
  <c r="Y19" i="7" s="1"/>
  <c r="AA19" i="7" s="1"/>
  <c r="W19" i="7"/>
  <c r="S19" i="7"/>
  <c r="T19" i="7" s="1"/>
  <c r="U19" i="7" s="1"/>
  <c r="P19" i="7"/>
  <c r="N19" i="7"/>
  <c r="Q19" i="7" s="1"/>
  <c r="L19" i="7"/>
  <c r="K19" i="7"/>
  <c r="G19" i="7"/>
  <c r="H19" i="7" s="1"/>
  <c r="I19" i="7" s="1"/>
  <c r="E19" i="7"/>
  <c r="C19" i="7"/>
  <c r="AV18" i="7"/>
  <c r="AW18" i="7" s="1"/>
  <c r="AS18" i="7"/>
  <c r="AT18" i="7" s="1"/>
  <c r="AP18" i="7"/>
  <c r="AQ18" i="7" s="1"/>
  <c r="AM18" i="7"/>
  <c r="AN18" i="7" s="1"/>
  <c r="AK18" i="7"/>
  <c r="AJ18" i="7"/>
  <c r="AG18" i="7"/>
  <c r="AH18" i="7" s="1"/>
  <c r="AC18" i="7"/>
  <c r="Z18" i="7"/>
  <c r="W18" i="7"/>
  <c r="X18" i="7" s="1"/>
  <c r="Y18" i="7" s="1"/>
  <c r="AA18" i="7" s="1"/>
  <c r="S18" i="7"/>
  <c r="T18" i="7" s="1"/>
  <c r="U18" i="7" s="1"/>
  <c r="Q18" i="7"/>
  <c r="P18" i="7"/>
  <c r="N18" i="7"/>
  <c r="K18" i="7"/>
  <c r="L18" i="7" s="1"/>
  <c r="H18" i="7"/>
  <c r="I18" i="7" s="1"/>
  <c r="G18" i="7"/>
  <c r="E18" i="7"/>
  <c r="C18" i="7"/>
  <c r="AW17" i="7"/>
  <c r="AV17" i="7"/>
  <c r="AT17" i="7"/>
  <c r="AS17" i="7"/>
  <c r="AQ17" i="7"/>
  <c r="AP17" i="7"/>
  <c r="AN17" i="7"/>
  <c r="AM17" i="7"/>
  <c r="AK17" i="7"/>
  <c r="AJ17" i="7"/>
  <c r="AH17" i="7"/>
  <c r="AG17" i="7"/>
  <c r="AC17" i="7"/>
  <c r="Z17" i="7"/>
  <c r="W17" i="7"/>
  <c r="X17" i="7" s="1"/>
  <c r="Y17" i="7" s="1"/>
  <c r="AA17" i="7" s="1"/>
  <c r="S17" i="7"/>
  <c r="T17" i="7" s="1"/>
  <c r="U17" i="7" s="1"/>
  <c r="P17" i="7"/>
  <c r="Q17" i="7" s="1"/>
  <c r="N17" i="7"/>
  <c r="K17" i="7"/>
  <c r="L17" i="7" s="1"/>
  <c r="I17" i="7"/>
  <c r="G17" i="7"/>
  <c r="E17" i="7"/>
  <c r="C17" i="7"/>
  <c r="H17" i="7" s="1"/>
  <c r="AV16" i="7"/>
  <c r="AW16" i="7" s="1"/>
  <c r="AS16" i="7"/>
  <c r="AT16" i="7" s="1"/>
  <c r="AP16" i="7"/>
  <c r="AQ16" i="7" s="1"/>
  <c r="AN16" i="7"/>
  <c r="AM16" i="7"/>
  <c r="AJ16" i="7"/>
  <c r="AK16" i="7" s="1"/>
  <c r="AG16" i="7"/>
  <c r="AH16" i="7" s="1"/>
  <c r="AC16" i="7"/>
  <c r="Z16" i="7"/>
  <c r="Y16" i="7"/>
  <c r="AA16" i="7" s="1"/>
  <c r="W16" i="7"/>
  <c r="X16" i="7" s="1"/>
  <c r="T16" i="7"/>
  <c r="U16" i="7" s="1"/>
  <c r="S16" i="7"/>
  <c r="P16" i="7"/>
  <c r="N16" i="7"/>
  <c r="Q16" i="7" s="1"/>
  <c r="K16" i="7"/>
  <c r="L16" i="7" s="1"/>
  <c r="G16" i="7"/>
  <c r="E16" i="7"/>
  <c r="H16" i="7" s="1"/>
  <c r="I16" i="7" s="1"/>
  <c r="C16" i="7"/>
  <c r="AW15" i="7"/>
  <c r="AV15" i="7"/>
  <c r="AT15" i="7"/>
  <c r="AS15" i="7"/>
  <c r="AQ15" i="7"/>
  <c r="AP15" i="7"/>
  <c r="AN15" i="7"/>
  <c r="AM15" i="7"/>
  <c r="AK15" i="7"/>
  <c r="AJ15" i="7"/>
  <c r="AH15" i="7"/>
  <c r="AG15" i="7"/>
  <c r="AC15" i="7"/>
  <c r="Z15" i="7"/>
  <c r="Y15" i="7"/>
  <c r="AA15" i="7" s="1"/>
  <c r="X15" i="7"/>
  <c r="W15" i="7"/>
  <c r="T15" i="7"/>
  <c r="U15" i="7" s="1"/>
  <c r="S15" i="7"/>
  <c r="P15" i="7"/>
  <c r="N15" i="7"/>
  <c r="Q15" i="7" s="1"/>
  <c r="L15" i="7"/>
  <c r="K15" i="7"/>
  <c r="G15" i="7"/>
  <c r="H15" i="7" s="1"/>
  <c r="I15" i="7" s="1"/>
  <c r="E15" i="7"/>
  <c r="C15" i="7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Z14" i="7"/>
  <c r="X14" i="7"/>
  <c r="Y14" i="7" s="1"/>
  <c r="AA14" i="7" s="1"/>
  <c r="W14" i="7"/>
  <c r="S14" i="7"/>
  <c r="T14" i="7" s="1"/>
  <c r="U14" i="7" s="1"/>
  <c r="Q14" i="7"/>
  <c r="P14" i="7"/>
  <c r="N14" i="7"/>
  <c r="K14" i="7"/>
  <c r="L14" i="7" s="1"/>
  <c r="G14" i="7"/>
  <c r="E14" i="7"/>
  <c r="H14" i="7" s="1"/>
  <c r="I14" i="7" s="1"/>
  <c r="C14" i="7"/>
  <c r="AV13" i="7"/>
  <c r="AW13" i="7" s="1"/>
  <c r="AT13" i="7"/>
  <c r="AS13" i="7"/>
  <c r="AP13" i="7"/>
  <c r="AQ13" i="7" s="1"/>
  <c r="AN13" i="7"/>
  <c r="AM13" i="7"/>
  <c r="AJ13" i="7"/>
  <c r="AK13" i="7" s="1"/>
  <c r="AH13" i="7"/>
  <c r="AG13" i="7"/>
  <c r="AC13" i="7"/>
  <c r="Z13" i="7"/>
  <c r="X13" i="7"/>
  <c r="Y13" i="7" s="1"/>
  <c r="AA13" i="7" s="1"/>
  <c r="W13" i="7"/>
  <c r="S13" i="7"/>
  <c r="T13" i="7" s="1"/>
  <c r="U13" i="7" s="1"/>
  <c r="Q13" i="7"/>
  <c r="P13" i="7"/>
  <c r="N13" i="7"/>
  <c r="K13" i="7"/>
  <c r="L13" i="7" s="1"/>
  <c r="G13" i="7"/>
  <c r="E13" i="7"/>
  <c r="C13" i="7"/>
  <c r="H13" i="7" s="1"/>
  <c r="I13" i="7" s="1"/>
  <c r="AW12" i="7"/>
  <c r="AS12" i="7"/>
  <c r="AT12" i="7" s="1"/>
  <c r="AQ12" i="7"/>
  <c r="AP12" i="7"/>
  <c r="AM12" i="7"/>
  <c r="AN12" i="7" s="1"/>
  <c r="AK12" i="7"/>
  <c r="AJ12" i="7"/>
  <c r="AG12" i="7"/>
  <c r="AH12" i="7" s="1"/>
  <c r="AC12" i="7"/>
  <c r="Z12" i="7"/>
  <c r="X12" i="7"/>
  <c r="Y12" i="7" s="1"/>
  <c r="AA12" i="7" s="1"/>
  <c r="W12" i="7"/>
  <c r="S12" i="7"/>
  <c r="T12" i="7" s="1"/>
  <c r="U12" i="7" s="1"/>
  <c r="P12" i="7"/>
  <c r="N12" i="7"/>
  <c r="L12" i="7"/>
  <c r="K12" i="7"/>
  <c r="G12" i="7"/>
  <c r="E12" i="7"/>
  <c r="C12" i="7"/>
  <c r="H12" i="7" s="1"/>
  <c r="I12" i="7" s="1"/>
  <c r="AV11" i="7"/>
  <c r="AW11" i="7" s="1"/>
  <c r="AS11" i="7"/>
  <c r="AT11" i="7" s="1"/>
  <c r="AQ11" i="7"/>
  <c r="AP11" i="7"/>
  <c r="AM11" i="7"/>
  <c r="AN11" i="7" s="1"/>
  <c r="AJ11" i="7"/>
  <c r="AK11" i="7" s="1"/>
  <c r="AG11" i="7"/>
  <c r="AH11" i="7" s="1"/>
  <c r="AC11" i="7"/>
  <c r="Z11" i="7"/>
  <c r="W11" i="7"/>
  <c r="X11" i="7" s="1"/>
  <c r="Y11" i="7" s="1"/>
  <c r="AA11" i="7" s="1"/>
  <c r="T11" i="7"/>
  <c r="U11" i="7" s="1"/>
  <c r="S11" i="7"/>
  <c r="P11" i="7"/>
  <c r="N11" i="7"/>
  <c r="Q11" i="7" s="1"/>
  <c r="K11" i="7"/>
  <c r="L11" i="7" s="1"/>
  <c r="G11" i="7"/>
  <c r="H11" i="7" s="1"/>
  <c r="I11" i="7" s="1"/>
  <c r="E11" i="7"/>
  <c r="C11" i="7"/>
  <c r="AV10" i="7"/>
  <c r="AW10" i="7" s="1"/>
  <c r="AT10" i="7"/>
  <c r="AS10" i="7"/>
  <c r="AP10" i="7"/>
  <c r="AQ10" i="7" s="1"/>
  <c r="AN10" i="7"/>
  <c r="AM10" i="7"/>
  <c r="AJ10" i="7"/>
  <c r="AK10" i="7" s="1"/>
  <c r="AH10" i="7"/>
  <c r="AG10" i="7"/>
  <c r="AC10" i="7"/>
  <c r="Z10" i="7"/>
  <c r="W10" i="7"/>
  <c r="X10" i="7" s="1"/>
  <c r="Y10" i="7" s="1"/>
  <c r="AA10" i="7" s="1"/>
  <c r="U10" i="7"/>
  <c r="S10" i="7"/>
  <c r="T10" i="7" s="1"/>
  <c r="P10" i="7"/>
  <c r="Q10" i="7" s="1"/>
  <c r="N10" i="7"/>
  <c r="K10" i="7"/>
  <c r="L10" i="7" s="1"/>
  <c r="G10" i="7"/>
  <c r="E10" i="7"/>
  <c r="C10" i="7"/>
  <c r="AV9" i="7"/>
  <c r="AW9" i="7" s="1"/>
  <c r="AT9" i="7"/>
  <c r="AS9" i="7"/>
  <c r="AP9" i="7"/>
  <c r="AQ9" i="7" s="1"/>
  <c r="AM9" i="7"/>
  <c r="AN9" i="7" s="1"/>
  <c r="AJ9" i="7"/>
  <c r="AK9" i="7" s="1"/>
  <c r="AG9" i="7"/>
  <c r="AH9" i="7" s="1"/>
  <c r="AC9" i="7"/>
  <c r="Z9" i="7"/>
  <c r="X9" i="7"/>
  <c r="Y9" i="7" s="1"/>
  <c r="AA9" i="7" s="1"/>
  <c r="W9" i="7"/>
  <c r="S9" i="7"/>
  <c r="T9" i="7" s="1"/>
  <c r="U9" i="7" s="1"/>
  <c r="P9" i="7"/>
  <c r="N9" i="7"/>
  <c r="Q9" i="7" s="1"/>
  <c r="L9" i="7"/>
  <c r="K9" i="7"/>
  <c r="G9" i="7"/>
  <c r="H9" i="7" s="1"/>
  <c r="I9" i="7" s="1"/>
  <c r="E9" i="7"/>
  <c r="C9" i="7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Z8" i="7"/>
  <c r="W8" i="7"/>
  <c r="X8" i="7" s="1"/>
  <c r="Y8" i="7" s="1"/>
  <c r="AA8" i="7" s="1"/>
  <c r="S8" i="7"/>
  <c r="T8" i="7" s="1"/>
  <c r="U8" i="7" s="1"/>
  <c r="Q8" i="7"/>
  <c r="P8" i="7"/>
  <c r="N8" i="7"/>
  <c r="K8" i="7"/>
  <c r="L8" i="7" s="1"/>
  <c r="G8" i="7"/>
  <c r="E8" i="7"/>
  <c r="H8" i="7" s="1"/>
  <c r="I8" i="7" s="1"/>
  <c r="C8" i="7"/>
  <c r="AV7" i="7"/>
  <c r="AW7" i="7" s="1"/>
  <c r="AT7" i="7"/>
  <c r="AS7" i="7"/>
  <c r="AP7" i="7"/>
  <c r="AQ7" i="7" s="1"/>
  <c r="AN7" i="7"/>
  <c r="AM7" i="7"/>
  <c r="AJ7" i="7"/>
  <c r="AK7" i="7" s="1"/>
  <c r="AH7" i="7"/>
  <c r="AG7" i="7"/>
  <c r="AC7" i="7"/>
  <c r="Z7" i="7"/>
  <c r="W7" i="7"/>
  <c r="X7" i="7" s="1"/>
  <c r="Y7" i="7" s="1"/>
  <c r="AA7" i="7" s="1"/>
  <c r="S7" i="7"/>
  <c r="T7" i="7" s="1"/>
  <c r="U7" i="7" s="1"/>
  <c r="P7" i="7"/>
  <c r="Q7" i="7" s="1"/>
  <c r="N7" i="7"/>
  <c r="K7" i="7"/>
  <c r="L7" i="7" s="1"/>
  <c r="G7" i="7"/>
  <c r="E7" i="7"/>
  <c r="C7" i="7"/>
  <c r="H7" i="7" s="1"/>
  <c r="I7" i="7" s="1"/>
  <c r="AV6" i="7"/>
  <c r="AS6" i="7"/>
  <c r="AS36" i="7" s="1"/>
  <c r="AP6" i="7"/>
  <c r="AM6" i="7"/>
  <c r="AM36" i="7" s="1"/>
  <c r="AJ6" i="7"/>
  <c r="AG6" i="7"/>
  <c r="AG36" i="7" s="1"/>
  <c r="AC6" i="7"/>
  <c r="Z6" i="7"/>
  <c r="W6" i="7"/>
  <c r="W36" i="7" s="1"/>
  <c r="T6" i="7"/>
  <c r="U6" i="7" s="1"/>
  <c r="S6" i="7"/>
  <c r="P6" i="7"/>
  <c r="N6" i="7"/>
  <c r="N36" i="7" s="1"/>
  <c r="K6" i="7"/>
  <c r="L6" i="7" s="1"/>
  <c r="H6" i="7"/>
  <c r="I6" i="7" s="1"/>
  <c r="G6" i="7"/>
  <c r="G36" i="7" s="1"/>
  <c r="E6" i="7"/>
  <c r="C6" i="7"/>
  <c r="AW5" i="7"/>
  <c r="AT5" i="7"/>
  <c r="AQ5" i="7"/>
  <c r="AN5" i="7"/>
  <c r="AK5" i="7"/>
  <c r="AH5" i="7"/>
  <c r="Z5" i="7"/>
  <c r="Y5" i="7"/>
  <c r="X5" i="7"/>
  <c r="T5" i="7"/>
  <c r="Q5" i="7"/>
  <c r="L5" i="7"/>
  <c r="H5" i="7"/>
  <c r="AK36" i="7" l="1"/>
  <c r="AW36" i="7"/>
  <c r="K36" i="7"/>
  <c r="AB48" i="7"/>
  <c r="T36" i="7"/>
  <c r="T39" i="7" s="1"/>
  <c r="Z36" i="7"/>
  <c r="C36" i="7"/>
  <c r="P36" i="7"/>
  <c r="AH6" i="7"/>
  <c r="AH36" i="7" s="1"/>
  <c r="AN6" i="7"/>
  <c r="AN36" i="7" s="1"/>
  <c r="AT6" i="7"/>
  <c r="AB49" i="7"/>
  <c r="I5" i="7"/>
  <c r="U5" i="7"/>
  <c r="U36" i="7" s="1"/>
  <c r="AA5" i="7"/>
  <c r="AQ36" i="7"/>
  <c r="E36" i="7"/>
  <c r="Q6" i="7"/>
  <c r="Q36" i="7" s="1"/>
  <c r="AJ36" i="7"/>
  <c r="AP36" i="7"/>
  <c r="AV36" i="7"/>
  <c r="H10" i="7"/>
  <c r="I10" i="7" s="1"/>
  <c r="H21" i="7"/>
  <c r="I21" i="7" s="1"/>
  <c r="H28" i="7"/>
  <c r="I28" i="7" s="1"/>
  <c r="S36" i="7"/>
  <c r="AB50" i="7"/>
  <c r="AT36" i="7"/>
  <c r="X6" i="7"/>
  <c r="AC36" i="7"/>
  <c r="AD39" i="7" s="1"/>
  <c r="AK6" i="7"/>
  <c r="AQ6" i="7"/>
  <c r="AW6" i="7"/>
  <c r="Q12" i="7"/>
  <c r="Q23" i="7"/>
  <c r="H27" i="7"/>
  <c r="I27" i="7" s="1"/>
  <c r="Q30" i="7"/>
  <c r="H32" i="7"/>
  <c r="I32" i="7" s="1"/>
  <c r="AB47" i="7"/>
  <c r="R51" i="7"/>
  <c r="L59" i="7"/>
  <c r="B51" i="7"/>
  <c r="B59" i="7"/>
  <c r="AE39" i="7" l="1"/>
  <c r="X36" i="7"/>
  <c r="Z39" i="7" s="1"/>
  <c r="Y6" i="7"/>
  <c r="R39" i="7"/>
  <c r="R42" i="7" s="1"/>
  <c r="T42" i="7" s="1"/>
  <c r="L49" i="7"/>
  <c r="Z57" i="7" s="1"/>
  <c r="W49" i="7"/>
  <c r="AB51" i="7"/>
  <c r="H36" i="7"/>
  <c r="I36" i="7" s="1"/>
  <c r="M39" i="7"/>
  <c r="L36" i="7"/>
  <c r="L47" i="7" l="1"/>
  <c r="Z55" i="7" s="1"/>
  <c r="D39" i="7"/>
  <c r="W47" i="7"/>
  <c r="AA6" i="7"/>
  <c r="AA36" i="7" s="1"/>
  <c r="Y36" i="7"/>
  <c r="R57" i="7"/>
  <c r="W57" i="7" s="1"/>
  <c r="AF49" i="7"/>
  <c r="Y49" i="7"/>
  <c r="AD57" i="7"/>
  <c r="AA57" i="7"/>
  <c r="AE57" i="7" s="1"/>
  <c r="W48" i="7"/>
  <c r="L48" i="7"/>
  <c r="Z56" i="7" s="1"/>
  <c r="L39" i="7"/>
  <c r="L42" i="7" s="1"/>
  <c r="M42" i="7" s="1"/>
  <c r="R56" i="7" l="1"/>
  <c r="W56" i="7" s="1"/>
  <c r="AF48" i="7"/>
  <c r="Y48" i="7"/>
  <c r="AH49" i="7"/>
  <c r="AG49" i="7"/>
  <c r="AF47" i="7"/>
  <c r="R55" i="7"/>
  <c r="Y47" i="7"/>
  <c r="D42" i="7"/>
  <c r="G42" i="7" s="1"/>
  <c r="G39" i="7"/>
  <c r="W50" i="7"/>
  <c r="W51" i="7" s="1"/>
  <c r="X39" i="7"/>
  <c r="X42" i="7" s="1"/>
  <c r="AG42" i="7" s="1"/>
  <c r="Z42" i="7" s="1"/>
  <c r="L50" i="7"/>
  <c r="Z58" i="7" s="1"/>
  <c r="AD56" i="7"/>
  <c r="AA56" i="7"/>
  <c r="AE56" i="7" s="1"/>
  <c r="Z59" i="7"/>
  <c r="AD55" i="7"/>
  <c r="AA55" i="7"/>
  <c r="X52" i="7" l="1"/>
  <c r="B52" i="7" s="1"/>
  <c r="Y51" i="7"/>
  <c r="R59" i="7"/>
  <c r="X60" i="7" s="1"/>
  <c r="B60" i="7" s="1"/>
  <c r="W55" i="7"/>
  <c r="W59" i="7" s="1"/>
  <c r="AA58" i="7"/>
  <c r="AE58" i="7" s="1"/>
  <c r="AD58" i="7"/>
  <c r="AD59" i="7" s="1"/>
  <c r="AF51" i="7"/>
  <c r="AH47" i="7"/>
  <c r="AG47" i="7"/>
  <c r="AH48" i="7"/>
  <c r="AG48" i="7"/>
  <c r="AF50" i="7"/>
  <c r="R58" i="7"/>
  <c r="W58" i="7" s="1"/>
  <c r="Y50" i="7"/>
  <c r="AA59" i="7"/>
  <c r="AE55" i="7"/>
  <c r="AE59" i="7" s="1"/>
  <c r="AF52" i="7" l="1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<sst xmlns="http://schemas.openxmlformats.org/spreadsheetml/2006/main" count="252" uniqueCount="106">
  <si>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</si>
  <si>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</si>
  <si>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</si>
  <si>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</si>
  <si>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</si>
  <si>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</si>
  <si>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</si>
  <si>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</si>
  <si>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</si>
  <si>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</si>
  <si>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</si>
  <si>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</si>
  <si>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</si>
  <si>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</si>
  <si>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</si>
  <si>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</si>
  <si>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</si>
  <si>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</si>
  <si>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</si>
  <si>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</si>
  <si>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</si>
  <si>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</si>
  <si>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</si>
  <si>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</si>
  <si>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</si>
  <si>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</si>
  <si>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</si>
  <si>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</si>
  <si>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</si>
  <si>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</si>
  <si>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</si>
  <si>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</si>
  <si>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</si>
  <si>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</si>
  <si>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</si>
  <si>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</si>
  <si>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</si>
  <si>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</si>
  <si>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</si>
  <si>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</si>
  <si>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</si>
  <si>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</si>
  <si>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</si>
  <si>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</si>
  <si>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</si>
  <si>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</si>
  <si>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</si>
  <si>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</si>
  <si>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</si>
  <si>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</si>
  <si>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</si>
  <si>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</si>
  <si>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</si>
  <si>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</si>
  <si>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</si>
  <si>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</si>
  <si>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</si>
  <si>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</si>
  <si>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</si>
  <si>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</si>
  <si>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</si>
  <si>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</si>
  <si>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</si>
  <si>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</si>
  <si>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</si>
  <si>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</si>
  <si>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</si>
  <si>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</si>
  <si>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</si>
  <si>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</si>
  <si>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</si>
  <si>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</si>
  <si>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</si>
  <si>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</si>
  <si>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</si>
  <si>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</si>
  <si>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</si>
  <si>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</si>
  <si>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</si>
  <si>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</si>
  <si>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</si>
  <si>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</si>
  <si>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</si>
  <si>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</si>
  <si>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</si>
  <si>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</si>
  <si>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</si>
  <si>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</si>
  <si>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</si>
  <si>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</si>
  <si>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</si>
  <si>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</si>
  <si>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</si>
  <si>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</si>
  <si>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</si>
  <si>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</si>
  <si>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</si>
  <si>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</si>
  <si>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</si>
  <si>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</si>
  <si>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</si>
  <si>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JULY 2024</t>
  </si>
  <si>
    <t>New water meter installed.</t>
  </si>
  <si>
    <t>Actual July 2024</t>
  </si>
  <si>
    <t>Budget July 2024</t>
  </si>
  <si>
    <t>Actual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</si>
</sst>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A9" workbookViewId="0">
      <selection activeCell="Q7" sqref="Q7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Submetering!E2+Submetering!F2+Submetering!G2</f>
        <v>14309</v>
      </c>
      <c r="F2" s="17">
        <v>0.2</v>
      </c>
      <c r="G2" s="9">
        <f>'July 2024'!T5</f>
        <v>32.726700000000001</v>
      </c>
      <c r="H2" s="18">
        <v>17.079999999999998</v>
      </c>
      <c r="I2" s="9">
        <f>Submetering!H2</f>
        <v>117</v>
      </c>
      <c r="J2" s="17">
        <v>7.84</v>
      </c>
      <c r="K2" s="19">
        <f>'July 2024'!X5</f>
        <v>10520.765000000001</v>
      </c>
      <c r="L2" s="17">
        <v>0.36</v>
      </c>
      <c r="M2" s="9">
        <f>Submetering!N2</f>
        <v>302.99849999999998</v>
      </c>
      <c r="N2" s="2">
        <f>Submetering!O2</f>
        <v>394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Submetering!E3+Submetering!F3+Submetering!G3</f>
        <v>14364</v>
      </c>
      <c r="F3" s="17">
        <v>0.2</v>
      </c>
      <c r="G3" s="9">
        <f>'July 2024'!T6</f>
        <v>32.726700000000001</v>
      </c>
      <c r="H3" s="18">
        <v>17.079999999999998</v>
      </c>
      <c r="I3" s="9">
        <f>Submetering!H3</f>
        <v>113</v>
      </c>
      <c r="J3" s="17">
        <v>7.84</v>
      </c>
      <c r="K3" s="19">
        <f>'July 2024'!X6</f>
        <v>10520.765000000001</v>
      </c>
      <c r="L3" s="17">
        <v>0.36</v>
      </c>
      <c r="M3" s="9">
        <f>Submetering!N3</f>
        <v>297.01349999999996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Submetering!E4+Submetering!F4+Submetering!G4</f>
        <v>14575</v>
      </c>
      <c r="F4" s="17">
        <v>0.2</v>
      </c>
      <c r="G4" s="9">
        <f>'July 2024'!T7</f>
        <v>34.838100000000004</v>
      </c>
      <c r="H4" s="18">
        <v>17.079999999999998</v>
      </c>
      <c r="I4" s="9">
        <f>Submetering!H4</f>
        <v>124</v>
      </c>
      <c r="J4" s="17">
        <v>7.84</v>
      </c>
      <c r="K4" s="19">
        <f>'July 2024'!X7</f>
        <v>11658.145</v>
      </c>
      <c r="L4" s="17">
        <v>0.36</v>
      </c>
      <c r="M4" s="9">
        <f>Submetering!N4</f>
        <v>293.98950000000002</v>
      </c>
      <c r="N4" s="2">
        <f>Submetering!O4</f>
        <v>349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Submetering!E5+Submetering!F5+Submetering!G5</f>
        <v>14668</v>
      </c>
      <c r="F5" s="17">
        <v>0.2</v>
      </c>
      <c r="G5" s="9">
        <f>'July 2024'!T8</f>
        <v>36.9495</v>
      </c>
      <c r="H5" s="18">
        <v>17.079999999999998</v>
      </c>
      <c r="I5" s="9">
        <f>Submetering!H5</f>
        <v>103</v>
      </c>
      <c r="J5" s="17">
        <v>7.84</v>
      </c>
      <c r="K5" s="19">
        <f>'July 2024'!X8</f>
        <v>10805.11</v>
      </c>
      <c r="L5" s="17">
        <v>0.36</v>
      </c>
      <c r="M5" s="9">
        <f>Submetering!N5</f>
        <v>293.98950000000002</v>
      </c>
      <c r="N5" s="2">
        <f>Submetering!O5</f>
        <v>372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Submetering!E6+Submetering!F6+Submetering!G6</f>
        <v>14737</v>
      </c>
      <c r="F6" s="17">
        <v>0.2</v>
      </c>
      <c r="G6" s="9">
        <f>'July 2024'!T9</f>
        <v>36.9495</v>
      </c>
      <c r="H6" s="18">
        <v>17.079999999999998</v>
      </c>
      <c r="I6" s="9">
        <f>Submetering!H6</f>
        <v>104</v>
      </c>
      <c r="J6" s="17">
        <v>7.84</v>
      </c>
      <c r="K6" s="19">
        <f>'July 2024'!X9</f>
        <v>11942.490000000002</v>
      </c>
      <c r="L6" s="17">
        <v>0.36</v>
      </c>
      <c r="M6" s="9">
        <f>Submetering!N6</f>
        <v>234.99</v>
      </c>
      <c r="N6" s="2">
        <f>Submetering!O6</f>
        <v>339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Submetering!E7+Submetering!F7+Submetering!G7</f>
        <v>14258</v>
      </c>
      <c r="F7" s="17">
        <v>0.2</v>
      </c>
      <c r="G7" s="9">
        <f>'July 2024'!T10</f>
        <v>36.9495</v>
      </c>
      <c r="H7" s="18">
        <v>17.079999999999998</v>
      </c>
      <c r="I7" s="9">
        <f>Submetering!H7</f>
        <v>94</v>
      </c>
      <c r="J7" s="17">
        <v>7.84</v>
      </c>
      <c r="K7" s="19">
        <f>'July 2024'!X10</f>
        <v>10236.420000000002</v>
      </c>
      <c r="L7" s="17">
        <v>0.36</v>
      </c>
      <c r="M7" s="9">
        <f>Submetering!N7</f>
        <v>198.00900000000001</v>
      </c>
      <c r="N7" s="2">
        <f>Submetering!O7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Submetering!E8+Submetering!F8+Submetering!G8</f>
        <v>14290</v>
      </c>
      <c r="F8" s="17">
        <v>0.2</v>
      </c>
      <c r="G8" s="9">
        <f>'July 2024'!T11</f>
        <v>33.782400000000003</v>
      </c>
      <c r="H8" s="18">
        <v>17.079999999999998</v>
      </c>
      <c r="I8" s="9">
        <f>Submetering!H8</f>
        <v>93</v>
      </c>
      <c r="J8" s="17">
        <v>7.84</v>
      </c>
      <c r="K8" s="19">
        <f>'July 2024'!X11</f>
        <v>10236.420000000002</v>
      </c>
      <c r="L8" s="17">
        <v>0.36</v>
      </c>
      <c r="M8" s="9">
        <f>Submetering!N8</f>
        <v>262.99349999999998</v>
      </c>
      <c r="N8" s="2">
        <f>Submetering!O8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Submetering!E9+Submetering!F9+Submetering!G9</f>
        <v>14369</v>
      </c>
      <c r="F9" s="17">
        <v>0.2</v>
      </c>
      <c r="G9" s="9">
        <f>'July 2024'!T12</f>
        <v>33.782400000000003</v>
      </c>
      <c r="H9" s="18">
        <v>17.079999999999998</v>
      </c>
      <c r="I9" s="9">
        <f>Submetering!H9</f>
        <v>109</v>
      </c>
      <c r="J9" s="17">
        <v>7.84</v>
      </c>
      <c r="K9" s="19">
        <f>'July 2024'!X12</f>
        <v>11942.490000000002</v>
      </c>
      <c r="L9" s="17">
        <v>0.36</v>
      </c>
      <c r="M9" s="9">
        <f>Submetering!N9</f>
        <v>308.00700000000001</v>
      </c>
      <c r="N9" s="2">
        <f>Submetering!O9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Submetering!E10+Submetering!F10+Submetering!G10</f>
        <v>14193</v>
      </c>
      <c r="F10" s="17">
        <v>0.2</v>
      </c>
      <c r="G10" s="9">
        <f>'July 2024'!T13</f>
        <v>33.782400000000003</v>
      </c>
      <c r="H10" s="18">
        <v>17.079999999999998</v>
      </c>
      <c r="I10" s="9">
        <f>Submetering!H10</f>
        <v>112</v>
      </c>
      <c r="J10" s="17">
        <v>7.84</v>
      </c>
      <c r="K10" s="19">
        <f>'July 2024'!X13</f>
        <v>11658.145</v>
      </c>
      <c r="L10" s="17">
        <v>0.36</v>
      </c>
      <c r="M10" s="9">
        <f>Submetering!N10</f>
        <v>305.99099999999999</v>
      </c>
      <c r="N10" s="2">
        <f>Submetering!O10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Submetering!E11+Submetering!F11+Submetering!G11</f>
        <v>14389</v>
      </c>
      <c r="F11" s="17">
        <v>0.2</v>
      </c>
      <c r="G11" s="9">
        <f>'July 2024'!T14</f>
        <v>32.726700000000001</v>
      </c>
      <c r="H11" s="18">
        <v>17.079999999999998</v>
      </c>
      <c r="I11" s="9">
        <f>Submetering!H11</f>
        <v>116</v>
      </c>
      <c r="J11" s="17">
        <v>7.84</v>
      </c>
      <c r="K11" s="19">
        <f>'July 2024'!X14</f>
        <v>11373.800000000001</v>
      </c>
      <c r="L11" s="17">
        <v>0.36</v>
      </c>
      <c r="M11" s="9">
        <f>Submetering!N11</f>
        <v>302.99849999999998</v>
      </c>
      <c r="N11" s="2">
        <f>Submetering!O11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Submetering!E12+Submetering!F12+Submetering!G12</f>
        <v>14184</v>
      </c>
      <c r="F12" s="17">
        <v>0.2</v>
      </c>
      <c r="G12" s="9">
        <f>'July 2024'!T15</f>
        <v>35.893800000000006</v>
      </c>
      <c r="H12" s="18">
        <v>17.079999999999998</v>
      </c>
      <c r="I12" s="9">
        <f>Submetering!H12</f>
        <v>114</v>
      </c>
      <c r="J12" s="17">
        <v>7.84</v>
      </c>
      <c r="K12" s="19">
        <f>'July 2024'!X15</f>
        <v>11658.145</v>
      </c>
      <c r="L12" s="17">
        <v>0.36</v>
      </c>
      <c r="M12" s="9">
        <f>Submetering!N12</f>
        <v>261.9855</v>
      </c>
      <c r="N12" s="2">
        <f>Submetering!O12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Submetering!E13+Submetering!F13+Submetering!G13</f>
        <v>14006</v>
      </c>
      <c r="F13" s="17">
        <v>0.2</v>
      </c>
      <c r="G13" s="9">
        <f>'July 2024'!T16</f>
        <v>36.9495</v>
      </c>
      <c r="H13" s="18">
        <v>17.079999999999998</v>
      </c>
      <c r="I13" s="9">
        <f>Submetering!H13</f>
        <v>107</v>
      </c>
      <c r="J13" s="17">
        <v>7.84</v>
      </c>
      <c r="K13" s="19">
        <f>'July 2024'!X16</f>
        <v>11089.455000000002</v>
      </c>
      <c r="L13" s="17">
        <v>0.36</v>
      </c>
      <c r="M13" s="9">
        <f>Submetering!N13</f>
        <v>170.00549999999998</v>
      </c>
      <c r="N13" s="2">
        <f>Submetering!O13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Submetering!E14+Submetering!F14+Submetering!G14</f>
        <v>13765</v>
      </c>
      <c r="F14" s="17">
        <v>0.2</v>
      </c>
      <c r="G14" s="9">
        <f>'July 2024'!T17</f>
        <v>39.060900000000004</v>
      </c>
      <c r="H14" s="18">
        <v>17.079999999999998</v>
      </c>
      <c r="I14" s="9">
        <f>Submetering!H14</f>
        <v>104</v>
      </c>
      <c r="J14" s="17">
        <v>7.84</v>
      </c>
      <c r="K14" s="19">
        <f>'July 2024'!X17</f>
        <v>9952.0750000000007</v>
      </c>
      <c r="L14" s="17">
        <v>0.36</v>
      </c>
      <c r="M14" s="9">
        <f>Submetering!N14</f>
        <v>187.0155</v>
      </c>
      <c r="N14" s="2">
        <f>Submetering!O14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Submetering!E15+Submetering!F15+Submetering!G15</f>
        <v>13614</v>
      </c>
      <c r="F15" s="17">
        <v>0.2</v>
      </c>
      <c r="G15" s="9">
        <f>'July 2024'!T18</f>
        <v>33.782400000000003</v>
      </c>
      <c r="H15" s="18">
        <v>17.079999999999998</v>
      </c>
      <c r="I15" s="9">
        <f>Submetering!H15</f>
        <v>92</v>
      </c>
      <c r="J15" s="17">
        <v>7.84</v>
      </c>
      <c r="K15" s="19">
        <f>'July 2024'!X18</f>
        <v>10805.11</v>
      </c>
      <c r="L15" s="17">
        <v>0.36</v>
      </c>
      <c r="M15" s="9">
        <f>Submetering!N15</f>
        <v>233.00550000000001</v>
      </c>
      <c r="N15" s="2">
        <f>Submetering!O15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Submetering!E16+Submetering!F16+Submetering!G16</f>
        <v>14025</v>
      </c>
      <c r="F16" s="17">
        <v>0.2</v>
      </c>
      <c r="G16" s="9">
        <f>'July 2024'!T19</f>
        <v>33.782400000000003</v>
      </c>
      <c r="H16" s="18">
        <v>17.079999999999998</v>
      </c>
      <c r="I16" s="9">
        <f>Submetering!H16</f>
        <v>117</v>
      </c>
      <c r="J16" s="17">
        <v>7.84</v>
      </c>
      <c r="K16" s="19">
        <f>'July 2024'!X19</f>
        <v>12226.835000000001</v>
      </c>
      <c r="L16" s="17">
        <v>0.36</v>
      </c>
      <c r="M16" s="9">
        <f>Submetering!N16</f>
        <v>297.99</v>
      </c>
      <c r="N16" s="2">
        <f>Submetering!O16</f>
        <v>388</v>
      </c>
    </row>
    <row r="17" spans="1:14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Submetering!E17+Submetering!F17+Submetering!G17</f>
        <v>14376</v>
      </c>
      <c r="F17" s="17">
        <v>0.2</v>
      </c>
      <c r="G17" s="9">
        <f>'July 2024'!T20</f>
        <v>35.893800000000006</v>
      </c>
      <c r="H17" s="18">
        <v>17.079999999999998</v>
      </c>
      <c r="I17" s="9">
        <f>Submetering!H17</f>
        <v>171</v>
      </c>
      <c r="J17" s="17">
        <v>7.84</v>
      </c>
      <c r="K17" s="19">
        <f>'July 2024'!X20</f>
        <v>13079.87</v>
      </c>
      <c r="L17" s="17">
        <v>0.36</v>
      </c>
      <c r="M17" s="9">
        <f>Submetering!N17</f>
        <v>301.01400000000001</v>
      </c>
      <c r="N17" s="2">
        <f>Submetering!O17</f>
        <v>397</v>
      </c>
    </row>
    <row r="18" spans="1:14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Submetering!E18+Submetering!F18+Submetering!G18</f>
        <v>13026</v>
      </c>
      <c r="F18" s="17">
        <v>0.2</v>
      </c>
      <c r="G18" s="9">
        <f>'July 2024'!T21</f>
        <v>33.782400000000003</v>
      </c>
      <c r="H18" s="18">
        <v>17.079999999999998</v>
      </c>
      <c r="I18" s="9">
        <f>Submetering!H18</f>
        <v>100</v>
      </c>
      <c r="J18" s="17">
        <v>7.84</v>
      </c>
      <c r="K18" s="19">
        <f>'July 2024'!X21</f>
        <v>12511.18</v>
      </c>
      <c r="L18" s="17">
        <v>0.36</v>
      </c>
      <c r="M18" s="9">
        <f>Submetering!N18</f>
        <v>262.99349999999998</v>
      </c>
      <c r="N18" s="2">
        <f>Submetering!O18</f>
        <v>350</v>
      </c>
    </row>
    <row r="19" spans="1:14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Submetering!E19+Submetering!F19+Submetering!G19</f>
        <v>14274</v>
      </c>
      <c r="F19" s="17">
        <v>0.2</v>
      </c>
      <c r="G19" s="9">
        <f>'July 2024'!T22</f>
        <v>33.782400000000003</v>
      </c>
      <c r="H19" s="18">
        <v>17.079999999999998</v>
      </c>
      <c r="I19" s="9">
        <f>Submetering!H19</f>
        <v>92</v>
      </c>
      <c r="J19" s="17">
        <v>7.84</v>
      </c>
      <c r="K19" s="19">
        <f>'July 2024'!X22</f>
        <v>12226.835000000001</v>
      </c>
      <c r="L19" s="17">
        <v>0.36</v>
      </c>
      <c r="M19" s="9">
        <f>Submetering!N19</f>
        <v>234.99</v>
      </c>
      <c r="N19" s="2">
        <f>Submetering!O19</f>
        <v>315</v>
      </c>
    </row>
    <row r="20" spans="1:14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Submetering!E20+Submetering!F20+Submetering!G20</f>
        <v>13991</v>
      </c>
      <c r="F20" s="17">
        <v>0.2</v>
      </c>
      <c r="G20" s="9">
        <f>'July 2024'!T23</f>
        <v>36.9495</v>
      </c>
      <c r="H20" s="18">
        <v>17.079999999999998</v>
      </c>
      <c r="I20" s="9">
        <f>Submetering!H20</f>
        <v>114</v>
      </c>
      <c r="J20" s="17">
        <v>7.84</v>
      </c>
      <c r="K20" s="19">
        <f>'July 2024'!X23</f>
        <v>12511.18</v>
      </c>
      <c r="L20" s="17">
        <v>0.36</v>
      </c>
      <c r="M20" s="9">
        <f>Submetering!N20</f>
        <v>217.00349999999997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Submetering!E21+Submetering!F21+Submetering!G21</f>
        <v>14069</v>
      </c>
      <c r="F21" s="17">
        <v>0.2</v>
      </c>
      <c r="G21" s="9">
        <f>'July 2024'!T24</f>
        <v>33.782400000000003</v>
      </c>
      <c r="H21" s="18">
        <v>17.079999999999998</v>
      </c>
      <c r="I21" s="9">
        <f>Submetering!H21</f>
        <v>100</v>
      </c>
      <c r="J21" s="17">
        <v>7.84</v>
      </c>
      <c r="K21" s="19">
        <f>'July 2024'!X24</f>
        <v>12511.18</v>
      </c>
      <c r="L21" s="17">
        <v>0.36</v>
      </c>
      <c r="M21" s="9">
        <f>Submetering!N21</f>
        <v>217.00349999999997</v>
      </c>
      <c r="N21" s="2">
        <f>Submetering!O21</f>
        <v>321</v>
      </c>
    </row>
    <row r="22" spans="1:14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Submetering!E22+Submetering!F22+Submetering!G22</f>
        <v>14219</v>
      </c>
      <c r="F22" s="17">
        <v>0.2</v>
      </c>
      <c r="G22" s="9">
        <f>'July 2024'!T25</f>
        <v>33.782400000000003</v>
      </c>
      <c r="H22" s="18">
        <v>17.079999999999998</v>
      </c>
      <c r="I22" s="9">
        <f>Submetering!H22</f>
        <v>111</v>
      </c>
      <c r="J22" s="17">
        <v>7.84</v>
      </c>
      <c r="K22" s="19">
        <f>'July 2024'!X25</f>
        <v>12795.525000000001</v>
      </c>
      <c r="L22" s="17">
        <v>0.36</v>
      </c>
      <c r="M22" s="9">
        <f>Submetering!N22</f>
        <v>273.01050000000004</v>
      </c>
      <c r="N22" s="2">
        <f>Submetering!O22</f>
        <v>376</v>
      </c>
    </row>
    <row r="23" spans="1:14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Submetering!E23+Submetering!F23+Submetering!G23</f>
        <v>13658</v>
      </c>
      <c r="F23" s="17">
        <v>0.2</v>
      </c>
      <c r="G23" s="9">
        <f>'July 2024'!T26</f>
        <v>33.782400000000003</v>
      </c>
      <c r="H23" s="18">
        <v>17.079999999999998</v>
      </c>
      <c r="I23" s="9">
        <f>Submetering!H23</f>
        <v>98</v>
      </c>
      <c r="J23" s="17">
        <v>7.84</v>
      </c>
      <c r="K23" s="19">
        <f>'July 2024'!X26</f>
        <v>12226.835000000001</v>
      </c>
      <c r="L23" s="17">
        <v>0.36</v>
      </c>
      <c r="M23" s="9">
        <f>Submetering!N23</f>
        <v>281.988</v>
      </c>
      <c r="N23" s="2">
        <f>Submetering!O23</f>
        <v>363</v>
      </c>
    </row>
    <row r="24" spans="1:14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Submetering!E24+Submetering!F24+Submetering!G24</f>
        <v>13929</v>
      </c>
      <c r="F24" s="17">
        <v>0.2</v>
      </c>
      <c r="G24" s="9">
        <f>'July 2024'!T27</f>
        <v>34.838100000000004</v>
      </c>
      <c r="H24" s="18">
        <v>17.079999999999998</v>
      </c>
      <c r="I24" s="9">
        <f>Submetering!H24</f>
        <v>122</v>
      </c>
      <c r="J24" s="17">
        <v>7.84</v>
      </c>
      <c r="K24" s="19">
        <f>'July 2024'!X27</f>
        <v>12226.835000000001</v>
      </c>
      <c r="L24" s="17">
        <v>0.36</v>
      </c>
      <c r="M24" s="9">
        <f>Submetering!N24</f>
        <v>309.99149999999997</v>
      </c>
      <c r="N24" s="2">
        <f>Submetering!O24</f>
        <v>415</v>
      </c>
    </row>
    <row r="25" spans="1:14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Submetering!E25+Submetering!F25+Submetering!G25</f>
        <v>13576</v>
      </c>
      <c r="F25" s="17">
        <v>0.2</v>
      </c>
      <c r="G25" s="9">
        <f>'July 2024'!T28</f>
        <v>36.9495</v>
      </c>
      <c r="H25" s="18">
        <v>17.079999999999998</v>
      </c>
      <c r="I25" s="9">
        <f>Submetering!H25</f>
        <v>113</v>
      </c>
      <c r="J25" s="17">
        <v>7.84</v>
      </c>
      <c r="K25" s="19">
        <f>'July 2024'!X28</f>
        <v>11089.455000000002</v>
      </c>
      <c r="L25" s="17">
        <v>0.36</v>
      </c>
      <c r="M25" s="9">
        <f>Submetering!N25</f>
        <v>296.00549999999998</v>
      </c>
      <c r="N25" s="2">
        <f>Submetering!O25</f>
        <v>393</v>
      </c>
    </row>
    <row r="26" spans="1:14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Submetering!E26+Submetering!F26+Submetering!G26</f>
        <v>13907</v>
      </c>
      <c r="F26" s="17">
        <v>0.2</v>
      </c>
      <c r="G26" s="9">
        <f>'July 2024'!T29</f>
        <v>35.893800000000006</v>
      </c>
      <c r="H26" s="18">
        <v>17.079999999999998</v>
      </c>
      <c r="I26" s="9">
        <f>Submetering!H26</f>
        <v>173</v>
      </c>
      <c r="J26" s="17">
        <v>7.84</v>
      </c>
      <c r="K26" s="19">
        <f>'July 2024'!X29</f>
        <v>10805.11</v>
      </c>
      <c r="L26" s="17">
        <v>0.36</v>
      </c>
      <c r="M26" s="9">
        <f>Submetering!N26</f>
        <v>288.00450000000001</v>
      </c>
      <c r="N26" s="2">
        <f>Submetering!O26</f>
        <v>405</v>
      </c>
    </row>
    <row r="27" spans="1:14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Submetering!E27+Submetering!F27+Submetering!G27</f>
        <v>14050</v>
      </c>
      <c r="F27" s="17">
        <v>0.2</v>
      </c>
      <c r="G27" s="9">
        <f>'July 2024'!T30</f>
        <v>35.893800000000006</v>
      </c>
      <c r="H27" s="18">
        <v>17.079999999999998</v>
      </c>
      <c r="I27" s="9">
        <f>Submetering!H27</f>
        <v>138</v>
      </c>
      <c r="J27" s="17">
        <v>7.84</v>
      </c>
      <c r="K27" s="19">
        <f>'July 2024'!X30</f>
        <v>11373.800000000001</v>
      </c>
      <c r="L27" s="17">
        <v>0.36</v>
      </c>
      <c r="M27" s="9">
        <f>Submetering!N27</f>
        <v>247.99950000000001</v>
      </c>
      <c r="N27" s="2">
        <f>Submetering!O27</f>
        <v>346</v>
      </c>
    </row>
    <row r="28" spans="1:14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Submetering!E28+Submetering!F28+Submetering!G28</f>
        <v>13966</v>
      </c>
      <c r="F28" s="17">
        <v>0.2</v>
      </c>
      <c r="G28" s="9">
        <f>'July 2024'!T31</f>
        <v>34.838100000000004</v>
      </c>
      <c r="H28" s="18">
        <v>17.079999999999998</v>
      </c>
      <c r="I28" s="9">
        <f>Submetering!H28</f>
        <v>115</v>
      </c>
      <c r="J28" s="17">
        <v>7.84</v>
      </c>
      <c r="K28" s="19">
        <f>'July 2024'!X31</f>
        <v>11373.800000000001</v>
      </c>
      <c r="L28" s="17">
        <v>0.36</v>
      </c>
      <c r="M28" s="9">
        <f>Submetering!N28</f>
        <v>269.98649999999998</v>
      </c>
      <c r="N28" s="2">
        <f>Submetering!O28</f>
        <v>399</v>
      </c>
    </row>
    <row r="29" spans="1:14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Submetering!E29+Submetering!F29+Submetering!G29</f>
        <v>14161</v>
      </c>
      <c r="F29" s="17">
        <v>0.2</v>
      </c>
      <c r="G29" s="9">
        <f>'July 2024'!T32</f>
        <v>30.615300000000001</v>
      </c>
      <c r="H29" s="18">
        <v>17.079999999999998</v>
      </c>
      <c r="I29" s="9">
        <f>Submetering!H29</f>
        <v>100</v>
      </c>
      <c r="J29" s="17">
        <v>7.84</v>
      </c>
      <c r="K29" s="19">
        <f>'July 2024'!X32</f>
        <v>11942.490000000002</v>
      </c>
      <c r="L29" s="17">
        <v>0.36</v>
      </c>
      <c r="M29" s="9">
        <f>Submetering!N29</f>
        <v>301.01400000000001</v>
      </c>
      <c r="N29" s="2">
        <f>Submetering!O29</f>
        <v>423</v>
      </c>
    </row>
    <row r="30" spans="1:14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Submetering!E30+Submetering!F30+Submetering!G30</f>
        <v>13815</v>
      </c>
      <c r="F30" s="17">
        <v>0.2</v>
      </c>
      <c r="G30" s="9">
        <f>'July 2024'!T33</f>
        <v>33.782400000000003</v>
      </c>
      <c r="H30" s="18">
        <v>17.079999999999998</v>
      </c>
      <c r="I30" s="9">
        <f>Submetering!H30</f>
        <v>121</v>
      </c>
      <c r="J30" s="17">
        <v>7.84</v>
      </c>
      <c r="K30" s="19">
        <f>'July 2024'!X33</f>
        <v>12226.835000000001</v>
      </c>
      <c r="L30" s="17">
        <v>0.36</v>
      </c>
      <c r="M30" s="9">
        <f>Submetering!N30</f>
        <v>308.00700000000001</v>
      </c>
      <c r="N30" s="2">
        <f>Submetering!O30</f>
        <v>419</v>
      </c>
    </row>
    <row r="31" spans="1:14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Submetering!E31+Submetering!F31+Submetering!G31</f>
        <v>13880</v>
      </c>
      <c r="F31" s="17">
        <v>0.2</v>
      </c>
      <c r="G31" s="9">
        <f>'July 2024'!T34</f>
        <v>33.782400000000003</v>
      </c>
      <c r="H31" s="18">
        <v>17.079999999999998</v>
      </c>
      <c r="I31" s="9">
        <f>Submetering!H31</f>
        <v>131</v>
      </c>
      <c r="J31" s="17">
        <v>7.84</v>
      </c>
      <c r="K31" s="19">
        <f>'July 2024'!X34</f>
        <v>12795.525000000001</v>
      </c>
      <c r="L31" s="17">
        <v>0.36</v>
      </c>
      <c r="M31" s="9">
        <f>Submetering!N31</f>
        <v>305.0145</v>
      </c>
      <c r="N31" s="2">
        <f>Submetering!O31</f>
        <v>423</v>
      </c>
    </row>
    <row r="32" spans="1:14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Submetering!E32+Submetering!F32+Submetering!G32</f>
        <v>13370</v>
      </c>
      <c r="F32" s="17">
        <v>0.2</v>
      </c>
      <c r="G32" s="9">
        <f>'July 2024'!T35</f>
        <v>34.838100000000004</v>
      </c>
      <c r="H32" s="18">
        <v>17.079999999999998</v>
      </c>
      <c r="I32" s="9">
        <f>Submetering!H32</f>
        <v>119</v>
      </c>
      <c r="J32" s="17">
        <v>7.84</v>
      </c>
      <c r="K32" s="19">
        <f>'July 2024'!X35</f>
        <v>11658.145</v>
      </c>
      <c r="L32" s="17">
        <v>0.36</v>
      </c>
      <c r="M32" s="9">
        <f>Submetering!N32</f>
        <v>310.99950000000001</v>
      </c>
      <c r="N32" s="2">
        <f>Submetering!O32</f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K2" sqref="K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'July 2024'!C5</f>
        <v>7413</v>
      </c>
      <c r="F2" s="9">
        <f>'July 2024'!E5</f>
        <v>6790</v>
      </c>
      <c r="G2" s="9">
        <f>'July 2024'!G5</f>
        <v>106</v>
      </c>
      <c r="H2" s="9">
        <f>'July 2024'!K5</f>
        <v>117</v>
      </c>
      <c r="I2" s="9">
        <f>'July 2024'!N5</f>
        <v>18</v>
      </c>
      <c r="J2" s="9">
        <f>'July 2024'!P5</f>
        <v>13</v>
      </c>
      <c r="K2" s="9">
        <f>'July 2024'!X5</f>
        <v>10520.765000000001</v>
      </c>
      <c r="L2" s="9">
        <f>'July 2024'!AC5</f>
        <v>12601</v>
      </c>
      <c r="M2" s="9">
        <f>'July 2024'!AP5</f>
        <v>10</v>
      </c>
      <c r="N2" s="9">
        <f>'July 2024'!AD5*315</f>
        <v>302.99849999999998</v>
      </c>
      <c r="O2" s="151">
        <f>'July 2024'!AE5</f>
        <v>394</v>
      </c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'July 2024'!C6</f>
        <v>7486</v>
      </c>
      <c r="F3" s="9">
        <f>'July 2024'!E6</f>
        <v>6772</v>
      </c>
      <c r="G3" s="9">
        <f>'July 2024'!G6</f>
        <v>106</v>
      </c>
      <c r="H3" s="9">
        <f>'July 2024'!K6</f>
        <v>113</v>
      </c>
      <c r="I3" s="9">
        <f>'July 2024'!N6</f>
        <v>19</v>
      </c>
      <c r="J3" s="9">
        <f>'July 2024'!P6</f>
        <v>13</v>
      </c>
      <c r="K3" s="9">
        <f>'July 2024'!X6</f>
        <v>10520.765000000001</v>
      </c>
      <c r="L3" s="9">
        <f>'July 2024'!AC6</f>
        <v>12772</v>
      </c>
      <c r="M3" s="9">
        <f>'July 2024'!AP6</f>
        <v>9</v>
      </c>
      <c r="N3" s="9">
        <f>'July 2024'!AD6*315</f>
        <v>297.01349999999996</v>
      </c>
      <c r="O3" s="151">
        <f>'July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'July 2024'!C7</f>
        <v>7553</v>
      </c>
      <c r="F4" s="9">
        <f>'July 2024'!E7</f>
        <v>6916</v>
      </c>
      <c r="G4" s="9">
        <f>'July 2024'!G7</f>
        <v>106</v>
      </c>
      <c r="H4" s="9">
        <f>'July 2024'!K7</f>
        <v>124</v>
      </c>
      <c r="I4" s="9">
        <f>'July 2024'!N7</f>
        <v>19</v>
      </c>
      <c r="J4" s="9">
        <f>'July 2024'!P7</f>
        <v>14</v>
      </c>
      <c r="K4" s="9">
        <f>'July 2024'!X7</f>
        <v>11658.145</v>
      </c>
      <c r="L4" s="9">
        <f>'July 2024'!AC7</f>
        <v>14358</v>
      </c>
      <c r="M4" s="9">
        <f>'July 2024'!AP7</f>
        <v>14</v>
      </c>
      <c r="N4" s="9">
        <f>'July 2024'!AD7*315</f>
        <v>293.98950000000002</v>
      </c>
      <c r="O4" s="151">
        <f>'July 2024'!AE7</f>
        <v>349</v>
      </c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'July 2024'!C8</f>
        <v>7437</v>
      </c>
      <c r="F5" s="9">
        <f>'July 2024'!E8</f>
        <v>7124</v>
      </c>
      <c r="G5" s="9">
        <f>'July 2024'!G8</f>
        <v>107</v>
      </c>
      <c r="H5" s="9">
        <f>'July 2024'!K8</f>
        <v>103</v>
      </c>
      <c r="I5" s="9">
        <f>'July 2024'!N8</f>
        <v>19</v>
      </c>
      <c r="J5" s="9">
        <f>'July 2024'!P8</f>
        <v>15</v>
      </c>
      <c r="K5" s="9">
        <f>'July 2024'!X8</f>
        <v>10805.11</v>
      </c>
      <c r="L5" s="9">
        <f>'July 2024'!AC8</f>
        <v>13921</v>
      </c>
      <c r="M5" s="9">
        <f>'July 2024'!AP8</f>
        <v>9</v>
      </c>
      <c r="N5" s="9">
        <f>'July 2024'!AD8*315</f>
        <v>293.98950000000002</v>
      </c>
      <c r="O5" s="151">
        <f>'July 2024'!AE8</f>
        <v>372</v>
      </c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'July 2024'!C9</f>
        <v>7608</v>
      </c>
      <c r="F6" s="9">
        <f>'July 2024'!E9</f>
        <v>7030</v>
      </c>
      <c r="G6" s="9">
        <f>'July 2024'!G9</f>
        <v>99</v>
      </c>
      <c r="H6" s="9">
        <f>'July 2024'!K9</f>
        <v>104</v>
      </c>
      <c r="I6" s="9">
        <f>'July 2024'!N9</f>
        <v>20</v>
      </c>
      <c r="J6" s="9">
        <f>'July 2024'!P9</f>
        <v>15</v>
      </c>
      <c r="K6" s="9">
        <f>'July 2024'!X9</f>
        <v>11942.490000000002</v>
      </c>
      <c r="L6" s="9">
        <f>'July 2024'!AC9</f>
        <v>14981</v>
      </c>
      <c r="M6" s="9">
        <f>'July 2024'!AP9</f>
        <v>7</v>
      </c>
      <c r="N6" s="9">
        <f>'July 2024'!AD9*315</f>
        <v>234.99</v>
      </c>
      <c r="O6" s="151">
        <f>'July 2024'!AE9</f>
        <v>339</v>
      </c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'July 2024'!C10</f>
        <v>7414</v>
      </c>
      <c r="F7" s="9">
        <f>'July 2024'!E10</f>
        <v>6737</v>
      </c>
      <c r="G7" s="9">
        <f>'July 2024'!G10</f>
        <v>107</v>
      </c>
      <c r="H7" s="9">
        <f>'July 2024'!K10</f>
        <v>94</v>
      </c>
      <c r="I7" s="9">
        <f>'July 2024'!N10</f>
        <v>18</v>
      </c>
      <c r="J7" s="9">
        <f>'July 2024'!P10</f>
        <v>16</v>
      </c>
      <c r="K7" s="9">
        <f>'July 2024'!X10</f>
        <v>10236.420000000002</v>
      </c>
      <c r="L7" s="9">
        <f>'July 2024'!AC10</f>
        <v>12656</v>
      </c>
      <c r="M7" s="9">
        <f>'July 2024'!AP10</f>
        <v>8</v>
      </c>
      <c r="N7" s="9">
        <f>'July 2024'!AD10*315</f>
        <v>198.00900000000001</v>
      </c>
      <c r="O7" s="151">
        <f>'July 2024'!AE10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'July 2024'!C11</f>
        <v>7467</v>
      </c>
      <c r="F8" s="9">
        <f>'July 2024'!E11</f>
        <v>6717</v>
      </c>
      <c r="G8" s="9">
        <f>'July 2024'!G11</f>
        <v>106</v>
      </c>
      <c r="H8" s="9">
        <f>'July 2024'!K11</f>
        <v>93</v>
      </c>
      <c r="I8" s="9">
        <f>'July 2024'!N11</f>
        <v>17</v>
      </c>
      <c r="J8" s="9">
        <f>'July 2024'!P11</f>
        <v>16</v>
      </c>
      <c r="K8" s="9">
        <f>'July 2024'!X11</f>
        <v>10236.420000000002</v>
      </c>
      <c r="L8" s="9">
        <f>'July 2024'!AC11</f>
        <v>12651</v>
      </c>
      <c r="M8" s="9">
        <f>'July 2024'!AP11</f>
        <v>7</v>
      </c>
      <c r="N8" s="9">
        <f>'July 2024'!AD11*315</f>
        <v>262.99349999999998</v>
      </c>
      <c r="O8" s="151">
        <f>'July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'July 2024'!C12</f>
        <v>7510</v>
      </c>
      <c r="F9" s="9">
        <f>'July 2024'!E12</f>
        <v>6752</v>
      </c>
      <c r="G9" s="9">
        <f>'July 2024'!G12</f>
        <v>107</v>
      </c>
      <c r="H9" s="9">
        <f>'July 2024'!K12</f>
        <v>109</v>
      </c>
      <c r="I9" s="9">
        <f>'July 2024'!N12</f>
        <v>18</v>
      </c>
      <c r="J9" s="9">
        <f>'July 2024'!P12</f>
        <v>13</v>
      </c>
      <c r="K9" s="9">
        <f>'July 2024'!X12</f>
        <v>11942.490000000002</v>
      </c>
      <c r="L9" s="9">
        <f>'July 2024'!AC12</f>
        <v>14973</v>
      </c>
      <c r="M9" s="9">
        <f>'July 2024'!AP12</f>
        <v>10</v>
      </c>
      <c r="N9" s="9">
        <f>'July 2024'!AD12*315</f>
        <v>308.00700000000001</v>
      </c>
      <c r="O9" s="151">
        <f>'July 2024'!AE12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'July 2024'!C13</f>
        <v>7380</v>
      </c>
      <c r="F10" s="9">
        <f>'July 2024'!E13</f>
        <v>6713</v>
      </c>
      <c r="G10" s="9">
        <f>'July 2024'!G13</f>
        <v>100</v>
      </c>
      <c r="H10" s="9">
        <f>'July 2024'!K13</f>
        <v>112</v>
      </c>
      <c r="I10" s="9">
        <f>'July 2024'!N13</f>
        <v>19</v>
      </c>
      <c r="J10" s="9">
        <f>'July 2024'!P13</f>
        <v>13</v>
      </c>
      <c r="K10" s="9">
        <f>'July 2024'!X13</f>
        <v>11658.145</v>
      </c>
      <c r="L10" s="9">
        <f>'July 2024'!AC13</f>
        <v>15113</v>
      </c>
      <c r="M10" s="9">
        <f>'July 2024'!AP13</f>
        <v>9</v>
      </c>
      <c r="N10" s="9">
        <f>'July 2024'!AD13*315</f>
        <v>305.99099999999999</v>
      </c>
      <c r="O10" s="151">
        <f>'July 2024'!AE13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'July 2024'!C14</f>
        <v>7467</v>
      </c>
      <c r="F11" s="9">
        <f>'July 2024'!E14</f>
        <v>6817</v>
      </c>
      <c r="G11" s="9">
        <f>'July 2024'!G14</f>
        <v>105</v>
      </c>
      <c r="H11" s="9">
        <f>'July 2024'!K14</f>
        <v>116</v>
      </c>
      <c r="I11" s="9">
        <f>'July 2024'!N14</f>
        <v>18</v>
      </c>
      <c r="J11" s="9">
        <f>'July 2024'!P14</f>
        <v>12</v>
      </c>
      <c r="K11" s="9">
        <f>'July 2024'!X14</f>
        <v>11373.800000000001</v>
      </c>
      <c r="L11" s="9">
        <f>'July 2024'!AC14</f>
        <v>14501</v>
      </c>
      <c r="M11" s="9">
        <f>'July 2024'!AP14</f>
        <v>9</v>
      </c>
      <c r="N11" s="9">
        <f>'July 2024'!AD14*315</f>
        <v>302.99849999999998</v>
      </c>
      <c r="O11" s="151">
        <f>'July 2024'!AE14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'July 2024'!C15</f>
        <v>7412</v>
      </c>
      <c r="F12" s="9">
        <f>'July 2024'!E15</f>
        <v>6668</v>
      </c>
      <c r="G12" s="9">
        <f>'July 2024'!G15</f>
        <v>104</v>
      </c>
      <c r="H12" s="9">
        <f>'July 2024'!K15</f>
        <v>114</v>
      </c>
      <c r="I12" s="9">
        <f>'July 2024'!N15</f>
        <v>18</v>
      </c>
      <c r="J12" s="9">
        <f>'July 2024'!P15</f>
        <v>16</v>
      </c>
      <c r="K12" s="9">
        <f>'July 2024'!X15</f>
        <v>11658.145</v>
      </c>
      <c r="L12" s="9">
        <f>'July 2024'!AC15</f>
        <v>14870</v>
      </c>
      <c r="M12" s="9">
        <f>'July 2024'!AP15</f>
        <v>11</v>
      </c>
      <c r="N12" s="9">
        <f>'July 2024'!AD15*315</f>
        <v>261.9855</v>
      </c>
      <c r="O12" s="151">
        <f>'July 2024'!AE15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'July 2024'!C16</f>
        <v>7319</v>
      </c>
      <c r="F13" s="9">
        <f>'July 2024'!E16</f>
        <v>6582</v>
      </c>
      <c r="G13" s="9">
        <f>'July 2024'!G16</f>
        <v>105</v>
      </c>
      <c r="H13" s="9">
        <f>'July 2024'!K16</f>
        <v>107</v>
      </c>
      <c r="I13" s="9">
        <f>'July 2024'!N16</f>
        <v>19</v>
      </c>
      <c r="J13" s="9">
        <f>'July 2024'!P16</f>
        <v>15</v>
      </c>
      <c r="K13" s="9">
        <f>'July 2024'!X16</f>
        <v>11089.455000000002</v>
      </c>
      <c r="L13" s="9">
        <f>'July 2024'!AC16</f>
        <v>14396</v>
      </c>
      <c r="M13" s="9">
        <f>'July 2024'!AP16</f>
        <v>11</v>
      </c>
      <c r="N13" s="9">
        <f>'July 2024'!AD16*315</f>
        <v>170.00549999999998</v>
      </c>
      <c r="O13" s="151">
        <f>'July 2024'!AE16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'July 2024'!C17</f>
        <v>7366</v>
      </c>
      <c r="F14" s="9">
        <f>'July 2024'!E17</f>
        <v>6293</v>
      </c>
      <c r="G14" s="9">
        <f>'July 2024'!G17</f>
        <v>106</v>
      </c>
      <c r="H14" s="9">
        <f>'July 2024'!K17</f>
        <v>104</v>
      </c>
      <c r="I14" s="9">
        <f>'July 2024'!N17</f>
        <v>19</v>
      </c>
      <c r="J14" s="9">
        <f>'July 2024'!P17</f>
        <v>17</v>
      </c>
      <c r="K14" s="9">
        <f>'July 2024'!X17</f>
        <v>9952.0750000000007</v>
      </c>
      <c r="L14" s="9">
        <f>'July 2024'!AC17</f>
        <v>12671</v>
      </c>
      <c r="M14" s="9">
        <f>'July 2024'!AP17</f>
        <v>9</v>
      </c>
      <c r="N14" s="9">
        <f>'July 2024'!AD17*315</f>
        <v>187.0155</v>
      </c>
      <c r="O14" s="151">
        <f>'July 2024'!AE17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'July 2024'!C18</f>
        <v>7329</v>
      </c>
      <c r="F15" s="9">
        <f>'July 2024'!E18</f>
        <v>6187</v>
      </c>
      <c r="G15" s="9">
        <f>'July 2024'!G18</f>
        <v>98</v>
      </c>
      <c r="H15" s="9">
        <f>'July 2024'!K18</f>
        <v>92</v>
      </c>
      <c r="I15" s="9">
        <f>'July 2024'!N18</f>
        <v>18</v>
      </c>
      <c r="J15" s="9">
        <f>'July 2024'!P18</f>
        <v>15</v>
      </c>
      <c r="K15" s="9">
        <f>'July 2024'!X18</f>
        <v>10805.11</v>
      </c>
      <c r="L15" s="9">
        <f>'July 2024'!AC18</f>
        <v>13355</v>
      </c>
      <c r="M15" s="9">
        <f>'July 2024'!AP18</f>
        <v>8</v>
      </c>
      <c r="N15" s="9">
        <f>'July 2024'!AD18*315</f>
        <v>233.00550000000001</v>
      </c>
      <c r="O15" s="151">
        <f>'July 2024'!AE18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'July 2024'!C19</f>
        <v>7473</v>
      </c>
      <c r="F16" s="9">
        <f>'July 2024'!E19</f>
        <v>6449</v>
      </c>
      <c r="G16" s="9">
        <f>'July 2024'!G19</f>
        <v>103</v>
      </c>
      <c r="H16" s="9">
        <f>'July 2024'!K19</f>
        <v>117</v>
      </c>
      <c r="I16" s="9">
        <f>'July 2024'!N19</f>
        <v>17</v>
      </c>
      <c r="J16" s="9">
        <f>'July 2024'!P19</f>
        <v>15</v>
      </c>
      <c r="K16" s="9">
        <f>'July 2024'!X19</f>
        <v>12226.835000000001</v>
      </c>
      <c r="L16" s="9">
        <f>'July 2024'!AC19</f>
        <v>15932</v>
      </c>
      <c r="M16" s="9">
        <f>'July 2024'!AP19</f>
        <v>9</v>
      </c>
      <c r="N16" s="9">
        <f>'July 2024'!AD19*315</f>
        <v>297.99</v>
      </c>
      <c r="O16" s="151">
        <f>'July 2024'!AE19</f>
        <v>388</v>
      </c>
    </row>
    <row r="17" spans="1:15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'July 2024'!C20</f>
        <v>7752</v>
      </c>
      <c r="F17" s="9">
        <f>'July 2024'!E20</f>
        <v>6530</v>
      </c>
      <c r="G17" s="9">
        <f>'July 2024'!G20</f>
        <v>94</v>
      </c>
      <c r="H17" s="9">
        <f>'July 2024'!K20</f>
        <v>171</v>
      </c>
      <c r="I17" s="9">
        <f>'July 2024'!N20</f>
        <v>18</v>
      </c>
      <c r="J17" s="9">
        <f>'July 2024'!P20</f>
        <v>16</v>
      </c>
      <c r="K17" s="9">
        <f>'July 2024'!X20</f>
        <v>13079.87</v>
      </c>
      <c r="L17" s="9">
        <f>'July 2024'!AC20</f>
        <v>16770</v>
      </c>
      <c r="M17" s="9">
        <f>'July 2024'!AP20</f>
        <v>10</v>
      </c>
      <c r="N17" s="9">
        <f>'July 2024'!AD20*315</f>
        <v>301.01400000000001</v>
      </c>
      <c r="O17" s="151">
        <f>'July 2024'!AE20</f>
        <v>397</v>
      </c>
    </row>
    <row r="18" spans="1:15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'July 2024'!C21</f>
        <v>6957</v>
      </c>
      <c r="F18" s="9">
        <f>'July 2024'!E21</f>
        <v>5971</v>
      </c>
      <c r="G18" s="9">
        <f>'July 2024'!G21</f>
        <v>98</v>
      </c>
      <c r="H18" s="9">
        <f>'July 2024'!K21</f>
        <v>100</v>
      </c>
      <c r="I18" s="9">
        <f>'July 2024'!N21</f>
        <v>18</v>
      </c>
      <c r="J18" s="9">
        <f>'July 2024'!P21</f>
        <v>13</v>
      </c>
      <c r="K18" s="9">
        <f>'July 2024'!X21</f>
        <v>12511.18</v>
      </c>
      <c r="L18" s="9">
        <f>'July 2024'!AC21</f>
        <v>15059</v>
      </c>
      <c r="M18" s="9">
        <f>'July 2024'!AP21</f>
        <v>6</v>
      </c>
      <c r="N18" s="9">
        <f>'July 2024'!AD21*315</f>
        <v>262.99349999999998</v>
      </c>
      <c r="O18" s="151">
        <f>'July 2024'!AE21</f>
        <v>350</v>
      </c>
    </row>
    <row r="19" spans="1:15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'July 2024'!C22</f>
        <v>7607</v>
      </c>
      <c r="F19" s="9">
        <f>'July 2024'!E22</f>
        <v>6568</v>
      </c>
      <c r="G19" s="9">
        <f>'July 2024'!G22</f>
        <v>99</v>
      </c>
      <c r="H19" s="9">
        <f>'July 2024'!K22</f>
        <v>92</v>
      </c>
      <c r="I19" s="9">
        <f>'July 2024'!N22</f>
        <v>18</v>
      </c>
      <c r="J19" s="9">
        <f>'July 2024'!P22</f>
        <v>13</v>
      </c>
      <c r="K19" s="9">
        <f>'July 2024'!X22</f>
        <v>12226.835000000001</v>
      </c>
      <c r="L19" s="9">
        <f>'July 2024'!AC22</f>
        <v>15607</v>
      </c>
      <c r="M19" s="9">
        <f>'July 2024'!AP22</f>
        <v>8</v>
      </c>
      <c r="N19" s="9">
        <f>'July 2024'!AD22*315</f>
        <v>234.99</v>
      </c>
      <c r="O19" s="151">
        <f>'July 2024'!AE22</f>
        <v>315</v>
      </c>
    </row>
    <row r="20" spans="1:15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'July 2024'!C23</f>
        <v>7364</v>
      </c>
      <c r="F20" s="9">
        <f>'July 2024'!E23</f>
        <v>6523</v>
      </c>
      <c r="G20" s="9">
        <f>'July 2024'!G23</f>
        <v>104</v>
      </c>
      <c r="H20" s="9">
        <f>'July 2024'!K23</f>
        <v>114</v>
      </c>
      <c r="I20" s="9">
        <f>'July 2024'!N23</f>
        <v>19</v>
      </c>
      <c r="J20" s="9">
        <f>'July 2024'!P23</f>
        <v>16</v>
      </c>
      <c r="K20" s="9">
        <f>'July 2024'!X23</f>
        <v>12511.18</v>
      </c>
      <c r="L20" s="9">
        <f>'July 2024'!AC23</f>
        <v>15323</v>
      </c>
      <c r="M20" s="9">
        <f>'July 2024'!AP23</f>
        <v>10</v>
      </c>
      <c r="N20" s="9">
        <f>'July 2024'!AD23*315</f>
        <v>217.00349999999997</v>
      </c>
      <c r="O20" s="151">
        <f>'July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'July 2024'!C24</f>
        <v>7319</v>
      </c>
      <c r="F21" s="9">
        <f>'July 2024'!E24</f>
        <v>6647</v>
      </c>
      <c r="G21" s="9">
        <f>'July 2024'!G24</f>
        <v>103</v>
      </c>
      <c r="H21" s="9">
        <f>'July 2024'!K24</f>
        <v>100</v>
      </c>
      <c r="I21" s="9">
        <f>'July 2024'!N24</f>
        <v>19</v>
      </c>
      <c r="J21" s="9">
        <f>'July 2024'!P24</f>
        <v>13</v>
      </c>
      <c r="K21" s="9">
        <f>'July 2024'!X24</f>
        <v>12511.18</v>
      </c>
      <c r="L21" s="9">
        <f>'July 2024'!AC24</f>
        <v>15345</v>
      </c>
      <c r="M21" s="9">
        <f>'July 2024'!AP24</f>
        <v>5</v>
      </c>
      <c r="N21" s="9">
        <f>'July 2024'!AD24*315</f>
        <v>217.00349999999997</v>
      </c>
      <c r="O21" s="151">
        <f>'July 2024'!AE24</f>
        <v>321</v>
      </c>
    </row>
    <row r="22" spans="1:15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'July 2024'!C25</f>
        <v>7573</v>
      </c>
      <c r="F22" s="9">
        <f>'July 2024'!E25</f>
        <v>6548</v>
      </c>
      <c r="G22" s="9">
        <f>'July 2024'!G25</f>
        <v>98</v>
      </c>
      <c r="H22" s="9">
        <f>'July 2024'!K25</f>
        <v>111</v>
      </c>
      <c r="I22" s="9">
        <f>'July 2024'!N25</f>
        <v>19</v>
      </c>
      <c r="J22" s="9">
        <f>'July 2024'!P25</f>
        <v>13</v>
      </c>
      <c r="K22" s="9">
        <f>'July 2024'!X25</f>
        <v>12795.525000000001</v>
      </c>
      <c r="L22" s="9">
        <f>'July 2024'!AC25</f>
        <v>15870</v>
      </c>
      <c r="M22" s="9">
        <f>'July 2024'!AP25</f>
        <v>9</v>
      </c>
      <c r="N22" s="9">
        <f>'July 2024'!AD25*315</f>
        <v>273.01050000000004</v>
      </c>
      <c r="O22" s="151">
        <f>'July 2024'!AE25</f>
        <v>376</v>
      </c>
    </row>
    <row r="23" spans="1:15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'July 2024'!C26</f>
        <v>7236</v>
      </c>
      <c r="F23" s="9">
        <f>'July 2024'!E26</f>
        <v>6324</v>
      </c>
      <c r="G23" s="9">
        <f>'July 2024'!G26</f>
        <v>98</v>
      </c>
      <c r="H23" s="9">
        <f>'July 2024'!K26</f>
        <v>98</v>
      </c>
      <c r="I23" s="9">
        <f>'July 2024'!N26</f>
        <v>17</v>
      </c>
      <c r="J23" s="9">
        <f>'July 2024'!P26</f>
        <v>15</v>
      </c>
      <c r="K23" s="9">
        <f>'July 2024'!X26</f>
        <v>12226.835000000001</v>
      </c>
      <c r="L23" s="9">
        <f>'July 2024'!AC26</f>
        <v>15546</v>
      </c>
      <c r="M23" s="9">
        <f>'July 2024'!AP26</f>
        <v>8</v>
      </c>
      <c r="N23" s="9">
        <f>'July 2024'!AD26*315</f>
        <v>281.988</v>
      </c>
      <c r="O23" s="151">
        <f>'July 2024'!AE26</f>
        <v>363</v>
      </c>
    </row>
    <row r="24" spans="1:15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'July 2024'!C27</f>
        <v>7349</v>
      </c>
      <c r="F24" s="9">
        <f>'July 2024'!E27</f>
        <v>6483</v>
      </c>
      <c r="G24" s="9">
        <f>'July 2024'!G27</f>
        <v>97</v>
      </c>
      <c r="H24" s="9">
        <f>'July 2024'!K27</f>
        <v>122</v>
      </c>
      <c r="I24" s="9">
        <f>'July 2024'!N27</f>
        <v>18</v>
      </c>
      <c r="J24" s="9">
        <f>'July 2024'!P27</f>
        <v>14</v>
      </c>
      <c r="K24" s="9">
        <f>'July 2024'!X27</f>
        <v>12226.835000000001</v>
      </c>
      <c r="L24" s="9">
        <f>'July 2024'!AC27</f>
        <v>15498</v>
      </c>
      <c r="M24" s="9">
        <f>'July 2024'!AP27</f>
        <v>7</v>
      </c>
      <c r="N24" s="9">
        <f>'July 2024'!AD27*315</f>
        <v>309.99149999999997</v>
      </c>
      <c r="O24" s="151">
        <f>'July 2024'!AE27</f>
        <v>415</v>
      </c>
    </row>
    <row r="25" spans="1:15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'July 2024'!C28</f>
        <v>7074</v>
      </c>
      <c r="F25" s="9">
        <f>'July 2024'!E28</f>
        <v>6395</v>
      </c>
      <c r="G25" s="9">
        <f>'July 2024'!G28</f>
        <v>107</v>
      </c>
      <c r="H25" s="9">
        <f>'July 2024'!K28</f>
        <v>113</v>
      </c>
      <c r="I25" s="9">
        <f>'July 2024'!N28</f>
        <v>19</v>
      </c>
      <c r="J25" s="9">
        <f>'July 2024'!P28</f>
        <v>16</v>
      </c>
      <c r="K25" s="9">
        <f>'July 2024'!X28</f>
        <v>11089.455000000002</v>
      </c>
      <c r="L25" s="9">
        <f>'July 2024'!AC28</f>
        <v>13846</v>
      </c>
      <c r="M25" s="9">
        <f>'July 2024'!AP28</f>
        <v>7</v>
      </c>
      <c r="N25" s="9">
        <f>'July 2024'!AD28*315</f>
        <v>296.00549999999998</v>
      </c>
      <c r="O25" s="151">
        <f>'July 2024'!AE28</f>
        <v>393</v>
      </c>
    </row>
    <row r="26" spans="1:15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'July 2024'!C29</f>
        <v>7334</v>
      </c>
      <c r="F26" s="9">
        <f>'July 2024'!E29</f>
        <v>6465</v>
      </c>
      <c r="G26" s="9">
        <f>'July 2024'!G29</f>
        <v>108</v>
      </c>
      <c r="H26" s="9">
        <f>'July 2024'!K29</f>
        <v>173</v>
      </c>
      <c r="I26" s="9">
        <f>'July 2024'!N29</f>
        <v>18</v>
      </c>
      <c r="J26" s="9">
        <f>'July 2024'!P29</f>
        <v>15</v>
      </c>
      <c r="K26" s="9">
        <f>'July 2024'!X29</f>
        <v>10805.11</v>
      </c>
      <c r="L26" s="9">
        <f>'July 2024'!AC29</f>
        <v>13330</v>
      </c>
      <c r="M26" s="9">
        <f>'July 2024'!AP29</f>
        <v>11</v>
      </c>
      <c r="N26" s="9">
        <f>'July 2024'!AD29*315</f>
        <v>288.00450000000001</v>
      </c>
      <c r="O26" s="151">
        <f>'July 2024'!AE29</f>
        <v>405</v>
      </c>
    </row>
    <row r="27" spans="1:15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'July 2024'!C30</f>
        <v>7291</v>
      </c>
      <c r="F27" s="9">
        <f>'July 2024'!E30</f>
        <v>6653</v>
      </c>
      <c r="G27" s="9">
        <f>'July 2024'!G30</f>
        <v>106</v>
      </c>
      <c r="H27" s="9">
        <f>'July 2024'!K30</f>
        <v>138</v>
      </c>
      <c r="I27" s="9">
        <f>'July 2024'!N30</f>
        <v>20</v>
      </c>
      <c r="J27" s="9">
        <f>'July 2024'!P30</f>
        <v>14</v>
      </c>
      <c r="K27" s="9">
        <f>'July 2024'!X30</f>
        <v>11373.800000000001</v>
      </c>
      <c r="L27" s="9">
        <f>'July 2024'!AC30</f>
        <v>14309</v>
      </c>
      <c r="M27" s="9">
        <f>'July 2024'!AP30</f>
        <v>8</v>
      </c>
      <c r="N27" s="9">
        <f>'July 2024'!AD30*315</f>
        <v>247.99950000000001</v>
      </c>
      <c r="O27" s="151">
        <f>'July 2024'!AE30</f>
        <v>346</v>
      </c>
    </row>
    <row r="28" spans="1:15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'July 2024'!C31</f>
        <v>7363</v>
      </c>
      <c r="F28" s="9">
        <f>'July 2024'!E31</f>
        <v>6496</v>
      </c>
      <c r="G28" s="9">
        <f>'July 2024'!G31</f>
        <v>107</v>
      </c>
      <c r="H28" s="9">
        <f>'July 2024'!K31</f>
        <v>115</v>
      </c>
      <c r="I28" s="9">
        <f>'July 2024'!N31</f>
        <v>19</v>
      </c>
      <c r="J28" s="9">
        <f>'July 2024'!P31</f>
        <v>14</v>
      </c>
      <c r="K28" s="9">
        <f>'July 2024'!X31</f>
        <v>11373.800000000001</v>
      </c>
      <c r="L28" s="9">
        <f>'July 2024'!AC31</f>
        <v>13695</v>
      </c>
      <c r="M28" s="9">
        <f>'July 2024'!AP31</f>
        <v>9</v>
      </c>
      <c r="N28" s="9">
        <f>'July 2024'!AD31*315</f>
        <v>269.98649999999998</v>
      </c>
      <c r="O28" s="151">
        <f>'July 2024'!AE31</f>
        <v>399</v>
      </c>
    </row>
    <row r="29" spans="1:15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'July 2024'!C32</f>
        <v>7444</v>
      </c>
      <c r="F29" s="9">
        <f>'July 2024'!E32</f>
        <v>6610</v>
      </c>
      <c r="G29" s="9">
        <f>'July 2024'!G32</f>
        <v>107</v>
      </c>
      <c r="H29" s="9">
        <f>'July 2024'!K32</f>
        <v>100</v>
      </c>
      <c r="I29" s="9">
        <f>'July 2024'!N32</f>
        <v>17</v>
      </c>
      <c r="J29" s="9">
        <f>'July 2024'!P32</f>
        <v>11</v>
      </c>
      <c r="K29" s="9">
        <f>'July 2024'!X32</f>
        <v>11942.490000000002</v>
      </c>
      <c r="L29" s="9">
        <f>'July 2024'!AC32</f>
        <v>14424</v>
      </c>
      <c r="M29" s="9">
        <f>'July 2024'!AP32</f>
        <v>6</v>
      </c>
      <c r="N29" s="9">
        <f>'July 2024'!AD32*315</f>
        <v>301.01400000000001</v>
      </c>
      <c r="O29" s="151">
        <f>'July 2024'!AE32</f>
        <v>423</v>
      </c>
    </row>
    <row r="30" spans="1:15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'July 2024'!C33</f>
        <v>7284</v>
      </c>
      <c r="F30" s="9">
        <f>'July 2024'!E33</f>
        <v>6429</v>
      </c>
      <c r="G30" s="9">
        <f>'July 2024'!G33</f>
        <v>102</v>
      </c>
      <c r="H30" s="9">
        <f>'July 2024'!K33</f>
        <v>121</v>
      </c>
      <c r="I30" s="9">
        <f>'July 2024'!N33</f>
        <v>17</v>
      </c>
      <c r="J30" s="9">
        <f>'July 2024'!P33</f>
        <v>15</v>
      </c>
      <c r="K30" s="9">
        <f>'July 2024'!X33</f>
        <v>12226.835000000001</v>
      </c>
      <c r="L30" s="9">
        <f>'July 2024'!AC33</f>
        <v>15013</v>
      </c>
      <c r="M30" s="9">
        <f>'July 2024'!AP33</f>
        <v>9</v>
      </c>
      <c r="N30" s="9">
        <f>'July 2024'!AD33*315</f>
        <v>308.00700000000001</v>
      </c>
      <c r="O30" s="151">
        <f>'July 2024'!AE33</f>
        <v>419</v>
      </c>
    </row>
    <row r="31" spans="1:15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'July 2024'!C34</f>
        <v>7508</v>
      </c>
      <c r="F31" s="9">
        <f>'July 2024'!E34</f>
        <v>6273</v>
      </c>
      <c r="G31" s="9">
        <f>'July 2024'!G34</f>
        <v>99</v>
      </c>
      <c r="H31" s="9">
        <f>'July 2024'!K34</f>
        <v>131</v>
      </c>
      <c r="I31" s="9">
        <f>'July 2024'!N34</f>
        <v>18</v>
      </c>
      <c r="J31" s="9">
        <f>'July 2024'!P34</f>
        <v>14</v>
      </c>
      <c r="K31" s="9">
        <f>'July 2024'!X34</f>
        <v>12795.525000000001</v>
      </c>
      <c r="L31" s="9">
        <f>'July 2024'!AC34</f>
        <v>15529</v>
      </c>
      <c r="M31" s="9">
        <f>'July 2024'!AP34</f>
        <v>8</v>
      </c>
      <c r="N31" s="9">
        <f>'July 2024'!AD34*315</f>
        <v>305.0145</v>
      </c>
      <c r="O31" s="151">
        <f>'July 2024'!AE34</f>
        <v>423</v>
      </c>
    </row>
    <row r="32" spans="1:15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'July 2024'!C35</f>
        <v>7174</v>
      </c>
      <c r="F32" s="9">
        <f>'July 2024'!E35</f>
        <v>6098</v>
      </c>
      <c r="G32" s="9">
        <f>'July 2024'!G35</f>
        <v>98</v>
      </c>
      <c r="H32" s="9">
        <f>'July 2024'!K35</f>
        <v>119</v>
      </c>
      <c r="I32" s="9">
        <f>'July 2024'!N35</f>
        <v>18</v>
      </c>
      <c r="J32" s="9">
        <f>'July 2024'!P35</f>
        <v>14</v>
      </c>
      <c r="K32" s="9">
        <f>'July 2024'!X35</f>
        <v>11658.145</v>
      </c>
      <c r="L32" s="9">
        <f>'July 2024'!AC35</f>
        <v>14393</v>
      </c>
      <c r="M32" s="9">
        <f>'July 2024'!AP35</f>
        <v>9</v>
      </c>
      <c r="N32" s="9">
        <f>'July 2024'!AD35*315</f>
        <v>310.99950000000001</v>
      </c>
      <c r="O32" s="151">
        <f>'July 2024'!AE35</f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view="pageBreakPreview" topLeftCell="J1" zoomScale="80" zoomScaleNormal="80" zoomScaleSheetLayoutView="80" workbookViewId="0">
      <pane ySplit="4" topLeftCell="A30" activePane="bottomLeft" state="frozen"/>
      <selection pane="bottomLeft" activeCell="AG38" sqref="AG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192" t="s">
        <v>101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63"/>
      <c r="AG1" s="163"/>
      <c r="AH1" s="163"/>
    </row>
    <row r="2" spans="1:50" s="6" customFormat="1" ht="24.95" customHeight="1" thickBot="1" x14ac:dyDescent="0.35">
      <c r="A2" s="194" t="s">
        <v>0</v>
      </c>
      <c r="B2" s="197" t="s">
        <v>3</v>
      </c>
      <c r="C2" s="198"/>
      <c r="D2" s="198"/>
      <c r="E2" s="198"/>
      <c r="F2" s="198"/>
      <c r="G2" s="198"/>
      <c r="H2" s="198"/>
      <c r="I2" s="198"/>
      <c r="J2" s="199" t="s">
        <v>4</v>
      </c>
      <c r="K2" s="200"/>
      <c r="L2" s="200"/>
      <c r="M2" s="201" t="s">
        <v>50</v>
      </c>
      <c r="N2" s="202"/>
      <c r="O2" s="202"/>
      <c r="P2" s="202"/>
      <c r="Q2" s="202"/>
      <c r="R2" s="202"/>
      <c r="S2" s="202"/>
      <c r="T2" s="202"/>
      <c r="U2" s="203"/>
      <c r="V2" s="204" t="s">
        <v>2</v>
      </c>
      <c r="W2" s="205"/>
      <c r="X2" s="205"/>
      <c r="Y2" s="205"/>
      <c r="Z2" s="205"/>
      <c r="AA2" s="205"/>
      <c r="AB2" s="205"/>
      <c r="AC2" s="206"/>
      <c r="AD2" s="207" t="s">
        <v>17</v>
      </c>
      <c r="AE2" s="208"/>
      <c r="AF2" s="207" t="s">
        <v>59</v>
      </c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19"/>
    </row>
    <row r="3" spans="1:50" s="5" customFormat="1" ht="36.75" customHeight="1" x14ac:dyDescent="0.25">
      <c r="A3" s="195"/>
      <c r="B3" s="220" t="s">
        <v>37</v>
      </c>
      <c r="C3" s="221"/>
      <c r="D3" s="222" t="s">
        <v>38</v>
      </c>
      <c r="E3" s="223"/>
      <c r="F3" s="222" t="s">
        <v>39</v>
      </c>
      <c r="G3" s="223"/>
      <c r="H3" s="221" t="s">
        <v>20</v>
      </c>
      <c r="I3" s="225" t="s">
        <v>7</v>
      </c>
      <c r="J3" s="227" t="s">
        <v>21</v>
      </c>
      <c r="K3" s="229" t="s">
        <v>22</v>
      </c>
      <c r="L3" s="231" t="s">
        <v>6</v>
      </c>
      <c r="M3" s="233" t="s">
        <v>35</v>
      </c>
      <c r="N3" s="209"/>
      <c r="O3" s="209" t="s">
        <v>36</v>
      </c>
      <c r="P3" s="209"/>
      <c r="Q3" s="209" t="s">
        <v>40</v>
      </c>
      <c r="R3" s="209" t="s">
        <v>33</v>
      </c>
      <c r="S3" s="209" t="s">
        <v>34</v>
      </c>
      <c r="T3" s="217" t="s">
        <v>18</v>
      </c>
      <c r="U3" s="211" t="s">
        <v>31</v>
      </c>
      <c r="V3" s="213" t="s">
        <v>23</v>
      </c>
      <c r="W3" s="215" t="s">
        <v>8</v>
      </c>
      <c r="X3" s="215" t="s">
        <v>9</v>
      </c>
      <c r="Y3" s="215" t="s">
        <v>10</v>
      </c>
      <c r="Z3" s="215" t="s">
        <v>11</v>
      </c>
      <c r="AA3" s="215" t="s">
        <v>12</v>
      </c>
      <c r="AB3" s="215" t="s">
        <v>32</v>
      </c>
      <c r="AC3" s="240" t="s">
        <v>64</v>
      </c>
      <c r="AD3" s="242" t="s">
        <v>63</v>
      </c>
      <c r="AE3" s="236" t="s">
        <v>19</v>
      </c>
      <c r="AF3" s="238" t="s">
        <v>65</v>
      </c>
      <c r="AG3" s="234"/>
      <c r="AH3" s="235"/>
      <c r="AI3" s="239" t="s">
        <v>66</v>
      </c>
      <c r="AJ3" s="234"/>
      <c r="AK3" s="235"/>
      <c r="AL3" s="238" t="s">
        <v>67</v>
      </c>
      <c r="AM3" s="234"/>
      <c r="AN3" s="235"/>
      <c r="AO3" s="238" t="s">
        <v>68</v>
      </c>
      <c r="AP3" s="234"/>
      <c r="AQ3" s="235"/>
      <c r="AR3" s="238" t="s">
        <v>70</v>
      </c>
      <c r="AS3" s="234"/>
      <c r="AT3" s="235"/>
      <c r="AU3" s="234" t="s">
        <v>69</v>
      </c>
      <c r="AV3" s="234"/>
      <c r="AW3" s="235"/>
    </row>
    <row r="4" spans="1:50" s="5" customFormat="1" ht="36.75" customHeight="1" thickBot="1" x14ac:dyDescent="0.3">
      <c r="A4" s="196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24"/>
      <c r="I4" s="226"/>
      <c r="J4" s="228"/>
      <c r="K4" s="230"/>
      <c r="L4" s="232"/>
      <c r="M4" s="112" t="s">
        <v>1</v>
      </c>
      <c r="N4" s="46" t="s">
        <v>5</v>
      </c>
      <c r="O4" s="46" t="s">
        <v>1</v>
      </c>
      <c r="P4" s="46" t="s">
        <v>5</v>
      </c>
      <c r="Q4" s="210"/>
      <c r="R4" s="210"/>
      <c r="S4" s="210"/>
      <c r="T4" s="218"/>
      <c r="U4" s="212"/>
      <c r="V4" s="214"/>
      <c r="W4" s="216"/>
      <c r="X4" s="216"/>
      <c r="Y4" s="216"/>
      <c r="Z4" s="216"/>
      <c r="AA4" s="216"/>
      <c r="AB4" s="216"/>
      <c r="AC4" s="241"/>
      <c r="AD4" s="243"/>
      <c r="AE4" s="237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50" s="3" customFormat="1" ht="27.95" customHeight="1" x14ac:dyDescent="0.25">
      <c r="A5" s="104">
        <v>45474</v>
      </c>
      <c r="B5" s="96">
        <v>19621826</v>
      </c>
      <c r="C5" s="103">
        <v>7413</v>
      </c>
      <c r="D5" s="94">
        <v>20453146</v>
      </c>
      <c r="E5" s="103">
        <v>6790</v>
      </c>
      <c r="F5" s="94">
        <v>462035</v>
      </c>
      <c r="G5" s="103">
        <v>106</v>
      </c>
      <c r="H5" s="105">
        <f t="shared" ref="H5:H35" si="0">C5+E5+G5</f>
        <v>14309</v>
      </c>
      <c r="I5" s="106">
        <f t="shared" ref="I5:I35" si="1">H5*0.2</f>
        <v>2861.8</v>
      </c>
      <c r="J5" s="96">
        <v>87201</v>
      </c>
      <c r="K5" s="103">
        <v>117</v>
      </c>
      <c r="L5" s="107">
        <f t="shared" ref="L5:L35" si="2">K5*7.84</f>
        <v>917.28</v>
      </c>
      <c r="M5" s="93">
        <v>37034</v>
      </c>
      <c r="N5" s="103">
        <v>18</v>
      </c>
      <c r="O5" s="94">
        <v>21760</v>
      </c>
      <c r="P5" s="108">
        <v>13</v>
      </c>
      <c r="Q5" s="97">
        <f>N5+P5</f>
        <v>31</v>
      </c>
      <c r="R5" s="98">
        <v>54900</v>
      </c>
      <c r="S5" s="108">
        <v>31</v>
      </c>
      <c r="T5" s="108">
        <f>S5*1.0557</f>
        <v>32.726700000000001</v>
      </c>
      <c r="U5" s="106">
        <f>IF(ISBLANK(M5),"0",T5*11.05+209.677)</f>
        <v>571.30703500000004</v>
      </c>
      <c r="V5" s="183">
        <v>69951</v>
      </c>
      <c r="W5" s="103">
        <v>37</v>
      </c>
      <c r="X5" s="182">
        <f>IF(ISBLANK(V5),"0 ",W5*284.345)</f>
        <v>10520.765000000001</v>
      </c>
      <c r="Y5" s="182">
        <f>X5*0.3442</f>
        <v>3621.2473130000003</v>
      </c>
      <c r="Z5" s="182">
        <f>IF(ISBLANK(V5),"0",1570*1546.86/12/31*0.65)</f>
        <v>4243.4694354838712</v>
      </c>
      <c r="AA5" s="184">
        <f>Y5+Z5</f>
        <v>7864.7167484838719</v>
      </c>
      <c r="AB5" s="185">
        <v>7027950</v>
      </c>
      <c r="AC5" s="186">
        <v>12601</v>
      </c>
      <c r="AD5" s="145">
        <v>0.96189999999999998</v>
      </c>
      <c r="AE5" s="151">
        <v>394</v>
      </c>
      <c r="AF5" s="93">
        <v>13773201</v>
      </c>
      <c r="AG5" s="150">
        <v>5935</v>
      </c>
      <c r="AH5" s="166">
        <f>AG5*0.2</f>
        <v>1187</v>
      </c>
      <c r="AI5" s="93">
        <v>6375295</v>
      </c>
      <c r="AJ5" s="150">
        <v>2256</v>
      </c>
      <c r="AK5" s="166">
        <f>AJ5*0.2</f>
        <v>451.20000000000005</v>
      </c>
      <c r="AL5" s="159">
        <v>156102</v>
      </c>
      <c r="AM5" s="103">
        <v>483</v>
      </c>
      <c r="AN5" s="100">
        <f>AM5*0.2</f>
        <v>96.600000000000009</v>
      </c>
      <c r="AO5" s="96">
        <v>6936</v>
      </c>
      <c r="AP5" s="103">
        <v>10</v>
      </c>
      <c r="AQ5" s="151">
        <f>AP5*7.84</f>
        <v>78.400000000000006</v>
      </c>
      <c r="AR5" s="93">
        <v>2869</v>
      </c>
      <c r="AS5" s="103">
        <v>1</v>
      </c>
      <c r="AT5" s="109">
        <f>AS5*7.84</f>
        <v>7.84</v>
      </c>
      <c r="AU5" s="158">
        <v>184</v>
      </c>
      <c r="AV5" s="103">
        <v>1</v>
      </c>
      <c r="AW5" s="109">
        <f>AV5*7.84</f>
        <v>7.84</v>
      </c>
    </row>
    <row r="6" spans="1:50" s="3" customFormat="1" ht="27.95" customHeight="1" x14ac:dyDescent="0.25">
      <c r="A6" s="104">
        <v>45475</v>
      </c>
      <c r="B6" s="96">
        <v>19629312</v>
      </c>
      <c r="C6" s="94">
        <f t="shared" ref="C6:C35" si="3">IF(ISBLANK(B6),"0",B6-B5)</f>
        <v>7486</v>
      </c>
      <c r="D6" s="94">
        <v>20459918</v>
      </c>
      <c r="E6" s="94">
        <f>IF(ISBLANK(D6),"0",D6-D5)</f>
        <v>6772</v>
      </c>
      <c r="F6" s="94">
        <v>462141</v>
      </c>
      <c r="G6" s="94">
        <f>IF(ISBLANK(F6),"0",F6-F5)</f>
        <v>106</v>
      </c>
      <c r="H6" s="95">
        <f t="shared" si="0"/>
        <v>14364</v>
      </c>
      <c r="I6" s="115">
        <f t="shared" si="1"/>
        <v>2872.8</v>
      </c>
      <c r="J6" s="96">
        <v>87314</v>
      </c>
      <c r="K6" s="94">
        <f>IF(ISBLANK(J6),"0",J6-J5)</f>
        <v>113</v>
      </c>
      <c r="L6" s="78">
        <f t="shared" si="2"/>
        <v>885.92</v>
      </c>
      <c r="M6" s="93">
        <v>37053</v>
      </c>
      <c r="N6" s="94">
        <f>IF(ISBLANK(M6),"0",M6-M5)</f>
        <v>19</v>
      </c>
      <c r="O6" s="94">
        <v>21773</v>
      </c>
      <c r="P6" s="97">
        <f>IF(ISBLANK(O6),"0",O6-O5)</f>
        <v>13</v>
      </c>
      <c r="Q6" s="97">
        <f t="shared" ref="Q6:Q35" si="4">N6+P6</f>
        <v>32</v>
      </c>
      <c r="R6" s="98">
        <v>54931</v>
      </c>
      <c r="S6" s="97">
        <f>IF(ISBLANK(R6),"0",R6-R5)</f>
        <v>31</v>
      </c>
      <c r="T6" s="108">
        <f t="shared" ref="T6:T35" si="5">S6*1.0557</f>
        <v>32.726700000000001</v>
      </c>
      <c r="U6" s="106">
        <f t="shared" ref="U6:U35" si="6">IF(ISBLANK(M6),"0",T6*11.05+209.677)</f>
        <v>571.30703500000004</v>
      </c>
      <c r="V6" s="93">
        <v>69988</v>
      </c>
      <c r="W6" s="94">
        <f>IF(ISBLANK(V6)," ",V6-V5)</f>
        <v>37</v>
      </c>
      <c r="X6" s="99">
        <f>IF(ISBLANK(V6),"0 ",W6*284.345)</f>
        <v>10520.765000000001</v>
      </c>
      <c r="Y6" s="99">
        <f t="shared" ref="Y6:Y35" si="7">X6*0.3442</f>
        <v>3621.2473130000003</v>
      </c>
      <c r="Z6" s="182">
        <f>IF(ISBLANK(V6),"0",1570*1546.86/12/31*0.65)</f>
        <v>4243.4694354838712</v>
      </c>
      <c r="AA6" s="77">
        <f t="shared" ref="AA6:AA35" si="8">Y6+Z6</f>
        <v>7864.7167484838719</v>
      </c>
      <c r="AB6" s="98">
        <v>7040722</v>
      </c>
      <c r="AC6" s="162">
        <f>IF(ISBLANK(AB6),"0 ",AB6-AB5)</f>
        <v>12772</v>
      </c>
      <c r="AD6" s="146">
        <v>0.94289999999999996</v>
      </c>
      <c r="AE6" s="152">
        <v>367</v>
      </c>
      <c r="AF6" s="93">
        <v>13779105</v>
      </c>
      <c r="AG6" s="94">
        <f>IF(ISBLANK(AF6),"0",AF6-AF5)</f>
        <v>5904</v>
      </c>
      <c r="AH6" s="100">
        <f>AG6*0.2</f>
        <v>1180.8</v>
      </c>
      <c r="AI6" s="93">
        <v>6377512</v>
      </c>
      <c r="AJ6" s="94">
        <f>IF(ISBLANK(AI6),"0",AI6-AI5)</f>
        <v>2217</v>
      </c>
      <c r="AK6" s="100">
        <f>AJ6*0.2</f>
        <v>443.40000000000003</v>
      </c>
      <c r="AL6" s="96">
        <v>156608</v>
      </c>
      <c r="AM6" s="94">
        <f>IF(ISBLANK(AL6),"0",AL6-AL5)</f>
        <v>506</v>
      </c>
      <c r="AN6" s="100">
        <f>AM6*0.2</f>
        <v>101.2</v>
      </c>
      <c r="AO6" s="96">
        <v>6945</v>
      </c>
      <c r="AP6" s="94">
        <f>IF(ISBLANK(AO6),"0",AO6-AO5)</f>
        <v>9</v>
      </c>
      <c r="AQ6" s="152">
        <f>AP6*7.84</f>
        <v>70.56</v>
      </c>
      <c r="AR6" s="93">
        <v>2870</v>
      </c>
      <c r="AS6" s="94">
        <f>IF(ISBLANK(AR6),"0",AR6-AR5)</f>
        <v>1</v>
      </c>
      <c r="AT6" s="100">
        <f t="shared" ref="AT6:AT35" si="9">AS6*7.84</f>
        <v>7.84</v>
      </c>
      <c r="AU6" s="93">
        <v>185</v>
      </c>
      <c r="AV6" s="94">
        <f>IF(ISBLANK(AU6),"0",AU6-AU5)</f>
        <v>1</v>
      </c>
      <c r="AW6" s="100">
        <f>AV6*7.84</f>
        <v>7.84</v>
      </c>
    </row>
    <row r="7" spans="1:50" s="3" customFormat="1" ht="27.95" customHeight="1" x14ac:dyDescent="0.25">
      <c r="A7" s="104">
        <v>45476</v>
      </c>
      <c r="B7" s="96">
        <v>19636865</v>
      </c>
      <c r="C7" s="94">
        <f t="shared" si="3"/>
        <v>7553</v>
      </c>
      <c r="D7" s="94">
        <v>20466834</v>
      </c>
      <c r="E7" s="94">
        <f t="shared" ref="E7:E35" si="10">IF(ISBLANK(D7),"0",D7-D6)</f>
        <v>6916</v>
      </c>
      <c r="F7" s="94">
        <v>462247</v>
      </c>
      <c r="G7" s="94">
        <f t="shared" ref="G7:G35" si="11">IF(ISBLANK(F7),"0",F7-F6)</f>
        <v>106</v>
      </c>
      <c r="H7" s="95">
        <f t="shared" si="0"/>
        <v>14575</v>
      </c>
      <c r="I7" s="115">
        <f t="shared" si="1"/>
        <v>2915</v>
      </c>
      <c r="J7" s="96">
        <v>87438</v>
      </c>
      <c r="K7" s="94">
        <f t="shared" ref="K7:K35" si="12">IF(ISBLANK(J7),"0",J7-J6)</f>
        <v>124</v>
      </c>
      <c r="L7" s="78">
        <f t="shared" si="2"/>
        <v>972.16</v>
      </c>
      <c r="M7" s="93">
        <v>37072</v>
      </c>
      <c r="N7" s="94">
        <f t="shared" ref="N7:N35" si="13">IF(ISBLANK(M7),"0",M7-M6)</f>
        <v>19</v>
      </c>
      <c r="O7" s="94">
        <v>21787</v>
      </c>
      <c r="P7" s="97">
        <f t="shared" ref="P7:P35" si="14">IF(ISBLANK(O7),"0",O7-O6)</f>
        <v>14</v>
      </c>
      <c r="Q7" s="97">
        <f t="shared" si="4"/>
        <v>33</v>
      </c>
      <c r="R7" s="98">
        <v>54964</v>
      </c>
      <c r="S7" s="97">
        <f t="shared" ref="S7:S35" si="15">IF(ISBLANK(R7),"0",R7-R6)</f>
        <v>33</v>
      </c>
      <c r="T7" s="108">
        <f t="shared" si="5"/>
        <v>34.838100000000004</v>
      </c>
      <c r="U7" s="106">
        <f t="shared" si="6"/>
        <v>594.63800500000002</v>
      </c>
      <c r="V7" s="93">
        <v>70029</v>
      </c>
      <c r="W7" s="94">
        <f t="shared" ref="W7:W22" si="16">IF(ISBLANK(V7)," ",V7-V6)</f>
        <v>41</v>
      </c>
      <c r="X7" s="99">
        <f>IF(ISBLANK(V7),"0 ",W7*284.345)</f>
        <v>11658.145</v>
      </c>
      <c r="Y7" s="99">
        <f t="shared" si="7"/>
        <v>4012.7335090000001</v>
      </c>
      <c r="Z7" s="182">
        <f t="shared" ref="Z7:Z35" si="17">IF(ISBLANK(V7),"0",1570*1546.86/12/31*0.65)</f>
        <v>4243.4694354838712</v>
      </c>
      <c r="AA7" s="77">
        <f t="shared" si="8"/>
        <v>8256.2029444838718</v>
      </c>
      <c r="AB7" s="98">
        <v>7055080</v>
      </c>
      <c r="AC7" s="162">
        <f t="shared" ref="AC7:AC35" si="18">IF(ISBLANK(AB7),"0 ",AB7-AB6)</f>
        <v>14358</v>
      </c>
      <c r="AD7" s="146">
        <v>0.93330000000000002</v>
      </c>
      <c r="AE7" s="152">
        <v>349</v>
      </c>
      <c r="AF7" s="93">
        <v>13785070</v>
      </c>
      <c r="AG7" s="94">
        <f t="shared" ref="AG7:AG35" si="19">IF(ISBLANK(AF7),"0",AF7-AF6)</f>
        <v>5965</v>
      </c>
      <c r="AH7" s="100">
        <f t="shared" ref="AH7:AH35" si="20">AG7*0.2</f>
        <v>1193</v>
      </c>
      <c r="AI7" s="93">
        <v>6379754</v>
      </c>
      <c r="AJ7" s="94">
        <f t="shared" ref="AJ7:AJ35" si="21">IF(ISBLANK(AI7),"0",AI7-AI6)</f>
        <v>2242</v>
      </c>
      <c r="AK7" s="100">
        <f t="shared" ref="AK7:AK35" si="22">AJ7*0.2</f>
        <v>448.40000000000003</v>
      </c>
      <c r="AL7" s="96">
        <v>157305</v>
      </c>
      <c r="AM7" s="94">
        <f t="shared" ref="AM7:AM35" si="23">IF(ISBLANK(AL7),"0",AL7-AL6)</f>
        <v>697</v>
      </c>
      <c r="AN7" s="100">
        <f t="shared" ref="AN7:AN35" si="24">AM7*0.2</f>
        <v>139.4</v>
      </c>
      <c r="AO7" s="96">
        <v>6959</v>
      </c>
      <c r="AP7" s="94">
        <f>IF(ISBLANK(AO7),"0",AO7-AO6)</f>
        <v>14</v>
      </c>
      <c r="AQ7" s="152">
        <f t="shared" ref="AQ7:AQ35" si="25">AP7*7.84</f>
        <v>109.75999999999999</v>
      </c>
      <c r="AR7" s="93">
        <v>2871</v>
      </c>
      <c r="AS7" s="94">
        <f t="shared" ref="AS7:AS35" si="26">IF(ISBLANK(AR7),"0",AR7-AR6)</f>
        <v>1</v>
      </c>
      <c r="AT7" s="100">
        <f t="shared" si="9"/>
        <v>7.84</v>
      </c>
      <c r="AU7" s="93">
        <v>186</v>
      </c>
      <c r="AV7" s="94">
        <f t="shared" ref="AV7:AV35" si="27">IF(ISBLANK(AU7),"0",AU7-AU6)</f>
        <v>1</v>
      </c>
      <c r="AW7" s="100">
        <f t="shared" ref="AW7:AW35" si="28">AV7*7.84</f>
        <v>7.84</v>
      </c>
    </row>
    <row r="8" spans="1:50" s="3" customFormat="1" ht="27.95" customHeight="1" x14ac:dyDescent="0.25">
      <c r="A8" s="104">
        <v>45477</v>
      </c>
      <c r="B8" s="96">
        <v>19644302</v>
      </c>
      <c r="C8" s="94">
        <f t="shared" si="3"/>
        <v>7437</v>
      </c>
      <c r="D8" s="94">
        <v>20473958</v>
      </c>
      <c r="E8" s="94">
        <f t="shared" si="10"/>
        <v>7124</v>
      </c>
      <c r="F8" s="94">
        <v>462354</v>
      </c>
      <c r="G8" s="94">
        <f t="shared" si="11"/>
        <v>107</v>
      </c>
      <c r="H8" s="95">
        <f t="shared" si="0"/>
        <v>14668</v>
      </c>
      <c r="I8" s="115">
        <f t="shared" si="1"/>
        <v>2933.6000000000004</v>
      </c>
      <c r="J8" s="96">
        <v>87541</v>
      </c>
      <c r="K8" s="94">
        <f t="shared" si="12"/>
        <v>103</v>
      </c>
      <c r="L8" s="78">
        <f t="shared" si="2"/>
        <v>807.52</v>
      </c>
      <c r="M8" s="93">
        <v>37091</v>
      </c>
      <c r="N8" s="94">
        <f t="shared" si="13"/>
        <v>19</v>
      </c>
      <c r="O8" s="94">
        <v>21802</v>
      </c>
      <c r="P8" s="97">
        <f t="shared" si="14"/>
        <v>15</v>
      </c>
      <c r="Q8" s="97">
        <f t="shared" si="4"/>
        <v>34</v>
      </c>
      <c r="R8" s="98">
        <v>54999</v>
      </c>
      <c r="S8" s="97">
        <f t="shared" si="15"/>
        <v>35</v>
      </c>
      <c r="T8" s="108">
        <f t="shared" si="5"/>
        <v>36.9495</v>
      </c>
      <c r="U8" s="106">
        <f t="shared" si="6"/>
        <v>617.968975</v>
      </c>
      <c r="V8" s="93">
        <v>70067</v>
      </c>
      <c r="W8" s="94">
        <f t="shared" si="16"/>
        <v>38</v>
      </c>
      <c r="X8" s="99">
        <f t="shared" ref="X8:X35" si="29">IF(ISBLANK(V8),"0 ",W8*284.345)</f>
        <v>10805.11</v>
      </c>
      <c r="Y8" s="99">
        <f t="shared" si="7"/>
        <v>3719.1188620000003</v>
      </c>
      <c r="Z8" s="182">
        <f t="shared" si="17"/>
        <v>4243.4694354838712</v>
      </c>
      <c r="AA8" s="77">
        <f t="shared" si="8"/>
        <v>7962.5882974838714</v>
      </c>
      <c r="AB8" s="98">
        <v>7069001</v>
      </c>
      <c r="AC8" s="162">
        <f t="shared" si="18"/>
        <v>13921</v>
      </c>
      <c r="AD8" s="147">
        <v>0.93330000000000002</v>
      </c>
      <c r="AE8" s="152">
        <v>372</v>
      </c>
      <c r="AF8" s="93">
        <v>13790898</v>
      </c>
      <c r="AG8" s="94">
        <f t="shared" si="19"/>
        <v>5828</v>
      </c>
      <c r="AH8" s="100">
        <f t="shared" si="20"/>
        <v>1165.6000000000001</v>
      </c>
      <c r="AI8" s="93">
        <v>6381934</v>
      </c>
      <c r="AJ8" s="94">
        <f t="shared" si="21"/>
        <v>2180</v>
      </c>
      <c r="AK8" s="100">
        <f t="shared" si="22"/>
        <v>436</v>
      </c>
      <c r="AL8" s="96">
        <v>157894</v>
      </c>
      <c r="AM8" s="94">
        <f t="shared" si="23"/>
        <v>589</v>
      </c>
      <c r="AN8" s="100">
        <f t="shared" si="24"/>
        <v>117.80000000000001</v>
      </c>
      <c r="AO8" s="96">
        <v>6968</v>
      </c>
      <c r="AP8" s="94">
        <f t="shared" ref="AP8:AP35" si="30">IF(ISBLANK(AO8),"0",AO8-AO7)</f>
        <v>9</v>
      </c>
      <c r="AQ8" s="152">
        <f t="shared" si="25"/>
        <v>70.56</v>
      </c>
      <c r="AR8" s="93">
        <v>2872</v>
      </c>
      <c r="AS8" s="94">
        <f t="shared" si="26"/>
        <v>1</v>
      </c>
      <c r="AT8" s="100">
        <f t="shared" si="9"/>
        <v>7.84</v>
      </c>
      <c r="AU8" s="93">
        <v>187</v>
      </c>
      <c r="AV8" s="94">
        <f t="shared" si="27"/>
        <v>1</v>
      </c>
      <c r="AW8" s="100">
        <f t="shared" si="28"/>
        <v>7.84</v>
      </c>
    </row>
    <row r="9" spans="1:50" s="3" customFormat="1" ht="27.95" customHeight="1" x14ac:dyDescent="0.25">
      <c r="A9" s="104">
        <v>45478</v>
      </c>
      <c r="B9" s="96">
        <v>19651910</v>
      </c>
      <c r="C9" s="94">
        <f t="shared" si="3"/>
        <v>7608</v>
      </c>
      <c r="D9" s="94">
        <v>20480988</v>
      </c>
      <c r="E9" s="94">
        <f t="shared" si="10"/>
        <v>7030</v>
      </c>
      <c r="F9" s="94">
        <v>462453</v>
      </c>
      <c r="G9" s="94">
        <f t="shared" si="11"/>
        <v>99</v>
      </c>
      <c r="H9" s="95">
        <f t="shared" si="0"/>
        <v>14737</v>
      </c>
      <c r="I9" s="115">
        <f t="shared" si="1"/>
        <v>2947.4</v>
      </c>
      <c r="J9" s="96">
        <v>87645</v>
      </c>
      <c r="K9" s="94">
        <f t="shared" si="12"/>
        <v>104</v>
      </c>
      <c r="L9" s="78">
        <f t="shared" si="2"/>
        <v>815.36</v>
      </c>
      <c r="M9" s="93">
        <v>37111</v>
      </c>
      <c r="N9" s="94">
        <f t="shared" si="13"/>
        <v>20</v>
      </c>
      <c r="O9" s="94">
        <v>21817</v>
      </c>
      <c r="P9" s="97">
        <f t="shared" si="14"/>
        <v>15</v>
      </c>
      <c r="Q9" s="97">
        <f t="shared" si="4"/>
        <v>35</v>
      </c>
      <c r="R9" s="98">
        <v>55034</v>
      </c>
      <c r="S9" s="97">
        <f t="shared" si="15"/>
        <v>35</v>
      </c>
      <c r="T9" s="108">
        <f t="shared" si="5"/>
        <v>36.9495</v>
      </c>
      <c r="U9" s="106">
        <f t="shared" si="6"/>
        <v>617.968975</v>
      </c>
      <c r="V9" s="93">
        <v>70109</v>
      </c>
      <c r="W9" s="94">
        <f t="shared" si="16"/>
        <v>42</v>
      </c>
      <c r="X9" s="99">
        <f t="shared" si="29"/>
        <v>11942.490000000002</v>
      </c>
      <c r="Y9" s="99">
        <f t="shared" si="7"/>
        <v>4110.605058000001</v>
      </c>
      <c r="Z9" s="182">
        <f t="shared" si="17"/>
        <v>4243.4694354838712</v>
      </c>
      <c r="AA9" s="77">
        <f t="shared" si="8"/>
        <v>8354.0744934838731</v>
      </c>
      <c r="AB9" s="98">
        <v>7083982</v>
      </c>
      <c r="AC9" s="162">
        <f t="shared" si="18"/>
        <v>14981</v>
      </c>
      <c r="AD9" s="146">
        <v>0.746</v>
      </c>
      <c r="AE9" s="152">
        <v>339</v>
      </c>
      <c r="AF9" s="93">
        <v>13796612</v>
      </c>
      <c r="AG9" s="94">
        <f t="shared" si="19"/>
        <v>5714</v>
      </c>
      <c r="AH9" s="100">
        <f t="shared" si="20"/>
        <v>1142.8</v>
      </c>
      <c r="AI9" s="93">
        <v>6384106</v>
      </c>
      <c r="AJ9" s="94">
        <f t="shared" si="21"/>
        <v>2172</v>
      </c>
      <c r="AK9" s="100">
        <f t="shared" si="22"/>
        <v>434.40000000000003</v>
      </c>
      <c r="AL9" s="96">
        <v>158492</v>
      </c>
      <c r="AM9" s="94">
        <f t="shared" si="23"/>
        <v>598</v>
      </c>
      <c r="AN9" s="100">
        <f t="shared" si="24"/>
        <v>119.60000000000001</v>
      </c>
      <c r="AO9" s="96">
        <v>6975</v>
      </c>
      <c r="AP9" s="94">
        <f t="shared" si="30"/>
        <v>7</v>
      </c>
      <c r="AQ9" s="152">
        <f t="shared" si="25"/>
        <v>54.879999999999995</v>
      </c>
      <c r="AR9" s="93">
        <v>2873</v>
      </c>
      <c r="AS9" s="94">
        <f t="shared" si="26"/>
        <v>1</v>
      </c>
      <c r="AT9" s="100">
        <f t="shared" si="9"/>
        <v>7.84</v>
      </c>
      <c r="AU9" s="93">
        <v>188</v>
      </c>
      <c r="AV9" s="94">
        <f t="shared" si="27"/>
        <v>1</v>
      </c>
      <c r="AW9" s="100">
        <f t="shared" si="28"/>
        <v>7.84</v>
      </c>
    </row>
    <row r="10" spans="1:50" s="3" customFormat="1" ht="27.95" customHeight="1" x14ac:dyDescent="0.25">
      <c r="A10" s="104">
        <v>45479</v>
      </c>
      <c r="B10" s="96">
        <v>19659324</v>
      </c>
      <c r="C10" s="94">
        <f t="shared" si="3"/>
        <v>7414</v>
      </c>
      <c r="D10" s="94">
        <v>20487725</v>
      </c>
      <c r="E10" s="94">
        <f>IF(ISBLANK(D10),"0",D10-D9)</f>
        <v>6737</v>
      </c>
      <c r="F10" s="94">
        <v>462560</v>
      </c>
      <c r="G10" s="94">
        <f>IF(ISBLANK(F10),"0",F10-F9)</f>
        <v>107</v>
      </c>
      <c r="H10" s="95">
        <f t="shared" si="0"/>
        <v>14258</v>
      </c>
      <c r="I10" s="115">
        <f t="shared" si="1"/>
        <v>2851.6000000000004</v>
      </c>
      <c r="J10" s="96">
        <v>87739</v>
      </c>
      <c r="K10" s="94">
        <f t="shared" si="12"/>
        <v>94</v>
      </c>
      <c r="L10" s="78">
        <f t="shared" si="2"/>
        <v>736.96</v>
      </c>
      <c r="M10" s="93">
        <v>37129</v>
      </c>
      <c r="N10" s="94">
        <f>IF(ISBLANK(M10),"0",M10-M9)</f>
        <v>18</v>
      </c>
      <c r="O10" s="94">
        <v>21833</v>
      </c>
      <c r="P10" s="97">
        <f t="shared" si="14"/>
        <v>16</v>
      </c>
      <c r="Q10" s="97">
        <f t="shared" si="4"/>
        <v>34</v>
      </c>
      <c r="R10" s="98">
        <v>55069</v>
      </c>
      <c r="S10" s="97">
        <f t="shared" si="15"/>
        <v>35</v>
      </c>
      <c r="T10" s="108">
        <f t="shared" si="5"/>
        <v>36.9495</v>
      </c>
      <c r="U10" s="106">
        <f t="shared" si="6"/>
        <v>617.968975</v>
      </c>
      <c r="V10" s="93">
        <v>70145</v>
      </c>
      <c r="W10" s="94">
        <f t="shared" si="16"/>
        <v>36</v>
      </c>
      <c r="X10" s="99">
        <f t="shared" si="29"/>
        <v>10236.420000000002</v>
      </c>
      <c r="Y10" s="99">
        <f t="shared" si="7"/>
        <v>3523.3757640000008</v>
      </c>
      <c r="Z10" s="182">
        <f t="shared" si="17"/>
        <v>4243.4694354838712</v>
      </c>
      <c r="AA10" s="77">
        <f t="shared" si="8"/>
        <v>7766.8451994838724</v>
      </c>
      <c r="AB10" s="98">
        <v>7096638</v>
      </c>
      <c r="AC10" s="162">
        <f t="shared" si="18"/>
        <v>12656</v>
      </c>
      <c r="AD10" s="146">
        <v>0.62860000000000005</v>
      </c>
      <c r="AE10" s="152">
        <v>273</v>
      </c>
      <c r="AF10" s="93">
        <v>13801399</v>
      </c>
      <c r="AG10" s="94">
        <f t="shared" si="19"/>
        <v>4787</v>
      </c>
      <c r="AH10" s="100">
        <f t="shared" si="20"/>
        <v>957.40000000000009</v>
      </c>
      <c r="AI10" s="93">
        <v>6386132</v>
      </c>
      <c r="AJ10" s="94">
        <f t="shared" si="21"/>
        <v>2026</v>
      </c>
      <c r="AK10" s="100">
        <f t="shared" si="22"/>
        <v>405.20000000000005</v>
      </c>
      <c r="AL10" s="96">
        <v>158943</v>
      </c>
      <c r="AM10" s="94">
        <f t="shared" si="23"/>
        <v>451</v>
      </c>
      <c r="AN10" s="100">
        <f t="shared" si="24"/>
        <v>90.2</v>
      </c>
      <c r="AO10" s="96">
        <v>6983</v>
      </c>
      <c r="AP10" s="94">
        <f t="shared" si="30"/>
        <v>8</v>
      </c>
      <c r="AQ10" s="152">
        <f t="shared" si="25"/>
        <v>62.72</v>
      </c>
      <c r="AR10" s="93">
        <v>2874</v>
      </c>
      <c r="AS10" s="94">
        <f t="shared" si="26"/>
        <v>1</v>
      </c>
      <c r="AT10" s="100">
        <f t="shared" si="9"/>
        <v>7.84</v>
      </c>
      <c r="AU10" s="93">
        <v>188</v>
      </c>
      <c r="AV10" s="94">
        <f t="shared" si="27"/>
        <v>0</v>
      </c>
      <c r="AW10" s="100">
        <f t="shared" si="28"/>
        <v>0</v>
      </c>
    </row>
    <row r="11" spans="1:50" s="3" customFormat="1" ht="27.95" customHeight="1" x14ac:dyDescent="0.25">
      <c r="A11" s="104">
        <v>45480</v>
      </c>
      <c r="B11" s="96">
        <v>19666791</v>
      </c>
      <c r="C11" s="94">
        <f t="shared" si="3"/>
        <v>7467</v>
      </c>
      <c r="D11" s="94">
        <v>20494442</v>
      </c>
      <c r="E11" s="94">
        <f t="shared" si="10"/>
        <v>6717</v>
      </c>
      <c r="F11" s="94">
        <v>462666</v>
      </c>
      <c r="G11" s="94">
        <f t="shared" si="11"/>
        <v>106</v>
      </c>
      <c r="H11" s="95">
        <f t="shared" si="0"/>
        <v>14290</v>
      </c>
      <c r="I11" s="115">
        <f t="shared" si="1"/>
        <v>2858</v>
      </c>
      <c r="J11" s="96">
        <v>87832</v>
      </c>
      <c r="K11" s="94">
        <f t="shared" si="12"/>
        <v>93</v>
      </c>
      <c r="L11" s="78">
        <f t="shared" si="2"/>
        <v>729.12</v>
      </c>
      <c r="M11" s="93">
        <v>37146</v>
      </c>
      <c r="N11" s="94">
        <f t="shared" si="13"/>
        <v>17</v>
      </c>
      <c r="O11" s="94">
        <v>21849</v>
      </c>
      <c r="P11" s="97">
        <f t="shared" si="14"/>
        <v>16</v>
      </c>
      <c r="Q11" s="97">
        <f t="shared" si="4"/>
        <v>33</v>
      </c>
      <c r="R11" s="98">
        <v>55101</v>
      </c>
      <c r="S11" s="97">
        <f>IF(ISBLANK(R11),"0",R11-R10)</f>
        <v>32</v>
      </c>
      <c r="T11" s="108">
        <f t="shared" si="5"/>
        <v>33.782400000000003</v>
      </c>
      <c r="U11" s="106">
        <f t="shared" si="6"/>
        <v>582.97252000000003</v>
      </c>
      <c r="V11" s="93">
        <v>70181</v>
      </c>
      <c r="W11" s="94">
        <f t="shared" si="16"/>
        <v>36</v>
      </c>
      <c r="X11" s="99">
        <f t="shared" si="29"/>
        <v>10236.420000000002</v>
      </c>
      <c r="Y11" s="99">
        <f t="shared" si="7"/>
        <v>3523.3757640000008</v>
      </c>
      <c r="Z11" s="182">
        <f t="shared" si="17"/>
        <v>4243.4694354838712</v>
      </c>
      <c r="AA11" s="77">
        <f t="shared" si="8"/>
        <v>7766.8451994838724</v>
      </c>
      <c r="AB11" s="98">
        <v>7109289</v>
      </c>
      <c r="AC11" s="162">
        <f t="shared" si="18"/>
        <v>12651</v>
      </c>
      <c r="AD11" s="146">
        <v>0.83489999999999998</v>
      </c>
      <c r="AE11" s="152">
        <v>313</v>
      </c>
      <c r="AF11" s="93">
        <v>13806108</v>
      </c>
      <c r="AG11" s="94">
        <f t="shared" si="19"/>
        <v>4709</v>
      </c>
      <c r="AH11" s="100">
        <f t="shared" si="20"/>
        <v>941.80000000000007</v>
      </c>
      <c r="AI11" s="93">
        <v>6388177</v>
      </c>
      <c r="AJ11" s="94">
        <f t="shared" si="21"/>
        <v>2045</v>
      </c>
      <c r="AK11" s="100">
        <f t="shared" si="22"/>
        <v>409</v>
      </c>
      <c r="AL11" s="96">
        <v>159391</v>
      </c>
      <c r="AM11" s="94">
        <f t="shared" si="23"/>
        <v>448</v>
      </c>
      <c r="AN11" s="100">
        <f t="shared" si="24"/>
        <v>89.600000000000009</v>
      </c>
      <c r="AO11" s="96">
        <v>6990</v>
      </c>
      <c r="AP11" s="94">
        <f t="shared" si="30"/>
        <v>7</v>
      </c>
      <c r="AQ11" s="152">
        <f t="shared" si="25"/>
        <v>54.879999999999995</v>
      </c>
      <c r="AR11" s="93">
        <v>2874</v>
      </c>
      <c r="AS11" s="94">
        <f t="shared" si="26"/>
        <v>0</v>
      </c>
      <c r="AT11" s="100">
        <f t="shared" si="9"/>
        <v>0</v>
      </c>
      <c r="AU11" s="93">
        <v>189</v>
      </c>
      <c r="AV11" s="94">
        <f t="shared" si="27"/>
        <v>1</v>
      </c>
      <c r="AW11" s="100">
        <f t="shared" si="28"/>
        <v>7.84</v>
      </c>
    </row>
    <row r="12" spans="1:50" s="3" customFormat="1" ht="27.95" customHeight="1" x14ac:dyDescent="0.25">
      <c r="A12" s="104">
        <v>45481</v>
      </c>
      <c r="B12" s="96">
        <v>19674301</v>
      </c>
      <c r="C12" s="94">
        <f t="shared" si="3"/>
        <v>7510</v>
      </c>
      <c r="D12" s="94">
        <v>20501194</v>
      </c>
      <c r="E12" s="94">
        <f t="shared" si="10"/>
        <v>6752</v>
      </c>
      <c r="F12" s="94">
        <v>462773</v>
      </c>
      <c r="G12" s="94">
        <f t="shared" si="11"/>
        <v>107</v>
      </c>
      <c r="H12" s="95">
        <f t="shared" si="0"/>
        <v>14369</v>
      </c>
      <c r="I12" s="115">
        <f>H12*0.2</f>
        <v>2873.8</v>
      </c>
      <c r="J12" s="96">
        <v>87941</v>
      </c>
      <c r="K12" s="94">
        <f t="shared" si="12"/>
        <v>109</v>
      </c>
      <c r="L12" s="78">
        <f t="shared" si="2"/>
        <v>854.56</v>
      </c>
      <c r="M12" s="93">
        <v>37164</v>
      </c>
      <c r="N12" s="94">
        <f t="shared" si="13"/>
        <v>18</v>
      </c>
      <c r="O12" s="94">
        <v>21862</v>
      </c>
      <c r="P12" s="97">
        <f t="shared" si="14"/>
        <v>13</v>
      </c>
      <c r="Q12" s="97">
        <f t="shared" si="4"/>
        <v>31</v>
      </c>
      <c r="R12" s="98">
        <v>55133</v>
      </c>
      <c r="S12" s="97">
        <f t="shared" si="15"/>
        <v>32</v>
      </c>
      <c r="T12" s="108">
        <f t="shared" si="5"/>
        <v>33.782400000000003</v>
      </c>
      <c r="U12" s="106">
        <f t="shared" si="6"/>
        <v>582.97252000000003</v>
      </c>
      <c r="V12" s="93">
        <v>70223</v>
      </c>
      <c r="W12" s="94">
        <f t="shared" si="16"/>
        <v>42</v>
      </c>
      <c r="X12" s="99">
        <f t="shared" si="29"/>
        <v>11942.490000000002</v>
      </c>
      <c r="Y12" s="99">
        <f t="shared" si="7"/>
        <v>4110.605058000001</v>
      </c>
      <c r="Z12" s="182">
        <f t="shared" si="17"/>
        <v>4243.4694354838712</v>
      </c>
      <c r="AA12" s="77">
        <f t="shared" si="8"/>
        <v>8354.0744934838731</v>
      </c>
      <c r="AB12" s="98">
        <v>7124262</v>
      </c>
      <c r="AC12" s="162">
        <f t="shared" si="18"/>
        <v>14973</v>
      </c>
      <c r="AD12" s="148">
        <v>0.9778</v>
      </c>
      <c r="AE12" s="152">
        <v>368</v>
      </c>
      <c r="AF12" s="93">
        <v>13811934</v>
      </c>
      <c r="AG12" s="94">
        <f t="shared" si="19"/>
        <v>5826</v>
      </c>
      <c r="AH12" s="100">
        <f t="shared" si="20"/>
        <v>1165.2</v>
      </c>
      <c r="AI12" s="93">
        <v>6390373</v>
      </c>
      <c r="AJ12" s="94">
        <f t="shared" si="21"/>
        <v>2196</v>
      </c>
      <c r="AK12" s="100">
        <f t="shared" si="22"/>
        <v>439.20000000000005</v>
      </c>
      <c r="AL12" s="96">
        <v>159944</v>
      </c>
      <c r="AM12" s="94">
        <f t="shared" si="23"/>
        <v>553</v>
      </c>
      <c r="AN12" s="100">
        <f t="shared" si="24"/>
        <v>110.60000000000001</v>
      </c>
      <c r="AO12" s="96">
        <v>7000</v>
      </c>
      <c r="AP12" s="94">
        <f t="shared" si="30"/>
        <v>10</v>
      </c>
      <c r="AQ12" s="152">
        <f t="shared" si="25"/>
        <v>78.400000000000006</v>
      </c>
      <c r="AR12" s="93">
        <v>2875</v>
      </c>
      <c r="AS12" s="94">
        <f t="shared" si="26"/>
        <v>1</v>
      </c>
      <c r="AT12" s="100">
        <f t="shared" si="9"/>
        <v>7.84</v>
      </c>
      <c r="AU12" s="188">
        <v>0</v>
      </c>
      <c r="AV12" s="189">
        <v>0</v>
      </c>
      <c r="AW12" s="190">
        <f t="shared" si="28"/>
        <v>0</v>
      </c>
      <c r="AX12" s="191" t="s">
        <v>102</v>
      </c>
    </row>
    <row r="13" spans="1:50" s="3" customFormat="1" ht="27.95" customHeight="1" x14ac:dyDescent="0.25">
      <c r="A13" s="104">
        <v>45482</v>
      </c>
      <c r="B13" s="96">
        <v>19681681</v>
      </c>
      <c r="C13" s="94">
        <f t="shared" si="3"/>
        <v>7380</v>
      </c>
      <c r="D13" s="94">
        <v>20507907</v>
      </c>
      <c r="E13" s="94">
        <f t="shared" si="10"/>
        <v>6713</v>
      </c>
      <c r="F13" s="94">
        <v>462873</v>
      </c>
      <c r="G13" s="94">
        <f t="shared" si="11"/>
        <v>100</v>
      </c>
      <c r="H13" s="95">
        <f t="shared" si="0"/>
        <v>14193</v>
      </c>
      <c r="I13" s="115">
        <f t="shared" si="1"/>
        <v>2838.6000000000004</v>
      </c>
      <c r="J13" s="96">
        <v>88053</v>
      </c>
      <c r="K13" s="94">
        <f t="shared" si="12"/>
        <v>112</v>
      </c>
      <c r="L13" s="78">
        <f t="shared" si="2"/>
        <v>878.07999999999993</v>
      </c>
      <c r="M13" s="93">
        <v>37183</v>
      </c>
      <c r="N13" s="94">
        <f t="shared" si="13"/>
        <v>19</v>
      </c>
      <c r="O13" s="94">
        <v>21875</v>
      </c>
      <c r="P13" s="97">
        <f t="shared" si="14"/>
        <v>13</v>
      </c>
      <c r="Q13" s="97">
        <f t="shared" si="4"/>
        <v>32</v>
      </c>
      <c r="R13" s="98">
        <v>55165</v>
      </c>
      <c r="S13" s="97">
        <f t="shared" si="15"/>
        <v>32</v>
      </c>
      <c r="T13" s="108">
        <f t="shared" si="5"/>
        <v>33.782400000000003</v>
      </c>
      <c r="U13" s="106">
        <f t="shared" si="6"/>
        <v>582.97252000000003</v>
      </c>
      <c r="V13" s="93">
        <v>70264</v>
      </c>
      <c r="W13" s="94">
        <f t="shared" si="16"/>
        <v>41</v>
      </c>
      <c r="X13" s="99">
        <f t="shared" si="29"/>
        <v>11658.145</v>
      </c>
      <c r="Y13" s="99">
        <f t="shared" si="7"/>
        <v>4012.7335090000001</v>
      </c>
      <c r="Z13" s="182">
        <f t="shared" si="17"/>
        <v>4243.4694354838712</v>
      </c>
      <c r="AA13" s="77">
        <f t="shared" si="8"/>
        <v>8256.2029444838718</v>
      </c>
      <c r="AB13" s="98">
        <v>7139375</v>
      </c>
      <c r="AC13" s="162">
        <f t="shared" si="18"/>
        <v>15113</v>
      </c>
      <c r="AD13" s="146">
        <v>0.97140000000000004</v>
      </c>
      <c r="AE13" s="152">
        <v>368</v>
      </c>
      <c r="AF13" s="93">
        <v>13817757</v>
      </c>
      <c r="AG13" s="94">
        <f t="shared" si="19"/>
        <v>5823</v>
      </c>
      <c r="AH13" s="100">
        <f t="shared" si="20"/>
        <v>1164.6000000000001</v>
      </c>
      <c r="AI13" s="93">
        <v>6392589</v>
      </c>
      <c r="AJ13" s="94">
        <f t="shared" si="21"/>
        <v>2216</v>
      </c>
      <c r="AK13" s="100">
        <f t="shared" si="22"/>
        <v>443.20000000000005</v>
      </c>
      <c r="AL13" s="96">
        <v>160517</v>
      </c>
      <c r="AM13" s="94">
        <f t="shared" si="23"/>
        <v>573</v>
      </c>
      <c r="AN13" s="100">
        <f t="shared" si="24"/>
        <v>114.60000000000001</v>
      </c>
      <c r="AO13" s="96">
        <v>7009</v>
      </c>
      <c r="AP13" s="94">
        <f t="shared" si="30"/>
        <v>9</v>
      </c>
      <c r="AQ13" s="152">
        <f t="shared" si="25"/>
        <v>70.56</v>
      </c>
      <c r="AR13" s="93">
        <v>2877</v>
      </c>
      <c r="AS13" s="94">
        <f t="shared" si="26"/>
        <v>2</v>
      </c>
      <c r="AT13" s="100">
        <f t="shared" si="9"/>
        <v>15.68</v>
      </c>
      <c r="AU13" s="93">
        <v>2</v>
      </c>
      <c r="AV13" s="94">
        <f t="shared" si="27"/>
        <v>2</v>
      </c>
      <c r="AW13" s="100">
        <f t="shared" si="28"/>
        <v>15.68</v>
      </c>
    </row>
    <row r="14" spans="1:50" s="3" customFormat="1" ht="27.95" customHeight="1" x14ac:dyDescent="0.25">
      <c r="A14" s="104">
        <v>45483</v>
      </c>
      <c r="B14" s="96">
        <v>19689148</v>
      </c>
      <c r="C14" s="94">
        <f t="shared" si="3"/>
        <v>7467</v>
      </c>
      <c r="D14" s="94">
        <v>20514724</v>
      </c>
      <c r="E14" s="94">
        <f t="shared" si="10"/>
        <v>6817</v>
      </c>
      <c r="F14" s="94">
        <v>462978</v>
      </c>
      <c r="G14" s="94">
        <f t="shared" si="11"/>
        <v>105</v>
      </c>
      <c r="H14" s="95">
        <f t="shared" si="0"/>
        <v>14389</v>
      </c>
      <c r="I14" s="115">
        <f t="shared" si="1"/>
        <v>2877.8</v>
      </c>
      <c r="J14" s="96">
        <v>88169</v>
      </c>
      <c r="K14" s="94">
        <f t="shared" si="12"/>
        <v>116</v>
      </c>
      <c r="L14" s="78">
        <f t="shared" si="2"/>
        <v>909.43999999999994</v>
      </c>
      <c r="M14" s="93">
        <v>37201</v>
      </c>
      <c r="N14" s="94">
        <f t="shared" si="13"/>
        <v>18</v>
      </c>
      <c r="O14" s="94">
        <v>21887</v>
      </c>
      <c r="P14" s="97">
        <f>IF(ISBLANK(O14),"0",O14-O13)</f>
        <v>12</v>
      </c>
      <c r="Q14" s="97">
        <f t="shared" si="4"/>
        <v>30</v>
      </c>
      <c r="R14" s="98">
        <v>55196</v>
      </c>
      <c r="S14" s="97">
        <f t="shared" si="15"/>
        <v>31</v>
      </c>
      <c r="T14" s="108">
        <f t="shared" si="5"/>
        <v>32.726700000000001</v>
      </c>
      <c r="U14" s="106">
        <f t="shared" si="6"/>
        <v>571.30703500000004</v>
      </c>
      <c r="V14" s="93">
        <v>70304</v>
      </c>
      <c r="W14" s="94">
        <f t="shared" si="16"/>
        <v>40</v>
      </c>
      <c r="X14" s="99">
        <f t="shared" si="29"/>
        <v>11373.800000000001</v>
      </c>
      <c r="Y14" s="99">
        <f t="shared" si="7"/>
        <v>3914.8619600000006</v>
      </c>
      <c r="Z14" s="182">
        <f t="shared" si="17"/>
        <v>4243.4694354838712</v>
      </c>
      <c r="AA14" s="77">
        <f t="shared" si="8"/>
        <v>8158.3313954838723</v>
      </c>
      <c r="AB14" s="98">
        <v>7153876</v>
      </c>
      <c r="AC14" s="162">
        <f t="shared" si="18"/>
        <v>14501</v>
      </c>
      <c r="AD14" s="146">
        <v>0.96189999999999998</v>
      </c>
      <c r="AE14" s="152">
        <v>365</v>
      </c>
      <c r="AF14" s="93">
        <v>13823677</v>
      </c>
      <c r="AG14" s="94">
        <f t="shared" si="19"/>
        <v>5920</v>
      </c>
      <c r="AH14" s="100">
        <f t="shared" si="20"/>
        <v>1184</v>
      </c>
      <c r="AI14" s="93">
        <v>6394780</v>
      </c>
      <c r="AJ14" s="94">
        <f t="shared" si="21"/>
        <v>2191</v>
      </c>
      <c r="AK14" s="100">
        <f t="shared" si="22"/>
        <v>438.20000000000005</v>
      </c>
      <c r="AL14" s="96">
        <v>161022</v>
      </c>
      <c r="AM14" s="94">
        <f t="shared" si="23"/>
        <v>505</v>
      </c>
      <c r="AN14" s="100">
        <f t="shared" si="24"/>
        <v>101</v>
      </c>
      <c r="AO14" s="96">
        <v>7018</v>
      </c>
      <c r="AP14" s="94">
        <f t="shared" si="30"/>
        <v>9</v>
      </c>
      <c r="AQ14" s="152">
        <f t="shared" si="25"/>
        <v>70.56</v>
      </c>
      <c r="AR14" s="93">
        <v>2878</v>
      </c>
      <c r="AS14" s="94">
        <f t="shared" si="26"/>
        <v>1</v>
      </c>
      <c r="AT14" s="100">
        <f t="shared" si="9"/>
        <v>7.84</v>
      </c>
      <c r="AU14" s="93">
        <v>3</v>
      </c>
      <c r="AV14" s="94">
        <f t="shared" si="27"/>
        <v>1</v>
      </c>
      <c r="AW14" s="100">
        <f t="shared" si="28"/>
        <v>7.84</v>
      </c>
    </row>
    <row r="15" spans="1:50" s="3" customFormat="1" ht="27.95" customHeight="1" x14ac:dyDescent="0.25">
      <c r="A15" s="104">
        <v>45484</v>
      </c>
      <c r="B15" s="96">
        <v>19696560</v>
      </c>
      <c r="C15" s="94">
        <f t="shared" si="3"/>
        <v>7412</v>
      </c>
      <c r="D15" s="94">
        <v>20521392</v>
      </c>
      <c r="E15" s="94">
        <f t="shared" si="10"/>
        <v>6668</v>
      </c>
      <c r="F15" s="94">
        <v>463082</v>
      </c>
      <c r="G15" s="94">
        <f t="shared" si="11"/>
        <v>104</v>
      </c>
      <c r="H15" s="95">
        <f t="shared" si="0"/>
        <v>14184</v>
      </c>
      <c r="I15" s="115">
        <f t="shared" si="1"/>
        <v>2836.8</v>
      </c>
      <c r="J15" s="96">
        <v>88283</v>
      </c>
      <c r="K15" s="94">
        <f t="shared" si="12"/>
        <v>114</v>
      </c>
      <c r="L15" s="78">
        <f t="shared" si="2"/>
        <v>893.76</v>
      </c>
      <c r="M15" s="93">
        <v>37219</v>
      </c>
      <c r="N15" s="94">
        <f t="shared" si="13"/>
        <v>18</v>
      </c>
      <c r="O15" s="94">
        <v>21903</v>
      </c>
      <c r="P15" s="97">
        <f t="shared" si="14"/>
        <v>16</v>
      </c>
      <c r="Q15" s="97">
        <f t="shared" si="4"/>
        <v>34</v>
      </c>
      <c r="R15" s="98">
        <v>55230</v>
      </c>
      <c r="S15" s="97">
        <f t="shared" si="15"/>
        <v>34</v>
      </c>
      <c r="T15" s="108">
        <f t="shared" si="5"/>
        <v>35.893800000000006</v>
      </c>
      <c r="U15" s="106">
        <f t="shared" si="6"/>
        <v>606.30349000000012</v>
      </c>
      <c r="V15" s="93">
        <v>70345</v>
      </c>
      <c r="W15" s="94">
        <f t="shared" si="16"/>
        <v>41</v>
      </c>
      <c r="X15" s="99">
        <f t="shared" si="29"/>
        <v>11658.145</v>
      </c>
      <c r="Y15" s="99">
        <f t="shared" si="7"/>
        <v>4012.7335090000001</v>
      </c>
      <c r="Z15" s="182">
        <f t="shared" si="17"/>
        <v>4243.4694354838712</v>
      </c>
      <c r="AA15" s="77">
        <f t="shared" si="8"/>
        <v>8256.2029444838718</v>
      </c>
      <c r="AB15" s="98">
        <v>7168746</v>
      </c>
      <c r="AC15" s="162">
        <f t="shared" si="18"/>
        <v>14870</v>
      </c>
      <c r="AD15" s="146">
        <v>0.83169999999999999</v>
      </c>
      <c r="AE15" s="152">
        <v>325</v>
      </c>
      <c r="AF15" s="93">
        <v>13829550</v>
      </c>
      <c r="AG15" s="94">
        <f t="shared" si="19"/>
        <v>5873</v>
      </c>
      <c r="AH15" s="100">
        <f t="shared" si="20"/>
        <v>1174.6000000000001</v>
      </c>
      <c r="AI15" s="93">
        <v>6396976</v>
      </c>
      <c r="AJ15" s="94">
        <f t="shared" si="21"/>
        <v>2196</v>
      </c>
      <c r="AK15" s="100">
        <f t="shared" si="22"/>
        <v>439.20000000000005</v>
      </c>
      <c r="AL15" s="96">
        <v>161544</v>
      </c>
      <c r="AM15" s="94">
        <f t="shared" si="23"/>
        <v>522</v>
      </c>
      <c r="AN15" s="100">
        <f t="shared" si="24"/>
        <v>104.4</v>
      </c>
      <c r="AO15" s="96">
        <v>7029</v>
      </c>
      <c r="AP15" s="94">
        <f t="shared" si="30"/>
        <v>11</v>
      </c>
      <c r="AQ15" s="152">
        <f t="shared" si="25"/>
        <v>86.24</v>
      </c>
      <c r="AR15" s="93">
        <v>2879</v>
      </c>
      <c r="AS15" s="94">
        <f t="shared" si="26"/>
        <v>1</v>
      </c>
      <c r="AT15" s="100">
        <f t="shared" si="9"/>
        <v>7.84</v>
      </c>
      <c r="AU15" s="93">
        <v>4</v>
      </c>
      <c r="AV15" s="94">
        <f t="shared" si="27"/>
        <v>1</v>
      </c>
      <c r="AW15" s="100">
        <f t="shared" si="28"/>
        <v>7.84</v>
      </c>
    </row>
    <row r="16" spans="1:50" s="3" customFormat="1" ht="27.95" customHeight="1" x14ac:dyDescent="0.25">
      <c r="A16" s="104">
        <v>45485</v>
      </c>
      <c r="B16" s="96">
        <v>19703879</v>
      </c>
      <c r="C16" s="94">
        <f t="shared" si="3"/>
        <v>7319</v>
      </c>
      <c r="D16" s="94">
        <v>20527974</v>
      </c>
      <c r="E16" s="94">
        <f t="shared" si="10"/>
        <v>6582</v>
      </c>
      <c r="F16" s="94">
        <v>463187</v>
      </c>
      <c r="G16" s="94">
        <f t="shared" si="11"/>
        <v>105</v>
      </c>
      <c r="H16" s="95">
        <f t="shared" si="0"/>
        <v>14006</v>
      </c>
      <c r="I16" s="115">
        <f t="shared" si="1"/>
        <v>2801.2000000000003</v>
      </c>
      <c r="J16" s="96">
        <v>88390</v>
      </c>
      <c r="K16" s="94">
        <f t="shared" si="12"/>
        <v>107</v>
      </c>
      <c r="L16" s="78">
        <f t="shared" si="2"/>
        <v>838.88</v>
      </c>
      <c r="M16" s="93">
        <v>37238</v>
      </c>
      <c r="N16" s="94">
        <f t="shared" si="13"/>
        <v>19</v>
      </c>
      <c r="O16" s="94">
        <v>21918</v>
      </c>
      <c r="P16" s="97">
        <f t="shared" si="14"/>
        <v>15</v>
      </c>
      <c r="Q16" s="97">
        <f t="shared" si="4"/>
        <v>34</v>
      </c>
      <c r="R16" s="98">
        <v>55265</v>
      </c>
      <c r="S16" s="97">
        <f t="shared" si="15"/>
        <v>35</v>
      </c>
      <c r="T16" s="108">
        <f t="shared" si="5"/>
        <v>36.9495</v>
      </c>
      <c r="U16" s="106">
        <f t="shared" si="6"/>
        <v>617.968975</v>
      </c>
      <c r="V16" s="93">
        <v>70384</v>
      </c>
      <c r="W16" s="94">
        <f t="shared" si="16"/>
        <v>39</v>
      </c>
      <c r="X16" s="99">
        <f t="shared" si="29"/>
        <v>11089.455000000002</v>
      </c>
      <c r="Y16" s="99">
        <f t="shared" si="7"/>
        <v>3816.9904110000007</v>
      </c>
      <c r="Z16" s="182">
        <f t="shared" si="17"/>
        <v>4243.4694354838712</v>
      </c>
      <c r="AA16" s="77">
        <f t="shared" si="8"/>
        <v>8060.4598464838718</v>
      </c>
      <c r="AB16" s="98">
        <v>7183142</v>
      </c>
      <c r="AC16" s="162">
        <f t="shared" si="18"/>
        <v>14396</v>
      </c>
      <c r="AD16" s="146">
        <v>0.53969999999999996</v>
      </c>
      <c r="AE16" s="152">
        <v>231</v>
      </c>
      <c r="AF16" s="93">
        <v>13835299</v>
      </c>
      <c r="AG16" s="94">
        <f t="shared" si="19"/>
        <v>5749</v>
      </c>
      <c r="AH16" s="100">
        <f t="shared" si="20"/>
        <v>1149.8</v>
      </c>
      <c r="AI16" s="93">
        <v>6399101</v>
      </c>
      <c r="AJ16" s="94">
        <f t="shared" si="21"/>
        <v>2125</v>
      </c>
      <c r="AK16" s="100">
        <f t="shared" si="22"/>
        <v>425</v>
      </c>
      <c r="AL16" s="96">
        <v>162083</v>
      </c>
      <c r="AM16" s="94">
        <f t="shared" si="23"/>
        <v>539</v>
      </c>
      <c r="AN16" s="100">
        <f t="shared" si="24"/>
        <v>107.80000000000001</v>
      </c>
      <c r="AO16" s="96">
        <v>7040</v>
      </c>
      <c r="AP16" s="94">
        <f t="shared" si="30"/>
        <v>11</v>
      </c>
      <c r="AQ16" s="152">
        <f t="shared" si="25"/>
        <v>86.24</v>
      </c>
      <c r="AR16" s="93">
        <v>2879</v>
      </c>
      <c r="AS16" s="94">
        <f t="shared" si="26"/>
        <v>0</v>
      </c>
      <c r="AT16" s="100">
        <f t="shared" si="9"/>
        <v>0</v>
      </c>
      <c r="AU16" s="93">
        <v>5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45486</v>
      </c>
      <c r="B17" s="96">
        <v>19711245</v>
      </c>
      <c r="C17" s="94">
        <f t="shared" si="3"/>
        <v>7366</v>
      </c>
      <c r="D17" s="94">
        <v>20534267</v>
      </c>
      <c r="E17" s="94">
        <f t="shared" si="10"/>
        <v>6293</v>
      </c>
      <c r="F17" s="94">
        <v>463293</v>
      </c>
      <c r="G17" s="94">
        <f t="shared" si="11"/>
        <v>106</v>
      </c>
      <c r="H17" s="95">
        <f t="shared" si="0"/>
        <v>13765</v>
      </c>
      <c r="I17" s="115">
        <f t="shared" si="1"/>
        <v>2753</v>
      </c>
      <c r="J17" s="96">
        <v>88494</v>
      </c>
      <c r="K17" s="94">
        <f t="shared" si="12"/>
        <v>104</v>
      </c>
      <c r="L17" s="78">
        <f t="shared" si="2"/>
        <v>815.36</v>
      </c>
      <c r="M17" s="93">
        <v>37257</v>
      </c>
      <c r="N17" s="94">
        <f t="shared" si="13"/>
        <v>19</v>
      </c>
      <c r="O17" s="94">
        <v>21935</v>
      </c>
      <c r="P17" s="97">
        <f t="shared" si="14"/>
        <v>17</v>
      </c>
      <c r="Q17" s="97">
        <f t="shared" si="4"/>
        <v>36</v>
      </c>
      <c r="R17" s="98">
        <v>55302</v>
      </c>
      <c r="S17" s="97">
        <f t="shared" si="15"/>
        <v>37</v>
      </c>
      <c r="T17" s="108">
        <f t="shared" si="5"/>
        <v>39.060900000000004</v>
      </c>
      <c r="U17" s="106">
        <f t="shared" si="6"/>
        <v>641.29994500000009</v>
      </c>
      <c r="V17" s="93">
        <v>70419</v>
      </c>
      <c r="W17" s="94">
        <f t="shared" si="16"/>
        <v>35</v>
      </c>
      <c r="X17" s="99">
        <f t="shared" si="29"/>
        <v>9952.0750000000007</v>
      </c>
      <c r="Y17" s="99">
        <f t="shared" si="7"/>
        <v>3425.5042150000004</v>
      </c>
      <c r="Z17" s="182">
        <f t="shared" si="17"/>
        <v>4243.4694354838712</v>
      </c>
      <c r="AA17" s="77">
        <f t="shared" si="8"/>
        <v>7668.9736504838711</v>
      </c>
      <c r="AB17" s="98">
        <v>7195813</v>
      </c>
      <c r="AC17" s="162">
        <f t="shared" si="18"/>
        <v>12671</v>
      </c>
      <c r="AD17" s="148">
        <v>0.59370000000000001</v>
      </c>
      <c r="AE17" s="152">
        <v>266</v>
      </c>
      <c r="AF17" s="93">
        <v>13840353</v>
      </c>
      <c r="AG17" s="94">
        <f t="shared" si="19"/>
        <v>5054</v>
      </c>
      <c r="AH17" s="100">
        <f t="shared" si="20"/>
        <v>1010.8000000000001</v>
      </c>
      <c r="AI17" s="93">
        <v>6401134</v>
      </c>
      <c r="AJ17" s="94">
        <f t="shared" si="21"/>
        <v>2033</v>
      </c>
      <c r="AK17" s="100">
        <f t="shared" si="22"/>
        <v>406.6</v>
      </c>
      <c r="AL17" s="96">
        <v>162523</v>
      </c>
      <c r="AM17" s="94">
        <f t="shared" si="23"/>
        <v>440</v>
      </c>
      <c r="AN17" s="100">
        <f t="shared" si="24"/>
        <v>88</v>
      </c>
      <c r="AO17" s="96">
        <v>7049</v>
      </c>
      <c r="AP17" s="94">
        <f t="shared" si="30"/>
        <v>9</v>
      </c>
      <c r="AQ17" s="152">
        <f t="shared" si="25"/>
        <v>70.56</v>
      </c>
      <c r="AR17" s="93">
        <v>2879</v>
      </c>
      <c r="AS17" s="94">
        <f t="shared" si="26"/>
        <v>0</v>
      </c>
      <c r="AT17" s="100">
        <f t="shared" si="9"/>
        <v>0</v>
      </c>
      <c r="AU17" s="93">
        <v>6</v>
      </c>
      <c r="AV17" s="94">
        <f t="shared" si="27"/>
        <v>1</v>
      </c>
      <c r="AW17" s="100">
        <f t="shared" si="28"/>
        <v>7.84</v>
      </c>
    </row>
    <row r="18" spans="1:49" s="3" customFormat="1" ht="27.95" customHeight="1" x14ac:dyDescent="0.25">
      <c r="A18" s="104">
        <v>45487</v>
      </c>
      <c r="B18" s="96">
        <v>19718574</v>
      </c>
      <c r="C18" s="94">
        <f t="shared" si="3"/>
        <v>7329</v>
      </c>
      <c r="D18" s="94">
        <v>20540454</v>
      </c>
      <c r="E18" s="94">
        <f t="shared" si="10"/>
        <v>6187</v>
      </c>
      <c r="F18" s="94">
        <v>463391</v>
      </c>
      <c r="G18" s="94">
        <f t="shared" si="11"/>
        <v>98</v>
      </c>
      <c r="H18" s="95">
        <f t="shared" si="0"/>
        <v>13614</v>
      </c>
      <c r="I18" s="115">
        <f t="shared" si="1"/>
        <v>2722.8</v>
      </c>
      <c r="J18" s="96">
        <v>88586</v>
      </c>
      <c r="K18" s="94">
        <f t="shared" si="12"/>
        <v>92</v>
      </c>
      <c r="L18" s="78">
        <f t="shared" si="2"/>
        <v>721.28</v>
      </c>
      <c r="M18" s="93">
        <v>37275</v>
      </c>
      <c r="N18" s="94">
        <f t="shared" si="13"/>
        <v>18</v>
      </c>
      <c r="O18" s="94">
        <v>21950</v>
      </c>
      <c r="P18" s="97">
        <f t="shared" si="14"/>
        <v>15</v>
      </c>
      <c r="Q18" s="97">
        <f t="shared" si="4"/>
        <v>33</v>
      </c>
      <c r="R18" s="98">
        <v>55334</v>
      </c>
      <c r="S18" s="97">
        <f t="shared" si="15"/>
        <v>32</v>
      </c>
      <c r="T18" s="108">
        <f t="shared" si="5"/>
        <v>33.782400000000003</v>
      </c>
      <c r="U18" s="106">
        <f t="shared" si="6"/>
        <v>582.97252000000003</v>
      </c>
      <c r="V18" s="93">
        <v>70457</v>
      </c>
      <c r="W18" s="94">
        <f t="shared" si="16"/>
        <v>38</v>
      </c>
      <c r="X18" s="99">
        <f t="shared" si="29"/>
        <v>10805.11</v>
      </c>
      <c r="Y18" s="99">
        <f t="shared" si="7"/>
        <v>3719.1188620000003</v>
      </c>
      <c r="Z18" s="182">
        <f t="shared" si="17"/>
        <v>4243.4694354838712</v>
      </c>
      <c r="AA18" s="77">
        <f t="shared" si="8"/>
        <v>7962.5882974838714</v>
      </c>
      <c r="AB18" s="98">
        <v>7209168</v>
      </c>
      <c r="AC18" s="162">
        <f t="shared" si="18"/>
        <v>13355</v>
      </c>
      <c r="AD18" s="146">
        <v>0.73970000000000002</v>
      </c>
      <c r="AE18" s="152">
        <v>306</v>
      </c>
      <c r="AF18" s="93">
        <v>13845370</v>
      </c>
      <c r="AG18" s="94">
        <f t="shared" si="19"/>
        <v>5017</v>
      </c>
      <c r="AH18" s="100">
        <f t="shared" si="20"/>
        <v>1003.4000000000001</v>
      </c>
      <c r="AI18" s="93">
        <v>6403168</v>
      </c>
      <c r="AJ18" s="94">
        <f t="shared" si="21"/>
        <v>2034</v>
      </c>
      <c r="AK18" s="100">
        <f t="shared" si="22"/>
        <v>406.8</v>
      </c>
      <c r="AL18" s="96">
        <v>163005</v>
      </c>
      <c r="AM18" s="94">
        <f t="shared" si="23"/>
        <v>482</v>
      </c>
      <c r="AN18" s="100">
        <f t="shared" si="24"/>
        <v>96.4</v>
      </c>
      <c r="AO18" s="96">
        <v>7057</v>
      </c>
      <c r="AP18" s="94">
        <f t="shared" si="30"/>
        <v>8</v>
      </c>
      <c r="AQ18" s="152">
        <f t="shared" si="25"/>
        <v>62.72</v>
      </c>
      <c r="AR18" s="93">
        <v>2879</v>
      </c>
      <c r="AS18" s="94">
        <f t="shared" si="26"/>
        <v>0</v>
      </c>
      <c r="AT18" s="100">
        <f t="shared" si="9"/>
        <v>0</v>
      </c>
      <c r="AU18" s="93">
        <v>7</v>
      </c>
      <c r="AV18" s="94">
        <f t="shared" si="27"/>
        <v>1</v>
      </c>
      <c r="AW18" s="100">
        <f t="shared" si="28"/>
        <v>7.84</v>
      </c>
    </row>
    <row r="19" spans="1:49" s="3" customFormat="1" ht="27.95" customHeight="1" x14ac:dyDescent="0.25">
      <c r="A19" s="104">
        <v>45488</v>
      </c>
      <c r="B19" s="96">
        <v>19726047</v>
      </c>
      <c r="C19" s="94">
        <f t="shared" si="3"/>
        <v>7473</v>
      </c>
      <c r="D19" s="94">
        <v>20546903</v>
      </c>
      <c r="E19" s="94">
        <f t="shared" si="10"/>
        <v>6449</v>
      </c>
      <c r="F19" s="94">
        <v>463494</v>
      </c>
      <c r="G19" s="94">
        <f t="shared" si="11"/>
        <v>103</v>
      </c>
      <c r="H19" s="95">
        <f t="shared" si="0"/>
        <v>14025</v>
      </c>
      <c r="I19" s="115">
        <f t="shared" si="1"/>
        <v>2805</v>
      </c>
      <c r="J19" s="96">
        <v>88703</v>
      </c>
      <c r="K19" s="94">
        <f t="shared" si="12"/>
        <v>117</v>
      </c>
      <c r="L19" s="78">
        <f t="shared" si="2"/>
        <v>917.28</v>
      </c>
      <c r="M19" s="93">
        <v>37292</v>
      </c>
      <c r="N19" s="94">
        <f t="shared" si="13"/>
        <v>17</v>
      </c>
      <c r="O19" s="94">
        <v>21965</v>
      </c>
      <c r="P19" s="97">
        <f t="shared" si="14"/>
        <v>15</v>
      </c>
      <c r="Q19" s="97">
        <f t="shared" si="4"/>
        <v>32</v>
      </c>
      <c r="R19" s="98">
        <v>55366</v>
      </c>
      <c r="S19" s="97">
        <f t="shared" si="15"/>
        <v>32</v>
      </c>
      <c r="T19" s="108">
        <f t="shared" si="5"/>
        <v>33.782400000000003</v>
      </c>
      <c r="U19" s="106">
        <f t="shared" si="6"/>
        <v>582.97252000000003</v>
      </c>
      <c r="V19" s="93">
        <v>70500</v>
      </c>
      <c r="W19" s="94">
        <f t="shared" si="16"/>
        <v>43</v>
      </c>
      <c r="X19" s="99">
        <f t="shared" si="29"/>
        <v>12226.835000000001</v>
      </c>
      <c r="Y19" s="99">
        <f t="shared" si="7"/>
        <v>4208.4766070000005</v>
      </c>
      <c r="Z19" s="182">
        <f t="shared" si="17"/>
        <v>4243.4694354838712</v>
      </c>
      <c r="AA19" s="77">
        <f t="shared" si="8"/>
        <v>8451.9460424838726</v>
      </c>
      <c r="AB19" s="98">
        <v>7225100</v>
      </c>
      <c r="AC19" s="162">
        <f t="shared" si="18"/>
        <v>15932</v>
      </c>
      <c r="AD19" s="146">
        <v>0.94599999999999995</v>
      </c>
      <c r="AE19" s="152">
        <v>388</v>
      </c>
      <c r="AF19" s="93">
        <v>13851292</v>
      </c>
      <c r="AG19" s="94">
        <f t="shared" si="19"/>
        <v>5922</v>
      </c>
      <c r="AH19" s="100">
        <f t="shared" si="20"/>
        <v>1184.4000000000001</v>
      </c>
      <c r="AI19" s="93">
        <v>6405368</v>
      </c>
      <c r="AJ19" s="94">
        <f t="shared" si="21"/>
        <v>2200</v>
      </c>
      <c r="AK19" s="100">
        <f t="shared" si="22"/>
        <v>440</v>
      </c>
      <c r="AL19" s="96">
        <v>163557</v>
      </c>
      <c r="AM19" s="94">
        <f t="shared" si="23"/>
        <v>552</v>
      </c>
      <c r="AN19" s="100">
        <f t="shared" si="24"/>
        <v>110.4</v>
      </c>
      <c r="AO19" s="96">
        <v>7066</v>
      </c>
      <c r="AP19" s="94">
        <f t="shared" si="30"/>
        <v>9</v>
      </c>
      <c r="AQ19" s="152">
        <f t="shared" si="25"/>
        <v>70.56</v>
      </c>
      <c r="AR19" s="93">
        <v>2879</v>
      </c>
      <c r="AS19" s="94">
        <f t="shared" si="26"/>
        <v>0</v>
      </c>
      <c r="AT19" s="100">
        <f t="shared" si="9"/>
        <v>0</v>
      </c>
      <c r="AU19" s="93">
        <v>8</v>
      </c>
      <c r="AV19" s="94">
        <f t="shared" si="27"/>
        <v>1</v>
      </c>
      <c r="AW19" s="100">
        <f t="shared" si="28"/>
        <v>7.84</v>
      </c>
    </row>
    <row r="20" spans="1:49" s="3" customFormat="1" ht="27.95" customHeight="1" x14ac:dyDescent="0.25">
      <c r="A20" s="104">
        <v>45489</v>
      </c>
      <c r="B20" s="96">
        <v>19733799</v>
      </c>
      <c r="C20" s="94">
        <f t="shared" si="3"/>
        <v>7752</v>
      </c>
      <c r="D20" s="94">
        <v>20553433</v>
      </c>
      <c r="E20" s="94">
        <f t="shared" si="10"/>
        <v>6530</v>
      </c>
      <c r="F20" s="94">
        <v>463588</v>
      </c>
      <c r="G20" s="94">
        <f t="shared" si="11"/>
        <v>94</v>
      </c>
      <c r="H20" s="95">
        <f t="shared" si="0"/>
        <v>14376</v>
      </c>
      <c r="I20" s="115">
        <f t="shared" si="1"/>
        <v>2875.2000000000003</v>
      </c>
      <c r="J20" s="96">
        <v>88874</v>
      </c>
      <c r="K20" s="94">
        <f t="shared" si="12"/>
        <v>171</v>
      </c>
      <c r="L20" s="78">
        <f t="shared" si="2"/>
        <v>1340.6399999999999</v>
      </c>
      <c r="M20" s="93">
        <v>37310</v>
      </c>
      <c r="N20" s="94">
        <f t="shared" si="13"/>
        <v>18</v>
      </c>
      <c r="O20" s="94">
        <v>21981</v>
      </c>
      <c r="P20" s="97">
        <f t="shared" si="14"/>
        <v>16</v>
      </c>
      <c r="Q20" s="97">
        <f t="shared" si="4"/>
        <v>34</v>
      </c>
      <c r="R20" s="98">
        <v>55400</v>
      </c>
      <c r="S20" s="97">
        <f t="shared" si="15"/>
        <v>34</v>
      </c>
      <c r="T20" s="108">
        <f t="shared" si="5"/>
        <v>35.893800000000006</v>
      </c>
      <c r="U20" s="106">
        <f t="shared" si="6"/>
        <v>606.30349000000012</v>
      </c>
      <c r="V20" s="93">
        <v>70546</v>
      </c>
      <c r="W20" s="94">
        <f t="shared" si="16"/>
        <v>46</v>
      </c>
      <c r="X20" s="99">
        <f t="shared" si="29"/>
        <v>13079.87</v>
      </c>
      <c r="Y20" s="99">
        <f t="shared" si="7"/>
        <v>4502.0912539999999</v>
      </c>
      <c r="Z20" s="182">
        <f t="shared" si="17"/>
        <v>4243.4694354838712</v>
      </c>
      <c r="AA20" s="77">
        <f t="shared" si="8"/>
        <v>8745.5606894838711</v>
      </c>
      <c r="AB20" s="98">
        <v>7241870</v>
      </c>
      <c r="AC20" s="162">
        <f t="shared" si="18"/>
        <v>16770</v>
      </c>
      <c r="AD20" s="146">
        <v>0.9556</v>
      </c>
      <c r="AE20" s="152">
        <v>397</v>
      </c>
      <c r="AF20" s="93">
        <v>13857458</v>
      </c>
      <c r="AG20" s="94">
        <f t="shared" si="19"/>
        <v>6166</v>
      </c>
      <c r="AH20" s="100">
        <f t="shared" si="20"/>
        <v>1233.2</v>
      </c>
      <c r="AI20" s="93">
        <v>6407711</v>
      </c>
      <c r="AJ20" s="94">
        <f t="shared" si="21"/>
        <v>2343</v>
      </c>
      <c r="AK20" s="100">
        <f t="shared" si="22"/>
        <v>468.6</v>
      </c>
      <c r="AL20" s="96">
        <v>164124</v>
      </c>
      <c r="AM20" s="94">
        <f t="shared" si="23"/>
        <v>567</v>
      </c>
      <c r="AN20" s="100">
        <f t="shared" si="24"/>
        <v>113.4</v>
      </c>
      <c r="AO20" s="96">
        <v>7076</v>
      </c>
      <c r="AP20" s="94">
        <f t="shared" si="30"/>
        <v>10</v>
      </c>
      <c r="AQ20" s="152">
        <f t="shared" si="25"/>
        <v>78.400000000000006</v>
      </c>
      <c r="AR20" s="93">
        <v>2879</v>
      </c>
      <c r="AS20" s="94">
        <f t="shared" si="26"/>
        <v>0</v>
      </c>
      <c r="AT20" s="100">
        <f t="shared" si="9"/>
        <v>0</v>
      </c>
      <c r="AU20" s="93">
        <v>9</v>
      </c>
      <c r="AV20" s="94">
        <f t="shared" si="27"/>
        <v>1</v>
      </c>
      <c r="AW20" s="100">
        <f t="shared" si="28"/>
        <v>7.84</v>
      </c>
    </row>
    <row r="21" spans="1:49" s="3" customFormat="1" ht="27.95" customHeight="1" x14ac:dyDescent="0.25">
      <c r="A21" s="104">
        <v>45490</v>
      </c>
      <c r="B21" s="96">
        <v>19740756</v>
      </c>
      <c r="C21" s="94">
        <f t="shared" si="3"/>
        <v>6957</v>
      </c>
      <c r="D21" s="94">
        <v>20559404</v>
      </c>
      <c r="E21" s="94">
        <f t="shared" si="10"/>
        <v>5971</v>
      </c>
      <c r="F21" s="94">
        <v>463686</v>
      </c>
      <c r="G21" s="94">
        <f t="shared" si="11"/>
        <v>98</v>
      </c>
      <c r="H21" s="95">
        <f t="shared" si="0"/>
        <v>13026</v>
      </c>
      <c r="I21" s="115">
        <f t="shared" si="1"/>
        <v>2605.2000000000003</v>
      </c>
      <c r="J21" s="96">
        <v>88974</v>
      </c>
      <c r="K21" s="94">
        <f t="shared" si="12"/>
        <v>100</v>
      </c>
      <c r="L21" s="78">
        <f t="shared" si="2"/>
        <v>784</v>
      </c>
      <c r="M21" s="93">
        <v>37328</v>
      </c>
      <c r="N21" s="94">
        <f t="shared" si="13"/>
        <v>18</v>
      </c>
      <c r="O21" s="94">
        <v>21994</v>
      </c>
      <c r="P21" s="97">
        <f t="shared" si="14"/>
        <v>13</v>
      </c>
      <c r="Q21" s="97">
        <f t="shared" si="4"/>
        <v>31</v>
      </c>
      <c r="R21" s="98">
        <v>55432</v>
      </c>
      <c r="S21" s="97">
        <f t="shared" si="15"/>
        <v>32</v>
      </c>
      <c r="T21" s="108">
        <f t="shared" si="5"/>
        <v>33.782400000000003</v>
      </c>
      <c r="U21" s="106">
        <f t="shared" si="6"/>
        <v>582.97252000000003</v>
      </c>
      <c r="V21" s="93">
        <v>70590</v>
      </c>
      <c r="W21" s="94">
        <f t="shared" si="16"/>
        <v>44</v>
      </c>
      <c r="X21" s="99">
        <f t="shared" si="29"/>
        <v>12511.18</v>
      </c>
      <c r="Y21" s="99">
        <f t="shared" si="7"/>
        <v>4306.348156</v>
      </c>
      <c r="Z21" s="182">
        <f t="shared" si="17"/>
        <v>4243.4694354838712</v>
      </c>
      <c r="AA21" s="77">
        <f t="shared" si="8"/>
        <v>8549.8175914838721</v>
      </c>
      <c r="AB21" s="98">
        <v>7256929</v>
      </c>
      <c r="AC21" s="162">
        <f t="shared" si="18"/>
        <v>15059</v>
      </c>
      <c r="AD21" s="146">
        <v>0.83489999999999998</v>
      </c>
      <c r="AE21" s="152">
        <v>350</v>
      </c>
      <c r="AF21" s="93">
        <v>13863024</v>
      </c>
      <c r="AG21" s="94">
        <f t="shared" si="19"/>
        <v>5566</v>
      </c>
      <c r="AH21" s="100">
        <f t="shared" si="20"/>
        <v>1113.2</v>
      </c>
      <c r="AI21" s="93">
        <v>6409717</v>
      </c>
      <c r="AJ21" s="94">
        <f t="shared" si="21"/>
        <v>2006</v>
      </c>
      <c r="AK21" s="100">
        <f t="shared" si="22"/>
        <v>401.20000000000005</v>
      </c>
      <c r="AL21" s="96">
        <v>164616</v>
      </c>
      <c r="AM21" s="94">
        <f t="shared" si="23"/>
        <v>492</v>
      </c>
      <c r="AN21" s="100">
        <f t="shared" si="24"/>
        <v>98.4</v>
      </c>
      <c r="AO21" s="96">
        <v>7082</v>
      </c>
      <c r="AP21" s="94">
        <f t="shared" si="30"/>
        <v>6</v>
      </c>
      <c r="AQ21" s="152">
        <f t="shared" si="25"/>
        <v>47.04</v>
      </c>
      <c r="AR21" s="93">
        <v>2879</v>
      </c>
      <c r="AS21" s="94">
        <f t="shared" si="26"/>
        <v>0</v>
      </c>
      <c r="AT21" s="100">
        <f t="shared" si="9"/>
        <v>0</v>
      </c>
      <c r="AU21" s="93">
        <v>10</v>
      </c>
      <c r="AV21" s="94">
        <f t="shared" si="27"/>
        <v>1</v>
      </c>
      <c r="AW21" s="100">
        <f t="shared" si="28"/>
        <v>7.84</v>
      </c>
    </row>
    <row r="22" spans="1:49" s="3" customFormat="1" ht="27.95" customHeight="1" x14ac:dyDescent="0.25">
      <c r="A22" s="104">
        <v>45491</v>
      </c>
      <c r="B22" s="96">
        <v>19748363</v>
      </c>
      <c r="C22" s="94">
        <f t="shared" si="3"/>
        <v>7607</v>
      </c>
      <c r="D22" s="94">
        <v>20565972</v>
      </c>
      <c r="E22" s="94">
        <f t="shared" si="10"/>
        <v>6568</v>
      </c>
      <c r="F22" s="94">
        <v>463785</v>
      </c>
      <c r="G22" s="94">
        <f t="shared" si="11"/>
        <v>99</v>
      </c>
      <c r="H22" s="95">
        <f t="shared" si="0"/>
        <v>14274</v>
      </c>
      <c r="I22" s="115">
        <f t="shared" si="1"/>
        <v>2854.8</v>
      </c>
      <c r="J22" s="96">
        <v>89066</v>
      </c>
      <c r="K22" s="94">
        <f t="shared" si="12"/>
        <v>92</v>
      </c>
      <c r="L22" s="78">
        <f t="shared" si="2"/>
        <v>721.28</v>
      </c>
      <c r="M22" s="93">
        <v>37346</v>
      </c>
      <c r="N22" s="94">
        <f t="shared" si="13"/>
        <v>18</v>
      </c>
      <c r="O22" s="94">
        <v>22007</v>
      </c>
      <c r="P22" s="97">
        <f t="shared" si="14"/>
        <v>13</v>
      </c>
      <c r="Q22" s="97">
        <f t="shared" si="4"/>
        <v>31</v>
      </c>
      <c r="R22" s="98">
        <v>55464</v>
      </c>
      <c r="S22" s="97">
        <f t="shared" si="15"/>
        <v>32</v>
      </c>
      <c r="T22" s="108">
        <f t="shared" si="5"/>
        <v>33.782400000000003</v>
      </c>
      <c r="U22" s="106">
        <f t="shared" si="6"/>
        <v>582.97252000000003</v>
      </c>
      <c r="V22" s="93">
        <v>70633</v>
      </c>
      <c r="W22" s="94">
        <f t="shared" si="16"/>
        <v>43</v>
      </c>
      <c r="X22" s="99">
        <f t="shared" si="29"/>
        <v>12226.835000000001</v>
      </c>
      <c r="Y22" s="99">
        <f t="shared" si="7"/>
        <v>4208.4766070000005</v>
      </c>
      <c r="Z22" s="182">
        <f t="shared" si="17"/>
        <v>4243.4694354838712</v>
      </c>
      <c r="AA22" s="77">
        <f t="shared" si="8"/>
        <v>8451.9460424838726</v>
      </c>
      <c r="AB22" s="98">
        <v>7272536</v>
      </c>
      <c r="AC22" s="162">
        <f t="shared" si="18"/>
        <v>15607</v>
      </c>
      <c r="AD22" s="146">
        <v>0.746</v>
      </c>
      <c r="AE22" s="152">
        <v>315</v>
      </c>
      <c r="AF22" s="93">
        <v>13869004</v>
      </c>
      <c r="AG22" s="94">
        <f t="shared" si="19"/>
        <v>5980</v>
      </c>
      <c r="AH22" s="100">
        <f t="shared" si="20"/>
        <v>1196</v>
      </c>
      <c r="AI22" s="93">
        <v>6411864</v>
      </c>
      <c r="AJ22" s="94">
        <f t="shared" si="21"/>
        <v>2147</v>
      </c>
      <c r="AK22" s="100">
        <f t="shared" si="22"/>
        <v>429.40000000000003</v>
      </c>
      <c r="AL22" s="96">
        <v>165211</v>
      </c>
      <c r="AM22" s="94">
        <f t="shared" si="23"/>
        <v>595</v>
      </c>
      <c r="AN22" s="100">
        <f t="shared" si="24"/>
        <v>119</v>
      </c>
      <c r="AO22" s="96">
        <v>7090</v>
      </c>
      <c r="AP22" s="94">
        <f t="shared" si="30"/>
        <v>8</v>
      </c>
      <c r="AQ22" s="152">
        <f t="shared" si="25"/>
        <v>62.72</v>
      </c>
      <c r="AR22" s="93">
        <v>2879</v>
      </c>
      <c r="AS22" s="94">
        <f t="shared" si="26"/>
        <v>0</v>
      </c>
      <c r="AT22" s="100">
        <f t="shared" si="9"/>
        <v>0</v>
      </c>
      <c r="AU22" s="93">
        <v>11</v>
      </c>
      <c r="AV22" s="94">
        <f t="shared" si="27"/>
        <v>1</v>
      </c>
      <c r="AW22" s="100">
        <f t="shared" si="28"/>
        <v>7.84</v>
      </c>
    </row>
    <row r="23" spans="1:49" s="3" customFormat="1" ht="27.95" customHeight="1" x14ac:dyDescent="0.25">
      <c r="A23" s="104">
        <v>45492</v>
      </c>
      <c r="B23" s="96">
        <v>19755727</v>
      </c>
      <c r="C23" s="94">
        <f t="shared" si="3"/>
        <v>7364</v>
      </c>
      <c r="D23" s="94">
        <v>20572495</v>
      </c>
      <c r="E23" s="94">
        <f t="shared" si="10"/>
        <v>6523</v>
      </c>
      <c r="F23" s="94">
        <v>463889</v>
      </c>
      <c r="G23" s="94">
        <f t="shared" si="11"/>
        <v>104</v>
      </c>
      <c r="H23" s="95">
        <f t="shared" si="0"/>
        <v>13991</v>
      </c>
      <c r="I23" s="115">
        <f t="shared" si="1"/>
        <v>2798.2000000000003</v>
      </c>
      <c r="J23" s="96">
        <v>89180</v>
      </c>
      <c r="K23" s="94">
        <f t="shared" si="12"/>
        <v>114</v>
      </c>
      <c r="L23" s="78">
        <f t="shared" si="2"/>
        <v>893.76</v>
      </c>
      <c r="M23" s="93">
        <v>37365</v>
      </c>
      <c r="N23" s="94">
        <f t="shared" si="13"/>
        <v>19</v>
      </c>
      <c r="O23" s="94">
        <v>22023</v>
      </c>
      <c r="P23" s="97">
        <f t="shared" si="14"/>
        <v>16</v>
      </c>
      <c r="Q23" s="97">
        <f t="shared" si="4"/>
        <v>35</v>
      </c>
      <c r="R23" s="98">
        <v>55499</v>
      </c>
      <c r="S23" s="97">
        <f t="shared" si="15"/>
        <v>35</v>
      </c>
      <c r="T23" s="108">
        <f t="shared" si="5"/>
        <v>36.9495</v>
      </c>
      <c r="U23" s="106">
        <f t="shared" si="6"/>
        <v>617.968975</v>
      </c>
      <c r="V23" s="93">
        <v>70677</v>
      </c>
      <c r="W23" s="94">
        <f>IF(ISBLANK(V23)," ",V23-V22)</f>
        <v>44</v>
      </c>
      <c r="X23" s="99">
        <f t="shared" si="29"/>
        <v>12511.18</v>
      </c>
      <c r="Y23" s="99">
        <f t="shared" si="7"/>
        <v>4306.348156</v>
      </c>
      <c r="Z23" s="182">
        <f t="shared" si="17"/>
        <v>4243.4694354838712</v>
      </c>
      <c r="AA23" s="77">
        <f t="shared" si="8"/>
        <v>8549.8175914838721</v>
      </c>
      <c r="AB23" s="98">
        <v>7287859</v>
      </c>
      <c r="AC23" s="162">
        <f t="shared" si="18"/>
        <v>15323</v>
      </c>
      <c r="AD23" s="146">
        <v>0.68889999999999996</v>
      </c>
      <c r="AE23" s="152">
        <v>321</v>
      </c>
      <c r="AF23" s="93">
        <v>13874653</v>
      </c>
      <c r="AG23" s="94">
        <f t="shared" si="19"/>
        <v>5649</v>
      </c>
      <c r="AH23" s="100">
        <f t="shared" si="20"/>
        <v>1129.8</v>
      </c>
      <c r="AI23" s="93">
        <v>6413967</v>
      </c>
      <c r="AJ23" s="94">
        <f t="shared" si="21"/>
        <v>2103</v>
      </c>
      <c r="AK23" s="100">
        <f t="shared" si="22"/>
        <v>420.6</v>
      </c>
      <c r="AL23" s="96">
        <v>165795</v>
      </c>
      <c r="AM23" s="94">
        <f t="shared" si="23"/>
        <v>584</v>
      </c>
      <c r="AN23" s="100">
        <f t="shared" si="24"/>
        <v>116.80000000000001</v>
      </c>
      <c r="AO23" s="96">
        <v>7100</v>
      </c>
      <c r="AP23" s="94">
        <f t="shared" si="30"/>
        <v>10</v>
      </c>
      <c r="AQ23" s="152">
        <f t="shared" si="25"/>
        <v>78.400000000000006</v>
      </c>
      <c r="AR23" s="93">
        <v>2883</v>
      </c>
      <c r="AS23" s="94">
        <f t="shared" si="26"/>
        <v>4</v>
      </c>
      <c r="AT23" s="100">
        <f t="shared" si="9"/>
        <v>31.36</v>
      </c>
      <c r="AU23" s="93">
        <v>12</v>
      </c>
      <c r="AV23" s="94">
        <f t="shared" si="27"/>
        <v>1</v>
      </c>
      <c r="AW23" s="100">
        <f t="shared" si="28"/>
        <v>7.84</v>
      </c>
    </row>
    <row r="24" spans="1:49" s="3" customFormat="1" ht="27.95" customHeight="1" x14ac:dyDescent="0.25">
      <c r="A24" s="104">
        <v>45493</v>
      </c>
      <c r="B24" s="96">
        <v>19763046</v>
      </c>
      <c r="C24" s="94">
        <f t="shared" si="3"/>
        <v>7319</v>
      </c>
      <c r="D24" s="94">
        <v>20579142</v>
      </c>
      <c r="E24" s="94">
        <f t="shared" si="10"/>
        <v>6647</v>
      </c>
      <c r="F24" s="94">
        <v>463992</v>
      </c>
      <c r="G24" s="94">
        <f t="shared" si="11"/>
        <v>103</v>
      </c>
      <c r="H24" s="95">
        <f t="shared" si="0"/>
        <v>14069</v>
      </c>
      <c r="I24" s="115">
        <f t="shared" si="1"/>
        <v>2813.8</v>
      </c>
      <c r="J24" s="96">
        <v>89280</v>
      </c>
      <c r="K24" s="94">
        <f t="shared" si="12"/>
        <v>100</v>
      </c>
      <c r="L24" s="78">
        <f t="shared" si="2"/>
        <v>784</v>
      </c>
      <c r="M24" s="93">
        <v>37384</v>
      </c>
      <c r="N24" s="94">
        <f t="shared" si="13"/>
        <v>19</v>
      </c>
      <c r="O24" s="94">
        <v>22036</v>
      </c>
      <c r="P24" s="97">
        <f t="shared" si="14"/>
        <v>13</v>
      </c>
      <c r="Q24" s="97">
        <f t="shared" si="4"/>
        <v>32</v>
      </c>
      <c r="R24" s="98">
        <v>55531</v>
      </c>
      <c r="S24" s="97">
        <f t="shared" si="15"/>
        <v>32</v>
      </c>
      <c r="T24" s="108">
        <f t="shared" si="5"/>
        <v>33.782400000000003</v>
      </c>
      <c r="U24" s="106">
        <f t="shared" si="6"/>
        <v>582.97252000000003</v>
      </c>
      <c r="V24" s="93">
        <v>70721</v>
      </c>
      <c r="W24" s="94">
        <f t="shared" ref="W24:W35" si="31">IF(ISBLANK(V24)," ",V24-V23)</f>
        <v>44</v>
      </c>
      <c r="X24" s="99">
        <f t="shared" si="29"/>
        <v>12511.18</v>
      </c>
      <c r="Y24" s="99">
        <f t="shared" si="7"/>
        <v>4306.348156</v>
      </c>
      <c r="Z24" s="182">
        <f t="shared" si="17"/>
        <v>4243.4694354838712</v>
      </c>
      <c r="AA24" s="77">
        <f t="shared" si="8"/>
        <v>8549.8175914838721</v>
      </c>
      <c r="AB24" s="98">
        <v>7303204</v>
      </c>
      <c r="AC24" s="162">
        <f t="shared" si="18"/>
        <v>15345</v>
      </c>
      <c r="AD24" s="146">
        <v>0.68889999999999996</v>
      </c>
      <c r="AE24" s="152">
        <v>321</v>
      </c>
      <c r="AF24" s="93">
        <v>13879506</v>
      </c>
      <c r="AG24" s="94">
        <f t="shared" si="19"/>
        <v>4853</v>
      </c>
      <c r="AH24" s="100">
        <f t="shared" si="20"/>
        <v>970.6</v>
      </c>
      <c r="AI24" s="93">
        <v>6416006</v>
      </c>
      <c r="AJ24" s="94">
        <f t="shared" si="21"/>
        <v>2039</v>
      </c>
      <c r="AK24" s="100">
        <f t="shared" si="22"/>
        <v>407.8</v>
      </c>
      <c r="AL24" s="96">
        <v>166359</v>
      </c>
      <c r="AM24" s="94">
        <f t="shared" si="23"/>
        <v>564</v>
      </c>
      <c r="AN24" s="100">
        <f t="shared" si="24"/>
        <v>112.80000000000001</v>
      </c>
      <c r="AO24" s="157">
        <v>7105</v>
      </c>
      <c r="AP24" s="94">
        <f t="shared" si="30"/>
        <v>5</v>
      </c>
      <c r="AQ24" s="152">
        <f t="shared" si="25"/>
        <v>39.200000000000003</v>
      </c>
      <c r="AR24" s="156">
        <v>2883</v>
      </c>
      <c r="AS24" s="94">
        <f t="shared" si="26"/>
        <v>0</v>
      </c>
      <c r="AT24" s="100">
        <f t="shared" si="9"/>
        <v>0</v>
      </c>
      <c r="AU24" s="93">
        <v>13</v>
      </c>
      <c r="AV24" s="94">
        <f t="shared" si="27"/>
        <v>1</v>
      </c>
      <c r="AW24" s="100">
        <f t="shared" si="28"/>
        <v>7.84</v>
      </c>
    </row>
    <row r="25" spans="1:49" s="7" customFormat="1" ht="27.95" customHeight="1" x14ac:dyDescent="0.25">
      <c r="A25" s="104">
        <v>45494</v>
      </c>
      <c r="B25" s="96">
        <v>19770619</v>
      </c>
      <c r="C25" s="94">
        <f t="shared" si="3"/>
        <v>7573</v>
      </c>
      <c r="D25" s="94">
        <v>20585690</v>
      </c>
      <c r="E25" s="94">
        <f t="shared" si="10"/>
        <v>6548</v>
      </c>
      <c r="F25" s="94">
        <v>464090</v>
      </c>
      <c r="G25" s="94">
        <f t="shared" si="11"/>
        <v>98</v>
      </c>
      <c r="H25" s="95">
        <f t="shared" si="0"/>
        <v>14219</v>
      </c>
      <c r="I25" s="115">
        <f t="shared" si="1"/>
        <v>2843.8</v>
      </c>
      <c r="J25" s="96">
        <v>89391</v>
      </c>
      <c r="K25" s="94">
        <f t="shared" si="12"/>
        <v>111</v>
      </c>
      <c r="L25" s="78">
        <f t="shared" si="2"/>
        <v>870.24</v>
      </c>
      <c r="M25" s="93">
        <v>37403</v>
      </c>
      <c r="N25" s="94">
        <f t="shared" si="13"/>
        <v>19</v>
      </c>
      <c r="O25" s="94">
        <v>22049</v>
      </c>
      <c r="P25" s="97">
        <f t="shared" si="14"/>
        <v>13</v>
      </c>
      <c r="Q25" s="97">
        <f t="shared" si="4"/>
        <v>32</v>
      </c>
      <c r="R25" s="98">
        <v>55563</v>
      </c>
      <c r="S25" s="97">
        <f t="shared" si="15"/>
        <v>32</v>
      </c>
      <c r="T25" s="108">
        <f>S25*1.0557</f>
        <v>33.782400000000003</v>
      </c>
      <c r="U25" s="106">
        <f t="shared" si="6"/>
        <v>582.97252000000003</v>
      </c>
      <c r="V25" s="93">
        <v>70766</v>
      </c>
      <c r="W25" s="94">
        <f t="shared" si="31"/>
        <v>45</v>
      </c>
      <c r="X25" s="99">
        <f t="shared" si="29"/>
        <v>12795.525000000001</v>
      </c>
      <c r="Y25" s="99">
        <f t="shared" si="7"/>
        <v>4404.2197050000004</v>
      </c>
      <c r="Z25" s="182">
        <f t="shared" si="17"/>
        <v>4243.4694354838712</v>
      </c>
      <c r="AA25" s="77">
        <f t="shared" si="8"/>
        <v>8647.6891404838716</v>
      </c>
      <c r="AB25" s="98">
        <v>7319074</v>
      </c>
      <c r="AC25" s="162">
        <f t="shared" si="18"/>
        <v>15870</v>
      </c>
      <c r="AD25" s="149">
        <v>0.86670000000000003</v>
      </c>
      <c r="AE25" s="153">
        <v>376</v>
      </c>
      <c r="AF25" s="156">
        <v>13884531</v>
      </c>
      <c r="AG25" s="94">
        <f t="shared" si="19"/>
        <v>5025</v>
      </c>
      <c r="AH25" s="100">
        <f t="shared" si="20"/>
        <v>1005</v>
      </c>
      <c r="AI25" s="156">
        <v>6418076</v>
      </c>
      <c r="AJ25" s="94">
        <f t="shared" si="21"/>
        <v>2070</v>
      </c>
      <c r="AK25" s="100">
        <f t="shared" si="22"/>
        <v>414</v>
      </c>
      <c r="AL25" s="157">
        <v>166969</v>
      </c>
      <c r="AM25" s="94">
        <f t="shared" si="23"/>
        <v>610</v>
      </c>
      <c r="AN25" s="100">
        <f t="shared" si="24"/>
        <v>122</v>
      </c>
      <c r="AO25" s="96">
        <v>7114</v>
      </c>
      <c r="AP25" s="94">
        <f t="shared" si="30"/>
        <v>9</v>
      </c>
      <c r="AQ25" s="152">
        <f t="shared" si="25"/>
        <v>70.56</v>
      </c>
      <c r="AR25" s="93">
        <v>2883</v>
      </c>
      <c r="AS25" s="94">
        <f t="shared" si="26"/>
        <v>0</v>
      </c>
      <c r="AT25" s="100">
        <f t="shared" si="9"/>
        <v>0</v>
      </c>
      <c r="AU25" s="156">
        <v>14</v>
      </c>
      <c r="AV25" s="94">
        <f t="shared" si="27"/>
        <v>1</v>
      </c>
      <c r="AW25" s="100">
        <f t="shared" si="28"/>
        <v>7.84</v>
      </c>
    </row>
    <row r="26" spans="1:49" s="3" customFormat="1" ht="27.95" customHeight="1" x14ac:dyDescent="0.25">
      <c r="A26" s="104">
        <v>45495</v>
      </c>
      <c r="B26" s="96">
        <v>19777855</v>
      </c>
      <c r="C26" s="94">
        <f t="shared" si="3"/>
        <v>7236</v>
      </c>
      <c r="D26" s="94">
        <v>20592014</v>
      </c>
      <c r="E26" s="94">
        <f t="shared" si="10"/>
        <v>6324</v>
      </c>
      <c r="F26" s="94">
        <v>464188</v>
      </c>
      <c r="G26" s="94">
        <f t="shared" si="11"/>
        <v>98</v>
      </c>
      <c r="H26" s="95">
        <f t="shared" si="0"/>
        <v>13658</v>
      </c>
      <c r="I26" s="115">
        <f t="shared" si="1"/>
        <v>2731.6000000000004</v>
      </c>
      <c r="J26" s="96">
        <v>89489</v>
      </c>
      <c r="K26" s="94">
        <f t="shared" si="12"/>
        <v>98</v>
      </c>
      <c r="L26" s="78">
        <f t="shared" si="2"/>
        <v>768.31999999999994</v>
      </c>
      <c r="M26" s="93">
        <v>37420</v>
      </c>
      <c r="N26" s="94">
        <f t="shared" si="13"/>
        <v>17</v>
      </c>
      <c r="O26" s="94">
        <v>22064</v>
      </c>
      <c r="P26" s="97">
        <f t="shared" si="14"/>
        <v>15</v>
      </c>
      <c r="Q26" s="97">
        <f t="shared" si="4"/>
        <v>32</v>
      </c>
      <c r="R26" s="98">
        <v>55595</v>
      </c>
      <c r="S26" s="97">
        <f t="shared" si="15"/>
        <v>32</v>
      </c>
      <c r="T26" s="108">
        <f t="shared" si="5"/>
        <v>33.782400000000003</v>
      </c>
      <c r="U26" s="106">
        <f t="shared" si="6"/>
        <v>582.97252000000003</v>
      </c>
      <c r="V26" s="93">
        <v>70809</v>
      </c>
      <c r="W26" s="94">
        <f t="shared" si="31"/>
        <v>43</v>
      </c>
      <c r="X26" s="99">
        <f t="shared" si="29"/>
        <v>12226.835000000001</v>
      </c>
      <c r="Y26" s="99">
        <f t="shared" si="7"/>
        <v>4208.4766070000005</v>
      </c>
      <c r="Z26" s="182">
        <f t="shared" si="17"/>
        <v>4243.4694354838712</v>
      </c>
      <c r="AA26" s="77">
        <f t="shared" si="8"/>
        <v>8451.9460424838726</v>
      </c>
      <c r="AB26" s="98">
        <v>7334620</v>
      </c>
      <c r="AC26" s="162">
        <f t="shared" si="18"/>
        <v>15546</v>
      </c>
      <c r="AD26" s="146">
        <v>0.8952</v>
      </c>
      <c r="AE26" s="152">
        <v>363</v>
      </c>
      <c r="AF26" s="93">
        <v>13890268</v>
      </c>
      <c r="AG26" s="94">
        <f t="shared" si="19"/>
        <v>5737</v>
      </c>
      <c r="AH26" s="100">
        <f t="shared" si="20"/>
        <v>1147.4000000000001</v>
      </c>
      <c r="AI26" s="93">
        <v>6420197</v>
      </c>
      <c r="AJ26" s="94">
        <f t="shared" si="21"/>
        <v>2121</v>
      </c>
      <c r="AK26" s="100">
        <f t="shared" si="22"/>
        <v>424.20000000000005</v>
      </c>
      <c r="AL26" s="96">
        <v>167517</v>
      </c>
      <c r="AM26" s="94">
        <f t="shared" si="23"/>
        <v>548</v>
      </c>
      <c r="AN26" s="100">
        <f t="shared" si="24"/>
        <v>109.60000000000001</v>
      </c>
      <c r="AO26" s="96">
        <v>7122</v>
      </c>
      <c r="AP26" s="94">
        <f t="shared" si="30"/>
        <v>8</v>
      </c>
      <c r="AQ26" s="152">
        <f t="shared" si="25"/>
        <v>62.72</v>
      </c>
      <c r="AR26" s="93">
        <v>2887</v>
      </c>
      <c r="AS26" s="94">
        <f t="shared" si="26"/>
        <v>4</v>
      </c>
      <c r="AT26" s="100">
        <f t="shared" si="9"/>
        <v>31.36</v>
      </c>
      <c r="AU26" s="93">
        <v>15</v>
      </c>
      <c r="AV26" s="94">
        <f t="shared" si="27"/>
        <v>1</v>
      </c>
      <c r="AW26" s="100">
        <f t="shared" si="28"/>
        <v>7.84</v>
      </c>
    </row>
    <row r="27" spans="1:49" s="3" customFormat="1" ht="27.95" customHeight="1" x14ac:dyDescent="0.25">
      <c r="A27" s="104">
        <v>45496</v>
      </c>
      <c r="B27" s="96">
        <v>19785204</v>
      </c>
      <c r="C27" s="94">
        <f t="shared" si="3"/>
        <v>7349</v>
      </c>
      <c r="D27" s="94">
        <v>20598497</v>
      </c>
      <c r="E27" s="94">
        <f t="shared" si="10"/>
        <v>6483</v>
      </c>
      <c r="F27" s="94">
        <v>464285</v>
      </c>
      <c r="G27" s="94">
        <f t="shared" si="11"/>
        <v>97</v>
      </c>
      <c r="H27" s="95">
        <f t="shared" si="0"/>
        <v>13929</v>
      </c>
      <c r="I27" s="115">
        <f t="shared" si="1"/>
        <v>2785.8</v>
      </c>
      <c r="J27" s="96">
        <v>89611</v>
      </c>
      <c r="K27" s="94">
        <f>IF(ISBLANK(J27),"0",J27-J26)</f>
        <v>122</v>
      </c>
      <c r="L27" s="78">
        <f t="shared" si="2"/>
        <v>956.48</v>
      </c>
      <c r="M27" s="93">
        <v>37438</v>
      </c>
      <c r="N27" s="94">
        <f t="shared" si="13"/>
        <v>18</v>
      </c>
      <c r="O27" s="94">
        <v>22078</v>
      </c>
      <c r="P27" s="97">
        <f t="shared" si="14"/>
        <v>14</v>
      </c>
      <c r="Q27" s="97">
        <f t="shared" si="4"/>
        <v>32</v>
      </c>
      <c r="R27" s="98">
        <v>55628</v>
      </c>
      <c r="S27" s="97">
        <f t="shared" si="15"/>
        <v>33</v>
      </c>
      <c r="T27" s="108">
        <f t="shared" si="5"/>
        <v>34.838100000000004</v>
      </c>
      <c r="U27" s="106">
        <f t="shared" si="6"/>
        <v>594.63800500000002</v>
      </c>
      <c r="V27" s="93">
        <v>70852</v>
      </c>
      <c r="W27" s="94">
        <f t="shared" si="31"/>
        <v>43</v>
      </c>
      <c r="X27" s="99">
        <f t="shared" si="29"/>
        <v>12226.835000000001</v>
      </c>
      <c r="Y27" s="99">
        <f t="shared" si="7"/>
        <v>4208.4766070000005</v>
      </c>
      <c r="Z27" s="182">
        <f t="shared" si="17"/>
        <v>4243.4694354838712</v>
      </c>
      <c r="AA27" s="77">
        <f t="shared" si="8"/>
        <v>8451.9460424838726</v>
      </c>
      <c r="AB27" s="98">
        <v>7350118</v>
      </c>
      <c r="AC27" s="162">
        <f t="shared" si="18"/>
        <v>15498</v>
      </c>
      <c r="AD27" s="146">
        <v>0.98409999999999997</v>
      </c>
      <c r="AE27" s="152">
        <v>415</v>
      </c>
      <c r="AF27" s="93">
        <v>13896117</v>
      </c>
      <c r="AG27" s="94">
        <f t="shared" si="19"/>
        <v>5849</v>
      </c>
      <c r="AH27" s="100">
        <f t="shared" si="20"/>
        <v>1169.8</v>
      </c>
      <c r="AI27" s="93">
        <v>6422384</v>
      </c>
      <c r="AJ27" s="94">
        <f t="shared" si="21"/>
        <v>2187</v>
      </c>
      <c r="AK27" s="100">
        <f t="shared" si="22"/>
        <v>437.40000000000003</v>
      </c>
      <c r="AL27" s="96">
        <v>168025</v>
      </c>
      <c r="AM27" s="94">
        <f t="shared" si="23"/>
        <v>508</v>
      </c>
      <c r="AN27" s="100">
        <f t="shared" si="24"/>
        <v>101.60000000000001</v>
      </c>
      <c r="AO27" s="96">
        <v>7129</v>
      </c>
      <c r="AP27" s="94">
        <f t="shared" si="30"/>
        <v>7</v>
      </c>
      <c r="AQ27" s="152">
        <f t="shared" si="25"/>
        <v>54.879999999999995</v>
      </c>
      <c r="AR27" s="93">
        <v>2887</v>
      </c>
      <c r="AS27" s="94">
        <f t="shared" si="26"/>
        <v>0</v>
      </c>
      <c r="AT27" s="100">
        <f t="shared" si="9"/>
        <v>0</v>
      </c>
      <c r="AU27" s="93">
        <v>16</v>
      </c>
      <c r="AV27" s="94">
        <f t="shared" si="27"/>
        <v>1</v>
      </c>
      <c r="AW27" s="100">
        <f t="shared" si="28"/>
        <v>7.84</v>
      </c>
    </row>
    <row r="28" spans="1:49" s="3" customFormat="1" ht="27.95" customHeight="1" x14ac:dyDescent="0.25">
      <c r="A28" s="104">
        <v>45497</v>
      </c>
      <c r="B28" s="96">
        <v>19792278</v>
      </c>
      <c r="C28" s="94">
        <f t="shared" si="3"/>
        <v>7074</v>
      </c>
      <c r="D28" s="94">
        <v>20604892</v>
      </c>
      <c r="E28" s="94">
        <f t="shared" si="10"/>
        <v>6395</v>
      </c>
      <c r="F28" s="94">
        <v>464392</v>
      </c>
      <c r="G28" s="94">
        <f t="shared" si="11"/>
        <v>107</v>
      </c>
      <c r="H28" s="95">
        <f t="shared" si="0"/>
        <v>13576</v>
      </c>
      <c r="I28" s="115">
        <f t="shared" si="1"/>
        <v>2715.2000000000003</v>
      </c>
      <c r="J28" s="96">
        <v>89724</v>
      </c>
      <c r="K28" s="94">
        <f t="shared" si="12"/>
        <v>113</v>
      </c>
      <c r="L28" s="78">
        <f t="shared" si="2"/>
        <v>885.92</v>
      </c>
      <c r="M28" s="93">
        <v>37457</v>
      </c>
      <c r="N28" s="94">
        <f t="shared" si="13"/>
        <v>19</v>
      </c>
      <c r="O28" s="94">
        <v>22094</v>
      </c>
      <c r="P28" s="97">
        <f t="shared" si="14"/>
        <v>16</v>
      </c>
      <c r="Q28" s="97">
        <f t="shared" si="4"/>
        <v>35</v>
      </c>
      <c r="R28" s="98">
        <v>55663</v>
      </c>
      <c r="S28" s="97">
        <f t="shared" si="15"/>
        <v>35</v>
      </c>
      <c r="T28" s="108">
        <f t="shared" si="5"/>
        <v>36.9495</v>
      </c>
      <c r="U28" s="106">
        <f t="shared" si="6"/>
        <v>617.968975</v>
      </c>
      <c r="V28" s="93">
        <v>70891</v>
      </c>
      <c r="W28" s="94">
        <f t="shared" si="31"/>
        <v>39</v>
      </c>
      <c r="X28" s="99">
        <f t="shared" si="29"/>
        <v>11089.455000000002</v>
      </c>
      <c r="Y28" s="99">
        <f t="shared" si="7"/>
        <v>3816.9904110000007</v>
      </c>
      <c r="Z28" s="182">
        <f t="shared" si="17"/>
        <v>4243.4694354838712</v>
      </c>
      <c r="AA28" s="77">
        <f t="shared" si="8"/>
        <v>8060.4598464838718</v>
      </c>
      <c r="AB28" s="98">
        <v>7363964</v>
      </c>
      <c r="AC28" s="162">
        <f t="shared" si="18"/>
        <v>13846</v>
      </c>
      <c r="AD28" s="146">
        <v>0.93969999999999998</v>
      </c>
      <c r="AE28" s="152">
        <v>393</v>
      </c>
      <c r="AF28" s="93">
        <v>13901967</v>
      </c>
      <c r="AG28" s="94">
        <f t="shared" si="19"/>
        <v>5850</v>
      </c>
      <c r="AH28" s="100">
        <f t="shared" si="20"/>
        <v>1170</v>
      </c>
      <c r="AI28" s="93">
        <v>6424577</v>
      </c>
      <c r="AJ28" s="94">
        <f t="shared" si="21"/>
        <v>2193</v>
      </c>
      <c r="AK28" s="100">
        <f t="shared" si="22"/>
        <v>438.6</v>
      </c>
      <c r="AL28" s="96">
        <v>168481</v>
      </c>
      <c r="AM28" s="94">
        <f t="shared" si="23"/>
        <v>456</v>
      </c>
      <c r="AN28" s="100">
        <f t="shared" si="24"/>
        <v>91.2</v>
      </c>
      <c r="AO28" s="96">
        <v>7136</v>
      </c>
      <c r="AP28" s="94">
        <f t="shared" si="30"/>
        <v>7</v>
      </c>
      <c r="AQ28" s="152">
        <f t="shared" si="25"/>
        <v>54.879999999999995</v>
      </c>
      <c r="AR28" s="93">
        <v>2887</v>
      </c>
      <c r="AS28" s="94">
        <f t="shared" si="26"/>
        <v>0</v>
      </c>
      <c r="AT28" s="100">
        <f t="shared" si="9"/>
        <v>0</v>
      </c>
      <c r="AU28" s="93">
        <v>17</v>
      </c>
      <c r="AV28" s="94">
        <f t="shared" si="27"/>
        <v>1</v>
      </c>
      <c r="AW28" s="100">
        <f t="shared" si="28"/>
        <v>7.84</v>
      </c>
    </row>
    <row r="29" spans="1:49" s="3" customFormat="1" ht="27.95" customHeight="1" x14ac:dyDescent="0.25">
      <c r="A29" s="104">
        <v>45498</v>
      </c>
      <c r="B29" s="96">
        <v>19799612</v>
      </c>
      <c r="C29" s="94">
        <f t="shared" si="3"/>
        <v>7334</v>
      </c>
      <c r="D29" s="94">
        <v>20611357</v>
      </c>
      <c r="E29" s="94">
        <f t="shared" si="10"/>
        <v>6465</v>
      </c>
      <c r="F29" s="94">
        <v>464500</v>
      </c>
      <c r="G29" s="94">
        <f t="shared" si="11"/>
        <v>108</v>
      </c>
      <c r="H29" s="95">
        <f t="shared" si="0"/>
        <v>13907</v>
      </c>
      <c r="I29" s="115">
        <f t="shared" si="1"/>
        <v>2781.4</v>
      </c>
      <c r="J29" s="96">
        <v>89897</v>
      </c>
      <c r="K29" s="94">
        <f t="shared" si="12"/>
        <v>173</v>
      </c>
      <c r="L29" s="78">
        <f t="shared" si="2"/>
        <v>1356.32</v>
      </c>
      <c r="M29" s="93">
        <v>37475</v>
      </c>
      <c r="N29" s="94">
        <f t="shared" si="13"/>
        <v>18</v>
      </c>
      <c r="O29" s="94">
        <v>22109</v>
      </c>
      <c r="P29" s="97">
        <f t="shared" si="14"/>
        <v>15</v>
      </c>
      <c r="Q29" s="97">
        <f t="shared" si="4"/>
        <v>33</v>
      </c>
      <c r="R29" s="98">
        <v>55697</v>
      </c>
      <c r="S29" s="97">
        <f t="shared" si="15"/>
        <v>34</v>
      </c>
      <c r="T29" s="108">
        <f t="shared" si="5"/>
        <v>35.893800000000006</v>
      </c>
      <c r="U29" s="106">
        <f t="shared" si="6"/>
        <v>606.30349000000012</v>
      </c>
      <c r="V29" s="93">
        <v>70929</v>
      </c>
      <c r="W29" s="94">
        <f t="shared" si="31"/>
        <v>38</v>
      </c>
      <c r="X29" s="99">
        <f t="shared" si="29"/>
        <v>10805.11</v>
      </c>
      <c r="Y29" s="99">
        <f t="shared" si="7"/>
        <v>3719.1188620000003</v>
      </c>
      <c r="Z29" s="182">
        <f t="shared" si="17"/>
        <v>4243.4694354838712</v>
      </c>
      <c r="AA29" s="77">
        <f t="shared" si="8"/>
        <v>7962.5882974838714</v>
      </c>
      <c r="AB29" s="98">
        <v>7377294</v>
      </c>
      <c r="AC29" s="162">
        <f t="shared" si="18"/>
        <v>13330</v>
      </c>
      <c r="AD29" s="146">
        <v>0.9143</v>
      </c>
      <c r="AE29" s="152">
        <v>405</v>
      </c>
      <c r="AF29" s="93">
        <v>13907840</v>
      </c>
      <c r="AG29" s="94">
        <f t="shared" si="19"/>
        <v>5873</v>
      </c>
      <c r="AH29" s="100">
        <f t="shared" si="20"/>
        <v>1174.6000000000001</v>
      </c>
      <c r="AI29" s="93">
        <v>6426765</v>
      </c>
      <c r="AJ29" s="94">
        <f t="shared" si="21"/>
        <v>2188</v>
      </c>
      <c r="AK29" s="100">
        <f t="shared" si="22"/>
        <v>437.6</v>
      </c>
      <c r="AL29" s="96">
        <v>168964</v>
      </c>
      <c r="AM29" s="94">
        <f t="shared" si="23"/>
        <v>483</v>
      </c>
      <c r="AN29" s="100">
        <f t="shared" si="24"/>
        <v>96.600000000000009</v>
      </c>
      <c r="AO29" s="96">
        <v>7147</v>
      </c>
      <c r="AP29" s="94">
        <f t="shared" si="30"/>
        <v>11</v>
      </c>
      <c r="AQ29" s="152">
        <f t="shared" si="25"/>
        <v>86.24</v>
      </c>
      <c r="AR29" s="93">
        <v>2967</v>
      </c>
      <c r="AS29" s="94">
        <f t="shared" si="26"/>
        <v>80</v>
      </c>
      <c r="AT29" s="100">
        <f t="shared" si="9"/>
        <v>627.20000000000005</v>
      </c>
      <c r="AU29" s="93">
        <v>18</v>
      </c>
      <c r="AV29" s="94">
        <f t="shared" si="27"/>
        <v>1</v>
      </c>
      <c r="AW29" s="100">
        <f t="shared" si="28"/>
        <v>7.84</v>
      </c>
    </row>
    <row r="30" spans="1:49" s="3" customFormat="1" ht="27.95" customHeight="1" x14ac:dyDescent="0.25">
      <c r="A30" s="104">
        <v>45499</v>
      </c>
      <c r="B30" s="96">
        <v>19806903</v>
      </c>
      <c r="C30" s="94">
        <f t="shared" si="3"/>
        <v>7291</v>
      </c>
      <c r="D30" s="94">
        <v>20618010</v>
      </c>
      <c r="E30" s="94">
        <f t="shared" si="10"/>
        <v>6653</v>
      </c>
      <c r="F30" s="94">
        <v>464606</v>
      </c>
      <c r="G30" s="94">
        <f t="shared" si="11"/>
        <v>106</v>
      </c>
      <c r="H30" s="95">
        <f t="shared" si="0"/>
        <v>14050</v>
      </c>
      <c r="I30" s="115">
        <f t="shared" si="1"/>
        <v>2810</v>
      </c>
      <c r="J30" s="96">
        <v>90035</v>
      </c>
      <c r="K30" s="94">
        <f t="shared" si="12"/>
        <v>138</v>
      </c>
      <c r="L30" s="78">
        <f t="shared" si="2"/>
        <v>1081.92</v>
      </c>
      <c r="M30" s="93">
        <v>37495</v>
      </c>
      <c r="N30" s="94">
        <f t="shared" si="13"/>
        <v>20</v>
      </c>
      <c r="O30" s="94">
        <v>22123</v>
      </c>
      <c r="P30" s="97">
        <f>IF(ISBLANK(O30),"0",O30-O29)</f>
        <v>14</v>
      </c>
      <c r="Q30" s="97">
        <f t="shared" si="4"/>
        <v>34</v>
      </c>
      <c r="R30" s="98">
        <v>55731</v>
      </c>
      <c r="S30" s="97">
        <f>IF(ISBLANK(R30),"0",R30-R29)</f>
        <v>34</v>
      </c>
      <c r="T30" s="108">
        <f t="shared" si="5"/>
        <v>35.893800000000006</v>
      </c>
      <c r="U30" s="106">
        <f t="shared" si="6"/>
        <v>606.30349000000012</v>
      </c>
      <c r="V30" s="93">
        <v>70969</v>
      </c>
      <c r="W30" s="94">
        <f t="shared" si="31"/>
        <v>40</v>
      </c>
      <c r="X30" s="99">
        <f t="shared" si="29"/>
        <v>11373.800000000001</v>
      </c>
      <c r="Y30" s="99">
        <f t="shared" si="7"/>
        <v>3914.8619600000006</v>
      </c>
      <c r="Z30" s="182">
        <f t="shared" si="17"/>
        <v>4243.4694354838712</v>
      </c>
      <c r="AA30" s="77">
        <f t="shared" si="8"/>
        <v>8158.3313954838723</v>
      </c>
      <c r="AB30" s="98">
        <v>7391603</v>
      </c>
      <c r="AC30" s="162">
        <f t="shared" si="18"/>
        <v>14309</v>
      </c>
      <c r="AD30" s="146">
        <v>0.7873</v>
      </c>
      <c r="AE30" s="152">
        <v>346</v>
      </c>
      <c r="AF30" s="93">
        <v>13913617</v>
      </c>
      <c r="AG30" s="94">
        <f t="shared" si="19"/>
        <v>5777</v>
      </c>
      <c r="AH30" s="100">
        <f t="shared" si="20"/>
        <v>1155.4000000000001</v>
      </c>
      <c r="AI30" s="93">
        <v>6428969</v>
      </c>
      <c r="AJ30" s="94">
        <f t="shared" si="21"/>
        <v>2204</v>
      </c>
      <c r="AK30" s="100">
        <f t="shared" si="22"/>
        <v>440.8</v>
      </c>
      <c r="AL30" s="96">
        <v>169512</v>
      </c>
      <c r="AM30" s="94">
        <f t="shared" si="23"/>
        <v>548</v>
      </c>
      <c r="AN30" s="100">
        <f t="shared" si="24"/>
        <v>109.60000000000001</v>
      </c>
      <c r="AO30" s="96">
        <v>7155</v>
      </c>
      <c r="AP30" s="94">
        <f t="shared" si="30"/>
        <v>8</v>
      </c>
      <c r="AQ30" s="152">
        <f t="shared" si="25"/>
        <v>62.72</v>
      </c>
      <c r="AR30" s="93">
        <v>2982</v>
      </c>
      <c r="AS30" s="94">
        <f t="shared" si="26"/>
        <v>15</v>
      </c>
      <c r="AT30" s="100">
        <f t="shared" si="9"/>
        <v>117.6</v>
      </c>
      <c r="AU30" s="93">
        <v>18</v>
      </c>
      <c r="AV30" s="94">
        <f t="shared" si="27"/>
        <v>0</v>
      </c>
      <c r="AW30" s="100">
        <f t="shared" si="28"/>
        <v>0</v>
      </c>
    </row>
    <row r="31" spans="1:49" s="3" customFormat="1" ht="27.95" customHeight="1" x14ac:dyDescent="0.25">
      <c r="A31" s="104">
        <v>45500</v>
      </c>
      <c r="B31" s="96">
        <v>19814266</v>
      </c>
      <c r="C31" s="94">
        <f t="shared" si="3"/>
        <v>7363</v>
      </c>
      <c r="D31" s="94">
        <v>20624506</v>
      </c>
      <c r="E31" s="94">
        <f t="shared" si="10"/>
        <v>6496</v>
      </c>
      <c r="F31" s="94">
        <v>464713</v>
      </c>
      <c r="G31" s="94">
        <f t="shared" si="11"/>
        <v>107</v>
      </c>
      <c r="H31" s="95">
        <f t="shared" si="0"/>
        <v>13966</v>
      </c>
      <c r="I31" s="115">
        <f t="shared" si="1"/>
        <v>2793.2000000000003</v>
      </c>
      <c r="J31" s="96">
        <v>90150</v>
      </c>
      <c r="K31" s="94">
        <f t="shared" si="12"/>
        <v>115</v>
      </c>
      <c r="L31" s="78">
        <f t="shared" si="2"/>
        <v>901.6</v>
      </c>
      <c r="M31" s="93">
        <v>37514</v>
      </c>
      <c r="N31" s="94">
        <f t="shared" si="13"/>
        <v>19</v>
      </c>
      <c r="O31" s="94">
        <v>22137</v>
      </c>
      <c r="P31" s="97">
        <f t="shared" si="14"/>
        <v>14</v>
      </c>
      <c r="Q31" s="97">
        <f t="shared" si="4"/>
        <v>33</v>
      </c>
      <c r="R31" s="98">
        <v>55764</v>
      </c>
      <c r="S31" s="97">
        <f t="shared" si="15"/>
        <v>33</v>
      </c>
      <c r="T31" s="108">
        <f t="shared" si="5"/>
        <v>34.838100000000004</v>
      </c>
      <c r="U31" s="106">
        <f t="shared" si="6"/>
        <v>594.63800500000002</v>
      </c>
      <c r="V31" s="93">
        <v>71009</v>
      </c>
      <c r="W31" s="94">
        <f t="shared" si="31"/>
        <v>40</v>
      </c>
      <c r="X31" s="99">
        <f t="shared" si="29"/>
        <v>11373.800000000001</v>
      </c>
      <c r="Y31" s="99">
        <f t="shared" si="7"/>
        <v>3914.8619600000006</v>
      </c>
      <c r="Z31" s="182">
        <f t="shared" si="17"/>
        <v>4243.4694354838712</v>
      </c>
      <c r="AA31" s="77">
        <f t="shared" si="8"/>
        <v>8158.3313954838723</v>
      </c>
      <c r="AB31" s="98">
        <v>7405298</v>
      </c>
      <c r="AC31" s="162">
        <f t="shared" si="18"/>
        <v>13695</v>
      </c>
      <c r="AD31" s="146">
        <v>0.85709999999999997</v>
      </c>
      <c r="AE31" s="152">
        <v>399</v>
      </c>
      <c r="AF31" s="93">
        <v>13918471</v>
      </c>
      <c r="AG31" s="94">
        <f t="shared" si="19"/>
        <v>4854</v>
      </c>
      <c r="AH31" s="100">
        <f t="shared" si="20"/>
        <v>970.80000000000007</v>
      </c>
      <c r="AI31" s="93">
        <v>6431036</v>
      </c>
      <c r="AJ31" s="94">
        <f t="shared" si="21"/>
        <v>2067</v>
      </c>
      <c r="AK31" s="100">
        <f t="shared" si="22"/>
        <v>413.40000000000003</v>
      </c>
      <c r="AL31" s="96">
        <v>170009</v>
      </c>
      <c r="AM31" s="94">
        <f t="shared" si="23"/>
        <v>497</v>
      </c>
      <c r="AN31" s="100">
        <f t="shared" si="24"/>
        <v>99.4</v>
      </c>
      <c r="AO31" s="96">
        <v>7164</v>
      </c>
      <c r="AP31" s="94">
        <f t="shared" si="30"/>
        <v>9</v>
      </c>
      <c r="AQ31" s="152">
        <f t="shared" si="25"/>
        <v>70.56</v>
      </c>
      <c r="AR31" s="93">
        <v>2987</v>
      </c>
      <c r="AS31" s="94">
        <f t="shared" si="26"/>
        <v>5</v>
      </c>
      <c r="AT31" s="100">
        <f t="shared" si="9"/>
        <v>39.200000000000003</v>
      </c>
      <c r="AU31" s="93">
        <v>18</v>
      </c>
      <c r="AV31" s="94">
        <f t="shared" si="27"/>
        <v>0</v>
      </c>
      <c r="AW31" s="100">
        <f t="shared" si="28"/>
        <v>0</v>
      </c>
    </row>
    <row r="32" spans="1:49" s="3" customFormat="1" ht="27.95" customHeight="1" x14ac:dyDescent="0.25">
      <c r="A32" s="104">
        <v>45501</v>
      </c>
      <c r="B32" s="96">
        <v>19821710</v>
      </c>
      <c r="C32" s="94">
        <f t="shared" si="3"/>
        <v>7444</v>
      </c>
      <c r="D32" s="94">
        <v>20631116</v>
      </c>
      <c r="E32" s="94">
        <f t="shared" si="10"/>
        <v>6610</v>
      </c>
      <c r="F32" s="94">
        <v>464820</v>
      </c>
      <c r="G32" s="94">
        <f t="shared" si="11"/>
        <v>107</v>
      </c>
      <c r="H32" s="95">
        <f t="shared" si="0"/>
        <v>14161</v>
      </c>
      <c r="I32" s="115">
        <f t="shared" si="1"/>
        <v>2832.2000000000003</v>
      </c>
      <c r="J32" s="96">
        <v>90250</v>
      </c>
      <c r="K32" s="94">
        <f t="shared" si="12"/>
        <v>100</v>
      </c>
      <c r="L32" s="78">
        <f t="shared" si="2"/>
        <v>784</v>
      </c>
      <c r="M32" s="93">
        <v>37531</v>
      </c>
      <c r="N32" s="94">
        <f t="shared" si="13"/>
        <v>17</v>
      </c>
      <c r="O32" s="94">
        <v>22148</v>
      </c>
      <c r="P32" s="97">
        <f>IF(ISBLANK(O32),"0",O32-O31)</f>
        <v>11</v>
      </c>
      <c r="Q32" s="97">
        <f t="shared" si="4"/>
        <v>28</v>
      </c>
      <c r="R32" s="98">
        <v>55793</v>
      </c>
      <c r="S32" s="97">
        <f>IF(ISBLANK(R32),"0",R32-R31)</f>
        <v>29</v>
      </c>
      <c r="T32" s="108">
        <f t="shared" si="5"/>
        <v>30.615300000000001</v>
      </c>
      <c r="U32" s="106">
        <f t="shared" si="6"/>
        <v>547.97606500000006</v>
      </c>
      <c r="V32" s="93">
        <v>71051</v>
      </c>
      <c r="W32" s="94">
        <f t="shared" si="31"/>
        <v>42</v>
      </c>
      <c r="X32" s="99">
        <f t="shared" si="29"/>
        <v>11942.490000000002</v>
      </c>
      <c r="Y32" s="99">
        <f t="shared" si="7"/>
        <v>4110.605058000001</v>
      </c>
      <c r="Z32" s="182">
        <f t="shared" si="17"/>
        <v>4243.4694354838712</v>
      </c>
      <c r="AA32" s="77">
        <f t="shared" si="8"/>
        <v>8354.0744934838731</v>
      </c>
      <c r="AB32" s="98">
        <v>7419722</v>
      </c>
      <c r="AC32" s="162">
        <f t="shared" si="18"/>
        <v>14424</v>
      </c>
      <c r="AD32" s="146">
        <v>0.9556</v>
      </c>
      <c r="AE32" s="152">
        <v>423</v>
      </c>
      <c r="AF32" s="93">
        <v>13923534</v>
      </c>
      <c r="AG32" s="94">
        <f t="shared" si="19"/>
        <v>5063</v>
      </c>
      <c r="AH32" s="100">
        <f t="shared" si="20"/>
        <v>1012.6</v>
      </c>
      <c r="AI32" s="93">
        <v>6433136</v>
      </c>
      <c r="AJ32" s="94">
        <f t="shared" si="21"/>
        <v>2100</v>
      </c>
      <c r="AK32" s="100">
        <f t="shared" si="22"/>
        <v>420</v>
      </c>
      <c r="AL32" s="96">
        <v>170549</v>
      </c>
      <c r="AM32" s="94">
        <f t="shared" si="23"/>
        <v>540</v>
      </c>
      <c r="AN32" s="100">
        <f t="shared" si="24"/>
        <v>108</v>
      </c>
      <c r="AO32" s="96">
        <v>7170</v>
      </c>
      <c r="AP32" s="94">
        <f t="shared" si="30"/>
        <v>6</v>
      </c>
      <c r="AQ32" s="152">
        <f t="shared" si="25"/>
        <v>47.04</v>
      </c>
      <c r="AR32" s="93">
        <v>2988</v>
      </c>
      <c r="AS32" s="94">
        <f t="shared" si="26"/>
        <v>1</v>
      </c>
      <c r="AT32" s="100">
        <f t="shared" si="9"/>
        <v>7.84</v>
      </c>
      <c r="AU32" s="93">
        <v>19</v>
      </c>
      <c r="AV32" s="94">
        <f t="shared" si="27"/>
        <v>1</v>
      </c>
      <c r="AW32" s="100">
        <f t="shared" si="28"/>
        <v>7.84</v>
      </c>
    </row>
    <row r="33" spans="1:165" s="3" customFormat="1" ht="27.95" customHeight="1" x14ac:dyDescent="0.25">
      <c r="A33" s="104">
        <v>45502</v>
      </c>
      <c r="B33" s="96">
        <v>19828994</v>
      </c>
      <c r="C33" s="94">
        <f t="shared" si="3"/>
        <v>7284</v>
      </c>
      <c r="D33" s="94">
        <v>20637545</v>
      </c>
      <c r="E33" s="94">
        <f t="shared" si="10"/>
        <v>6429</v>
      </c>
      <c r="F33" s="94">
        <v>464922</v>
      </c>
      <c r="G33" s="94">
        <f t="shared" si="11"/>
        <v>102</v>
      </c>
      <c r="H33" s="95">
        <f t="shared" si="0"/>
        <v>13815</v>
      </c>
      <c r="I33" s="115">
        <f t="shared" si="1"/>
        <v>2763</v>
      </c>
      <c r="J33" s="96">
        <v>90371</v>
      </c>
      <c r="K33" s="94">
        <f t="shared" si="12"/>
        <v>121</v>
      </c>
      <c r="L33" s="78">
        <f t="shared" si="2"/>
        <v>948.64</v>
      </c>
      <c r="M33" s="93">
        <v>37548</v>
      </c>
      <c r="N33" s="94">
        <f t="shared" si="13"/>
        <v>17</v>
      </c>
      <c r="O33" s="94">
        <v>22163</v>
      </c>
      <c r="P33" s="97">
        <f t="shared" si="14"/>
        <v>15</v>
      </c>
      <c r="Q33" s="97">
        <f t="shared" si="4"/>
        <v>32</v>
      </c>
      <c r="R33" s="98">
        <v>55825</v>
      </c>
      <c r="S33" s="97">
        <f t="shared" si="15"/>
        <v>32</v>
      </c>
      <c r="T33" s="108">
        <f t="shared" si="5"/>
        <v>33.782400000000003</v>
      </c>
      <c r="U33" s="106">
        <f t="shared" si="6"/>
        <v>582.97252000000003</v>
      </c>
      <c r="V33" s="93">
        <v>71094</v>
      </c>
      <c r="W33" s="94">
        <f t="shared" si="31"/>
        <v>43</v>
      </c>
      <c r="X33" s="99">
        <f t="shared" si="29"/>
        <v>12226.835000000001</v>
      </c>
      <c r="Y33" s="99">
        <f t="shared" si="7"/>
        <v>4208.4766070000005</v>
      </c>
      <c r="Z33" s="182">
        <f t="shared" si="17"/>
        <v>4243.4694354838712</v>
      </c>
      <c r="AA33" s="77">
        <f t="shared" si="8"/>
        <v>8451.9460424838726</v>
      </c>
      <c r="AB33" s="98">
        <v>7434735</v>
      </c>
      <c r="AC33" s="162">
        <f t="shared" si="18"/>
        <v>15013</v>
      </c>
      <c r="AD33" s="146">
        <v>0.9778</v>
      </c>
      <c r="AE33" s="152">
        <v>419</v>
      </c>
      <c r="AF33" s="93">
        <v>13929376</v>
      </c>
      <c r="AG33" s="94">
        <f t="shared" si="19"/>
        <v>5842</v>
      </c>
      <c r="AH33" s="100">
        <f t="shared" si="20"/>
        <v>1168.4000000000001</v>
      </c>
      <c r="AI33" s="93">
        <v>6435327</v>
      </c>
      <c r="AJ33" s="94">
        <f t="shared" si="21"/>
        <v>2191</v>
      </c>
      <c r="AK33" s="100">
        <f t="shared" si="22"/>
        <v>438.20000000000005</v>
      </c>
      <c r="AL33" s="96">
        <v>171119</v>
      </c>
      <c r="AM33" s="94">
        <f t="shared" si="23"/>
        <v>570</v>
      </c>
      <c r="AN33" s="100">
        <f t="shared" si="24"/>
        <v>114</v>
      </c>
      <c r="AO33" s="96">
        <v>7179</v>
      </c>
      <c r="AP33" s="94">
        <f t="shared" si="30"/>
        <v>9</v>
      </c>
      <c r="AQ33" s="152">
        <f t="shared" si="25"/>
        <v>70.56</v>
      </c>
      <c r="AR33" s="93">
        <v>2989</v>
      </c>
      <c r="AS33" s="94">
        <f t="shared" si="26"/>
        <v>1</v>
      </c>
      <c r="AT33" s="100">
        <f t="shared" si="9"/>
        <v>7.84</v>
      </c>
      <c r="AU33" s="93">
        <v>19</v>
      </c>
      <c r="AV33" s="94">
        <f t="shared" si="27"/>
        <v>0</v>
      </c>
      <c r="AW33" s="100">
        <f t="shared" si="28"/>
        <v>0</v>
      </c>
    </row>
    <row r="34" spans="1:165" s="3" customFormat="1" ht="27.95" customHeight="1" x14ac:dyDescent="0.25">
      <c r="A34" s="104">
        <v>45503</v>
      </c>
      <c r="B34" s="96">
        <v>19836502</v>
      </c>
      <c r="C34" s="94">
        <f t="shared" si="3"/>
        <v>7508</v>
      </c>
      <c r="D34" s="94">
        <v>20643818</v>
      </c>
      <c r="E34" s="94">
        <f t="shared" si="10"/>
        <v>6273</v>
      </c>
      <c r="F34" s="94">
        <v>465021</v>
      </c>
      <c r="G34" s="94">
        <f t="shared" si="11"/>
        <v>99</v>
      </c>
      <c r="H34" s="95">
        <f t="shared" si="0"/>
        <v>13880</v>
      </c>
      <c r="I34" s="115">
        <f t="shared" si="1"/>
        <v>2776</v>
      </c>
      <c r="J34" s="96">
        <v>90502</v>
      </c>
      <c r="K34" s="94">
        <f t="shared" si="12"/>
        <v>131</v>
      </c>
      <c r="L34" s="78">
        <f t="shared" si="2"/>
        <v>1027.04</v>
      </c>
      <c r="M34" s="93">
        <v>37566</v>
      </c>
      <c r="N34" s="94">
        <f t="shared" si="13"/>
        <v>18</v>
      </c>
      <c r="O34" s="94">
        <v>22177</v>
      </c>
      <c r="P34" s="97">
        <f>IF(ISBLANK(O34),"0",O34-O33)</f>
        <v>14</v>
      </c>
      <c r="Q34" s="97">
        <f t="shared" si="4"/>
        <v>32</v>
      </c>
      <c r="R34" s="98">
        <v>55857</v>
      </c>
      <c r="S34" s="97">
        <f>IF(ISBLANK(R34),"0",R34-R33)</f>
        <v>32</v>
      </c>
      <c r="T34" s="108">
        <f t="shared" si="5"/>
        <v>33.782400000000003</v>
      </c>
      <c r="U34" s="106">
        <f t="shared" si="6"/>
        <v>582.97252000000003</v>
      </c>
      <c r="V34" s="93">
        <v>71139</v>
      </c>
      <c r="W34" s="94">
        <f t="shared" si="31"/>
        <v>45</v>
      </c>
      <c r="X34" s="99">
        <f t="shared" si="29"/>
        <v>12795.525000000001</v>
      </c>
      <c r="Y34" s="99">
        <f t="shared" si="7"/>
        <v>4404.2197050000004</v>
      </c>
      <c r="Z34" s="182">
        <f t="shared" si="17"/>
        <v>4243.4694354838712</v>
      </c>
      <c r="AA34" s="77">
        <f t="shared" si="8"/>
        <v>8647.6891404838716</v>
      </c>
      <c r="AB34" s="98">
        <v>7450264</v>
      </c>
      <c r="AC34" s="162">
        <f t="shared" si="18"/>
        <v>15529</v>
      </c>
      <c r="AD34" s="146">
        <v>0.96830000000000005</v>
      </c>
      <c r="AE34" s="152">
        <v>423</v>
      </c>
      <c r="AF34" s="93">
        <v>13935295</v>
      </c>
      <c r="AG34" s="94">
        <f t="shared" si="19"/>
        <v>5919</v>
      </c>
      <c r="AH34" s="100">
        <f t="shared" si="20"/>
        <v>1183.8</v>
      </c>
      <c r="AI34" s="93">
        <v>6437535</v>
      </c>
      <c r="AJ34" s="94">
        <f t="shared" si="21"/>
        <v>2208</v>
      </c>
      <c r="AK34" s="100">
        <f t="shared" si="22"/>
        <v>441.6</v>
      </c>
      <c r="AL34" s="96">
        <v>171664</v>
      </c>
      <c r="AM34" s="94">
        <f t="shared" si="23"/>
        <v>545</v>
      </c>
      <c r="AN34" s="100">
        <f t="shared" si="24"/>
        <v>109</v>
      </c>
      <c r="AO34" s="96">
        <v>7187</v>
      </c>
      <c r="AP34" s="94">
        <f t="shared" si="30"/>
        <v>8</v>
      </c>
      <c r="AQ34" s="152">
        <f t="shared" si="25"/>
        <v>62.72</v>
      </c>
      <c r="AR34" s="93">
        <v>2994</v>
      </c>
      <c r="AS34" s="94">
        <f t="shared" si="26"/>
        <v>5</v>
      </c>
      <c r="AT34" s="100">
        <f t="shared" si="9"/>
        <v>39.200000000000003</v>
      </c>
      <c r="AU34" s="93">
        <v>19</v>
      </c>
      <c r="AV34" s="94">
        <f t="shared" si="27"/>
        <v>0</v>
      </c>
      <c r="AW34" s="100">
        <f t="shared" si="28"/>
        <v>0</v>
      </c>
    </row>
    <row r="35" spans="1:165" s="3" customFormat="1" ht="27.95" customHeight="1" thickBot="1" x14ac:dyDescent="0.3">
      <c r="A35" s="104">
        <v>45504</v>
      </c>
      <c r="B35" s="96">
        <v>19843676</v>
      </c>
      <c r="C35" s="94">
        <f t="shared" si="3"/>
        <v>7174</v>
      </c>
      <c r="D35" s="94">
        <v>20649916</v>
      </c>
      <c r="E35" s="94">
        <f t="shared" si="10"/>
        <v>6098</v>
      </c>
      <c r="F35" s="94">
        <v>465119</v>
      </c>
      <c r="G35" s="94">
        <f t="shared" si="11"/>
        <v>98</v>
      </c>
      <c r="H35" s="95">
        <f t="shared" si="0"/>
        <v>13370</v>
      </c>
      <c r="I35" s="115">
        <f t="shared" si="1"/>
        <v>2674</v>
      </c>
      <c r="J35" s="96">
        <v>90621</v>
      </c>
      <c r="K35" s="94">
        <f t="shared" si="12"/>
        <v>119</v>
      </c>
      <c r="L35" s="78">
        <f t="shared" si="2"/>
        <v>932.96</v>
      </c>
      <c r="M35" s="93">
        <v>37584</v>
      </c>
      <c r="N35" s="94">
        <f t="shared" si="13"/>
        <v>18</v>
      </c>
      <c r="O35" s="94">
        <v>22191</v>
      </c>
      <c r="P35" s="97">
        <f t="shared" si="14"/>
        <v>14</v>
      </c>
      <c r="Q35" s="97">
        <f t="shared" si="4"/>
        <v>32</v>
      </c>
      <c r="R35" s="98">
        <v>55890</v>
      </c>
      <c r="S35" s="97">
        <f t="shared" si="15"/>
        <v>33</v>
      </c>
      <c r="T35" s="108">
        <f t="shared" si="5"/>
        <v>34.838100000000004</v>
      </c>
      <c r="U35" s="106">
        <f t="shared" si="6"/>
        <v>594.63800500000002</v>
      </c>
      <c r="V35" s="93">
        <v>71180</v>
      </c>
      <c r="W35" s="94">
        <f t="shared" si="31"/>
        <v>41</v>
      </c>
      <c r="X35" s="99">
        <f t="shared" si="29"/>
        <v>11658.145</v>
      </c>
      <c r="Y35" s="99">
        <f t="shared" si="7"/>
        <v>4012.7335090000001</v>
      </c>
      <c r="Z35" s="182">
        <f t="shared" si="17"/>
        <v>4243.4694354838712</v>
      </c>
      <c r="AA35" s="77">
        <f t="shared" si="8"/>
        <v>8256.2029444838718</v>
      </c>
      <c r="AB35" s="98">
        <v>7464657</v>
      </c>
      <c r="AC35" s="162">
        <f t="shared" si="18"/>
        <v>14393</v>
      </c>
      <c r="AD35" s="146">
        <v>0.98729999999999996</v>
      </c>
      <c r="AE35" s="152">
        <v>425</v>
      </c>
      <c r="AF35" s="93">
        <v>13941025</v>
      </c>
      <c r="AG35" s="94">
        <f t="shared" si="19"/>
        <v>5730</v>
      </c>
      <c r="AH35" s="100">
        <f t="shared" si="20"/>
        <v>1146</v>
      </c>
      <c r="AI35" s="93">
        <v>6439661</v>
      </c>
      <c r="AJ35" s="94">
        <f t="shared" si="21"/>
        <v>2126</v>
      </c>
      <c r="AK35" s="100">
        <f t="shared" si="22"/>
        <v>425.20000000000005</v>
      </c>
      <c r="AL35" s="96">
        <v>172166</v>
      </c>
      <c r="AM35" s="94">
        <f t="shared" si="23"/>
        <v>502</v>
      </c>
      <c r="AN35" s="100">
        <f t="shared" si="24"/>
        <v>100.4</v>
      </c>
      <c r="AO35" s="96">
        <v>7196</v>
      </c>
      <c r="AP35" s="94">
        <f t="shared" si="30"/>
        <v>9</v>
      </c>
      <c r="AQ35" s="152">
        <f t="shared" si="25"/>
        <v>70.56</v>
      </c>
      <c r="AR35" s="93">
        <v>2994</v>
      </c>
      <c r="AS35" s="94">
        <f t="shared" si="26"/>
        <v>0</v>
      </c>
      <c r="AT35" s="100">
        <f t="shared" si="9"/>
        <v>0</v>
      </c>
      <c r="AU35" s="93">
        <v>19</v>
      </c>
      <c r="AV35" s="94">
        <f t="shared" si="27"/>
        <v>0</v>
      </c>
      <c r="AW35" s="100">
        <f t="shared" si="28"/>
        <v>0</v>
      </c>
    </row>
    <row r="36" spans="1:165" s="12" customFormat="1" ht="27.95" customHeight="1" thickBot="1" x14ac:dyDescent="0.3">
      <c r="A36" s="171"/>
      <c r="B36" s="79"/>
      <c r="C36" s="80">
        <f>SUM(C5:C35)</f>
        <v>229263</v>
      </c>
      <c r="D36" s="80"/>
      <c r="E36" s="80">
        <f>SUM(E5:E35)</f>
        <v>203560</v>
      </c>
      <c r="F36" s="81"/>
      <c r="G36" s="80">
        <f>SUM(G5:G35)</f>
        <v>3190</v>
      </c>
      <c r="H36" s="82">
        <f>SUM(H5:H35)</f>
        <v>436013</v>
      </c>
      <c r="I36" s="92">
        <f>H36*0.2</f>
        <v>87202.6</v>
      </c>
      <c r="J36" s="79"/>
      <c r="K36" s="80">
        <f>SUM(K5:K35)</f>
        <v>3537</v>
      </c>
      <c r="L36" s="92">
        <f>K36*7.84</f>
        <v>27730.079999999998</v>
      </c>
      <c r="M36" s="79"/>
      <c r="N36" s="82">
        <f>SUM(N5:N35)</f>
        <v>568</v>
      </c>
      <c r="O36" s="83"/>
      <c r="P36" s="82">
        <f>SUM(P5:P35)</f>
        <v>444</v>
      </c>
      <c r="Q36" s="82">
        <f>SUM(Q5:Q35)</f>
        <v>1012</v>
      </c>
      <c r="R36" s="83"/>
      <c r="S36" s="83">
        <f>SUM(S5:S35)</f>
        <v>1021</v>
      </c>
      <c r="T36" s="114">
        <f>SUM(T5:T35)</f>
        <v>1077.8697000000006</v>
      </c>
      <c r="U36" s="91">
        <f>SUM(U5:U35)</f>
        <v>18410.447184999997</v>
      </c>
      <c r="V36" s="79"/>
      <c r="W36" s="80">
        <f>SUM(W5:W35)</f>
        <v>1266</v>
      </c>
      <c r="X36" s="84">
        <f>SUM(X5:X35)</f>
        <v>359980.77</v>
      </c>
      <c r="Y36" s="84">
        <f>SUM(Y5:Y35)</f>
        <v>123905.38103400001</v>
      </c>
      <c r="Z36" s="84">
        <f>SUM(Z5:Z35)</f>
        <v>131547.55250000002</v>
      </c>
      <c r="AA36" s="91">
        <f>SUM(AA5:AA35)</f>
        <v>255452.93353400004</v>
      </c>
      <c r="AB36" s="85"/>
      <c r="AC36" s="117">
        <f>SUM(AC5:AC35)</f>
        <v>449308</v>
      </c>
      <c r="AD36" s="86">
        <f>AVERAGE(AD5:AD35)</f>
        <v>0.85775806451612902</v>
      </c>
      <c r="AE36" s="154">
        <f>SUM(AE5:AE35)</f>
        <v>11115</v>
      </c>
      <c r="AF36" s="79"/>
      <c r="AG36" s="160">
        <f>SUM(AG5:AG35)</f>
        <v>173759</v>
      </c>
      <c r="AH36" s="161">
        <f>SUM(AH5:AH35)</f>
        <v>34751.800000000003</v>
      </c>
      <c r="AI36" s="79"/>
      <c r="AJ36" s="160">
        <f>SUM(AJ5:AJ35)</f>
        <v>66622</v>
      </c>
      <c r="AK36" s="161">
        <f>SUM(AK5:AK35)</f>
        <v>13324.400000000001</v>
      </c>
      <c r="AL36" s="79"/>
      <c r="AM36" s="160">
        <f>SUM(AM5:AM35)</f>
        <v>16547</v>
      </c>
      <c r="AN36" s="161">
        <f>SUM(AN5:AN35)</f>
        <v>3309.4</v>
      </c>
      <c r="AO36" s="79"/>
      <c r="AP36" s="160">
        <f>SUM(AP5:AP35)</f>
        <v>270</v>
      </c>
      <c r="AQ36" s="161">
        <f>SUM(AQ5:AQ35)</f>
        <v>2116.8000000000002</v>
      </c>
      <c r="AR36" s="79"/>
      <c r="AS36" s="160">
        <f>SUM(AS5:AS35)</f>
        <v>126</v>
      </c>
      <c r="AT36" s="161">
        <f>SUM(AT5:AT35)</f>
        <v>987.84000000000026</v>
      </c>
      <c r="AU36" s="79"/>
      <c r="AV36" s="160">
        <f>SUM(AV5:AV35)</f>
        <v>25</v>
      </c>
      <c r="AW36" s="161">
        <f>SUM(AW5:AW35)</f>
        <v>196.00000000000006</v>
      </c>
    </row>
    <row r="37" spans="1:165" s="8" customFormat="1" ht="22.5" customHeight="1" thickBot="1" x14ac:dyDescent="0.3">
      <c r="A37" s="244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6"/>
      <c r="V37" s="247" t="s">
        <v>24</v>
      </c>
      <c r="W37" s="248"/>
      <c r="X37" s="248"/>
      <c r="Y37" s="248"/>
      <c r="Z37" s="248"/>
      <c r="AA37" s="248"/>
      <c r="AB37" s="249"/>
      <c r="AC37" s="118"/>
      <c r="AD37" s="101"/>
      <c r="AE37" s="101"/>
      <c r="AF37" s="102"/>
      <c r="AG37" s="102"/>
      <c r="AH37" s="102"/>
    </row>
    <row r="38" spans="1:165" ht="27.95" customHeight="1" x14ac:dyDescent="0.25">
      <c r="A38" s="170"/>
      <c r="B38" s="250" t="s">
        <v>3</v>
      </c>
      <c r="C38" s="251"/>
      <c r="D38" s="251" t="s">
        <v>13</v>
      </c>
      <c r="E38" s="251"/>
      <c r="F38" s="251"/>
      <c r="G38" s="251" t="s">
        <v>14</v>
      </c>
      <c r="H38" s="251"/>
      <c r="I38" s="252"/>
      <c r="J38" s="253" t="s">
        <v>4</v>
      </c>
      <c r="K38" s="254"/>
      <c r="L38" s="45" t="s">
        <v>13</v>
      </c>
      <c r="M38" s="254" t="s">
        <v>49</v>
      </c>
      <c r="N38" s="255"/>
      <c r="O38" s="256" t="s">
        <v>25</v>
      </c>
      <c r="P38" s="257"/>
      <c r="Q38" s="257"/>
      <c r="R38" s="257" t="s">
        <v>13</v>
      </c>
      <c r="S38" s="257"/>
      <c r="T38" s="257" t="s">
        <v>49</v>
      </c>
      <c r="U38" s="258"/>
      <c r="V38" s="259" t="s">
        <v>15</v>
      </c>
      <c r="W38" s="260"/>
      <c r="X38" s="260" t="s">
        <v>13</v>
      </c>
      <c r="Y38" s="260"/>
      <c r="Z38" s="260" t="s">
        <v>16</v>
      </c>
      <c r="AA38" s="260"/>
      <c r="AB38" s="261"/>
      <c r="AC38" s="121"/>
      <c r="AD38" s="180"/>
      <c r="AE38" s="180"/>
      <c r="AF38"/>
      <c r="AG38" s="179">
        <f>131547.55*7</f>
        <v>920832.84999999986</v>
      </c>
      <c r="AH38" s="262" t="s">
        <v>96</v>
      </c>
      <c r="AI38" s="263"/>
      <c r="AJ38" s="263"/>
      <c r="AK38" s="264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65" t="s">
        <v>103</v>
      </c>
      <c r="C39" s="266"/>
      <c r="D39" s="267">
        <f>I36</f>
        <v>87202.6</v>
      </c>
      <c r="E39" s="267"/>
      <c r="F39" s="267"/>
      <c r="G39" s="268">
        <f t="shared" ref="G39:G44" si="32">D39/0.2</f>
        <v>436013</v>
      </c>
      <c r="H39" s="268"/>
      <c r="I39" s="269"/>
      <c r="J39" s="265" t="str">
        <f t="shared" ref="J39:J44" si="33">B39</f>
        <v>Actual July 2024</v>
      </c>
      <c r="K39" s="266"/>
      <c r="L39" s="42">
        <f>L36</f>
        <v>27730.079999999998</v>
      </c>
      <c r="M39" s="268">
        <f>K36</f>
        <v>3537</v>
      </c>
      <c r="N39" s="269"/>
      <c r="O39" s="265" t="str">
        <f t="shared" ref="O39:O44" si="34">B39</f>
        <v>Actual July 2024</v>
      </c>
      <c r="P39" s="266"/>
      <c r="Q39" s="266"/>
      <c r="R39" s="272">
        <f>U36</f>
        <v>18410.447184999997</v>
      </c>
      <c r="S39" s="272"/>
      <c r="T39" s="268">
        <f>T36</f>
        <v>1077.8697000000006</v>
      </c>
      <c r="U39" s="269"/>
      <c r="V39" s="265" t="str">
        <f t="shared" ref="V39:V44" si="35">B39</f>
        <v>Actual July 2024</v>
      </c>
      <c r="W39" s="266"/>
      <c r="X39" s="267">
        <f>AA36</f>
        <v>255452.93353400004</v>
      </c>
      <c r="Y39" s="267"/>
      <c r="Z39" s="268">
        <f>X36</f>
        <v>359980.77</v>
      </c>
      <c r="AA39" s="268"/>
      <c r="AB39" s="269"/>
      <c r="AC39" s="119"/>
      <c r="AD39" s="122">
        <f>AC36</f>
        <v>449308</v>
      </c>
      <c r="AE39" s="123">
        <f>AD39-X36</f>
        <v>89327.229999999981</v>
      </c>
      <c r="AF39" s="181"/>
      <c r="AG39" s="130">
        <f>126488.42*7</f>
        <v>885418.94</v>
      </c>
      <c r="AH39" s="262" t="s">
        <v>52</v>
      </c>
      <c r="AI39" s="263"/>
      <c r="AJ39" s="263"/>
      <c r="AK39" s="264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2"/>
      <c r="B40" s="265" t="s">
        <v>104</v>
      </c>
      <c r="C40" s="266"/>
      <c r="D40" s="270">
        <v>97845.3</v>
      </c>
      <c r="E40" s="270"/>
      <c r="F40" s="270"/>
      <c r="G40" s="268">
        <f t="shared" si="32"/>
        <v>489226.5</v>
      </c>
      <c r="H40" s="268"/>
      <c r="I40" s="269"/>
      <c r="J40" s="265" t="str">
        <f t="shared" si="33"/>
        <v>Budget July 2024</v>
      </c>
      <c r="K40" s="266"/>
      <c r="L40" s="39">
        <v>24206.1794255034</v>
      </c>
      <c r="M40" s="268">
        <f>L40/7.84</f>
        <v>3087.5228859060462</v>
      </c>
      <c r="N40" s="269"/>
      <c r="O40" s="265" t="str">
        <f t="shared" si="34"/>
        <v>Budget July 2024</v>
      </c>
      <c r="P40" s="266"/>
      <c r="Q40" s="266"/>
      <c r="R40" s="271">
        <v>17051.902751677851</v>
      </c>
      <c r="S40" s="271"/>
      <c r="T40" s="268">
        <f>(R40-6500)/11.05</f>
        <v>954.92332594369691</v>
      </c>
      <c r="U40" s="269"/>
      <c r="V40" s="265" t="str">
        <f t="shared" si="35"/>
        <v>Budget July 2024</v>
      </c>
      <c r="W40" s="266"/>
      <c r="X40" s="270">
        <v>263600.2096</v>
      </c>
      <c r="Y40" s="270"/>
      <c r="Z40" s="268">
        <f>AG40/0.3442</f>
        <v>383650.95758280071</v>
      </c>
      <c r="AA40" s="268"/>
      <c r="AB40" s="269"/>
      <c r="AC40" s="120"/>
      <c r="AD40" s="174">
        <f>R39/T39</f>
        <v>17.080401448338318</v>
      </c>
      <c r="AE40" s="175"/>
      <c r="AF40" s="177"/>
      <c r="AG40" s="124">
        <f>X40-131547.55</f>
        <v>132052.65960000001</v>
      </c>
      <c r="AH40" s="262" t="s">
        <v>97</v>
      </c>
      <c r="AI40" s="263"/>
      <c r="AJ40" s="263"/>
      <c r="AK40" s="264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6"/>
      <c r="B41" s="265" t="s">
        <v>105</v>
      </c>
      <c r="C41" s="266"/>
      <c r="D41" s="270">
        <v>96887.8</v>
      </c>
      <c r="E41" s="270"/>
      <c r="F41" s="270"/>
      <c r="G41" s="268">
        <f t="shared" si="32"/>
        <v>484439</v>
      </c>
      <c r="H41" s="268"/>
      <c r="I41" s="269"/>
      <c r="J41" s="265" t="str">
        <f t="shared" si="33"/>
        <v>Actual July 2023</v>
      </c>
      <c r="K41" s="266"/>
      <c r="L41" s="39">
        <v>24641.119999999999</v>
      </c>
      <c r="M41" s="268">
        <f>L41/7.84</f>
        <v>3143</v>
      </c>
      <c r="N41" s="269"/>
      <c r="O41" s="265" t="str">
        <f t="shared" si="34"/>
        <v>Actual July 2023</v>
      </c>
      <c r="P41" s="266"/>
      <c r="Q41" s="266"/>
      <c r="R41" s="271">
        <v>17705.46</v>
      </c>
      <c r="S41" s="271"/>
      <c r="T41" s="268">
        <f>(R41-6500)/11.05</f>
        <v>1014.0687782805428</v>
      </c>
      <c r="U41" s="269"/>
      <c r="V41" s="265" t="str">
        <f t="shared" si="35"/>
        <v>Actual July 2023</v>
      </c>
      <c r="W41" s="266"/>
      <c r="X41" s="270">
        <v>253461.74</v>
      </c>
      <c r="Y41" s="270"/>
      <c r="Z41" s="268">
        <f>AG41/0.3435</f>
        <v>369645.76419213967</v>
      </c>
      <c r="AA41" s="268"/>
      <c r="AB41" s="269"/>
      <c r="AC41" s="120"/>
      <c r="AD41" s="176"/>
      <c r="AE41" s="11"/>
      <c r="AF41" s="177"/>
      <c r="AG41" s="125">
        <f>X41-126488.42</f>
        <v>126973.31999999999</v>
      </c>
      <c r="AH41" s="262" t="s">
        <v>98</v>
      </c>
      <c r="AI41" s="263"/>
      <c r="AJ41" s="263"/>
      <c r="AK41" s="264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2"/>
      <c r="B42" s="265" t="s">
        <v>71</v>
      </c>
      <c r="C42" s="266"/>
      <c r="D42" s="267">
        <f>D39+526580</f>
        <v>613782.6</v>
      </c>
      <c r="E42" s="267"/>
      <c r="F42" s="267"/>
      <c r="G42" s="268">
        <f t="shared" si="32"/>
        <v>3068912.9999999995</v>
      </c>
      <c r="H42" s="268"/>
      <c r="I42" s="269"/>
      <c r="J42" s="265" t="str">
        <f t="shared" si="33"/>
        <v>Actual YTD 2024</v>
      </c>
      <c r="K42" s="266"/>
      <c r="L42" s="42">
        <f>L39+143009.44</f>
        <v>170739.52</v>
      </c>
      <c r="M42" s="268">
        <f>L42/7.84</f>
        <v>21778</v>
      </c>
      <c r="N42" s="269"/>
      <c r="O42" s="273" t="str">
        <f t="shared" si="34"/>
        <v>Actual YTD 2024</v>
      </c>
      <c r="P42" s="274"/>
      <c r="Q42" s="275"/>
      <c r="R42" s="272">
        <f>R39+110282.04</f>
        <v>128692.48718499999</v>
      </c>
      <c r="S42" s="272"/>
      <c r="T42" s="268">
        <f>(R42-6500*7)/11.05</f>
        <v>7528.7318719456998</v>
      </c>
      <c r="U42" s="269"/>
      <c r="V42" s="265" t="str">
        <f t="shared" si="35"/>
        <v>Actual YTD 2024</v>
      </c>
      <c r="W42" s="266"/>
      <c r="X42" s="267">
        <f>X39+1215561.31</f>
        <v>1471014.2435340001</v>
      </c>
      <c r="Y42" s="267"/>
      <c r="Z42" s="268">
        <f>AG42/0.3442</f>
        <v>1598435.1933004074</v>
      </c>
      <c r="AA42" s="268"/>
      <c r="AB42" s="269"/>
      <c r="AC42" s="120"/>
      <c r="AD42" s="176"/>
      <c r="AF42" s="177"/>
      <c r="AG42" s="124">
        <f>X42-AG38</f>
        <v>550181.39353400026</v>
      </c>
      <c r="AH42" s="262" t="s">
        <v>99</v>
      </c>
      <c r="AI42" s="263"/>
      <c r="AJ42" s="263"/>
      <c r="AK42" s="264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2"/>
      <c r="B43" s="265" t="s">
        <v>72</v>
      </c>
      <c r="C43" s="266"/>
      <c r="D43" s="270">
        <f>D40+574490.7</f>
        <v>672336</v>
      </c>
      <c r="E43" s="270"/>
      <c r="F43" s="270"/>
      <c r="G43" s="268">
        <f t="shared" si="32"/>
        <v>3361680</v>
      </c>
      <c r="H43" s="268"/>
      <c r="I43" s="269"/>
      <c r="J43" s="265" t="str">
        <f t="shared" si="33"/>
        <v>Budget YTD 2024</v>
      </c>
      <c r="K43" s="266"/>
      <c r="L43" s="39">
        <f>L40+144101.9</f>
        <v>168308.07942550338</v>
      </c>
      <c r="M43" s="268">
        <f>L43/7.84</f>
        <v>21467.867273661148</v>
      </c>
      <c r="N43" s="269"/>
      <c r="O43" s="265" t="str">
        <f t="shared" si="34"/>
        <v>Budget YTD 2024</v>
      </c>
      <c r="P43" s="266"/>
      <c r="Q43" s="266"/>
      <c r="R43" s="271">
        <f>R40+109114.94</f>
        <v>126166.84275167785</v>
      </c>
      <c r="S43" s="271"/>
      <c r="T43" s="268">
        <f>(R43-6500*7)/11.05</f>
        <v>7300.1667648577231</v>
      </c>
      <c r="U43" s="269"/>
      <c r="V43" s="265" t="str">
        <f t="shared" si="35"/>
        <v>Budget YTD 2024</v>
      </c>
      <c r="W43" s="266"/>
      <c r="X43" s="270">
        <f>X40+1197324.4</f>
        <v>1460924.6095999999</v>
      </c>
      <c r="Y43" s="270"/>
      <c r="Z43" s="276">
        <f>AG43/0.3442</f>
        <v>1569121.9047065659</v>
      </c>
      <c r="AA43" s="277"/>
      <c r="AB43" s="278"/>
      <c r="AC43" s="120"/>
      <c r="AD43" s="176"/>
      <c r="AF43" s="177"/>
      <c r="AG43" s="124">
        <f>X43-AG38</f>
        <v>540091.75959999999</v>
      </c>
      <c r="AH43" s="262" t="s">
        <v>100</v>
      </c>
      <c r="AI43" s="263"/>
      <c r="AJ43" s="263"/>
      <c r="AK43" s="264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0"/>
      <c r="B44" s="293" t="s">
        <v>51</v>
      </c>
      <c r="C44" s="294"/>
      <c r="D44" s="279">
        <v>656463</v>
      </c>
      <c r="E44" s="279"/>
      <c r="F44" s="279"/>
      <c r="G44" s="280">
        <f t="shared" si="32"/>
        <v>3282315</v>
      </c>
      <c r="H44" s="280"/>
      <c r="I44" s="281"/>
      <c r="J44" s="293" t="str">
        <f t="shared" si="33"/>
        <v>Actual YTD 2023</v>
      </c>
      <c r="K44" s="294"/>
      <c r="L44" s="43">
        <v>152362.56</v>
      </c>
      <c r="M44" s="280">
        <f>L44/7.84</f>
        <v>19434</v>
      </c>
      <c r="N44" s="281"/>
      <c r="O44" s="293" t="str">
        <f t="shared" si="34"/>
        <v>Actual YTD 2023</v>
      </c>
      <c r="P44" s="294"/>
      <c r="Q44" s="294"/>
      <c r="R44" s="295">
        <v>117302.25</v>
      </c>
      <c r="S44" s="295"/>
      <c r="T44" s="280">
        <f>(R44-6500*7)/11.05</f>
        <v>6497.9411764705874</v>
      </c>
      <c r="U44" s="281"/>
      <c r="V44" s="293" t="str">
        <f t="shared" si="35"/>
        <v>Actual YTD 2023</v>
      </c>
      <c r="W44" s="294"/>
      <c r="X44" s="279">
        <v>1396357.02</v>
      </c>
      <c r="Y44" s="279"/>
      <c r="Z44" s="280">
        <f>AG44/0.3435</f>
        <v>1487447.1033478894</v>
      </c>
      <c r="AA44" s="280"/>
      <c r="AB44" s="281"/>
      <c r="AC44" s="120"/>
      <c r="AD44" s="176"/>
      <c r="AF44" s="177"/>
      <c r="AG44" s="126">
        <f>X44-AG39</f>
        <v>510938.08000000007</v>
      </c>
      <c r="AH44" s="262" t="s">
        <v>53</v>
      </c>
      <c r="AI44" s="263"/>
      <c r="AJ44" s="263"/>
      <c r="AK44" s="264"/>
      <c r="AL44" s="8"/>
      <c r="AM44" s="8"/>
      <c r="AN44" s="8"/>
      <c r="AO44" s="8"/>
      <c r="AP44" s="8"/>
    </row>
    <row r="45" spans="1:165" ht="27.95" customHeight="1" x14ac:dyDescent="0.25">
      <c r="G45" s="143"/>
      <c r="H45" s="143">
        <v>45474</v>
      </c>
      <c r="I45" s="87">
        <f ca="1">TODAY()</f>
        <v>45509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8"/>
      <c r="AE45" s="178"/>
      <c r="AF45" s="178"/>
      <c r="AG45" s="173"/>
      <c r="AH45" s="173"/>
      <c r="AI45" s="172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82" t="s">
        <v>26</v>
      </c>
      <c r="B46" s="283"/>
      <c r="D46" s="284" t="s">
        <v>27</v>
      </c>
      <c r="E46" s="285"/>
      <c r="F46" s="285"/>
      <c r="G46" s="286"/>
      <c r="H46" s="48"/>
      <c r="I46" s="287" t="s">
        <v>28</v>
      </c>
      <c r="J46" s="288"/>
      <c r="K46" s="288"/>
      <c r="L46" s="289"/>
      <c r="M46" s="49"/>
      <c r="N46" s="284" t="s">
        <v>29</v>
      </c>
      <c r="O46" s="285"/>
      <c r="P46" s="285"/>
      <c r="Q46" s="285"/>
      <c r="R46" s="285"/>
      <c r="S46" s="286"/>
      <c r="T46" s="2"/>
      <c r="U46" s="284" t="s">
        <v>30</v>
      </c>
      <c r="V46" s="285"/>
      <c r="W46" s="285"/>
      <c r="X46" s="286"/>
      <c r="Y46"/>
      <c r="Z46" s="284" t="s">
        <v>54</v>
      </c>
      <c r="AA46" s="285"/>
      <c r="AB46" s="286"/>
      <c r="AC46"/>
      <c r="AD46" s="290" t="s">
        <v>55</v>
      </c>
      <c r="AE46" s="291"/>
      <c r="AF46" s="292"/>
      <c r="AG46" s="139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97845.3</v>
      </c>
      <c r="C47" s="10"/>
      <c r="D47" s="296" t="s">
        <v>3</v>
      </c>
      <c r="E47" s="297"/>
      <c r="F47" s="297"/>
      <c r="G47" s="40">
        <f>B47/31</f>
        <v>3156.3</v>
      </c>
      <c r="H47" s="144"/>
      <c r="I47" s="296" t="s">
        <v>3</v>
      </c>
      <c r="J47" s="297"/>
      <c r="K47" s="297"/>
      <c r="L47" s="127">
        <f>I36/J45</f>
        <v>2812.9870967741936</v>
      </c>
      <c r="M47" s="50"/>
      <c r="N47" s="296" t="s">
        <v>3</v>
      </c>
      <c r="O47" s="297"/>
      <c r="P47" s="297"/>
      <c r="Q47" s="297"/>
      <c r="R47" s="298">
        <f>G47*J45</f>
        <v>97845.3</v>
      </c>
      <c r="S47" s="299"/>
      <c r="T47" s="51"/>
      <c r="U47" s="296" t="s">
        <v>3</v>
      </c>
      <c r="V47" s="297"/>
      <c r="W47" s="300">
        <f>I36</f>
        <v>87202.6</v>
      </c>
      <c r="X47" s="301"/>
      <c r="Y47" s="52">
        <f>R47-W47</f>
        <v>10642.699999999997</v>
      </c>
      <c r="Z47" s="296" t="s">
        <v>3</v>
      </c>
      <c r="AA47" s="297"/>
      <c r="AB47" s="131">
        <f>R47+574490.7</f>
        <v>672336</v>
      </c>
      <c r="AC47"/>
      <c r="AD47" s="296" t="s">
        <v>3</v>
      </c>
      <c r="AE47" s="297"/>
      <c r="AF47" s="133">
        <f>W47+526580</f>
        <v>613782.6</v>
      </c>
      <c r="AG47" s="134">
        <f>AB47-AF47</f>
        <v>58553.400000000023</v>
      </c>
      <c r="AH47" s="135">
        <f>AF47-AB47</f>
        <v>-58553.400000000023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24206.1794255034</v>
      </c>
      <c r="C48" s="10"/>
      <c r="D48" s="296" t="s">
        <v>4</v>
      </c>
      <c r="E48" s="297"/>
      <c r="F48" s="297"/>
      <c r="G48" s="40">
        <f>B48/31</f>
        <v>780.84449759688391</v>
      </c>
      <c r="H48" s="144"/>
      <c r="I48" s="296" t="s">
        <v>4</v>
      </c>
      <c r="J48" s="297"/>
      <c r="K48" s="297"/>
      <c r="L48" s="128">
        <f>L36/J45</f>
        <v>894.51870967741934</v>
      </c>
      <c r="M48" s="50"/>
      <c r="N48" s="296" t="s">
        <v>4</v>
      </c>
      <c r="O48" s="297"/>
      <c r="P48" s="297"/>
      <c r="Q48" s="297"/>
      <c r="R48" s="298">
        <f>G48*J45</f>
        <v>24206.1794255034</v>
      </c>
      <c r="S48" s="299"/>
      <c r="T48" s="51"/>
      <c r="U48" s="296" t="s">
        <v>4</v>
      </c>
      <c r="V48" s="297"/>
      <c r="W48" s="300">
        <f>L36</f>
        <v>27730.079999999998</v>
      </c>
      <c r="X48" s="301"/>
      <c r="Y48" s="52">
        <f>R48-W48</f>
        <v>-3523.900574496598</v>
      </c>
      <c r="Z48" s="296" t="s">
        <v>4</v>
      </c>
      <c r="AA48" s="297"/>
      <c r="AB48" s="131">
        <f>R48+144101.9</f>
        <v>168308.07942550338</v>
      </c>
      <c r="AC48"/>
      <c r="AD48" s="296" t="s">
        <v>4</v>
      </c>
      <c r="AE48" s="297"/>
      <c r="AF48" s="133">
        <f>W48+143009.44</f>
        <v>170739.52</v>
      </c>
      <c r="AG48" s="134">
        <f>AB48-AF48</f>
        <v>-2431.4405744966061</v>
      </c>
      <c r="AH48" s="135">
        <f>AF48-AB48</f>
        <v>2431.4405744966061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17051.902751677851</v>
      </c>
      <c r="C49" s="10"/>
      <c r="D49" s="296" t="s">
        <v>25</v>
      </c>
      <c r="E49" s="297"/>
      <c r="F49" s="297"/>
      <c r="G49" s="40">
        <f>B49/31</f>
        <v>550.06137908638232</v>
      </c>
      <c r="H49" s="50"/>
      <c r="I49" s="296" t="s">
        <v>25</v>
      </c>
      <c r="J49" s="297"/>
      <c r="K49" s="297"/>
      <c r="L49" s="128">
        <f>U36/J45</f>
        <v>593.88539306451605</v>
      </c>
      <c r="M49" s="50"/>
      <c r="N49" s="296" t="s">
        <v>25</v>
      </c>
      <c r="O49" s="297"/>
      <c r="P49" s="297"/>
      <c r="Q49" s="297"/>
      <c r="R49" s="298">
        <f>G49*J45</f>
        <v>17051.902751677851</v>
      </c>
      <c r="S49" s="299"/>
      <c r="T49" s="51"/>
      <c r="U49" s="296" t="s">
        <v>25</v>
      </c>
      <c r="V49" s="297"/>
      <c r="W49" s="300">
        <f>U36</f>
        <v>18410.447184999997</v>
      </c>
      <c r="X49" s="301"/>
      <c r="Y49" s="52">
        <f>R49-W49</f>
        <v>-1358.5444333221458</v>
      </c>
      <c r="Z49" s="296" t="s">
        <v>25</v>
      </c>
      <c r="AA49" s="297"/>
      <c r="AB49" s="131">
        <f>R49+109114.94</f>
        <v>126166.84275167785</v>
      </c>
      <c r="AC49"/>
      <c r="AD49" s="296" t="s">
        <v>25</v>
      </c>
      <c r="AE49" s="297"/>
      <c r="AF49" s="133">
        <f>W49+110282.04</f>
        <v>128692.48718499999</v>
      </c>
      <c r="AG49" s="134">
        <f>AB49-AF49</f>
        <v>-2525.6444333221443</v>
      </c>
      <c r="AH49" s="135">
        <f>AF49-AB49</f>
        <v>2525.6444333221443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263600.2096</v>
      </c>
      <c r="C50" s="61"/>
      <c r="D50" s="302" t="s">
        <v>15</v>
      </c>
      <c r="E50" s="303"/>
      <c r="F50" s="303"/>
      <c r="G50" s="38">
        <f>B50/31</f>
        <v>8503.2325677419358</v>
      </c>
      <c r="H50" s="53"/>
      <c r="I50" s="302" t="s">
        <v>15</v>
      </c>
      <c r="J50" s="303"/>
      <c r="K50" s="303"/>
      <c r="L50" s="129">
        <f>AA36/J45</f>
        <v>8240.4172107741942</v>
      </c>
      <c r="M50" s="53"/>
      <c r="N50" s="302" t="s">
        <v>15</v>
      </c>
      <c r="O50" s="303"/>
      <c r="P50" s="303"/>
      <c r="Q50" s="303"/>
      <c r="R50" s="306">
        <f>G50*J45</f>
        <v>263600.2096</v>
      </c>
      <c r="S50" s="307"/>
      <c r="T50" s="51"/>
      <c r="U50" s="302" t="s">
        <v>15</v>
      </c>
      <c r="V50" s="303"/>
      <c r="W50" s="308">
        <f>AA36</f>
        <v>255452.93353400004</v>
      </c>
      <c r="X50" s="309"/>
      <c r="Y50" s="52">
        <f>R50-W50</f>
        <v>8147.2760659999622</v>
      </c>
      <c r="Z50" s="302" t="s">
        <v>15</v>
      </c>
      <c r="AA50" s="303"/>
      <c r="AB50" s="65">
        <f>R50+1197324.4</f>
        <v>1460924.6095999999</v>
      </c>
      <c r="AC50"/>
      <c r="AD50" s="302" t="s">
        <v>15</v>
      </c>
      <c r="AE50" s="303"/>
      <c r="AF50" s="140">
        <f>W50+1215561.31</f>
        <v>1471014.2435340001</v>
      </c>
      <c r="AG50" s="141">
        <f>AB50-AF50</f>
        <v>-10089.633934000274</v>
      </c>
      <c r="AH50" s="142">
        <f>AF50-AB50</f>
        <v>10089.633934000274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402703.59177718125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304">
        <f>SUM(R47:S50)</f>
        <v>402703.59177718125</v>
      </c>
      <c r="S51" s="304"/>
      <c r="T51" s="56"/>
      <c r="U51" s="56"/>
      <c r="V51" s="56"/>
      <c r="W51" s="304">
        <f>SUM(W47:X50)</f>
        <v>388796.06071900006</v>
      </c>
      <c r="X51" s="304"/>
      <c r="Y51" s="52">
        <f>R51-W51</f>
        <v>13907.531058181194</v>
      </c>
      <c r="Z51" s="305"/>
      <c r="AA51" s="305" t="s">
        <v>58</v>
      </c>
      <c r="AB51" s="132">
        <f>SUM(AB47:AB50)</f>
        <v>2427735.5317771812</v>
      </c>
      <c r="AD51" s="136"/>
      <c r="AF51" s="132">
        <f>SUM(AF47:AF50)</f>
        <v>2384228.8507190002</v>
      </c>
      <c r="AG51" s="137">
        <f>AB51-AF51</f>
        <v>43506.681058180984</v>
      </c>
      <c r="AH51" s="132"/>
      <c r="AI51" s="137"/>
      <c r="AJ51" s="137"/>
      <c r="AK51" s="137"/>
      <c r="AL51" s="138"/>
      <c r="AM51" s="138"/>
      <c r="AN51" s="138"/>
      <c r="AO51"/>
      <c r="AP51"/>
      <c r="AQ51"/>
    </row>
    <row r="52" spans="1:43" ht="27.95" customHeight="1" x14ac:dyDescent="0.25">
      <c r="B52" s="54">
        <f>B51*X52</f>
        <v>13907.531058181181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3.4535403562718447E-2</v>
      </c>
      <c r="Y52" s="59"/>
      <c r="Z52"/>
      <c r="AA52"/>
      <c r="AB52"/>
      <c r="AC52"/>
      <c r="AD52"/>
      <c r="AE52"/>
      <c r="AF52" s="58">
        <f>1-(AF51/AB51)</f>
        <v>1.7920683900166323E-2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82" t="s">
        <v>41</v>
      </c>
      <c r="B54" s="283"/>
      <c r="D54" s="284" t="s">
        <v>42</v>
      </c>
      <c r="E54" s="285"/>
      <c r="F54" s="285"/>
      <c r="G54" s="286"/>
      <c r="H54" s="48"/>
      <c r="I54" s="287" t="s">
        <v>43</v>
      </c>
      <c r="J54" s="288"/>
      <c r="K54" s="288"/>
      <c r="L54" s="289"/>
      <c r="M54" s="49"/>
      <c r="N54" s="284" t="s">
        <v>30</v>
      </c>
      <c r="O54" s="285"/>
      <c r="P54" s="285"/>
      <c r="Q54" s="285"/>
      <c r="R54" s="285"/>
      <c r="S54" s="286"/>
      <c r="T54" s="2"/>
      <c r="U54" s="284" t="s">
        <v>44</v>
      </c>
      <c r="V54" s="285"/>
      <c r="W54" s="285"/>
      <c r="X54" s="286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4"/>
      <c r="AG54" s="164"/>
      <c r="AH54" s="164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96887.8</v>
      </c>
      <c r="C55" s="10"/>
      <c r="D55" s="296" t="s">
        <v>3</v>
      </c>
      <c r="E55" s="297"/>
      <c r="F55" s="297"/>
      <c r="G55" s="40">
        <f>B55/31</f>
        <v>3125.4129032258065</v>
      </c>
      <c r="H55" s="50"/>
      <c r="I55" s="296" t="s">
        <v>3</v>
      </c>
      <c r="J55" s="297"/>
      <c r="K55" s="297"/>
      <c r="L55" s="66">
        <f>G55*J45</f>
        <v>96887.8</v>
      </c>
      <c r="M55" s="50"/>
      <c r="N55" s="296" t="s">
        <v>3</v>
      </c>
      <c r="O55" s="297"/>
      <c r="P55" s="297"/>
      <c r="Q55" s="297"/>
      <c r="R55" s="310">
        <f>W47</f>
        <v>87202.6</v>
      </c>
      <c r="S55" s="311"/>
      <c r="T55" s="51"/>
      <c r="U55" s="296" t="s">
        <v>3</v>
      </c>
      <c r="V55" s="297"/>
      <c r="W55" s="300">
        <f>L55-R55</f>
        <v>9685.1999999999971</v>
      </c>
      <c r="X55" s="301"/>
      <c r="Y55" s="52"/>
      <c r="Z55" s="113">
        <f>L47*31</f>
        <v>87202.6</v>
      </c>
      <c r="AA55" s="72">
        <f>Z55+526580</f>
        <v>613782.6</v>
      </c>
      <c r="AB55" s="10"/>
      <c r="AC55" s="10"/>
      <c r="AD55" s="68">
        <f>D41-Z55</f>
        <v>9685.1999999999971</v>
      </c>
      <c r="AE55" s="69">
        <f>D44-AA55</f>
        <v>42680.400000000023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24641.119999999999</v>
      </c>
      <c r="C56" s="10"/>
      <c r="D56" s="296" t="s">
        <v>4</v>
      </c>
      <c r="E56" s="297"/>
      <c r="F56" s="297"/>
      <c r="G56" s="40">
        <f>B56/31</f>
        <v>794.87483870967742</v>
      </c>
      <c r="H56" s="50"/>
      <c r="I56" s="296" t="s">
        <v>4</v>
      </c>
      <c r="J56" s="297"/>
      <c r="K56" s="297"/>
      <c r="L56" s="66">
        <f>G56*J45</f>
        <v>24641.119999999999</v>
      </c>
      <c r="M56" s="50"/>
      <c r="N56" s="296" t="s">
        <v>4</v>
      </c>
      <c r="O56" s="297"/>
      <c r="P56" s="297"/>
      <c r="Q56" s="297"/>
      <c r="R56" s="310">
        <f>W48</f>
        <v>27730.079999999998</v>
      </c>
      <c r="S56" s="311"/>
      <c r="T56" s="51"/>
      <c r="U56" s="296" t="s">
        <v>4</v>
      </c>
      <c r="V56" s="297"/>
      <c r="W56" s="300">
        <f>L56-R56</f>
        <v>-3088.9599999999991</v>
      </c>
      <c r="X56" s="301"/>
      <c r="Y56" s="52"/>
      <c r="Z56" s="113">
        <f>L48*31</f>
        <v>27730.079999999998</v>
      </c>
      <c r="AA56" s="69">
        <f>Z56+143009.44</f>
        <v>170739.52</v>
      </c>
      <c r="AB56" s="10"/>
      <c r="AC56" s="10"/>
      <c r="AD56" s="68">
        <f>L41-Z56</f>
        <v>-3088.9599999999991</v>
      </c>
      <c r="AE56" s="69">
        <f>L44-AA56</f>
        <v>-18376.959999999992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17705.46</v>
      </c>
      <c r="C57" s="10"/>
      <c r="D57" s="296" t="s">
        <v>25</v>
      </c>
      <c r="E57" s="297"/>
      <c r="F57" s="297"/>
      <c r="G57" s="40">
        <f>B57/31</f>
        <v>571.14387096774192</v>
      </c>
      <c r="H57" s="50"/>
      <c r="I57" s="296" t="s">
        <v>25</v>
      </c>
      <c r="J57" s="297"/>
      <c r="K57" s="297"/>
      <c r="L57" s="66">
        <f>G57*J45</f>
        <v>17705.46</v>
      </c>
      <c r="M57" s="50"/>
      <c r="N57" s="296" t="s">
        <v>25</v>
      </c>
      <c r="O57" s="297"/>
      <c r="P57" s="297"/>
      <c r="Q57" s="297"/>
      <c r="R57" s="310">
        <f>W49</f>
        <v>18410.447184999997</v>
      </c>
      <c r="S57" s="311"/>
      <c r="T57" s="51"/>
      <c r="U57" s="296" t="s">
        <v>25</v>
      </c>
      <c r="V57" s="297"/>
      <c r="W57" s="300">
        <f>L57-R57</f>
        <v>-704.98718499999814</v>
      </c>
      <c r="X57" s="301"/>
      <c r="Y57" s="52"/>
      <c r="Z57" s="113">
        <f>L49*31</f>
        <v>18410.447184999997</v>
      </c>
      <c r="AA57" s="69">
        <f>Z57+110282.04</f>
        <v>128692.48718499999</v>
      </c>
      <c r="AB57" s="10"/>
      <c r="AC57" s="10"/>
      <c r="AD57" s="68">
        <f>R41-Z57</f>
        <v>-704.98718499999814</v>
      </c>
      <c r="AE57" s="69">
        <f>R44-AA57</f>
        <v>-11390.237184999991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253461.74</v>
      </c>
      <c r="C58" s="61"/>
      <c r="D58" s="302" t="s">
        <v>15</v>
      </c>
      <c r="E58" s="303"/>
      <c r="F58" s="303"/>
      <c r="G58" s="38">
        <f>B58/31</f>
        <v>8176.185161290322</v>
      </c>
      <c r="H58" s="53"/>
      <c r="I58" s="302" t="s">
        <v>15</v>
      </c>
      <c r="J58" s="303"/>
      <c r="K58" s="303"/>
      <c r="L58" s="67">
        <f>G58*J45</f>
        <v>253461.74</v>
      </c>
      <c r="M58" s="53"/>
      <c r="N58" s="302" t="s">
        <v>15</v>
      </c>
      <c r="O58" s="303"/>
      <c r="P58" s="303"/>
      <c r="Q58" s="303"/>
      <c r="R58" s="312">
        <f>W50</f>
        <v>255452.93353400004</v>
      </c>
      <c r="S58" s="313"/>
      <c r="T58" s="51"/>
      <c r="U58" s="302" t="s">
        <v>15</v>
      </c>
      <c r="V58" s="303"/>
      <c r="W58" s="308">
        <f>L58-R58</f>
        <v>-1991.1935340000491</v>
      </c>
      <c r="X58" s="309"/>
      <c r="Y58" s="52"/>
      <c r="Z58" s="113">
        <f>L50*31</f>
        <v>255452.93353400001</v>
      </c>
      <c r="AA58" s="69">
        <f>Z58+1215561.31</f>
        <v>1471014.2435340001</v>
      </c>
      <c r="AB58" s="10"/>
      <c r="AC58" s="10"/>
      <c r="AD58" s="68">
        <f>X41-Z58</f>
        <v>-1991.19353400002</v>
      </c>
      <c r="AE58" s="69">
        <f>Z44-AA58</f>
        <v>16432.859813889256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392696.12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392696.12</v>
      </c>
      <c r="M59" s="53"/>
      <c r="N59" s="53"/>
      <c r="O59" s="53"/>
      <c r="P59" s="53"/>
      <c r="Q59" s="53"/>
      <c r="R59" s="304">
        <f>SUM(R55:S58)</f>
        <v>388796.06071900006</v>
      </c>
      <c r="S59" s="304"/>
      <c r="T59" s="56"/>
      <c r="U59" s="56"/>
      <c r="V59" s="56"/>
      <c r="W59" s="304">
        <f>SUM(W55:X58)</f>
        <v>3900.0592809999507</v>
      </c>
      <c r="X59" s="304"/>
      <c r="Y59" s="52"/>
      <c r="Z59" s="187">
        <f>SUM(Z55:Z58)</f>
        <v>388796.060719</v>
      </c>
      <c r="AA59" s="71">
        <f>SUM(AA55:AA58)</f>
        <v>2384228.8507190002</v>
      </c>
      <c r="AB59" s="10"/>
      <c r="AC59" s="10"/>
      <c r="AD59" s="70">
        <f>SUM(AD55:AD58)</f>
        <v>3900.0592809999798</v>
      </c>
      <c r="AE59" s="71">
        <f>SUM(AE55:AE58)</f>
        <v>29346.062628889296</v>
      </c>
      <c r="AF59" s="165"/>
      <c r="AG59" s="165"/>
      <c r="AH59" s="165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3900.0592809999544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9.9314943091364238E-3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8"/>
      <c r="B62" s="315"/>
      <c r="C62" s="315"/>
      <c r="D62" s="315"/>
      <c r="E62" s="315"/>
      <c r="F62" s="315"/>
      <c r="G62" s="315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13"/>
      <c r="AA62" s="13"/>
      <c r="AB62" s="315"/>
      <c r="AC62" s="315"/>
      <c r="AD62" s="315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9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8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CEF2BFB-4DB0-4EF2-BB6F-641149436A0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July 2024</vt:lpstr>
      <vt:lpstr>'July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2024-08-05T11:51:54Z</dcterms:modified>
</cp:coreProperties>
</file>