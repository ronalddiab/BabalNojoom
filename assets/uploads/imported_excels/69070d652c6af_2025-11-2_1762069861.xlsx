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modongroup-my.sharepoint.com/personal/thomas_chacko_babalnojoum_com/Documents/Desktop/HEP 2025/"/>
    </mc:Choice>
  </mc:AlternateContent>
  <xr:revisionPtr revIDLastSave="184" documentId="8_{E810000A-5A4B-4569-886D-59C8AD952873}" xr6:coauthVersionLast="47" xr6:coauthVersionMax="47" xr10:uidLastSave="{B4A91A4B-FDF8-4DFC-8916-4CF527444A1D}"/>
  <bookViews>
    <workbookView xWindow="-108" yWindow="-108" windowWidth="23256" windowHeight="13896" tabRatio="783" xr2:uid="{00000000-000D-0000-FFFF-FFFF00000000}"/>
  </bookViews>
  <sheets>
    <sheet name="Total" sheetId="15" r:id="rId1"/>
    <sheet name="BAN-M Electrical &amp; Water " sheetId="14" r:id="rId2"/>
  </sheets>
  <externalReferences>
    <externalReference r:id="rId3"/>
  </externalReferences>
  <definedNames>
    <definedName name="_xlnm.Print_Area" localSheetId="1">'BAN-M Electrical &amp; Water '!$C$1:$K$35</definedName>
    <definedName name="شت8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4" l="1"/>
  <c r="I9" i="14"/>
  <c r="I8" i="14"/>
  <c r="G12" i="14"/>
  <c r="G9" i="14"/>
  <c r="G8" i="14"/>
  <c r="E12" i="14"/>
  <c r="E9" i="14"/>
  <c r="E8" i="14"/>
  <c r="C12" i="14"/>
  <c r="C9" i="14"/>
  <c r="C8" i="14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H34" i="14"/>
  <c r="D13" i="14" l="1"/>
  <c r="J37" i="14" l="1"/>
  <c r="J38" i="14" s="1"/>
  <c r="H37" i="14"/>
  <c r="F37" i="14"/>
  <c r="D37" i="14"/>
  <c r="D38" i="14" s="1"/>
  <c r="J36" i="14"/>
  <c r="H36" i="14"/>
  <c r="G31" i="15" s="1"/>
  <c r="F36" i="14"/>
  <c r="E31" i="15" s="1"/>
  <c r="D36" i="14"/>
  <c r="J35" i="14"/>
  <c r="H35" i="14"/>
  <c r="G30" i="15" s="1"/>
  <c r="F35" i="14"/>
  <c r="E30" i="15" s="1"/>
  <c r="D35" i="14"/>
  <c r="J34" i="14"/>
  <c r="G29" i="15" s="1"/>
  <c r="F34" i="14"/>
  <c r="E29" i="15" s="1"/>
  <c r="D34" i="14"/>
  <c r="J33" i="14"/>
  <c r="H33" i="14"/>
  <c r="G28" i="15" s="1"/>
  <c r="F33" i="14"/>
  <c r="E28" i="15" s="1"/>
  <c r="D33" i="14"/>
  <c r="J32" i="14"/>
  <c r="H32" i="14"/>
  <c r="G27" i="15" s="1"/>
  <c r="F32" i="14"/>
  <c r="E27" i="15" s="1"/>
  <c r="D32" i="14"/>
  <c r="J31" i="14"/>
  <c r="H31" i="14"/>
  <c r="G26" i="15" s="1"/>
  <c r="F31" i="14"/>
  <c r="E26" i="15" s="1"/>
  <c r="D31" i="14"/>
  <c r="J30" i="14"/>
  <c r="H30" i="14"/>
  <c r="F30" i="14"/>
  <c r="E25" i="15" s="1"/>
  <c r="D30" i="14"/>
  <c r="J29" i="14"/>
  <c r="H29" i="14"/>
  <c r="G24" i="15" s="1"/>
  <c r="F29" i="14"/>
  <c r="E24" i="15" s="1"/>
  <c r="D29" i="14"/>
  <c r="J28" i="14"/>
  <c r="H28" i="14"/>
  <c r="G23" i="15" s="1"/>
  <c r="F28" i="14"/>
  <c r="E23" i="15" s="1"/>
  <c r="D28" i="14"/>
  <c r="J27" i="14"/>
  <c r="H27" i="14"/>
  <c r="G22" i="15" s="1"/>
  <c r="F27" i="14"/>
  <c r="E22" i="15" s="1"/>
  <c r="D27" i="14"/>
  <c r="J26" i="14"/>
  <c r="H26" i="14"/>
  <c r="G21" i="15" s="1"/>
  <c r="F26" i="14"/>
  <c r="E21" i="15" s="1"/>
  <c r="D26" i="14"/>
  <c r="J25" i="14"/>
  <c r="H25" i="14"/>
  <c r="G20" i="15" s="1"/>
  <c r="F25" i="14"/>
  <c r="E20" i="15" s="1"/>
  <c r="D25" i="14"/>
  <c r="J24" i="14"/>
  <c r="H24" i="14"/>
  <c r="G19" i="15" s="1"/>
  <c r="F24" i="14"/>
  <c r="E19" i="15" s="1"/>
  <c r="D24" i="14"/>
  <c r="J23" i="14"/>
  <c r="H23" i="14"/>
  <c r="F23" i="14"/>
  <c r="E18" i="15" s="1"/>
  <c r="D23" i="14"/>
  <c r="J22" i="14"/>
  <c r="H22" i="14"/>
  <c r="G17" i="15" s="1"/>
  <c r="F22" i="14"/>
  <c r="E17" i="15" s="1"/>
  <c r="D22" i="14"/>
  <c r="J21" i="14"/>
  <c r="H21" i="14"/>
  <c r="G16" i="15" s="1"/>
  <c r="F21" i="14"/>
  <c r="E16" i="15" s="1"/>
  <c r="D21" i="14"/>
  <c r="J20" i="14"/>
  <c r="H20" i="14"/>
  <c r="G15" i="15" s="1"/>
  <c r="F20" i="14"/>
  <c r="E15" i="15" s="1"/>
  <c r="D20" i="14"/>
  <c r="J19" i="14"/>
  <c r="H19" i="14"/>
  <c r="G14" i="15" s="1"/>
  <c r="F19" i="14"/>
  <c r="E14" i="15" s="1"/>
  <c r="D19" i="14"/>
  <c r="J18" i="14"/>
  <c r="H18" i="14"/>
  <c r="G13" i="15" s="1"/>
  <c r="F18" i="14"/>
  <c r="E13" i="15" s="1"/>
  <c r="D18" i="14"/>
  <c r="J17" i="14"/>
  <c r="H17" i="14"/>
  <c r="G12" i="15" s="1"/>
  <c r="F17" i="14"/>
  <c r="E12" i="15" s="1"/>
  <c r="D17" i="14"/>
  <c r="J16" i="14"/>
  <c r="H16" i="14"/>
  <c r="F16" i="14"/>
  <c r="E11" i="15" s="1"/>
  <c r="D16" i="14"/>
  <c r="J15" i="14"/>
  <c r="H15" i="14"/>
  <c r="G10" i="15" s="1"/>
  <c r="F15" i="14"/>
  <c r="E10" i="15" s="1"/>
  <c r="D15" i="14"/>
  <c r="J14" i="14"/>
  <c r="H14" i="14"/>
  <c r="G9" i="15" s="1"/>
  <c r="F14" i="14"/>
  <c r="E9" i="15" s="1"/>
  <c r="D14" i="14"/>
  <c r="J13" i="14"/>
  <c r="H13" i="14"/>
  <c r="G8" i="15" s="1"/>
  <c r="F13" i="14"/>
  <c r="E8" i="15" s="1"/>
  <c r="J12" i="14"/>
  <c r="H12" i="14"/>
  <c r="G7" i="15" s="1"/>
  <c r="F12" i="14"/>
  <c r="E7" i="15" s="1"/>
  <c r="D12" i="14"/>
  <c r="J11" i="14"/>
  <c r="H11" i="14"/>
  <c r="G6" i="15" s="1"/>
  <c r="F11" i="14"/>
  <c r="E6" i="15" s="1"/>
  <c r="D11" i="14"/>
  <c r="J10" i="14"/>
  <c r="H10" i="14"/>
  <c r="G5" i="15" s="1"/>
  <c r="F10" i="14"/>
  <c r="E5" i="15" s="1"/>
  <c r="D10" i="14"/>
  <c r="J9" i="14"/>
  <c r="H9" i="14"/>
  <c r="G4" i="15" s="1"/>
  <c r="F9" i="14"/>
  <c r="E4" i="15" s="1"/>
  <c r="D9" i="14"/>
  <c r="J8" i="14"/>
  <c r="H8" i="14"/>
  <c r="G3" i="15" s="1"/>
  <c r="F8" i="14"/>
  <c r="E3" i="15" s="1"/>
  <c r="D8" i="14"/>
  <c r="J7" i="14"/>
  <c r="H7" i="14"/>
  <c r="G2" i="15" s="1"/>
  <c r="F7" i="14"/>
  <c r="E2" i="15" s="1"/>
  <c r="D7" i="14"/>
  <c r="G11" i="15" l="1"/>
  <c r="G18" i="15"/>
  <c r="G25" i="15"/>
  <c r="H38" i="14"/>
  <c r="G32" i="15"/>
  <c r="F38" i="14"/>
  <c r="E32" i="15"/>
</calcChain>
</file>

<file path=xl/sharedStrings.xml><?xml version="1.0" encoding="utf-8"?>
<sst xmlns="http://schemas.openxmlformats.org/spreadsheetml/2006/main" count="66" uniqueCount="27">
  <si>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</si>
  <si>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</si>
  <si>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</si>
  <si>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</si>
  <si>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</si>
  <si>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</si>
  <si>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</si>
  <si>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</si>
  <si>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</si>
  <si>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</si>
  <si>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Al Mugheirah</t>
  </si>
  <si>
    <t xml:space="preserve">BAN- Mugheirah Utility Readings </t>
  </si>
  <si>
    <t>TYPE</t>
  </si>
  <si>
    <t>Time</t>
  </si>
  <si>
    <t xml:space="preserve">BAN- Mugheirah Utility Readings -ADDC Electrical </t>
  </si>
  <si>
    <t xml:space="preserve">Daily Consumptions </t>
  </si>
  <si>
    <t>BAN- Mugheirah Utility Readings - ADDC Water.                   ( Villas)</t>
  </si>
  <si>
    <t>BAN- Mugheirah Utility Readings - ADDC Water (Irrigations)</t>
  </si>
  <si>
    <t xml:space="preserve">Remarks </t>
  </si>
  <si>
    <t>Meter</t>
  </si>
  <si>
    <t>AC No 0405438373</t>
  </si>
  <si>
    <t>AC N0 33777729225</t>
  </si>
  <si>
    <t>DATE</t>
  </si>
  <si>
    <t>Electricity (kWH)</t>
  </si>
  <si>
    <t>KWH</t>
  </si>
  <si>
    <t>CuM</t>
  </si>
  <si>
    <t>31/09/2025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</si>
</sst>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Aptos Display"/>
      <family val="2"/>
    </font>
    <font>
      <b/>
      <sz val="11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name val="Aptos Display"/>
      <family val="2"/>
    </font>
    <font>
      <b/>
      <sz val="13"/>
      <color rgb="FFFF0000"/>
      <name val="Aptos Display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2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20" fontId="2" fillId="0" borderId="2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2" fontId="14" fillId="0" borderId="4" xfId="1" applyNumberFormat="1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1" fillId="0" borderId="0" xfId="1" applyFont="1" applyAlignment="1">
      <alignment horizontal="center"/>
    </xf>
    <xf numFmtId="1" fontId="12" fillId="0" borderId="0" xfId="1" applyNumberFormat="1" applyAlignment="1">
      <alignment horizontal="center"/>
    </xf>
    <xf numFmtId="2" fontId="13" fillId="0" borderId="0" xfId="1" applyNumberFormat="1" applyFont="1" applyAlignment="1">
      <alignment horizontal="center"/>
    </xf>
    <xf numFmtId="0" fontId="12" fillId="0" borderId="0" xfId="1" applyAlignment="1">
      <alignment horizontal="center"/>
    </xf>
    <xf numFmtId="0" fontId="13" fillId="0" borderId="0" xfId="1" applyFont="1" applyAlignment="1">
      <alignment horizontal="center"/>
    </xf>
    <xf numFmtId="0" fontId="1" fillId="0" borderId="0" xfId="1" applyFont="1"/>
    <xf numFmtId="0" fontId="12" fillId="0" borderId="0" xfId="1"/>
    <xf numFmtId="1" fontId="12" fillId="7" borderId="0" xfId="1" applyNumberForma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4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5" xfId="1" xr:uid="{7F99A16C-EA25-477D-ACE3-910BFA5174D0}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'[1]BAN Extension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40B7-4C05-8572-E247B5CE2A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0410544"/>
        <c:axId val="1540407632"/>
        <c:axId val="0"/>
      </c:bar3DChart>
      <c:dateAx>
        <c:axId val="15404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07632"/>
        <c:crosses val="autoZero"/>
        <c:auto val="0"/>
        <c:lblOffset val="100"/>
        <c:baseTimeUnit val="days"/>
      </c:dateAx>
      <c:valAx>
        <c:axId val="15404076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'!$D$6:$D$35</c:f>
              <c:numCache>
                <c:formatCode>General</c:formatCode>
                <c:ptCount val="30"/>
                <c:pt idx="0">
                  <c:v>0</c:v>
                </c:pt>
                <c:pt idx="1">
                  <c:v>1918</c:v>
                </c:pt>
                <c:pt idx="2">
                  <c:v>1981</c:v>
                </c:pt>
                <c:pt idx="3">
                  <c:v>1931</c:v>
                </c:pt>
                <c:pt idx="4">
                  <c:v>2221</c:v>
                </c:pt>
                <c:pt idx="5">
                  <c:v>1922</c:v>
                </c:pt>
                <c:pt idx="6">
                  <c:v>1882</c:v>
                </c:pt>
                <c:pt idx="7">
                  <c:v>1658</c:v>
                </c:pt>
                <c:pt idx="8">
                  <c:v>2030</c:v>
                </c:pt>
                <c:pt idx="9">
                  <c:v>2084</c:v>
                </c:pt>
                <c:pt idx="10">
                  <c:v>2074</c:v>
                </c:pt>
                <c:pt idx="11">
                  <c:v>1914</c:v>
                </c:pt>
                <c:pt idx="12">
                  <c:v>1888</c:v>
                </c:pt>
                <c:pt idx="13">
                  <c:v>1986</c:v>
                </c:pt>
                <c:pt idx="14">
                  <c:v>1893</c:v>
                </c:pt>
                <c:pt idx="15">
                  <c:v>1917</c:v>
                </c:pt>
                <c:pt idx="16">
                  <c:v>2120</c:v>
                </c:pt>
                <c:pt idx="17">
                  <c:v>1972</c:v>
                </c:pt>
                <c:pt idx="18">
                  <c:v>1851</c:v>
                </c:pt>
                <c:pt idx="19">
                  <c:v>1889</c:v>
                </c:pt>
                <c:pt idx="20">
                  <c:v>1819</c:v>
                </c:pt>
                <c:pt idx="21">
                  <c:v>1762</c:v>
                </c:pt>
                <c:pt idx="22">
                  <c:v>1874</c:v>
                </c:pt>
                <c:pt idx="23">
                  <c:v>1738</c:v>
                </c:pt>
                <c:pt idx="24">
                  <c:v>1867</c:v>
                </c:pt>
                <c:pt idx="25">
                  <c:v>1660</c:v>
                </c:pt>
                <c:pt idx="26">
                  <c:v>1960</c:v>
                </c:pt>
                <c:pt idx="27">
                  <c:v>1320</c:v>
                </c:pt>
                <c:pt idx="28">
                  <c:v>1760</c:v>
                </c:pt>
                <c:pt idx="29">
                  <c:v>1702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0D3-42AF-9718-7CCB679205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75889040"/>
        <c:axId val="1775889456"/>
        <c:axId val="0"/>
      </c:bar3DChart>
      <c:catAx>
        <c:axId val="177588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456"/>
        <c:crosses val="autoZero"/>
        <c:auto val="1"/>
        <c:lblAlgn val="ctr"/>
        <c:lblOffset val="100"/>
        <c:noMultiLvlLbl val="1"/>
      </c:catAx>
      <c:valAx>
        <c:axId val="1775889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88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52CE-4CC6-A81F-47EAD812BA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'BAN-M Electrical &amp; Water '!$H$6:$H$35</c:f>
              <c:numCache>
                <c:formatCode>General</c:formatCode>
                <c:ptCount val="30"/>
                <c:pt idx="0">
                  <c:v>0</c:v>
                </c:pt>
                <c:pt idx="1">
                  <c:v>42</c:v>
                </c:pt>
                <c:pt idx="2">
                  <c:v>45</c:v>
                </c:pt>
                <c:pt idx="3">
                  <c:v>22</c:v>
                </c:pt>
                <c:pt idx="4">
                  <c:v>28</c:v>
                </c:pt>
                <c:pt idx="5">
                  <c:v>28</c:v>
                </c:pt>
                <c:pt idx="6">
                  <c:v>30</c:v>
                </c:pt>
                <c:pt idx="7">
                  <c:v>41</c:v>
                </c:pt>
                <c:pt idx="8">
                  <c:v>57</c:v>
                </c:pt>
                <c:pt idx="9">
                  <c:v>38</c:v>
                </c:pt>
                <c:pt idx="10">
                  <c:v>36</c:v>
                </c:pt>
                <c:pt idx="11">
                  <c:v>34</c:v>
                </c:pt>
                <c:pt idx="12">
                  <c:v>38</c:v>
                </c:pt>
                <c:pt idx="13">
                  <c:v>41</c:v>
                </c:pt>
                <c:pt idx="14">
                  <c:v>33</c:v>
                </c:pt>
                <c:pt idx="15">
                  <c:v>55</c:v>
                </c:pt>
                <c:pt idx="16">
                  <c:v>43</c:v>
                </c:pt>
                <c:pt idx="17">
                  <c:v>42</c:v>
                </c:pt>
                <c:pt idx="18">
                  <c:v>42</c:v>
                </c:pt>
                <c:pt idx="19">
                  <c:v>39</c:v>
                </c:pt>
                <c:pt idx="20">
                  <c:v>37</c:v>
                </c:pt>
                <c:pt idx="21">
                  <c:v>65</c:v>
                </c:pt>
                <c:pt idx="22">
                  <c:v>50</c:v>
                </c:pt>
                <c:pt idx="23">
                  <c:v>34</c:v>
                </c:pt>
                <c:pt idx="24">
                  <c:v>42</c:v>
                </c:pt>
                <c:pt idx="25">
                  <c:v>46</c:v>
                </c:pt>
                <c:pt idx="26">
                  <c:v>35</c:v>
                </c:pt>
                <c:pt idx="27">
                  <c:v>39</c:v>
                </c:pt>
                <c:pt idx="28">
                  <c:v>32</c:v>
                </c:pt>
                <c:pt idx="29">
                  <c:v>36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'[1]BAN Extension 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52CE-4CC6-A81F-47EAD812BA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9474160"/>
        <c:axId val="1346893408"/>
        <c:axId val="0"/>
      </c:bar3DChart>
      <c:catAx>
        <c:axId val="154947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893408"/>
        <c:crosses val="autoZero"/>
        <c:auto val="0"/>
        <c:lblAlgn val="ctr"/>
        <c:lblOffset val="100"/>
        <c:noMultiLvlLbl val="1"/>
      </c:catAx>
      <c:valAx>
        <c:axId val="134689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7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550407</xdr:colOff>
      <xdr:row>5</xdr:row>
      <xdr:rowOff>149678</xdr:rowOff>
    </xdr:from>
    <xdr:to>
      <xdr:col>27</xdr:col>
      <xdr:colOff>163285</xdr:colOff>
      <xdr:row>13</xdr:row>
      <xdr:rowOff>408215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03A27-F565-4A9A-9817-0712753E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530998</xdr:colOff>
      <xdr:row>14</xdr:row>
      <xdr:rowOff>176891</xdr:rowOff>
    </xdr:from>
    <xdr:to>
      <xdr:col>27</xdr:col>
      <xdr:colOff>176893</xdr:colOff>
      <xdr:row>22</xdr:row>
      <xdr:rowOff>462642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A8D5E-0F97-4F9E-87E0-6B0BB6206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550689</xdr:colOff>
      <xdr:row>23</xdr:row>
      <xdr:rowOff>248929</xdr:rowOff>
    </xdr:from>
    <xdr:to>
      <xdr:col>27</xdr:col>
      <xdr:colOff>163286</xdr:colOff>
      <xdr:row>31</xdr:row>
      <xdr:rowOff>285750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099EB0-8673-4BED-B1F4-B2CECD168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1490868</xdr:colOff>
      <xdr:row>0</xdr:row>
      <xdr:rowOff>47400</xdr:rowOff>
    </xdr:from>
    <xdr:to>
      <xdr:col>3</xdr:col>
      <xdr:colOff>2037356</xdr:colOff>
      <xdr:row>0</xdr:row>
      <xdr:rowOff>1104348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0F288D4-3609-4812-BEF3-7DEE00B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1738" y="47400"/>
          <a:ext cx="4163227" cy="1056948"/>
        </a:xfrm>
        <a:prstGeom prst="rect">
          <a:avLst/>
        </a:prstGeom>
      </xdr:spPr>
    </xdr:pic>
    <xdr:clientData/>
  </xdr:twoCellAnchor>
  <xdr:twoCellAnchor editAs="oneCell">
    <xdr:from>
      <xdr:col>9</xdr:col>
      <xdr:colOff>1394240</xdr:colOff>
      <xdr:row>0</xdr:row>
      <xdr:rowOff>124240</xdr:rowOff>
    </xdr:from>
    <xdr:to>
      <xdr:col>10</xdr:col>
      <xdr:colOff>1808370</xdr:colOff>
      <xdr:row>0</xdr:row>
      <xdr:rowOff>1090544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5B755A8-E038-4DE5-A51B-C4948559478F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8805" y="124240"/>
          <a:ext cx="2470978" cy="966304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N%20Extension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 Extension 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87A4-0886-45E5-8BA9-8489A8CB7D7B}">
  <dimension ref="A1:V33"/>
  <sheetViews>
    <sheetView tabSelected="1" topLeftCell="A14" workbookViewId="0">
      <selection activeCell="H35" sqref="H35"/>
    </sheetView>
  </sheetViews>
  <sheetFormatPr defaultColWidth="11.5703125" defaultRowHeight="14.45"/>
  <cols>
    <col min="1" max="1" width="29.140625" style="32" bestFit="1" customWidth="1"/>
    <col min="2" max="3" width="11.5703125" style="27"/>
    <col min="4" max="4" width="13.42578125" style="27" customWidth="1"/>
    <col min="5" max="5" width="12.5703125" style="30" customWidth="1"/>
    <col min="6" max="6" width="12.5703125" style="29" customWidth="1"/>
    <col min="7" max="7" width="11.5703125" style="30"/>
    <col min="8" max="8" width="11.5703125" style="31"/>
    <col min="9" max="22" width="11.5703125" style="30"/>
    <col min="23" max="16384" width="11.5703125" style="33"/>
  </cols>
  <sheetData>
    <row r="1" spans="1:10" s="25" customFormat="1" ht="43.15">
      <c r="A1" s="21" t="s">
        <v>0</v>
      </c>
      <c r="B1" s="21" t="s">
        <v>1</v>
      </c>
      <c r="C1" s="21" t="s">
        <v>2</v>
      </c>
      <c r="D1" s="21" t="s">
        <v>3</v>
      </c>
      <c r="E1" s="22" t="s">
        <v>4</v>
      </c>
      <c r="F1" s="23" t="s">
        <v>5</v>
      </c>
      <c r="G1" s="22" t="s">
        <v>6</v>
      </c>
      <c r="H1" s="24" t="s">
        <v>7</v>
      </c>
      <c r="I1" s="22" t="s">
        <v>8</v>
      </c>
      <c r="J1" s="22" t="s">
        <v>9</v>
      </c>
    </row>
    <row r="2" spans="1:10">
      <c r="A2" s="26" t="s">
        <v>10</v>
      </c>
      <c r="B2" s="27">
        <v>1</v>
      </c>
      <c r="C2" s="27">
        <v>10</v>
      </c>
      <c r="D2" s="27">
        <v>2025</v>
      </c>
      <c r="E2" s="28">
        <f>IF('BAN-M Electrical &amp; Water '!F7&gt;0,'BAN-M Electrical &amp; Water '!F7,0)</f>
        <v>4953</v>
      </c>
      <c r="F2" s="29">
        <v>0.2</v>
      </c>
      <c r="G2" s="28">
        <f>IF('BAN-M Electrical &amp; Water '!H7+'BAN-M Electrical &amp; Water '!J7&gt;0,'BAN-M Electrical &amp; Water '!H7+'BAN-M Electrical &amp; Water '!J7,0)</f>
        <v>84</v>
      </c>
      <c r="H2" s="29">
        <v>7.84</v>
      </c>
      <c r="I2" s="34">
        <v>31</v>
      </c>
      <c r="J2" s="34">
        <v>40</v>
      </c>
    </row>
    <row r="3" spans="1:10">
      <c r="A3" s="26" t="s">
        <v>10</v>
      </c>
      <c r="B3" s="27">
        <f>B2+1</f>
        <v>2</v>
      </c>
      <c r="C3" s="27">
        <v>10</v>
      </c>
      <c r="D3" s="27">
        <v>2025</v>
      </c>
      <c r="E3" s="28">
        <f>IF('BAN-M Electrical &amp; Water '!F8&gt;0,'BAN-M Electrical &amp; Water '!F8,0)</f>
        <v>4996</v>
      </c>
      <c r="F3" s="29">
        <v>0.2</v>
      </c>
      <c r="G3" s="28">
        <f>IF('BAN-M Electrical &amp; Water '!H8+'BAN-M Electrical &amp; Water '!J8&gt;0,'BAN-M Electrical &amp; Water '!H8+'BAN-M Electrical &amp; Water '!J8,0)</f>
        <v>76</v>
      </c>
      <c r="H3" s="29">
        <v>7.84</v>
      </c>
      <c r="I3" s="34">
        <v>33</v>
      </c>
      <c r="J3" s="34">
        <v>44</v>
      </c>
    </row>
    <row r="4" spans="1:10">
      <c r="A4" s="26" t="s">
        <v>10</v>
      </c>
      <c r="B4" s="27">
        <f t="shared" ref="B4:B32" si="0">B3+1</f>
        <v>3</v>
      </c>
      <c r="C4" s="27">
        <v>10</v>
      </c>
      <c r="D4" s="27">
        <v>2025</v>
      </c>
      <c r="E4" s="28">
        <f>IF('BAN-M Electrical &amp; Water '!F9&gt;0,'BAN-M Electrical &amp; Water '!F9,0)</f>
        <v>5451</v>
      </c>
      <c r="F4" s="29">
        <v>0.2</v>
      </c>
      <c r="G4" s="28">
        <f>IF('BAN-M Electrical &amp; Water '!H9+'BAN-M Electrical &amp; Water '!J9&gt;0,'BAN-M Electrical &amp; Water '!H9+'BAN-M Electrical &amp; Water '!J9,0)</f>
        <v>50</v>
      </c>
      <c r="H4" s="29">
        <v>7.84</v>
      </c>
      <c r="I4" s="34">
        <v>36</v>
      </c>
      <c r="J4" s="34">
        <v>53</v>
      </c>
    </row>
    <row r="5" spans="1:10">
      <c r="A5" s="26" t="s">
        <v>10</v>
      </c>
      <c r="B5" s="27">
        <f t="shared" si="0"/>
        <v>4</v>
      </c>
      <c r="C5" s="27">
        <v>10</v>
      </c>
      <c r="D5" s="27">
        <v>2025</v>
      </c>
      <c r="E5" s="28">
        <f>IF('BAN-M Electrical &amp; Water '!F10&gt;0,'BAN-M Electrical &amp; Water '!F10,0)</f>
        <v>5857</v>
      </c>
      <c r="F5" s="29">
        <v>0.2</v>
      </c>
      <c r="G5" s="28">
        <f>IF('BAN-M Electrical &amp; Water '!H10+'BAN-M Electrical &amp; Water '!J10&gt;0,'BAN-M Electrical &amp; Water '!H10+'BAN-M Electrical &amp; Water '!J10,0)</f>
        <v>133</v>
      </c>
      <c r="H5" s="29">
        <v>7.84</v>
      </c>
      <c r="I5" s="34">
        <v>37</v>
      </c>
      <c r="J5" s="34">
        <v>53</v>
      </c>
    </row>
    <row r="6" spans="1:10">
      <c r="A6" s="26" t="s">
        <v>10</v>
      </c>
      <c r="B6" s="27">
        <f t="shared" si="0"/>
        <v>5</v>
      </c>
      <c r="C6" s="27">
        <v>10</v>
      </c>
      <c r="D6" s="27">
        <v>2025</v>
      </c>
      <c r="E6" s="28">
        <f>IF('BAN-M Electrical &amp; Water '!F11&gt;0,'BAN-M Electrical &amp; Water '!F11,0)</f>
        <v>4894</v>
      </c>
      <c r="F6" s="29">
        <v>0.2</v>
      </c>
      <c r="G6" s="28">
        <f>IF('BAN-M Electrical &amp; Water '!H11+'BAN-M Electrical &amp; Water '!J11&gt;0,'BAN-M Electrical &amp; Water '!H11+'BAN-M Electrical &amp; Water '!J11,0)</f>
        <v>37</v>
      </c>
      <c r="H6" s="29">
        <v>7.84</v>
      </c>
      <c r="I6" s="34">
        <v>36</v>
      </c>
      <c r="J6" s="34">
        <v>53</v>
      </c>
    </row>
    <row r="7" spans="1:10">
      <c r="A7" s="26" t="s">
        <v>10</v>
      </c>
      <c r="B7" s="27">
        <f t="shared" si="0"/>
        <v>6</v>
      </c>
      <c r="C7" s="27">
        <v>10</v>
      </c>
      <c r="D7" s="27">
        <v>2025</v>
      </c>
      <c r="E7" s="28">
        <f>IF('BAN-M Electrical &amp; Water '!F12&gt;0,'BAN-M Electrical &amp; Water '!F12,0)</f>
        <v>4611</v>
      </c>
      <c r="F7" s="29">
        <v>0.2</v>
      </c>
      <c r="G7" s="28">
        <f>IF('BAN-M Electrical &amp; Water '!H12+'BAN-M Electrical &amp; Water '!J12&gt;0,'BAN-M Electrical &amp; Water '!H12+'BAN-M Electrical &amp; Water '!J12,0)</f>
        <v>69</v>
      </c>
      <c r="H7" s="29">
        <v>7.84</v>
      </c>
      <c r="I7" s="34">
        <v>35</v>
      </c>
      <c r="J7" s="34">
        <v>47</v>
      </c>
    </row>
    <row r="8" spans="1:10">
      <c r="A8" s="26" t="s">
        <v>10</v>
      </c>
      <c r="B8" s="27">
        <f t="shared" si="0"/>
        <v>7</v>
      </c>
      <c r="C8" s="27">
        <v>10</v>
      </c>
      <c r="D8" s="27">
        <v>2025</v>
      </c>
      <c r="E8" s="28">
        <f>IF('BAN-M Electrical &amp; Water '!F13&gt;0,'BAN-M Electrical &amp; Water '!F13,0)</f>
        <v>4355</v>
      </c>
      <c r="F8" s="29">
        <v>0.2</v>
      </c>
      <c r="G8" s="28">
        <f>IF('BAN-M Electrical &amp; Water '!H13+'BAN-M Electrical &amp; Water '!J13&gt;0,'BAN-M Electrical &amp; Water '!H13+'BAN-M Electrical &amp; Water '!J13,0)</f>
        <v>129</v>
      </c>
      <c r="H8" s="29">
        <v>7.84</v>
      </c>
      <c r="I8" s="34">
        <v>34</v>
      </c>
      <c r="J8" s="34">
        <v>46</v>
      </c>
    </row>
    <row r="9" spans="1:10">
      <c r="A9" s="26" t="s">
        <v>10</v>
      </c>
      <c r="B9" s="27">
        <f t="shared" si="0"/>
        <v>8</v>
      </c>
      <c r="C9" s="27">
        <v>10</v>
      </c>
      <c r="D9" s="27">
        <v>2025</v>
      </c>
      <c r="E9" s="28">
        <f>IF('BAN-M Electrical &amp; Water '!F14&gt;0,'BAN-M Electrical &amp; Water '!F14,0)</f>
        <v>4955</v>
      </c>
      <c r="F9" s="29">
        <v>0.2</v>
      </c>
      <c r="G9" s="28">
        <f>IF('BAN-M Electrical &amp; Water '!H14+'BAN-M Electrical &amp; Water '!J14&gt;0,'BAN-M Electrical &amp; Water '!H14+'BAN-M Electrical &amp; Water '!J14,0)</f>
        <v>98</v>
      </c>
      <c r="H9" s="29">
        <v>7.84</v>
      </c>
      <c r="I9" s="34">
        <v>34</v>
      </c>
      <c r="J9" s="34">
        <v>43</v>
      </c>
    </row>
    <row r="10" spans="1:10">
      <c r="A10" s="26" t="s">
        <v>10</v>
      </c>
      <c r="B10" s="27">
        <f t="shared" si="0"/>
        <v>9</v>
      </c>
      <c r="C10" s="27">
        <v>10</v>
      </c>
      <c r="D10" s="27">
        <v>2025</v>
      </c>
      <c r="E10" s="28">
        <f>IF('BAN-M Electrical &amp; Water '!F15&gt;0,'BAN-M Electrical &amp; Water '!F15,0)</f>
        <v>5142</v>
      </c>
      <c r="F10" s="29">
        <v>0.2</v>
      </c>
      <c r="G10" s="28">
        <f>IF('BAN-M Electrical &amp; Water '!H15+'BAN-M Electrical &amp; Water '!J15&gt;0,'BAN-M Electrical &amp; Water '!H15+'BAN-M Electrical &amp; Water '!J15,0)</f>
        <v>38</v>
      </c>
      <c r="H10" s="29">
        <v>7.84</v>
      </c>
      <c r="I10" s="34">
        <v>34</v>
      </c>
      <c r="J10" s="34">
        <v>44</v>
      </c>
    </row>
    <row r="11" spans="1:10">
      <c r="A11" s="26" t="s">
        <v>10</v>
      </c>
      <c r="B11" s="27">
        <f t="shared" si="0"/>
        <v>10</v>
      </c>
      <c r="C11" s="27">
        <v>10</v>
      </c>
      <c r="D11" s="27">
        <v>2025</v>
      </c>
      <c r="E11" s="28">
        <f>IF('BAN-M Electrical &amp; Water '!F16&gt;0,'BAN-M Electrical &amp; Water '!F16,0)</f>
        <v>5212</v>
      </c>
      <c r="F11" s="29">
        <v>0.2</v>
      </c>
      <c r="G11" s="28">
        <f>IF('BAN-M Electrical &amp; Water '!H16+'BAN-M Electrical &amp; Water '!J16&gt;0,'BAN-M Electrical &amp; Water '!H16+'BAN-M Electrical &amp; Water '!J16,0)</f>
        <v>36</v>
      </c>
      <c r="H11" s="29">
        <v>7.84</v>
      </c>
      <c r="I11" s="34">
        <v>36</v>
      </c>
      <c r="J11" s="34">
        <v>47</v>
      </c>
    </row>
    <row r="12" spans="1:10">
      <c r="A12" s="26" t="s">
        <v>10</v>
      </c>
      <c r="B12" s="27">
        <f t="shared" si="0"/>
        <v>11</v>
      </c>
      <c r="C12" s="27">
        <v>10</v>
      </c>
      <c r="D12" s="27">
        <v>2025</v>
      </c>
      <c r="E12" s="28">
        <f>IF('BAN-M Electrical &amp; Water '!F17&gt;0,'BAN-M Electrical &amp; Water '!F17,0)</f>
        <v>4763</v>
      </c>
      <c r="F12" s="29">
        <v>0.2</v>
      </c>
      <c r="G12" s="28">
        <f>IF('BAN-M Electrical &amp; Water '!H17+'BAN-M Electrical &amp; Water '!J17&gt;0,'BAN-M Electrical &amp; Water '!H17+'BAN-M Electrical &amp; Water '!J17,0)</f>
        <v>35</v>
      </c>
      <c r="H12" s="29">
        <v>7.84</v>
      </c>
      <c r="I12" s="34">
        <v>38</v>
      </c>
      <c r="J12" s="34">
        <v>75</v>
      </c>
    </row>
    <row r="13" spans="1:10">
      <c r="A13" s="26" t="s">
        <v>10</v>
      </c>
      <c r="B13" s="27">
        <f t="shared" si="0"/>
        <v>12</v>
      </c>
      <c r="C13" s="27">
        <v>10</v>
      </c>
      <c r="D13" s="27">
        <v>2025</v>
      </c>
      <c r="E13" s="28">
        <f>IF('BAN-M Electrical &amp; Water '!F18&gt;0,'BAN-M Electrical &amp; Water '!F18,0)</f>
        <v>5094</v>
      </c>
      <c r="F13" s="29">
        <v>0.2</v>
      </c>
      <c r="G13" s="28">
        <f>IF('BAN-M Electrical &amp; Water '!H18+'BAN-M Electrical &amp; Water '!J18&gt;0,'BAN-M Electrical &amp; Water '!H18+'BAN-M Electrical &amp; Water '!J18,0)</f>
        <v>82</v>
      </c>
      <c r="H13" s="29">
        <v>7.84</v>
      </c>
      <c r="I13" s="34">
        <v>33</v>
      </c>
      <c r="J13" s="34">
        <v>51</v>
      </c>
    </row>
    <row r="14" spans="1:10">
      <c r="A14" s="26" t="s">
        <v>10</v>
      </c>
      <c r="B14" s="27">
        <f t="shared" si="0"/>
        <v>13</v>
      </c>
      <c r="C14" s="27">
        <v>10</v>
      </c>
      <c r="D14" s="27">
        <v>2025</v>
      </c>
      <c r="E14" s="28">
        <f>IF('BAN-M Electrical &amp; Water '!F19&gt;0,'BAN-M Electrical &amp; Water '!F19,0)</f>
        <v>5291</v>
      </c>
      <c r="F14" s="29">
        <v>0.2</v>
      </c>
      <c r="G14" s="28">
        <f>IF('BAN-M Electrical &amp; Water '!H19+'BAN-M Electrical &amp; Water '!J19&gt;0,'BAN-M Electrical &amp; Water '!H19+'BAN-M Electrical &amp; Water '!J19,0)</f>
        <v>93</v>
      </c>
      <c r="H14" s="29">
        <v>7.84</v>
      </c>
      <c r="I14" s="34">
        <v>33</v>
      </c>
      <c r="J14" s="34">
        <v>53</v>
      </c>
    </row>
    <row r="15" spans="1:10">
      <c r="A15" s="26" t="s">
        <v>10</v>
      </c>
      <c r="B15" s="27">
        <f t="shared" si="0"/>
        <v>14</v>
      </c>
      <c r="C15" s="27">
        <v>10</v>
      </c>
      <c r="D15" s="27">
        <v>2025</v>
      </c>
      <c r="E15" s="28">
        <f>IF('BAN-M Electrical &amp; Water '!F20&gt;0,'BAN-M Electrical &amp; Water '!F20,0)</f>
        <v>4633</v>
      </c>
      <c r="F15" s="29">
        <v>0.2</v>
      </c>
      <c r="G15" s="28">
        <f>IF('BAN-M Electrical &amp; Water '!H20+'BAN-M Electrical &amp; Water '!J20&gt;0,'BAN-M Electrical &amp; Water '!H20+'BAN-M Electrical &amp; Water '!J20,0)</f>
        <v>79</v>
      </c>
      <c r="H15" s="29">
        <v>7.84</v>
      </c>
      <c r="I15" s="34">
        <v>30</v>
      </c>
      <c r="J15" s="34">
        <v>42</v>
      </c>
    </row>
    <row r="16" spans="1:10">
      <c r="A16" s="26" t="s">
        <v>10</v>
      </c>
      <c r="B16" s="27">
        <f t="shared" si="0"/>
        <v>15</v>
      </c>
      <c r="C16" s="27">
        <v>10</v>
      </c>
      <c r="D16" s="27">
        <v>2025</v>
      </c>
      <c r="E16" s="28">
        <f>IF('BAN-M Electrical &amp; Water '!F21&gt;0,'BAN-M Electrical &amp; Water '!F21,0)</f>
        <v>4492</v>
      </c>
      <c r="F16" s="29">
        <v>0.2</v>
      </c>
      <c r="G16" s="28">
        <f>IF('BAN-M Electrical &amp; Water '!H21+'BAN-M Electrical &amp; Water '!J21&gt;0,'BAN-M Electrical &amp; Water '!H21+'BAN-M Electrical &amp; Water '!J21,0)</f>
        <v>177</v>
      </c>
      <c r="H16" s="29">
        <v>7.84</v>
      </c>
      <c r="I16" s="34">
        <v>29</v>
      </c>
      <c r="J16" s="34">
        <v>41</v>
      </c>
    </row>
    <row r="17" spans="1:10">
      <c r="A17" s="26" t="s">
        <v>10</v>
      </c>
      <c r="B17" s="27">
        <f t="shared" si="0"/>
        <v>16</v>
      </c>
      <c r="C17" s="27">
        <v>10</v>
      </c>
      <c r="D17" s="27">
        <v>2025</v>
      </c>
      <c r="E17" s="28">
        <f>IF('BAN-M Electrical &amp; Water '!F22&gt;0,'BAN-M Electrical &amp; Water '!F22,0)</f>
        <v>5428</v>
      </c>
      <c r="F17" s="29">
        <v>0.2</v>
      </c>
      <c r="G17" s="28">
        <f>IF('BAN-M Electrical &amp; Water '!H22+'BAN-M Electrical &amp; Water '!J22&gt;0,'BAN-M Electrical &amp; Water '!H22+'BAN-M Electrical &amp; Water '!J22,0)</f>
        <v>43</v>
      </c>
      <c r="H17" s="29">
        <v>7.84</v>
      </c>
      <c r="I17" s="34">
        <v>38</v>
      </c>
      <c r="J17" s="34">
        <v>61</v>
      </c>
    </row>
    <row r="18" spans="1:10">
      <c r="A18" s="26" t="s">
        <v>10</v>
      </c>
      <c r="B18" s="27">
        <f t="shared" si="0"/>
        <v>17</v>
      </c>
      <c r="C18" s="27">
        <v>10</v>
      </c>
      <c r="D18" s="27">
        <v>2025</v>
      </c>
      <c r="E18" s="28">
        <f>IF('BAN-M Electrical &amp; Water '!F23&gt;0,'BAN-M Electrical &amp; Water '!F23,0)</f>
        <v>5086</v>
      </c>
      <c r="F18" s="29">
        <v>0.2</v>
      </c>
      <c r="G18" s="28">
        <f>IF('BAN-M Electrical &amp; Water '!H23+'BAN-M Electrical &amp; Water '!J23&gt;0,'BAN-M Electrical &amp; Water '!H23+'BAN-M Electrical &amp; Water '!J23,0)</f>
        <v>113</v>
      </c>
      <c r="H18" s="29">
        <v>7.84</v>
      </c>
      <c r="I18" s="34">
        <v>35</v>
      </c>
      <c r="J18" s="34">
        <v>55</v>
      </c>
    </row>
    <row r="19" spans="1:10">
      <c r="A19" s="26" t="s">
        <v>10</v>
      </c>
      <c r="B19" s="27">
        <f t="shared" si="0"/>
        <v>18</v>
      </c>
      <c r="C19" s="27">
        <v>10</v>
      </c>
      <c r="D19" s="27">
        <v>2025</v>
      </c>
      <c r="E19" s="28">
        <f>IF('BAN-M Electrical &amp; Water '!F24&gt;0,'BAN-M Electrical &amp; Water '!F24,0)</f>
        <v>4784</v>
      </c>
      <c r="F19" s="29">
        <v>0.2</v>
      </c>
      <c r="G19" s="28">
        <f>IF('BAN-M Electrical &amp; Water '!H24+'BAN-M Electrical &amp; Water '!J24&gt;0,'BAN-M Electrical &amp; Water '!H24+'BAN-M Electrical &amp; Water '!J24,0)</f>
        <v>96</v>
      </c>
      <c r="H19" s="29">
        <v>7.84</v>
      </c>
      <c r="I19" s="34">
        <v>22</v>
      </c>
      <c r="J19" s="34">
        <v>48</v>
      </c>
    </row>
    <row r="20" spans="1:10">
      <c r="A20" s="26" t="s">
        <v>10</v>
      </c>
      <c r="B20" s="27">
        <f t="shared" si="0"/>
        <v>19</v>
      </c>
      <c r="C20" s="27">
        <v>10</v>
      </c>
      <c r="D20" s="27">
        <v>2025</v>
      </c>
      <c r="E20" s="28">
        <f>IF('BAN-M Electrical &amp; Water '!F25&gt;0,'BAN-M Electrical &amp; Water '!F25,0)</f>
        <v>4812</v>
      </c>
      <c r="F20" s="29">
        <v>0.2</v>
      </c>
      <c r="G20" s="28">
        <f>IF('BAN-M Electrical &amp; Water '!H25+'BAN-M Electrical &amp; Water '!J25&gt;0,'BAN-M Electrical &amp; Water '!H25+'BAN-M Electrical &amp; Water '!J25,0)</f>
        <v>39</v>
      </c>
      <c r="H20" s="29">
        <v>7.84</v>
      </c>
      <c r="I20" s="34">
        <v>8</v>
      </c>
      <c r="J20" s="34">
        <v>18</v>
      </c>
    </row>
    <row r="21" spans="1:10">
      <c r="A21" s="26" t="s">
        <v>10</v>
      </c>
      <c r="B21" s="27">
        <f t="shared" si="0"/>
        <v>20</v>
      </c>
      <c r="C21" s="27">
        <v>10</v>
      </c>
      <c r="D21" s="27">
        <v>2025</v>
      </c>
      <c r="E21" s="28">
        <f>IF('BAN-M Electrical &amp; Water '!F26&gt;0,'BAN-M Electrical &amp; Water '!F26,0)</f>
        <v>4785</v>
      </c>
      <c r="F21" s="29">
        <v>0.2</v>
      </c>
      <c r="G21" s="28">
        <f>IF('BAN-M Electrical &amp; Water '!H26+'BAN-M Electrical &amp; Water '!J26&gt;0,'BAN-M Electrical &amp; Water '!H26+'BAN-M Electrical &amp; Water '!J26,0)</f>
        <v>101</v>
      </c>
      <c r="H21" s="29">
        <v>7.84</v>
      </c>
      <c r="I21" s="34">
        <v>6</v>
      </c>
      <c r="J21" s="34">
        <v>14</v>
      </c>
    </row>
    <row r="22" spans="1:10">
      <c r="A22" s="26" t="s">
        <v>10</v>
      </c>
      <c r="B22" s="27">
        <f t="shared" si="0"/>
        <v>21</v>
      </c>
      <c r="C22" s="27">
        <v>10</v>
      </c>
      <c r="D22" s="27">
        <v>2025</v>
      </c>
      <c r="E22" s="28">
        <f>IF('BAN-M Electrical &amp; Water '!F27&gt;0,'BAN-M Electrical &amp; Water '!F27,0)</f>
        <v>4475</v>
      </c>
      <c r="F22" s="29">
        <v>0.2</v>
      </c>
      <c r="G22" s="28">
        <f>IF('BAN-M Electrical &amp; Water '!H27+'BAN-M Electrical &amp; Water '!J27&gt;0,'BAN-M Electrical &amp; Water '!H27+'BAN-M Electrical &amp; Water '!J27,0)</f>
        <v>132</v>
      </c>
      <c r="H22" s="29">
        <v>7.84</v>
      </c>
      <c r="I22" s="34">
        <v>5</v>
      </c>
      <c r="J22" s="34">
        <v>10</v>
      </c>
    </row>
    <row r="23" spans="1:10">
      <c r="A23" s="26" t="s">
        <v>10</v>
      </c>
      <c r="B23" s="27">
        <f t="shared" si="0"/>
        <v>22</v>
      </c>
      <c r="C23" s="27">
        <v>10</v>
      </c>
      <c r="D23" s="27">
        <v>2025</v>
      </c>
      <c r="E23" s="28">
        <f>IF('BAN-M Electrical &amp; Water '!F28&gt;0,'BAN-M Electrical &amp; Water '!F28,0)</f>
        <v>4726</v>
      </c>
      <c r="F23" s="29">
        <v>0.2</v>
      </c>
      <c r="G23" s="28">
        <f>IF('BAN-M Electrical &amp; Water '!H28+'BAN-M Electrical &amp; Water '!J28&gt;0,'BAN-M Electrical &amp; Water '!H28+'BAN-M Electrical &amp; Water '!J28,0)</f>
        <v>72</v>
      </c>
      <c r="H23" s="29">
        <v>7.84</v>
      </c>
      <c r="I23" s="34">
        <v>3</v>
      </c>
      <c r="J23" s="34">
        <v>6</v>
      </c>
    </row>
    <row r="24" spans="1:10">
      <c r="A24" s="26" t="s">
        <v>10</v>
      </c>
      <c r="B24" s="27">
        <f t="shared" si="0"/>
        <v>23</v>
      </c>
      <c r="C24" s="27">
        <v>10</v>
      </c>
      <c r="D24" s="27">
        <v>2025</v>
      </c>
      <c r="E24" s="28">
        <f>IF('BAN-M Electrical &amp; Water '!F29&gt;0,'BAN-M Electrical &amp; Water '!F29,0)</f>
        <v>4984</v>
      </c>
      <c r="F24" s="29">
        <v>0.2</v>
      </c>
      <c r="G24" s="28">
        <f>IF('BAN-M Electrical &amp; Water '!H29+'BAN-M Electrical &amp; Water '!J29&gt;0,'BAN-M Electrical &amp; Water '!H29+'BAN-M Electrical &amp; Water '!J29,0)</f>
        <v>98</v>
      </c>
      <c r="H24" s="29">
        <v>7.84</v>
      </c>
      <c r="I24" s="34">
        <v>4</v>
      </c>
      <c r="J24" s="34">
        <v>7</v>
      </c>
    </row>
    <row r="25" spans="1:10">
      <c r="A25" s="26" t="s">
        <v>10</v>
      </c>
      <c r="B25" s="27">
        <f t="shared" si="0"/>
        <v>24</v>
      </c>
      <c r="C25" s="27">
        <v>10</v>
      </c>
      <c r="D25" s="27">
        <v>2025</v>
      </c>
      <c r="E25" s="28">
        <f>IF('BAN-M Electrical &amp; Water '!F30&gt;0,'BAN-M Electrical &amp; Water '!F30,0)</f>
        <v>4838</v>
      </c>
      <c r="F25" s="29">
        <v>0.2</v>
      </c>
      <c r="G25" s="28">
        <f>IF('BAN-M Electrical &amp; Water '!H30+'BAN-M Electrical &amp; Water '!J30&gt;0,'BAN-M Electrical &amp; Water '!H30+'BAN-M Electrical &amp; Water '!J30,0)</f>
        <v>100</v>
      </c>
      <c r="H25" s="29">
        <v>7.84</v>
      </c>
      <c r="I25" s="34">
        <v>19</v>
      </c>
      <c r="J25" s="34">
        <v>47</v>
      </c>
    </row>
    <row r="26" spans="1:10">
      <c r="A26" s="26" t="s">
        <v>10</v>
      </c>
      <c r="B26" s="27">
        <f>B25+1</f>
        <v>25</v>
      </c>
      <c r="C26" s="27">
        <v>10</v>
      </c>
      <c r="D26" s="27">
        <v>2025</v>
      </c>
      <c r="E26" s="28">
        <f>IF('BAN-M Electrical &amp; Water '!F31&gt;0,'BAN-M Electrical &amp; Water '!F31,0)</f>
        <v>4600</v>
      </c>
      <c r="F26" s="29">
        <v>0.2</v>
      </c>
      <c r="G26" s="28">
        <f>IF('BAN-M Electrical &amp; Water '!H31+'BAN-M Electrical &amp; Water '!J31&gt;0,'BAN-M Electrical &amp; Water '!H31+'BAN-M Electrical &amp; Water '!J31,0)</f>
        <v>91</v>
      </c>
      <c r="H26" s="29">
        <v>7.84</v>
      </c>
      <c r="I26" s="34">
        <v>24</v>
      </c>
      <c r="J26" s="34">
        <v>49</v>
      </c>
    </row>
    <row r="27" spans="1:10">
      <c r="A27" s="26" t="s">
        <v>10</v>
      </c>
      <c r="B27" s="27">
        <f t="shared" si="0"/>
        <v>26</v>
      </c>
      <c r="C27" s="27">
        <v>10</v>
      </c>
      <c r="D27" s="27">
        <v>2025</v>
      </c>
      <c r="E27" s="28">
        <f>IF('BAN-M Electrical &amp; Water '!F32&gt;0,'BAN-M Electrical &amp; Water '!F32,0)</f>
        <v>4191</v>
      </c>
      <c r="F27" s="29">
        <v>0.2</v>
      </c>
      <c r="G27" s="28">
        <f>IF('BAN-M Electrical &amp; Water '!H32+'BAN-M Electrical &amp; Water '!J32&gt;0,'BAN-M Electrical &amp; Water '!H32+'BAN-M Electrical &amp; Water '!J32,0)</f>
        <v>35</v>
      </c>
      <c r="H27" s="29">
        <v>7.84</v>
      </c>
      <c r="I27" s="34">
        <v>2</v>
      </c>
      <c r="J27" s="34">
        <v>4</v>
      </c>
    </row>
    <row r="28" spans="1:10">
      <c r="A28" s="26" t="s">
        <v>10</v>
      </c>
      <c r="B28" s="27">
        <f t="shared" si="0"/>
        <v>27</v>
      </c>
      <c r="C28" s="27">
        <v>10</v>
      </c>
      <c r="D28" s="27">
        <v>2025</v>
      </c>
      <c r="E28" s="28">
        <f>IF('BAN-M Electrical &amp; Water '!F33&gt;0,'BAN-M Electrical &amp; Water '!F33,0)</f>
        <v>4713</v>
      </c>
      <c r="F28" s="29">
        <v>0.2</v>
      </c>
      <c r="G28" s="28">
        <f>IF('BAN-M Electrical &amp; Water '!H33+'BAN-M Electrical &amp; Water '!J33&gt;0,'BAN-M Electrical &amp; Water '!H33+'BAN-M Electrical &amp; Water '!J33,0)</f>
        <v>39</v>
      </c>
      <c r="H28" s="29">
        <v>7.84</v>
      </c>
      <c r="I28" s="34">
        <v>3</v>
      </c>
      <c r="J28" s="34">
        <v>6</v>
      </c>
    </row>
    <row r="29" spans="1:10">
      <c r="A29" s="26" t="s">
        <v>10</v>
      </c>
      <c r="B29" s="27">
        <f t="shared" si="0"/>
        <v>28</v>
      </c>
      <c r="C29" s="27">
        <v>10</v>
      </c>
      <c r="D29" s="27">
        <v>2025</v>
      </c>
      <c r="E29" s="28">
        <f>IF('BAN-M Electrical &amp; Water '!F34&gt;0,'BAN-M Electrical &amp; Water '!F34,0)</f>
        <v>4305</v>
      </c>
      <c r="F29" s="29">
        <v>0.2</v>
      </c>
      <c r="G29" s="28">
        <f>IF('BAN-M Electrical &amp; Water '!H34+'BAN-M Electrical &amp; Water '!J34&gt;0,'BAN-M Electrical &amp; Water '!H34+'BAN-M Electrical &amp; Water '!J34,0)</f>
        <v>102</v>
      </c>
      <c r="H29" s="29">
        <v>7.84</v>
      </c>
      <c r="I29" s="34">
        <v>5</v>
      </c>
      <c r="J29" s="34">
        <v>10</v>
      </c>
    </row>
    <row r="30" spans="1:10">
      <c r="A30" s="26" t="s">
        <v>10</v>
      </c>
      <c r="B30" s="27">
        <f t="shared" si="0"/>
        <v>29</v>
      </c>
      <c r="C30" s="27">
        <v>10</v>
      </c>
      <c r="D30" s="27">
        <v>2025</v>
      </c>
      <c r="E30" s="28">
        <f>IF('BAN-M Electrical &amp; Water '!F35&gt;0,'BAN-M Electrical &amp; Water '!F35,0)</f>
        <v>3972</v>
      </c>
      <c r="F30" s="29">
        <v>0.2</v>
      </c>
      <c r="G30" s="28">
        <f>IF('BAN-M Electrical &amp; Water '!H35+'BAN-M Electrical &amp; Water '!J35&gt;0,'BAN-M Electrical &amp; Water '!H35+'BAN-M Electrical &amp; Water '!J35,0)</f>
        <v>109</v>
      </c>
      <c r="H30" s="29">
        <v>7.84</v>
      </c>
      <c r="I30" s="34">
        <v>6</v>
      </c>
      <c r="J30" s="34">
        <v>12</v>
      </c>
    </row>
    <row r="31" spans="1:10">
      <c r="A31" s="26" t="s">
        <v>10</v>
      </c>
      <c r="B31" s="27">
        <f t="shared" si="0"/>
        <v>30</v>
      </c>
      <c r="C31" s="27">
        <v>10</v>
      </c>
      <c r="D31" s="27">
        <v>2025</v>
      </c>
      <c r="E31" s="28">
        <f>IF('BAN-M Electrical &amp; Water '!F36&gt;0,'BAN-M Electrical &amp; Water '!F36,0)</f>
        <v>3562</v>
      </c>
      <c r="F31" s="29">
        <v>0.2</v>
      </c>
      <c r="G31" s="28">
        <f>IF('BAN-M Electrical &amp; Water '!H36+'BAN-M Electrical &amp; Water '!J36&gt;0,'BAN-M Electrical &amp; Water '!H36+'BAN-M Electrical &amp; Water '!J36,0)</f>
        <v>101</v>
      </c>
      <c r="H31" s="29">
        <v>7.84</v>
      </c>
      <c r="I31" s="34">
        <v>15</v>
      </c>
      <c r="J31" s="34">
        <v>27</v>
      </c>
    </row>
    <row r="32" spans="1:10">
      <c r="A32" s="26" t="s">
        <v>10</v>
      </c>
      <c r="B32" s="27">
        <f t="shared" si="0"/>
        <v>31</v>
      </c>
      <c r="C32" s="27">
        <v>10</v>
      </c>
      <c r="D32" s="27">
        <v>2025</v>
      </c>
      <c r="E32" s="28">
        <f>IF('BAN-M Electrical &amp; Water '!F37&gt;0,'BAN-M Electrical &amp; Water '!F37,0)</f>
        <v>3729</v>
      </c>
      <c r="F32" s="29">
        <v>0.2</v>
      </c>
      <c r="G32" s="28">
        <f>IF('BAN-M Electrical &amp; Water '!H37+'BAN-M Electrical &amp; Water '!J37&gt;0,'BAN-M Electrical &amp; Water '!H37+'BAN-M Electrical &amp; Water '!J37,0)</f>
        <v>113</v>
      </c>
      <c r="H32" s="29">
        <v>7.84</v>
      </c>
      <c r="I32" s="34">
        <v>13</v>
      </c>
      <c r="J32" s="34">
        <v>32</v>
      </c>
    </row>
    <row r="33" spans="7:7">
      <c r="G33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A63C-B111-40AA-B9A8-2E91F350E8C1}">
  <dimension ref="A1:N38"/>
  <sheetViews>
    <sheetView topLeftCell="A28" zoomScale="60" zoomScaleNormal="60" zoomScaleSheetLayoutView="90" zoomScalePageLayoutView="52" workbookViewId="0">
      <selection activeCell="G48" sqref="G48"/>
    </sheetView>
  </sheetViews>
  <sheetFormatPr defaultRowHeight="14.45"/>
  <cols>
    <col min="1" max="2" width="21.28515625" customWidth="1"/>
    <col min="3" max="3" width="30.28515625" style="1" bestFit="1" customWidth="1"/>
    <col min="4" max="4" width="31.28515625" style="1" customWidth="1"/>
    <col min="5" max="5" width="33.28515625" style="1" customWidth="1"/>
    <col min="6" max="6" width="31.28515625" style="1" customWidth="1"/>
    <col min="7" max="7" width="30.85546875" style="6" customWidth="1"/>
    <col min="8" max="8" width="30.28515625" style="6" customWidth="1"/>
    <col min="9" max="9" width="32.140625" style="6" customWidth="1"/>
    <col min="10" max="10" width="29.42578125" style="6" customWidth="1"/>
    <col min="11" max="11" width="55.7109375" style="1" bestFit="1" customWidth="1"/>
  </cols>
  <sheetData>
    <row r="1" spans="1:14" ht="94.9" customHeight="1" thickBot="1">
      <c r="C1" s="36" t="s">
        <v>11</v>
      </c>
      <c r="D1" s="37"/>
      <c r="E1" s="37"/>
      <c r="F1" s="37"/>
      <c r="G1" s="37"/>
      <c r="H1" s="37"/>
      <c r="I1" s="37"/>
      <c r="J1" s="37"/>
      <c r="K1" s="37"/>
      <c r="N1" s="2"/>
    </row>
    <row r="2" spans="1:14" s="1" customFormat="1" ht="54.75" customHeight="1" thickBot="1">
      <c r="A2" s="10" t="s">
        <v>12</v>
      </c>
      <c r="B2" s="35" t="s">
        <v>13</v>
      </c>
      <c r="C2" s="15" t="s">
        <v>14</v>
      </c>
      <c r="D2" s="38" t="s">
        <v>15</v>
      </c>
      <c r="E2" s="15" t="s">
        <v>14</v>
      </c>
      <c r="F2" s="38" t="s">
        <v>15</v>
      </c>
      <c r="G2" s="39" t="s">
        <v>16</v>
      </c>
      <c r="H2" s="39" t="s">
        <v>15</v>
      </c>
      <c r="I2" s="39" t="s">
        <v>17</v>
      </c>
      <c r="J2" s="39" t="s">
        <v>15</v>
      </c>
      <c r="K2" s="40" t="s">
        <v>18</v>
      </c>
    </row>
    <row r="3" spans="1:14" ht="60" customHeight="1" thickBot="1">
      <c r="A3" s="10" t="s">
        <v>19</v>
      </c>
      <c r="B3" s="35"/>
      <c r="C3" s="18" t="s">
        <v>20</v>
      </c>
      <c r="D3" s="38"/>
      <c r="E3" s="18" t="s">
        <v>21</v>
      </c>
      <c r="F3" s="38"/>
      <c r="G3" s="39"/>
      <c r="H3" s="39"/>
      <c r="I3" s="39"/>
      <c r="J3" s="39"/>
      <c r="K3" s="40"/>
    </row>
    <row r="4" spans="1:14" ht="46.5" customHeight="1" thickBot="1">
      <c r="A4" s="35" t="s">
        <v>22</v>
      </c>
      <c r="B4" s="35"/>
      <c r="C4" s="38" t="s">
        <v>23</v>
      </c>
      <c r="D4" s="38"/>
      <c r="E4" s="38" t="s">
        <v>23</v>
      </c>
      <c r="F4" s="38"/>
      <c r="G4" s="39"/>
      <c r="H4" s="39"/>
      <c r="I4" s="39"/>
      <c r="J4" s="39"/>
      <c r="K4" s="40"/>
    </row>
    <row r="5" spans="1:14" ht="24.95" customHeight="1" thickBot="1">
      <c r="A5" s="35"/>
      <c r="B5" s="35"/>
      <c r="C5" s="38"/>
      <c r="D5" s="16" t="s">
        <v>24</v>
      </c>
      <c r="E5" s="38"/>
      <c r="F5" s="16" t="s">
        <v>24</v>
      </c>
      <c r="G5" s="17" t="s">
        <v>25</v>
      </c>
      <c r="H5" s="17" t="s">
        <v>25</v>
      </c>
      <c r="I5" s="17" t="s">
        <v>25</v>
      </c>
      <c r="J5" s="17" t="s">
        <v>25</v>
      </c>
      <c r="K5" s="40"/>
    </row>
    <row r="6" spans="1:14" ht="39" customHeight="1">
      <c r="A6" s="7" t="s">
        <v>26</v>
      </c>
      <c r="B6" s="19">
        <v>0.21875</v>
      </c>
      <c r="C6" s="8">
        <v>2906648</v>
      </c>
      <c r="D6" s="4">
        <v>0</v>
      </c>
      <c r="E6" s="8">
        <v>7781149</v>
      </c>
      <c r="F6" s="4">
        <v>0</v>
      </c>
      <c r="G6" s="11">
        <v>2131</v>
      </c>
      <c r="H6" s="11">
        <v>0</v>
      </c>
      <c r="I6" s="11">
        <v>2954</v>
      </c>
      <c r="J6" s="11">
        <v>0</v>
      </c>
      <c r="K6" s="9"/>
    </row>
    <row r="7" spans="1:14" ht="39" customHeight="1">
      <c r="A7" s="7">
        <v>45931</v>
      </c>
      <c r="B7" s="20">
        <v>0.22916666666666666</v>
      </c>
      <c r="C7" s="4">
        <v>2908566</v>
      </c>
      <c r="D7" s="4">
        <f>C7-C6</f>
        <v>1918</v>
      </c>
      <c r="E7" s="4">
        <v>7786102</v>
      </c>
      <c r="F7" s="4">
        <f>E7-E6</f>
        <v>4953</v>
      </c>
      <c r="G7" s="12">
        <v>2173</v>
      </c>
      <c r="H7" s="12">
        <f>G7-G6</f>
        <v>42</v>
      </c>
      <c r="I7" s="12">
        <v>2996</v>
      </c>
      <c r="J7" s="12">
        <f>I7-I6</f>
        <v>42</v>
      </c>
      <c r="K7" s="3"/>
    </row>
    <row r="8" spans="1:14" ht="39" customHeight="1">
      <c r="A8" s="7">
        <v>45932</v>
      </c>
      <c r="B8" s="20">
        <v>0.22916666666666666</v>
      </c>
      <c r="C8" s="4">
        <f>C7+1981</f>
        <v>2910547</v>
      </c>
      <c r="D8" s="4">
        <f t="shared" ref="D8:D35" si="0">C8-C7</f>
        <v>1981</v>
      </c>
      <c r="E8" s="4">
        <f>+E7+4996</f>
        <v>7791098</v>
      </c>
      <c r="F8" s="4">
        <f t="shared" ref="F8:F35" si="1">E8-E7</f>
        <v>4996</v>
      </c>
      <c r="G8" s="12">
        <f>+G7+45</f>
        <v>2218</v>
      </c>
      <c r="H8" s="12">
        <f t="shared" ref="H8:H35" si="2">G8-G7</f>
        <v>45</v>
      </c>
      <c r="I8" s="12">
        <f>I7+31</f>
        <v>3027</v>
      </c>
      <c r="J8" s="12">
        <f t="shared" ref="J8:J35" si="3">I8-I7</f>
        <v>31</v>
      </c>
      <c r="K8" s="3"/>
    </row>
    <row r="9" spans="1:14" ht="39" customHeight="1">
      <c r="A9" s="7">
        <v>45933</v>
      </c>
      <c r="B9" s="20">
        <v>0.22222222222222221</v>
      </c>
      <c r="C9" s="4">
        <f>C8+1931</f>
        <v>2912478</v>
      </c>
      <c r="D9" s="4">
        <f t="shared" si="0"/>
        <v>1931</v>
      </c>
      <c r="E9" s="4">
        <f>+E8+5451</f>
        <v>7796549</v>
      </c>
      <c r="F9" s="4">
        <f t="shared" si="1"/>
        <v>5451</v>
      </c>
      <c r="G9" s="12">
        <f>+G8+22</f>
        <v>2240</v>
      </c>
      <c r="H9" s="12">
        <f t="shared" si="2"/>
        <v>22</v>
      </c>
      <c r="I9" s="12">
        <f>I8+28</f>
        <v>3055</v>
      </c>
      <c r="J9" s="12">
        <f t="shared" si="3"/>
        <v>28</v>
      </c>
      <c r="K9" s="3"/>
    </row>
    <row r="10" spans="1:14" ht="39" customHeight="1">
      <c r="A10" s="7">
        <v>45934</v>
      </c>
      <c r="B10" s="20">
        <v>0.20833333333333334</v>
      </c>
      <c r="C10" s="4">
        <v>2914699</v>
      </c>
      <c r="D10" s="4">
        <f t="shared" si="0"/>
        <v>2221</v>
      </c>
      <c r="E10" s="4">
        <v>7802406</v>
      </c>
      <c r="F10" s="4">
        <f t="shared" si="1"/>
        <v>5857</v>
      </c>
      <c r="G10" s="12">
        <v>2268</v>
      </c>
      <c r="H10" s="12">
        <f t="shared" si="2"/>
        <v>28</v>
      </c>
      <c r="I10" s="12">
        <v>3160</v>
      </c>
      <c r="J10" s="12">
        <f t="shared" si="3"/>
        <v>105</v>
      </c>
      <c r="K10" s="3"/>
    </row>
    <row r="11" spans="1:14" ht="39" customHeight="1">
      <c r="A11" s="7">
        <v>45935</v>
      </c>
      <c r="B11" s="20">
        <v>0.20833333333333334</v>
      </c>
      <c r="C11" s="4">
        <v>2916621</v>
      </c>
      <c r="D11" s="4">
        <f t="shared" si="0"/>
        <v>1922</v>
      </c>
      <c r="E11" s="4">
        <v>7807300</v>
      </c>
      <c r="F11" s="4">
        <f t="shared" si="1"/>
        <v>4894</v>
      </c>
      <c r="G11" s="12">
        <v>2296</v>
      </c>
      <c r="H11" s="12">
        <f t="shared" si="2"/>
        <v>28</v>
      </c>
      <c r="I11" s="12">
        <v>3169</v>
      </c>
      <c r="J11" s="12">
        <f t="shared" si="3"/>
        <v>9</v>
      </c>
      <c r="K11" s="3"/>
    </row>
    <row r="12" spans="1:14" ht="39" customHeight="1">
      <c r="A12" s="7">
        <v>45936</v>
      </c>
      <c r="B12" s="20">
        <v>0.21875</v>
      </c>
      <c r="C12" s="4">
        <f>C11+1882</f>
        <v>2918503</v>
      </c>
      <c r="D12" s="4">
        <f t="shared" si="0"/>
        <v>1882</v>
      </c>
      <c r="E12" s="4">
        <f>+E11+4611</f>
        <v>7811911</v>
      </c>
      <c r="F12" s="4">
        <f t="shared" si="1"/>
        <v>4611</v>
      </c>
      <c r="G12" s="12">
        <f>G11+30</f>
        <v>2326</v>
      </c>
      <c r="H12" s="12">
        <f t="shared" si="2"/>
        <v>30</v>
      </c>
      <c r="I12" s="12">
        <f>+I11+39</f>
        <v>3208</v>
      </c>
      <c r="J12" s="12">
        <f t="shared" si="3"/>
        <v>39</v>
      </c>
      <c r="K12" s="3"/>
    </row>
    <row r="13" spans="1:14" ht="39" customHeight="1">
      <c r="A13" s="7">
        <v>45937</v>
      </c>
      <c r="B13" s="20">
        <v>0.20833333333333334</v>
      </c>
      <c r="C13" s="4">
        <v>2920161</v>
      </c>
      <c r="D13" s="4">
        <f t="shared" si="0"/>
        <v>1658</v>
      </c>
      <c r="E13" s="4">
        <v>7816266</v>
      </c>
      <c r="F13" s="4">
        <f t="shared" si="1"/>
        <v>4355</v>
      </c>
      <c r="G13" s="12">
        <v>2367</v>
      </c>
      <c r="H13" s="12">
        <f t="shared" si="2"/>
        <v>41</v>
      </c>
      <c r="I13" s="12">
        <v>3296</v>
      </c>
      <c r="J13" s="12">
        <f t="shared" si="3"/>
        <v>88</v>
      </c>
      <c r="K13" s="3"/>
    </row>
    <row r="14" spans="1:14" ht="39" customHeight="1">
      <c r="A14" s="7">
        <v>45938</v>
      </c>
      <c r="B14" s="20">
        <v>0.20833333333333334</v>
      </c>
      <c r="C14" s="4">
        <v>2922191</v>
      </c>
      <c r="D14" s="4">
        <f t="shared" si="0"/>
        <v>2030</v>
      </c>
      <c r="E14" s="4">
        <v>7821221</v>
      </c>
      <c r="F14" s="4">
        <f t="shared" si="1"/>
        <v>4955</v>
      </c>
      <c r="G14" s="12">
        <v>2424</v>
      </c>
      <c r="H14" s="12">
        <f t="shared" si="2"/>
        <v>57</v>
      </c>
      <c r="I14" s="12">
        <v>3337</v>
      </c>
      <c r="J14" s="12">
        <f t="shared" si="3"/>
        <v>41</v>
      </c>
      <c r="K14" s="3"/>
    </row>
    <row r="15" spans="1:14" ht="39" customHeight="1">
      <c r="A15" s="7">
        <v>45939</v>
      </c>
      <c r="B15" s="20">
        <v>0.2326388888888889</v>
      </c>
      <c r="C15" s="4">
        <v>2924275</v>
      </c>
      <c r="D15" s="4">
        <f t="shared" si="0"/>
        <v>2084</v>
      </c>
      <c r="E15" s="4">
        <v>7826363</v>
      </c>
      <c r="F15" s="4">
        <f t="shared" si="1"/>
        <v>5142</v>
      </c>
      <c r="G15" s="12">
        <v>2462</v>
      </c>
      <c r="H15" s="12">
        <f t="shared" si="2"/>
        <v>38</v>
      </c>
      <c r="I15" s="12">
        <v>3337</v>
      </c>
      <c r="J15" s="12">
        <f t="shared" si="3"/>
        <v>0</v>
      </c>
      <c r="K15" s="3"/>
    </row>
    <row r="16" spans="1:14" ht="39" customHeight="1">
      <c r="A16" s="7">
        <v>45940</v>
      </c>
      <c r="B16" s="20">
        <v>0.20833333333333334</v>
      </c>
      <c r="C16" s="4">
        <v>2926349</v>
      </c>
      <c r="D16" s="4">
        <f t="shared" si="0"/>
        <v>2074</v>
      </c>
      <c r="E16" s="4">
        <v>7831575</v>
      </c>
      <c r="F16" s="4">
        <f t="shared" si="1"/>
        <v>5212</v>
      </c>
      <c r="G16" s="12">
        <v>2498</v>
      </c>
      <c r="H16" s="12">
        <f t="shared" si="2"/>
        <v>36</v>
      </c>
      <c r="I16" s="12">
        <v>3337</v>
      </c>
      <c r="J16" s="12">
        <f t="shared" si="3"/>
        <v>0</v>
      </c>
      <c r="K16" s="3"/>
    </row>
    <row r="17" spans="1:11" ht="39" customHeight="1">
      <c r="A17" s="7">
        <v>45941</v>
      </c>
      <c r="B17" s="20">
        <v>0.20833333333333334</v>
      </c>
      <c r="C17" s="4">
        <v>2928263</v>
      </c>
      <c r="D17" s="4">
        <f t="shared" si="0"/>
        <v>1914</v>
      </c>
      <c r="E17" s="4">
        <v>7836338</v>
      </c>
      <c r="F17" s="4">
        <f t="shared" si="1"/>
        <v>4763</v>
      </c>
      <c r="G17" s="12">
        <v>2532</v>
      </c>
      <c r="H17" s="12">
        <f t="shared" si="2"/>
        <v>34</v>
      </c>
      <c r="I17" s="12">
        <v>3338</v>
      </c>
      <c r="J17" s="12">
        <f t="shared" si="3"/>
        <v>1</v>
      </c>
      <c r="K17" s="3"/>
    </row>
    <row r="18" spans="1:11" ht="39" customHeight="1">
      <c r="A18" s="7">
        <v>45942</v>
      </c>
      <c r="B18" s="20">
        <v>0.20833333333333334</v>
      </c>
      <c r="C18" s="4">
        <v>2930151</v>
      </c>
      <c r="D18" s="4">
        <f t="shared" si="0"/>
        <v>1888</v>
      </c>
      <c r="E18" s="4">
        <v>7841432</v>
      </c>
      <c r="F18" s="4">
        <f t="shared" si="1"/>
        <v>5094</v>
      </c>
      <c r="G18" s="12">
        <v>2570</v>
      </c>
      <c r="H18" s="12">
        <f t="shared" si="2"/>
        <v>38</v>
      </c>
      <c r="I18" s="12">
        <v>3382</v>
      </c>
      <c r="J18" s="12">
        <f t="shared" si="3"/>
        <v>44</v>
      </c>
      <c r="K18" s="3"/>
    </row>
    <row r="19" spans="1:11" ht="39" customHeight="1">
      <c r="A19" s="7">
        <v>45943</v>
      </c>
      <c r="B19" s="20">
        <v>0.22916666666666666</v>
      </c>
      <c r="C19" s="4">
        <v>2932137</v>
      </c>
      <c r="D19" s="4">
        <f t="shared" si="0"/>
        <v>1986</v>
      </c>
      <c r="E19" s="4">
        <v>7846723</v>
      </c>
      <c r="F19" s="4">
        <f t="shared" si="1"/>
        <v>5291</v>
      </c>
      <c r="G19" s="12">
        <v>2611</v>
      </c>
      <c r="H19" s="12">
        <f t="shared" si="2"/>
        <v>41</v>
      </c>
      <c r="I19" s="12">
        <v>3434</v>
      </c>
      <c r="J19" s="12">
        <f t="shared" si="3"/>
        <v>52</v>
      </c>
      <c r="K19" s="3"/>
    </row>
    <row r="20" spans="1:11" ht="39" customHeight="1">
      <c r="A20" s="7">
        <v>45944</v>
      </c>
      <c r="B20" s="20">
        <v>0.20833333333333334</v>
      </c>
      <c r="C20" s="4">
        <v>2934030</v>
      </c>
      <c r="D20" s="4">
        <f t="shared" si="0"/>
        <v>1893</v>
      </c>
      <c r="E20" s="4">
        <v>7851356</v>
      </c>
      <c r="F20" s="4">
        <f t="shared" si="1"/>
        <v>4633</v>
      </c>
      <c r="G20" s="12">
        <v>2644</v>
      </c>
      <c r="H20" s="12">
        <f t="shared" si="2"/>
        <v>33</v>
      </c>
      <c r="I20" s="12">
        <v>3480</v>
      </c>
      <c r="J20" s="12">
        <f t="shared" si="3"/>
        <v>46</v>
      </c>
      <c r="K20" s="3"/>
    </row>
    <row r="21" spans="1:11" ht="39" customHeight="1">
      <c r="A21" s="7">
        <v>45945</v>
      </c>
      <c r="B21" s="20">
        <v>0.20833333333333334</v>
      </c>
      <c r="C21" s="4">
        <v>2935947</v>
      </c>
      <c r="D21" s="4">
        <f t="shared" si="0"/>
        <v>1917</v>
      </c>
      <c r="E21" s="4">
        <v>7855848</v>
      </c>
      <c r="F21" s="4">
        <f t="shared" si="1"/>
        <v>4492</v>
      </c>
      <c r="G21" s="12">
        <v>2699</v>
      </c>
      <c r="H21" s="12">
        <f t="shared" si="2"/>
        <v>55</v>
      </c>
      <c r="I21" s="12">
        <v>3602</v>
      </c>
      <c r="J21" s="12">
        <f t="shared" si="3"/>
        <v>122</v>
      </c>
      <c r="K21" s="3"/>
    </row>
    <row r="22" spans="1:11" ht="39" customHeight="1">
      <c r="A22" s="7">
        <v>45946</v>
      </c>
      <c r="B22" s="20">
        <v>0.2361111111111111</v>
      </c>
      <c r="C22" s="4">
        <v>2938067</v>
      </c>
      <c r="D22" s="4">
        <f t="shared" si="0"/>
        <v>2120</v>
      </c>
      <c r="E22" s="4">
        <v>7861276</v>
      </c>
      <c r="F22" s="4">
        <f t="shared" si="1"/>
        <v>5428</v>
      </c>
      <c r="G22" s="12">
        <v>2742</v>
      </c>
      <c r="H22" s="12">
        <f t="shared" si="2"/>
        <v>43</v>
      </c>
      <c r="I22" s="12">
        <v>3602</v>
      </c>
      <c r="J22" s="12">
        <f t="shared" si="3"/>
        <v>0</v>
      </c>
      <c r="K22" s="3"/>
    </row>
    <row r="23" spans="1:11" ht="39" customHeight="1">
      <c r="A23" s="7">
        <v>45947</v>
      </c>
      <c r="B23" s="20">
        <v>0.2361111111111111</v>
      </c>
      <c r="C23" s="4">
        <v>2940039</v>
      </c>
      <c r="D23" s="4">
        <f t="shared" si="0"/>
        <v>1972</v>
      </c>
      <c r="E23" s="4">
        <v>7866362</v>
      </c>
      <c r="F23" s="4">
        <f t="shared" si="1"/>
        <v>5086</v>
      </c>
      <c r="G23" s="12">
        <v>2784</v>
      </c>
      <c r="H23" s="12">
        <f t="shared" si="2"/>
        <v>42</v>
      </c>
      <c r="I23" s="12">
        <v>3673</v>
      </c>
      <c r="J23" s="12">
        <f t="shared" si="3"/>
        <v>71</v>
      </c>
      <c r="K23" s="3"/>
    </row>
    <row r="24" spans="1:11" ht="39" customHeight="1">
      <c r="A24" s="7">
        <v>45948</v>
      </c>
      <c r="B24" s="20">
        <v>0.20833333333333334</v>
      </c>
      <c r="C24" s="4">
        <v>2941890</v>
      </c>
      <c r="D24" s="4">
        <f t="shared" si="0"/>
        <v>1851</v>
      </c>
      <c r="E24" s="4">
        <v>7871146</v>
      </c>
      <c r="F24" s="4">
        <f t="shared" si="1"/>
        <v>4784</v>
      </c>
      <c r="G24" s="12">
        <v>2826</v>
      </c>
      <c r="H24" s="12">
        <f t="shared" si="2"/>
        <v>42</v>
      </c>
      <c r="I24" s="12">
        <v>3727</v>
      </c>
      <c r="J24" s="12">
        <f t="shared" si="3"/>
        <v>54</v>
      </c>
      <c r="K24" s="3"/>
    </row>
    <row r="25" spans="1:11" ht="39" customHeight="1">
      <c r="A25" s="7">
        <v>45949</v>
      </c>
      <c r="B25" s="20">
        <v>0.20833333333333334</v>
      </c>
      <c r="C25" s="4">
        <v>2943779</v>
      </c>
      <c r="D25" s="4">
        <f t="shared" si="0"/>
        <v>1889</v>
      </c>
      <c r="E25" s="4">
        <v>7875958</v>
      </c>
      <c r="F25" s="4">
        <f t="shared" si="1"/>
        <v>4812</v>
      </c>
      <c r="G25" s="12">
        <v>2865</v>
      </c>
      <c r="H25" s="12">
        <f t="shared" si="2"/>
        <v>39</v>
      </c>
      <c r="I25" s="12">
        <v>3727</v>
      </c>
      <c r="J25" s="12">
        <f t="shared" si="3"/>
        <v>0</v>
      </c>
      <c r="K25" s="3"/>
    </row>
    <row r="26" spans="1:11" ht="39" customHeight="1">
      <c r="A26" s="7">
        <v>45950</v>
      </c>
      <c r="B26" s="20">
        <v>0.20833333333333334</v>
      </c>
      <c r="C26" s="4">
        <v>2945598</v>
      </c>
      <c r="D26" s="4">
        <f t="shared" si="0"/>
        <v>1819</v>
      </c>
      <c r="E26" s="4">
        <v>7880743</v>
      </c>
      <c r="F26" s="4">
        <f t="shared" si="1"/>
        <v>4785</v>
      </c>
      <c r="G26" s="12">
        <v>2902</v>
      </c>
      <c r="H26" s="12">
        <f t="shared" si="2"/>
        <v>37</v>
      </c>
      <c r="I26" s="12">
        <v>3791</v>
      </c>
      <c r="J26" s="12">
        <f t="shared" si="3"/>
        <v>64</v>
      </c>
      <c r="K26" s="3"/>
    </row>
    <row r="27" spans="1:11" ht="39" customHeight="1">
      <c r="A27" s="7">
        <v>45951</v>
      </c>
      <c r="B27" s="20">
        <v>0.20833333333333334</v>
      </c>
      <c r="C27" s="4">
        <v>2947360</v>
      </c>
      <c r="D27" s="4">
        <f t="shared" si="0"/>
        <v>1762</v>
      </c>
      <c r="E27" s="4">
        <v>7885218</v>
      </c>
      <c r="F27" s="4">
        <f t="shared" si="1"/>
        <v>4475</v>
      </c>
      <c r="G27" s="13">
        <v>2967</v>
      </c>
      <c r="H27" s="12">
        <f t="shared" si="2"/>
        <v>65</v>
      </c>
      <c r="I27" s="12">
        <v>3858</v>
      </c>
      <c r="J27" s="12">
        <f t="shared" si="3"/>
        <v>67</v>
      </c>
      <c r="K27" s="3"/>
    </row>
    <row r="28" spans="1:11" ht="39" customHeight="1">
      <c r="A28" s="7">
        <v>45952</v>
      </c>
      <c r="B28" s="20">
        <v>0.25</v>
      </c>
      <c r="C28" s="5">
        <v>2949234</v>
      </c>
      <c r="D28" s="4">
        <f t="shared" si="0"/>
        <v>1874</v>
      </c>
      <c r="E28" s="4">
        <v>7889944</v>
      </c>
      <c r="F28" s="4">
        <f t="shared" si="1"/>
        <v>4726</v>
      </c>
      <c r="G28" s="14">
        <v>3017</v>
      </c>
      <c r="H28" s="12">
        <f t="shared" si="2"/>
        <v>50</v>
      </c>
      <c r="I28" s="12">
        <v>3880</v>
      </c>
      <c r="J28" s="12">
        <f t="shared" si="3"/>
        <v>22</v>
      </c>
      <c r="K28" s="3"/>
    </row>
    <row r="29" spans="1:11" ht="39" customHeight="1">
      <c r="A29" s="7">
        <v>45953</v>
      </c>
      <c r="B29" s="20">
        <v>0.20833333333333334</v>
      </c>
      <c r="C29" s="5">
        <v>2950972</v>
      </c>
      <c r="D29" s="4">
        <f t="shared" si="0"/>
        <v>1738</v>
      </c>
      <c r="E29" s="4">
        <v>7894928</v>
      </c>
      <c r="F29" s="4">
        <f t="shared" si="1"/>
        <v>4984</v>
      </c>
      <c r="G29" s="14">
        <v>3051</v>
      </c>
      <c r="H29" s="12">
        <f t="shared" si="2"/>
        <v>34</v>
      </c>
      <c r="I29" s="12">
        <v>3944</v>
      </c>
      <c r="J29" s="12">
        <f t="shared" si="3"/>
        <v>64</v>
      </c>
      <c r="K29" s="3"/>
    </row>
    <row r="30" spans="1:11" ht="39" customHeight="1">
      <c r="A30" s="7">
        <v>45954</v>
      </c>
      <c r="B30" s="20">
        <v>0.20833333333333334</v>
      </c>
      <c r="C30" s="5">
        <v>2952839</v>
      </c>
      <c r="D30" s="4">
        <f t="shared" si="0"/>
        <v>1867</v>
      </c>
      <c r="E30" s="4">
        <v>7899766</v>
      </c>
      <c r="F30" s="4">
        <f t="shared" si="1"/>
        <v>4838</v>
      </c>
      <c r="G30" s="14">
        <v>3093</v>
      </c>
      <c r="H30" s="12">
        <f t="shared" si="2"/>
        <v>42</v>
      </c>
      <c r="I30" s="12">
        <v>4002</v>
      </c>
      <c r="J30" s="12">
        <f t="shared" si="3"/>
        <v>58</v>
      </c>
      <c r="K30" s="3"/>
    </row>
    <row r="31" spans="1:11" ht="39" customHeight="1">
      <c r="A31" s="7">
        <v>45955</v>
      </c>
      <c r="B31" s="20">
        <v>0.20833333333333334</v>
      </c>
      <c r="C31" s="5">
        <v>2954499</v>
      </c>
      <c r="D31" s="4">
        <f t="shared" si="0"/>
        <v>1660</v>
      </c>
      <c r="E31" s="4">
        <v>7904366</v>
      </c>
      <c r="F31" s="4">
        <f t="shared" si="1"/>
        <v>4600</v>
      </c>
      <c r="G31" s="12">
        <v>3139</v>
      </c>
      <c r="H31" s="12">
        <f t="shared" si="2"/>
        <v>46</v>
      </c>
      <c r="I31" s="12">
        <v>4047</v>
      </c>
      <c r="J31" s="12">
        <f t="shared" si="3"/>
        <v>45</v>
      </c>
      <c r="K31" s="3"/>
    </row>
    <row r="32" spans="1:11" ht="39" customHeight="1">
      <c r="A32" s="7">
        <v>45956</v>
      </c>
      <c r="B32" s="20">
        <v>0.20833333333333334</v>
      </c>
      <c r="C32" s="4">
        <v>2956459</v>
      </c>
      <c r="D32" s="4">
        <f t="shared" si="0"/>
        <v>1960</v>
      </c>
      <c r="E32" s="4">
        <v>7908557</v>
      </c>
      <c r="F32" s="4">
        <f t="shared" si="1"/>
        <v>4191</v>
      </c>
      <c r="G32" s="12">
        <v>3174</v>
      </c>
      <c r="H32" s="12">
        <f t="shared" si="2"/>
        <v>35</v>
      </c>
      <c r="I32" s="12">
        <v>4047</v>
      </c>
      <c r="J32" s="12">
        <f t="shared" si="3"/>
        <v>0</v>
      </c>
      <c r="K32" s="3"/>
    </row>
    <row r="33" spans="1:11" ht="39" customHeight="1">
      <c r="A33" s="7">
        <v>45957</v>
      </c>
      <c r="B33" s="20">
        <v>0.21875</v>
      </c>
      <c r="C33" s="4">
        <v>2957779</v>
      </c>
      <c r="D33" s="4">
        <f t="shared" si="0"/>
        <v>1320</v>
      </c>
      <c r="E33" s="4">
        <v>7913270</v>
      </c>
      <c r="F33" s="4">
        <f t="shared" si="1"/>
        <v>4713</v>
      </c>
      <c r="G33" s="12">
        <v>3213</v>
      </c>
      <c r="H33" s="12">
        <f t="shared" si="2"/>
        <v>39</v>
      </c>
      <c r="I33" s="12">
        <v>4047</v>
      </c>
      <c r="J33" s="12">
        <f t="shared" si="3"/>
        <v>0</v>
      </c>
      <c r="K33" s="3"/>
    </row>
    <row r="34" spans="1:11" ht="39" customHeight="1">
      <c r="A34" s="7">
        <v>45958</v>
      </c>
      <c r="B34" s="20">
        <v>0.21875</v>
      </c>
      <c r="C34" s="4">
        <v>2959539</v>
      </c>
      <c r="D34" s="4">
        <f t="shared" si="0"/>
        <v>1760</v>
      </c>
      <c r="E34" s="4">
        <v>7917575</v>
      </c>
      <c r="F34" s="4">
        <f t="shared" si="1"/>
        <v>4305</v>
      </c>
      <c r="G34" s="12">
        <v>3245</v>
      </c>
      <c r="H34" s="12">
        <f t="shared" si="2"/>
        <v>32</v>
      </c>
      <c r="I34" s="12">
        <v>4117</v>
      </c>
      <c r="J34" s="12">
        <f t="shared" si="3"/>
        <v>70</v>
      </c>
      <c r="K34" s="3"/>
    </row>
    <row r="35" spans="1:11" ht="39" customHeight="1">
      <c r="A35" s="7">
        <v>45959</v>
      </c>
      <c r="B35" s="20">
        <v>0.27083333333333331</v>
      </c>
      <c r="C35" s="4">
        <v>2961241</v>
      </c>
      <c r="D35" s="4">
        <f t="shared" si="0"/>
        <v>1702</v>
      </c>
      <c r="E35" s="4">
        <v>7921547</v>
      </c>
      <c r="F35" s="4">
        <f t="shared" si="1"/>
        <v>3972</v>
      </c>
      <c r="G35" s="12">
        <v>3281</v>
      </c>
      <c r="H35" s="12">
        <f t="shared" si="2"/>
        <v>36</v>
      </c>
      <c r="I35" s="12">
        <v>4190</v>
      </c>
      <c r="J35" s="12">
        <f t="shared" si="3"/>
        <v>73</v>
      </c>
      <c r="K35" s="3"/>
    </row>
    <row r="36" spans="1:11" ht="39" customHeight="1">
      <c r="A36" s="7">
        <v>45960</v>
      </c>
      <c r="B36" s="20">
        <v>0.20833333333333334</v>
      </c>
      <c r="C36" s="4">
        <v>2962761</v>
      </c>
      <c r="D36" s="4">
        <f>C36-C35</f>
        <v>1520</v>
      </c>
      <c r="E36" s="4">
        <v>7925109</v>
      </c>
      <c r="F36" s="4">
        <f>E36-E35</f>
        <v>3562</v>
      </c>
      <c r="G36" s="12">
        <v>3321</v>
      </c>
      <c r="H36" s="12">
        <f>G36-G35</f>
        <v>40</v>
      </c>
      <c r="I36" s="12">
        <v>4251</v>
      </c>
      <c r="J36" s="12">
        <f>I36-I35</f>
        <v>61</v>
      </c>
      <c r="K36" s="3"/>
    </row>
    <row r="37" spans="1:11" ht="39" customHeight="1">
      <c r="A37" s="7">
        <v>45961</v>
      </c>
      <c r="B37" s="20">
        <v>0.20833333333333334</v>
      </c>
      <c r="C37" s="4">
        <v>2964431</v>
      </c>
      <c r="D37" s="4">
        <f>C37-C36</f>
        <v>1670</v>
      </c>
      <c r="E37" s="4">
        <v>7928838</v>
      </c>
      <c r="F37" s="4">
        <f>E37-E36</f>
        <v>3729</v>
      </c>
      <c r="G37" s="12">
        <v>3367</v>
      </c>
      <c r="H37" s="12">
        <f>G37-G36</f>
        <v>46</v>
      </c>
      <c r="I37" s="12">
        <v>4318</v>
      </c>
      <c r="J37" s="12">
        <f>I37-I36</f>
        <v>67</v>
      </c>
      <c r="K37" s="3"/>
    </row>
    <row r="38" spans="1:11">
      <c r="D38" s="1">
        <f>D37-D6</f>
        <v>1670</v>
      </c>
      <c r="F38" s="1">
        <f>F37-F6</f>
        <v>3729</v>
      </c>
      <c r="H38" s="1">
        <f>H37-H6</f>
        <v>46</v>
      </c>
      <c r="J38" s="1">
        <f>J37-J6</f>
        <v>67</v>
      </c>
    </row>
  </sheetData>
  <mergeCells count="12">
    <mergeCell ref="A4:A5"/>
    <mergeCell ref="C1:K1"/>
    <mergeCell ref="D2:D4"/>
    <mergeCell ref="H2:H4"/>
    <mergeCell ref="K2:K5"/>
    <mergeCell ref="F2:F4"/>
    <mergeCell ref="J2:J4"/>
    <mergeCell ref="G2:G4"/>
    <mergeCell ref="I2:I4"/>
    <mergeCell ref="B2:B5"/>
    <mergeCell ref="C4:C5"/>
    <mergeCell ref="E4:E5"/>
  </mergeCells>
  <pageMargins left="0.25" right="0.25" top="0.75" bottom="0.75" header="0.3" footer="0.3"/>
  <pageSetup paperSize="9" scale="55" fitToWidth="0" orientation="portrait" r:id="rId1"/>
  <headerFooter>
    <oddFooter>&amp;LPage &amp;P of &amp;N&amp;C_x000D_&amp;1#&amp;"Calibri"&amp;12&amp;K000000 Internal&amp;RQAH/DCT/eFM/IMS/OPHS/METREADPWR-FMC/0058 Rev 00 01/23/2019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Rushan</dc:creator>
  <cp:keywords/>
  <dc:description/>
  <cp:lastModifiedBy>Said Jamal A. Alabedblath</cp:lastModifiedBy>
  <cp:revision/>
  <dcterms:created xsi:type="dcterms:W3CDTF">2018-12-27T05:07:34Z</dcterms:created>
  <dcterms:modified xsi:type="dcterms:W3CDTF">2025-11-02T07:47:16Z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edb8f-f6e8-473a-8eb6-5e84cba1f58e_Enabled">
    <vt:lpwstr>true</vt:lpwstr>
  </property>
  <property fmtid="{D5CDD505-2E9C-101B-9397-08002B2CF9AE}" pid="3" name="MSIP_Label_cadedb8f-f6e8-473a-8eb6-5e84cba1f58e_SetDate">
    <vt:lpwstr>2023-12-12T05:18:34Z</vt:lpwstr>
  </property>
  <property fmtid="{D5CDD505-2E9C-101B-9397-08002B2CF9AE}" pid="4" name="MSIP_Label_cadedb8f-f6e8-473a-8eb6-5e84cba1f58e_Method">
    <vt:lpwstr>Standard</vt:lpwstr>
  </property>
  <property fmtid="{D5CDD505-2E9C-101B-9397-08002B2CF9AE}" pid="5" name="MSIP_Label_cadedb8f-f6e8-473a-8eb6-5e84cba1f58e_Name">
    <vt:lpwstr>Internal</vt:lpwstr>
  </property>
  <property fmtid="{D5CDD505-2E9C-101B-9397-08002B2CF9AE}" pid="6" name="MSIP_Label_cadedb8f-f6e8-473a-8eb6-5e84cba1f58e_SiteId">
    <vt:lpwstr>956d0a5b-65df-40ee-b210-145b0e79eac8</vt:lpwstr>
  </property>
  <property fmtid="{D5CDD505-2E9C-101B-9397-08002B2CF9AE}" pid="7" name="MSIP_Label_cadedb8f-f6e8-473a-8eb6-5e84cba1f58e_ActionId">
    <vt:lpwstr>1e215cfd-7568-4d52-9866-0f8556d0cfa2</vt:lpwstr>
  </property>
  <property fmtid="{D5CDD505-2E9C-101B-9397-08002B2CF9AE}" pid="8" name="MSIP_Label_cadedb8f-f6e8-473a-8eb6-5e84cba1f58e_ContentBits">
    <vt:lpwstr>2</vt:lpwstr>
  </property>
</Properties>
</file>