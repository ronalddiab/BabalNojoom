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Amwaj Rotana/"/>
    </mc:Choice>
  </mc:AlternateContent>
  <xr:revisionPtr revIDLastSave="3" documentId="8_{5E6E44B9-2C72-44C5-A3E1-66211FE1BA2D}" xr6:coauthVersionLast="47" xr6:coauthVersionMax="47" xr10:uidLastSave="{FB4696C7-2A4B-444A-9D23-D87C78164971}"/>
  <bookViews>
    <workbookView xWindow="-98" yWindow="-98" windowWidth="19396" windowHeight="10276" tabRatio="823" xr2:uid="{00000000-000D-0000-FFFF-FFFF00000000}"/>
  </bookViews>
  <sheets>
    <sheet name="TOTAL" sheetId="1094" r:id="rId1"/>
    <sheet name="MTD Utility Sheet" sheetId="133" r:id="rId2"/>
    <sheet name="March-26" sheetId="1093" r:id="rId3"/>
    <sheet name="March-25" sheetId="1092" r:id="rId4"/>
    <sheet name="March-24" sheetId="1091" r:id="rId5"/>
    <sheet name="March-23" sheetId="1090" r:id="rId6"/>
    <sheet name="March-22" sheetId="1089" r:id="rId7"/>
    <sheet name="March-21" sheetId="1088" r:id="rId8"/>
    <sheet name="March-20" sheetId="1087" r:id="rId9"/>
    <sheet name="March-19" sheetId="1086" r:id="rId10"/>
    <sheet name="March-18" sheetId="1085" r:id="rId11"/>
    <sheet name="March-17" sheetId="1084" r:id="rId12"/>
    <sheet name="March-16" sheetId="1083" r:id="rId13"/>
    <sheet name="March-15" sheetId="1082" r:id="rId14"/>
    <sheet name="March-14" sheetId="1081" r:id="rId15"/>
    <sheet name="March-13" sheetId="1080" r:id="rId16"/>
    <sheet name="March-12" sheetId="1079" r:id="rId17"/>
    <sheet name="March-11" sheetId="1078" r:id="rId18"/>
    <sheet name="March-10" sheetId="1077" r:id="rId19"/>
    <sheet name="March-09" sheetId="1076" r:id="rId20"/>
    <sheet name="March-08" sheetId="1075" r:id="rId21"/>
    <sheet name="March-07" sheetId="1074" r:id="rId22"/>
    <sheet name="March-06" sheetId="1073" r:id="rId23"/>
    <sheet name="March-05" sheetId="1072" r:id="rId24"/>
    <sheet name="March-04" sheetId="1071" r:id="rId25"/>
    <sheet name="March-03" sheetId="1069" r:id="rId26"/>
    <sheet name="March-02" sheetId="1068" r:id="rId27"/>
    <sheet name="March-01" sheetId="1067" r:id="rId28"/>
  </sheets>
  <externalReferences>
    <externalReference r:id="rId29"/>
    <externalReference r:id="rId30"/>
  </externalReferences>
  <definedNames>
    <definedName name="_xlnm._FilterDatabase" localSheetId="1" hidden="1">'MTD Utility Sheet'!$A$1:$J$35</definedName>
    <definedName name="_xlnm.Print_Area" localSheetId="27">'March-01'!$A$1:$H$36</definedName>
    <definedName name="_xlnm.Print_Area" localSheetId="26">'March-02'!$A$1:$H$36</definedName>
    <definedName name="_xlnm.Print_Area" localSheetId="25">'March-03'!$A$1:$H$36</definedName>
    <definedName name="_xlnm.Print_Area" localSheetId="24">'March-04'!$A$1:$H$36</definedName>
    <definedName name="_xlnm.Print_Area" localSheetId="23">'March-05'!$A$1:$H$36</definedName>
    <definedName name="_xlnm.Print_Area" localSheetId="22">'March-06'!$A$1:$H$36</definedName>
    <definedName name="_xlnm.Print_Area" localSheetId="21">'March-07'!$A$1:$H$36</definedName>
    <definedName name="_xlnm.Print_Area" localSheetId="20">'March-08'!$A$1:$H$36</definedName>
    <definedName name="_xlnm.Print_Area" localSheetId="19">'March-09'!$A$1:$H$36</definedName>
    <definedName name="_xlnm.Print_Area" localSheetId="18">'March-10'!$A$1:$H$36</definedName>
    <definedName name="_xlnm.Print_Area" localSheetId="17">'March-11'!$A$1:$H$36</definedName>
    <definedName name="_xlnm.Print_Area" localSheetId="16">'March-12'!$A$1:$H$36</definedName>
    <definedName name="_xlnm.Print_Area" localSheetId="15">'March-13'!$A$1:$H$36</definedName>
    <definedName name="_xlnm.Print_Area" localSheetId="14">'March-14'!$A$1:$H$36</definedName>
    <definedName name="_xlnm.Print_Area" localSheetId="13">'March-15'!$A$1:$H$36</definedName>
    <definedName name="_xlnm.Print_Area" localSheetId="12">'March-16'!$A$1:$H$36</definedName>
    <definedName name="_xlnm.Print_Area" localSheetId="11">'March-17'!$A$1:$H$36</definedName>
    <definedName name="_xlnm.Print_Area" localSheetId="10">'March-18'!$A$1:$H$36</definedName>
    <definedName name="_xlnm.Print_Area" localSheetId="9">'March-19'!$A$1:$H$36</definedName>
    <definedName name="_xlnm.Print_Area" localSheetId="8">'March-20'!$A$1:$H$36</definedName>
    <definedName name="_xlnm.Print_Area" localSheetId="7">'March-21'!$A$1:$H$36</definedName>
    <definedName name="_xlnm.Print_Area" localSheetId="6">'March-22'!$A$1:$H$36</definedName>
    <definedName name="_xlnm.Print_Area" localSheetId="5">'March-23'!$A$1:$H$36</definedName>
    <definedName name="_xlnm.Print_Area" localSheetId="4">'March-24'!$A$1:$H$36</definedName>
    <definedName name="_xlnm.Print_Area" localSheetId="3">'March-25'!$A$1:$H$36</definedName>
    <definedName name="_xlnm.Print_Area" localSheetId="2">'March-26'!$A$1:$H$36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33" l="1"/>
  <c r="E36" i="133"/>
  <c r="D36" i="133"/>
  <c r="C36" i="133"/>
  <c r="B36" i="133"/>
  <c r="I35" i="133"/>
  <c r="H35" i="133"/>
  <c r="H36" i="133" s="1"/>
  <c r="G35" i="133"/>
  <c r="G36" i="133" s="1"/>
  <c r="F35" i="133"/>
  <c r="F36" i="133" s="1"/>
  <c r="J34" i="133"/>
  <c r="J33" i="133"/>
  <c r="J32" i="133"/>
  <c r="J31" i="133"/>
  <c r="J30" i="133"/>
  <c r="J29" i="133"/>
  <c r="J28" i="133"/>
  <c r="J27" i="133"/>
  <c r="J26" i="133"/>
  <c r="J25" i="133"/>
  <c r="J24" i="133"/>
  <c r="J23" i="133"/>
  <c r="J22" i="133"/>
  <c r="J21" i="133"/>
  <c r="J20" i="133"/>
  <c r="J19" i="133"/>
  <c r="J18" i="133"/>
  <c r="J17" i="133"/>
  <c r="J16" i="133"/>
  <c r="J15" i="133"/>
  <c r="J14" i="133"/>
  <c r="J13" i="133"/>
  <c r="J12" i="133"/>
  <c r="J11" i="133"/>
  <c r="J35" i="133" s="1"/>
  <c r="J10" i="133"/>
  <c r="J9" i="133"/>
  <c r="J8" i="133"/>
  <c r="J7" i="133"/>
  <c r="J6" i="133"/>
  <c r="J5" i="133"/>
  <c r="J4" i="133"/>
  <c r="M3" i="1094" l="1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M32" i="1094"/>
  <c r="H3" i="1094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32" i="1094"/>
  <c r="H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32" i="1094"/>
  <c r="G2" i="1094"/>
  <c r="E3" i="1094" l="1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32" i="1094"/>
  <c r="E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32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32" i="1094"/>
  <c r="L32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H34" i="1093"/>
  <c r="H35" i="1093" s="1"/>
  <c r="H33" i="1093"/>
  <c r="F24" i="1093"/>
  <c r="H24" i="1093" s="1"/>
  <c r="D30" i="1093" s="1"/>
  <c r="H13" i="1093"/>
  <c r="H12" i="1093"/>
  <c r="H11" i="1093"/>
  <c r="F4" i="1093"/>
  <c r="H4" i="1093" s="1"/>
  <c r="D28" i="1093" l="1"/>
  <c r="H14" i="1093"/>
  <c r="H15" i="1093" s="1"/>
  <c r="D20" i="1093" s="1"/>
  <c r="D6" i="1093"/>
  <c r="D7" i="1093"/>
  <c r="D29" i="1093"/>
  <c r="D31" i="1093" s="1"/>
  <c r="H34" i="1092"/>
  <c r="H35" i="1092" s="1"/>
  <c r="H33" i="1092"/>
  <c r="F24" i="1092"/>
  <c r="H24" i="1092" s="1"/>
  <c r="H13" i="1092"/>
  <c r="H12" i="1092"/>
  <c r="H11" i="1092"/>
  <c r="F4" i="1092"/>
  <c r="H4" i="1092" s="1"/>
  <c r="D7" i="1092" s="1"/>
  <c r="D21" i="1093" l="1"/>
  <c r="D22" i="1093" s="1"/>
  <c r="D9" i="1093"/>
  <c r="H14" i="1092"/>
  <c r="H15" i="1092" s="1"/>
  <c r="D20" i="1092" s="1"/>
  <c r="D30" i="1092"/>
  <c r="D29" i="1092"/>
  <c r="D28" i="1092"/>
  <c r="D6" i="1092"/>
  <c r="D9" i="1092" s="1"/>
  <c r="H34" i="1091"/>
  <c r="H33" i="1091"/>
  <c r="F24" i="1091"/>
  <c r="H24" i="1091" s="1"/>
  <c r="D30" i="1091" s="1"/>
  <c r="H13" i="1091"/>
  <c r="H12" i="1091"/>
  <c r="H11" i="1091"/>
  <c r="F4" i="1091"/>
  <c r="H4" i="1091" s="1"/>
  <c r="D7" i="1091" s="1"/>
  <c r="H35" i="1091" l="1"/>
  <c r="H36" i="1093"/>
  <c r="D21" i="1092"/>
  <c r="D22" i="1092" s="1"/>
  <c r="D31" i="1092"/>
  <c r="H14" i="1091"/>
  <c r="H15" i="1091" s="1"/>
  <c r="D20" i="1091" s="1"/>
  <c r="D6" i="1091"/>
  <c r="D9" i="1091" s="1"/>
  <c r="D28" i="1091"/>
  <c r="D29" i="1091"/>
  <c r="H34" i="1090"/>
  <c r="H35" i="1090" s="1"/>
  <c r="H33" i="1090"/>
  <c r="F24" i="1090"/>
  <c r="H24" i="1090" s="1"/>
  <c r="D30" i="1090" s="1"/>
  <c r="H13" i="1090"/>
  <c r="H12" i="1090"/>
  <c r="H11" i="1090"/>
  <c r="F4" i="1090"/>
  <c r="H4" i="1090" s="1"/>
  <c r="H36" i="1092" l="1"/>
  <c r="D21" i="1091"/>
  <c r="D22" i="1091" s="1"/>
  <c r="D31" i="1091"/>
  <c r="H14" i="1090"/>
  <c r="H15" i="1090" s="1"/>
  <c r="D20" i="1090" s="1"/>
  <c r="D7" i="1090"/>
  <c r="D6" i="1090"/>
  <c r="D28" i="1090"/>
  <c r="D29" i="1090"/>
  <c r="H34" i="1089"/>
  <c r="H33" i="1089"/>
  <c r="F24" i="1089"/>
  <c r="H24" i="1089" s="1"/>
  <c r="H13" i="1089"/>
  <c r="H12" i="1089"/>
  <c r="H11" i="1089"/>
  <c r="F4" i="1089"/>
  <c r="H4" i="1089" s="1"/>
  <c r="H36" i="1091" l="1"/>
  <c r="D21" i="1090"/>
  <c r="D22" i="1090" s="1"/>
  <c r="D31" i="1090"/>
  <c r="D9" i="1090"/>
  <c r="H35" i="1089"/>
  <c r="H14" i="1089"/>
  <c r="H15" i="1089" s="1"/>
  <c r="D29" i="1089"/>
  <c r="D28" i="1089"/>
  <c r="D30" i="1089"/>
  <c r="D7" i="1089"/>
  <c r="D6" i="1089"/>
  <c r="D9" i="1089" s="1"/>
  <c r="D21" i="1089"/>
  <c r="D20" i="1089"/>
  <c r="H34" i="1088"/>
  <c r="H35" i="1088" s="1"/>
  <c r="H33" i="1088"/>
  <c r="F24" i="1088"/>
  <c r="H24" i="1088" s="1"/>
  <c r="H13" i="1088"/>
  <c r="H12" i="1088"/>
  <c r="H11" i="1088"/>
  <c r="F4" i="1088"/>
  <c r="H4" i="1088" s="1"/>
  <c r="H36" i="1090" l="1"/>
  <c r="D31" i="1089"/>
  <c r="D22" i="1089"/>
  <c r="H14" i="1088"/>
  <c r="H15" i="1088" s="1"/>
  <c r="D20" i="1088" s="1"/>
  <c r="D30" i="1088"/>
  <c r="D28" i="1088"/>
  <c r="D29" i="1088"/>
  <c r="D6" i="1088"/>
  <c r="D7" i="1088"/>
  <c r="H34" i="1087"/>
  <c r="H33" i="1087"/>
  <c r="F24" i="1087"/>
  <c r="H24" i="1087" s="1"/>
  <c r="H13" i="1087"/>
  <c r="H12" i="1087"/>
  <c r="H11" i="1087"/>
  <c r="F4" i="1087"/>
  <c r="H4" i="1087" s="1"/>
  <c r="H14" i="1087" l="1"/>
  <c r="H15" i="1087" s="1"/>
  <c r="D21" i="1087" s="1"/>
  <c r="H36" i="1089"/>
  <c r="D21" i="1088"/>
  <c r="D22" i="1088" s="1"/>
  <c r="D31" i="1088"/>
  <c r="D9" i="1088"/>
  <c r="H35" i="1087"/>
  <c r="D6" i="1087"/>
  <c r="D7" i="1087"/>
  <c r="D20" i="1087"/>
  <c r="D30" i="1087"/>
  <c r="D29" i="1087"/>
  <c r="D28" i="1087"/>
  <c r="H34" i="1086"/>
  <c r="H33" i="1086"/>
  <c r="F24" i="1086"/>
  <c r="H24" i="1086" s="1"/>
  <c r="D30" i="1086" s="1"/>
  <c r="H13" i="1086"/>
  <c r="H12" i="1086"/>
  <c r="H11" i="1086"/>
  <c r="F4" i="1086"/>
  <c r="H4" i="1086" s="1"/>
  <c r="H36" i="1088" l="1"/>
  <c r="D31" i="1087"/>
  <c r="D22" i="1087"/>
  <c r="D9" i="1087"/>
  <c r="H35" i="1086"/>
  <c r="H14" i="1086"/>
  <c r="H15" i="1086" s="1"/>
  <c r="D21" i="1086" s="1"/>
  <c r="D7" i="1086"/>
  <c r="D6" i="1086"/>
  <c r="D9" i="1086" s="1"/>
  <c r="D28" i="1086"/>
  <c r="D29" i="1086"/>
  <c r="H34" i="1085"/>
  <c r="H33" i="1085"/>
  <c r="H35" i="1085" s="1"/>
  <c r="F24" i="1085"/>
  <c r="H24" i="1085" s="1"/>
  <c r="H13" i="1085"/>
  <c r="H12" i="1085"/>
  <c r="H11" i="1085"/>
  <c r="F4" i="1085"/>
  <c r="H4" i="1085" s="1"/>
  <c r="D7" i="1085" s="1"/>
  <c r="H36" i="1087" l="1"/>
  <c r="D20" i="1086"/>
  <c r="D22" i="1086" s="1"/>
  <c r="D31" i="1086"/>
  <c r="H14" i="1085"/>
  <c r="H15" i="1085" s="1"/>
  <c r="D20" i="1085" s="1"/>
  <c r="D29" i="1085"/>
  <c r="D28" i="1085"/>
  <c r="D30" i="1085"/>
  <c r="D6" i="1085"/>
  <c r="D9" i="1085" s="1"/>
  <c r="H34" i="1084"/>
  <c r="H33" i="1084"/>
  <c r="F24" i="1084"/>
  <c r="H24" i="1084" s="1"/>
  <c r="H13" i="1084"/>
  <c r="H12" i="1084"/>
  <c r="H11" i="1084"/>
  <c r="F4" i="1084"/>
  <c r="H4" i="1084" s="1"/>
  <c r="D6" i="1084" s="1"/>
  <c r="H35" i="1084" l="1"/>
  <c r="H36" i="1086"/>
  <c r="D21" i="1085"/>
  <c r="D22" i="1085" s="1"/>
  <c r="D31" i="1085"/>
  <c r="H14" i="1084"/>
  <c r="H15" i="1084" s="1"/>
  <c r="D21" i="1084" s="1"/>
  <c r="D30" i="1084"/>
  <c r="D29" i="1084"/>
  <c r="D28" i="1084"/>
  <c r="D7" i="1084"/>
  <c r="D9" i="1084" s="1"/>
  <c r="H34" i="1083"/>
  <c r="H33" i="1083"/>
  <c r="H35" i="1083" s="1"/>
  <c r="F24" i="1083"/>
  <c r="H24" i="1083" s="1"/>
  <c r="D30" i="1083" s="1"/>
  <c r="H13" i="1083"/>
  <c r="H12" i="1083"/>
  <c r="H11" i="1083"/>
  <c r="F4" i="1083"/>
  <c r="H4" i="1083" s="1"/>
  <c r="D20" i="1084" l="1"/>
  <c r="D22" i="1084" s="1"/>
  <c r="H36" i="1085"/>
  <c r="D31" i="1084"/>
  <c r="H14" i="1083"/>
  <c r="H15" i="1083" s="1"/>
  <c r="D21" i="1083" s="1"/>
  <c r="D7" i="1083"/>
  <c r="D6" i="1083"/>
  <c r="D28" i="1083"/>
  <c r="D29" i="1083"/>
  <c r="H34" i="1082"/>
  <c r="H33" i="1082"/>
  <c r="F24" i="1082"/>
  <c r="H24" i="1082" s="1"/>
  <c r="D30" i="1082" s="1"/>
  <c r="H13" i="1082"/>
  <c r="H12" i="1082"/>
  <c r="H11" i="1082"/>
  <c r="F4" i="1082"/>
  <c r="H4" i="1082" s="1"/>
  <c r="H36" i="1084" l="1"/>
  <c r="D20" i="1083"/>
  <c r="D22" i="1083" s="1"/>
  <c r="D9" i="1083"/>
  <c r="D31" i="1083"/>
  <c r="H35" i="1082"/>
  <c r="H14" i="1082"/>
  <c r="H15" i="1082" s="1"/>
  <c r="D20" i="1082" s="1"/>
  <c r="D6" i="1082"/>
  <c r="D7" i="1082"/>
  <c r="D28" i="1082"/>
  <c r="D29" i="1082"/>
  <c r="H34" i="1081"/>
  <c r="H33" i="1081"/>
  <c r="H35" i="1081" s="1"/>
  <c r="F24" i="1081"/>
  <c r="H24" i="1081" s="1"/>
  <c r="D30" i="1081" s="1"/>
  <c r="H13" i="1081"/>
  <c r="H12" i="1081"/>
  <c r="H11" i="1081"/>
  <c r="F4" i="1081"/>
  <c r="H4" i="1081" s="1"/>
  <c r="D7" i="1081" s="1"/>
  <c r="H36" i="1083" l="1"/>
  <c r="D21" i="1082"/>
  <c r="D22" i="1082" s="1"/>
  <c r="D31" i="1082"/>
  <c r="D9" i="1082"/>
  <c r="H14" i="1081"/>
  <c r="H15" i="1081" s="1"/>
  <c r="D21" i="1081" s="1"/>
  <c r="D6" i="1081"/>
  <c r="D9" i="1081"/>
  <c r="D28" i="1081"/>
  <c r="D29" i="1081"/>
  <c r="H34" i="1080"/>
  <c r="H33" i="1080"/>
  <c r="H35" i="1080" s="1"/>
  <c r="F24" i="1080"/>
  <c r="H24" i="1080" s="1"/>
  <c r="D30" i="1080" s="1"/>
  <c r="H13" i="1080"/>
  <c r="H12" i="1080"/>
  <c r="H11" i="1080"/>
  <c r="F4" i="1080"/>
  <c r="H4" i="1080" s="1"/>
  <c r="H34" i="1079"/>
  <c r="H33" i="1079"/>
  <c r="H35" i="1079" s="1"/>
  <c r="F24" i="1079"/>
  <c r="H24" i="1079" s="1"/>
  <c r="H13" i="1079"/>
  <c r="H12" i="1079"/>
  <c r="H11" i="1079"/>
  <c r="F4" i="1079"/>
  <c r="H4" i="1079" s="1"/>
  <c r="D7" i="1079" s="1"/>
  <c r="H36" i="1082" l="1"/>
  <c r="D20" i="1081"/>
  <c r="D22" i="1081" s="1"/>
  <c r="D31" i="1081"/>
  <c r="H14" i="1080"/>
  <c r="H15" i="1080" s="1"/>
  <c r="D21" i="1080" s="1"/>
  <c r="D7" i="1080"/>
  <c r="D6" i="1080"/>
  <c r="D29" i="1080"/>
  <c r="D28" i="1080"/>
  <c r="D31" i="1080" s="1"/>
  <c r="H14" i="1079"/>
  <c r="H15" i="1079" s="1"/>
  <c r="D21" i="1079" s="1"/>
  <c r="D29" i="1079"/>
  <c r="D28" i="1079"/>
  <c r="D30" i="1079"/>
  <c r="D6" i="1079"/>
  <c r="D9" i="1079" s="1"/>
  <c r="H34" i="1078"/>
  <c r="H33" i="1078"/>
  <c r="H35" i="1078" s="1"/>
  <c r="F24" i="1078"/>
  <c r="H24" i="1078" s="1"/>
  <c r="H13" i="1078"/>
  <c r="H12" i="1078"/>
  <c r="H11" i="1078"/>
  <c r="F4" i="1078"/>
  <c r="H4" i="1078" s="1"/>
  <c r="D20" i="1079" l="1"/>
  <c r="D22" i="1079" s="1"/>
  <c r="H36" i="1081"/>
  <c r="D20" i="1080"/>
  <c r="D22" i="1080" s="1"/>
  <c r="D9" i="1080"/>
  <c r="D31" i="1079"/>
  <c r="H14" i="1078"/>
  <c r="H15" i="1078" s="1"/>
  <c r="D21" i="1078" s="1"/>
  <c r="D7" i="1078"/>
  <c r="D9" i="1078" s="1"/>
  <c r="D6" i="1078"/>
  <c r="D29" i="1078"/>
  <c r="D28" i="1078"/>
  <c r="D30" i="1078"/>
  <c r="H34" i="1077"/>
  <c r="H33" i="1077"/>
  <c r="F24" i="1077"/>
  <c r="H24" i="1077" s="1"/>
  <c r="H13" i="1077"/>
  <c r="H12" i="1077"/>
  <c r="H11" i="1077"/>
  <c r="F4" i="1077"/>
  <c r="H4" i="1077" s="1"/>
  <c r="D6" i="1077" s="1"/>
  <c r="H36" i="1079" l="1"/>
  <c r="H35" i="1077"/>
  <c r="H36" i="1080"/>
  <c r="D20" i="1078"/>
  <c r="D31" i="1078"/>
  <c r="D22" i="1078"/>
  <c r="H14" i="1077"/>
  <c r="H15" i="1077" s="1"/>
  <c r="D20" i="1077" s="1"/>
  <c r="D29" i="1077"/>
  <c r="D30" i="1077"/>
  <c r="D28" i="1077"/>
  <c r="D31" i="1077" s="1"/>
  <c r="D7" i="1077"/>
  <c r="D9" i="1077" s="1"/>
  <c r="H34" i="1076"/>
  <c r="H33" i="1076"/>
  <c r="F24" i="1076"/>
  <c r="H24" i="1076" s="1"/>
  <c r="D30" i="1076" s="1"/>
  <c r="H13" i="1076"/>
  <c r="H12" i="1076"/>
  <c r="H11" i="1076"/>
  <c r="F4" i="1076"/>
  <c r="H4" i="1076" s="1"/>
  <c r="H36" i="1078" l="1"/>
  <c r="D21" i="1077"/>
  <c r="D22" i="1077" s="1"/>
  <c r="H36" i="1077" s="1"/>
  <c r="H35" i="1076"/>
  <c r="H14" i="1076"/>
  <c r="H15" i="1076" s="1"/>
  <c r="D20" i="1076" s="1"/>
  <c r="D6" i="1076"/>
  <c r="D7" i="1076"/>
  <c r="D28" i="1076"/>
  <c r="D29" i="1076"/>
  <c r="H34" i="1075"/>
  <c r="H33" i="1075"/>
  <c r="F24" i="1075"/>
  <c r="H24" i="1075" s="1"/>
  <c r="H13" i="1075"/>
  <c r="H12" i="1075"/>
  <c r="H11" i="1075"/>
  <c r="F4" i="1075"/>
  <c r="H4" i="1075" s="1"/>
  <c r="D7" i="1075" s="1"/>
  <c r="D21" i="1076" l="1"/>
  <c r="D22" i="1076" s="1"/>
  <c r="D31" i="1076"/>
  <c r="D9" i="1076"/>
  <c r="H35" i="1075"/>
  <c r="H14" i="1075"/>
  <c r="H15" i="1075" s="1"/>
  <c r="D20" i="1075" s="1"/>
  <c r="D29" i="1075"/>
  <c r="D28" i="1075"/>
  <c r="D30" i="1075"/>
  <c r="D6" i="1075"/>
  <c r="D9" i="1075" s="1"/>
  <c r="H34" i="1074"/>
  <c r="H33" i="1074"/>
  <c r="F24" i="1074"/>
  <c r="H24" i="1074" s="1"/>
  <c r="H13" i="1074"/>
  <c r="H12" i="1074"/>
  <c r="H11" i="1074"/>
  <c r="F4" i="1074"/>
  <c r="H4" i="1074" s="1"/>
  <c r="D21" i="1075" l="1"/>
  <c r="H36" i="1076"/>
  <c r="D31" i="1075"/>
  <c r="D22" i="1075"/>
  <c r="H35" i="1074"/>
  <c r="D30" i="1074"/>
  <c r="D28" i="1074"/>
  <c r="H14" i="1074"/>
  <c r="H15" i="1074" s="1"/>
  <c r="D21" i="1074" s="1"/>
  <c r="D6" i="1074"/>
  <c r="D7" i="1074"/>
  <c r="D29" i="1074"/>
  <c r="H34" i="1073"/>
  <c r="H33" i="1073"/>
  <c r="F24" i="1073"/>
  <c r="H24" i="1073" s="1"/>
  <c r="D30" i="1073" s="1"/>
  <c r="H13" i="1073"/>
  <c r="H12" i="1073"/>
  <c r="H11" i="1073"/>
  <c r="F4" i="1073"/>
  <c r="H4" i="1073" s="1"/>
  <c r="H36" i="1075" l="1"/>
  <c r="D31" i="1074"/>
  <c r="D20" i="1074"/>
  <c r="D22" i="1074" s="1"/>
  <c r="D9" i="1074"/>
  <c r="H35" i="1073"/>
  <c r="H14" i="1073"/>
  <c r="H15" i="1073" s="1"/>
  <c r="D21" i="1073" s="1"/>
  <c r="D7" i="1073"/>
  <c r="D6" i="1073"/>
  <c r="D28" i="1073"/>
  <c r="D29" i="1073"/>
  <c r="H34" i="1072"/>
  <c r="H33" i="1072"/>
  <c r="F24" i="1072"/>
  <c r="H24" i="1072" s="1"/>
  <c r="D30" i="1072" s="1"/>
  <c r="H13" i="1072"/>
  <c r="H12" i="1072"/>
  <c r="H11" i="1072"/>
  <c r="F4" i="1072"/>
  <c r="H4" i="1072" s="1"/>
  <c r="H35" i="1072" l="1"/>
  <c r="H36" i="1074"/>
  <c r="D20" i="1073"/>
  <c r="D22" i="1073" s="1"/>
  <c r="D9" i="1073"/>
  <c r="D31" i="1073"/>
  <c r="H14" i="1072"/>
  <c r="H15" i="1072" s="1"/>
  <c r="D21" i="1072" s="1"/>
  <c r="D7" i="1072"/>
  <c r="D6" i="1072"/>
  <c r="D9" i="1072" s="1"/>
  <c r="D28" i="1072"/>
  <c r="D29" i="1072"/>
  <c r="H34" i="1071"/>
  <c r="H33" i="1071"/>
  <c r="F24" i="1071"/>
  <c r="H24" i="1071" s="1"/>
  <c r="H13" i="1071"/>
  <c r="H12" i="1071"/>
  <c r="H11" i="1071"/>
  <c r="F4" i="1071"/>
  <c r="H4" i="1071" s="1"/>
  <c r="D6" i="1071" s="1"/>
  <c r="H35" i="1071" l="1"/>
  <c r="H36" i="1073"/>
  <c r="D20" i="1072"/>
  <c r="D31" i="1072"/>
  <c r="D22" i="1072"/>
  <c r="H36" i="1072" s="1"/>
  <c r="H14" i="1071"/>
  <c r="H15" i="1071" s="1"/>
  <c r="D20" i="1071" s="1"/>
  <c r="D29" i="1071"/>
  <c r="D30" i="1071"/>
  <c r="D28" i="1071"/>
  <c r="D31" i="1071" s="1"/>
  <c r="D7" i="1071"/>
  <c r="D9" i="1071" s="1"/>
  <c r="H34" i="1069"/>
  <c r="H33" i="1069"/>
  <c r="F24" i="1069"/>
  <c r="H24" i="1069" s="1"/>
  <c r="H13" i="1069"/>
  <c r="H12" i="1069"/>
  <c r="H11" i="1069"/>
  <c r="F4" i="1069"/>
  <c r="H4" i="1069" s="1"/>
  <c r="D6" i="1069" s="1"/>
  <c r="D21" i="1071" l="1"/>
  <c r="H35" i="1069"/>
  <c r="D22" i="1071"/>
  <c r="H36" i="1071" s="1"/>
  <c r="H14" i="1069"/>
  <c r="H15" i="1069" s="1"/>
  <c r="D21" i="1069" s="1"/>
  <c r="D30" i="1069"/>
  <c r="D29" i="1069"/>
  <c r="D28" i="1069"/>
  <c r="D7" i="1069"/>
  <c r="D9" i="1069" s="1"/>
  <c r="H34" i="1068"/>
  <c r="H35" i="1068" s="1"/>
  <c r="H33" i="1068"/>
  <c r="F24" i="1068"/>
  <c r="H24" i="1068" s="1"/>
  <c r="H13" i="1068"/>
  <c r="H12" i="1068"/>
  <c r="H11" i="1068"/>
  <c r="F4" i="1068"/>
  <c r="H4" i="1068" s="1"/>
  <c r="D7" i="1068" s="1"/>
  <c r="D20" i="1069" l="1"/>
  <c r="D31" i="1069"/>
  <c r="D22" i="1069"/>
  <c r="H14" i="1068"/>
  <c r="H15" i="1068" s="1"/>
  <c r="D20" i="1068" s="1"/>
  <c r="D29" i="1068"/>
  <c r="D28" i="1068"/>
  <c r="D30" i="1068"/>
  <c r="D6" i="1068"/>
  <c r="D9" i="1068" s="1"/>
  <c r="H34" i="1067"/>
  <c r="H33" i="1067"/>
  <c r="F24" i="1067"/>
  <c r="H24" i="1067" s="1"/>
  <c r="H13" i="1067"/>
  <c r="H12" i="1067"/>
  <c r="H11" i="1067"/>
  <c r="F4" i="1067"/>
  <c r="H4" i="1067" s="1"/>
  <c r="D6" i="1067" s="1"/>
  <c r="H35" i="1067" l="1"/>
  <c r="D21" i="1068"/>
  <c r="H36" i="1069"/>
  <c r="D22" i="1068"/>
  <c r="D31" i="1068"/>
  <c r="H14" i="1067"/>
  <c r="H15" i="1067" s="1"/>
  <c r="D20" i="1067" s="1"/>
  <c r="D29" i="1067"/>
  <c r="D30" i="1067"/>
  <c r="D28" i="1067"/>
  <c r="D7" i="1067"/>
  <c r="D9" i="1067" s="1"/>
  <c r="H36" i="1068" l="1"/>
  <c r="D31" i="1067"/>
  <c r="D21" i="1067"/>
  <c r="D22" i="1067" s="1"/>
  <c r="H36" i="1067" l="1"/>
</calcChain>
</file>

<file path=xl/sharedStrings.xml><?xml version="1.0" encoding="utf-8"?>
<sst xmlns="http://schemas.openxmlformats.org/spreadsheetml/2006/main" count="1570" uniqueCount="126">
  <si>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</si>
  <si>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</si>
  <si>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</si>
  <si>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</si>
  <si>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</si>
  <si>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</si>
  <si>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</si>
  <si>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</si>
  <si>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</si>
  <si>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</si>
  <si>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</si>
  <si>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</si>
  <si>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</si>
  <si>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</si>
  <si>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</si>
  <si>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</si>
  <si>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</si>
  <si>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</si>
  <si>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</si>
  <si>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</si>
  <si>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</si>
  <si>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</si>
  <si>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</si>
  <si>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</si>
  <si>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</si>
  <si>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</si>
  <si>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</si>
  <si>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</si>
  <si>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</si>
  <si>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</si>
  <si>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</si>
  <si>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</si>
  <si>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</si>
  <si>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</si>
  <si>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</si>
  <si>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</si>
  <si>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</si>
  <si>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</si>
  <si>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</si>
  <si>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</si>
  <si>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</si>
  <si>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</si>
  <si>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</si>
  <si>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</si>
  <si>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</si>
  <si>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</si>
  <si>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</si>
  <si>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</si>
  <si>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</si>
  <si>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</si>
  <si>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</si>
  <si>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</si>
  <si>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</si>
  <si>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</si>
  <si>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</si>
  <si>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01.3.2024</t>
  </si>
  <si>
    <t>02.3.2024</t>
  </si>
  <si>
    <t>03.3.2024</t>
  </si>
  <si>
    <t>04.3.2024</t>
  </si>
  <si>
    <t>05.3.2024</t>
  </si>
  <si>
    <t>06.3.2024</t>
  </si>
  <si>
    <t>07.3.2024</t>
  </si>
  <si>
    <t>08.3.2024</t>
  </si>
  <si>
    <t>09.3.2024</t>
  </si>
  <si>
    <t>10.3.2024</t>
  </si>
  <si>
    <t>11.3.2024</t>
  </si>
  <si>
    <t>12.3.2024</t>
  </si>
  <si>
    <t>13.3.2024</t>
  </si>
  <si>
    <t>14.3.2024</t>
  </si>
  <si>
    <t>15.3.2024</t>
  </si>
  <si>
    <t>16.3.2024</t>
  </si>
  <si>
    <t>17.3.2024</t>
  </si>
  <si>
    <t>18.3.2024</t>
  </si>
  <si>
    <t>19.3.2024</t>
  </si>
  <si>
    <t>20.3.2024</t>
  </si>
  <si>
    <t>21.3.2024</t>
  </si>
  <si>
    <t>22.3.2024</t>
  </si>
  <si>
    <t>23.3.2024</t>
  </si>
  <si>
    <t>24.3.2024</t>
  </si>
  <si>
    <t>25.3.2024</t>
  </si>
  <si>
    <t>26.3.2024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</si>
  <si>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</si>
  <si>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</si>
  <si>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</si>
  <si>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</si>
  <si>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</si>
  <si>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</si>
  <si>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</si>
  <si>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</si>
  <si>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</si>
  <si>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</si>
  <si>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</si>
  <si>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 </t>
  </si>
  <si>
    <t>Amwaj Rotana - Jumeirah Beach</t>
  </si>
  <si>
    <t xml:space="preserve">LPG (Liters) </t>
  </si>
  <si>
    <t>LPG $/Liters</t>
  </si>
  <si>
    <t>Cooling Degree Day</t>
  </si>
  <si>
    <t>Daily Utilities May 2023</t>
  </si>
  <si>
    <t>33.89c</t>
  </si>
  <si>
    <t>32.84c</t>
  </si>
  <si>
    <t>31.53c</t>
  </si>
  <si>
    <t>25.75c</t>
  </si>
  <si>
    <t>30.8c</t>
  </si>
  <si>
    <t>31.01c</t>
  </si>
  <si>
    <t>32c</t>
  </si>
  <si>
    <t>34.13c</t>
  </si>
  <si>
    <t>35.12c</t>
  </si>
  <si>
    <t>35.65c</t>
  </si>
  <si>
    <t>30.0c</t>
  </si>
  <si>
    <t>31.0c</t>
  </si>
  <si>
    <t>34.0c</t>
  </si>
  <si>
    <t>32.0c</t>
  </si>
  <si>
    <t>35.02c</t>
  </si>
  <si>
    <t>30.28c</t>
  </si>
  <si>
    <t>36.29c</t>
  </si>
  <si>
    <t>34.19C</t>
  </si>
  <si>
    <t>33.10c</t>
  </si>
  <si>
    <t>33.75c</t>
  </si>
  <si>
    <t>34.2c</t>
  </si>
  <si>
    <t>35.34c</t>
  </si>
  <si>
    <t>37.13c</t>
  </si>
  <si>
    <t>36.0c</t>
  </si>
  <si>
    <t>37.20c</t>
  </si>
  <si>
    <t>38.20c</t>
  </si>
  <si>
    <t>38.50c</t>
  </si>
  <si>
    <t>37.0c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</si>
</sst>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11" fillId="3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3" fontId="9" fillId="0" borderId="13" xfId="1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10" fontId="11" fillId="2" borderId="13" xfId="0" applyNumberFormat="1" applyFont="1" applyFill="1" applyBorder="1" applyAlignment="1">
      <alignment horizontal="center" vertical="center"/>
    </xf>
    <xf numFmtId="170" fontId="11" fillId="2" borderId="13" xfId="0" applyNumberFormat="1" applyFont="1" applyFill="1" applyBorder="1" applyAlignment="1">
      <alignment horizontal="center" vertical="center"/>
    </xf>
    <xf numFmtId="3" fontId="11" fillId="2" borderId="13" xfId="0" applyNumberFormat="1" applyFont="1" applyFill="1" applyBorder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 wrapText="1"/>
    </xf>
    <xf numFmtId="172" fontId="11" fillId="2" borderId="1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4" xfId="0" applyFont="1" applyFill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left" vertical="center"/>
    </xf>
    <xf numFmtId="4" fontId="6" fillId="0" borderId="4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4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March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May 2023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1</c:v>
                </c:pt>
                <c:pt idx="1">
                  <c:v>0.99070000000000003</c:v>
                </c:pt>
                <c:pt idx="2">
                  <c:v>0.96030000000000004</c:v>
                </c:pt>
                <c:pt idx="3">
                  <c:v>0.99029999999999996</c:v>
                </c:pt>
                <c:pt idx="4">
                  <c:v>1.0029999999999999</c:v>
                </c:pt>
                <c:pt idx="5">
                  <c:v>0.94</c:v>
                </c:pt>
                <c:pt idx="6">
                  <c:v>0.89700000000000002</c:v>
                </c:pt>
                <c:pt idx="7">
                  <c:v>1</c:v>
                </c:pt>
                <c:pt idx="8">
                  <c:v>0.98299999999999998</c:v>
                </c:pt>
                <c:pt idx="9">
                  <c:v>0.94299999999999995</c:v>
                </c:pt>
                <c:pt idx="10">
                  <c:v>1</c:v>
                </c:pt>
                <c:pt idx="11">
                  <c:v>1.0029999999999999</c:v>
                </c:pt>
                <c:pt idx="12">
                  <c:v>0.97</c:v>
                </c:pt>
                <c:pt idx="13">
                  <c:v>0.88500000000000001</c:v>
                </c:pt>
                <c:pt idx="14">
                  <c:v>0.94</c:v>
                </c:pt>
                <c:pt idx="15">
                  <c:v>0.99299999999999999</c:v>
                </c:pt>
                <c:pt idx="16">
                  <c:v>1</c:v>
                </c:pt>
                <c:pt idx="17">
                  <c:v>1</c:v>
                </c:pt>
                <c:pt idx="18">
                  <c:v>0.92020000000000002</c:v>
                </c:pt>
                <c:pt idx="19">
                  <c:v>0.93020000000000003</c:v>
                </c:pt>
                <c:pt idx="20">
                  <c:v>0.98060000000000003</c:v>
                </c:pt>
                <c:pt idx="21">
                  <c:v>0.98029999999999995</c:v>
                </c:pt>
                <c:pt idx="22">
                  <c:v>0.95299999999999996</c:v>
                </c:pt>
                <c:pt idx="23">
                  <c:v>0.97299999999999998</c:v>
                </c:pt>
                <c:pt idx="24">
                  <c:v>1.0029999999999999</c:v>
                </c:pt>
                <c:pt idx="25">
                  <c:v>1.0029999999999999</c:v>
                </c:pt>
                <c:pt idx="26">
                  <c:v>1</c:v>
                </c:pt>
                <c:pt idx="27">
                  <c:v>0.96</c:v>
                </c:pt>
                <c:pt idx="28">
                  <c:v>0.97699999999999998</c:v>
                </c:pt>
                <c:pt idx="29">
                  <c:v>0.93</c:v>
                </c:pt>
                <c:pt idx="30">
                  <c:v>0.97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May 2023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34.049999999999997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May 2023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0.47120000000000001</c:v>
                </c:pt>
                <c:pt idx="1">
                  <c:v>0.66090000000000004</c:v>
                </c:pt>
                <c:pt idx="2">
                  <c:v>0.58479999999999999</c:v>
                </c:pt>
                <c:pt idx="3">
                  <c:v>0.76070000000000004</c:v>
                </c:pt>
                <c:pt idx="4">
                  <c:v>0.68469999999999998</c:v>
                </c:pt>
                <c:pt idx="5">
                  <c:v>0.75260000000000005</c:v>
                </c:pt>
                <c:pt idx="6">
                  <c:v>0.72799999999999998</c:v>
                </c:pt>
                <c:pt idx="7">
                  <c:v>0.69599999999999995</c:v>
                </c:pt>
                <c:pt idx="8">
                  <c:v>0.50819999999999999</c:v>
                </c:pt>
                <c:pt idx="9">
                  <c:v>0.48680000000000001</c:v>
                </c:pt>
                <c:pt idx="10">
                  <c:v>0.76</c:v>
                </c:pt>
                <c:pt idx="11">
                  <c:v>0.76</c:v>
                </c:pt>
                <c:pt idx="12">
                  <c:v>0.63</c:v>
                </c:pt>
                <c:pt idx="13">
                  <c:v>0.76</c:v>
                </c:pt>
                <c:pt idx="14">
                  <c:v>0.7</c:v>
                </c:pt>
                <c:pt idx="15">
                  <c:v>0.73</c:v>
                </c:pt>
                <c:pt idx="16">
                  <c:v>0.68049999999999999</c:v>
                </c:pt>
                <c:pt idx="17">
                  <c:v>0.48220000000000002</c:v>
                </c:pt>
                <c:pt idx="18">
                  <c:v>0.53100000000000003</c:v>
                </c:pt>
                <c:pt idx="19">
                  <c:v>0.42399999999999999</c:v>
                </c:pt>
                <c:pt idx="20">
                  <c:v>0.40820000000000001</c:v>
                </c:pt>
                <c:pt idx="21">
                  <c:v>0.45229999999999998</c:v>
                </c:pt>
                <c:pt idx="22">
                  <c:v>0.63100000000000001</c:v>
                </c:pt>
                <c:pt idx="23">
                  <c:v>0.68400000000000005</c:v>
                </c:pt>
                <c:pt idx="24">
                  <c:v>0.55679999999999996</c:v>
                </c:pt>
                <c:pt idx="25">
                  <c:v>0.67279999999999995</c:v>
                </c:pt>
                <c:pt idx="26">
                  <c:v>0.67</c:v>
                </c:pt>
                <c:pt idx="27">
                  <c:v>0.79</c:v>
                </c:pt>
                <c:pt idx="28">
                  <c:v>0.8</c:v>
                </c:pt>
                <c:pt idx="29">
                  <c:v>0.7</c:v>
                </c:pt>
                <c:pt idx="30">
                  <c:v>0.79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May 2023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6645.41</c:v>
                </c:pt>
                <c:pt idx="1">
                  <c:v>8016.52</c:v>
                </c:pt>
                <c:pt idx="2">
                  <c:v>7597.82</c:v>
                </c:pt>
                <c:pt idx="3">
                  <c:v>7833.68</c:v>
                </c:pt>
                <c:pt idx="4">
                  <c:v>7850.14</c:v>
                </c:pt>
                <c:pt idx="5">
                  <c:v>8049.43</c:v>
                </c:pt>
                <c:pt idx="6">
                  <c:v>8287.1200000000008</c:v>
                </c:pt>
                <c:pt idx="7">
                  <c:v>7674.61</c:v>
                </c:pt>
                <c:pt idx="8">
                  <c:v>7142.56</c:v>
                </c:pt>
                <c:pt idx="9">
                  <c:v>7592.34</c:v>
                </c:pt>
                <c:pt idx="10">
                  <c:v>7700.21</c:v>
                </c:pt>
                <c:pt idx="11">
                  <c:v>8689.3799999999992</c:v>
                </c:pt>
                <c:pt idx="12">
                  <c:v>9181.19</c:v>
                </c:pt>
                <c:pt idx="13">
                  <c:v>8314.5400000000009</c:v>
                </c:pt>
                <c:pt idx="14">
                  <c:v>8462.64</c:v>
                </c:pt>
                <c:pt idx="15">
                  <c:v>8482.75</c:v>
                </c:pt>
                <c:pt idx="16">
                  <c:v>8497.2999999999993</c:v>
                </c:pt>
                <c:pt idx="17">
                  <c:v>8230.44</c:v>
                </c:pt>
                <c:pt idx="18">
                  <c:v>8091.48</c:v>
                </c:pt>
                <c:pt idx="19">
                  <c:v>8363.91</c:v>
                </c:pt>
                <c:pt idx="20">
                  <c:v>8552.23</c:v>
                </c:pt>
                <c:pt idx="21">
                  <c:v>8343.7999999999993</c:v>
                </c:pt>
                <c:pt idx="22">
                  <c:v>8948.99</c:v>
                </c:pt>
                <c:pt idx="23">
                  <c:v>8755.18</c:v>
                </c:pt>
                <c:pt idx="24">
                  <c:v>8713.1299999999992</c:v>
                </c:pt>
                <c:pt idx="25">
                  <c:v>8824.66</c:v>
                </c:pt>
                <c:pt idx="26">
                  <c:v>9488.36</c:v>
                </c:pt>
                <c:pt idx="27">
                  <c:v>9512.1299999999992</c:v>
                </c:pt>
                <c:pt idx="28">
                  <c:v>9691.31</c:v>
                </c:pt>
                <c:pt idx="29">
                  <c:v>10016.76</c:v>
                </c:pt>
                <c:pt idx="30">
                  <c:v>10031.379999999999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May 2023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7232.15</c:v>
                </c:pt>
                <c:pt idx="1">
                  <c:v>6645.41</c:v>
                </c:pt>
                <c:pt idx="2">
                  <c:v>6431.04</c:v>
                </c:pt>
                <c:pt idx="3">
                  <c:v>7074.14</c:v>
                </c:pt>
                <c:pt idx="4">
                  <c:v>6859.78</c:v>
                </c:pt>
                <c:pt idx="5">
                  <c:v>6645.41</c:v>
                </c:pt>
                <c:pt idx="6">
                  <c:v>6645.41</c:v>
                </c:pt>
                <c:pt idx="7">
                  <c:v>6645.41</c:v>
                </c:pt>
                <c:pt idx="8">
                  <c:v>6431.04</c:v>
                </c:pt>
                <c:pt idx="9">
                  <c:v>6859.78</c:v>
                </c:pt>
                <c:pt idx="10">
                  <c:v>6431.04</c:v>
                </c:pt>
                <c:pt idx="11">
                  <c:v>7288.51</c:v>
                </c:pt>
                <c:pt idx="12">
                  <c:v>7074.14</c:v>
                </c:pt>
                <c:pt idx="13">
                  <c:v>7074.14</c:v>
                </c:pt>
                <c:pt idx="14">
                  <c:v>6645.41</c:v>
                </c:pt>
                <c:pt idx="15">
                  <c:v>6645.41</c:v>
                </c:pt>
                <c:pt idx="16">
                  <c:v>6645.41</c:v>
                </c:pt>
                <c:pt idx="17">
                  <c:v>7074.14</c:v>
                </c:pt>
                <c:pt idx="18">
                  <c:v>6859.78</c:v>
                </c:pt>
                <c:pt idx="19">
                  <c:v>7074.14</c:v>
                </c:pt>
                <c:pt idx="20">
                  <c:v>7074.14</c:v>
                </c:pt>
                <c:pt idx="21">
                  <c:v>6645.41</c:v>
                </c:pt>
                <c:pt idx="22">
                  <c:v>6645.41</c:v>
                </c:pt>
                <c:pt idx="23">
                  <c:v>6859.78</c:v>
                </c:pt>
                <c:pt idx="24">
                  <c:v>6859.78</c:v>
                </c:pt>
                <c:pt idx="25">
                  <c:v>7074.14</c:v>
                </c:pt>
                <c:pt idx="26">
                  <c:v>6859.78</c:v>
                </c:pt>
                <c:pt idx="27">
                  <c:v>7074.14</c:v>
                </c:pt>
                <c:pt idx="28">
                  <c:v>7074.14</c:v>
                </c:pt>
                <c:pt idx="29">
                  <c:v>7288.51</c:v>
                </c:pt>
                <c:pt idx="30">
                  <c:v>7074.14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May 2023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2668</c:v>
                </c:pt>
                <c:pt idx="1">
                  <c:v>2562.4</c:v>
                </c:pt>
                <c:pt idx="2">
                  <c:v>2694.4</c:v>
                </c:pt>
                <c:pt idx="3">
                  <c:v>2602</c:v>
                </c:pt>
                <c:pt idx="4">
                  <c:v>2562.4</c:v>
                </c:pt>
                <c:pt idx="5">
                  <c:v>2654.8</c:v>
                </c:pt>
                <c:pt idx="6">
                  <c:v>2404</c:v>
                </c:pt>
                <c:pt idx="7">
                  <c:v>2681.2</c:v>
                </c:pt>
                <c:pt idx="8">
                  <c:v>2602</c:v>
                </c:pt>
                <c:pt idx="9">
                  <c:v>2549.1999999999998</c:v>
                </c:pt>
                <c:pt idx="10">
                  <c:v>2509.6</c:v>
                </c:pt>
                <c:pt idx="11">
                  <c:v>2602</c:v>
                </c:pt>
                <c:pt idx="12">
                  <c:v>2720.8</c:v>
                </c:pt>
                <c:pt idx="13">
                  <c:v>2562.4</c:v>
                </c:pt>
                <c:pt idx="14">
                  <c:v>2113.6</c:v>
                </c:pt>
                <c:pt idx="15">
                  <c:v>2404</c:v>
                </c:pt>
                <c:pt idx="16">
                  <c:v>2456.8000000000002</c:v>
                </c:pt>
                <c:pt idx="17">
                  <c:v>2456.8000000000002</c:v>
                </c:pt>
                <c:pt idx="18">
                  <c:v>2707.6</c:v>
                </c:pt>
                <c:pt idx="19">
                  <c:v>2470</c:v>
                </c:pt>
                <c:pt idx="20">
                  <c:v>2483.1999999999998</c:v>
                </c:pt>
                <c:pt idx="21">
                  <c:v>2338</c:v>
                </c:pt>
                <c:pt idx="22">
                  <c:v>2456.8000000000002</c:v>
                </c:pt>
                <c:pt idx="23">
                  <c:v>2206</c:v>
                </c:pt>
                <c:pt idx="24">
                  <c:v>2562.4</c:v>
                </c:pt>
                <c:pt idx="25">
                  <c:v>2470</c:v>
                </c:pt>
                <c:pt idx="26">
                  <c:v>2615.1999999999998</c:v>
                </c:pt>
                <c:pt idx="27">
                  <c:v>2773.6</c:v>
                </c:pt>
                <c:pt idx="28">
                  <c:v>2522.8000000000002</c:v>
                </c:pt>
                <c:pt idx="29">
                  <c:v>2668</c:v>
                </c:pt>
                <c:pt idx="30">
                  <c:v>2628.4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May 2023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614.88</c:v>
                </c:pt>
                <c:pt idx="1">
                  <c:v>358.64</c:v>
                </c:pt>
                <c:pt idx="2">
                  <c:v>512.4</c:v>
                </c:pt>
                <c:pt idx="3">
                  <c:v>512.4</c:v>
                </c:pt>
                <c:pt idx="4">
                  <c:v>512.4</c:v>
                </c:pt>
                <c:pt idx="5">
                  <c:v>512.4</c:v>
                </c:pt>
                <c:pt idx="6">
                  <c:v>409.92</c:v>
                </c:pt>
                <c:pt idx="7">
                  <c:v>512.4</c:v>
                </c:pt>
                <c:pt idx="8">
                  <c:v>512.4</c:v>
                </c:pt>
                <c:pt idx="9">
                  <c:v>461.16</c:v>
                </c:pt>
                <c:pt idx="10">
                  <c:v>512.4</c:v>
                </c:pt>
                <c:pt idx="11">
                  <c:v>512.4</c:v>
                </c:pt>
                <c:pt idx="12">
                  <c:v>512.4</c:v>
                </c:pt>
                <c:pt idx="13">
                  <c:v>461.16</c:v>
                </c:pt>
                <c:pt idx="14">
                  <c:v>512.4</c:v>
                </c:pt>
                <c:pt idx="15">
                  <c:v>512.4</c:v>
                </c:pt>
                <c:pt idx="16">
                  <c:v>512.4</c:v>
                </c:pt>
                <c:pt idx="17">
                  <c:v>512.4</c:v>
                </c:pt>
                <c:pt idx="18">
                  <c:v>409.92</c:v>
                </c:pt>
                <c:pt idx="19">
                  <c:v>358.68</c:v>
                </c:pt>
                <c:pt idx="20">
                  <c:v>512.4</c:v>
                </c:pt>
                <c:pt idx="21">
                  <c:v>512.4</c:v>
                </c:pt>
                <c:pt idx="22">
                  <c:v>307.44</c:v>
                </c:pt>
                <c:pt idx="23">
                  <c:v>461.16</c:v>
                </c:pt>
                <c:pt idx="24">
                  <c:v>461.16</c:v>
                </c:pt>
                <c:pt idx="25">
                  <c:v>409.92</c:v>
                </c:pt>
                <c:pt idx="26">
                  <c:v>461.16</c:v>
                </c:pt>
                <c:pt idx="27">
                  <c:v>512.4</c:v>
                </c:pt>
                <c:pt idx="28">
                  <c:v>461.16</c:v>
                </c:pt>
                <c:pt idx="29">
                  <c:v>409.92</c:v>
                </c:pt>
                <c:pt idx="30">
                  <c:v>307.44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May 2023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17160.439999999999</c:v>
                </c:pt>
                <c:pt idx="1">
                  <c:v>17582.97</c:v>
                </c:pt>
                <c:pt idx="2">
                  <c:v>17235.660000000003</c:v>
                </c:pt>
                <c:pt idx="3">
                  <c:v>18022.22</c:v>
                </c:pt>
                <c:pt idx="4">
                  <c:v>17784.72</c:v>
                </c:pt>
                <c:pt idx="5">
                  <c:v>17862.04</c:v>
                </c:pt>
                <c:pt idx="6">
                  <c:v>17746.449999999997</c:v>
                </c:pt>
                <c:pt idx="7">
                  <c:v>17513.620000000003</c:v>
                </c:pt>
                <c:pt idx="8">
                  <c:v>16688</c:v>
                </c:pt>
                <c:pt idx="9">
                  <c:v>17462.48</c:v>
                </c:pt>
                <c:pt idx="10">
                  <c:v>17153.25</c:v>
                </c:pt>
                <c:pt idx="11">
                  <c:v>19092.29</c:v>
                </c:pt>
                <c:pt idx="12">
                  <c:v>19488.530000000002</c:v>
                </c:pt>
                <c:pt idx="13">
                  <c:v>18412.240000000002</c:v>
                </c:pt>
                <c:pt idx="14">
                  <c:v>17734.05</c:v>
                </c:pt>
                <c:pt idx="15">
                  <c:v>18044.560000000001</c:v>
                </c:pt>
                <c:pt idx="16">
                  <c:v>18111.91</c:v>
                </c:pt>
                <c:pt idx="17">
                  <c:v>18273.780000000002</c:v>
                </c:pt>
                <c:pt idx="18">
                  <c:v>18068.779999999995</c:v>
                </c:pt>
                <c:pt idx="19">
                  <c:v>18266.73</c:v>
                </c:pt>
                <c:pt idx="20">
                  <c:v>18621.97</c:v>
                </c:pt>
                <c:pt idx="21">
                  <c:v>17839.61</c:v>
                </c:pt>
                <c:pt idx="22">
                  <c:v>18358.64</c:v>
                </c:pt>
                <c:pt idx="23">
                  <c:v>18282.12</c:v>
                </c:pt>
                <c:pt idx="24">
                  <c:v>18596.47</c:v>
                </c:pt>
                <c:pt idx="25">
                  <c:v>18778.719999999998</c:v>
                </c:pt>
                <c:pt idx="26">
                  <c:v>19424.5</c:v>
                </c:pt>
                <c:pt idx="27">
                  <c:v>19872.27</c:v>
                </c:pt>
                <c:pt idx="28">
                  <c:v>19749.41</c:v>
                </c:pt>
                <c:pt idx="29">
                  <c:v>20383.189999999999</c:v>
                </c:pt>
                <c:pt idx="30">
                  <c:v>20041.36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77954368"/>
        <c:axId val="877954912"/>
        <c:extLst/>
      </c:lineChart>
      <c:catAx>
        <c:axId val="87795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912"/>
        <c:crosses val="autoZero"/>
        <c:auto val="1"/>
        <c:lblAlgn val="ctr"/>
        <c:lblOffset val="100"/>
        <c:noMultiLvlLbl val="0"/>
      </c:catAx>
      <c:valAx>
        <c:axId val="87795491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368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 March </a:t>
            </a:r>
            <a:r>
              <a:rPr lang="en-US" baseline="0"/>
              <a:t>2023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967649255473444"/>
          <c:y val="2.80181898195687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'[1]MTD Utility Sheet'!$B$1:$B$3</c:f>
              <c:strCache>
                <c:ptCount val="1"/>
                <c:pt idx="0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Sheet'!$B$4:$B$34</c:f>
              <c:numCache>
                <c:formatCode>General</c:formatCode>
                <c:ptCount val="31"/>
                <c:pt idx="0">
                  <c:v>1</c:v>
                </c:pt>
                <c:pt idx="1">
                  <c:v>1.0006999999999999</c:v>
                </c:pt>
                <c:pt idx="2">
                  <c:v>0.99</c:v>
                </c:pt>
                <c:pt idx="3">
                  <c:v>0</c:v>
                </c:pt>
                <c:pt idx="4">
                  <c:v>1</c:v>
                </c:pt>
                <c:pt idx="5">
                  <c:v>1.01</c:v>
                </c:pt>
                <c:pt idx="6">
                  <c:v>1</c:v>
                </c:pt>
                <c:pt idx="7">
                  <c:v>1.01</c:v>
                </c:pt>
                <c:pt idx="8">
                  <c:v>1</c:v>
                </c:pt>
                <c:pt idx="9">
                  <c:v>1.0003</c:v>
                </c:pt>
                <c:pt idx="10">
                  <c:v>0.98</c:v>
                </c:pt>
                <c:pt idx="11">
                  <c:v>0.91069999999999995</c:v>
                </c:pt>
                <c:pt idx="12">
                  <c:v>0.96</c:v>
                </c:pt>
                <c:pt idx="13">
                  <c:v>0.97670000000000001</c:v>
                </c:pt>
                <c:pt idx="14">
                  <c:v>0.99</c:v>
                </c:pt>
                <c:pt idx="15">
                  <c:v>0.98</c:v>
                </c:pt>
                <c:pt idx="16">
                  <c:v>1</c:v>
                </c:pt>
                <c:pt idx="17">
                  <c:v>1</c:v>
                </c:pt>
                <c:pt idx="18">
                  <c:v>0.94699999999999995</c:v>
                </c:pt>
                <c:pt idx="19">
                  <c:v>0.94040000000000001</c:v>
                </c:pt>
                <c:pt idx="20">
                  <c:v>0.86</c:v>
                </c:pt>
                <c:pt idx="21">
                  <c:v>0.80030000000000001</c:v>
                </c:pt>
                <c:pt idx="22">
                  <c:v>0.73089999999999999</c:v>
                </c:pt>
                <c:pt idx="23">
                  <c:v>0.7409</c:v>
                </c:pt>
                <c:pt idx="24">
                  <c:v>0.8</c:v>
                </c:pt>
                <c:pt idx="25">
                  <c:v>0.80069999999999997</c:v>
                </c:pt>
                <c:pt idx="26">
                  <c:v>0.82040000000000002</c:v>
                </c:pt>
                <c:pt idx="27">
                  <c:v>0.84</c:v>
                </c:pt>
                <c:pt idx="28">
                  <c:v>0.86399999999999999</c:v>
                </c:pt>
                <c:pt idx="29">
                  <c:v>0.86399999999999999</c:v>
                </c:pt>
                <c:pt idx="30">
                  <c:v>0.83699999999999997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DC3-47C3-BC69-C64EFF5CF450}"/>
            </c:ext>
          </c:extLst>
        </c:ser>
        <c:ser>
          <c:idx val="1"/>
          <c:order val="1"/>
          <c:tx>
            <c:strRef>
              <c:f>'[1]MTD Utility Sheet'!$C$1:$C$3</c:f>
              <c:strCache>
                <c:ptCount val="1"/>
                <c:pt idx="0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DC3-47C3-BC69-C64EFF5CF450}"/>
            </c:ext>
          </c:extLst>
        </c:ser>
        <c:ser>
          <c:idx val="2"/>
          <c:order val="2"/>
          <c:tx>
            <c:strRef>
              <c:f>'[1]MTD Utility Sheet'!$D$1:$D$3</c:f>
              <c:strCache>
                <c:ptCount val="1"/>
                <c:pt idx="0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Sheet'!$D$4:$D$34</c:f>
              <c:numCache>
                <c:formatCode>General</c:formatCode>
                <c:ptCount val="31"/>
                <c:pt idx="0">
                  <c:v>1.0012000000000001</c:v>
                </c:pt>
                <c:pt idx="1">
                  <c:v>1.0006999999999999</c:v>
                </c:pt>
                <c:pt idx="2">
                  <c:v>1.1208</c:v>
                </c:pt>
                <c:pt idx="3">
                  <c:v>0.98380000000000001</c:v>
                </c:pt>
                <c:pt idx="4">
                  <c:v>1.0012000000000001</c:v>
                </c:pt>
                <c:pt idx="5">
                  <c:v>0.95299999999999996</c:v>
                </c:pt>
                <c:pt idx="6">
                  <c:v>0.9</c:v>
                </c:pt>
                <c:pt idx="7">
                  <c:v>0.92500000000000004</c:v>
                </c:pt>
                <c:pt idx="8">
                  <c:v>0.95299999999999996</c:v>
                </c:pt>
                <c:pt idx="9">
                  <c:v>0.88100000000000001</c:v>
                </c:pt>
                <c:pt idx="10">
                  <c:v>0.63370000000000004</c:v>
                </c:pt>
                <c:pt idx="11">
                  <c:v>0.57750000000000001</c:v>
                </c:pt>
                <c:pt idx="12">
                  <c:v>0.46389999999999998</c:v>
                </c:pt>
                <c:pt idx="13">
                  <c:v>0.78</c:v>
                </c:pt>
                <c:pt idx="14">
                  <c:v>0.78639999999999999</c:v>
                </c:pt>
                <c:pt idx="15">
                  <c:v>0.76949999999999996</c:v>
                </c:pt>
                <c:pt idx="16">
                  <c:v>0.78200000000000003</c:v>
                </c:pt>
                <c:pt idx="17">
                  <c:v>0.8</c:v>
                </c:pt>
                <c:pt idx="18">
                  <c:v>0.75600000000000001</c:v>
                </c:pt>
                <c:pt idx="19">
                  <c:v>0.66200000000000003</c:v>
                </c:pt>
                <c:pt idx="20">
                  <c:v>0.62570000000000003</c:v>
                </c:pt>
                <c:pt idx="21">
                  <c:v>0.81040000000000001</c:v>
                </c:pt>
                <c:pt idx="22">
                  <c:v>0.5857</c:v>
                </c:pt>
                <c:pt idx="23">
                  <c:v>0.73119999999999996</c:v>
                </c:pt>
                <c:pt idx="24">
                  <c:v>0.76500000000000001</c:v>
                </c:pt>
                <c:pt idx="25">
                  <c:v>0.58450000000000002</c:v>
                </c:pt>
                <c:pt idx="26">
                  <c:v>0.82199999999999995</c:v>
                </c:pt>
                <c:pt idx="27">
                  <c:v>0</c:v>
                </c:pt>
                <c:pt idx="28">
                  <c:v>0.80500000000000005</c:v>
                </c:pt>
                <c:pt idx="29">
                  <c:v>0.84099999999999997</c:v>
                </c:pt>
                <c:pt idx="30">
                  <c:v>0.78500000000000003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DC3-47C3-BC69-C64EFF5CF450}"/>
            </c:ext>
          </c:extLst>
        </c:ser>
        <c:ser>
          <c:idx val="3"/>
          <c:order val="3"/>
          <c:tx>
            <c:strRef>
              <c:f>'[1]MTD Utility Sheet'!$F$1:$F$3</c:f>
              <c:strCache>
                <c:ptCount val="1"/>
                <c:pt idx="0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Sheet'!$F$4:$F$34</c:f>
              <c:numCache>
                <c:formatCode>General</c:formatCode>
                <c:ptCount val="31"/>
                <c:pt idx="0">
                  <c:v>6409.38</c:v>
                </c:pt>
                <c:pt idx="1">
                  <c:v>6219.23</c:v>
                </c:pt>
                <c:pt idx="2">
                  <c:v>6634.27</c:v>
                </c:pt>
                <c:pt idx="3">
                  <c:v>6175.35</c:v>
                </c:pt>
                <c:pt idx="4">
                  <c:v>6213.75</c:v>
                </c:pt>
                <c:pt idx="5">
                  <c:v>6253.97</c:v>
                </c:pt>
                <c:pt idx="6">
                  <c:v>5893.78</c:v>
                </c:pt>
                <c:pt idx="7">
                  <c:v>6202.78</c:v>
                </c:pt>
                <c:pt idx="8">
                  <c:v>6266.77</c:v>
                </c:pt>
                <c:pt idx="9">
                  <c:v>6424.01</c:v>
                </c:pt>
                <c:pt idx="10">
                  <c:v>6286.88</c:v>
                </c:pt>
                <c:pt idx="11">
                  <c:v>6310.65</c:v>
                </c:pt>
                <c:pt idx="12">
                  <c:v>6400.24</c:v>
                </c:pt>
                <c:pt idx="13">
                  <c:v>6232.03</c:v>
                </c:pt>
                <c:pt idx="14">
                  <c:v>6548.34</c:v>
                </c:pt>
                <c:pt idx="15">
                  <c:v>6575.76</c:v>
                </c:pt>
                <c:pt idx="16">
                  <c:v>6524.57</c:v>
                </c:pt>
                <c:pt idx="17">
                  <c:v>6054.68</c:v>
                </c:pt>
                <c:pt idx="18">
                  <c:v>5959.6</c:v>
                </c:pt>
                <c:pt idx="19">
                  <c:v>6023.6</c:v>
                </c:pt>
                <c:pt idx="20">
                  <c:v>6120.5</c:v>
                </c:pt>
                <c:pt idx="21">
                  <c:v>5747.51</c:v>
                </c:pt>
                <c:pt idx="22">
                  <c:v>5542.73</c:v>
                </c:pt>
                <c:pt idx="23">
                  <c:v>5685.35</c:v>
                </c:pt>
                <c:pt idx="24">
                  <c:v>5935.83</c:v>
                </c:pt>
                <c:pt idx="25">
                  <c:v>6367.33</c:v>
                </c:pt>
                <c:pt idx="26">
                  <c:v>6228.37</c:v>
                </c:pt>
                <c:pt idx="27">
                  <c:v>6361.84</c:v>
                </c:pt>
                <c:pt idx="28">
                  <c:v>6100.39</c:v>
                </c:pt>
                <c:pt idx="29">
                  <c:v>5924.86</c:v>
                </c:pt>
                <c:pt idx="30">
                  <c:v>6061.99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DC3-47C3-BC69-C64EFF5CF450}"/>
            </c:ext>
          </c:extLst>
        </c:ser>
        <c:ser>
          <c:idx val="4"/>
          <c:order val="4"/>
          <c:tx>
            <c:strRef>
              <c:f>'[1]MTD Utility Sheet'!$G$1:$G$3</c:f>
              <c:strCache>
                <c:ptCount val="1"/>
                <c:pt idx="0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Sheet'!$G$4:$G$34</c:f>
              <c:numCache>
                <c:formatCode>General</c:formatCode>
                <c:ptCount val="31"/>
                <c:pt idx="0">
                  <c:v>6431.04</c:v>
                </c:pt>
                <c:pt idx="1">
                  <c:v>6431.04</c:v>
                </c:pt>
                <c:pt idx="2">
                  <c:v>6645.91</c:v>
                </c:pt>
                <c:pt idx="3">
                  <c:v>6645.41</c:v>
                </c:pt>
                <c:pt idx="4">
                  <c:v>6002.3</c:v>
                </c:pt>
                <c:pt idx="5">
                  <c:v>6645.41</c:v>
                </c:pt>
                <c:pt idx="6">
                  <c:v>6216.67</c:v>
                </c:pt>
                <c:pt idx="7">
                  <c:v>6431.04</c:v>
                </c:pt>
                <c:pt idx="8">
                  <c:v>6645.41</c:v>
                </c:pt>
                <c:pt idx="9">
                  <c:v>6859.78</c:v>
                </c:pt>
                <c:pt idx="10">
                  <c:v>6645.41</c:v>
                </c:pt>
                <c:pt idx="11">
                  <c:v>6002.3</c:v>
                </c:pt>
                <c:pt idx="12">
                  <c:v>6431.04</c:v>
                </c:pt>
                <c:pt idx="13">
                  <c:v>6431.04</c:v>
                </c:pt>
                <c:pt idx="14">
                  <c:v>6216.67</c:v>
                </c:pt>
                <c:pt idx="15">
                  <c:v>6216.67</c:v>
                </c:pt>
                <c:pt idx="16">
                  <c:v>6645.41</c:v>
                </c:pt>
                <c:pt idx="17">
                  <c:v>6645.41</c:v>
                </c:pt>
                <c:pt idx="18">
                  <c:v>6216.67</c:v>
                </c:pt>
                <c:pt idx="19">
                  <c:v>6645.41</c:v>
                </c:pt>
                <c:pt idx="20">
                  <c:v>6431.04</c:v>
                </c:pt>
                <c:pt idx="21">
                  <c:v>6431.04</c:v>
                </c:pt>
                <c:pt idx="22">
                  <c:v>6645.41</c:v>
                </c:pt>
                <c:pt idx="23">
                  <c:v>6216.67</c:v>
                </c:pt>
                <c:pt idx="24">
                  <c:v>6431.04</c:v>
                </c:pt>
                <c:pt idx="25">
                  <c:v>6645.41</c:v>
                </c:pt>
                <c:pt idx="26">
                  <c:v>6216.67</c:v>
                </c:pt>
                <c:pt idx="27">
                  <c:v>6431.04</c:v>
                </c:pt>
                <c:pt idx="28">
                  <c:v>6431.04</c:v>
                </c:pt>
                <c:pt idx="29">
                  <c:v>6431.04</c:v>
                </c:pt>
                <c:pt idx="30">
                  <c:v>6859.78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DC3-47C3-BC69-C64EFF5CF450}"/>
            </c:ext>
          </c:extLst>
        </c:ser>
        <c:ser>
          <c:idx val="5"/>
          <c:order val="5"/>
          <c:tx>
            <c:strRef>
              <c:f>'[1]MTD Utility Sheet'!$H$1:$H$3</c:f>
              <c:strCache>
                <c:ptCount val="1"/>
                <c:pt idx="0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Sheet'!$H$4:$H$34</c:f>
              <c:numCache>
                <c:formatCode>General</c:formatCode>
                <c:ptCount val="31"/>
                <c:pt idx="0">
                  <c:v>2866</c:v>
                </c:pt>
                <c:pt idx="1">
                  <c:v>2522.8000000000002</c:v>
                </c:pt>
                <c:pt idx="2">
                  <c:v>2496.4</c:v>
                </c:pt>
                <c:pt idx="3">
                  <c:v>2417.1999999999998</c:v>
                </c:pt>
                <c:pt idx="4">
                  <c:v>2549.1999999999998</c:v>
                </c:pt>
                <c:pt idx="5">
                  <c:v>2364.4</c:v>
                </c:pt>
                <c:pt idx="6">
                  <c:v>2377.6</c:v>
                </c:pt>
                <c:pt idx="7">
                  <c:v>2443.6</c:v>
                </c:pt>
                <c:pt idx="8">
                  <c:v>2443.6</c:v>
                </c:pt>
                <c:pt idx="9">
                  <c:v>2443.6</c:v>
                </c:pt>
                <c:pt idx="10">
                  <c:v>2681.2</c:v>
                </c:pt>
                <c:pt idx="11">
                  <c:v>2483.1999999999998</c:v>
                </c:pt>
                <c:pt idx="12">
                  <c:v>2179.6</c:v>
                </c:pt>
                <c:pt idx="13">
                  <c:v>2351.1999999999998</c:v>
                </c:pt>
                <c:pt idx="14">
                  <c:v>2351.1999999999998</c:v>
                </c:pt>
                <c:pt idx="15">
                  <c:v>2549.1999999999998</c:v>
                </c:pt>
                <c:pt idx="16">
                  <c:v>2760.4</c:v>
                </c:pt>
                <c:pt idx="17">
                  <c:v>2734</c:v>
                </c:pt>
                <c:pt idx="18">
                  <c:v>2443.6</c:v>
                </c:pt>
                <c:pt idx="19">
                  <c:v>2324.8000000000002</c:v>
                </c:pt>
                <c:pt idx="20">
                  <c:v>2272</c:v>
                </c:pt>
                <c:pt idx="21">
                  <c:v>2258.8000000000002</c:v>
                </c:pt>
                <c:pt idx="22">
                  <c:v>2206</c:v>
                </c:pt>
                <c:pt idx="23">
                  <c:v>2285.1999999999998</c:v>
                </c:pt>
                <c:pt idx="24">
                  <c:v>2430.4</c:v>
                </c:pt>
                <c:pt idx="25">
                  <c:v>2232.4</c:v>
                </c:pt>
                <c:pt idx="26">
                  <c:v>2179.92</c:v>
                </c:pt>
                <c:pt idx="27">
                  <c:v>2087.1999999999998</c:v>
                </c:pt>
                <c:pt idx="28">
                  <c:v>2140</c:v>
                </c:pt>
                <c:pt idx="29">
                  <c:v>2245.6</c:v>
                </c:pt>
                <c:pt idx="30">
                  <c:v>2483.1999999999998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DC3-47C3-BC69-C64EFF5CF450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DC3-47C3-BC69-C64EFF5CF450}"/>
            </c:ext>
          </c:extLst>
        </c:ser>
        <c:ser>
          <c:idx val="7"/>
          <c:order val="7"/>
          <c:tx>
            <c:strRef>
              <c:f>'[1]MTD Utility Sheet'!$I$1:$I$3</c:f>
              <c:strCache>
                <c:ptCount val="1"/>
                <c:pt idx="0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'[1]MTD Utility Sheet'!$I$4:$I$34</c:f>
              <c:numCache>
                <c:formatCode>General</c:formatCode>
                <c:ptCount val="31"/>
                <c:pt idx="0">
                  <c:v>512.4</c:v>
                </c:pt>
                <c:pt idx="1">
                  <c:v>512.4</c:v>
                </c:pt>
                <c:pt idx="2">
                  <c:v>512.4</c:v>
                </c:pt>
                <c:pt idx="3">
                  <c:v>512.4</c:v>
                </c:pt>
                <c:pt idx="4">
                  <c:v>358.68</c:v>
                </c:pt>
                <c:pt idx="5">
                  <c:v>512.4</c:v>
                </c:pt>
                <c:pt idx="6">
                  <c:v>461.16</c:v>
                </c:pt>
                <c:pt idx="7">
                  <c:v>409.92</c:v>
                </c:pt>
                <c:pt idx="8">
                  <c:v>204.96</c:v>
                </c:pt>
                <c:pt idx="9">
                  <c:v>512.4</c:v>
                </c:pt>
                <c:pt idx="10">
                  <c:v>614.88</c:v>
                </c:pt>
                <c:pt idx="11">
                  <c:v>563.64</c:v>
                </c:pt>
                <c:pt idx="12">
                  <c:v>409.92</c:v>
                </c:pt>
                <c:pt idx="13">
                  <c:v>512.4</c:v>
                </c:pt>
                <c:pt idx="14">
                  <c:v>409.92</c:v>
                </c:pt>
                <c:pt idx="15">
                  <c:v>409.92</c:v>
                </c:pt>
                <c:pt idx="16">
                  <c:v>461.16</c:v>
                </c:pt>
                <c:pt idx="17">
                  <c:v>512.4</c:v>
                </c:pt>
                <c:pt idx="18">
                  <c:v>512.4</c:v>
                </c:pt>
                <c:pt idx="19">
                  <c:v>461.16</c:v>
                </c:pt>
                <c:pt idx="20">
                  <c:v>409.92</c:v>
                </c:pt>
                <c:pt idx="21">
                  <c:v>409.92</c:v>
                </c:pt>
                <c:pt idx="22">
                  <c:v>512.4</c:v>
                </c:pt>
                <c:pt idx="23">
                  <c:v>512.4</c:v>
                </c:pt>
                <c:pt idx="24">
                  <c:v>512.4</c:v>
                </c:pt>
                <c:pt idx="25">
                  <c:v>409.92</c:v>
                </c:pt>
                <c:pt idx="26">
                  <c:v>409.92</c:v>
                </c:pt>
                <c:pt idx="27">
                  <c:v>512.4</c:v>
                </c:pt>
                <c:pt idx="28">
                  <c:v>563.64</c:v>
                </c:pt>
                <c:pt idx="29">
                  <c:v>512.4</c:v>
                </c:pt>
                <c:pt idx="30">
                  <c:v>512.4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DC3-47C3-BC69-C64EFF5CF450}"/>
            </c:ext>
          </c:extLst>
        </c:ser>
        <c:ser>
          <c:idx val="8"/>
          <c:order val="8"/>
          <c:tx>
            <c:strRef>
              <c:f>'[1]MTD Utility Sheet'!$J$1:$J$3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'[1]MTD Utility Sheet'!$J$4:$J$34</c:f>
              <c:numCache>
                <c:formatCode>General</c:formatCode>
                <c:ptCount val="31"/>
                <c:pt idx="0">
                  <c:v>16218.82</c:v>
                </c:pt>
                <c:pt idx="1">
                  <c:v>15685.47</c:v>
                </c:pt>
                <c:pt idx="2">
                  <c:v>16288.98</c:v>
                </c:pt>
                <c:pt idx="3">
                  <c:v>15750.359999999999</c:v>
                </c:pt>
                <c:pt idx="4">
                  <c:v>15123.93</c:v>
                </c:pt>
                <c:pt idx="5">
                  <c:v>15776.18</c:v>
                </c:pt>
                <c:pt idx="6">
                  <c:v>14949.210000000001</c:v>
                </c:pt>
                <c:pt idx="7">
                  <c:v>15487.34</c:v>
                </c:pt>
                <c:pt idx="8">
                  <c:v>15560.74</c:v>
                </c:pt>
                <c:pt idx="9">
                  <c:v>16239.79</c:v>
                </c:pt>
                <c:pt idx="10">
                  <c:v>16228.37</c:v>
                </c:pt>
                <c:pt idx="11">
                  <c:v>15359.79</c:v>
                </c:pt>
                <c:pt idx="12">
                  <c:v>15420.8</c:v>
                </c:pt>
                <c:pt idx="13">
                  <c:v>15526.67</c:v>
                </c:pt>
                <c:pt idx="14">
                  <c:v>15526.13</c:v>
                </c:pt>
                <c:pt idx="15">
                  <c:v>15751.550000000001</c:v>
                </c:pt>
                <c:pt idx="16">
                  <c:v>16391.54</c:v>
                </c:pt>
                <c:pt idx="17">
                  <c:v>15946.49</c:v>
                </c:pt>
                <c:pt idx="18">
                  <c:v>15132.27</c:v>
                </c:pt>
                <c:pt idx="19">
                  <c:v>15454.970000000001</c:v>
                </c:pt>
                <c:pt idx="20">
                  <c:v>15233.460000000001</c:v>
                </c:pt>
                <c:pt idx="21">
                  <c:v>14847.269999999999</c:v>
                </c:pt>
                <c:pt idx="22">
                  <c:v>14906.539999999999</c:v>
                </c:pt>
                <c:pt idx="23">
                  <c:v>14699.62</c:v>
                </c:pt>
                <c:pt idx="24">
                  <c:v>15309.669999999998</c:v>
                </c:pt>
                <c:pt idx="25">
                  <c:v>15655.06</c:v>
                </c:pt>
                <c:pt idx="26">
                  <c:v>15034.880000000001</c:v>
                </c:pt>
                <c:pt idx="27">
                  <c:v>15392.480000000001</c:v>
                </c:pt>
                <c:pt idx="28">
                  <c:v>15235.07</c:v>
                </c:pt>
                <c:pt idx="29">
                  <c:v>15113.9</c:v>
                </c:pt>
                <c:pt idx="30">
                  <c:v>15917.37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3-47C3-BC69-C64EFF5CF4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-72904176"/>
        <c:axId val="-72899824"/>
        <c:extLst/>
      </c:lineChart>
      <c:catAx>
        <c:axId val="-7290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2899824"/>
        <c:crosses val="autoZero"/>
        <c:auto val="1"/>
        <c:lblAlgn val="ctr"/>
        <c:lblOffset val="100"/>
        <c:noMultiLvlLbl val="0"/>
      </c:catAx>
      <c:valAx>
        <c:axId val="-72899824"/>
        <c:scaling>
          <c:orientation val="minMax"/>
          <c:max val="21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2904176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May</a:t>
            </a:r>
            <a:r>
              <a:rPr lang="en-US"/>
              <a:t> </a:t>
            </a:r>
            <a:r>
              <a:rPr lang="en-US" baseline="0"/>
              <a:t>2023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967649255473444"/>
          <c:y val="2.80181898195687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'[2]MTD Utility Sheet'!$B$1:$B$3</c:f>
              <c:strCache>
                <c:ptCount val="3"/>
                <c:pt idx="0">
                  <c:v>Daily Utilities May 2023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Sheet'!$B$4:$B$34</c:f>
              <c:numCache>
                <c:formatCode>0.00%</c:formatCode>
                <c:ptCount val="31"/>
                <c:pt idx="0">
                  <c:v>1</c:v>
                </c:pt>
                <c:pt idx="1">
                  <c:v>0.99070000000000003</c:v>
                </c:pt>
                <c:pt idx="2">
                  <c:v>0.96030000000000004</c:v>
                </c:pt>
                <c:pt idx="3">
                  <c:v>0.99029999999999996</c:v>
                </c:pt>
                <c:pt idx="4">
                  <c:v>1.0029999999999999</c:v>
                </c:pt>
                <c:pt idx="5">
                  <c:v>0.94</c:v>
                </c:pt>
                <c:pt idx="6">
                  <c:v>0.89700000000000002</c:v>
                </c:pt>
                <c:pt idx="7">
                  <c:v>1</c:v>
                </c:pt>
                <c:pt idx="8">
                  <c:v>0.98299999999999998</c:v>
                </c:pt>
                <c:pt idx="9">
                  <c:v>0.94299999999999995</c:v>
                </c:pt>
                <c:pt idx="10">
                  <c:v>1</c:v>
                </c:pt>
                <c:pt idx="11">
                  <c:v>1.0029999999999999</c:v>
                </c:pt>
                <c:pt idx="12">
                  <c:v>0.97</c:v>
                </c:pt>
                <c:pt idx="13">
                  <c:v>0.88500000000000001</c:v>
                </c:pt>
                <c:pt idx="14">
                  <c:v>0.94</c:v>
                </c:pt>
                <c:pt idx="15">
                  <c:v>0.99299999999999999</c:v>
                </c:pt>
                <c:pt idx="16">
                  <c:v>1</c:v>
                </c:pt>
                <c:pt idx="17">
                  <c:v>1</c:v>
                </c:pt>
                <c:pt idx="18">
                  <c:v>0.92020000000000002</c:v>
                </c:pt>
                <c:pt idx="19">
                  <c:v>0.93020000000000003</c:v>
                </c:pt>
                <c:pt idx="20">
                  <c:v>0.98060000000000003</c:v>
                </c:pt>
                <c:pt idx="21">
                  <c:v>0.98029999999999995</c:v>
                </c:pt>
                <c:pt idx="22">
                  <c:v>0.95299999999999996</c:v>
                </c:pt>
                <c:pt idx="23">
                  <c:v>0.97299999999999998</c:v>
                </c:pt>
                <c:pt idx="24">
                  <c:v>1.0029999999999999</c:v>
                </c:pt>
                <c:pt idx="25">
                  <c:v>1.0029999999999999</c:v>
                </c:pt>
                <c:pt idx="26">
                  <c:v>1</c:v>
                </c:pt>
                <c:pt idx="27">
                  <c:v>0.96</c:v>
                </c:pt>
                <c:pt idx="28">
                  <c:v>0.97699999999999998</c:v>
                </c:pt>
                <c:pt idx="29">
                  <c:v>0.93</c:v>
                </c:pt>
                <c:pt idx="30">
                  <c:v>0.97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4CA-4555-851C-FFC083086DF9}"/>
            </c:ext>
          </c:extLst>
        </c:ser>
        <c:ser>
          <c:idx val="1"/>
          <c:order val="1"/>
          <c:tx>
            <c:strRef>
              <c:f>'[2]MTD Utility Sheet'!$C$1:$C$3</c:f>
              <c:strCache>
                <c:ptCount val="3"/>
                <c:pt idx="0">
                  <c:v>Daily Utilities May 2023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34.049999999999997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4CA-4555-851C-FFC083086DF9}"/>
            </c:ext>
          </c:extLst>
        </c:ser>
        <c:ser>
          <c:idx val="2"/>
          <c:order val="2"/>
          <c:tx>
            <c:strRef>
              <c:f>'[2]MTD Utility Sheet'!$D$1:$D$3</c:f>
              <c:strCache>
                <c:ptCount val="3"/>
                <c:pt idx="0">
                  <c:v>Daily Utilities May 2023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Sheet'!$D$4:$D$34</c:f>
              <c:numCache>
                <c:formatCode>0.00%</c:formatCode>
                <c:ptCount val="31"/>
                <c:pt idx="0">
                  <c:v>0.47120000000000001</c:v>
                </c:pt>
                <c:pt idx="1">
                  <c:v>0.66090000000000004</c:v>
                </c:pt>
                <c:pt idx="2">
                  <c:v>0.58479999999999999</c:v>
                </c:pt>
                <c:pt idx="3">
                  <c:v>0.76070000000000004</c:v>
                </c:pt>
                <c:pt idx="4">
                  <c:v>0.68469999999999998</c:v>
                </c:pt>
                <c:pt idx="5">
                  <c:v>0.75260000000000005</c:v>
                </c:pt>
                <c:pt idx="6">
                  <c:v>0.72799999999999998</c:v>
                </c:pt>
                <c:pt idx="7">
                  <c:v>0.69599999999999995</c:v>
                </c:pt>
                <c:pt idx="8">
                  <c:v>0.50819999999999999</c:v>
                </c:pt>
                <c:pt idx="9">
                  <c:v>0.48680000000000001</c:v>
                </c:pt>
                <c:pt idx="10">
                  <c:v>0.76</c:v>
                </c:pt>
                <c:pt idx="11">
                  <c:v>0.76</c:v>
                </c:pt>
                <c:pt idx="12">
                  <c:v>0.63</c:v>
                </c:pt>
                <c:pt idx="13">
                  <c:v>0.76</c:v>
                </c:pt>
                <c:pt idx="14">
                  <c:v>0.7</c:v>
                </c:pt>
                <c:pt idx="15">
                  <c:v>0.73</c:v>
                </c:pt>
                <c:pt idx="16">
                  <c:v>0.68049999999999999</c:v>
                </c:pt>
                <c:pt idx="17">
                  <c:v>0.48220000000000002</c:v>
                </c:pt>
                <c:pt idx="18">
                  <c:v>0.53100000000000003</c:v>
                </c:pt>
                <c:pt idx="19">
                  <c:v>0.42399999999999999</c:v>
                </c:pt>
                <c:pt idx="20">
                  <c:v>0.40820000000000001</c:v>
                </c:pt>
                <c:pt idx="21">
                  <c:v>0.45229999999999998</c:v>
                </c:pt>
                <c:pt idx="22">
                  <c:v>0.63100000000000001</c:v>
                </c:pt>
                <c:pt idx="23">
                  <c:v>0.68400000000000005</c:v>
                </c:pt>
                <c:pt idx="24">
                  <c:v>0.55679999999999996</c:v>
                </c:pt>
                <c:pt idx="25">
                  <c:v>0.67279999999999995</c:v>
                </c:pt>
                <c:pt idx="26">
                  <c:v>0.67</c:v>
                </c:pt>
                <c:pt idx="27">
                  <c:v>0.79</c:v>
                </c:pt>
                <c:pt idx="28">
                  <c:v>0.8</c:v>
                </c:pt>
                <c:pt idx="29">
                  <c:v>0.7</c:v>
                </c:pt>
                <c:pt idx="30">
                  <c:v>0.79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4CA-4555-851C-FFC083086DF9}"/>
            </c:ext>
          </c:extLst>
        </c:ser>
        <c:ser>
          <c:idx val="3"/>
          <c:order val="3"/>
          <c:tx>
            <c:strRef>
              <c:f>'[2]MTD Utility Sheet'!$F$1:$F$3</c:f>
              <c:strCache>
                <c:ptCount val="3"/>
                <c:pt idx="0">
                  <c:v>Daily Utilities May 2023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Sheet'!$F$4:$F$34</c:f>
              <c:numCache>
                <c:formatCode>#,##0</c:formatCode>
                <c:ptCount val="31"/>
                <c:pt idx="0">
                  <c:v>6645.41</c:v>
                </c:pt>
                <c:pt idx="1">
                  <c:v>8016.52</c:v>
                </c:pt>
                <c:pt idx="2">
                  <c:v>7597.82</c:v>
                </c:pt>
                <c:pt idx="3">
                  <c:v>7833.68</c:v>
                </c:pt>
                <c:pt idx="4">
                  <c:v>7850.14</c:v>
                </c:pt>
                <c:pt idx="5">
                  <c:v>8049.43</c:v>
                </c:pt>
                <c:pt idx="6">
                  <c:v>8287.1200000000008</c:v>
                </c:pt>
                <c:pt idx="7">
                  <c:v>7674.61</c:v>
                </c:pt>
                <c:pt idx="8">
                  <c:v>7142.56</c:v>
                </c:pt>
                <c:pt idx="9">
                  <c:v>7592.34</c:v>
                </c:pt>
                <c:pt idx="10">
                  <c:v>7700.21</c:v>
                </c:pt>
                <c:pt idx="11">
                  <c:v>8689.3799999999992</c:v>
                </c:pt>
                <c:pt idx="12">
                  <c:v>9181.19</c:v>
                </c:pt>
                <c:pt idx="13">
                  <c:v>8314.5400000000009</c:v>
                </c:pt>
                <c:pt idx="14">
                  <c:v>8462.64</c:v>
                </c:pt>
                <c:pt idx="15">
                  <c:v>8482.75</c:v>
                </c:pt>
                <c:pt idx="16">
                  <c:v>8497.2999999999993</c:v>
                </c:pt>
                <c:pt idx="17">
                  <c:v>8230.44</c:v>
                </c:pt>
                <c:pt idx="18">
                  <c:v>8091.48</c:v>
                </c:pt>
                <c:pt idx="19">
                  <c:v>8363.91</c:v>
                </c:pt>
                <c:pt idx="20">
                  <c:v>8552.23</c:v>
                </c:pt>
                <c:pt idx="21">
                  <c:v>8343.7999999999993</c:v>
                </c:pt>
                <c:pt idx="22">
                  <c:v>8948.99</c:v>
                </c:pt>
                <c:pt idx="23">
                  <c:v>8755.18</c:v>
                </c:pt>
                <c:pt idx="24">
                  <c:v>8713.1299999999992</c:v>
                </c:pt>
                <c:pt idx="25">
                  <c:v>8824.66</c:v>
                </c:pt>
                <c:pt idx="26">
                  <c:v>9488.36</c:v>
                </c:pt>
                <c:pt idx="27">
                  <c:v>9512.1299999999992</c:v>
                </c:pt>
                <c:pt idx="28">
                  <c:v>9691.31</c:v>
                </c:pt>
                <c:pt idx="29">
                  <c:v>10016.76</c:v>
                </c:pt>
                <c:pt idx="30">
                  <c:v>10031.379999999999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4CA-4555-851C-FFC083086DF9}"/>
            </c:ext>
          </c:extLst>
        </c:ser>
        <c:ser>
          <c:idx val="4"/>
          <c:order val="4"/>
          <c:tx>
            <c:strRef>
              <c:f>'[2]MTD Utility Sheet'!$G$1:$G$3</c:f>
              <c:strCache>
                <c:ptCount val="3"/>
                <c:pt idx="0">
                  <c:v>Daily Utilities May 2023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Sheet'!$G$4:$G$34</c:f>
              <c:numCache>
                <c:formatCode>#,##0</c:formatCode>
                <c:ptCount val="31"/>
                <c:pt idx="0">
                  <c:v>7232.15</c:v>
                </c:pt>
                <c:pt idx="1">
                  <c:v>6645.41</c:v>
                </c:pt>
                <c:pt idx="2">
                  <c:v>6431.04</c:v>
                </c:pt>
                <c:pt idx="3">
                  <c:v>7074.14</c:v>
                </c:pt>
                <c:pt idx="4">
                  <c:v>6859.78</c:v>
                </c:pt>
                <c:pt idx="5">
                  <c:v>6645.41</c:v>
                </c:pt>
                <c:pt idx="6">
                  <c:v>6645.41</c:v>
                </c:pt>
                <c:pt idx="7">
                  <c:v>6645.41</c:v>
                </c:pt>
                <c:pt idx="8">
                  <c:v>6431.04</c:v>
                </c:pt>
                <c:pt idx="9">
                  <c:v>6859.78</c:v>
                </c:pt>
                <c:pt idx="10">
                  <c:v>6431.04</c:v>
                </c:pt>
                <c:pt idx="11">
                  <c:v>7288.51</c:v>
                </c:pt>
                <c:pt idx="12">
                  <c:v>7074.14</c:v>
                </c:pt>
                <c:pt idx="13">
                  <c:v>7074.14</c:v>
                </c:pt>
                <c:pt idx="14">
                  <c:v>6645.41</c:v>
                </c:pt>
                <c:pt idx="15">
                  <c:v>6645.41</c:v>
                </c:pt>
                <c:pt idx="16">
                  <c:v>6645.41</c:v>
                </c:pt>
                <c:pt idx="17">
                  <c:v>7074.14</c:v>
                </c:pt>
                <c:pt idx="18">
                  <c:v>6859.78</c:v>
                </c:pt>
                <c:pt idx="19">
                  <c:v>7074.14</c:v>
                </c:pt>
                <c:pt idx="20">
                  <c:v>7074.14</c:v>
                </c:pt>
                <c:pt idx="21">
                  <c:v>6645.41</c:v>
                </c:pt>
                <c:pt idx="22">
                  <c:v>6645.41</c:v>
                </c:pt>
                <c:pt idx="23">
                  <c:v>6859.78</c:v>
                </c:pt>
                <c:pt idx="24">
                  <c:v>6859.78</c:v>
                </c:pt>
                <c:pt idx="25">
                  <c:v>7074.14</c:v>
                </c:pt>
                <c:pt idx="26">
                  <c:v>6859.78</c:v>
                </c:pt>
                <c:pt idx="27">
                  <c:v>7074.14</c:v>
                </c:pt>
                <c:pt idx="28">
                  <c:v>7074.14</c:v>
                </c:pt>
                <c:pt idx="29">
                  <c:v>7288.51</c:v>
                </c:pt>
                <c:pt idx="30">
                  <c:v>7074.14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4CA-4555-851C-FFC083086DF9}"/>
            </c:ext>
          </c:extLst>
        </c:ser>
        <c:ser>
          <c:idx val="5"/>
          <c:order val="5"/>
          <c:tx>
            <c:strRef>
              <c:f>'[2]MTD Utility Sheet'!$H$1:$H$3</c:f>
              <c:strCache>
                <c:ptCount val="3"/>
                <c:pt idx="0">
                  <c:v>Daily Utilities May 2023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Sheet'!$H$4:$H$34</c:f>
              <c:numCache>
                <c:formatCode>#,##0</c:formatCode>
                <c:ptCount val="31"/>
                <c:pt idx="0">
                  <c:v>2668</c:v>
                </c:pt>
                <c:pt idx="1">
                  <c:v>2562.4</c:v>
                </c:pt>
                <c:pt idx="2">
                  <c:v>2694.4</c:v>
                </c:pt>
                <c:pt idx="3">
                  <c:v>2602</c:v>
                </c:pt>
                <c:pt idx="4">
                  <c:v>2562.4</c:v>
                </c:pt>
                <c:pt idx="5">
                  <c:v>2654.8</c:v>
                </c:pt>
                <c:pt idx="6">
                  <c:v>2404</c:v>
                </c:pt>
                <c:pt idx="7">
                  <c:v>2681.2</c:v>
                </c:pt>
                <c:pt idx="8">
                  <c:v>2602</c:v>
                </c:pt>
                <c:pt idx="9">
                  <c:v>2549.1999999999998</c:v>
                </c:pt>
                <c:pt idx="10">
                  <c:v>2509.6</c:v>
                </c:pt>
                <c:pt idx="11">
                  <c:v>2602</c:v>
                </c:pt>
                <c:pt idx="12">
                  <c:v>2720.8</c:v>
                </c:pt>
                <c:pt idx="13">
                  <c:v>2562.4</c:v>
                </c:pt>
                <c:pt idx="14">
                  <c:v>2113.6</c:v>
                </c:pt>
                <c:pt idx="15">
                  <c:v>2404</c:v>
                </c:pt>
                <c:pt idx="16">
                  <c:v>2456.8000000000002</c:v>
                </c:pt>
                <c:pt idx="17">
                  <c:v>2456.8000000000002</c:v>
                </c:pt>
                <c:pt idx="18">
                  <c:v>2707.6</c:v>
                </c:pt>
                <c:pt idx="19">
                  <c:v>2470</c:v>
                </c:pt>
                <c:pt idx="20">
                  <c:v>2483.1999999999998</c:v>
                </c:pt>
                <c:pt idx="21">
                  <c:v>2338</c:v>
                </c:pt>
                <c:pt idx="22">
                  <c:v>2456.8000000000002</c:v>
                </c:pt>
                <c:pt idx="23">
                  <c:v>2206</c:v>
                </c:pt>
                <c:pt idx="24">
                  <c:v>2562.4</c:v>
                </c:pt>
                <c:pt idx="25">
                  <c:v>2470</c:v>
                </c:pt>
                <c:pt idx="26">
                  <c:v>2615.1999999999998</c:v>
                </c:pt>
                <c:pt idx="27">
                  <c:v>2773.6</c:v>
                </c:pt>
                <c:pt idx="28">
                  <c:v>2522.8000000000002</c:v>
                </c:pt>
                <c:pt idx="29">
                  <c:v>2668</c:v>
                </c:pt>
                <c:pt idx="30">
                  <c:v>2628.4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4CA-4555-851C-FFC083086DF9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4CA-4555-851C-FFC083086DF9}"/>
            </c:ext>
          </c:extLst>
        </c:ser>
        <c:ser>
          <c:idx val="7"/>
          <c:order val="7"/>
          <c:tx>
            <c:strRef>
              <c:f>'[2]MTD Utility Sheet'!$I$1:$I$3</c:f>
              <c:strCache>
                <c:ptCount val="3"/>
                <c:pt idx="0">
                  <c:v>Daily Utilities May 2023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'[2]MTD Utility Sheet'!$I$4:$I$34</c:f>
              <c:numCache>
                <c:formatCode>#,##0</c:formatCode>
                <c:ptCount val="31"/>
                <c:pt idx="0">
                  <c:v>614.88</c:v>
                </c:pt>
                <c:pt idx="1">
                  <c:v>358.64</c:v>
                </c:pt>
                <c:pt idx="2">
                  <c:v>512.4</c:v>
                </c:pt>
                <c:pt idx="3">
                  <c:v>512.4</c:v>
                </c:pt>
                <c:pt idx="4">
                  <c:v>512.4</c:v>
                </c:pt>
                <c:pt idx="5">
                  <c:v>512.4</c:v>
                </c:pt>
                <c:pt idx="6">
                  <c:v>409.92</c:v>
                </c:pt>
                <c:pt idx="7">
                  <c:v>512.4</c:v>
                </c:pt>
                <c:pt idx="8">
                  <c:v>512.4</c:v>
                </c:pt>
                <c:pt idx="9">
                  <c:v>461.16</c:v>
                </c:pt>
                <c:pt idx="10">
                  <c:v>512.4</c:v>
                </c:pt>
                <c:pt idx="11">
                  <c:v>512.4</c:v>
                </c:pt>
                <c:pt idx="12">
                  <c:v>512.4</c:v>
                </c:pt>
                <c:pt idx="13">
                  <c:v>461.16</c:v>
                </c:pt>
                <c:pt idx="14">
                  <c:v>512.4</c:v>
                </c:pt>
                <c:pt idx="15">
                  <c:v>512.4</c:v>
                </c:pt>
                <c:pt idx="16">
                  <c:v>512.4</c:v>
                </c:pt>
                <c:pt idx="17">
                  <c:v>512.4</c:v>
                </c:pt>
                <c:pt idx="18">
                  <c:v>409.92</c:v>
                </c:pt>
                <c:pt idx="19">
                  <c:v>358.68</c:v>
                </c:pt>
                <c:pt idx="20">
                  <c:v>512.4</c:v>
                </c:pt>
                <c:pt idx="21">
                  <c:v>512.4</c:v>
                </c:pt>
                <c:pt idx="22">
                  <c:v>307.44</c:v>
                </c:pt>
                <c:pt idx="23">
                  <c:v>461.16</c:v>
                </c:pt>
                <c:pt idx="24">
                  <c:v>461.16</c:v>
                </c:pt>
                <c:pt idx="25">
                  <c:v>409.92</c:v>
                </c:pt>
                <c:pt idx="26">
                  <c:v>461.16</c:v>
                </c:pt>
                <c:pt idx="27">
                  <c:v>512.4</c:v>
                </c:pt>
                <c:pt idx="28">
                  <c:v>461.16</c:v>
                </c:pt>
                <c:pt idx="29">
                  <c:v>409.92</c:v>
                </c:pt>
                <c:pt idx="30">
                  <c:v>307.44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4CA-4555-851C-FFC083086DF9}"/>
            </c:ext>
          </c:extLst>
        </c:ser>
        <c:ser>
          <c:idx val="8"/>
          <c:order val="8"/>
          <c:tx>
            <c:strRef>
              <c:f>'[2]MTD Utility Sheet'!$J$1:$J$3</c:f>
              <c:strCache>
                <c:ptCount val="3"/>
                <c:pt idx="0">
                  <c:v>Daily Utilities May 2023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'[2]MTD Utility Sheet'!$J$4:$J$34</c:f>
              <c:numCache>
                <c:formatCode>#,##0</c:formatCode>
                <c:ptCount val="31"/>
                <c:pt idx="0">
                  <c:v>17160.439999999999</c:v>
                </c:pt>
                <c:pt idx="1">
                  <c:v>17582.97</c:v>
                </c:pt>
                <c:pt idx="2">
                  <c:v>17235.660000000003</c:v>
                </c:pt>
                <c:pt idx="3">
                  <c:v>18022.22</c:v>
                </c:pt>
                <c:pt idx="4">
                  <c:v>17784.72</c:v>
                </c:pt>
                <c:pt idx="5">
                  <c:v>17862.04</c:v>
                </c:pt>
                <c:pt idx="6">
                  <c:v>17746.449999999997</c:v>
                </c:pt>
                <c:pt idx="7">
                  <c:v>17513.620000000003</c:v>
                </c:pt>
                <c:pt idx="8">
                  <c:v>16688</c:v>
                </c:pt>
                <c:pt idx="9">
                  <c:v>17462.48</c:v>
                </c:pt>
                <c:pt idx="10">
                  <c:v>17153.25</c:v>
                </c:pt>
                <c:pt idx="11">
                  <c:v>19092.29</c:v>
                </c:pt>
                <c:pt idx="12">
                  <c:v>19488.530000000002</c:v>
                </c:pt>
                <c:pt idx="13">
                  <c:v>18412.240000000002</c:v>
                </c:pt>
                <c:pt idx="14">
                  <c:v>17734.05</c:v>
                </c:pt>
                <c:pt idx="15">
                  <c:v>18044.560000000001</c:v>
                </c:pt>
                <c:pt idx="16">
                  <c:v>18111.91</c:v>
                </c:pt>
                <c:pt idx="17">
                  <c:v>18273.780000000002</c:v>
                </c:pt>
                <c:pt idx="18">
                  <c:v>18068.779999999995</c:v>
                </c:pt>
                <c:pt idx="19">
                  <c:v>18266.73</c:v>
                </c:pt>
                <c:pt idx="20">
                  <c:v>18621.97</c:v>
                </c:pt>
                <c:pt idx="21">
                  <c:v>17839.61</c:v>
                </c:pt>
                <c:pt idx="22">
                  <c:v>18358.64</c:v>
                </c:pt>
                <c:pt idx="23">
                  <c:v>18282.12</c:v>
                </c:pt>
                <c:pt idx="24">
                  <c:v>18596.47</c:v>
                </c:pt>
                <c:pt idx="25">
                  <c:v>18778.719999999998</c:v>
                </c:pt>
                <c:pt idx="26">
                  <c:v>19424.5</c:v>
                </c:pt>
                <c:pt idx="27">
                  <c:v>19872.27</c:v>
                </c:pt>
                <c:pt idx="28">
                  <c:v>19749.41</c:v>
                </c:pt>
                <c:pt idx="29">
                  <c:v>20383.189999999999</c:v>
                </c:pt>
                <c:pt idx="30">
                  <c:v>20041.36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CA-4555-851C-FFC083086D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1251517184"/>
        <c:axId val="-1251518272"/>
        <c:extLst/>
      </c:lineChart>
      <c:catAx>
        <c:axId val="-125151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51518272"/>
        <c:crosses val="autoZero"/>
        <c:auto val="1"/>
        <c:lblAlgn val="ctr"/>
        <c:lblOffset val="100"/>
        <c:noMultiLvlLbl val="0"/>
      </c:catAx>
      <c:valAx>
        <c:axId val="-1251518272"/>
        <c:scaling>
          <c:orientation val="minMax"/>
          <c:max val="21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51517184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82260</xdr:colOff>
      <xdr:row>38</xdr:row>
      <xdr:rowOff>11257</xdr:rowOff>
    </xdr:from>
    <xdr:to>
      <xdr:col>10</xdr:col>
      <xdr:colOff>58317</xdr:colOff>
      <xdr:row>55</xdr:row>
      <xdr:rowOff>115166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432443-4CBA-4FA6-B9CB-245246049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218331</xdr:colOff>
      <xdr:row>37</xdr:row>
      <xdr:rowOff>58315</xdr:rowOff>
    </xdr:from>
    <xdr:to>
      <xdr:col>9</xdr:col>
      <xdr:colOff>417934</xdr:colOff>
      <xdr:row>53</xdr:row>
      <xdr:rowOff>183200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D6F8D-B047-46C9-9E65-34E69A20B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nal\AppData\Local\Microsoft\Windows\INetCache\Content.Outlook\QJCNI2KD\3%20Daily%20Utility%20Cost%20Sheet%20March%202023.xlsx" TargetMode="External"/><Relationship Id="rId1" Type="http://schemas.openxmlformats.org/officeDocument/2006/relationships/externalLinkPath" Target="file:///C:\Users\ronal\AppData\Local\Microsoft\Windows\INetCache\Content.Outlook\QJCNI2KD\3%20Daily%20Utility%20Cost%20Sheet%20March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Rotana/Amwaj%20Rotana/5%20Daily%20Utility%20Cost%20Sheet%20May%202023.xlsx" TargetMode="External"/><Relationship Id="rId1" Type="http://schemas.openxmlformats.org/officeDocument/2006/relationships/externalLinkPath" Target="5%20Daily%20Utility%20Cost%20Sheet%20Ma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D Utility Sheet"/>
      <sheetName val="March-31"/>
      <sheetName val="March-30"/>
      <sheetName val="March-29"/>
      <sheetName val="March-28"/>
      <sheetName val="March-27"/>
      <sheetName val="March-26"/>
      <sheetName val="March-25"/>
      <sheetName val="March-24"/>
      <sheetName val="March-23"/>
      <sheetName val="March-22"/>
      <sheetName val="March-21"/>
      <sheetName val="March-20"/>
      <sheetName val="March-19"/>
      <sheetName val="March-18"/>
      <sheetName val="March-17"/>
      <sheetName val="March-16"/>
      <sheetName val="March 15"/>
      <sheetName val="March 14"/>
      <sheetName val="March 13"/>
      <sheetName val="March 12"/>
      <sheetName val="March 11"/>
      <sheetName val="March 10"/>
      <sheetName val="March 09"/>
      <sheetName val="March 08"/>
      <sheetName val="March 07"/>
      <sheetName val="March 06"/>
      <sheetName val="March 05"/>
      <sheetName val="March 04"/>
      <sheetName val="March 03"/>
      <sheetName val="March 02"/>
      <sheetName val="March 01"/>
    </sheetNames>
    <sheetDataSet>
      <sheetData sheetId="0">
        <row r="3">
          <cell r="B3" t="str">
            <v>Occ %</v>
          </cell>
          <cell r="C3" t="str">
            <v>Out. Temp at 2PM</v>
          </cell>
          <cell r="D3" t="str">
            <v>RH %</v>
          </cell>
          <cell r="F3" t="str">
            <v xml:space="preserve">Chilled water </v>
          </cell>
          <cell r="G3" t="str">
            <v xml:space="preserve">Electricity </v>
          </cell>
          <cell r="H3" t="str">
            <v xml:space="preserve">Water </v>
          </cell>
          <cell r="I3" t="str">
            <v xml:space="preserve">LPG </v>
          </cell>
          <cell r="J3" t="str">
            <v xml:space="preserve">Total </v>
          </cell>
        </row>
        <row r="4">
          <cell r="A4">
            <v>1</v>
          </cell>
          <cell r="B4">
            <v>1</v>
          </cell>
          <cell r="C4" t="str">
            <v>24.0c</v>
          </cell>
          <cell r="D4">
            <v>1.0012000000000001</v>
          </cell>
          <cell r="F4">
            <v>6409.38</v>
          </cell>
          <cell r="G4">
            <v>6431.04</v>
          </cell>
          <cell r="H4">
            <v>2866</v>
          </cell>
          <cell r="I4">
            <v>512.4</v>
          </cell>
          <cell r="J4">
            <v>16218.82</v>
          </cell>
        </row>
        <row r="5">
          <cell r="A5">
            <v>2</v>
          </cell>
          <cell r="B5">
            <v>1.0006999999999999</v>
          </cell>
          <cell r="C5" t="str">
            <v>24.25c</v>
          </cell>
          <cell r="D5">
            <v>1.0006999999999999</v>
          </cell>
          <cell r="F5">
            <v>6219.23</v>
          </cell>
          <cell r="G5">
            <v>6431.04</v>
          </cell>
          <cell r="H5">
            <v>2522.8000000000002</v>
          </cell>
          <cell r="I5">
            <v>512.4</v>
          </cell>
          <cell r="J5">
            <v>15685.47</v>
          </cell>
        </row>
        <row r="6">
          <cell r="A6">
            <v>3</v>
          </cell>
          <cell r="B6">
            <v>0.99</v>
          </cell>
          <cell r="C6" t="str">
            <v>24.31c</v>
          </cell>
          <cell r="D6">
            <v>1.1208</v>
          </cell>
          <cell r="F6">
            <v>6634.27</v>
          </cell>
          <cell r="G6">
            <v>6645.91</v>
          </cell>
          <cell r="H6">
            <v>2496.4</v>
          </cell>
          <cell r="I6">
            <v>512.4</v>
          </cell>
          <cell r="J6">
            <v>16288.98</v>
          </cell>
        </row>
        <row r="7">
          <cell r="A7">
            <v>4</v>
          </cell>
          <cell r="B7" t="str">
            <v>101..0%</v>
          </cell>
          <cell r="C7" t="str">
            <v>24.10c</v>
          </cell>
          <cell r="D7">
            <v>0.98380000000000001</v>
          </cell>
          <cell r="F7">
            <v>6175.35</v>
          </cell>
          <cell r="G7">
            <v>6645.41</v>
          </cell>
          <cell r="H7">
            <v>2417.1999999999998</v>
          </cell>
          <cell r="I7">
            <v>512.4</v>
          </cell>
          <cell r="J7">
            <v>15750.359999999999</v>
          </cell>
        </row>
        <row r="8">
          <cell r="A8">
            <v>5</v>
          </cell>
          <cell r="B8">
            <v>1</v>
          </cell>
          <cell r="C8" t="str">
            <v>23.83c</v>
          </cell>
          <cell r="D8">
            <v>1.0012000000000001</v>
          </cell>
          <cell r="F8">
            <v>6213.75</v>
          </cell>
          <cell r="G8">
            <v>6002.3</v>
          </cell>
          <cell r="H8">
            <v>2549.1999999999998</v>
          </cell>
          <cell r="I8">
            <v>358.68</v>
          </cell>
          <cell r="J8">
            <v>15123.93</v>
          </cell>
        </row>
        <row r="9">
          <cell r="A9">
            <v>6</v>
          </cell>
          <cell r="B9">
            <v>1.01</v>
          </cell>
          <cell r="C9" t="str">
            <v>24.0c</v>
          </cell>
          <cell r="D9">
            <v>0.95299999999999996</v>
          </cell>
          <cell r="F9">
            <v>6253.97</v>
          </cell>
          <cell r="G9">
            <v>6645.41</v>
          </cell>
          <cell r="H9">
            <v>2364.4</v>
          </cell>
          <cell r="I9">
            <v>512.4</v>
          </cell>
          <cell r="J9">
            <v>15776.18</v>
          </cell>
        </row>
        <row r="10">
          <cell r="A10">
            <v>7</v>
          </cell>
          <cell r="B10">
            <v>1</v>
          </cell>
          <cell r="C10" t="str">
            <v>24.50c</v>
          </cell>
          <cell r="D10">
            <v>0.9</v>
          </cell>
          <cell r="F10">
            <v>5893.78</v>
          </cell>
          <cell r="G10">
            <v>6216.67</v>
          </cell>
          <cell r="H10">
            <v>2377.6</v>
          </cell>
          <cell r="I10">
            <v>461.16</v>
          </cell>
          <cell r="J10">
            <v>14949.210000000001</v>
          </cell>
        </row>
        <row r="11">
          <cell r="A11">
            <v>8</v>
          </cell>
          <cell r="B11">
            <v>1.01</v>
          </cell>
          <cell r="C11" t="str">
            <v>23.80c</v>
          </cell>
          <cell r="D11">
            <v>0.92500000000000004</v>
          </cell>
          <cell r="F11">
            <v>6202.78</v>
          </cell>
          <cell r="G11">
            <v>6431.04</v>
          </cell>
          <cell r="H11">
            <v>2443.6</v>
          </cell>
          <cell r="I11">
            <v>409.92</v>
          </cell>
          <cell r="J11">
            <v>15487.34</v>
          </cell>
        </row>
        <row r="12">
          <cell r="A12">
            <v>9</v>
          </cell>
          <cell r="B12">
            <v>1</v>
          </cell>
          <cell r="C12" t="str">
            <v>24.5c</v>
          </cell>
          <cell r="D12">
            <v>0.95299999999999996</v>
          </cell>
          <cell r="F12">
            <v>6266.77</v>
          </cell>
          <cell r="G12">
            <v>6645.41</v>
          </cell>
          <cell r="H12">
            <v>2443.6</v>
          </cell>
          <cell r="I12">
            <v>204.96</v>
          </cell>
          <cell r="J12">
            <v>15560.74</v>
          </cell>
        </row>
        <row r="13">
          <cell r="A13">
            <v>10</v>
          </cell>
          <cell r="B13">
            <v>1.0003</v>
          </cell>
          <cell r="C13" t="str">
            <v>24.8c</v>
          </cell>
          <cell r="D13">
            <v>0.88100000000000001</v>
          </cell>
          <cell r="F13">
            <v>6424.01</v>
          </cell>
          <cell r="G13">
            <v>6859.78</v>
          </cell>
          <cell r="H13">
            <v>2443.6</v>
          </cell>
          <cell r="I13">
            <v>512.4</v>
          </cell>
          <cell r="J13">
            <v>16239.79</v>
          </cell>
        </row>
        <row r="14">
          <cell r="A14">
            <v>11</v>
          </cell>
          <cell r="B14">
            <v>0.98</v>
          </cell>
          <cell r="C14" t="str">
            <v>26.4c</v>
          </cell>
          <cell r="D14">
            <v>0.63370000000000004</v>
          </cell>
          <cell r="F14">
            <v>6286.88</v>
          </cell>
          <cell r="G14">
            <v>6645.41</v>
          </cell>
          <cell r="H14">
            <v>2681.2</v>
          </cell>
          <cell r="I14">
            <v>614.88</v>
          </cell>
          <cell r="J14">
            <v>16228.37</v>
          </cell>
        </row>
        <row r="15">
          <cell r="A15">
            <v>12</v>
          </cell>
          <cell r="B15">
            <v>0.91069999999999995</v>
          </cell>
          <cell r="C15" t="str">
            <v>27.35c</v>
          </cell>
          <cell r="D15">
            <v>0.57750000000000001</v>
          </cell>
          <cell r="F15">
            <v>6310.65</v>
          </cell>
          <cell r="G15">
            <v>6002.3</v>
          </cell>
          <cell r="H15">
            <v>2483.1999999999998</v>
          </cell>
          <cell r="I15">
            <v>563.64</v>
          </cell>
          <cell r="J15">
            <v>15359.79</v>
          </cell>
        </row>
        <row r="16">
          <cell r="A16">
            <v>13</v>
          </cell>
          <cell r="B16">
            <v>0.96</v>
          </cell>
          <cell r="C16" t="str">
            <v>29.13c</v>
          </cell>
          <cell r="D16">
            <v>0.46389999999999998</v>
          </cell>
          <cell r="F16">
            <v>6400.24</v>
          </cell>
          <cell r="G16">
            <v>6431.04</v>
          </cell>
          <cell r="H16">
            <v>2179.6</v>
          </cell>
          <cell r="I16">
            <v>409.92</v>
          </cell>
          <cell r="J16">
            <v>15420.8</v>
          </cell>
        </row>
        <row r="17">
          <cell r="A17">
            <v>14</v>
          </cell>
          <cell r="B17">
            <v>0.97670000000000001</v>
          </cell>
          <cell r="C17" t="str">
            <v>26.4c</v>
          </cell>
          <cell r="D17">
            <v>0.78</v>
          </cell>
          <cell r="F17">
            <v>6232.03</v>
          </cell>
          <cell r="G17">
            <v>6431.04</v>
          </cell>
          <cell r="H17">
            <v>2351.1999999999998</v>
          </cell>
          <cell r="I17">
            <v>512.4</v>
          </cell>
          <cell r="J17">
            <v>15526.67</v>
          </cell>
        </row>
        <row r="18">
          <cell r="A18">
            <v>15</v>
          </cell>
          <cell r="B18">
            <v>0.99</v>
          </cell>
          <cell r="C18" t="str">
            <v>26c</v>
          </cell>
          <cell r="D18">
            <v>0.78639999999999999</v>
          </cell>
          <cell r="F18">
            <v>6548.34</v>
          </cell>
          <cell r="G18">
            <v>6216.67</v>
          </cell>
          <cell r="H18">
            <v>2351.1999999999998</v>
          </cell>
          <cell r="I18">
            <v>409.92</v>
          </cell>
          <cell r="J18">
            <v>15526.13</v>
          </cell>
        </row>
        <row r="19">
          <cell r="A19">
            <v>16</v>
          </cell>
          <cell r="B19">
            <v>0.98</v>
          </cell>
          <cell r="C19" t="str">
            <v>26.8c</v>
          </cell>
          <cell r="D19">
            <v>0.76949999999999996</v>
          </cell>
          <cell r="F19">
            <v>6575.76</v>
          </cell>
          <cell r="G19">
            <v>6216.67</v>
          </cell>
          <cell r="H19">
            <v>2549.1999999999998</v>
          </cell>
          <cell r="I19">
            <v>409.92</v>
          </cell>
          <cell r="J19">
            <v>15751.550000000001</v>
          </cell>
        </row>
        <row r="20">
          <cell r="A20">
            <v>17</v>
          </cell>
          <cell r="B20">
            <v>1</v>
          </cell>
          <cell r="C20" t="str">
            <v>25.60c</v>
          </cell>
          <cell r="D20">
            <v>0.78200000000000003</v>
          </cell>
          <cell r="F20">
            <v>6524.57</v>
          </cell>
          <cell r="G20">
            <v>6645.41</v>
          </cell>
          <cell r="H20">
            <v>2760.4</v>
          </cell>
          <cell r="I20">
            <v>461.16</v>
          </cell>
          <cell r="J20">
            <v>16391.54</v>
          </cell>
        </row>
        <row r="21">
          <cell r="A21">
            <v>18</v>
          </cell>
          <cell r="B21">
            <v>1</v>
          </cell>
          <cell r="C21" t="str">
            <v>26.0c</v>
          </cell>
          <cell r="D21">
            <v>0.8</v>
          </cell>
          <cell r="F21">
            <v>6054.68</v>
          </cell>
          <cell r="G21">
            <v>6645.41</v>
          </cell>
          <cell r="H21">
            <v>2734</v>
          </cell>
          <cell r="I21">
            <v>512.4</v>
          </cell>
          <cell r="J21">
            <v>15946.49</v>
          </cell>
        </row>
        <row r="22">
          <cell r="A22">
            <v>19</v>
          </cell>
          <cell r="B22">
            <v>0.94699999999999995</v>
          </cell>
          <cell r="C22" t="str">
            <v>26.50c</v>
          </cell>
          <cell r="D22">
            <v>0.75600000000000001</v>
          </cell>
          <cell r="F22">
            <v>5959.6</v>
          </cell>
          <cell r="G22">
            <v>6216.67</v>
          </cell>
          <cell r="H22">
            <v>2443.6</v>
          </cell>
          <cell r="I22">
            <v>512.4</v>
          </cell>
          <cell r="J22">
            <v>15132.27</v>
          </cell>
        </row>
        <row r="23">
          <cell r="A23">
            <v>20</v>
          </cell>
          <cell r="B23">
            <v>0.94040000000000001</v>
          </cell>
          <cell r="C23" t="str">
            <v>25.60c</v>
          </cell>
          <cell r="D23">
            <v>0.66200000000000003</v>
          </cell>
          <cell r="F23">
            <v>6023.6</v>
          </cell>
          <cell r="G23">
            <v>6645.41</v>
          </cell>
          <cell r="H23">
            <v>2324.8000000000002</v>
          </cell>
          <cell r="I23">
            <v>461.16</v>
          </cell>
          <cell r="J23">
            <v>15454.970000000001</v>
          </cell>
        </row>
        <row r="24">
          <cell r="A24">
            <v>21</v>
          </cell>
          <cell r="B24">
            <v>0.86</v>
          </cell>
          <cell r="C24" t="str">
            <v>25.24c</v>
          </cell>
          <cell r="D24">
            <v>0.62570000000000003</v>
          </cell>
          <cell r="F24">
            <v>6120.5</v>
          </cell>
          <cell r="G24">
            <v>6431.04</v>
          </cell>
          <cell r="H24">
            <v>2272</v>
          </cell>
          <cell r="I24">
            <v>409.92</v>
          </cell>
          <cell r="J24">
            <v>15233.460000000001</v>
          </cell>
        </row>
        <row r="25">
          <cell r="A25">
            <v>22</v>
          </cell>
          <cell r="B25">
            <v>0.80030000000000001</v>
          </cell>
          <cell r="C25" t="str">
            <v>24.27c</v>
          </cell>
          <cell r="D25">
            <v>0.81040000000000001</v>
          </cell>
          <cell r="F25">
            <v>5747.51</v>
          </cell>
          <cell r="G25">
            <v>6431.04</v>
          </cell>
          <cell r="H25">
            <v>2258.8000000000002</v>
          </cell>
          <cell r="I25">
            <v>409.92</v>
          </cell>
          <cell r="J25">
            <v>14847.269999999999</v>
          </cell>
        </row>
        <row r="26">
          <cell r="A26">
            <v>23</v>
          </cell>
          <cell r="B26">
            <v>0.73089999999999999</v>
          </cell>
          <cell r="C26" t="str">
            <v>22.08c</v>
          </cell>
          <cell r="D26">
            <v>0.5857</v>
          </cell>
          <cell r="F26">
            <v>5542.73</v>
          </cell>
          <cell r="G26">
            <v>6645.41</v>
          </cell>
          <cell r="H26">
            <v>2206</v>
          </cell>
          <cell r="I26">
            <v>512.4</v>
          </cell>
          <cell r="J26">
            <v>14906.539999999999</v>
          </cell>
        </row>
        <row r="27">
          <cell r="A27">
            <v>24</v>
          </cell>
          <cell r="B27">
            <v>0.7409</v>
          </cell>
          <cell r="C27" t="str">
            <v>23.27c</v>
          </cell>
          <cell r="D27">
            <v>0.73119999999999996</v>
          </cell>
          <cell r="F27">
            <v>5685.35</v>
          </cell>
          <cell r="G27">
            <v>6216.67</v>
          </cell>
          <cell r="H27">
            <v>2285.1999999999998</v>
          </cell>
          <cell r="I27">
            <v>512.4</v>
          </cell>
          <cell r="J27">
            <v>14699.62</v>
          </cell>
        </row>
        <row r="28">
          <cell r="A28">
            <v>25</v>
          </cell>
          <cell r="B28">
            <v>0.8</v>
          </cell>
          <cell r="C28" t="str">
            <v>23.71c</v>
          </cell>
          <cell r="D28">
            <v>0.76500000000000001</v>
          </cell>
          <cell r="F28">
            <v>5935.83</v>
          </cell>
          <cell r="G28">
            <v>6431.04</v>
          </cell>
          <cell r="H28">
            <v>2430.4</v>
          </cell>
          <cell r="I28">
            <v>512.4</v>
          </cell>
          <cell r="J28">
            <v>15309.669999999998</v>
          </cell>
        </row>
        <row r="29">
          <cell r="A29">
            <v>26</v>
          </cell>
          <cell r="B29">
            <v>0.80069999999999997</v>
          </cell>
          <cell r="C29" t="str">
            <v>24.02c</v>
          </cell>
          <cell r="D29">
            <v>0.58450000000000002</v>
          </cell>
          <cell r="F29">
            <v>6367.33</v>
          </cell>
          <cell r="G29">
            <v>6645.41</v>
          </cell>
          <cell r="H29">
            <v>2232.4</v>
          </cell>
          <cell r="I29">
            <v>409.92</v>
          </cell>
          <cell r="J29">
            <v>15655.06</v>
          </cell>
        </row>
        <row r="30">
          <cell r="A30">
            <v>27</v>
          </cell>
          <cell r="B30">
            <v>0.82040000000000002</v>
          </cell>
          <cell r="C30" t="str">
            <v>25.30c</v>
          </cell>
          <cell r="D30">
            <v>0.82199999999999995</v>
          </cell>
          <cell r="F30">
            <v>6228.37</v>
          </cell>
          <cell r="G30">
            <v>6216.67</v>
          </cell>
          <cell r="H30">
            <v>2179.92</v>
          </cell>
          <cell r="I30">
            <v>409.92</v>
          </cell>
          <cell r="J30">
            <v>15034.880000000001</v>
          </cell>
        </row>
        <row r="31">
          <cell r="A31">
            <v>28</v>
          </cell>
          <cell r="B31">
            <v>0.84</v>
          </cell>
          <cell r="C31" t="str">
            <v>23.10c</v>
          </cell>
          <cell r="D31" t="str">
            <v>58..50%</v>
          </cell>
          <cell r="F31">
            <v>6361.84</v>
          </cell>
          <cell r="G31">
            <v>6431.04</v>
          </cell>
          <cell r="H31">
            <v>2087.1999999999998</v>
          </cell>
          <cell r="I31">
            <v>512.4</v>
          </cell>
          <cell r="J31">
            <v>15392.480000000001</v>
          </cell>
        </row>
        <row r="32">
          <cell r="A32">
            <v>29</v>
          </cell>
          <cell r="B32">
            <v>0.86399999999999999</v>
          </cell>
          <cell r="C32" t="str">
            <v>23.0c</v>
          </cell>
          <cell r="D32">
            <v>0.80500000000000005</v>
          </cell>
          <cell r="F32">
            <v>6100.39</v>
          </cell>
          <cell r="G32">
            <v>6431.04</v>
          </cell>
          <cell r="H32">
            <v>2140</v>
          </cell>
          <cell r="I32">
            <v>563.64</v>
          </cell>
          <cell r="J32">
            <v>15235.07</v>
          </cell>
        </row>
        <row r="33">
          <cell r="A33">
            <v>30</v>
          </cell>
          <cell r="B33">
            <v>0.86399999999999999</v>
          </cell>
          <cell r="C33" t="str">
            <v>23.50c</v>
          </cell>
          <cell r="D33">
            <v>0.84099999999999997</v>
          </cell>
          <cell r="F33">
            <v>5924.86</v>
          </cell>
          <cell r="G33">
            <v>6431.04</v>
          </cell>
          <cell r="H33">
            <v>2245.6</v>
          </cell>
          <cell r="I33">
            <v>512.4</v>
          </cell>
          <cell r="J33">
            <v>15113.9</v>
          </cell>
        </row>
        <row r="34">
          <cell r="A34">
            <v>31</v>
          </cell>
          <cell r="B34">
            <v>0.83699999999999997</v>
          </cell>
          <cell r="C34" t="str">
            <v>24.0c</v>
          </cell>
          <cell r="D34">
            <v>0.78500000000000003</v>
          </cell>
          <cell r="F34">
            <v>6061.99</v>
          </cell>
          <cell r="G34">
            <v>6859.78</v>
          </cell>
          <cell r="H34">
            <v>2483.1999999999998</v>
          </cell>
          <cell r="I34">
            <v>512.4</v>
          </cell>
          <cell r="J34">
            <v>15917.37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D Utility Sheet"/>
      <sheetName val="MAY 31"/>
      <sheetName val="MAY 30"/>
      <sheetName val="MAY 29"/>
      <sheetName val="MAY 28"/>
      <sheetName val="MAY 27"/>
      <sheetName val="MAY 26"/>
      <sheetName val="MAY 25"/>
      <sheetName val="MAY 24"/>
      <sheetName val="MAY 23"/>
      <sheetName val="MAY 22"/>
      <sheetName val="MAY 21"/>
      <sheetName val="MAY 20"/>
      <sheetName val="MAY 19"/>
      <sheetName val="MAY 18"/>
      <sheetName val="MAY 17"/>
      <sheetName val="MAY 16"/>
      <sheetName val="MAY 15"/>
      <sheetName val="MAY 14"/>
      <sheetName val="MAY 13"/>
      <sheetName val="MAY 12"/>
      <sheetName val="MAY 11"/>
      <sheetName val="MAY 10"/>
      <sheetName val="MAY 09"/>
      <sheetName val="MAY 08"/>
      <sheetName val="MAY 07"/>
      <sheetName val="MAY 06"/>
      <sheetName val="MAY 05"/>
      <sheetName val="MAY 04"/>
      <sheetName val="MAY 03"/>
      <sheetName val="MAY 02"/>
      <sheetName val="MAY 01"/>
    </sheetNames>
    <sheetDataSet>
      <sheetData sheetId="0">
        <row r="3">
          <cell r="B3" t="str">
            <v>Occ %</v>
          </cell>
          <cell r="C3" t="str">
            <v>Out. Temp at 2PM</v>
          </cell>
          <cell r="D3" t="str">
            <v>RH %</v>
          </cell>
          <cell r="F3" t="str">
            <v xml:space="preserve">Chilled water </v>
          </cell>
          <cell r="G3" t="str">
            <v xml:space="preserve">Electricity </v>
          </cell>
          <cell r="H3" t="str">
            <v xml:space="preserve">Water </v>
          </cell>
          <cell r="I3" t="str">
            <v xml:space="preserve">LPG </v>
          </cell>
          <cell r="J3" t="str">
            <v xml:space="preserve">Total </v>
          </cell>
        </row>
        <row r="4">
          <cell r="A4">
            <v>1</v>
          </cell>
          <cell r="B4">
            <v>1</v>
          </cell>
          <cell r="C4" t="str">
            <v>33.89c</v>
          </cell>
          <cell r="D4">
            <v>0.47120000000000001</v>
          </cell>
          <cell r="F4">
            <v>6645.41</v>
          </cell>
          <cell r="G4">
            <v>7232.15</v>
          </cell>
          <cell r="H4">
            <v>2668</v>
          </cell>
          <cell r="I4">
            <v>614.88</v>
          </cell>
          <cell r="J4">
            <v>17160.439999999999</v>
          </cell>
        </row>
        <row r="5">
          <cell r="A5">
            <v>2</v>
          </cell>
          <cell r="B5">
            <v>0.99070000000000003</v>
          </cell>
          <cell r="C5" t="str">
            <v>32.84c</v>
          </cell>
          <cell r="D5">
            <v>0.66090000000000004</v>
          </cell>
          <cell r="F5">
            <v>8016.52</v>
          </cell>
          <cell r="G5">
            <v>6645.41</v>
          </cell>
          <cell r="H5">
            <v>2562.4</v>
          </cell>
          <cell r="I5">
            <v>358.64</v>
          </cell>
          <cell r="J5">
            <v>17582.97</v>
          </cell>
        </row>
        <row r="6">
          <cell r="A6">
            <v>3</v>
          </cell>
          <cell r="B6">
            <v>0.96030000000000004</v>
          </cell>
          <cell r="C6" t="str">
            <v>31.53c</v>
          </cell>
          <cell r="D6">
            <v>0.58479999999999999</v>
          </cell>
          <cell r="F6">
            <v>7597.82</v>
          </cell>
          <cell r="G6">
            <v>6431.04</v>
          </cell>
          <cell r="H6">
            <v>2694.4</v>
          </cell>
          <cell r="I6">
            <v>512.4</v>
          </cell>
          <cell r="J6">
            <v>17235.660000000003</v>
          </cell>
        </row>
        <row r="7">
          <cell r="A7">
            <v>4</v>
          </cell>
          <cell r="B7">
            <v>0.99029999999999996</v>
          </cell>
          <cell r="C7" t="str">
            <v>25.75c</v>
          </cell>
          <cell r="D7">
            <v>0.76070000000000004</v>
          </cell>
          <cell r="F7">
            <v>7833.68</v>
          </cell>
          <cell r="G7">
            <v>7074.14</v>
          </cell>
          <cell r="H7">
            <v>2602</v>
          </cell>
          <cell r="I7">
            <v>512.4</v>
          </cell>
          <cell r="J7">
            <v>18022.22</v>
          </cell>
        </row>
        <row r="8">
          <cell r="A8">
            <v>5</v>
          </cell>
          <cell r="B8">
            <v>1.0029999999999999</v>
          </cell>
          <cell r="C8" t="str">
            <v>30.8c</v>
          </cell>
          <cell r="D8">
            <v>0.68469999999999998</v>
          </cell>
          <cell r="F8">
            <v>7850.14</v>
          </cell>
          <cell r="G8">
            <v>6859.78</v>
          </cell>
          <cell r="H8">
            <v>2562.4</v>
          </cell>
          <cell r="I8">
            <v>512.4</v>
          </cell>
          <cell r="J8">
            <v>17784.72</v>
          </cell>
        </row>
        <row r="9">
          <cell r="A9">
            <v>6</v>
          </cell>
          <cell r="B9">
            <v>0.94</v>
          </cell>
          <cell r="C9" t="str">
            <v>31.01c</v>
          </cell>
          <cell r="D9">
            <v>0.75260000000000005</v>
          </cell>
          <cell r="F9">
            <v>8049.43</v>
          </cell>
          <cell r="G9">
            <v>6645.41</v>
          </cell>
          <cell r="H9">
            <v>2654.8</v>
          </cell>
          <cell r="I9">
            <v>512.4</v>
          </cell>
          <cell r="J9">
            <v>17862.04</v>
          </cell>
        </row>
        <row r="10">
          <cell r="A10">
            <v>7</v>
          </cell>
          <cell r="B10">
            <v>0.89700000000000002</v>
          </cell>
          <cell r="C10" t="str">
            <v>32c</v>
          </cell>
          <cell r="D10">
            <v>0.72799999999999998</v>
          </cell>
          <cell r="F10">
            <v>8287.1200000000008</v>
          </cell>
          <cell r="G10">
            <v>6645.41</v>
          </cell>
          <cell r="H10">
            <v>2404</v>
          </cell>
          <cell r="I10">
            <v>409.92</v>
          </cell>
          <cell r="J10">
            <v>17746.449999999997</v>
          </cell>
        </row>
        <row r="11">
          <cell r="A11">
            <v>8</v>
          </cell>
          <cell r="B11">
            <v>1</v>
          </cell>
          <cell r="C11" t="str">
            <v>34.13c</v>
          </cell>
          <cell r="D11">
            <v>0.69599999999999995</v>
          </cell>
          <cell r="F11">
            <v>7674.61</v>
          </cell>
          <cell r="G11">
            <v>6645.41</v>
          </cell>
          <cell r="H11">
            <v>2681.2</v>
          </cell>
          <cell r="I11">
            <v>512.4</v>
          </cell>
          <cell r="J11">
            <v>17513.620000000003</v>
          </cell>
        </row>
        <row r="12">
          <cell r="A12">
            <v>9</v>
          </cell>
          <cell r="B12">
            <v>0.98299999999999998</v>
          </cell>
          <cell r="C12" t="str">
            <v>35.12c</v>
          </cell>
          <cell r="D12">
            <v>0.50819999999999999</v>
          </cell>
          <cell r="F12">
            <v>7142.56</v>
          </cell>
          <cell r="G12">
            <v>6431.04</v>
          </cell>
          <cell r="H12">
            <v>2602</v>
          </cell>
          <cell r="I12">
            <v>512.4</v>
          </cell>
          <cell r="J12">
            <v>16688</v>
          </cell>
        </row>
        <row r="13">
          <cell r="A13">
            <v>10</v>
          </cell>
          <cell r="B13">
            <v>0.94299999999999995</v>
          </cell>
          <cell r="C13" t="str">
            <v>35.65c</v>
          </cell>
          <cell r="D13">
            <v>0.48680000000000001</v>
          </cell>
          <cell r="F13">
            <v>7592.34</v>
          </cell>
          <cell r="G13">
            <v>6859.78</v>
          </cell>
          <cell r="H13">
            <v>2549.1999999999998</v>
          </cell>
          <cell r="I13">
            <v>461.16</v>
          </cell>
          <cell r="J13">
            <v>17462.48</v>
          </cell>
        </row>
        <row r="14">
          <cell r="A14">
            <v>11</v>
          </cell>
          <cell r="B14">
            <v>1</v>
          </cell>
          <cell r="C14" t="str">
            <v>30.0c</v>
          </cell>
          <cell r="D14">
            <v>0.76</v>
          </cell>
          <cell r="F14">
            <v>7700.21</v>
          </cell>
          <cell r="G14">
            <v>6431.04</v>
          </cell>
          <cell r="H14">
            <v>2509.6</v>
          </cell>
          <cell r="I14">
            <v>512.4</v>
          </cell>
          <cell r="J14">
            <v>17153.25</v>
          </cell>
        </row>
        <row r="15">
          <cell r="A15">
            <v>12</v>
          </cell>
          <cell r="B15">
            <v>1.0029999999999999</v>
          </cell>
          <cell r="C15" t="str">
            <v>31.0c</v>
          </cell>
          <cell r="D15">
            <v>0.76</v>
          </cell>
          <cell r="F15">
            <v>8689.3799999999992</v>
          </cell>
          <cell r="G15">
            <v>7288.51</v>
          </cell>
          <cell r="H15">
            <v>2602</v>
          </cell>
          <cell r="I15">
            <v>512.4</v>
          </cell>
          <cell r="J15">
            <v>19092.29</v>
          </cell>
        </row>
        <row r="16">
          <cell r="A16">
            <v>13</v>
          </cell>
          <cell r="B16">
            <v>0.97</v>
          </cell>
          <cell r="C16" t="str">
            <v>30.0c</v>
          </cell>
          <cell r="D16">
            <v>0.63</v>
          </cell>
          <cell r="F16">
            <v>9181.19</v>
          </cell>
          <cell r="G16">
            <v>7074.14</v>
          </cell>
          <cell r="H16">
            <v>2720.8</v>
          </cell>
          <cell r="I16">
            <v>512.4</v>
          </cell>
          <cell r="J16">
            <v>19488.530000000002</v>
          </cell>
        </row>
        <row r="17">
          <cell r="A17">
            <v>14</v>
          </cell>
          <cell r="B17">
            <v>0.88500000000000001</v>
          </cell>
          <cell r="C17" t="str">
            <v>34.0c</v>
          </cell>
          <cell r="D17">
            <v>0.76</v>
          </cell>
          <cell r="F17">
            <v>8314.5400000000009</v>
          </cell>
          <cell r="G17">
            <v>7074.14</v>
          </cell>
          <cell r="H17">
            <v>2562.4</v>
          </cell>
          <cell r="I17">
            <v>461.16</v>
          </cell>
          <cell r="J17">
            <v>18412.240000000002</v>
          </cell>
        </row>
        <row r="18">
          <cell r="A18">
            <v>15</v>
          </cell>
          <cell r="B18">
            <v>0.94</v>
          </cell>
          <cell r="C18" t="str">
            <v>32.0c</v>
          </cell>
          <cell r="D18">
            <v>0.7</v>
          </cell>
          <cell r="F18">
            <v>8462.64</v>
          </cell>
          <cell r="G18">
            <v>6645.41</v>
          </cell>
          <cell r="H18">
            <v>2113.6</v>
          </cell>
          <cell r="I18">
            <v>512.4</v>
          </cell>
          <cell r="J18">
            <v>17734.05</v>
          </cell>
        </row>
        <row r="19">
          <cell r="A19">
            <v>16</v>
          </cell>
          <cell r="B19">
            <v>0.99299999999999999</v>
          </cell>
          <cell r="C19" t="str">
            <v>34.0c</v>
          </cell>
          <cell r="D19">
            <v>0.73</v>
          </cell>
          <cell r="F19">
            <v>8482.75</v>
          </cell>
          <cell r="G19">
            <v>6645.41</v>
          </cell>
          <cell r="H19">
            <v>2404</v>
          </cell>
          <cell r="I19">
            <v>512.4</v>
          </cell>
          <cell r="J19">
            <v>18044.560000000001</v>
          </cell>
        </row>
        <row r="20">
          <cell r="A20">
            <v>17</v>
          </cell>
          <cell r="B20">
            <v>1</v>
          </cell>
          <cell r="C20" t="str">
            <v>35.02c</v>
          </cell>
          <cell r="D20">
            <v>0.68049999999999999</v>
          </cell>
          <cell r="F20">
            <v>8497.2999999999993</v>
          </cell>
          <cell r="G20">
            <v>6645.41</v>
          </cell>
          <cell r="H20">
            <v>2456.8000000000002</v>
          </cell>
          <cell r="I20">
            <v>512.4</v>
          </cell>
          <cell r="J20">
            <v>18111.91</v>
          </cell>
        </row>
        <row r="21">
          <cell r="A21">
            <v>18</v>
          </cell>
          <cell r="B21">
            <v>1</v>
          </cell>
          <cell r="C21">
            <v>34.049999999999997</v>
          </cell>
          <cell r="D21">
            <v>0.48220000000000002</v>
          </cell>
          <cell r="F21">
            <v>8230.44</v>
          </cell>
          <cell r="G21">
            <v>7074.14</v>
          </cell>
          <cell r="H21">
            <v>2456.8000000000002</v>
          </cell>
          <cell r="I21">
            <v>512.4</v>
          </cell>
          <cell r="J21">
            <v>18273.780000000002</v>
          </cell>
        </row>
        <row r="22">
          <cell r="A22">
            <v>19</v>
          </cell>
          <cell r="B22">
            <v>0.92020000000000002</v>
          </cell>
          <cell r="C22" t="str">
            <v>30.28c</v>
          </cell>
          <cell r="D22">
            <v>0.53100000000000003</v>
          </cell>
          <cell r="F22">
            <v>8091.48</v>
          </cell>
          <cell r="G22">
            <v>6859.78</v>
          </cell>
          <cell r="H22">
            <v>2707.6</v>
          </cell>
          <cell r="I22">
            <v>409.92</v>
          </cell>
          <cell r="J22">
            <v>18068.779999999995</v>
          </cell>
        </row>
        <row r="23">
          <cell r="A23">
            <v>20</v>
          </cell>
          <cell r="B23">
            <v>0.93020000000000003</v>
          </cell>
          <cell r="C23" t="str">
            <v>36.29c</v>
          </cell>
          <cell r="D23">
            <v>0.42399999999999999</v>
          </cell>
          <cell r="F23">
            <v>8363.91</v>
          </cell>
          <cell r="G23">
            <v>7074.14</v>
          </cell>
          <cell r="H23">
            <v>2470</v>
          </cell>
          <cell r="I23">
            <v>358.68</v>
          </cell>
          <cell r="J23">
            <v>18266.73</v>
          </cell>
        </row>
        <row r="24">
          <cell r="A24">
            <v>21</v>
          </cell>
          <cell r="B24">
            <v>0.98060000000000003</v>
          </cell>
          <cell r="C24" t="str">
            <v>34.19C</v>
          </cell>
          <cell r="D24">
            <v>0.40820000000000001</v>
          </cell>
          <cell r="F24">
            <v>8552.23</v>
          </cell>
          <cell r="G24">
            <v>7074.14</v>
          </cell>
          <cell r="H24">
            <v>2483.1999999999998</v>
          </cell>
          <cell r="I24">
            <v>512.4</v>
          </cell>
          <cell r="J24">
            <v>18621.97</v>
          </cell>
        </row>
        <row r="25">
          <cell r="A25">
            <v>22</v>
          </cell>
          <cell r="B25">
            <v>0.98029999999999995</v>
          </cell>
          <cell r="C25" t="str">
            <v>33.10c</v>
          </cell>
          <cell r="D25">
            <v>0.45229999999999998</v>
          </cell>
          <cell r="F25">
            <v>8343.7999999999993</v>
          </cell>
          <cell r="G25">
            <v>6645.41</v>
          </cell>
          <cell r="H25">
            <v>2338</v>
          </cell>
          <cell r="I25">
            <v>512.4</v>
          </cell>
          <cell r="J25">
            <v>17839.61</v>
          </cell>
        </row>
        <row r="26">
          <cell r="A26">
            <v>23</v>
          </cell>
          <cell r="B26">
            <v>0.95299999999999996</v>
          </cell>
          <cell r="C26" t="str">
            <v>33.75c</v>
          </cell>
          <cell r="D26">
            <v>0.63100000000000001</v>
          </cell>
          <cell r="F26">
            <v>8948.99</v>
          </cell>
          <cell r="G26">
            <v>6645.41</v>
          </cell>
          <cell r="H26">
            <v>2456.8000000000002</v>
          </cell>
          <cell r="I26">
            <v>307.44</v>
          </cell>
          <cell r="J26">
            <v>18358.64</v>
          </cell>
        </row>
        <row r="27">
          <cell r="A27">
            <v>24</v>
          </cell>
          <cell r="B27">
            <v>0.97299999999999998</v>
          </cell>
          <cell r="C27" t="str">
            <v>34.2c</v>
          </cell>
          <cell r="D27">
            <v>0.68400000000000005</v>
          </cell>
          <cell r="F27">
            <v>8755.18</v>
          </cell>
          <cell r="G27">
            <v>6859.78</v>
          </cell>
          <cell r="H27">
            <v>2206</v>
          </cell>
          <cell r="I27">
            <v>461.16</v>
          </cell>
          <cell r="J27">
            <v>18282.12</v>
          </cell>
        </row>
        <row r="28">
          <cell r="A28">
            <v>25</v>
          </cell>
          <cell r="B28">
            <v>1.0029999999999999</v>
          </cell>
          <cell r="C28" t="str">
            <v>35.34c</v>
          </cell>
          <cell r="D28">
            <v>0.55679999999999996</v>
          </cell>
          <cell r="F28">
            <v>8713.1299999999992</v>
          </cell>
          <cell r="G28">
            <v>6859.78</v>
          </cell>
          <cell r="H28">
            <v>2562.4</v>
          </cell>
          <cell r="I28">
            <v>461.16</v>
          </cell>
          <cell r="J28">
            <v>18596.47</v>
          </cell>
        </row>
        <row r="29">
          <cell r="A29">
            <v>26</v>
          </cell>
          <cell r="B29">
            <v>1.0029999999999999</v>
          </cell>
          <cell r="C29" t="str">
            <v>37.13c</v>
          </cell>
          <cell r="D29">
            <v>0.67279999999999995</v>
          </cell>
          <cell r="F29">
            <v>8824.66</v>
          </cell>
          <cell r="G29">
            <v>7074.14</v>
          </cell>
          <cell r="H29">
            <v>2470</v>
          </cell>
          <cell r="I29">
            <v>409.92</v>
          </cell>
          <cell r="J29">
            <v>18778.719999999998</v>
          </cell>
        </row>
        <row r="30">
          <cell r="A30">
            <v>27</v>
          </cell>
          <cell r="B30">
            <v>1</v>
          </cell>
          <cell r="C30" t="str">
            <v>36.0c</v>
          </cell>
          <cell r="D30">
            <v>0.67</v>
          </cell>
          <cell r="F30">
            <v>9488.36</v>
          </cell>
          <cell r="G30">
            <v>6859.78</v>
          </cell>
          <cell r="H30">
            <v>2615.1999999999998</v>
          </cell>
          <cell r="I30">
            <v>461.16</v>
          </cell>
          <cell r="J30">
            <v>19424.5</v>
          </cell>
        </row>
        <row r="31">
          <cell r="A31">
            <v>28</v>
          </cell>
          <cell r="B31">
            <v>0.96</v>
          </cell>
          <cell r="C31" t="str">
            <v>37.20c</v>
          </cell>
          <cell r="D31">
            <v>0.79</v>
          </cell>
          <cell r="F31">
            <v>9512.1299999999992</v>
          </cell>
          <cell r="G31">
            <v>7074.14</v>
          </cell>
          <cell r="H31">
            <v>2773.6</v>
          </cell>
          <cell r="I31">
            <v>512.4</v>
          </cell>
          <cell r="J31">
            <v>19872.27</v>
          </cell>
        </row>
        <row r="32">
          <cell r="A32">
            <v>29</v>
          </cell>
          <cell r="B32">
            <v>0.97699999999999998</v>
          </cell>
          <cell r="C32" t="str">
            <v>38.20c</v>
          </cell>
          <cell r="D32">
            <v>0.8</v>
          </cell>
          <cell r="F32">
            <v>9691.31</v>
          </cell>
          <cell r="G32">
            <v>7074.14</v>
          </cell>
          <cell r="H32">
            <v>2522.8000000000002</v>
          </cell>
          <cell r="I32">
            <v>461.16</v>
          </cell>
          <cell r="J32">
            <v>19749.41</v>
          </cell>
        </row>
        <row r="33">
          <cell r="A33">
            <v>30</v>
          </cell>
          <cell r="B33">
            <v>0.93</v>
          </cell>
          <cell r="C33" t="str">
            <v>38.50c</v>
          </cell>
          <cell r="D33">
            <v>0.7</v>
          </cell>
          <cell r="F33">
            <v>10016.76</v>
          </cell>
          <cell r="G33">
            <v>7288.51</v>
          </cell>
          <cell r="H33">
            <v>2668</v>
          </cell>
          <cell r="I33">
            <v>409.92</v>
          </cell>
          <cell r="J33">
            <v>20383.189999999999</v>
          </cell>
        </row>
        <row r="34">
          <cell r="A34">
            <v>31</v>
          </cell>
          <cell r="B34">
            <v>0.97</v>
          </cell>
          <cell r="C34" t="str">
            <v>37.0c</v>
          </cell>
          <cell r="D34">
            <v>0.79</v>
          </cell>
          <cell r="F34">
            <v>10031.379999999999</v>
          </cell>
          <cell r="G34">
            <v>7074.14</v>
          </cell>
          <cell r="H34">
            <v>2628.4</v>
          </cell>
          <cell r="I34">
            <v>307.44</v>
          </cell>
          <cell r="J34">
            <v>20041.36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0B09-60AD-4B15-88CE-5900597CFB13}">
  <sheetPr>
    <tabColor rgb="FFFF0000"/>
  </sheetPr>
  <dimension ref="A1:O36"/>
  <sheetViews>
    <sheetView tabSelected="1" topLeftCell="A24" workbookViewId="0">
      <selection activeCell="M2" sqref="M2"/>
    </sheetView>
  </sheetViews>
  <sheetFormatPr defaultColWidth="11.578125" defaultRowHeight="14.4"/>
  <cols>
    <col min="1" max="1" width="26.41796875" style="33" bestFit="1" customWidth="1"/>
    <col min="2" max="2" width="11.578125" style="33"/>
    <col min="3" max="3" width="11.578125" style="34"/>
    <col min="4" max="4" width="13.41796875" style="33" customWidth="1"/>
    <col min="5" max="5" width="12.578125" style="33" customWidth="1"/>
    <col min="6" max="6" width="12.578125" style="39" customWidth="1"/>
    <col min="7" max="7" width="11.578125" style="33"/>
    <col min="8" max="8" width="11.578125" style="39"/>
    <col min="9" max="9" width="11.578125" style="33"/>
    <col min="10" max="10" width="11.578125" style="36"/>
    <col min="11" max="11" width="11.578125" style="38"/>
    <col min="12" max="12" width="11.578125" style="36"/>
    <col min="13" max="13" width="11.578125" style="35"/>
    <col min="14" max="16384" width="11.578125" style="33"/>
  </cols>
  <sheetData>
    <row r="1" spans="1:15" s="31" customFormat="1" ht="57.9" thickBot="1">
      <c r="A1" s="21" t="s">
        <v>81</v>
      </c>
      <c r="B1" s="21" t="s">
        <v>82</v>
      </c>
      <c r="C1" s="22" t="s">
        <v>83</v>
      </c>
      <c r="D1" s="23" t="s">
        <v>84</v>
      </c>
      <c r="E1" s="24" t="s">
        <v>85</v>
      </c>
      <c r="F1" s="25" t="s">
        <v>86</v>
      </c>
      <c r="G1" s="24" t="s">
        <v>94</v>
      </c>
      <c r="H1" s="25" t="s">
        <v>95</v>
      </c>
      <c r="I1" s="26" t="s">
        <v>87</v>
      </c>
      <c r="J1" s="27" t="s">
        <v>88</v>
      </c>
      <c r="K1" s="28" t="s">
        <v>89</v>
      </c>
      <c r="L1" s="29" t="s">
        <v>90</v>
      </c>
      <c r="M1" s="30" t="s">
        <v>91</v>
      </c>
      <c r="N1" s="24" t="s">
        <v>96</v>
      </c>
    </row>
    <row r="2" spans="1:15">
      <c r="A2" s="32" t="s">
        <v>93</v>
      </c>
      <c r="B2" s="33">
        <v>1</v>
      </c>
      <c r="C2" s="34">
        <v>5</v>
      </c>
      <c r="D2" s="33">
        <v>2023</v>
      </c>
      <c r="E2" s="35">
        <f>'MTD Utility Sheet'!G4/0.439</f>
        <v>16474.145785876994</v>
      </c>
      <c r="F2" s="36">
        <v>0.439</v>
      </c>
      <c r="G2" s="35">
        <f>('MTD Utility Sheet'!I4/2.1)/0.5</f>
        <v>585.6</v>
      </c>
      <c r="H2" s="37">
        <f>2.1*0.5</f>
        <v>1.05</v>
      </c>
      <c r="I2" s="35">
        <f>'MTD Utility Sheet'!H4/12.38</f>
        <v>215.50888529886913</v>
      </c>
      <c r="J2" s="36">
        <v>12.38</v>
      </c>
      <c r="K2" s="38">
        <f>IF(('MTD Utility Sheet'!F4-2866)&lt;0,"0",('MTD Utility Sheet'!F4-2866)/(0.568+0.075))</f>
        <v>5877.7760497667196</v>
      </c>
      <c r="L2" s="36">
        <f>'MTD Utility Sheet'!F4/K2</f>
        <v>1.1305993872059392</v>
      </c>
      <c r="M2" s="35">
        <f>'MTD Utility Sheet'!B4*301</f>
        <v>301</v>
      </c>
      <c r="N2" s="33">
        <v>4.9000000000000004</v>
      </c>
      <c r="O2" s="31"/>
    </row>
    <row r="3" spans="1:15">
      <c r="A3" s="32" t="s">
        <v>93</v>
      </c>
      <c r="B3" s="33">
        <f t="shared" ref="B3:B32" si="0">B2+1</f>
        <v>2</v>
      </c>
      <c r="C3" s="34">
        <v>5</v>
      </c>
      <c r="D3" s="33">
        <v>2023</v>
      </c>
      <c r="E3" s="35">
        <f>'MTD Utility Sheet'!G5/0.439</f>
        <v>15137.608200455581</v>
      </c>
      <c r="F3" s="36">
        <v>0.439</v>
      </c>
      <c r="G3" s="35">
        <f>('MTD Utility Sheet'!I5/2.1)/0.5</f>
        <v>341.56190476190471</v>
      </c>
      <c r="H3" s="37">
        <f t="shared" ref="H3:H32" si="1">2.1*0.5</f>
        <v>1.05</v>
      </c>
      <c r="I3" s="35">
        <f>'MTD Utility Sheet'!H5/12.38</f>
        <v>206.97899838449112</v>
      </c>
      <c r="J3" s="36">
        <v>12.38</v>
      </c>
      <c r="K3" s="38">
        <f>IF(('MTD Utility Sheet'!F5-2866)&lt;0,"0",('MTD Utility Sheet'!F5-2866)/(0.568+0.075))</f>
        <v>8010.1399688958027</v>
      </c>
      <c r="L3" s="36">
        <f>'MTD Utility Sheet'!F5/K3</f>
        <v>1.0007964943345524</v>
      </c>
      <c r="M3" s="35">
        <f>'MTD Utility Sheet'!B5*301</f>
        <v>298.20069999999998</v>
      </c>
      <c r="N3" s="33">
        <v>5</v>
      </c>
      <c r="O3" s="31"/>
    </row>
    <row r="4" spans="1:15">
      <c r="A4" s="32" t="s">
        <v>93</v>
      </c>
      <c r="B4" s="33">
        <f t="shared" si="0"/>
        <v>3</v>
      </c>
      <c r="C4" s="34">
        <v>5</v>
      </c>
      <c r="D4" s="33">
        <v>2023</v>
      </c>
      <c r="E4" s="35">
        <f>'MTD Utility Sheet'!G6/0.439</f>
        <v>14649.293849658314</v>
      </c>
      <c r="F4" s="36">
        <v>0.439</v>
      </c>
      <c r="G4" s="35">
        <f>('MTD Utility Sheet'!I6/2.1)/0.5</f>
        <v>487.99999999999994</v>
      </c>
      <c r="H4" s="37">
        <f t="shared" si="1"/>
        <v>1.05</v>
      </c>
      <c r="I4" s="35">
        <f>'MTD Utility Sheet'!H6/12.38</f>
        <v>217.64135702746364</v>
      </c>
      <c r="J4" s="36">
        <v>12.38</v>
      </c>
      <c r="K4" s="38">
        <f>IF(('MTD Utility Sheet'!F6-2866)&lt;0,"0",('MTD Utility Sheet'!F6-2866)/(0.568+0.075))</f>
        <v>7358.9735614307938</v>
      </c>
      <c r="L4" s="36">
        <f>'MTD Utility Sheet'!F6/K4</f>
        <v>1.0324564882011571</v>
      </c>
      <c r="M4" s="35">
        <f>'MTD Utility Sheet'!B6*301</f>
        <v>289.05029999999999</v>
      </c>
      <c r="N4" s="33">
        <v>5.0999999999999996</v>
      </c>
      <c r="O4" s="31"/>
    </row>
    <row r="5" spans="1:15">
      <c r="A5" s="32" t="s">
        <v>93</v>
      </c>
      <c r="B5" s="33">
        <f t="shared" si="0"/>
        <v>4</v>
      </c>
      <c r="C5" s="34">
        <v>5</v>
      </c>
      <c r="D5" s="33">
        <v>2023</v>
      </c>
      <c r="E5" s="35">
        <f>'MTD Utility Sheet'!G7/0.439</f>
        <v>16114.214123006834</v>
      </c>
      <c r="F5" s="36">
        <v>0.439</v>
      </c>
      <c r="G5" s="35">
        <f>('MTD Utility Sheet'!I7/2.1)/0.5</f>
        <v>487.99999999999994</v>
      </c>
      <c r="H5" s="37">
        <f t="shared" si="1"/>
        <v>1.05</v>
      </c>
      <c r="I5" s="35">
        <f>'MTD Utility Sheet'!H7/12.38</f>
        <v>210.17770597738286</v>
      </c>
      <c r="J5" s="36">
        <v>12.38</v>
      </c>
      <c r="K5" s="38">
        <f>IF(('MTD Utility Sheet'!F7-2866)&lt;0,"0",('MTD Utility Sheet'!F7-2866)/(0.568+0.075))</f>
        <v>7725.7853810264405</v>
      </c>
      <c r="L5" s="36">
        <f>'MTD Utility Sheet'!F7/K5</f>
        <v>1.013965521128575</v>
      </c>
      <c r="M5" s="35">
        <f>'MTD Utility Sheet'!B7*301</f>
        <v>298.08029999999997</v>
      </c>
      <c r="N5" s="33">
        <v>3.8</v>
      </c>
      <c r="O5" s="31"/>
    </row>
    <row r="6" spans="1:15">
      <c r="A6" s="32" t="s">
        <v>93</v>
      </c>
      <c r="B6" s="33">
        <f t="shared" si="0"/>
        <v>5</v>
      </c>
      <c r="C6" s="34">
        <v>5</v>
      </c>
      <c r="D6" s="33">
        <v>2023</v>
      </c>
      <c r="E6" s="35">
        <f>'MTD Utility Sheet'!G8/0.439</f>
        <v>15625.922551252846</v>
      </c>
      <c r="F6" s="36">
        <v>0.439</v>
      </c>
      <c r="G6" s="35">
        <f>('MTD Utility Sheet'!I8/2.1)/0.5</f>
        <v>487.99999999999994</v>
      </c>
      <c r="H6" s="37">
        <f t="shared" si="1"/>
        <v>1.05</v>
      </c>
      <c r="I6" s="35">
        <f>'MTD Utility Sheet'!H8/12.38</f>
        <v>206.97899838449112</v>
      </c>
      <c r="J6" s="36">
        <v>12.38</v>
      </c>
      <c r="K6" s="38">
        <f>IF(('MTD Utility Sheet'!F8-2866)&lt;0,"0",('MTD Utility Sheet'!F8-2866)/(0.568+0.075))</f>
        <v>7751.3841368584772</v>
      </c>
      <c r="L6" s="36">
        <f>'MTD Utility Sheet'!F8/K6</f>
        <v>1.0127404166014597</v>
      </c>
      <c r="M6" s="35">
        <f>'MTD Utility Sheet'!B8*301</f>
        <v>301.90299999999996</v>
      </c>
      <c r="N6" s="33">
        <v>4.0999999999999996</v>
      </c>
      <c r="O6" s="31"/>
    </row>
    <row r="7" spans="1:15">
      <c r="A7" s="32" t="s">
        <v>93</v>
      </c>
      <c r="B7" s="33">
        <f t="shared" si="0"/>
        <v>6</v>
      </c>
      <c r="C7" s="34">
        <v>5</v>
      </c>
      <c r="D7" s="33">
        <v>2023</v>
      </c>
      <c r="E7" s="35">
        <f>'MTD Utility Sheet'!G9/0.439</f>
        <v>15137.608200455581</v>
      </c>
      <c r="F7" s="36">
        <v>0.439</v>
      </c>
      <c r="G7" s="35">
        <f>('MTD Utility Sheet'!I9/2.1)/0.5</f>
        <v>487.99999999999994</v>
      </c>
      <c r="H7" s="37">
        <f t="shared" si="1"/>
        <v>1.05</v>
      </c>
      <c r="I7" s="35">
        <f>'MTD Utility Sheet'!H9/12.38</f>
        <v>214.4426494345719</v>
      </c>
      <c r="J7" s="36">
        <v>12.38</v>
      </c>
      <c r="K7" s="38">
        <f>IF(('MTD Utility Sheet'!F9-2866)&lt;0,"0",('MTD Utility Sheet'!F9-2866)/(0.568+0.075))</f>
        <v>8061.3219284603438</v>
      </c>
      <c r="L7" s="36">
        <f>'MTD Utility Sheet'!F9/K7</f>
        <v>0.99852481657898329</v>
      </c>
      <c r="M7" s="35">
        <f>'MTD Utility Sheet'!B9*301</f>
        <v>282.94</v>
      </c>
      <c r="N7" s="33">
        <v>4.3</v>
      </c>
    </row>
    <row r="8" spans="1:15">
      <c r="A8" s="32" t="s">
        <v>93</v>
      </c>
      <c r="B8" s="33">
        <f t="shared" si="0"/>
        <v>7</v>
      </c>
      <c r="C8" s="34">
        <v>5</v>
      </c>
      <c r="D8" s="33">
        <v>2023</v>
      </c>
      <c r="E8" s="35">
        <f>'MTD Utility Sheet'!G10/0.439</f>
        <v>15137.608200455581</v>
      </c>
      <c r="F8" s="36">
        <v>0.439</v>
      </c>
      <c r="G8" s="35">
        <f>('MTD Utility Sheet'!I10/2.1)/0.5</f>
        <v>390.4</v>
      </c>
      <c r="H8" s="37">
        <f t="shared" si="1"/>
        <v>1.05</v>
      </c>
      <c r="I8" s="35">
        <f>'MTD Utility Sheet'!H10/12.38</f>
        <v>194.18416801292406</v>
      </c>
      <c r="J8" s="36">
        <v>12.38</v>
      </c>
      <c r="K8" s="38">
        <f>IF(('MTD Utility Sheet'!F10-2866)&lt;0,"0",('MTD Utility Sheet'!F10-2866)/(0.568+0.075))</f>
        <v>8430.9797822706096</v>
      </c>
      <c r="L8" s="36">
        <f>'MTD Utility Sheet'!F10/K8</f>
        <v>0.98293676583436607</v>
      </c>
      <c r="M8" s="35">
        <f>'MTD Utility Sheet'!B10*301</f>
        <v>269.99700000000001</v>
      </c>
      <c r="N8" s="33">
        <v>4.5999999999999996</v>
      </c>
    </row>
    <row r="9" spans="1:15">
      <c r="A9" s="32" t="s">
        <v>93</v>
      </c>
      <c r="B9" s="33">
        <f t="shared" si="0"/>
        <v>8</v>
      </c>
      <c r="C9" s="34">
        <v>5</v>
      </c>
      <c r="D9" s="33">
        <v>2023</v>
      </c>
      <c r="E9" s="35">
        <f>'MTD Utility Sheet'!G11/0.439</f>
        <v>15137.608200455581</v>
      </c>
      <c r="F9" s="36">
        <v>0.439</v>
      </c>
      <c r="G9" s="35">
        <f>('MTD Utility Sheet'!I11/2.1)/0.5</f>
        <v>487.99999999999994</v>
      </c>
      <c r="H9" s="37">
        <f t="shared" si="1"/>
        <v>1.05</v>
      </c>
      <c r="I9" s="35">
        <f>'MTD Utility Sheet'!H11/12.38</f>
        <v>216.57512116316636</v>
      </c>
      <c r="J9" s="36">
        <v>12.38</v>
      </c>
      <c r="K9" s="38">
        <f>IF(('MTD Utility Sheet'!F11-2866)&lt;0,"0",('MTD Utility Sheet'!F11-2866)/(0.568+0.075))</f>
        <v>7478.3981337480564</v>
      </c>
      <c r="L9" s="36">
        <f>'MTD Utility Sheet'!F11/K9</f>
        <v>1.0262371516924849</v>
      </c>
      <c r="M9" s="35">
        <f>'MTD Utility Sheet'!B11*301</f>
        <v>301</v>
      </c>
      <c r="N9" s="33">
        <v>6</v>
      </c>
    </row>
    <row r="10" spans="1:15">
      <c r="A10" s="32" t="s">
        <v>93</v>
      </c>
      <c r="B10" s="33">
        <f t="shared" si="0"/>
        <v>9</v>
      </c>
      <c r="C10" s="34">
        <v>5</v>
      </c>
      <c r="D10" s="33">
        <v>2023</v>
      </c>
      <c r="E10" s="35">
        <f>'MTD Utility Sheet'!G12/0.439</f>
        <v>14649.293849658314</v>
      </c>
      <c r="F10" s="36">
        <v>0.439</v>
      </c>
      <c r="G10" s="35">
        <f>('MTD Utility Sheet'!I12/2.1)/0.5</f>
        <v>487.99999999999994</v>
      </c>
      <c r="H10" s="37">
        <f t="shared" si="1"/>
        <v>1.05</v>
      </c>
      <c r="I10" s="35">
        <f>'MTD Utility Sheet'!H12/12.38</f>
        <v>210.17770597738286</v>
      </c>
      <c r="J10" s="36">
        <v>12.38</v>
      </c>
      <c r="K10" s="38">
        <f>IF(('MTD Utility Sheet'!F12-2866)&lt;0,"0",('MTD Utility Sheet'!F12-2866)/(0.568+0.075))</f>
        <v>6650.9486780715415</v>
      </c>
      <c r="L10" s="36">
        <f>'MTD Utility Sheet'!F12/K10</f>
        <v>1.0739159698449219</v>
      </c>
      <c r="M10" s="35">
        <f>'MTD Utility Sheet'!B12*301</f>
        <v>295.88299999999998</v>
      </c>
      <c r="N10" s="33">
        <v>8</v>
      </c>
    </row>
    <row r="11" spans="1:15">
      <c r="A11" s="32" t="s">
        <v>93</v>
      </c>
      <c r="B11" s="33">
        <f t="shared" si="0"/>
        <v>10</v>
      </c>
      <c r="C11" s="34">
        <v>5</v>
      </c>
      <c r="D11" s="33">
        <v>2023</v>
      </c>
      <c r="E11" s="35">
        <f>'MTD Utility Sheet'!G13/0.439</f>
        <v>15625.922551252846</v>
      </c>
      <c r="F11" s="36">
        <v>0.439</v>
      </c>
      <c r="G11" s="35">
        <f>('MTD Utility Sheet'!I13/2.1)/0.5</f>
        <v>439.2</v>
      </c>
      <c r="H11" s="37">
        <f t="shared" si="1"/>
        <v>1.05</v>
      </c>
      <c r="I11" s="35">
        <f>'MTD Utility Sheet'!H13/12.38</f>
        <v>205.91276252019384</v>
      </c>
      <c r="J11" s="36">
        <v>12.38</v>
      </c>
      <c r="K11" s="38">
        <f>IF(('MTD Utility Sheet'!F13-2866)&lt;0,"0",('MTD Utility Sheet'!F13-2866)/(0.568+0.075))</f>
        <v>7350.4510108864706</v>
      </c>
      <c r="L11" s="36">
        <f>'MTD Utility Sheet'!F13/K11</f>
        <v>1.0329080472416288</v>
      </c>
      <c r="M11" s="35">
        <f>'MTD Utility Sheet'!B13*301</f>
        <v>283.84299999999996</v>
      </c>
      <c r="N11" s="33">
        <v>8.1999999999999993</v>
      </c>
    </row>
    <row r="12" spans="1:15">
      <c r="A12" s="32" t="s">
        <v>93</v>
      </c>
      <c r="B12" s="33">
        <f t="shared" si="0"/>
        <v>11</v>
      </c>
      <c r="C12" s="34">
        <v>5</v>
      </c>
      <c r="D12" s="33">
        <v>2023</v>
      </c>
      <c r="E12" s="35">
        <f>'MTD Utility Sheet'!G14/0.439</f>
        <v>14649.293849658314</v>
      </c>
      <c r="F12" s="36">
        <v>0.439</v>
      </c>
      <c r="G12" s="35">
        <f>('MTD Utility Sheet'!I14/2.1)/0.5</f>
        <v>487.99999999999994</v>
      </c>
      <c r="H12" s="37">
        <f t="shared" si="1"/>
        <v>1.05</v>
      </c>
      <c r="I12" s="35">
        <f>'MTD Utility Sheet'!H14/12.38</f>
        <v>202.71405492730207</v>
      </c>
      <c r="J12" s="36">
        <v>12.38</v>
      </c>
      <c r="K12" s="38">
        <f>IF(('MTD Utility Sheet'!F14-2866)&lt;0,"0",('MTD Utility Sheet'!F14-2866)/(0.568+0.075))</f>
        <v>7518.2115085536561</v>
      </c>
      <c r="L12" s="36">
        <f>'MTD Utility Sheet'!F14/K12</f>
        <v>1.0242076843993122</v>
      </c>
      <c r="M12" s="35">
        <f>'MTD Utility Sheet'!B14*301</f>
        <v>301</v>
      </c>
      <c r="N12" s="33">
        <v>8.3000000000000007</v>
      </c>
    </row>
    <row r="13" spans="1:15">
      <c r="A13" s="32" t="s">
        <v>93</v>
      </c>
      <c r="B13" s="33">
        <f t="shared" si="0"/>
        <v>12</v>
      </c>
      <c r="C13" s="34">
        <v>5</v>
      </c>
      <c r="D13" s="33">
        <v>2023</v>
      </c>
      <c r="E13" s="35">
        <f>'MTD Utility Sheet'!G15/0.439</f>
        <v>16602.528473804101</v>
      </c>
      <c r="F13" s="36">
        <v>0.439</v>
      </c>
      <c r="G13" s="35">
        <f>('MTD Utility Sheet'!I15/2.1)/0.5</f>
        <v>487.99999999999994</v>
      </c>
      <c r="H13" s="37">
        <f t="shared" si="1"/>
        <v>1.05</v>
      </c>
      <c r="I13" s="35">
        <f>'MTD Utility Sheet'!H15/12.38</f>
        <v>210.17770597738286</v>
      </c>
      <c r="J13" s="36">
        <v>12.38</v>
      </c>
      <c r="K13" s="38">
        <f>IF(('MTD Utility Sheet'!F15-2866)&lt;0,"0",('MTD Utility Sheet'!F15-2866)/(0.568+0.075))</f>
        <v>9056.5785381026435</v>
      </c>
      <c r="L13" s="36">
        <f>'MTD Utility Sheet'!F15/K13</f>
        <v>0.95945504844265694</v>
      </c>
      <c r="M13" s="35">
        <f>'MTD Utility Sheet'!B15*301</f>
        <v>301.90299999999996</v>
      </c>
      <c r="N13" s="33">
        <v>8.6999999999999993</v>
      </c>
    </row>
    <row r="14" spans="1:15">
      <c r="A14" s="32" t="s">
        <v>93</v>
      </c>
      <c r="B14" s="33">
        <f t="shared" si="0"/>
        <v>13</v>
      </c>
      <c r="C14" s="34">
        <v>5</v>
      </c>
      <c r="D14" s="33">
        <v>2023</v>
      </c>
      <c r="E14" s="35">
        <f>'MTD Utility Sheet'!G16/0.439</f>
        <v>16114.214123006834</v>
      </c>
      <c r="F14" s="36">
        <v>0.439</v>
      </c>
      <c r="G14" s="35">
        <f>('MTD Utility Sheet'!I16/2.1)/0.5</f>
        <v>487.99999999999994</v>
      </c>
      <c r="H14" s="37">
        <f t="shared" si="1"/>
        <v>1.05</v>
      </c>
      <c r="I14" s="35">
        <f>'MTD Utility Sheet'!H16/12.38</f>
        <v>219.77382875605815</v>
      </c>
      <c r="J14" s="36">
        <v>12.38</v>
      </c>
      <c r="K14" s="38">
        <f>IF(('MTD Utility Sheet'!F16-2866)&lt;0,"0",('MTD Utility Sheet'!F16-2866)/(0.568+0.075))</f>
        <v>9821.4463452566124</v>
      </c>
      <c r="L14" s="36">
        <f>'MTD Utility Sheet'!F16/K14</f>
        <v>0.93481038100199654</v>
      </c>
      <c r="M14" s="35">
        <f>'MTD Utility Sheet'!B16*301</f>
        <v>291.96999999999997</v>
      </c>
      <c r="N14" s="33">
        <v>7.9</v>
      </c>
    </row>
    <row r="15" spans="1:15">
      <c r="A15" s="32" t="s">
        <v>93</v>
      </c>
      <c r="B15" s="33">
        <f t="shared" si="0"/>
        <v>14</v>
      </c>
      <c r="C15" s="34">
        <v>5</v>
      </c>
      <c r="D15" s="33">
        <v>2023</v>
      </c>
      <c r="E15" s="35">
        <f>'MTD Utility Sheet'!G17/0.439</f>
        <v>16114.214123006834</v>
      </c>
      <c r="F15" s="36">
        <v>0.439</v>
      </c>
      <c r="G15" s="35">
        <f>('MTD Utility Sheet'!I17/2.1)/0.5</f>
        <v>439.2</v>
      </c>
      <c r="H15" s="37">
        <f t="shared" si="1"/>
        <v>1.05</v>
      </c>
      <c r="I15" s="35">
        <f>'MTD Utility Sheet'!H17/12.38</f>
        <v>206.97899838449112</v>
      </c>
      <c r="J15" s="36">
        <v>12.38</v>
      </c>
      <c r="K15" s="38">
        <f>IF(('MTD Utility Sheet'!F17-2866)&lt;0,"0",('MTD Utility Sheet'!F17-2866)/(0.568+0.075))</f>
        <v>8473.6236391912935</v>
      </c>
      <c r="L15" s="36">
        <f>'MTD Utility Sheet'!F17/K15</f>
        <v>0.98122602018155303</v>
      </c>
      <c r="M15" s="35">
        <f>'MTD Utility Sheet'!B17*301</f>
        <v>266.38499999999999</v>
      </c>
      <c r="N15" s="33">
        <v>6.2</v>
      </c>
    </row>
    <row r="16" spans="1:15">
      <c r="A16" s="32" t="s">
        <v>93</v>
      </c>
      <c r="B16" s="33">
        <f t="shared" si="0"/>
        <v>15</v>
      </c>
      <c r="C16" s="34">
        <v>5</v>
      </c>
      <c r="D16" s="33">
        <v>2023</v>
      </c>
      <c r="E16" s="35">
        <f>'MTD Utility Sheet'!G18/0.439</f>
        <v>15137.608200455581</v>
      </c>
      <c r="F16" s="36">
        <v>0.439</v>
      </c>
      <c r="G16" s="35">
        <f>('MTD Utility Sheet'!I18/2.1)/0.5</f>
        <v>487.99999999999994</v>
      </c>
      <c r="H16" s="37">
        <f t="shared" si="1"/>
        <v>1.05</v>
      </c>
      <c r="I16" s="35">
        <f>'MTD Utility Sheet'!H18/12.38</f>
        <v>170.72697899838448</v>
      </c>
      <c r="J16" s="36">
        <v>12.38</v>
      </c>
      <c r="K16" s="38">
        <f>IF(('MTD Utility Sheet'!F18-2866)&lt;0,"0",('MTD Utility Sheet'!F18-2866)/(0.568+0.075))</f>
        <v>8703.9502332814936</v>
      </c>
      <c r="L16" s="36">
        <f>'MTD Utility Sheet'!F18/K16</f>
        <v>0.97227577975356627</v>
      </c>
      <c r="M16" s="35">
        <f>'MTD Utility Sheet'!B18*301</f>
        <v>282.94</v>
      </c>
      <c r="N16" s="33">
        <v>6.5</v>
      </c>
    </row>
    <row r="17" spans="1:14">
      <c r="A17" s="32" t="s">
        <v>93</v>
      </c>
      <c r="B17" s="33">
        <f t="shared" si="0"/>
        <v>16</v>
      </c>
      <c r="C17" s="34">
        <v>5</v>
      </c>
      <c r="D17" s="33">
        <v>2023</v>
      </c>
      <c r="E17" s="35">
        <f>'MTD Utility Sheet'!G19/0.439</f>
        <v>15137.608200455581</v>
      </c>
      <c r="F17" s="36">
        <v>0.439</v>
      </c>
      <c r="G17" s="35">
        <f>('MTD Utility Sheet'!I19/2.1)/0.5</f>
        <v>487.99999999999994</v>
      </c>
      <c r="H17" s="37">
        <f t="shared" si="1"/>
        <v>1.05</v>
      </c>
      <c r="I17" s="35">
        <f>'MTD Utility Sheet'!H19/12.38</f>
        <v>194.18416801292406</v>
      </c>
      <c r="J17" s="36">
        <v>12.38</v>
      </c>
      <c r="K17" s="38">
        <f>IF(('MTD Utility Sheet'!F19-2866)&lt;0,"0",('MTD Utility Sheet'!F19-2866)/(0.568+0.075))</f>
        <v>8735.2255054432353</v>
      </c>
      <c r="L17" s="36">
        <f>'MTD Utility Sheet'!F19/K17</f>
        <v>0.9710968531624159</v>
      </c>
      <c r="M17" s="35">
        <f>'MTD Utility Sheet'!B19*301</f>
        <v>298.89299999999997</v>
      </c>
      <c r="N17" s="33">
        <v>6.8</v>
      </c>
    </row>
    <row r="18" spans="1:14">
      <c r="A18" s="32" t="s">
        <v>93</v>
      </c>
      <c r="B18" s="33">
        <f t="shared" si="0"/>
        <v>17</v>
      </c>
      <c r="C18" s="34">
        <v>5</v>
      </c>
      <c r="D18" s="33">
        <v>2023</v>
      </c>
      <c r="E18" s="35">
        <f>'MTD Utility Sheet'!G20/0.439</f>
        <v>15137.608200455581</v>
      </c>
      <c r="F18" s="36">
        <v>0.439</v>
      </c>
      <c r="G18" s="35">
        <f>('MTD Utility Sheet'!I20/2.1)/0.5</f>
        <v>487.99999999999994</v>
      </c>
      <c r="H18" s="37">
        <f t="shared" si="1"/>
        <v>1.05</v>
      </c>
      <c r="I18" s="35">
        <f>'MTD Utility Sheet'!H20/12.38</f>
        <v>198.44911147011308</v>
      </c>
      <c r="J18" s="36">
        <v>12.38</v>
      </c>
      <c r="K18" s="38">
        <f>IF(('MTD Utility Sheet'!F20-2866)&lt;0,"0",('MTD Utility Sheet'!F20-2866)/(0.568+0.075))</f>
        <v>8757.8538102643852</v>
      </c>
      <c r="L18" s="36">
        <f>'MTD Utility Sheet'!F20/K18</f>
        <v>0.97024912542396957</v>
      </c>
      <c r="M18" s="35">
        <f>'MTD Utility Sheet'!B20*301</f>
        <v>301</v>
      </c>
      <c r="N18" s="33">
        <v>4.9000000000000004</v>
      </c>
    </row>
    <row r="19" spans="1:14">
      <c r="A19" s="32" t="s">
        <v>93</v>
      </c>
      <c r="B19" s="33">
        <f t="shared" si="0"/>
        <v>18</v>
      </c>
      <c r="C19" s="34">
        <v>5</v>
      </c>
      <c r="D19" s="33">
        <v>2023</v>
      </c>
      <c r="E19" s="35">
        <f>'MTD Utility Sheet'!G21/0.439</f>
        <v>16114.214123006834</v>
      </c>
      <c r="F19" s="36">
        <v>0.439</v>
      </c>
      <c r="G19" s="35">
        <f>('MTD Utility Sheet'!I21/2.1)/0.5</f>
        <v>487.99999999999994</v>
      </c>
      <c r="H19" s="37">
        <f t="shared" si="1"/>
        <v>1.05</v>
      </c>
      <c r="I19" s="35">
        <f>'MTD Utility Sheet'!H21/12.38</f>
        <v>198.44911147011308</v>
      </c>
      <c r="J19" s="36">
        <v>12.38</v>
      </c>
      <c r="K19" s="38">
        <f>IF(('MTD Utility Sheet'!F21-2866)&lt;0,"0",('MTD Utility Sheet'!F21-2866)/(0.568+0.075))</f>
        <v>8342.8304821150869</v>
      </c>
      <c r="L19" s="36">
        <f>'MTD Utility Sheet'!F21/K19</f>
        <v>0.98652849505260554</v>
      </c>
      <c r="M19" s="35">
        <f>'MTD Utility Sheet'!B21*301</f>
        <v>301</v>
      </c>
      <c r="N19" s="33">
        <v>2.8</v>
      </c>
    </row>
    <row r="20" spans="1:14">
      <c r="A20" s="32" t="s">
        <v>93</v>
      </c>
      <c r="B20" s="33">
        <f t="shared" si="0"/>
        <v>19</v>
      </c>
      <c r="C20" s="34">
        <v>5</v>
      </c>
      <c r="D20" s="33">
        <v>2023</v>
      </c>
      <c r="E20" s="35">
        <f>'MTD Utility Sheet'!G22/0.439</f>
        <v>15625.922551252846</v>
      </c>
      <c r="F20" s="36">
        <v>0.439</v>
      </c>
      <c r="G20" s="35">
        <f>('MTD Utility Sheet'!I22/2.1)/0.5</f>
        <v>390.4</v>
      </c>
      <c r="H20" s="37">
        <f t="shared" si="1"/>
        <v>1.05</v>
      </c>
      <c r="I20" s="35">
        <f>'MTD Utility Sheet'!H22/12.38</f>
        <v>218.7075928917609</v>
      </c>
      <c r="J20" s="36">
        <v>12.38</v>
      </c>
      <c r="K20" s="38">
        <f>IF(('MTD Utility Sheet'!F22-2866)&lt;0,"0",('MTD Utility Sheet'!F22-2866)/(0.568+0.075))</f>
        <v>8126.7185069984453</v>
      </c>
      <c r="L20" s="36">
        <f>'MTD Utility Sheet'!F22/K20</f>
        <v>0.99566387011336743</v>
      </c>
      <c r="M20" s="35">
        <f>'MTD Utility Sheet'!B22*301</f>
        <v>276.98020000000002</v>
      </c>
      <c r="N20" s="33">
        <v>3.2</v>
      </c>
    </row>
    <row r="21" spans="1:14">
      <c r="A21" s="32" t="s">
        <v>93</v>
      </c>
      <c r="B21" s="33">
        <f t="shared" si="0"/>
        <v>20</v>
      </c>
      <c r="C21" s="34">
        <v>5</v>
      </c>
      <c r="D21" s="33">
        <v>2023</v>
      </c>
      <c r="E21" s="35">
        <f>'MTD Utility Sheet'!G23/0.439</f>
        <v>16114.214123006834</v>
      </c>
      <c r="F21" s="36">
        <v>0.439</v>
      </c>
      <c r="G21" s="35">
        <f>('MTD Utility Sheet'!I23/2.1)/0.5</f>
        <v>341.59999999999997</v>
      </c>
      <c r="H21" s="37">
        <f t="shared" si="1"/>
        <v>1.05</v>
      </c>
      <c r="I21" s="35">
        <f>'MTD Utility Sheet'!H23/12.38</f>
        <v>199.51534733441034</v>
      </c>
      <c r="J21" s="36">
        <v>12.38</v>
      </c>
      <c r="K21" s="38">
        <f>IF(('MTD Utility Sheet'!F23-2866)&lt;0,"0",('MTD Utility Sheet'!F23-2866)/(0.568+0.075))</f>
        <v>8550.4043545878703</v>
      </c>
      <c r="L21" s="36">
        <f>'MTD Utility Sheet'!F23/K21</f>
        <v>0.97818882629944826</v>
      </c>
      <c r="M21" s="35">
        <f>'MTD Utility Sheet'!B23*301</f>
        <v>279.99020000000002</v>
      </c>
      <c r="N21" s="33">
        <v>5.4</v>
      </c>
    </row>
    <row r="22" spans="1:14">
      <c r="A22" s="32" t="s">
        <v>93</v>
      </c>
      <c r="B22" s="33">
        <f t="shared" si="0"/>
        <v>21</v>
      </c>
      <c r="C22" s="34">
        <v>5</v>
      </c>
      <c r="D22" s="33">
        <v>2023</v>
      </c>
      <c r="E22" s="35">
        <f>'MTD Utility Sheet'!G24/0.439</f>
        <v>16114.214123006834</v>
      </c>
      <c r="F22" s="36">
        <v>0.439</v>
      </c>
      <c r="G22" s="35">
        <f>('MTD Utility Sheet'!I24/2.1)/0.5</f>
        <v>487.99999999999994</v>
      </c>
      <c r="H22" s="37">
        <f t="shared" si="1"/>
        <v>1.05</v>
      </c>
      <c r="I22" s="35">
        <f>'MTD Utility Sheet'!H24/12.38</f>
        <v>200.58158319870756</v>
      </c>
      <c r="J22" s="36">
        <v>12.38</v>
      </c>
      <c r="K22" s="38">
        <f>IF(('MTD Utility Sheet'!F24-2866)&lt;0,"0",('MTD Utility Sheet'!F24-2866)/(0.568+0.075))</f>
        <v>8843.2814930015556</v>
      </c>
      <c r="L22" s="36">
        <f>'MTD Utility Sheet'!F24/K22</f>
        <v>0.96708784027378414</v>
      </c>
      <c r="M22" s="35">
        <f>'MTD Utility Sheet'!B24*301</f>
        <v>295.16059999999999</v>
      </c>
      <c r="N22" s="33">
        <v>5.9</v>
      </c>
    </row>
    <row r="23" spans="1:14">
      <c r="A23" s="32" t="s">
        <v>93</v>
      </c>
      <c r="B23" s="33">
        <f t="shared" si="0"/>
        <v>22</v>
      </c>
      <c r="C23" s="34">
        <v>5</v>
      </c>
      <c r="D23" s="33">
        <v>2023</v>
      </c>
      <c r="E23" s="35">
        <f>'MTD Utility Sheet'!G25/0.439</f>
        <v>15137.608200455581</v>
      </c>
      <c r="F23" s="36">
        <v>0.439</v>
      </c>
      <c r="G23" s="35">
        <f>('MTD Utility Sheet'!I25/2.1)/0.5</f>
        <v>487.99999999999994</v>
      </c>
      <c r="H23" s="37">
        <f t="shared" si="1"/>
        <v>1.05</v>
      </c>
      <c r="I23" s="35">
        <f>'MTD Utility Sheet'!H25/12.38</f>
        <v>188.85298869143779</v>
      </c>
      <c r="J23" s="36">
        <v>12.38</v>
      </c>
      <c r="K23" s="38">
        <f>IF(('MTD Utility Sheet'!F25-2866)&lt;0,"0",('MTD Utility Sheet'!F25-2866)/(0.568+0.075))</f>
        <v>8519.1290824261268</v>
      </c>
      <c r="L23" s="36">
        <f>'MTD Utility Sheet'!F25/K23</f>
        <v>0.9794193654386798</v>
      </c>
      <c r="M23" s="35">
        <f>'MTD Utility Sheet'!B25*301</f>
        <v>295.07029999999997</v>
      </c>
      <c r="N23" s="33">
        <v>3.7</v>
      </c>
    </row>
    <row r="24" spans="1:14">
      <c r="A24" s="32" t="s">
        <v>93</v>
      </c>
      <c r="B24" s="33">
        <f t="shared" si="0"/>
        <v>23</v>
      </c>
      <c r="C24" s="34">
        <v>5</v>
      </c>
      <c r="D24" s="33">
        <v>2023</v>
      </c>
      <c r="E24" s="35">
        <f>'MTD Utility Sheet'!G26/0.439</f>
        <v>15137.608200455581</v>
      </c>
      <c r="F24" s="36">
        <v>0.439</v>
      </c>
      <c r="G24" s="35">
        <f>('MTD Utility Sheet'!I26/2.1)/0.5</f>
        <v>292.8</v>
      </c>
      <c r="H24" s="37">
        <f t="shared" si="1"/>
        <v>1.05</v>
      </c>
      <c r="I24" s="35">
        <f>'MTD Utility Sheet'!H26/12.38</f>
        <v>198.44911147011308</v>
      </c>
      <c r="J24" s="36">
        <v>12.38</v>
      </c>
      <c r="K24" s="38">
        <f>IF(('MTD Utility Sheet'!F26-2866)&lt;0,"0",('MTD Utility Sheet'!F26-2866)/(0.568+0.075))</f>
        <v>9460.3265940902038</v>
      </c>
      <c r="L24" s="36">
        <f>'MTD Utility Sheet'!F26/K24</f>
        <v>0.94594937193715567</v>
      </c>
      <c r="M24" s="35">
        <f>'MTD Utility Sheet'!B26*301</f>
        <v>286.85300000000001</v>
      </c>
      <c r="N24" s="33">
        <v>3</v>
      </c>
    </row>
    <row r="25" spans="1:14">
      <c r="A25" s="32" t="s">
        <v>93</v>
      </c>
      <c r="B25" s="33">
        <f t="shared" si="0"/>
        <v>24</v>
      </c>
      <c r="C25" s="34">
        <v>5</v>
      </c>
      <c r="D25" s="33">
        <v>2023</v>
      </c>
      <c r="E25" s="35">
        <f>'MTD Utility Sheet'!G27/0.439</f>
        <v>15625.922551252846</v>
      </c>
      <c r="F25" s="36">
        <v>0.439</v>
      </c>
      <c r="G25" s="35">
        <f>('MTD Utility Sheet'!I27/2.1)/0.5</f>
        <v>439.2</v>
      </c>
      <c r="H25" s="37">
        <f t="shared" si="1"/>
        <v>1.05</v>
      </c>
      <c r="I25" s="35">
        <f>'MTD Utility Sheet'!H27/12.38</f>
        <v>178.19063004846527</v>
      </c>
      <c r="J25" s="36">
        <v>12.38</v>
      </c>
      <c r="K25" s="38">
        <f>IF(('MTD Utility Sheet'!F27-2866)&lt;0,"0",('MTD Utility Sheet'!F27-2866)/(0.568+0.075))</f>
        <v>9158.9113530326613</v>
      </c>
      <c r="L25" s="36">
        <f>'MTD Utility Sheet'!F27/K25</f>
        <v>0.95591928587681119</v>
      </c>
      <c r="M25" s="35">
        <f>'MTD Utility Sheet'!B27*301</f>
        <v>292.87299999999999</v>
      </c>
      <c r="N25" s="33">
        <v>2.6</v>
      </c>
    </row>
    <row r="26" spans="1:14">
      <c r="A26" s="32" t="s">
        <v>93</v>
      </c>
      <c r="B26" s="33">
        <f t="shared" si="0"/>
        <v>25</v>
      </c>
      <c r="C26" s="34">
        <v>5</v>
      </c>
      <c r="D26" s="33">
        <v>2023</v>
      </c>
      <c r="E26" s="35">
        <f>'MTD Utility Sheet'!G28/0.439</f>
        <v>15625.922551252846</v>
      </c>
      <c r="F26" s="36">
        <v>0.439</v>
      </c>
      <c r="G26" s="35">
        <f>('MTD Utility Sheet'!I28/2.1)/0.5</f>
        <v>439.2</v>
      </c>
      <c r="H26" s="37">
        <f t="shared" si="1"/>
        <v>1.05</v>
      </c>
      <c r="I26" s="35">
        <f>'MTD Utility Sheet'!H28/12.38</f>
        <v>206.97899838449112</v>
      </c>
      <c r="J26" s="36">
        <v>12.38</v>
      </c>
      <c r="K26" s="38">
        <f>IF(('MTD Utility Sheet'!F28-2866)&lt;0,"0",('MTD Utility Sheet'!F28-2866)/(0.568+0.075))</f>
        <v>9093.5147744945571</v>
      </c>
      <c r="L26" s="36">
        <f>'MTD Utility Sheet'!F28/K26</f>
        <v>0.95816966443366225</v>
      </c>
      <c r="M26" s="35">
        <f>'MTD Utility Sheet'!B28*301</f>
        <v>301.90299999999996</v>
      </c>
      <c r="N26" s="33">
        <v>2.9</v>
      </c>
    </row>
    <row r="27" spans="1:14">
      <c r="A27" s="32" t="s">
        <v>93</v>
      </c>
      <c r="B27" s="33">
        <f t="shared" si="0"/>
        <v>26</v>
      </c>
      <c r="C27" s="34">
        <v>5</v>
      </c>
      <c r="D27" s="33">
        <v>2023</v>
      </c>
      <c r="E27" s="35">
        <f>'MTD Utility Sheet'!G29/0.439</f>
        <v>16114.214123006834</v>
      </c>
      <c r="F27" s="36">
        <v>0.439</v>
      </c>
      <c r="G27" s="35">
        <f>('MTD Utility Sheet'!I29/2.1)/0.5</f>
        <v>390.4</v>
      </c>
      <c r="H27" s="37">
        <f t="shared" si="1"/>
        <v>1.05</v>
      </c>
      <c r="I27" s="35">
        <f>'MTD Utility Sheet'!H29/12.38</f>
        <v>199.51534733441034</v>
      </c>
      <c r="J27" s="36">
        <v>12.38</v>
      </c>
      <c r="K27" s="38">
        <f>IF(('MTD Utility Sheet'!F29-2866)&lt;0,"0",('MTD Utility Sheet'!F29-2866)/(0.568+0.075))</f>
        <v>9266.9673405909816</v>
      </c>
      <c r="L27" s="36">
        <f>'MTD Utility Sheet'!F29/K27</f>
        <v>0.95227054069203454</v>
      </c>
      <c r="M27" s="35">
        <f>'MTD Utility Sheet'!B29*301</f>
        <v>301.90299999999996</v>
      </c>
      <c r="N27" s="33">
        <v>5.5</v>
      </c>
    </row>
    <row r="28" spans="1:14">
      <c r="A28" s="32" t="s">
        <v>93</v>
      </c>
      <c r="B28" s="33">
        <f t="shared" si="0"/>
        <v>27</v>
      </c>
      <c r="C28" s="34">
        <v>5</v>
      </c>
      <c r="D28" s="33">
        <v>2023</v>
      </c>
      <c r="E28" s="35">
        <f>'MTD Utility Sheet'!G30/0.439</f>
        <v>15625.922551252846</v>
      </c>
      <c r="F28" s="36">
        <v>0.439</v>
      </c>
      <c r="G28" s="35">
        <f>('MTD Utility Sheet'!I30/2.1)/0.5</f>
        <v>439.2</v>
      </c>
      <c r="H28" s="37">
        <f t="shared" si="1"/>
        <v>1.05</v>
      </c>
      <c r="I28" s="35">
        <f>'MTD Utility Sheet'!H30/12.38</f>
        <v>211.24394184168011</v>
      </c>
      <c r="J28" s="36">
        <v>12.38</v>
      </c>
      <c r="K28" s="38">
        <f>IF(('MTD Utility Sheet'!F30-2866)&lt;0,"0",('MTD Utility Sheet'!F30-2866)/(0.568+0.075))</f>
        <v>10299.160186625197</v>
      </c>
      <c r="L28" s="36">
        <f>'MTD Utility Sheet'!F30/K28</f>
        <v>0.92127511642375215</v>
      </c>
      <c r="M28" s="35">
        <f>'MTD Utility Sheet'!B30*301</f>
        <v>301</v>
      </c>
      <c r="N28" s="33">
        <v>7.8</v>
      </c>
    </row>
    <row r="29" spans="1:14">
      <c r="A29" s="32" t="s">
        <v>93</v>
      </c>
      <c r="B29" s="33">
        <f t="shared" si="0"/>
        <v>28</v>
      </c>
      <c r="C29" s="34">
        <v>5</v>
      </c>
      <c r="D29" s="33">
        <v>2023</v>
      </c>
      <c r="E29" s="35">
        <f>'MTD Utility Sheet'!G31/0.439</f>
        <v>16114.214123006834</v>
      </c>
      <c r="F29" s="36">
        <v>0.439</v>
      </c>
      <c r="G29" s="35">
        <f>('MTD Utility Sheet'!I31/2.1)/0.5</f>
        <v>487.99999999999994</v>
      </c>
      <c r="H29" s="37">
        <f t="shared" si="1"/>
        <v>1.05</v>
      </c>
      <c r="I29" s="35">
        <f>'MTD Utility Sheet'!H31/12.38</f>
        <v>224.03877221324714</v>
      </c>
      <c r="J29" s="36">
        <v>12.38</v>
      </c>
      <c r="K29" s="38">
        <f>IF(('MTD Utility Sheet'!F31-2866)&lt;0,"0",('MTD Utility Sheet'!F31-2866)/(0.568+0.075))</f>
        <v>10336.127527216175</v>
      </c>
      <c r="L29" s="36">
        <f>'MTD Utility Sheet'!F31/K29</f>
        <v>0.92027986061061084</v>
      </c>
      <c r="M29" s="35">
        <f>'MTD Utility Sheet'!B31*301</f>
        <v>288.95999999999998</v>
      </c>
      <c r="N29" s="33">
        <v>5.6</v>
      </c>
    </row>
    <row r="30" spans="1:14">
      <c r="A30" s="32" t="s">
        <v>93</v>
      </c>
      <c r="B30" s="33">
        <f t="shared" si="0"/>
        <v>29</v>
      </c>
      <c r="C30" s="34">
        <v>5</v>
      </c>
      <c r="D30" s="33">
        <v>2023</v>
      </c>
      <c r="E30" s="35">
        <f>'MTD Utility Sheet'!G32/0.439</f>
        <v>16114.214123006834</v>
      </c>
      <c r="F30" s="36">
        <v>0.439</v>
      </c>
      <c r="G30" s="35">
        <f>('MTD Utility Sheet'!I32/2.1)/0.5</f>
        <v>439.2</v>
      </c>
      <c r="H30" s="37">
        <f t="shared" si="1"/>
        <v>1.05</v>
      </c>
      <c r="I30" s="35">
        <f>'MTD Utility Sheet'!H32/12.38</f>
        <v>203.78029079159936</v>
      </c>
      <c r="J30" s="36">
        <v>12.38</v>
      </c>
      <c r="K30" s="38">
        <f>IF(('MTD Utility Sheet'!F32-2866)&lt;0,"0",('MTD Utility Sheet'!F32-2866)/(0.568+0.075))</f>
        <v>10614.790046656299</v>
      </c>
      <c r="L30" s="36">
        <f>'MTD Utility Sheet'!F32/K30</f>
        <v>0.91300063000801424</v>
      </c>
      <c r="M30" s="35">
        <f>'MTD Utility Sheet'!B32*301</f>
        <v>294.077</v>
      </c>
      <c r="N30" s="33">
        <v>4.4000000000000004</v>
      </c>
    </row>
    <row r="31" spans="1:14">
      <c r="A31" s="32" t="s">
        <v>93</v>
      </c>
      <c r="B31" s="33">
        <f t="shared" si="0"/>
        <v>30</v>
      </c>
      <c r="C31" s="34">
        <v>5</v>
      </c>
      <c r="D31" s="33">
        <v>2023</v>
      </c>
      <c r="E31" s="35">
        <f>'MTD Utility Sheet'!G33/0.439</f>
        <v>16602.528473804101</v>
      </c>
      <c r="F31" s="36">
        <v>0.439</v>
      </c>
      <c r="G31" s="35">
        <f>('MTD Utility Sheet'!I33/2.1)/0.5</f>
        <v>390.4</v>
      </c>
      <c r="H31" s="37">
        <f t="shared" si="1"/>
        <v>1.05</v>
      </c>
      <c r="I31" s="35">
        <f>'MTD Utility Sheet'!H33/12.38</f>
        <v>215.50888529886913</v>
      </c>
      <c r="J31" s="36">
        <v>12.38</v>
      </c>
      <c r="K31" s="38">
        <f>IF(('MTD Utility Sheet'!F33-2866)&lt;0,"0",('MTD Utility Sheet'!F33-2866)/(0.568+0.075))</f>
        <v>11120.933125972007</v>
      </c>
      <c r="L31" s="36">
        <f>'MTD Utility Sheet'!F33/K31</f>
        <v>0.90071218723604196</v>
      </c>
      <c r="M31" s="35">
        <f>'MTD Utility Sheet'!B33*301</f>
        <v>279.93</v>
      </c>
      <c r="N31" s="33">
        <v>3.2</v>
      </c>
    </row>
    <row r="32" spans="1:14">
      <c r="A32" s="32" t="s">
        <v>93</v>
      </c>
      <c r="B32" s="33">
        <f t="shared" si="0"/>
        <v>31</v>
      </c>
      <c r="C32" s="34">
        <v>5</v>
      </c>
      <c r="D32" s="33">
        <v>2023</v>
      </c>
      <c r="E32" s="35">
        <f>'MTD Utility Sheet'!G34/0.439</f>
        <v>16114.214123006834</v>
      </c>
      <c r="F32" s="36">
        <v>0.439</v>
      </c>
      <c r="G32" s="35">
        <f>('MTD Utility Sheet'!I34/2.1)/0.5</f>
        <v>292.8</v>
      </c>
      <c r="H32" s="37">
        <f t="shared" si="1"/>
        <v>1.05</v>
      </c>
      <c r="I32" s="35">
        <f>'MTD Utility Sheet'!H34/12.38</f>
        <v>212.31017770597737</v>
      </c>
      <c r="J32" s="36">
        <v>12.38</v>
      </c>
      <c r="K32" s="38">
        <f>IF(('MTD Utility Sheet'!F34-2866)&lt;0,"0",('MTD Utility Sheet'!F34-2866)/(0.568+0.075))</f>
        <v>11143.670295489892</v>
      </c>
      <c r="L32" s="36">
        <f>'MTD Utility Sheet'!F34/K32</f>
        <v>0.90018635996974328</v>
      </c>
      <c r="M32" s="35">
        <f>'MTD Utility Sheet'!B34*301</f>
        <v>291.96999999999997</v>
      </c>
      <c r="N32" s="33">
        <v>3.5</v>
      </c>
    </row>
    <row r="36" spans="8:8">
      <c r="H36" s="3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zoomScaleNormal="100" zoomScaleSheetLayoutView="100" workbookViewId="0">
      <pane ySplit="3" topLeftCell="A4" activePane="bottomLeft" state="frozen"/>
      <selection activeCell="A5" sqref="A5:H5"/>
      <selection pane="bottomLeft" activeCell="G4" sqref="G4"/>
    </sheetView>
  </sheetViews>
  <sheetFormatPr defaultRowHeight="14.4"/>
  <cols>
    <col min="1" max="1" width="4.15625" style="1" customWidth="1"/>
    <col min="2" max="9" width="10.68359375" style="2" customWidth="1"/>
    <col min="10" max="10" width="8.578125" style="2" customWidth="1"/>
  </cols>
  <sheetData>
    <row r="1" spans="1:10">
      <c r="A1" s="53" t="s">
        <v>97</v>
      </c>
      <c r="B1" s="53"/>
      <c r="C1" s="53"/>
      <c r="D1" s="53"/>
      <c r="E1" s="53"/>
      <c r="F1" s="53"/>
      <c r="G1" s="53"/>
      <c r="H1" s="53"/>
      <c r="I1" s="53"/>
      <c r="J1" s="53"/>
    </row>
    <row r="2" spans="1:10">
      <c r="A2" s="53"/>
      <c r="B2" s="53"/>
      <c r="C2" s="53"/>
      <c r="D2" s="53"/>
      <c r="E2" s="53"/>
      <c r="F2" s="53"/>
      <c r="G2" s="53"/>
      <c r="H2" s="53"/>
      <c r="I2" s="53"/>
      <c r="J2" s="53"/>
    </row>
    <row r="3" spans="1:10" s="4" customFormat="1" ht="30.75" customHeight="1">
      <c r="A3" s="18"/>
      <c r="B3" s="40" t="s">
        <v>10</v>
      </c>
      <c r="C3" s="13" t="s">
        <v>49</v>
      </c>
      <c r="D3" s="40" t="s">
        <v>11</v>
      </c>
      <c r="E3" s="13" t="s">
        <v>46</v>
      </c>
      <c r="F3" s="41" t="s">
        <v>7</v>
      </c>
      <c r="G3" s="18" t="s">
        <v>5</v>
      </c>
      <c r="H3" s="18" t="s">
        <v>6</v>
      </c>
      <c r="I3" s="18" t="s">
        <v>8</v>
      </c>
      <c r="J3" s="18" t="s">
        <v>9</v>
      </c>
    </row>
    <row r="4" spans="1:10" s="4" customFormat="1" ht="21" customHeight="1">
      <c r="A4" s="11">
        <v>1</v>
      </c>
      <c r="B4" s="42">
        <v>1</v>
      </c>
      <c r="C4" s="43" t="s">
        <v>98</v>
      </c>
      <c r="D4" s="42">
        <v>0.47120000000000001</v>
      </c>
      <c r="E4" s="44">
        <v>1306</v>
      </c>
      <c r="F4" s="45">
        <v>6645.41</v>
      </c>
      <c r="G4" s="45">
        <v>7232.15</v>
      </c>
      <c r="H4" s="45">
        <v>2668</v>
      </c>
      <c r="I4" s="45">
        <v>614.88</v>
      </c>
      <c r="J4" s="45">
        <f t="shared" ref="J4:J9" si="0">SUM(F4:I4)</f>
        <v>17160.439999999999</v>
      </c>
    </row>
    <row r="5" spans="1:10" s="4" customFormat="1" ht="21" customHeight="1">
      <c r="A5" s="11">
        <v>2</v>
      </c>
      <c r="B5" s="42">
        <v>0.99070000000000003</v>
      </c>
      <c r="C5" s="43" t="s">
        <v>99</v>
      </c>
      <c r="D5" s="42">
        <v>0.66090000000000004</v>
      </c>
      <c r="E5" s="44">
        <v>1328</v>
      </c>
      <c r="F5" s="45">
        <v>8016.52</v>
      </c>
      <c r="G5" s="45">
        <v>6645.41</v>
      </c>
      <c r="H5" s="45">
        <v>2562.4</v>
      </c>
      <c r="I5" s="45">
        <v>358.64</v>
      </c>
      <c r="J5" s="45">
        <f t="shared" si="0"/>
        <v>17582.97</v>
      </c>
    </row>
    <row r="6" spans="1:10" s="4" customFormat="1" ht="21" customHeight="1">
      <c r="A6" s="11">
        <v>3</v>
      </c>
      <c r="B6" s="42">
        <v>0.96030000000000004</v>
      </c>
      <c r="C6" s="43" t="s">
        <v>100</v>
      </c>
      <c r="D6" s="42">
        <v>0.58479999999999999</v>
      </c>
      <c r="E6" s="44">
        <v>1251</v>
      </c>
      <c r="F6" s="45">
        <v>7597.82</v>
      </c>
      <c r="G6" s="45">
        <v>6431.04</v>
      </c>
      <c r="H6" s="46">
        <v>2694.4</v>
      </c>
      <c r="I6" s="45">
        <v>512.4</v>
      </c>
      <c r="J6" s="45">
        <f t="shared" si="0"/>
        <v>17235.660000000003</v>
      </c>
    </row>
    <row r="7" spans="1:10" s="4" customFormat="1" ht="21" customHeight="1">
      <c r="A7" s="11">
        <v>4</v>
      </c>
      <c r="B7" s="42">
        <v>0.99029999999999996</v>
      </c>
      <c r="C7" s="43" t="s">
        <v>101</v>
      </c>
      <c r="D7" s="42">
        <v>0.76070000000000004</v>
      </c>
      <c r="E7" s="44">
        <v>1374</v>
      </c>
      <c r="F7" s="45">
        <v>7833.68</v>
      </c>
      <c r="G7" s="45">
        <v>7074.14</v>
      </c>
      <c r="H7" s="46">
        <v>2602</v>
      </c>
      <c r="I7" s="45">
        <v>512.4</v>
      </c>
      <c r="J7" s="45">
        <f t="shared" si="0"/>
        <v>18022.22</v>
      </c>
    </row>
    <row r="8" spans="1:10" s="4" customFormat="1" ht="21" customHeight="1">
      <c r="A8" s="11">
        <v>5</v>
      </c>
      <c r="B8" s="42">
        <v>1.0029999999999999</v>
      </c>
      <c r="C8" s="43" t="s">
        <v>102</v>
      </c>
      <c r="D8" s="42">
        <v>0.68469999999999998</v>
      </c>
      <c r="E8" s="44">
        <v>1390</v>
      </c>
      <c r="F8" s="45">
        <v>7850.14</v>
      </c>
      <c r="G8" s="45">
        <v>6859.78</v>
      </c>
      <c r="H8" s="46">
        <v>2562.4</v>
      </c>
      <c r="I8" s="45">
        <v>512.4</v>
      </c>
      <c r="J8" s="45">
        <f t="shared" si="0"/>
        <v>17784.72</v>
      </c>
    </row>
    <row r="9" spans="1:10" s="4" customFormat="1" ht="21" customHeight="1">
      <c r="A9" s="11">
        <v>6</v>
      </c>
      <c r="B9" s="42">
        <v>0.94</v>
      </c>
      <c r="C9" s="43" t="s">
        <v>103</v>
      </c>
      <c r="D9" s="42">
        <v>0.75260000000000005</v>
      </c>
      <c r="E9" s="44">
        <v>1393</v>
      </c>
      <c r="F9" s="45">
        <v>8049.43</v>
      </c>
      <c r="G9" s="45">
        <v>6645.41</v>
      </c>
      <c r="H9" s="46">
        <v>2654.8</v>
      </c>
      <c r="I9" s="45">
        <v>512.4</v>
      </c>
      <c r="J9" s="45">
        <f t="shared" si="0"/>
        <v>17862.04</v>
      </c>
    </row>
    <row r="10" spans="1:10" s="4" customFormat="1" ht="21" customHeight="1">
      <c r="A10" s="11">
        <v>7</v>
      </c>
      <c r="B10" s="42">
        <v>0.89700000000000002</v>
      </c>
      <c r="C10" s="43" t="s">
        <v>104</v>
      </c>
      <c r="D10" s="42">
        <v>0.72799999999999998</v>
      </c>
      <c r="E10" s="44">
        <v>1269</v>
      </c>
      <c r="F10" s="45">
        <v>8287.1200000000008</v>
      </c>
      <c r="G10" s="45">
        <v>6645.41</v>
      </c>
      <c r="H10" s="46">
        <v>2404</v>
      </c>
      <c r="I10" s="45">
        <v>409.92</v>
      </c>
      <c r="J10" s="45">
        <f t="shared" ref="J10:J34" si="1">SUM(F10:I10)</f>
        <v>17746.449999999997</v>
      </c>
    </row>
    <row r="11" spans="1:10" s="4" customFormat="1" ht="21" customHeight="1">
      <c r="A11" s="11">
        <v>8</v>
      </c>
      <c r="B11" s="42">
        <v>1</v>
      </c>
      <c r="C11" s="43" t="s">
        <v>105</v>
      </c>
      <c r="D11" s="42">
        <v>0.69599999999999995</v>
      </c>
      <c r="E11" s="44">
        <v>1212</v>
      </c>
      <c r="F11" s="45">
        <v>7674.61</v>
      </c>
      <c r="G11" s="45">
        <v>6645.41</v>
      </c>
      <c r="H11" s="46">
        <v>2681.2</v>
      </c>
      <c r="I11" s="45">
        <v>512.4</v>
      </c>
      <c r="J11" s="45">
        <f t="shared" si="1"/>
        <v>17513.620000000003</v>
      </c>
    </row>
    <row r="12" spans="1:10" s="4" customFormat="1" ht="21" customHeight="1">
      <c r="A12" s="11">
        <v>9</v>
      </c>
      <c r="B12" s="42">
        <v>0.98299999999999998</v>
      </c>
      <c r="C12" s="43" t="s">
        <v>106</v>
      </c>
      <c r="D12" s="42">
        <v>0.50819999999999999</v>
      </c>
      <c r="E12" s="44">
        <v>1360</v>
      </c>
      <c r="F12" s="45">
        <v>7142.56</v>
      </c>
      <c r="G12" s="45">
        <v>6431.04</v>
      </c>
      <c r="H12" s="46">
        <v>2602</v>
      </c>
      <c r="I12" s="45">
        <v>512.4</v>
      </c>
      <c r="J12" s="45">
        <f t="shared" si="1"/>
        <v>16688</v>
      </c>
    </row>
    <row r="13" spans="1:10" s="4" customFormat="1" ht="21" customHeight="1">
      <c r="A13" s="11">
        <v>10</v>
      </c>
      <c r="B13" s="42">
        <v>0.94299999999999995</v>
      </c>
      <c r="C13" s="43" t="s">
        <v>107</v>
      </c>
      <c r="D13" s="42">
        <v>0.48680000000000001</v>
      </c>
      <c r="E13" s="44">
        <v>1369</v>
      </c>
      <c r="F13" s="45">
        <v>7592.34</v>
      </c>
      <c r="G13" s="45">
        <v>6859.78</v>
      </c>
      <c r="H13" s="46">
        <v>2549.1999999999998</v>
      </c>
      <c r="I13" s="45">
        <v>461.16</v>
      </c>
      <c r="J13" s="45">
        <f t="shared" si="1"/>
        <v>17462.48</v>
      </c>
    </row>
    <row r="14" spans="1:10" s="4" customFormat="1" ht="21" customHeight="1">
      <c r="A14" s="11">
        <v>11</v>
      </c>
      <c r="B14" s="42">
        <v>1</v>
      </c>
      <c r="C14" s="43" t="s">
        <v>108</v>
      </c>
      <c r="D14" s="42">
        <v>0.76</v>
      </c>
      <c r="E14" s="44">
        <v>1344</v>
      </c>
      <c r="F14" s="45">
        <v>7700.21</v>
      </c>
      <c r="G14" s="45">
        <v>6431.04</v>
      </c>
      <c r="H14" s="46">
        <v>2509.6</v>
      </c>
      <c r="I14" s="45">
        <v>512.4</v>
      </c>
      <c r="J14" s="45">
        <f t="shared" si="1"/>
        <v>17153.25</v>
      </c>
    </row>
    <row r="15" spans="1:10" s="4" customFormat="1" ht="21" customHeight="1">
      <c r="A15" s="11">
        <v>12</v>
      </c>
      <c r="B15" s="42">
        <v>1.0029999999999999</v>
      </c>
      <c r="C15" s="43" t="s">
        <v>109</v>
      </c>
      <c r="D15" s="42">
        <v>0.76</v>
      </c>
      <c r="E15" s="44">
        <v>1594</v>
      </c>
      <c r="F15" s="45">
        <v>8689.3799999999992</v>
      </c>
      <c r="G15" s="45">
        <v>7288.51</v>
      </c>
      <c r="H15" s="46">
        <v>2602</v>
      </c>
      <c r="I15" s="45">
        <v>512.4</v>
      </c>
      <c r="J15" s="45">
        <f t="shared" si="1"/>
        <v>19092.29</v>
      </c>
    </row>
    <row r="16" spans="1:10" s="4" customFormat="1" ht="21" customHeight="1">
      <c r="A16" s="11">
        <v>13</v>
      </c>
      <c r="B16" s="42">
        <v>0.97</v>
      </c>
      <c r="C16" s="43" t="s">
        <v>108</v>
      </c>
      <c r="D16" s="42">
        <v>0.63</v>
      </c>
      <c r="E16" s="44">
        <v>1582</v>
      </c>
      <c r="F16" s="45">
        <v>9181.19</v>
      </c>
      <c r="G16" s="45">
        <v>7074.14</v>
      </c>
      <c r="H16" s="46">
        <v>2720.8</v>
      </c>
      <c r="I16" s="45">
        <v>512.4</v>
      </c>
      <c r="J16" s="45">
        <f t="shared" si="1"/>
        <v>19488.530000000002</v>
      </c>
    </row>
    <row r="17" spans="1:10" s="4" customFormat="1" ht="21" customHeight="1">
      <c r="A17" s="11">
        <v>14</v>
      </c>
      <c r="B17" s="42">
        <v>0.88500000000000001</v>
      </c>
      <c r="C17" s="43" t="s">
        <v>110</v>
      </c>
      <c r="D17" s="42">
        <v>0.76</v>
      </c>
      <c r="E17" s="44">
        <v>1224</v>
      </c>
      <c r="F17" s="45">
        <v>8314.5400000000009</v>
      </c>
      <c r="G17" s="45">
        <v>7074.14</v>
      </c>
      <c r="H17" s="46">
        <v>2562.4</v>
      </c>
      <c r="I17" s="45">
        <v>461.16</v>
      </c>
      <c r="J17" s="45">
        <f t="shared" si="1"/>
        <v>18412.240000000002</v>
      </c>
    </row>
    <row r="18" spans="1:10" s="4" customFormat="1" ht="21" customHeight="1">
      <c r="A18" s="11">
        <v>15</v>
      </c>
      <c r="B18" s="42">
        <v>0.94</v>
      </c>
      <c r="C18" s="43" t="s">
        <v>111</v>
      </c>
      <c r="D18" s="42">
        <v>0.7</v>
      </c>
      <c r="E18" s="44">
        <v>1016</v>
      </c>
      <c r="F18" s="45">
        <v>8462.64</v>
      </c>
      <c r="G18" s="45">
        <v>6645.41</v>
      </c>
      <c r="H18" s="46">
        <v>2113.6</v>
      </c>
      <c r="I18" s="45">
        <v>512.4</v>
      </c>
      <c r="J18" s="45">
        <f t="shared" si="1"/>
        <v>17734.05</v>
      </c>
    </row>
    <row r="19" spans="1:10" s="4" customFormat="1" ht="21" customHeight="1">
      <c r="A19" s="11">
        <v>16</v>
      </c>
      <c r="B19" s="42">
        <v>0.99299999999999999</v>
      </c>
      <c r="C19" s="43" t="s">
        <v>110</v>
      </c>
      <c r="D19" s="42">
        <v>0.73</v>
      </c>
      <c r="E19" s="44">
        <v>1166</v>
      </c>
      <c r="F19" s="45">
        <v>8482.75</v>
      </c>
      <c r="G19" s="45">
        <v>6645.41</v>
      </c>
      <c r="H19" s="46">
        <v>2404</v>
      </c>
      <c r="I19" s="45">
        <v>512.4</v>
      </c>
      <c r="J19" s="45">
        <f t="shared" si="1"/>
        <v>18044.560000000001</v>
      </c>
    </row>
    <row r="20" spans="1:10" s="4" customFormat="1" ht="21" customHeight="1">
      <c r="A20" s="11">
        <v>17</v>
      </c>
      <c r="B20" s="42">
        <v>1</v>
      </c>
      <c r="C20" s="43" t="s">
        <v>112</v>
      </c>
      <c r="D20" s="42">
        <v>0.68049999999999999</v>
      </c>
      <c r="E20" s="44">
        <v>1202</v>
      </c>
      <c r="F20" s="45">
        <v>8497.2999999999993</v>
      </c>
      <c r="G20" s="45">
        <v>6645.41</v>
      </c>
      <c r="H20" s="46">
        <v>2456.8000000000002</v>
      </c>
      <c r="I20" s="45">
        <v>512.4</v>
      </c>
      <c r="J20" s="45">
        <f t="shared" si="1"/>
        <v>18111.91</v>
      </c>
    </row>
    <row r="21" spans="1:10" s="4" customFormat="1" ht="21" customHeight="1">
      <c r="A21" s="11">
        <v>18</v>
      </c>
      <c r="B21" s="42">
        <v>1</v>
      </c>
      <c r="C21" s="43">
        <v>34.049999999999997</v>
      </c>
      <c r="D21" s="42">
        <v>0.48220000000000002</v>
      </c>
      <c r="E21" s="44">
        <v>1332</v>
      </c>
      <c r="F21" s="45">
        <v>8230.44</v>
      </c>
      <c r="G21" s="45">
        <v>7074.14</v>
      </c>
      <c r="H21" s="46">
        <v>2456.8000000000002</v>
      </c>
      <c r="I21" s="45">
        <v>512.4</v>
      </c>
      <c r="J21" s="45">
        <f t="shared" si="1"/>
        <v>18273.780000000002</v>
      </c>
    </row>
    <row r="22" spans="1:10" s="4" customFormat="1" ht="21" customHeight="1">
      <c r="A22" s="11">
        <v>19</v>
      </c>
      <c r="B22" s="42">
        <v>0.92020000000000002</v>
      </c>
      <c r="C22" s="43" t="s">
        <v>113</v>
      </c>
      <c r="D22" s="42">
        <v>0.53100000000000003</v>
      </c>
      <c r="E22" s="44">
        <v>1400</v>
      </c>
      <c r="F22" s="45">
        <v>8091.48</v>
      </c>
      <c r="G22" s="45">
        <v>6859.78</v>
      </c>
      <c r="H22" s="46">
        <v>2707.6</v>
      </c>
      <c r="I22" s="45">
        <v>409.92</v>
      </c>
      <c r="J22" s="45">
        <f t="shared" si="1"/>
        <v>18068.779999999995</v>
      </c>
    </row>
    <row r="23" spans="1:10" s="4" customFormat="1" ht="21" customHeight="1">
      <c r="A23" s="11">
        <v>20</v>
      </c>
      <c r="B23" s="42">
        <v>0.93020000000000003</v>
      </c>
      <c r="C23" s="43" t="s">
        <v>114</v>
      </c>
      <c r="D23" s="42">
        <v>0.42399999999999999</v>
      </c>
      <c r="E23" s="44">
        <v>1340</v>
      </c>
      <c r="F23" s="45">
        <v>8363.91</v>
      </c>
      <c r="G23" s="45">
        <v>7074.14</v>
      </c>
      <c r="H23" s="46">
        <v>2470</v>
      </c>
      <c r="I23" s="45">
        <v>358.68</v>
      </c>
      <c r="J23" s="45">
        <f t="shared" si="1"/>
        <v>18266.73</v>
      </c>
    </row>
    <row r="24" spans="1:10" s="4" customFormat="1" ht="21" customHeight="1">
      <c r="A24" s="11">
        <v>21</v>
      </c>
      <c r="B24" s="42">
        <v>0.98060000000000003</v>
      </c>
      <c r="C24" s="43" t="s">
        <v>115</v>
      </c>
      <c r="D24" s="42">
        <v>0.40820000000000001</v>
      </c>
      <c r="E24" s="44">
        <v>1109</v>
      </c>
      <c r="F24" s="45">
        <v>8552.23</v>
      </c>
      <c r="G24" s="45">
        <v>7074.14</v>
      </c>
      <c r="H24" s="46">
        <v>2483.1999999999998</v>
      </c>
      <c r="I24" s="45">
        <v>512.4</v>
      </c>
      <c r="J24" s="45">
        <f t="shared" si="1"/>
        <v>18621.97</v>
      </c>
    </row>
    <row r="25" spans="1:10" s="4" customFormat="1" ht="21" customHeight="1">
      <c r="A25" s="11">
        <v>22</v>
      </c>
      <c r="B25" s="42">
        <v>0.98029999999999995</v>
      </c>
      <c r="C25" s="43" t="s">
        <v>116</v>
      </c>
      <c r="D25" s="42">
        <v>0.45229999999999998</v>
      </c>
      <c r="E25" s="44">
        <v>1118</v>
      </c>
      <c r="F25" s="45">
        <v>8343.7999999999993</v>
      </c>
      <c r="G25" s="45">
        <v>6645.41</v>
      </c>
      <c r="H25" s="46">
        <v>2338</v>
      </c>
      <c r="I25" s="45">
        <v>512.4</v>
      </c>
      <c r="J25" s="45">
        <f t="shared" si="1"/>
        <v>17839.61</v>
      </c>
    </row>
    <row r="26" spans="1:10" s="4" customFormat="1" ht="21" customHeight="1">
      <c r="A26" s="11">
        <v>23</v>
      </c>
      <c r="B26" s="42">
        <v>0.95299999999999996</v>
      </c>
      <c r="C26" s="43" t="s">
        <v>117</v>
      </c>
      <c r="D26" s="42">
        <v>0.63100000000000001</v>
      </c>
      <c r="E26" s="44">
        <v>1093</v>
      </c>
      <c r="F26" s="45">
        <v>8948.99</v>
      </c>
      <c r="G26" s="45">
        <v>6645.41</v>
      </c>
      <c r="H26" s="45">
        <v>2456.8000000000002</v>
      </c>
      <c r="I26" s="45">
        <v>307.44</v>
      </c>
      <c r="J26" s="45">
        <f t="shared" si="1"/>
        <v>18358.64</v>
      </c>
    </row>
    <row r="27" spans="1:10" s="4" customFormat="1" ht="21" customHeight="1">
      <c r="A27" s="11">
        <v>24</v>
      </c>
      <c r="B27" s="42">
        <v>0.97299999999999998</v>
      </c>
      <c r="C27" s="43" t="s">
        <v>118</v>
      </c>
      <c r="D27" s="42">
        <v>0.68400000000000005</v>
      </c>
      <c r="E27" s="44">
        <v>1031</v>
      </c>
      <c r="F27" s="45">
        <v>8755.18</v>
      </c>
      <c r="G27" s="45">
        <v>6859.78</v>
      </c>
      <c r="H27" s="45">
        <v>2206</v>
      </c>
      <c r="I27" s="45">
        <v>461.16</v>
      </c>
      <c r="J27" s="45">
        <f t="shared" si="1"/>
        <v>18282.12</v>
      </c>
    </row>
    <row r="28" spans="1:10" s="4" customFormat="1" ht="21" customHeight="1">
      <c r="A28" s="11">
        <v>25</v>
      </c>
      <c r="B28" s="42">
        <v>1.0029999999999999</v>
      </c>
      <c r="C28" s="43" t="s">
        <v>119</v>
      </c>
      <c r="D28" s="42">
        <v>0.55679999999999996</v>
      </c>
      <c r="E28" s="44">
        <v>1097</v>
      </c>
      <c r="F28" s="45">
        <v>8713.1299999999992</v>
      </c>
      <c r="G28" s="45">
        <v>6859.78</v>
      </c>
      <c r="H28" s="45">
        <v>2562.4</v>
      </c>
      <c r="I28" s="45">
        <v>461.16</v>
      </c>
      <c r="J28" s="45">
        <f t="shared" si="1"/>
        <v>18596.47</v>
      </c>
    </row>
    <row r="29" spans="1:10" s="4" customFormat="1" ht="21" customHeight="1">
      <c r="A29" s="11">
        <v>26</v>
      </c>
      <c r="B29" s="42">
        <v>1.0029999999999999</v>
      </c>
      <c r="C29" s="43" t="s">
        <v>120</v>
      </c>
      <c r="D29" s="42">
        <v>0.67279999999999995</v>
      </c>
      <c r="E29" s="44">
        <v>1276</v>
      </c>
      <c r="F29" s="45">
        <v>8824.66</v>
      </c>
      <c r="G29" s="45">
        <v>7074.14</v>
      </c>
      <c r="H29" s="45">
        <v>2470</v>
      </c>
      <c r="I29" s="45">
        <v>409.92</v>
      </c>
      <c r="J29" s="45">
        <f t="shared" si="1"/>
        <v>18778.719999999998</v>
      </c>
    </row>
    <row r="30" spans="1:10" s="4" customFormat="1" ht="21" customHeight="1">
      <c r="A30" s="11">
        <v>27</v>
      </c>
      <c r="B30" s="42">
        <v>1</v>
      </c>
      <c r="C30" s="43" t="s">
        <v>121</v>
      </c>
      <c r="D30" s="42">
        <v>0.67</v>
      </c>
      <c r="E30" s="44">
        <v>1296</v>
      </c>
      <c r="F30" s="45">
        <v>9488.36</v>
      </c>
      <c r="G30" s="45">
        <v>6859.78</v>
      </c>
      <c r="H30" s="45">
        <v>2615.1999999999998</v>
      </c>
      <c r="I30" s="45">
        <v>461.16</v>
      </c>
      <c r="J30" s="45">
        <f t="shared" si="1"/>
        <v>19424.5</v>
      </c>
    </row>
    <row r="31" spans="1:10" s="4" customFormat="1" ht="21" customHeight="1">
      <c r="A31" s="11">
        <v>28</v>
      </c>
      <c r="B31" s="42">
        <v>0.96</v>
      </c>
      <c r="C31" s="43" t="s">
        <v>122</v>
      </c>
      <c r="D31" s="42">
        <v>0.79</v>
      </c>
      <c r="E31" s="44">
        <v>1130</v>
      </c>
      <c r="F31" s="45">
        <v>9512.1299999999992</v>
      </c>
      <c r="G31" s="45">
        <v>7074.14</v>
      </c>
      <c r="H31" s="45">
        <v>2773.6</v>
      </c>
      <c r="I31" s="45">
        <v>512.4</v>
      </c>
      <c r="J31" s="45">
        <f t="shared" si="1"/>
        <v>19872.27</v>
      </c>
    </row>
    <row r="32" spans="1:10" s="4" customFormat="1" ht="21" customHeight="1">
      <c r="A32" s="11">
        <v>29</v>
      </c>
      <c r="B32" s="42">
        <v>0.97699999999999998</v>
      </c>
      <c r="C32" s="43" t="s">
        <v>123</v>
      </c>
      <c r="D32" s="42">
        <v>0.8</v>
      </c>
      <c r="E32" s="44">
        <v>1118</v>
      </c>
      <c r="F32" s="45">
        <v>9691.31</v>
      </c>
      <c r="G32" s="45">
        <v>7074.14</v>
      </c>
      <c r="H32" s="45">
        <v>2522.8000000000002</v>
      </c>
      <c r="I32" s="45">
        <v>461.16</v>
      </c>
      <c r="J32" s="45">
        <f t="shared" si="1"/>
        <v>19749.41</v>
      </c>
    </row>
    <row r="33" spans="1:10" s="4" customFormat="1" ht="21" customHeight="1">
      <c r="A33" s="11">
        <v>30</v>
      </c>
      <c r="B33" s="42">
        <v>0.93</v>
      </c>
      <c r="C33" s="43" t="s">
        <v>124</v>
      </c>
      <c r="D33" s="42">
        <v>0.7</v>
      </c>
      <c r="E33" s="44">
        <v>1073</v>
      </c>
      <c r="F33" s="45">
        <v>10016.76</v>
      </c>
      <c r="G33" s="45">
        <v>7288.51</v>
      </c>
      <c r="H33" s="45">
        <v>2668</v>
      </c>
      <c r="I33" s="45">
        <v>409.92</v>
      </c>
      <c r="J33" s="45">
        <f t="shared" si="1"/>
        <v>20383.189999999999</v>
      </c>
    </row>
    <row r="34" spans="1:10" s="4" customFormat="1" ht="21" customHeight="1">
      <c r="A34" s="11">
        <v>31</v>
      </c>
      <c r="B34" s="42">
        <v>0.97</v>
      </c>
      <c r="C34" s="43" t="s">
        <v>125</v>
      </c>
      <c r="D34" s="42">
        <v>0.79</v>
      </c>
      <c r="E34" s="44">
        <v>1103</v>
      </c>
      <c r="F34" s="45">
        <v>10031.379999999999</v>
      </c>
      <c r="G34" s="45">
        <v>7074.14</v>
      </c>
      <c r="H34" s="46">
        <v>2628.4</v>
      </c>
      <c r="I34" s="45">
        <v>307.44</v>
      </c>
      <c r="J34" s="45">
        <f t="shared" si="1"/>
        <v>20041.36</v>
      </c>
    </row>
    <row r="35" spans="1:10" s="8" customFormat="1" ht="22.5" customHeight="1">
      <c r="A35" s="47" t="s">
        <v>47</v>
      </c>
      <c r="B35" s="48"/>
      <c r="C35" s="49"/>
      <c r="D35" s="48"/>
      <c r="E35" s="49"/>
      <c r="F35" s="50">
        <f>SUM(F4:F34)</f>
        <v>261581.40000000002</v>
      </c>
      <c r="G35" s="50">
        <f>SUM(G4:G34)</f>
        <v>212811.06000000008</v>
      </c>
      <c r="H35" s="50">
        <f>SUM(H4:H34)</f>
        <v>78708.400000000009</v>
      </c>
      <c r="I35" s="50">
        <f>SUM(I4:I34)</f>
        <v>14552.119999999997</v>
      </c>
      <c r="J35" s="50">
        <f>SUM(J4:J34)</f>
        <v>567652.97999999986</v>
      </c>
    </row>
    <row r="36" spans="1:10" s="9" customFormat="1" ht="22.5" customHeight="1">
      <c r="A36" s="51" t="s">
        <v>48</v>
      </c>
      <c r="B36" s="52">
        <f>AVERAGE(B4:B34)</f>
        <v>0.97027741935483869</v>
      </c>
      <c r="C36" s="15">
        <f>AVERAGE(C4:C34)</f>
        <v>34.049999999999997</v>
      </c>
      <c r="D36" s="52">
        <f>AVERAGE(D4:D34)</f>
        <v>0.64344193548387085</v>
      </c>
      <c r="E36" s="15">
        <f>SUM(E4:E34)</f>
        <v>38896</v>
      </c>
      <c r="F36" s="15">
        <f>F35*0.38</f>
        <v>99400.932000000015</v>
      </c>
      <c r="G36" s="15">
        <f>G35/12.9</f>
        <v>16496.981395348845</v>
      </c>
      <c r="H36" s="15">
        <f>H35/0.92</f>
        <v>85552.608695652176</v>
      </c>
      <c r="I36" s="15">
        <f>I35/1.76</f>
        <v>8268.2499999999982</v>
      </c>
      <c r="J36" s="15"/>
    </row>
    <row r="37" spans="1:10">
      <c r="F37" s="10"/>
      <c r="G37" s="10"/>
      <c r="H37" s="10"/>
      <c r="I37" s="10"/>
      <c r="J37" s="14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opLeftCell="A22" zoomScaleNormal="100" workbookViewId="0">
      <selection activeCell="H35" sqref="H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80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60604.53</v>
      </c>
      <c r="C4" s="20" t="s">
        <v>15</v>
      </c>
      <c r="D4" s="16">
        <v>60624.87</v>
      </c>
      <c r="E4" s="20" t="s">
        <v>16</v>
      </c>
      <c r="F4" s="20">
        <f>D4-B4</f>
        <v>20.340000000003783</v>
      </c>
      <c r="G4" s="20" t="s">
        <v>17</v>
      </c>
      <c r="H4" s="20">
        <f>F4*284.35</f>
        <v>5783.679000001076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3285.1296720006108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433.77592500008069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6584.9055970006921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41319</v>
      </c>
      <c r="E11" s="20" t="s">
        <v>23</v>
      </c>
      <c r="F11" s="16">
        <v>41326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68380</v>
      </c>
      <c r="E12" s="20" t="s">
        <v>23</v>
      </c>
      <c r="F12" s="16">
        <v>68393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69686</v>
      </c>
      <c r="E13" s="20" t="s">
        <v>23</v>
      </c>
      <c r="F13" s="16">
        <v>69697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5739.2159999999994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906.19199999999989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6645.4079999999994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256020</v>
      </c>
      <c r="C24" s="20" t="s">
        <v>1</v>
      </c>
      <c r="D24" s="17">
        <v>256223</v>
      </c>
      <c r="E24" s="20" t="s">
        <v>33</v>
      </c>
      <c r="F24" s="20">
        <f>D24-B24</f>
        <v>203</v>
      </c>
      <c r="G24" s="20" t="s">
        <v>34</v>
      </c>
      <c r="H24" s="20">
        <f>F24*220</f>
        <v>44660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1134.3599999999999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178.64000000000001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446.6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2509.6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32</v>
      </c>
      <c r="E34" s="20" t="s">
        <v>42</v>
      </c>
      <c r="F34" s="12">
        <v>20</v>
      </c>
      <c r="G34" s="20" t="s">
        <v>43</v>
      </c>
      <c r="H34" s="7">
        <f>(D34-F34)*48.8</f>
        <v>585.59999999999991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532.89599999999996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16272.809597000693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25" zoomScaleNormal="100" workbookViewId="0">
      <selection activeCell="H35" sqref="H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79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60581.7</v>
      </c>
      <c r="C4" s="20" t="s">
        <v>15</v>
      </c>
      <c r="D4" s="16">
        <v>60604.53</v>
      </c>
      <c r="E4" s="20" t="s">
        <v>16</v>
      </c>
      <c r="F4" s="20">
        <f>D4-B4</f>
        <v>22.830000000001746</v>
      </c>
      <c r="G4" s="20" t="s">
        <v>17</v>
      </c>
      <c r="H4" s="20">
        <f>F4*284.35</f>
        <v>6491.7105000004967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3687.2915640002816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486.87828750003723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7040.1698515003191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41312</v>
      </c>
      <c r="E11" s="20" t="s">
        <v>23</v>
      </c>
      <c r="F11" s="16">
        <v>41319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68367</v>
      </c>
      <c r="E12" s="20" t="s">
        <v>23</v>
      </c>
      <c r="F12" s="16">
        <v>68380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69676</v>
      </c>
      <c r="E13" s="20" t="s">
        <v>23</v>
      </c>
      <c r="F13" s="16">
        <v>69686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255807</v>
      </c>
      <c r="C24" s="20" t="s">
        <v>1</v>
      </c>
      <c r="D24" s="17">
        <v>256020</v>
      </c>
      <c r="E24" s="20" t="s">
        <v>33</v>
      </c>
      <c r="F24" s="20">
        <f>D24-B24</f>
        <v>213</v>
      </c>
      <c r="G24" s="20" t="s">
        <v>34</v>
      </c>
      <c r="H24" s="20">
        <f>F24*220</f>
        <v>46860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1235.56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187.44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468.6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2641.6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40</v>
      </c>
      <c r="E34" s="20" t="s">
        <v>42</v>
      </c>
      <c r="F34" s="12">
        <v>32</v>
      </c>
      <c r="G34" s="20" t="s">
        <v>43</v>
      </c>
      <c r="H34" s="7">
        <f>(D34-F34)*48.8</f>
        <v>390.4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16468.073851500318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6" zoomScaleNormal="100" workbookViewId="0">
      <selection activeCell="A35" sqref="A35:G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78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60558.879999999997</v>
      </c>
      <c r="C4" s="20" t="s">
        <v>15</v>
      </c>
      <c r="D4" s="16">
        <v>60581.7</v>
      </c>
      <c r="E4" s="20" t="s">
        <v>16</v>
      </c>
      <c r="F4" s="20">
        <f>D4-B4</f>
        <v>22.819999999999709</v>
      </c>
      <c r="G4" s="20" t="s">
        <v>17</v>
      </c>
      <c r="H4" s="20">
        <f>F4*284.35</f>
        <v>6488.8669999999174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3685.6764559999529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486.66502499999376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7038.3414809999467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41305</v>
      </c>
      <c r="E11" s="20" t="s">
        <v>23</v>
      </c>
      <c r="F11" s="16">
        <v>41312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68354</v>
      </c>
      <c r="E12" s="20" t="s">
        <v>23</v>
      </c>
      <c r="F12" s="16">
        <v>68367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69666</v>
      </c>
      <c r="E13" s="20" t="s">
        <v>23</v>
      </c>
      <c r="F13" s="16">
        <v>69676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255587</v>
      </c>
      <c r="C24" s="20" t="s">
        <v>1</v>
      </c>
      <c r="D24" s="17">
        <v>255807</v>
      </c>
      <c r="E24" s="20" t="s">
        <v>33</v>
      </c>
      <c r="F24" s="20">
        <f>D24-B24</f>
        <v>220</v>
      </c>
      <c r="G24" s="20" t="s">
        <v>34</v>
      </c>
      <c r="H24" s="20">
        <f>F24*220</f>
        <v>48400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1306.4000000000001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193.6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484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2734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52</v>
      </c>
      <c r="E34" s="20" t="s">
        <v>42</v>
      </c>
      <c r="F34" s="12">
        <v>40</v>
      </c>
      <c r="G34" s="20" t="s">
        <v>43</v>
      </c>
      <c r="H34" s="7">
        <f>(D34-F34)*48.8</f>
        <v>585.59999999999991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532.89599999999996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16736.277480999946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6" zoomScaleNormal="100" workbookViewId="0">
      <selection activeCell="A25" sqref="A25:H2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77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60536.78</v>
      </c>
      <c r="C4" s="20" t="s">
        <v>15</v>
      </c>
      <c r="D4" s="16">
        <v>60558.879999999997</v>
      </c>
      <c r="E4" s="20" t="s">
        <v>16</v>
      </c>
      <c r="F4" s="20">
        <f>D4-B4</f>
        <v>22.099999999998545</v>
      </c>
      <c r="G4" s="20" t="s">
        <v>17</v>
      </c>
      <c r="H4" s="20">
        <f>F4*284.35</f>
        <v>6284.1349999995864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3569.3886799997649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471.31012499996893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6906.6988049997344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41298</v>
      </c>
      <c r="E11" s="20" t="s">
        <v>23</v>
      </c>
      <c r="F11" s="16">
        <v>41305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68341</v>
      </c>
      <c r="E12" s="20" t="s">
        <v>23</v>
      </c>
      <c r="F12" s="16">
        <v>68354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69655</v>
      </c>
      <c r="E13" s="20" t="s">
        <v>23</v>
      </c>
      <c r="F13" s="16">
        <v>69666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5739.2159999999994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906.19199999999989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6645.4079999999994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255387</v>
      </c>
      <c r="C24" s="20" t="s">
        <v>1</v>
      </c>
      <c r="D24" s="17">
        <v>255587</v>
      </c>
      <c r="E24" s="20" t="s">
        <v>33</v>
      </c>
      <c r="F24" s="20">
        <f>D24-B24</f>
        <v>200</v>
      </c>
      <c r="G24" s="20" t="s">
        <v>34</v>
      </c>
      <c r="H24" s="20">
        <f>F24*220</f>
        <v>44000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1104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176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440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2470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61</v>
      </c>
      <c r="E34" s="20" t="s">
        <v>42</v>
      </c>
      <c r="F34" s="12">
        <v>52</v>
      </c>
      <c r="G34" s="20" t="s">
        <v>43</v>
      </c>
      <c r="H34" s="7">
        <f>(D34-F34)*48.8</f>
        <v>439.2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399.67200000000003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16421.778804999733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6"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76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60515.3</v>
      </c>
      <c r="C4" s="20" t="s">
        <v>15</v>
      </c>
      <c r="D4" s="16">
        <v>60536.78</v>
      </c>
      <c r="E4" s="20" t="s">
        <v>16</v>
      </c>
      <c r="F4" s="20">
        <f>D4-B4</f>
        <v>21.479999999995925</v>
      </c>
      <c r="G4" s="20" t="s">
        <v>17</v>
      </c>
      <c r="H4" s="20">
        <f>F4*284.35</f>
        <v>6107.837999998842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3469.251983999342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458.08784999991315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6793.3398339992546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41292</v>
      </c>
      <c r="E11" s="20" t="s">
        <v>23</v>
      </c>
      <c r="F11" s="16">
        <v>41298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68328</v>
      </c>
      <c r="E12" s="20" t="s">
        <v>23</v>
      </c>
      <c r="F12" s="16">
        <v>68341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69645</v>
      </c>
      <c r="E13" s="20" t="s">
        <v>23</v>
      </c>
      <c r="F13" s="16">
        <v>69655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255177</v>
      </c>
      <c r="C24" s="20" t="s">
        <v>1</v>
      </c>
      <c r="D24" s="17">
        <v>255387</v>
      </c>
      <c r="E24" s="20" t="s">
        <v>33</v>
      </c>
      <c r="F24" s="20">
        <f>D24-B24</f>
        <v>210</v>
      </c>
      <c r="G24" s="20" t="s">
        <v>34</v>
      </c>
      <c r="H24" s="20">
        <f>F24*220</f>
        <v>46200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1205.2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184.8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462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2602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71</v>
      </c>
      <c r="E34" s="20" t="s">
        <v>42</v>
      </c>
      <c r="F34" s="12">
        <v>61</v>
      </c>
      <c r="G34" s="20" t="s">
        <v>43</v>
      </c>
      <c r="H34" s="7">
        <f>(D34-F34)*48.8</f>
        <v>488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16056.091833999253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opLeftCell="A19" zoomScaleNormal="100" workbookViewId="0">
      <selection activeCell="A35" sqref="A35:G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75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60492.24</v>
      </c>
      <c r="C4" s="20" t="s">
        <v>15</v>
      </c>
      <c r="D4" s="16">
        <v>60515.3</v>
      </c>
      <c r="E4" s="20" t="s">
        <v>16</v>
      </c>
      <c r="F4" s="20">
        <f>D4-B4</f>
        <v>23.060000000004948</v>
      </c>
      <c r="G4" s="20" t="s">
        <v>17</v>
      </c>
      <c r="H4" s="20">
        <f>F4*284.35</f>
        <v>6557.1110000014078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3724.4390480007992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491.78332500010555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7082.2223730009046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41285</v>
      </c>
      <c r="E11" s="20" t="s">
        <v>23</v>
      </c>
      <c r="F11" s="16">
        <v>41292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68315</v>
      </c>
      <c r="E12" s="20" t="s">
        <v>23</v>
      </c>
      <c r="F12" s="16">
        <v>68328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69635</v>
      </c>
      <c r="E13" s="20" t="s">
        <v>23</v>
      </c>
      <c r="F13" s="16">
        <v>69645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254976</v>
      </c>
      <c r="C24" s="20" t="s">
        <v>1</v>
      </c>
      <c r="D24" s="17">
        <v>255177</v>
      </c>
      <c r="E24" s="20" t="s">
        <v>33</v>
      </c>
      <c r="F24" s="20">
        <f>D24-B24</f>
        <v>201</v>
      </c>
      <c r="G24" s="20" t="s">
        <v>34</v>
      </c>
      <c r="H24" s="20">
        <f>F24*220</f>
        <v>44220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1114.1199999999999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176.88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442.2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2483.1999999999998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23</v>
      </c>
      <c r="E33" s="20" t="s">
        <v>42</v>
      </c>
      <c r="F33" s="12">
        <v>23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71</v>
      </c>
      <c r="G34" s="20" t="s">
        <v>43</v>
      </c>
      <c r="H34" s="7">
        <f>(D34-F34)*48.8</f>
        <v>439.2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399.67200000000003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16396.134373000903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zoomScaleNormal="100" workbookViewId="0">
      <selection activeCell="A5" sqref="A5:H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74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60470.39</v>
      </c>
      <c r="C4" s="20" t="s">
        <v>15</v>
      </c>
      <c r="D4" s="16">
        <v>60492.24</v>
      </c>
      <c r="E4" s="20" t="s">
        <v>16</v>
      </c>
      <c r="F4" s="20">
        <f>D4-B4</f>
        <v>21.849999999998545</v>
      </c>
      <c r="G4" s="20" t="s">
        <v>17</v>
      </c>
      <c r="H4" s="20">
        <f>F4*284.35</f>
        <v>6213.0474999995868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3529.0109799997649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465.97856249996897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6860.9895424997339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41278</v>
      </c>
      <c r="E11" s="20" t="s">
        <v>23</v>
      </c>
      <c r="F11" s="16">
        <v>41285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68302</v>
      </c>
      <c r="E12" s="20" t="s">
        <v>23</v>
      </c>
      <c r="F12" s="16">
        <v>68315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69626</v>
      </c>
      <c r="E13" s="20" t="s">
        <v>23</v>
      </c>
      <c r="F13" s="16">
        <v>69635</v>
      </c>
      <c r="G13" s="20" t="s">
        <v>24</v>
      </c>
      <c r="H13" s="20">
        <f>F13-D13</f>
        <v>9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254782</v>
      </c>
      <c r="C24" s="20" t="s">
        <v>1</v>
      </c>
      <c r="D24" s="17">
        <v>254976</v>
      </c>
      <c r="E24" s="20" t="s">
        <v>33</v>
      </c>
      <c r="F24" s="20">
        <f>D24-B24</f>
        <v>194</v>
      </c>
      <c r="G24" s="20" t="s">
        <v>34</v>
      </c>
      <c r="H24" s="20">
        <f>F24*220</f>
        <v>42680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1043.28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170.72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426.8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2390.8000000000002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32</v>
      </c>
      <c r="E33" s="20" t="s">
        <v>42</v>
      </c>
      <c r="F33" s="12">
        <v>23</v>
      </c>
      <c r="G33" s="20" t="s">
        <v>43</v>
      </c>
      <c r="H33" s="7">
        <f>(D33-F33)*48.8</f>
        <v>439.2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399.67200000000003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15868.133542499734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7" zoomScaleNormal="100" workbookViewId="0">
      <selection activeCell="F13" sqref="F13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73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60448.639999999999</v>
      </c>
      <c r="C4" s="20" t="s">
        <v>15</v>
      </c>
      <c r="D4" s="16">
        <v>60470.39</v>
      </c>
      <c r="E4" s="20" t="s">
        <v>16</v>
      </c>
      <c r="F4" s="20">
        <f>D4-B4</f>
        <v>21.75</v>
      </c>
      <c r="G4" s="20" t="s">
        <v>17</v>
      </c>
      <c r="H4" s="20">
        <f>F4*284.35</f>
        <v>6184.6125000000002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3512.8598999999999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463.84593749999999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6842.7058374999997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41271</v>
      </c>
      <c r="E11" s="20" t="s">
        <v>23</v>
      </c>
      <c r="F11" s="16">
        <v>41278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68290</v>
      </c>
      <c r="E12" s="20" t="s">
        <v>23</v>
      </c>
      <c r="F12" s="16">
        <v>68302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69615</v>
      </c>
      <c r="E13" s="20" t="s">
        <v>23</v>
      </c>
      <c r="F13" s="16">
        <v>69626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254584</v>
      </c>
      <c r="C24" s="20" t="s">
        <v>1</v>
      </c>
      <c r="D24" s="17">
        <v>254782</v>
      </c>
      <c r="E24" s="20" t="s">
        <v>33</v>
      </c>
      <c r="F24" s="20">
        <f>D24-B24</f>
        <v>198</v>
      </c>
      <c r="G24" s="20" t="s">
        <v>34</v>
      </c>
      <c r="H24" s="20">
        <f>F24*220</f>
        <v>43560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1083.76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174.24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435.6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2443.6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40</v>
      </c>
      <c r="E33" s="20" t="s">
        <v>42</v>
      </c>
      <c r="F33" s="12">
        <v>32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16072.6098375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L39" sqref="L39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72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60426.95</v>
      </c>
      <c r="C4" s="20" t="s">
        <v>15</v>
      </c>
      <c r="D4" s="16">
        <v>60448.639999999999</v>
      </c>
      <c r="E4" s="20" t="s">
        <v>16</v>
      </c>
      <c r="F4" s="20">
        <f>D4-B4</f>
        <v>21.690000000002328</v>
      </c>
      <c r="G4" s="20" t="s">
        <v>17</v>
      </c>
      <c r="H4" s="20">
        <f>F4*284.35</f>
        <v>6167.5515000006626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3503.1692520003762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462.56636250004965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6831.735614500426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41265</v>
      </c>
      <c r="E11" s="20" t="s">
        <v>23</v>
      </c>
      <c r="F11" s="16">
        <v>41271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68278</v>
      </c>
      <c r="E12" s="20" t="s">
        <v>23</v>
      </c>
      <c r="F12" s="16">
        <v>68290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69605</v>
      </c>
      <c r="E13" s="20" t="s">
        <v>23</v>
      </c>
      <c r="F13" s="16">
        <v>69615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28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13641.6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5183.808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818.49599999999998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6002.3040000000001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254410</v>
      </c>
      <c r="C24" s="20" t="s">
        <v>1</v>
      </c>
      <c r="D24" s="17">
        <v>254584</v>
      </c>
      <c r="E24" s="20" t="s">
        <v>33</v>
      </c>
      <c r="F24" s="20">
        <f>D24-B24</f>
        <v>174</v>
      </c>
      <c r="G24" s="20" t="s">
        <v>34</v>
      </c>
      <c r="H24" s="20">
        <f>F24*220</f>
        <v>38280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840.88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153.12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382.8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2126.8000000000002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48</v>
      </c>
      <c r="E33" s="20" t="s">
        <v>42</v>
      </c>
      <c r="F33" s="12">
        <v>40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15316.103614500425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6"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71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60405.86</v>
      </c>
      <c r="C4" s="20" t="s">
        <v>15</v>
      </c>
      <c r="D4" s="16">
        <v>60426.95</v>
      </c>
      <c r="E4" s="20" t="s">
        <v>16</v>
      </c>
      <c r="F4" s="20">
        <f>D4-B4</f>
        <v>21.089999999996508</v>
      </c>
      <c r="G4" s="20" t="s">
        <v>17</v>
      </c>
      <c r="H4" s="20">
        <f>F4*284.35</f>
        <v>5996.9414999990076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3406.2627719994362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449.77061249992556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6722.033384499362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41258</v>
      </c>
      <c r="E11" s="20" t="s">
        <v>23</v>
      </c>
      <c r="F11" s="16">
        <v>41265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68265</v>
      </c>
      <c r="E12" s="20" t="s">
        <v>23</v>
      </c>
      <c r="F12" s="16">
        <v>68278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69594</v>
      </c>
      <c r="E13" s="20" t="s">
        <v>23</v>
      </c>
      <c r="F13" s="16">
        <v>69605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5739.2159999999994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906.19199999999989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6645.4079999999994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254224</v>
      </c>
      <c r="C24" s="20" t="s">
        <v>1</v>
      </c>
      <c r="D24" s="17">
        <v>254410</v>
      </c>
      <c r="E24" s="20" t="s">
        <v>33</v>
      </c>
      <c r="F24" s="20">
        <f>D24-B24</f>
        <v>186</v>
      </c>
      <c r="G24" s="20" t="s">
        <v>34</v>
      </c>
      <c r="H24" s="20">
        <f>F24*220</f>
        <v>40920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962.31999999999994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163.68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409.2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2285.1999999999998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58</v>
      </c>
      <c r="E33" s="20" t="s">
        <v>42</v>
      </c>
      <c r="F33" s="12">
        <v>48</v>
      </c>
      <c r="G33" s="20" t="s">
        <v>43</v>
      </c>
      <c r="H33" s="7">
        <f>(D33-F33)*48.8</f>
        <v>488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16096.72138449936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4"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70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60387.74</v>
      </c>
      <c r="C4" s="20" t="s">
        <v>15</v>
      </c>
      <c r="D4" s="16">
        <v>60405.86</v>
      </c>
      <c r="E4" s="20" t="s">
        <v>16</v>
      </c>
      <c r="F4" s="20">
        <f>D4-B4</f>
        <v>18.120000000002619</v>
      </c>
      <c r="G4" s="20" t="s">
        <v>17</v>
      </c>
      <c r="H4" s="20">
        <f>F4*284.35</f>
        <v>5152.4220000007454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2926.5756960004232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386.43165000005587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6179.0073460004787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41251</v>
      </c>
      <c r="E11" s="20" t="s">
        <v>23</v>
      </c>
      <c r="F11" s="16">
        <v>41258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68252</v>
      </c>
      <c r="E12" s="20" t="s">
        <v>23</v>
      </c>
      <c r="F12" s="16">
        <v>68265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69584</v>
      </c>
      <c r="E13" s="20" t="s">
        <v>23</v>
      </c>
      <c r="F13" s="16">
        <v>69594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254043</v>
      </c>
      <c r="C24" s="20" t="s">
        <v>1</v>
      </c>
      <c r="D24" s="17">
        <v>254224</v>
      </c>
      <c r="E24" s="20" t="s">
        <v>33</v>
      </c>
      <c r="F24" s="20">
        <f>D24-B24</f>
        <v>181</v>
      </c>
      <c r="G24" s="20" t="s">
        <v>34</v>
      </c>
      <c r="H24" s="20">
        <f>F24*220</f>
        <v>39820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911.72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159.28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398.2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2219.1999999999998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66</v>
      </c>
      <c r="E33" s="20" t="s">
        <v>42</v>
      </c>
      <c r="F33" s="12">
        <v>58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15184.51134600048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13"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69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60370.76</v>
      </c>
      <c r="C4" s="20" t="s">
        <v>15</v>
      </c>
      <c r="D4" s="16">
        <v>60387.74</v>
      </c>
      <c r="E4" s="20" t="s">
        <v>16</v>
      </c>
      <c r="F4" s="20">
        <f>D4-B4</f>
        <v>16.979999999995925</v>
      </c>
      <c r="G4" s="20" t="s">
        <v>17</v>
      </c>
      <c r="H4" s="20">
        <f>F4*284.35</f>
        <v>4828.2629999988421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2742.4533839993419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362.11972499991316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5970.5731089992551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41245</v>
      </c>
      <c r="E11" s="20" t="s">
        <v>23</v>
      </c>
      <c r="F11" s="16">
        <v>41251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68239</v>
      </c>
      <c r="E12" s="20" t="s">
        <v>23</v>
      </c>
      <c r="F12" s="16">
        <v>68252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69573</v>
      </c>
      <c r="E13" s="20" t="s">
        <v>23</v>
      </c>
      <c r="F13" s="16">
        <v>69584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253855</v>
      </c>
      <c r="C24" s="20" t="s">
        <v>1</v>
      </c>
      <c r="D24" s="17">
        <v>254043</v>
      </c>
      <c r="E24" s="20" t="s">
        <v>33</v>
      </c>
      <c r="F24" s="20">
        <f>D24-B24</f>
        <v>188</v>
      </c>
      <c r="G24" s="20" t="s">
        <v>34</v>
      </c>
      <c r="H24" s="20">
        <f>F24*220</f>
        <v>41360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982.56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165.44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413.6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2311.6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75</v>
      </c>
      <c r="E33" s="20" t="s">
        <v>42</v>
      </c>
      <c r="F33" s="12">
        <v>66</v>
      </c>
      <c r="G33" s="20" t="s">
        <v>43</v>
      </c>
      <c r="H33" s="7">
        <f>(D33-F33)*48.8</f>
        <v>439.2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399.67200000000003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15112.885108999255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3" zoomScaleNormal="100" workbookViewId="0">
      <selection activeCell="F33" sqref="F33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68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60353.83</v>
      </c>
      <c r="C4" s="20" t="s">
        <v>15</v>
      </c>
      <c r="D4" s="16">
        <v>60370.76</v>
      </c>
      <c r="E4" s="20" t="s">
        <v>16</v>
      </c>
      <c r="F4" s="20">
        <f>D4-B4</f>
        <v>16.930000000000291</v>
      </c>
      <c r="G4" s="20" t="s">
        <v>17</v>
      </c>
      <c r="H4" s="20">
        <f>F4*284.35</f>
        <v>4814.0455000000829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2734.3778440000469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361.05341250000623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5961.4312565000528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41238</v>
      </c>
      <c r="E11" s="20" t="s">
        <v>23</v>
      </c>
      <c r="F11" s="16">
        <v>41245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68227</v>
      </c>
      <c r="E12" s="20" t="s">
        <v>23</v>
      </c>
      <c r="F12" s="16">
        <v>68239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69563</v>
      </c>
      <c r="E13" s="20" t="s">
        <v>23</v>
      </c>
      <c r="F13" s="16">
        <v>69573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253701</v>
      </c>
      <c r="C24" s="20" t="s">
        <v>1</v>
      </c>
      <c r="D24" s="17">
        <v>253855</v>
      </c>
      <c r="E24" s="20" t="s">
        <v>33</v>
      </c>
      <c r="F24" s="20">
        <f>D24-B24</f>
        <v>154</v>
      </c>
      <c r="G24" s="20" t="s">
        <v>34</v>
      </c>
      <c r="H24" s="20">
        <f>F24*220</f>
        <v>33880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638.48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135.52000000000001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338.8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1862.8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82</v>
      </c>
      <c r="E33" s="20" t="s">
        <v>42</v>
      </c>
      <c r="F33" s="12">
        <v>75</v>
      </c>
      <c r="G33" s="20" t="s">
        <v>43</v>
      </c>
      <c r="H33" s="7">
        <f>(D33-F33)*48.8</f>
        <v>341.59999999999997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310.85599999999999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14351.759256500052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topLeftCell="A16" zoomScaleNormal="100" workbookViewId="0">
      <selection activeCell="J30" sqref="J30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67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60340.36</v>
      </c>
      <c r="C4" s="20" t="s">
        <v>15</v>
      </c>
      <c r="D4" s="16">
        <v>60353.83</v>
      </c>
      <c r="E4" s="20" t="s">
        <v>16</v>
      </c>
      <c r="F4" s="20">
        <f>D4-B4</f>
        <v>13.470000000001164</v>
      </c>
      <c r="G4" s="20" t="s">
        <v>17</v>
      </c>
      <c r="H4" s="20">
        <f>F4*284.35</f>
        <v>3830.1945000003311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2175.5504760001877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287.26458750002485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5328.815063500213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41232</v>
      </c>
      <c r="E11" s="20" t="s">
        <v>23</v>
      </c>
      <c r="F11" s="16">
        <v>41238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68215</v>
      </c>
      <c r="E12" s="20" t="s">
        <v>23</v>
      </c>
      <c r="F12" s="16">
        <v>68227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69554</v>
      </c>
      <c r="E13" s="20" t="s">
        <v>23</v>
      </c>
      <c r="F13" s="16">
        <v>69563</v>
      </c>
      <c r="G13" s="20" t="s">
        <v>24</v>
      </c>
      <c r="H13" s="20">
        <f>F13-D13</f>
        <v>9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27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13154.4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4998.6719999999996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789.2639999999999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5787.9359999999997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253535</v>
      </c>
      <c r="C24" s="20" t="s">
        <v>1</v>
      </c>
      <c r="D24" s="17">
        <v>253701</v>
      </c>
      <c r="E24" s="20" t="s">
        <v>33</v>
      </c>
      <c r="F24" s="20">
        <f>D24-B24</f>
        <v>166</v>
      </c>
      <c r="G24" s="20" t="s">
        <v>34</v>
      </c>
      <c r="H24" s="20">
        <f>F24*220</f>
        <v>36520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759.92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146.08000000000001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365.2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2021.2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35</v>
      </c>
      <c r="E33" s="20" t="s">
        <v>42</v>
      </c>
      <c r="F33" s="12">
        <v>28</v>
      </c>
      <c r="G33" s="20" t="s">
        <v>43</v>
      </c>
      <c r="H33" s="7">
        <f>(D33-F33)*48.8</f>
        <v>341.59999999999997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310.85599999999999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13448.807063500213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13" zoomScaleNormal="100" workbookViewId="0">
      <selection activeCell="A5" sqref="A5:H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66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60326.2</v>
      </c>
      <c r="C4" s="20" t="s">
        <v>15</v>
      </c>
      <c r="D4" s="16">
        <v>60340.36</v>
      </c>
      <c r="E4" s="20" t="s">
        <v>16</v>
      </c>
      <c r="F4" s="20">
        <f>D4-B4</f>
        <v>14.160000000003492</v>
      </c>
      <c r="G4" s="20" t="s">
        <v>17</v>
      </c>
      <c r="H4" s="20">
        <f>F4*284.35</f>
        <v>4026.3960000009934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2286.992928000564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301.9797000000745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5454.972628000638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41225</v>
      </c>
      <c r="E11" s="20" t="s">
        <v>23</v>
      </c>
      <c r="F11" s="16">
        <v>41232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68202</v>
      </c>
      <c r="E12" s="20" t="s">
        <v>23</v>
      </c>
      <c r="F12" s="16">
        <v>68215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69544</v>
      </c>
      <c r="E13" s="20" t="s">
        <v>23</v>
      </c>
      <c r="F13" s="16">
        <v>69554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253372</v>
      </c>
      <c r="C24" s="20" t="s">
        <v>1</v>
      </c>
      <c r="D24" s="17">
        <v>253535</v>
      </c>
      <c r="E24" s="20" t="s">
        <v>33</v>
      </c>
      <c r="F24" s="20">
        <f>D24-B24</f>
        <v>163</v>
      </c>
      <c r="G24" s="20" t="s">
        <v>34</v>
      </c>
      <c r="H24" s="20">
        <f>F24*220</f>
        <v>35860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729.56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143.44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358.6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1981.6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45</v>
      </c>
      <c r="E33" s="20" t="s">
        <v>42</v>
      </c>
      <c r="F33" s="12">
        <v>35</v>
      </c>
      <c r="G33" s="20" t="s">
        <v>43</v>
      </c>
      <c r="H33" s="7">
        <f>(D33-F33)*48.8</f>
        <v>488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14311.692628000639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topLeftCell="A13" zoomScaleNormal="100" workbookViewId="0">
      <selection activeCell="A5" sqref="A5:H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65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60312.25</v>
      </c>
      <c r="C4" s="20" t="s">
        <v>15</v>
      </c>
      <c r="D4" s="16">
        <v>60326.2</v>
      </c>
      <c r="E4" s="20" t="s">
        <v>16</v>
      </c>
      <c r="F4" s="20">
        <f>D4-B4</f>
        <v>13.94999999999709</v>
      </c>
      <c r="G4" s="20" t="s">
        <v>17</v>
      </c>
      <c r="H4" s="20">
        <f>F4*284.35</f>
        <v>3966.6824999991727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2253.0756599995298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297.50118749993794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5416.5768474994675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41219</v>
      </c>
      <c r="E11" s="20" t="s">
        <v>23</v>
      </c>
      <c r="F11" s="16">
        <v>41225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68190</v>
      </c>
      <c r="E12" s="20" t="s">
        <v>23</v>
      </c>
      <c r="F12" s="16">
        <v>68202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69534</v>
      </c>
      <c r="E13" s="20" t="s">
        <v>23</v>
      </c>
      <c r="F13" s="16">
        <v>69544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28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13641.6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5183.808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818.49599999999998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6002.3040000000001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253210</v>
      </c>
      <c r="C24" s="20" t="s">
        <v>1</v>
      </c>
      <c r="D24" s="17">
        <v>253372</v>
      </c>
      <c r="E24" s="20" t="s">
        <v>33</v>
      </c>
      <c r="F24" s="20">
        <f>D24-B24</f>
        <v>162</v>
      </c>
      <c r="G24" s="20" t="s">
        <v>34</v>
      </c>
      <c r="H24" s="20">
        <f>F24*220</f>
        <v>35640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719.43999999999994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142.56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356.40000000000003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1968.4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55</v>
      </c>
      <c r="E33" s="20" t="s">
        <v>42</v>
      </c>
      <c r="F33" s="12">
        <v>45</v>
      </c>
      <c r="G33" s="20" t="s">
        <v>43</v>
      </c>
      <c r="H33" s="7">
        <f>(D33-F33)*48.8</f>
        <v>488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13831.360847499467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64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60298.31</v>
      </c>
      <c r="C4" s="20" t="s">
        <v>15</v>
      </c>
      <c r="D4" s="16">
        <v>60312.25</v>
      </c>
      <c r="E4" s="20" t="s">
        <v>16</v>
      </c>
      <c r="F4" s="20">
        <f>D4-B4</f>
        <v>13.940000000002328</v>
      </c>
      <c r="G4" s="20" t="s">
        <v>17</v>
      </c>
      <c r="H4" s="20">
        <f>F4*284.35</f>
        <v>3963.8390000006625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2251.4605520003761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297.28792500004965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5414.7484770004257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41212</v>
      </c>
      <c r="E11" s="20" t="s">
        <v>23</v>
      </c>
      <c r="F11" s="16">
        <v>41219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68177</v>
      </c>
      <c r="E12" s="20" t="s">
        <v>23</v>
      </c>
      <c r="F12" s="16">
        <v>68190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69524</v>
      </c>
      <c r="E13" s="20" t="s">
        <v>23</v>
      </c>
      <c r="F13" s="16">
        <v>69534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253032</v>
      </c>
      <c r="C24" s="20" t="s">
        <v>1</v>
      </c>
      <c r="D24" s="17">
        <v>253210</v>
      </c>
      <c r="E24" s="20" t="s">
        <v>33</v>
      </c>
      <c r="F24" s="20">
        <f>D24-B24</f>
        <v>178</v>
      </c>
      <c r="G24" s="20" t="s">
        <v>34</v>
      </c>
      <c r="H24" s="20">
        <f>F24*220</f>
        <v>39160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881.36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156.64000000000001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391.6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2179.6000000000004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63</v>
      </c>
      <c r="E33" s="20" t="s">
        <v>42</v>
      </c>
      <c r="F33" s="12">
        <v>55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14380.652477000427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zoomScaleNormal="100" workbookViewId="0">
      <selection activeCell="F34" sqref="F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63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60284.17</v>
      </c>
      <c r="C4" s="20" t="s">
        <v>15</v>
      </c>
      <c r="D4" s="16">
        <v>60298.31</v>
      </c>
      <c r="E4" s="20" t="s">
        <v>16</v>
      </c>
      <c r="F4" s="20">
        <f>D4-B4</f>
        <v>14.139999999999418</v>
      </c>
      <c r="G4" s="20" t="s">
        <v>17</v>
      </c>
      <c r="H4" s="20">
        <f>F4*284.35</f>
        <v>4020.7089999998348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2283.7627119999061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301.55317499998762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5451.3158869998933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41205</v>
      </c>
      <c r="E11" s="20" t="s">
        <v>23</v>
      </c>
      <c r="F11" s="16">
        <v>41212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68164</v>
      </c>
      <c r="E12" s="20" t="s">
        <v>23</v>
      </c>
      <c r="F12" s="16">
        <v>68177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69513</v>
      </c>
      <c r="E13" s="20" t="s">
        <v>23</v>
      </c>
      <c r="F13" s="16">
        <v>69524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5739.2159999999994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906.19199999999989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6645.4079999999994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252842</v>
      </c>
      <c r="C24" s="20" t="s">
        <v>1</v>
      </c>
      <c r="D24" s="17">
        <v>253032</v>
      </c>
      <c r="E24" s="20" t="s">
        <v>33</v>
      </c>
      <c r="F24" s="20">
        <f>D24-B24</f>
        <v>190</v>
      </c>
      <c r="G24" s="20" t="s">
        <v>34</v>
      </c>
      <c r="H24" s="20">
        <f>F24*220</f>
        <v>41800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1002.8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167.20000000000002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418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2338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72</v>
      </c>
      <c r="E33" s="20" t="s">
        <v>42</v>
      </c>
      <c r="F33" s="12">
        <v>63</v>
      </c>
      <c r="G33" s="20" t="s">
        <v>43</v>
      </c>
      <c r="H33" s="7">
        <f>(D33-F33)*48.8</f>
        <v>439.2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399.67200000000003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14834.395886999893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3" zoomScaleNormal="100" workbookViewId="0">
      <selection activeCell="D34" sqref="D34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62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60267.33</v>
      </c>
      <c r="C4" s="20" t="s">
        <v>15</v>
      </c>
      <c r="D4" s="16">
        <v>60284.17</v>
      </c>
      <c r="E4" s="20" t="s">
        <v>16</v>
      </c>
      <c r="F4" s="20">
        <f>D4-B4</f>
        <v>16.839999999996508</v>
      </c>
      <c r="G4" s="20" t="s">
        <v>17</v>
      </c>
      <c r="H4" s="20">
        <f>F4*284.35</f>
        <v>4788.4539999990075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2719.8418719994361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359.13404999992554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5944.9759219993612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41198</v>
      </c>
      <c r="E11" s="20" t="s">
        <v>23</v>
      </c>
      <c r="F11" s="16">
        <v>41205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68151</v>
      </c>
      <c r="E12" s="20" t="s">
        <v>23</v>
      </c>
      <c r="F12" s="16">
        <v>68164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69503</v>
      </c>
      <c r="E13" s="20" t="s">
        <v>23</v>
      </c>
      <c r="F13" s="16">
        <v>69513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252622</v>
      </c>
      <c r="C24" s="20" t="s">
        <v>1</v>
      </c>
      <c r="D24" s="17">
        <v>252842</v>
      </c>
      <c r="E24" s="20" t="s">
        <v>33</v>
      </c>
      <c r="F24" s="20">
        <f>D24-B24</f>
        <v>220</v>
      </c>
      <c r="G24" s="20" t="s">
        <v>34</v>
      </c>
      <c r="H24" s="20">
        <f>F24*220</f>
        <v>48400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1306.4000000000001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193.6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484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2734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72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80</v>
      </c>
      <c r="E34" s="20" t="s">
        <v>42</v>
      </c>
      <c r="F34" s="12">
        <v>80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15465.279921999361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3" zoomScaleNormal="100" workbookViewId="0">
      <selection activeCell="L32" sqref="L32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61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60253.95</v>
      </c>
      <c r="C4" s="20" t="s">
        <v>15</v>
      </c>
      <c r="D4" s="16">
        <v>60267.33</v>
      </c>
      <c r="E4" s="20" t="s">
        <v>16</v>
      </c>
      <c r="F4" s="20">
        <f>D4-B4</f>
        <v>13.380000000004657</v>
      </c>
      <c r="G4" s="20" t="s">
        <v>17</v>
      </c>
      <c r="H4" s="20">
        <f>F4*284.35</f>
        <v>3804.6030000013243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2161.0145040007519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285.34522500009933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5312.3597290008511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41191</v>
      </c>
      <c r="E11" s="20" t="s">
        <v>23</v>
      </c>
      <c r="F11" s="16">
        <v>41198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68139</v>
      </c>
      <c r="E12" s="20" t="s">
        <v>23</v>
      </c>
      <c r="F12" s="16">
        <v>68151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69493</v>
      </c>
      <c r="E13" s="20" t="s">
        <v>23</v>
      </c>
      <c r="F13" s="16">
        <v>69503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252418</v>
      </c>
      <c r="C24" s="20" t="s">
        <v>1</v>
      </c>
      <c r="D24" s="17">
        <v>252622</v>
      </c>
      <c r="E24" s="20" t="s">
        <v>33</v>
      </c>
      <c r="F24" s="20">
        <f>D24-B24</f>
        <v>204</v>
      </c>
      <c r="G24" s="20" t="s">
        <v>34</v>
      </c>
      <c r="H24" s="20">
        <f>F24*220</f>
        <v>44880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1144.48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179.52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448.8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2522.8000000000002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70</v>
      </c>
      <c r="E33" s="20" t="s">
        <v>42</v>
      </c>
      <c r="F33" s="12">
        <v>62</v>
      </c>
      <c r="G33" s="20" t="s">
        <v>43</v>
      </c>
      <c r="H33" s="7">
        <f>(D33-F33)*48.8</f>
        <v>390.4</v>
      </c>
    </row>
    <row r="34" spans="1:8" ht="16.5" customHeight="1">
      <c r="A34" s="68" t="s">
        <v>44</v>
      </c>
      <c r="B34" s="68"/>
      <c r="C34" s="5" t="s">
        <v>41</v>
      </c>
      <c r="D34" s="12">
        <v>20</v>
      </c>
      <c r="E34" s="20" t="s">
        <v>42</v>
      </c>
      <c r="F34" s="12">
        <v>20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14407.095729000852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zoomScaleNormal="100" workbookViewId="0">
      <selection activeCell="A3" sqref="A3:H3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60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60241.09</v>
      </c>
      <c r="C4" s="20" t="s">
        <v>15</v>
      </c>
      <c r="D4" s="16">
        <v>60253.95</v>
      </c>
      <c r="E4" s="20" t="s">
        <v>16</v>
      </c>
      <c r="F4" s="20">
        <f>D4-B4</f>
        <v>12.860000000000582</v>
      </c>
      <c r="G4" s="20" t="s">
        <v>17</v>
      </c>
      <c r="H4" s="20">
        <f>F4*284.35</f>
        <v>3656.741000000166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2077.028888000094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274.25557500001241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5217.2844630001064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41185</v>
      </c>
      <c r="E11" s="20" t="s">
        <v>23</v>
      </c>
      <c r="F11" s="16">
        <v>41191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68126</v>
      </c>
      <c r="E12" s="20" t="s">
        <v>23</v>
      </c>
      <c r="F12" s="16">
        <v>68139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69482</v>
      </c>
      <c r="E13" s="20" t="s">
        <v>23</v>
      </c>
      <c r="F13" s="16">
        <v>69493</v>
      </c>
      <c r="G13" s="20" t="s">
        <v>24</v>
      </c>
      <c r="H13" s="20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5554.08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876.95999999999992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6431.04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252190</v>
      </c>
      <c r="C24" s="20" t="s">
        <v>1</v>
      </c>
      <c r="D24" s="17">
        <v>252418</v>
      </c>
      <c r="E24" s="20" t="s">
        <v>33</v>
      </c>
      <c r="F24" s="20">
        <f>D24-B24</f>
        <v>228</v>
      </c>
      <c r="G24" s="20" t="s">
        <v>34</v>
      </c>
      <c r="H24" s="20">
        <f>F24*220</f>
        <v>50160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1387.36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200.64000000000001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501.6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2839.5999999999995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70</v>
      </c>
      <c r="G33" s="20" t="s">
        <v>43</v>
      </c>
      <c r="H33" s="7">
        <f>(D33-F33)*48.8</f>
        <v>488</v>
      </c>
    </row>
    <row r="34" spans="1:8" ht="16.5" customHeight="1">
      <c r="A34" s="68" t="s">
        <v>44</v>
      </c>
      <c r="B34" s="68"/>
      <c r="C34" s="5" t="s">
        <v>41</v>
      </c>
      <c r="D34" s="12">
        <v>20</v>
      </c>
      <c r="E34" s="20" t="s">
        <v>42</v>
      </c>
      <c r="F34" s="12">
        <v>20</v>
      </c>
      <c r="G34" s="20" t="s">
        <v>43</v>
      </c>
      <c r="H34" s="7">
        <f>(D34-F34)*48.8</f>
        <v>0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14932.004463000107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zoomScaleNormal="100" workbookViewId="0">
      <selection activeCell="A5" sqref="A5:H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59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60226.15</v>
      </c>
      <c r="C4" s="20" t="s">
        <v>15</v>
      </c>
      <c r="D4" s="16">
        <v>60241.09</v>
      </c>
      <c r="E4" s="20" t="s">
        <v>16</v>
      </c>
      <c r="F4" s="20">
        <f>D4-B4</f>
        <v>14.939999999995052</v>
      </c>
      <c r="G4" s="20" t="s">
        <v>17</v>
      </c>
      <c r="H4" s="20">
        <f>F4*284.35</f>
        <v>4248.1889999985933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2412.9713519992006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318.61417499989449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5597.5855269990952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41178</v>
      </c>
      <c r="E11" s="20" t="s">
        <v>23</v>
      </c>
      <c r="F11" s="16">
        <v>41185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68113</v>
      </c>
      <c r="E12" s="20" t="s">
        <v>23</v>
      </c>
      <c r="F12" s="16">
        <v>68126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69473</v>
      </c>
      <c r="E13" s="20" t="s">
        <v>23</v>
      </c>
      <c r="F13" s="16">
        <v>69482</v>
      </c>
      <c r="G13" s="20" t="s">
        <v>24</v>
      </c>
      <c r="H13" s="20">
        <f>F13-D13</f>
        <v>9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251987</v>
      </c>
      <c r="C24" s="20" t="s">
        <v>1</v>
      </c>
      <c r="D24" s="17">
        <v>252190</v>
      </c>
      <c r="E24" s="20" t="s">
        <v>33</v>
      </c>
      <c r="F24" s="20">
        <f>D24-B24</f>
        <v>203</v>
      </c>
      <c r="G24" s="20" t="s">
        <v>34</v>
      </c>
      <c r="H24" s="20">
        <f>F24*220</f>
        <v>44660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1134.3599999999999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178.64000000000001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446.6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2509.6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32</v>
      </c>
      <c r="E34" s="20" t="s">
        <v>42</v>
      </c>
      <c r="F34" s="12">
        <v>22</v>
      </c>
      <c r="G34" s="20" t="s">
        <v>43</v>
      </c>
      <c r="H34" s="7">
        <f>(D34-F34)*48.8</f>
        <v>488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14767.937526999094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zoomScaleNormal="100" workbookViewId="0">
      <selection activeCell="A2" sqref="A2:H2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58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60214.64</v>
      </c>
      <c r="C4" s="20" t="s">
        <v>15</v>
      </c>
      <c r="D4" s="16">
        <v>60226.15</v>
      </c>
      <c r="E4" s="20" t="s">
        <v>16</v>
      </c>
      <c r="F4" s="20">
        <f>D4-B4</f>
        <v>11.510000000002037</v>
      </c>
      <c r="G4" s="20" t="s">
        <v>17</v>
      </c>
      <c r="H4" s="20">
        <f>F4*284.35</f>
        <v>3272.8685000005794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1858.9893080003289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245.46513750004345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4970.4544455003725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41171</v>
      </c>
      <c r="E11" s="20" t="s">
        <v>23</v>
      </c>
      <c r="F11" s="16">
        <v>41178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68101</v>
      </c>
      <c r="E12" s="20" t="s">
        <v>23</v>
      </c>
      <c r="F12" s="16">
        <v>68113</v>
      </c>
      <c r="G12" s="20" t="s">
        <v>24</v>
      </c>
      <c r="H12" s="20">
        <f>F12-D12</f>
        <v>12</v>
      </c>
    </row>
    <row r="13" spans="1:8" ht="16.5" customHeight="1">
      <c r="A13" s="68" t="s">
        <v>26</v>
      </c>
      <c r="B13" s="68"/>
      <c r="C13" s="5" t="s">
        <v>22</v>
      </c>
      <c r="D13" s="16">
        <v>69463</v>
      </c>
      <c r="E13" s="20" t="s">
        <v>23</v>
      </c>
      <c r="F13" s="16">
        <v>69473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251784</v>
      </c>
      <c r="C24" s="20" t="s">
        <v>1</v>
      </c>
      <c r="D24" s="17">
        <v>251987</v>
      </c>
      <c r="E24" s="20" t="s">
        <v>33</v>
      </c>
      <c r="F24" s="20">
        <f>D24-B24</f>
        <v>203</v>
      </c>
      <c r="G24" s="20" t="s">
        <v>34</v>
      </c>
      <c r="H24" s="20">
        <f>F24*220</f>
        <v>44660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1134.3599999999999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178.64000000000001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446.6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2509.6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42</v>
      </c>
      <c r="E34" s="20" t="s">
        <v>42</v>
      </c>
      <c r="F34" s="12">
        <v>32</v>
      </c>
      <c r="G34" s="20" t="s">
        <v>43</v>
      </c>
      <c r="H34" s="7">
        <f>(D34-F34)*48.8</f>
        <v>488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14140.806445500371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topLeftCell="A10" zoomScaleNormal="100" workbookViewId="0">
      <selection activeCell="A35" sqref="A35:G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57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60204.46</v>
      </c>
      <c r="C4" s="20" t="s">
        <v>15</v>
      </c>
      <c r="D4" s="16">
        <v>60214.64</v>
      </c>
      <c r="E4" s="20" t="s">
        <v>16</v>
      </c>
      <c r="F4" s="20">
        <f>D4-B4</f>
        <v>10.180000000000291</v>
      </c>
      <c r="G4" s="20" t="s">
        <v>17</v>
      </c>
      <c r="H4" s="20">
        <f>F4*284.35</f>
        <v>2894.6830000000832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1644.179944000047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217.10122500000622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4727.2811690000535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41164</v>
      </c>
      <c r="E11" s="20" t="s">
        <v>23</v>
      </c>
      <c r="F11" s="16">
        <v>41171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68088</v>
      </c>
      <c r="E12" s="20" t="s">
        <v>23</v>
      </c>
      <c r="F12" s="16">
        <v>68101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69454</v>
      </c>
      <c r="E13" s="20" t="s">
        <v>23</v>
      </c>
      <c r="F13" s="16">
        <v>69463</v>
      </c>
      <c r="G13" s="20" t="s">
        <v>24</v>
      </c>
      <c r="H13" s="20">
        <f>F13-D13</f>
        <v>9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251572</v>
      </c>
      <c r="C24" s="20" t="s">
        <v>1</v>
      </c>
      <c r="D24" s="17">
        <v>251784</v>
      </c>
      <c r="E24" s="20" t="s">
        <v>33</v>
      </c>
      <c r="F24" s="20">
        <f>D24-B24</f>
        <v>212</v>
      </c>
      <c r="G24" s="20" t="s">
        <v>34</v>
      </c>
      <c r="H24" s="20">
        <f>F24*220</f>
        <v>46640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1225.44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186.56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466.40000000000003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2628.4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54</v>
      </c>
      <c r="E34" s="20" t="s">
        <v>42</v>
      </c>
      <c r="F34" s="12">
        <v>42</v>
      </c>
      <c r="G34" s="20" t="s">
        <v>43</v>
      </c>
      <c r="H34" s="7">
        <f>(D34-F34)*48.8</f>
        <v>585.59999999999991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532.89599999999996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14105.249169000052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7" zoomScaleNormal="100" workbookViewId="0">
      <selection activeCell="A2" sqref="A2:H2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56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60194.66</v>
      </c>
      <c r="C4" s="20" t="s">
        <v>15</v>
      </c>
      <c r="D4" s="16">
        <v>60204.46</v>
      </c>
      <c r="E4" s="20" t="s">
        <v>16</v>
      </c>
      <c r="F4" s="20">
        <f>D4-B4</f>
        <v>9.7999999999956344</v>
      </c>
      <c r="G4" s="20" t="s">
        <v>17</v>
      </c>
      <c r="H4" s="20">
        <f>F4*284.35</f>
        <v>2786.6299999987586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1582.8058399992947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208.9972499999069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4657.8030899992018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41158</v>
      </c>
      <c r="E11" s="20" t="s">
        <v>23</v>
      </c>
      <c r="F11" s="16">
        <v>41164</v>
      </c>
      <c r="G11" s="20" t="s">
        <v>24</v>
      </c>
      <c r="H11" s="20">
        <f>F11-D11</f>
        <v>6</v>
      </c>
    </row>
    <row r="12" spans="1:8" ht="16.5" customHeight="1">
      <c r="A12" s="68" t="s">
        <v>25</v>
      </c>
      <c r="B12" s="68"/>
      <c r="C12" s="5" t="s">
        <v>22</v>
      </c>
      <c r="D12" s="16">
        <v>68075</v>
      </c>
      <c r="E12" s="20" t="s">
        <v>23</v>
      </c>
      <c r="F12" s="16">
        <v>68088</v>
      </c>
      <c r="G12" s="20" t="s">
        <v>24</v>
      </c>
      <c r="H12" s="20">
        <f>F12-D12</f>
        <v>13</v>
      </c>
    </row>
    <row r="13" spans="1:8" ht="16.5" customHeight="1">
      <c r="A13" s="68" t="s">
        <v>26</v>
      </c>
      <c r="B13" s="68"/>
      <c r="C13" s="5" t="s">
        <v>22</v>
      </c>
      <c r="D13" s="16">
        <v>69444</v>
      </c>
      <c r="E13" s="20" t="s">
        <v>23</v>
      </c>
      <c r="F13" s="16">
        <v>69454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5368.9439999999995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847.72799999999995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6216.6719999999996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251382</v>
      </c>
      <c r="C24" s="20" t="s">
        <v>1</v>
      </c>
      <c r="D24" s="17">
        <v>251572</v>
      </c>
      <c r="E24" s="20" t="s">
        <v>33</v>
      </c>
      <c r="F24" s="20">
        <f>D24-B24</f>
        <v>190</v>
      </c>
      <c r="G24" s="20" t="s">
        <v>34</v>
      </c>
      <c r="H24" s="20">
        <f>F24*220</f>
        <v>41800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1002.8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167.20000000000002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418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2338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62</v>
      </c>
      <c r="E34" s="20" t="s">
        <v>42</v>
      </c>
      <c r="F34" s="12">
        <v>54</v>
      </c>
      <c r="G34" s="20" t="s">
        <v>43</v>
      </c>
      <c r="H34" s="7">
        <f>(D34-F34)*48.8</f>
        <v>390.4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355.26400000000001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13567.739089999202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selection activeCell="A35" sqref="A35:G35"/>
    </sheetView>
  </sheetViews>
  <sheetFormatPr defaultColWidth="9.1015625" defaultRowHeight="12.9"/>
  <cols>
    <col min="1" max="1" width="19.83984375" style="3" customWidth="1"/>
    <col min="2" max="7" width="19.578125" style="3" customWidth="1"/>
    <col min="8" max="8" width="20.1015625" style="3" customWidth="1"/>
    <col min="9" max="16384" width="9.1015625" style="3"/>
  </cols>
  <sheetData>
    <row r="1" spans="1:8" ht="20.25" customHeight="1">
      <c r="A1" s="54" t="s">
        <v>12</v>
      </c>
      <c r="B1" s="54"/>
      <c r="C1" s="54"/>
      <c r="D1" s="54"/>
      <c r="E1" s="54"/>
      <c r="F1" s="54"/>
      <c r="G1" s="54"/>
      <c r="H1" s="54"/>
    </row>
    <row r="2" spans="1:8" ht="16.5" customHeight="1">
      <c r="A2" s="55" t="s">
        <v>55</v>
      </c>
      <c r="B2" s="55"/>
      <c r="C2" s="55"/>
      <c r="D2" s="55"/>
      <c r="E2" s="55"/>
      <c r="F2" s="55"/>
      <c r="G2" s="55"/>
      <c r="H2" s="55"/>
    </row>
    <row r="3" spans="1:8" ht="16.5" customHeight="1">
      <c r="A3" s="56" t="s">
        <v>13</v>
      </c>
      <c r="B3" s="56"/>
      <c r="C3" s="56"/>
      <c r="D3" s="56"/>
      <c r="E3" s="56"/>
      <c r="F3" s="56"/>
      <c r="G3" s="56"/>
      <c r="H3" s="56"/>
    </row>
    <row r="4" spans="1:8" ht="16.5" customHeight="1">
      <c r="A4" s="20" t="s">
        <v>14</v>
      </c>
      <c r="B4" s="16">
        <v>60183.91</v>
      </c>
      <c r="C4" s="20" t="s">
        <v>15</v>
      </c>
      <c r="D4" s="16">
        <v>60194.66</v>
      </c>
      <c r="E4" s="20" t="s">
        <v>16</v>
      </c>
      <c r="F4" s="20">
        <f>D4-B4</f>
        <v>10.75</v>
      </c>
      <c r="G4" s="20" t="s">
        <v>17</v>
      </c>
      <c r="H4" s="20">
        <f>F4*284.35</f>
        <v>3056.7625000000003</v>
      </c>
    </row>
    <row r="5" spans="1:8" s="4" customFormat="1" ht="10.5" customHeight="1">
      <c r="A5" s="57" t="s">
        <v>3</v>
      </c>
      <c r="B5" s="57"/>
      <c r="C5" s="57"/>
      <c r="D5" s="57"/>
      <c r="E5" s="57"/>
      <c r="F5" s="57"/>
      <c r="G5" s="57"/>
      <c r="H5" s="57"/>
    </row>
    <row r="6" spans="1:8" ht="16.5" customHeight="1">
      <c r="A6" s="58" t="s">
        <v>18</v>
      </c>
      <c r="B6" s="58"/>
      <c r="C6" s="58"/>
      <c r="D6" s="59">
        <f>H4*0.568</f>
        <v>1736.2411</v>
      </c>
      <c r="E6" s="59"/>
      <c r="F6" s="59"/>
      <c r="G6" s="59"/>
      <c r="H6" s="59"/>
    </row>
    <row r="7" spans="1:8" ht="16.5" customHeight="1">
      <c r="A7" s="58" t="s">
        <v>52</v>
      </c>
      <c r="B7" s="58"/>
      <c r="C7" s="58"/>
      <c r="D7" s="59">
        <f>H4*0.075</f>
        <v>229.25718750000001</v>
      </c>
      <c r="E7" s="59"/>
      <c r="F7" s="59"/>
      <c r="G7" s="59"/>
      <c r="H7" s="59"/>
    </row>
    <row r="8" spans="1:8" ht="16.5" customHeight="1">
      <c r="A8" s="60" t="s">
        <v>19</v>
      </c>
      <c r="B8" s="61"/>
      <c r="C8" s="62"/>
      <c r="D8" s="63">
        <v>2866</v>
      </c>
      <c r="E8" s="64"/>
      <c r="F8" s="64"/>
      <c r="G8" s="64"/>
      <c r="H8" s="65"/>
    </row>
    <row r="9" spans="1:8" ht="16.5" customHeight="1">
      <c r="A9" s="66" t="s">
        <v>20</v>
      </c>
      <c r="B9" s="66"/>
      <c r="C9" s="66"/>
      <c r="D9" s="67">
        <f>SUM(D6:H8)</f>
        <v>4831.4982875000005</v>
      </c>
      <c r="E9" s="67"/>
      <c r="F9" s="67"/>
      <c r="G9" s="67"/>
      <c r="H9" s="67"/>
    </row>
    <row r="10" spans="1:8" ht="16.5" customHeight="1">
      <c r="A10" s="56" t="s">
        <v>50</v>
      </c>
      <c r="B10" s="56"/>
      <c r="C10" s="56"/>
      <c r="D10" s="56"/>
      <c r="E10" s="56"/>
      <c r="F10" s="56"/>
      <c r="G10" s="56"/>
      <c r="H10" s="56"/>
    </row>
    <row r="11" spans="1:8" ht="16.5" customHeight="1">
      <c r="A11" s="68" t="s">
        <v>21</v>
      </c>
      <c r="B11" s="68"/>
      <c r="C11" s="5" t="s">
        <v>22</v>
      </c>
      <c r="D11" s="16">
        <v>41151</v>
      </c>
      <c r="E11" s="20" t="s">
        <v>23</v>
      </c>
      <c r="F11" s="16">
        <v>41158</v>
      </c>
      <c r="G11" s="20" t="s">
        <v>24</v>
      </c>
      <c r="H11" s="20">
        <f>F11-D11</f>
        <v>7</v>
      </c>
    </row>
    <row r="12" spans="1:8" ht="16.5" customHeight="1">
      <c r="A12" s="68" t="s">
        <v>25</v>
      </c>
      <c r="B12" s="68"/>
      <c r="C12" s="5" t="s">
        <v>22</v>
      </c>
      <c r="D12" s="16">
        <v>68061</v>
      </c>
      <c r="E12" s="20" t="s">
        <v>23</v>
      </c>
      <c r="F12" s="16">
        <v>68075</v>
      </c>
      <c r="G12" s="20" t="s">
        <v>24</v>
      </c>
      <c r="H12" s="20">
        <f>F12-D12</f>
        <v>14</v>
      </c>
    </row>
    <row r="13" spans="1:8" ht="16.5" customHeight="1">
      <c r="A13" s="68" t="s">
        <v>26</v>
      </c>
      <c r="B13" s="68"/>
      <c r="C13" s="5" t="s">
        <v>22</v>
      </c>
      <c r="D13" s="16">
        <v>69434</v>
      </c>
      <c r="E13" s="20" t="s">
        <v>23</v>
      </c>
      <c r="F13" s="16">
        <v>69444</v>
      </c>
      <c r="G13" s="20" t="s">
        <v>24</v>
      </c>
      <c r="H13" s="20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20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20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8" t="s">
        <v>29</v>
      </c>
      <c r="B17" s="68"/>
      <c r="C17" s="68"/>
      <c r="D17" s="59">
        <v>460</v>
      </c>
      <c r="E17" s="59"/>
      <c r="F17" s="59"/>
      <c r="G17" s="59"/>
      <c r="H17" s="59"/>
    </row>
    <row r="18" spans="1:8" ht="16.5" customHeight="1">
      <c r="A18" s="68" t="s">
        <v>30</v>
      </c>
      <c r="B18" s="68"/>
      <c r="C18" s="68"/>
      <c r="D18" s="59">
        <v>560</v>
      </c>
      <c r="E18" s="59"/>
      <c r="F18" s="59"/>
      <c r="G18" s="59"/>
      <c r="H18" s="59"/>
    </row>
    <row r="19" spans="1:8" ht="16.5" customHeight="1">
      <c r="A19" s="68" t="s">
        <v>31</v>
      </c>
      <c r="B19" s="68"/>
      <c r="C19" s="68"/>
      <c r="D19" s="59">
        <v>640</v>
      </c>
      <c r="E19" s="59"/>
      <c r="F19" s="59"/>
      <c r="G19" s="59"/>
      <c r="H19" s="59"/>
    </row>
    <row r="20" spans="1:8" ht="16.5" customHeight="1">
      <c r="A20" s="68" t="s">
        <v>32</v>
      </c>
      <c r="B20" s="68"/>
      <c r="C20" s="68"/>
      <c r="D20" s="59">
        <f>H15*0.38</f>
        <v>5739.2159999999994</v>
      </c>
      <c r="E20" s="59"/>
      <c r="F20" s="59"/>
      <c r="G20" s="59"/>
      <c r="H20" s="59"/>
    </row>
    <row r="21" spans="1:8" ht="16.5" customHeight="1">
      <c r="A21" s="68" t="s">
        <v>53</v>
      </c>
      <c r="B21" s="68"/>
      <c r="C21" s="68"/>
      <c r="D21" s="59">
        <f>H15*0.06</f>
        <v>906.19199999999989</v>
      </c>
      <c r="E21" s="59"/>
      <c r="F21" s="59"/>
      <c r="G21" s="59"/>
      <c r="H21" s="59"/>
    </row>
    <row r="22" spans="1:8" ht="16.5" customHeight="1">
      <c r="A22" s="66" t="s">
        <v>20</v>
      </c>
      <c r="B22" s="66"/>
      <c r="C22" s="66"/>
      <c r="D22" s="67">
        <f>D20+D21</f>
        <v>6645.4079999999994</v>
      </c>
      <c r="E22" s="67"/>
      <c r="F22" s="67"/>
      <c r="G22" s="67"/>
      <c r="H22" s="67"/>
    </row>
    <row r="23" spans="1:8" ht="16.5" customHeight="1">
      <c r="A23" s="71" t="s">
        <v>2</v>
      </c>
      <c r="B23" s="72"/>
      <c r="C23" s="72"/>
      <c r="D23" s="72"/>
      <c r="E23" s="72"/>
      <c r="F23" s="72"/>
      <c r="G23" s="72"/>
      <c r="H23" s="73"/>
    </row>
    <row r="24" spans="1:8" ht="16.5" customHeight="1">
      <c r="A24" s="6" t="s">
        <v>0</v>
      </c>
      <c r="B24" s="17">
        <v>251163</v>
      </c>
      <c r="C24" s="20" t="s">
        <v>1</v>
      </c>
      <c r="D24" s="17">
        <v>251382</v>
      </c>
      <c r="E24" s="20" t="s">
        <v>33</v>
      </c>
      <c r="F24" s="20">
        <f>D24-B24</f>
        <v>219</v>
      </c>
      <c r="G24" s="20" t="s">
        <v>34</v>
      </c>
      <c r="H24" s="20">
        <f>F24*220</f>
        <v>48180</v>
      </c>
    </row>
    <row r="25" spans="1:8" s="4" customFormat="1" ht="10.5" customHeight="1">
      <c r="A25" s="74" t="s">
        <v>4</v>
      </c>
      <c r="B25" s="75"/>
      <c r="C25" s="75"/>
      <c r="D25" s="75"/>
      <c r="E25" s="75"/>
      <c r="F25" s="75"/>
      <c r="G25" s="75"/>
      <c r="H25" s="76"/>
    </row>
    <row r="26" spans="1:8" ht="16.5" customHeight="1">
      <c r="A26" s="68" t="s">
        <v>35</v>
      </c>
      <c r="B26" s="68"/>
      <c r="C26" s="68"/>
      <c r="D26" s="59">
        <v>350</v>
      </c>
      <c r="E26" s="59"/>
      <c r="F26" s="59"/>
      <c r="G26" s="59"/>
      <c r="H26" s="59"/>
    </row>
    <row r="27" spans="1:8" ht="16.5" customHeight="1">
      <c r="A27" s="68" t="s">
        <v>36</v>
      </c>
      <c r="B27" s="68"/>
      <c r="C27" s="68"/>
      <c r="D27" s="59">
        <v>400</v>
      </c>
      <c r="E27" s="59"/>
      <c r="F27" s="59"/>
      <c r="G27" s="59"/>
      <c r="H27" s="59"/>
    </row>
    <row r="28" spans="1:8" ht="16.5" customHeight="1">
      <c r="A28" s="68" t="s">
        <v>37</v>
      </c>
      <c r="B28" s="68"/>
      <c r="C28" s="68"/>
      <c r="D28" s="59">
        <f>(H24-20000)*0.046</f>
        <v>1296.28</v>
      </c>
      <c r="E28" s="59"/>
      <c r="F28" s="59"/>
      <c r="G28" s="59"/>
      <c r="H28" s="59"/>
    </row>
    <row r="29" spans="1:8" ht="16.5" customHeight="1">
      <c r="A29" s="68" t="s">
        <v>38</v>
      </c>
      <c r="B29" s="68"/>
      <c r="C29" s="68"/>
      <c r="D29" s="59">
        <f>H24*0.004</f>
        <v>192.72</v>
      </c>
      <c r="E29" s="59"/>
      <c r="F29" s="59"/>
      <c r="G29" s="59"/>
      <c r="H29" s="59"/>
    </row>
    <row r="30" spans="1:8" ht="16.5" customHeight="1">
      <c r="A30" s="68" t="s">
        <v>39</v>
      </c>
      <c r="B30" s="68"/>
      <c r="C30" s="68"/>
      <c r="D30" s="59">
        <f>H24*0.01</f>
        <v>481.8</v>
      </c>
      <c r="E30" s="59"/>
      <c r="F30" s="59"/>
      <c r="G30" s="59"/>
      <c r="H30" s="59"/>
    </row>
    <row r="31" spans="1:8" ht="16.5" customHeight="1">
      <c r="A31" s="66" t="s">
        <v>20</v>
      </c>
      <c r="B31" s="66"/>
      <c r="C31" s="66"/>
      <c r="D31" s="67">
        <f>SUM(D26:H30)</f>
        <v>2720.8</v>
      </c>
      <c r="E31" s="67"/>
      <c r="F31" s="67"/>
      <c r="G31" s="67"/>
      <c r="H31" s="67"/>
    </row>
    <row r="32" spans="1:8" ht="16.5" customHeight="1">
      <c r="A32" s="56" t="s">
        <v>51</v>
      </c>
      <c r="B32" s="56"/>
      <c r="C32" s="56"/>
      <c r="D32" s="56"/>
      <c r="E32" s="56"/>
      <c r="F32" s="56"/>
      <c r="G32" s="56"/>
      <c r="H32" s="56"/>
    </row>
    <row r="33" spans="1:8" ht="16.5" customHeight="1">
      <c r="A33" s="68" t="s">
        <v>40</v>
      </c>
      <c r="B33" s="68"/>
      <c r="C33" s="5" t="s">
        <v>41</v>
      </c>
      <c r="D33" s="12">
        <v>80</v>
      </c>
      <c r="E33" s="20" t="s">
        <v>42</v>
      </c>
      <c r="F33" s="12">
        <v>80</v>
      </c>
      <c r="G33" s="20" t="s">
        <v>43</v>
      </c>
      <c r="H33" s="7">
        <f>(D33-F33)*48.8</f>
        <v>0</v>
      </c>
    </row>
    <row r="34" spans="1:8" ht="16.5" customHeight="1">
      <c r="A34" s="68" t="s">
        <v>44</v>
      </c>
      <c r="B34" s="68"/>
      <c r="C34" s="5" t="s">
        <v>41</v>
      </c>
      <c r="D34" s="12">
        <v>72</v>
      </c>
      <c r="E34" s="20" t="s">
        <v>42</v>
      </c>
      <c r="F34" s="12">
        <v>62</v>
      </c>
      <c r="G34" s="20" t="s">
        <v>43</v>
      </c>
      <c r="H34" s="7">
        <f>(D34-F34)*48.8</f>
        <v>488</v>
      </c>
    </row>
    <row r="35" spans="1:8" ht="16.5" customHeight="1">
      <c r="A35" s="66" t="s">
        <v>54</v>
      </c>
      <c r="B35" s="66"/>
      <c r="C35" s="66"/>
      <c r="D35" s="66"/>
      <c r="E35" s="66"/>
      <c r="F35" s="66"/>
      <c r="G35" s="66"/>
      <c r="H35" s="19">
        <f>((H34+H33)*1.82)*0.5</f>
        <v>444.08000000000004</v>
      </c>
    </row>
    <row r="36" spans="1:8" ht="16.5" customHeight="1">
      <c r="A36" s="66" t="s">
        <v>45</v>
      </c>
      <c r="B36" s="66"/>
      <c r="C36" s="66"/>
      <c r="D36" s="66"/>
      <c r="E36" s="66"/>
      <c r="F36" s="66"/>
      <c r="G36" s="66"/>
      <c r="H36" s="19">
        <f>H35+D22+D9+D31</f>
        <v>14641.786287499999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27</vt:i4>
      </vt:variant>
    </vt:vector>
  </HeadingPairs>
  <TitlesOfParts>
    <vt:vector size="55" baseType="lpstr">
      <vt:lpstr>TOTAL</vt:lpstr>
      <vt:lpstr>MTD Utility Sheet</vt:lpstr>
      <vt:lpstr>March-26</vt:lpstr>
      <vt:lpstr>March-25</vt:lpstr>
      <vt:lpstr>March-24</vt:lpstr>
      <vt:lpstr>March-23</vt:lpstr>
      <vt:lpstr>March-22</vt:lpstr>
      <vt:lpstr>March-21</vt:lpstr>
      <vt:lpstr>March-20</vt:lpstr>
      <vt:lpstr>March-19</vt:lpstr>
      <vt:lpstr>March-18</vt:lpstr>
      <vt:lpstr>March-17</vt:lpstr>
      <vt:lpstr>March-16</vt:lpstr>
      <vt:lpstr>March-15</vt:lpstr>
      <vt:lpstr>March-14</vt:lpstr>
      <vt:lpstr>March-13</vt:lpstr>
      <vt:lpstr>March-12</vt:lpstr>
      <vt:lpstr>March-11</vt:lpstr>
      <vt:lpstr>March-10</vt:lpstr>
      <vt:lpstr>March-09</vt:lpstr>
      <vt:lpstr>March-08</vt:lpstr>
      <vt:lpstr>March-07</vt:lpstr>
      <vt:lpstr>March-06</vt:lpstr>
      <vt:lpstr>March-05</vt:lpstr>
      <vt:lpstr>March-04</vt:lpstr>
      <vt:lpstr>March-03</vt:lpstr>
      <vt:lpstr>March-02</vt:lpstr>
      <vt:lpstr>March-01</vt:lpstr>
      <vt:lpstr>'March-01'!Print_Area</vt:lpstr>
      <vt:lpstr>'March-02'!Print_Area</vt:lpstr>
      <vt:lpstr>'March-03'!Print_Area</vt:lpstr>
      <vt:lpstr>'March-04'!Print_Area</vt:lpstr>
      <vt:lpstr>'March-05'!Print_Area</vt:lpstr>
      <vt:lpstr>'March-06'!Print_Area</vt:lpstr>
      <vt:lpstr>'March-07'!Print_Area</vt:lpstr>
      <vt:lpstr>'March-08'!Print_Area</vt:lpstr>
      <vt:lpstr>'March-09'!Print_Area</vt:lpstr>
      <vt:lpstr>'March-10'!Print_Area</vt:lpstr>
      <vt:lpstr>'March-11'!Print_Area</vt:lpstr>
      <vt:lpstr>'March-12'!Print_Area</vt:lpstr>
      <vt:lpstr>'March-13'!Print_Area</vt:lpstr>
      <vt:lpstr>'March-14'!Print_Area</vt:lpstr>
      <vt:lpstr>'March-15'!Print_Area</vt:lpstr>
      <vt:lpstr>'March-16'!Print_Area</vt:lpstr>
      <vt:lpstr>'March-17'!Print_Area</vt:lpstr>
      <vt:lpstr>'March-18'!Print_Area</vt:lpstr>
      <vt:lpstr>'March-19'!Print_Area</vt:lpstr>
      <vt:lpstr>'March-20'!Print_Area</vt:lpstr>
      <vt:lpstr>'March-21'!Print_Area</vt:lpstr>
      <vt:lpstr>'March-22'!Print_Area</vt:lpstr>
      <vt:lpstr>'March-23'!Print_Area</vt:lpstr>
      <vt:lpstr>'March-24'!Print_Area</vt:lpstr>
      <vt:lpstr>'March-25'!Print_Area</vt:lpstr>
      <vt:lpstr>'March-26'!Print_Area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Ronald Diab</cp:lastModifiedBy>
  <cp:lastPrinted>2023-12-31T09:52:57Z</cp:lastPrinted>
  <dcterms:created xsi:type="dcterms:W3CDTF">2009-10-25T07:14:49Z</dcterms:created>
  <dcterms:modified xsi:type="dcterms:W3CDTF">2024-05-28T13:43:42Z</dcterms:modified>
</cp:coreProperties>
</file>