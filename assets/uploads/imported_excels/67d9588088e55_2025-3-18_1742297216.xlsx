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2/"/>
    </mc:Choice>
  </mc:AlternateContent>
  <xr:revisionPtr revIDLastSave="817" documentId="8_{8847650D-614C-4264-8C87-30D8B5EB4252}" xr6:coauthVersionLast="47" xr6:coauthVersionMax="47" xr10:uidLastSave="{369ACA0C-A12B-40F9-8180-92895CD68F1A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5" l="1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<sst xmlns="http://schemas.openxmlformats.org/spreadsheetml/2006/main" count="123" uniqueCount="88">
  <si>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</si>
  <si>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</si>
  <si>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</si>
  <si>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</si>
  <si>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</si>
  <si>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</si>
  <si>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</si>
  <si>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</si>
  <si>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</si>
  <si>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</si>
  <si>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</si>
  <si>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</si>
  <si>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</si>
  <si>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</si>
  <si>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</si>
  <si>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</si>
  <si>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</si>
  <si>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</si>
  <si>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</si>
  <si>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</si>
  <si>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</si>
  <si>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</si>
  <si>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</si>
  <si>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</si>
  <si>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</si>
  <si>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</si>
  <si>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</si>
  <si>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</si>
  <si>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</si>
  <si>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</si>
  <si>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</si>
  <si>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</si>
  <si>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</si>
  <si>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</si>
  <si>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</si>
  <si>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</si>
  <si>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</si>
  <si>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</si>
  <si>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</si>
  <si>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</si>
  <si>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</si>
  <si>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</si>
  <si>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</si>
  <si>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</si>
  <si>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</si>
  <si>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</si>
  <si>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</si>
  <si>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</si>
  <si>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</si>
  <si>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</si>
  <si>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</si>
  <si>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</si>
  <si>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</si>
  <si>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</si>
  <si>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</si>
  <si>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</si>
  <si>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</si>
  <si>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</si>
  <si>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</si>
  <si>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</si>
  <si>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</si>
  <si>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</si>
  <si>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</si>
  <si>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</si>
  <si>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</si>
  <si>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</si>
  <si>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</si>
  <si>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</si>
  <si>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</si>
  <si>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</si>
  <si>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</si>
  <si>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</si>
  <si>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</si>
  <si>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</si>
  <si>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</si>
  <si>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</si>
  <si>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</si>
  <si>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</si>
  <si>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</si>
  <si>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31</t>
  </si>
  <si>
    <t>Occupied</t>
  </si>
  <si>
    <t># Guest</t>
  </si>
  <si>
    <t>Date</t>
  </si>
  <si>
    <t>TOTAL MTD</t>
  </si>
  <si>
    <t>DAILY ELECTRICITY METER READINGS &amp; CONSUMPTION DECEMBER 2022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</si>
  <si>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DECEMBER  2022</t>
    </r>
  </si>
  <si>
    <t>DAILY GAS METER READINGS &amp; CONSUMPTION (Liters) DEEMBER 2022</t>
  </si>
  <si>
    <t>Occupied Room &amp; Number of Guest
December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</si>
</sst>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3" fontId="2" fillId="0" borderId="0" xfId="0" applyNumberFormat="1" applyFont="1"/>
    <xf numFmtId="168" fontId="29" fillId="0" borderId="21" xfId="1" applyNumberFormat="1" applyFont="1" applyFill="1" applyBorder="1"/>
    <xf numFmtId="166" fontId="18" fillId="5" borderId="2" xfId="0" applyNumberFormat="1" applyFont="1" applyFill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G2" sqref="G2:G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12</v>
      </c>
      <c r="D2" s="10">
        <v>2022</v>
      </c>
      <c r="E2" s="4" cm="1">
        <f t="array" ref="E2:E32">TRANSPOSE(Electricity!E21:AI21)</f>
        <v>35920</v>
      </c>
      <c r="F2" s="11">
        <v>0.2</v>
      </c>
      <c r="G2" s="4">
        <f>LPG!C4</f>
        <v>2394.4616129032256</v>
      </c>
      <c r="H2" s="11">
        <v>1.6547283644205291</v>
      </c>
      <c r="I2" s="4" cm="1">
        <f t="array" ref="I2:I32">TRANSPOSE(Water!E15:AI15)</f>
        <v>306.26499999997901</v>
      </c>
      <c r="J2" s="11">
        <v>7.84</v>
      </c>
      <c r="K2" s="4">
        <f>'Occupied &amp; No. of Guest'!B3</f>
        <v>378</v>
      </c>
      <c r="L2" s="4">
        <f>'Occupied &amp; No. of Guest'!C3</f>
        <v>552</v>
      </c>
    </row>
    <row r="3" spans="1:12" x14ac:dyDescent="0.25">
      <c r="A3" s="9" t="s">
        <v>52</v>
      </c>
      <c r="B3" s="10">
        <f>B2+1</f>
        <v>2</v>
      </c>
      <c r="C3" s="10">
        <v>12</v>
      </c>
      <c r="D3" s="10">
        <v>2022</v>
      </c>
      <c r="E3" s="4">
        <v>36913</v>
      </c>
      <c r="F3" s="11">
        <v>0.2</v>
      </c>
      <c r="G3" s="4">
        <f>LPG!C5</f>
        <v>2394.4616129032256</v>
      </c>
      <c r="H3" s="11">
        <v>1.6547283644205291</v>
      </c>
      <c r="I3" s="4">
        <v>237.59500000001572</v>
      </c>
      <c r="J3" s="11">
        <v>7.84</v>
      </c>
      <c r="K3" s="4">
        <f>'Occupied &amp; No. of Guest'!B4</f>
        <v>462</v>
      </c>
      <c r="L3" s="4">
        <f>'Occupied &amp; No. of Guest'!C4</f>
        <v>690</v>
      </c>
    </row>
    <row r="4" spans="1:12" x14ac:dyDescent="0.25">
      <c r="A4" s="9" t="s">
        <v>52</v>
      </c>
      <c r="B4" s="10">
        <f t="shared" ref="B4:B32" si="0">B3+1</f>
        <v>3</v>
      </c>
      <c r="C4" s="10">
        <v>12</v>
      </c>
      <c r="D4" s="10">
        <v>2022</v>
      </c>
      <c r="E4" s="4">
        <v>35928</v>
      </c>
      <c r="F4" s="11">
        <v>0.2</v>
      </c>
      <c r="G4" s="4">
        <f>LPG!C6</f>
        <v>2394.4616129032256</v>
      </c>
      <c r="H4" s="11">
        <v>1.6547283644205291</v>
      </c>
      <c r="I4" s="4">
        <v>259.678</v>
      </c>
      <c r="J4" s="11">
        <v>7.84</v>
      </c>
      <c r="K4" s="4">
        <f>'Occupied &amp; No. of Guest'!B5</f>
        <v>415</v>
      </c>
      <c r="L4" s="4">
        <f>'Occupied &amp; No. of Guest'!C5</f>
        <v>590</v>
      </c>
    </row>
    <row r="5" spans="1:12" x14ac:dyDescent="0.25">
      <c r="A5" s="9" t="s">
        <v>52</v>
      </c>
      <c r="B5" s="10">
        <f t="shared" si="0"/>
        <v>4</v>
      </c>
      <c r="C5" s="10">
        <v>12</v>
      </c>
      <c r="D5" s="10">
        <v>2022</v>
      </c>
      <c r="E5" s="4">
        <v>35539</v>
      </c>
      <c r="F5" s="11">
        <v>0.2</v>
      </c>
      <c r="G5" s="4">
        <f>LPG!C7</f>
        <v>2394.4616129032256</v>
      </c>
      <c r="H5" s="11">
        <v>1.6547283644205291</v>
      </c>
      <c r="I5" s="4">
        <v>280.70799999998326</v>
      </c>
      <c r="J5" s="11">
        <v>7.84</v>
      </c>
      <c r="K5" s="4">
        <f>'Occupied &amp; No. of Guest'!B6</f>
        <v>365</v>
      </c>
      <c r="L5" s="4">
        <f>'Occupied &amp; No. of Guest'!C6</f>
        <v>484</v>
      </c>
    </row>
    <row r="6" spans="1:12" x14ac:dyDescent="0.25">
      <c r="A6" s="9" t="s">
        <v>52</v>
      </c>
      <c r="B6" s="10">
        <f t="shared" si="0"/>
        <v>5</v>
      </c>
      <c r="C6" s="10">
        <v>12</v>
      </c>
      <c r="D6" s="10">
        <v>2022</v>
      </c>
      <c r="E6" s="4">
        <v>35924</v>
      </c>
      <c r="F6" s="11">
        <v>0.2</v>
      </c>
      <c r="G6" s="4">
        <f>LPG!C8</f>
        <v>2394.4616129032256</v>
      </c>
      <c r="H6" s="11">
        <v>1.6547283644205291</v>
      </c>
      <c r="I6" s="4">
        <v>241.2190000000127</v>
      </c>
      <c r="J6" s="11">
        <v>7.84</v>
      </c>
      <c r="K6" s="4">
        <f>'Occupied &amp; No. of Guest'!B7</f>
        <v>433</v>
      </c>
      <c r="L6" s="4">
        <f>'Occupied &amp; No. of Guest'!C7</f>
        <v>550</v>
      </c>
    </row>
    <row r="7" spans="1:12" x14ac:dyDescent="0.25">
      <c r="A7" s="9" t="s">
        <v>52</v>
      </c>
      <c r="B7" s="10">
        <f t="shared" si="0"/>
        <v>6</v>
      </c>
      <c r="C7" s="10">
        <v>12</v>
      </c>
      <c r="D7" s="10">
        <v>2022</v>
      </c>
      <c r="E7" s="4">
        <v>36130</v>
      </c>
      <c r="F7" s="11">
        <v>0.2</v>
      </c>
      <c r="G7" s="4">
        <f>LPG!C9</f>
        <v>2394.4616129032256</v>
      </c>
      <c r="H7" s="11">
        <v>1.6547283644205291</v>
      </c>
      <c r="I7" s="4">
        <v>316.39499999998083</v>
      </c>
      <c r="J7" s="11">
        <v>7.84</v>
      </c>
      <c r="K7" s="4">
        <f>'Occupied &amp; No. of Guest'!B8</f>
        <v>433</v>
      </c>
      <c r="L7" s="4">
        <f>'Occupied &amp; No. of Guest'!C8</f>
        <v>552</v>
      </c>
    </row>
    <row r="8" spans="1:12" x14ac:dyDescent="0.25">
      <c r="A8" s="9" t="s">
        <v>52</v>
      </c>
      <c r="B8" s="10">
        <f t="shared" si="0"/>
        <v>7</v>
      </c>
      <c r="C8" s="10">
        <v>12</v>
      </c>
      <c r="D8" s="10">
        <v>2022</v>
      </c>
      <c r="E8" s="4">
        <v>36532</v>
      </c>
      <c r="F8" s="11">
        <v>0.2</v>
      </c>
      <c r="G8" s="4">
        <f>LPG!C10</f>
        <v>2394.4616129032256</v>
      </c>
      <c r="H8" s="11">
        <v>1.6547283644205291</v>
      </c>
      <c r="I8" s="4">
        <v>225.53000000000756</v>
      </c>
      <c r="J8" s="11">
        <v>7.84</v>
      </c>
      <c r="K8" s="4">
        <f>'Occupied &amp; No. of Guest'!B9</f>
        <v>446</v>
      </c>
      <c r="L8" s="4">
        <f>'Occupied &amp; No. of Guest'!C9</f>
        <v>557</v>
      </c>
    </row>
    <row r="9" spans="1:12" x14ac:dyDescent="0.25">
      <c r="A9" s="9" t="s">
        <v>52</v>
      </c>
      <c r="B9" s="10">
        <f t="shared" si="0"/>
        <v>8</v>
      </c>
      <c r="C9" s="10">
        <v>12</v>
      </c>
      <c r="D9" s="10">
        <v>2022</v>
      </c>
      <c r="E9" s="4">
        <v>36520</v>
      </c>
      <c r="F9" s="11">
        <v>0.2</v>
      </c>
      <c r="G9" s="4">
        <f>LPG!C11</f>
        <v>2394.4616129032256</v>
      </c>
      <c r="H9" s="11">
        <v>1.6547283644205291</v>
      </c>
      <c r="I9" s="4">
        <v>395.1</v>
      </c>
      <c r="J9" s="11">
        <v>7.84</v>
      </c>
      <c r="K9" s="4">
        <f>'Occupied &amp; No. of Guest'!B10</f>
        <v>427</v>
      </c>
      <c r="L9" s="4">
        <f>'Occupied &amp; No. of Guest'!C10</f>
        <v>563</v>
      </c>
    </row>
    <row r="10" spans="1:12" x14ac:dyDescent="0.25">
      <c r="A10" s="9" t="s">
        <v>52</v>
      </c>
      <c r="B10" s="10">
        <f t="shared" si="0"/>
        <v>9</v>
      </c>
      <c r="C10" s="10">
        <v>12</v>
      </c>
      <c r="D10" s="10">
        <v>2022</v>
      </c>
      <c r="E10" s="4">
        <v>35306</v>
      </c>
      <c r="F10" s="11">
        <v>0.2</v>
      </c>
      <c r="G10" s="4">
        <f>LPG!C12</f>
        <v>2394.4616129032256</v>
      </c>
      <c r="H10" s="11">
        <v>1.6547283644205291</v>
      </c>
      <c r="I10" s="4">
        <v>278.46999999998081</v>
      </c>
      <c r="J10" s="11">
        <v>7.84</v>
      </c>
      <c r="K10" s="4">
        <f>'Occupied &amp; No. of Guest'!B11</f>
        <v>356</v>
      </c>
      <c r="L10" s="4">
        <f>'Occupied &amp; No. of Guest'!C11</f>
        <v>475</v>
      </c>
    </row>
    <row r="11" spans="1:12" x14ac:dyDescent="0.25">
      <c r="A11" s="9" t="s">
        <v>52</v>
      </c>
      <c r="B11" s="10">
        <f t="shared" si="0"/>
        <v>10</v>
      </c>
      <c r="C11" s="10">
        <v>12</v>
      </c>
      <c r="D11" s="10">
        <v>2022</v>
      </c>
      <c r="E11" s="4">
        <v>32506</v>
      </c>
      <c r="F11" s="11">
        <v>0.2</v>
      </c>
      <c r="G11" s="4">
        <f>LPG!C13</f>
        <v>2394.4616129032256</v>
      </c>
      <c r="H11" s="11">
        <v>1.6547283644205291</v>
      </c>
      <c r="I11" s="4">
        <v>374.76000000001807</v>
      </c>
      <c r="J11" s="11">
        <v>7.84</v>
      </c>
      <c r="K11" s="4">
        <f>'Occupied &amp; No. of Guest'!B12</f>
        <v>365</v>
      </c>
      <c r="L11" s="4">
        <f>'Occupied &amp; No. of Guest'!C12</f>
        <v>513</v>
      </c>
    </row>
    <row r="12" spans="1:12" x14ac:dyDescent="0.25">
      <c r="A12" s="9" t="s">
        <v>52</v>
      </c>
      <c r="B12" s="10">
        <f t="shared" si="0"/>
        <v>11</v>
      </c>
      <c r="C12" s="10">
        <v>12</v>
      </c>
      <c r="D12" s="10">
        <v>2022</v>
      </c>
      <c r="E12" s="4">
        <v>31134</v>
      </c>
      <c r="F12" s="11">
        <v>0.2</v>
      </c>
      <c r="G12" s="4">
        <f>LPG!C14</f>
        <v>2394.4616129032256</v>
      </c>
      <c r="H12" s="11">
        <v>1.6547283644205291</v>
      </c>
      <c r="I12" s="4">
        <v>260.84000000001686</v>
      </c>
      <c r="J12" s="11">
        <v>7.84</v>
      </c>
      <c r="K12" s="4">
        <f>'Occupied &amp; No. of Guest'!B13</f>
        <v>316</v>
      </c>
      <c r="L12" s="4">
        <f>'Occupied &amp; No. of Guest'!C13</f>
        <v>428</v>
      </c>
    </row>
    <row r="13" spans="1:12" x14ac:dyDescent="0.25">
      <c r="A13" s="9" t="s">
        <v>52</v>
      </c>
      <c r="B13" s="10">
        <f t="shared" si="0"/>
        <v>12</v>
      </c>
      <c r="C13" s="10">
        <v>12</v>
      </c>
      <c r="D13" s="10">
        <v>2022</v>
      </c>
      <c r="E13" s="4">
        <v>30727</v>
      </c>
      <c r="F13" s="11">
        <v>0.2</v>
      </c>
      <c r="G13" s="4">
        <f>LPG!C15</f>
        <v>2394.4616129032256</v>
      </c>
      <c r="H13" s="11">
        <v>1.6547283644205291</v>
      </c>
      <c r="I13" s="4">
        <v>296.42500000001166</v>
      </c>
      <c r="J13" s="11">
        <v>7.84</v>
      </c>
      <c r="K13" s="4">
        <f>'Occupied &amp; No. of Guest'!B14</f>
        <v>295</v>
      </c>
      <c r="L13" s="4">
        <f>'Occupied &amp; No. of Guest'!C14</f>
        <v>396</v>
      </c>
    </row>
    <row r="14" spans="1:12" x14ac:dyDescent="0.25">
      <c r="A14" s="9" t="s">
        <v>52</v>
      </c>
      <c r="B14" s="10">
        <f t="shared" si="0"/>
        <v>13</v>
      </c>
      <c r="C14" s="10">
        <v>12</v>
      </c>
      <c r="D14" s="10">
        <v>2022</v>
      </c>
      <c r="E14" s="4">
        <v>32093</v>
      </c>
      <c r="F14" s="11">
        <v>0.2</v>
      </c>
      <c r="G14" s="4">
        <f>LPG!C16</f>
        <v>2394.4616129032256</v>
      </c>
      <c r="H14" s="11">
        <v>1.6547283644205291</v>
      </c>
      <c r="I14" s="4">
        <v>245.74999999998835</v>
      </c>
      <c r="J14" s="11">
        <v>7.84</v>
      </c>
      <c r="K14" s="4">
        <f>'Occupied &amp; No. of Guest'!B15</f>
        <v>300</v>
      </c>
      <c r="L14" s="4">
        <f>'Occupied &amp; No. of Guest'!C15</f>
        <v>415</v>
      </c>
    </row>
    <row r="15" spans="1:12" x14ac:dyDescent="0.25">
      <c r="A15" s="9" t="s">
        <v>52</v>
      </c>
      <c r="B15" s="10">
        <f t="shared" si="0"/>
        <v>14</v>
      </c>
      <c r="C15" s="10">
        <v>12</v>
      </c>
      <c r="D15" s="10">
        <v>2022</v>
      </c>
      <c r="E15" s="4">
        <v>31512</v>
      </c>
      <c r="F15" s="11">
        <v>0.2</v>
      </c>
      <c r="G15" s="4">
        <f>LPG!C17</f>
        <v>2394.4616129032256</v>
      </c>
      <c r="H15" s="11">
        <v>1.6547283644205291</v>
      </c>
      <c r="I15" s="4">
        <v>296.22500000000002</v>
      </c>
      <c r="J15" s="11">
        <v>7.84</v>
      </c>
      <c r="K15" s="4">
        <f>'Occupied &amp; No. of Guest'!B16</f>
        <v>321</v>
      </c>
      <c r="L15" s="4">
        <f>'Occupied &amp; No. of Guest'!C16</f>
        <v>427</v>
      </c>
    </row>
    <row r="16" spans="1:12" x14ac:dyDescent="0.25">
      <c r="A16" s="9" t="s">
        <v>52</v>
      </c>
      <c r="B16" s="10">
        <f t="shared" si="0"/>
        <v>15</v>
      </c>
      <c r="C16" s="10">
        <v>12</v>
      </c>
      <c r="D16" s="10">
        <v>2022</v>
      </c>
      <c r="E16" s="4">
        <v>31508</v>
      </c>
      <c r="F16" s="11">
        <v>0.2</v>
      </c>
      <c r="G16" s="4">
        <f>LPG!C18</f>
        <v>2394.4616129032256</v>
      </c>
      <c r="H16" s="11">
        <v>1.6547283644205291</v>
      </c>
      <c r="I16" s="4">
        <v>352.05499999994936</v>
      </c>
      <c r="J16" s="11">
        <v>7.84</v>
      </c>
      <c r="K16" s="4">
        <f>'Occupied &amp; No. of Guest'!B17</f>
        <v>297</v>
      </c>
      <c r="L16" s="4">
        <f>'Occupied &amp; No. of Guest'!C17</f>
        <v>433</v>
      </c>
    </row>
    <row r="17" spans="1:12" x14ac:dyDescent="0.25">
      <c r="A17" s="9" t="s">
        <v>52</v>
      </c>
      <c r="B17" s="10">
        <f t="shared" si="0"/>
        <v>16</v>
      </c>
      <c r="C17" s="10">
        <v>12</v>
      </c>
      <c r="D17" s="10">
        <v>2022</v>
      </c>
      <c r="E17" s="4">
        <v>32909</v>
      </c>
      <c r="F17" s="11">
        <v>0.2</v>
      </c>
      <c r="G17" s="4">
        <f>LPG!C19</f>
        <v>2394.4616129032256</v>
      </c>
      <c r="H17" s="11">
        <v>1.6547283644205291</v>
      </c>
      <c r="I17" s="4">
        <v>350.2</v>
      </c>
      <c r="J17" s="11">
        <v>7.84</v>
      </c>
      <c r="K17" s="4">
        <f>'Occupied &amp; No. of Guest'!B18</f>
        <v>282</v>
      </c>
      <c r="L17" s="4">
        <f>'Occupied &amp; No. of Guest'!C18</f>
        <v>436</v>
      </c>
    </row>
    <row r="18" spans="1:12" x14ac:dyDescent="0.25">
      <c r="A18" s="9" t="s">
        <v>52</v>
      </c>
      <c r="B18" s="10">
        <f t="shared" si="0"/>
        <v>17</v>
      </c>
      <c r="C18" s="10">
        <v>12</v>
      </c>
      <c r="D18" s="10">
        <v>2022</v>
      </c>
      <c r="E18" s="4">
        <v>31930</v>
      </c>
      <c r="F18" s="11">
        <v>0.2</v>
      </c>
      <c r="G18" s="4">
        <f>LPG!C20</f>
        <v>2394.4616129032256</v>
      </c>
      <c r="H18" s="11">
        <v>1.6547283644205291</v>
      </c>
      <c r="I18" s="4">
        <v>418.86700000001576</v>
      </c>
      <c r="J18" s="11">
        <v>7.84</v>
      </c>
      <c r="K18" s="4">
        <f>'Occupied &amp; No. of Guest'!B19</f>
        <v>282</v>
      </c>
      <c r="L18" s="4">
        <f>'Occupied &amp; No. of Guest'!C19</f>
        <v>421</v>
      </c>
    </row>
    <row r="19" spans="1:12" x14ac:dyDescent="0.25">
      <c r="A19" s="9" t="s">
        <v>52</v>
      </c>
      <c r="B19" s="10">
        <f t="shared" si="0"/>
        <v>18</v>
      </c>
      <c r="C19" s="10">
        <v>12</v>
      </c>
      <c r="D19" s="10">
        <v>2022</v>
      </c>
      <c r="E19" s="4">
        <v>32134</v>
      </c>
      <c r="F19" s="11">
        <v>0.2</v>
      </c>
      <c r="G19" s="4">
        <f>LPG!C21</f>
        <v>2394.4616129032256</v>
      </c>
      <c r="H19" s="11">
        <v>1.6547283644205291</v>
      </c>
      <c r="I19" s="4">
        <v>356.61799999999988</v>
      </c>
      <c r="J19" s="11">
        <v>7.84</v>
      </c>
      <c r="K19" s="4">
        <f>'Occupied &amp; No. of Guest'!B20</f>
        <v>262</v>
      </c>
      <c r="L19" s="4">
        <f>'Occupied &amp; No. of Guest'!C20</f>
        <v>391</v>
      </c>
    </row>
    <row r="20" spans="1:12" x14ac:dyDescent="0.25">
      <c r="A20" s="9" t="s">
        <v>52</v>
      </c>
      <c r="B20" s="10">
        <f t="shared" si="0"/>
        <v>19</v>
      </c>
      <c r="C20" s="10">
        <v>12</v>
      </c>
      <c r="D20" s="10">
        <v>2022</v>
      </c>
      <c r="E20" s="4">
        <v>31126</v>
      </c>
      <c r="F20" s="11">
        <v>0.2</v>
      </c>
      <c r="G20" s="4">
        <f>LPG!C22</f>
        <v>2394.4616129032256</v>
      </c>
      <c r="H20" s="11">
        <v>1.6547283644205291</v>
      </c>
      <c r="I20" s="4">
        <v>430.31000000004661</v>
      </c>
      <c r="J20" s="11">
        <v>7.84</v>
      </c>
      <c r="K20" s="4">
        <f>'Occupied &amp; No. of Guest'!B21</f>
        <v>334</v>
      </c>
      <c r="L20" s="4">
        <f>'Occupied &amp; No. of Guest'!C21</f>
        <v>509</v>
      </c>
    </row>
    <row r="21" spans="1:12" x14ac:dyDescent="0.25">
      <c r="A21" s="9" t="s">
        <v>52</v>
      </c>
      <c r="B21" s="10">
        <f t="shared" si="0"/>
        <v>20</v>
      </c>
      <c r="C21" s="10">
        <v>12</v>
      </c>
      <c r="D21" s="10">
        <v>2022</v>
      </c>
      <c r="E21" s="4">
        <v>32526</v>
      </c>
      <c r="F21" s="11">
        <v>0.2</v>
      </c>
      <c r="G21" s="4">
        <f>LPG!C23</f>
        <v>2394.4616129032256</v>
      </c>
      <c r="H21" s="11">
        <v>1.6547283644205291</v>
      </c>
      <c r="I21" s="4">
        <v>252.75499999998428</v>
      </c>
      <c r="J21" s="11">
        <v>7.84</v>
      </c>
      <c r="K21" s="4">
        <f>'Occupied &amp; No. of Guest'!B22</f>
        <v>288</v>
      </c>
      <c r="L21" s="4">
        <f>'Occupied &amp; No. of Guest'!C22</f>
        <v>442</v>
      </c>
    </row>
    <row r="22" spans="1:12" x14ac:dyDescent="0.25">
      <c r="A22" s="9" t="s">
        <v>52</v>
      </c>
      <c r="B22" s="10">
        <f t="shared" si="0"/>
        <v>21</v>
      </c>
      <c r="C22" s="10">
        <v>12</v>
      </c>
      <c r="D22" s="10">
        <v>2022</v>
      </c>
      <c r="E22" s="4">
        <v>29313</v>
      </c>
      <c r="F22" s="11">
        <v>0.2</v>
      </c>
      <c r="G22" s="4">
        <f>LPG!C24</f>
        <v>2394.4616129032256</v>
      </c>
      <c r="H22" s="11">
        <v>1.6547283644205291</v>
      </c>
      <c r="I22" s="4">
        <v>314.09999999995341</v>
      </c>
      <c r="J22" s="11">
        <v>7.84</v>
      </c>
      <c r="K22" s="4">
        <f>'Occupied &amp; No. of Guest'!B23</f>
        <v>254</v>
      </c>
      <c r="L22" s="4">
        <f>'Occupied &amp; No. of Guest'!C23</f>
        <v>373</v>
      </c>
    </row>
    <row r="23" spans="1:12" x14ac:dyDescent="0.25">
      <c r="A23" s="9" t="s">
        <v>52</v>
      </c>
      <c r="B23" s="10">
        <f t="shared" si="0"/>
        <v>22</v>
      </c>
      <c r="C23" s="10">
        <v>12</v>
      </c>
      <c r="D23" s="10">
        <v>2022</v>
      </c>
      <c r="E23" s="4">
        <v>29926</v>
      </c>
      <c r="F23" s="11">
        <v>0.2</v>
      </c>
      <c r="G23" s="4">
        <f>LPG!C25</f>
        <v>2394.4616129032256</v>
      </c>
      <c r="H23" s="11">
        <v>1.6547283644205291</v>
      </c>
      <c r="I23" s="4">
        <v>370.25</v>
      </c>
      <c r="J23" s="11">
        <v>7.84</v>
      </c>
      <c r="K23" s="4">
        <f>'Occupied &amp; No. of Guest'!B24</f>
        <v>246</v>
      </c>
      <c r="L23" s="4">
        <f>'Occupied &amp; No. of Guest'!C24</f>
        <v>378</v>
      </c>
    </row>
    <row r="24" spans="1:12" x14ac:dyDescent="0.25">
      <c r="A24" s="9" t="s">
        <v>52</v>
      </c>
      <c r="B24" s="10">
        <f t="shared" si="0"/>
        <v>23</v>
      </c>
      <c r="C24" s="10">
        <v>12</v>
      </c>
      <c r="D24" s="10">
        <v>2022</v>
      </c>
      <c r="E24" s="4">
        <v>31344</v>
      </c>
      <c r="F24" s="11">
        <v>0.2</v>
      </c>
      <c r="G24" s="4">
        <f>LPG!C26</f>
        <v>2394.4616129032256</v>
      </c>
      <c r="H24" s="11">
        <v>1.6547283644205291</v>
      </c>
      <c r="I24" s="4">
        <v>278.96000000002095</v>
      </c>
      <c r="J24" s="11">
        <v>7.84</v>
      </c>
      <c r="K24" s="4">
        <f>'Occupied &amp; No. of Guest'!B25</f>
        <v>317</v>
      </c>
      <c r="L24" s="4">
        <f>'Occupied &amp; No. of Guest'!C25</f>
        <v>496</v>
      </c>
    </row>
    <row r="25" spans="1:12" x14ac:dyDescent="0.25">
      <c r="A25" s="9" t="s">
        <v>52</v>
      </c>
      <c r="B25" s="10">
        <f t="shared" si="0"/>
        <v>24</v>
      </c>
      <c r="C25" s="10">
        <v>12</v>
      </c>
      <c r="D25" s="10">
        <v>2022</v>
      </c>
      <c r="E25" s="4">
        <v>32719</v>
      </c>
      <c r="F25" s="11">
        <v>0.2</v>
      </c>
      <c r="G25" s="4">
        <f>LPG!C27</f>
        <v>2394.4616129032256</v>
      </c>
      <c r="H25" s="11">
        <v>1.6547283644205291</v>
      </c>
      <c r="I25" s="4">
        <v>288.73999999997903</v>
      </c>
      <c r="J25" s="11">
        <v>7.84</v>
      </c>
      <c r="K25" s="4">
        <f>'Occupied &amp; No. of Guest'!B26</f>
        <v>276</v>
      </c>
      <c r="L25" s="4">
        <f>'Occupied &amp; No. of Guest'!C26</f>
        <v>452</v>
      </c>
    </row>
    <row r="26" spans="1:12" x14ac:dyDescent="0.25">
      <c r="A26" s="9" t="s">
        <v>52</v>
      </c>
      <c r="B26" s="10">
        <f>B25+1</f>
        <v>25</v>
      </c>
      <c r="C26" s="10">
        <v>12</v>
      </c>
      <c r="D26" s="10">
        <v>2022</v>
      </c>
      <c r="E26" s="4">
        <v>32117</v>
      </c>
      <c r="F26" s="11">
        <v>0.2</v>
      </c>
      <c r="G26" s="4">
        <f>LPG!C28</f>
        <v>2394.4616129032256</v>
      </c>
      <c r="H26" s="11">
        <v>1.6547283644205291</v>
      </c>
      <c r="I26" s="4">
        <v>313.09500000000008</v>
      </c>
      <c r="J26" s="11">
        <v>7.84</v>
      </c>
      <c r="K26" s="4">
        <f>'Occupied &amp; No. of Guest'!B27</f>
        <v>257</v>
      </c>
      <c r="L26" s="4">
        <f>'Occupied &amp; No. of Guest'!C27</f>
        <v>396</v>
      </c>
    </row>
    <row r="27" spans="1:12" x14ac:dyDescent="0.25">
      <c r="A27" s="9" t="s">
        <v>52</v>
      </c>
      <c r="B27" s="10">
        <f t="shared" si="0"/>
        <v>26</v>
      </c>
      <c r="C27" s="10">
        <v>12</v>
      </c>
      <c r="D27" s="10">
        <v>2022</v>
      </c>
      <c r="E27" s="4">
        <v>33115</v>
      </c>
      <c r="F27" s="11">
        <v>0.2</v>
      </c>
      <c r="G27" s="4">
        <f>LPG!C29</f>
        <v>2394.4616129032256</v>
      </c>
      <c r="H27" s="11">
        <v>1.6547283644205291</v>
      </c>
      <c r="I27" s="4">
        <v>290.12500000001563</v>
      </c>
      <c r="J27" s="11">
        <v>7.84</v>
      </c>
      <c r="K27" s="4">
        <f>'Occupied &amp; No. of Guest'!B28</f>
        <v>353</v>
      </c>
      <c r="L27" s="4">
        <f>'Occupied &amp; No. of Guest'!C28</f>
        <v>558</v>
      </c>
    </row>
    <row r="28" spans="1:12" x14ac:dyDescent="0.25">
      <c r="A28" s="9" t="s">
        <v>52</v>
      </c>
      <c r="B28" s="10">
        <f t="shared" si="0"/>
        <v>27</v>
      </c>
      <c r="C28" s="10">
        <v>12</v>
      </c>
      <c r="D28" s="10">
        <v>2022</v>
      </c>
      <c r="E28" s="4">
        <v>28509</v>
      </c>
      <c r="F28" s="11">
        <v>0.2</v>
      </c>
      <c r="G28" s="4">
        <f>LPG!C30</f>
        <v>2394.4616129032256</v>
      </c>
      <c r="H28" s="11">
        <v>1.6547283644205291</v>
      </c>
      <c r="I28" s="4">
        <v>200.39499999998952</v>
      </c>
      <c r="J28" s="11">
        <v>7.84</v>
      </c>
      <c r="K28" s="4">
        <f>'Occupied &amp; No. of Guest'!B29</f>
        <v>341</v>
      </c>
      <c r="L28" s="4">
        <f>'Occupied &amp; No. of Guest'!C29</f>
        <v>527</v>
      </c>
    </row>
    <row r="29" spans="1:12" x14ac:dyDescent="0.25">
      <c r="A29" s="9" t="s">
        <v>52</v>
      </c>
      <c r="B29" s="10">
        <f t="shared" si="0"/>
        <v>28</v>
      </c>
      <c r="C29" s="10">
        <v>12</v>
      </c>
      <c r="D29" s="10">
        <v>2022</v>
      </c>
      <c r="E29" s="4">
        <v>29104</v>
      </c>
      <c r="F29" s="11">
        <v>0.2</v>
      </c>
      <c r="G29" s="4">
        <f>LPG!C31</f>
        <v>2394.4616129032256</v>
      </c>
      <c r="H29" s="11">
        <v>1.6547283644205291</v>
      </c>
      <c r="I29" s="4">
        <v>263.48499999999478</v>
      </c>
      <c r="J29" s="11">
        <v>7.84</v>
      </c>
      <c r="K29" s="4">
        <f>'Occupied &amp; No. of Guest'!B30</f>
        <v>346</v>
      </c>
      <c r="L29" s="4">
        <f>'Occupied &amp; No. of Guest'!C30</f>
        <v>549</v>
      </c>
    </row>
    <row r="30" spans="1:12" x14ac:dyDescent="0.25">
      <c r="A30" s="9" t="s">
        <v>52</v>
      </c>
      <c r="B30" s="10">
        <f t="shared" si="0"/>
        <v>29</v>
      </c>
      <c r="C30" s="10">
        <v>12</v>
      </c>
      <c r="D30" s="10">
        <v>2022</v>
      </c>
      <c r="E30" s="4">
        <v>28130</v>
      </c>
      <c r="F30" s="11">
        <v>0.2</v>
      </c>
      <c r="G30" s="4">
        <f>LPG!C32</f>
        <v>2394.4616129032256</v>
      </c>
      <c r="H30" s="11">
        <v>1.6547283644205291</v>
      </c>
      <c r="I30" s="4">
        <v>282.90700000004654</v>
      </c>
      <c r="J30" s="11">
        <v>7.84</v>
      </c>
      <c r="K30" s="4">
        <f>'Occupied &amp; No. of Guest'!B31</f>
        <v>350</v>
      </c>
      <c r="L30" s="4">
        <f>'Occupied &amp; No. of Guest'!C31</f>
        <v>549</v>
      </c>
    </row>
    <row r="31" spans="1:12" x14ac:dyDescent="0.25">
      <c r="A31" s="9" t="s">
        <v>52</v>
      </c>
      <c r="B31" s="10">
        <f t="shared" si="0"/>
        <v>30</v>
      </c>
      <c r="C31" s="10">
        <v>12</v>
      </c>
      <c r="D31" s="10">
        <v>2022</v>
      </c>
      <c r="E31" s="4">
        <v>29518</v>
      </c>
      <c r="F31" s="11">
        <v>0.2</v>
      </c>
      <c r="G31" s="4">
        <f>LPG!C33</f>
        <v>2394.4616129032256</v>
      </c>
      <c r="H31" s="11">
        <v>1.6547283644205291</v>
      </c>
      <c r="I31" s="4">
        <v>227.37499999995345</v>
      </c>
      <c r="J31" s="11">
        <v>7.84</v>
      </c>
      <c r="K31" s="4">
        <f>'Occupied &amp; No. of Guest'!B32</f>
        <v>301</v>
      </c>
      <c r="L31" s="4">
        <f>'Occupied &amp; No. of Guest'!C32</f>
        <v>461</v>
      </c>
    </row>
    <row r="32" spans="1:12" x14ac:dyDescent="0.25">
      <c r="A32" s="9" t="s">
        <v>52</v>
      </c>
      <c r="B32" s="10">
        <f t="shared" si="0"/>
        <v>31</v>
      </c>
      <c r="C32" s="10">
        <v>12</v>
      </c>
      <c r="D32" s="10">
        <v>2022</v>
      </c>
      <c r="E32" s="4">
        <v>30525</v>
      </c>
      <c r="F32" s="11">
        <v>0.2</v>
      </c>
      <c r="G32" s="4">
        <f>LPG!C34</f>
        <v>2394.4616129032256</v>
      </c>
      <c r="H32" s="11">
        <v>1.6547283644205291</v>
      </c>
      <c r="I32" s="4">
        <v>308.76200000002092</v>
      </c>
      <c r="J32" s="11">
        <v>7.84</v>
      </c>
      <c r="K32" s="4">
        <f>'Occupied &amp; No. of Guest'!B33</f>
        <v>302</v>
      </c>
      <c r="L32" s="4">
        <f>'Occupied &amp; No. of Guest'!C33</f>
        <v>481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E8" activePane="bottomRight" state="frozen"/>
      <selection pane="topRight" activeCell="E1" sqref="E1"/>
      <selection pane="bottomLeft" activeCell="A5" sqref="A5"/>
      <selection pane="bottomRight" activeCell="D17" sqref="D17:AI20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8" t="s">
        <v>84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0">
        <v>1</v>
      </c>
      <c r="B5" s="20" t="s">
        <v>14</v>
      </c>
      <c r="C5" s="82" t="s">
        <v>15</v>
      </c>
      <c r="D5" s="21">
        <v>91762</v>
      </c>
      <c r="E5" s="21">
        <v>91784</v>
      </c>
      <c r="F5" s="21">
        <v>91807</v>
      </c>
      <c r="G5" s="21">
        <v>91829</v>
      </c>
      <c r="H5" s="21">
        <v>91851</v>
      </c>
      <c r="I5" s="21">
        <v>91873</v>
      </c>
      <c r="J5" s="21">
        <v>91896</v>
      </c>
      <c r="K5" s="21">
        <v>91919</v>
      </c>
      <c r="L5" s="21">
        <v>91942</v>
      </c>
      <c r="M5" s="21">
        <v>91965</v>
      </c>
      <c r="N5" s="21">
        <v>91988</v>
      </c>
      <c r="O5" s="21">
        <v>92010</v>
      </c>
      <c r="P5" s="21">
        <v>92032</v>
      </c>
      <c r="Q5" s="21">
        <v>92055</v>
      </c>
      <c r="R5" s="21">
        <v>92077</v>
      </c>
      <c r="S5" s="21">
        <v>92099</v>
      </c>
      <c r="T5" s="21">
        <v>92122</v>
      </c>
      <c r="U5" s="21">
        <v>92144</v>
      </c>
      <c r="V5" s="21">
        <v>92167</v>
      </c>
      <c r="W5" s="21">
        <v>92189</v>
      </c>
      <c r="X5" s="21">
        <v>92212</v>
      </c>
      <c r="Y5" s="21">
        <v>92233</v>
      </c>
      <c r="Z5" s="21">
        <v>92255</v>
      </c>
      <c r="AA5" s="21">
        <v>92278</v>
      </c>
      <c r="AB5" s="21">
        <v>92302</v>
      </c>
      <c r="AC5" s="21">
        <v>92325</v>
      </c>
      <c r="AD5" s="21">
        <v>92349</v>
      </c>
      <c r="AE5" s="21">
        <v>92370</v>
      </c>
      <c r="AF5" s="21">
        <v>92392</v>
      </c>
      <c r="AG5" s="21">
        <v>92413</v>
      </c>
      <c r="AH5" s="21">
        <v>92435</v>
      </c>
      <c r="AI5" s="21">
        <v>92458</v>
      </c>
    </row>
    <row r="6" spans="1:67" s="24" customFormat="1" ht="21.75" customHeight="1" thickBot="1" x14ac:dyDescent="0.25">
      <c r="A6" s="81"/>
      <c r="B6" s="22"/>
      <c r="C6" s="83"/>
      <c r="D6" s="23"/>
      <c r="E6" s="23">
        <f>(E5-D5)*1000</f>
        <v>22000</v>
      </c>
      <c r="F6" s="23">
        <f t="shared" ref="F6:AI6" si="0">(F5-E5)*1000</f>
        <v>23000</v>
      </c>
      <c r="G6" s="23">
        <f t="shared" si="0"/>
        <v>22000</v>
      </c>
      <c r="H6" s="23">
        <f t="shared" si="0"/>
        <v>22000</v>
      </c>
      <c r="I6" s="23">
        <f t="shared" si="0"/>
        <v>22000</v>
      </c>
      <c r="J6" s="23">
        <f t="shared" si="0"/>
        <v>23000</v>
      </c>
      <c r="K6" s="23">
        <f t="shared" si="0"/>
        <v>23000</v>
      </c>
      <c r="L6" s="23">
        <f t="shared" si="0"/>
        <v>23000</v>
      </c>
      <c r="M6" s="23">
        <f t="shared" si="0"/>
        <v>23000</v>
      </c>
      <c r="N6" s="23">
        <f t="shared" si="0"/>
        <v>23000</v>
      </c>
      <c r="O6" s="23">
        <f t="shared" si="0"/>
        <v>22000</v>
      </c>
      <c r="P6" s="23">
        <f t="shared" si="0"/>
        <v>22000</v>
      </c>
      <c r="Q6" s="23">
        <f t="shared" si="0"/>
        <v>23000</v>
      </c>
      <c r="R6" s="23">
        <f t="shared" si="0"/>
        <v>22000</v>
      </c>
      <c r="S6" s="23">
        <f t="shared" si="0"/>
        <v>22000</v>
      </c>
      <c r="T6" s="23">
        <f t="shared" si="0"/>
        <v>23000</v>
      </c>
      <c r="U6" s="23">
        <f t="shared" si="0"/>
        <v>22000</v>
      </c>
      <c r="V6" s="23">
        <f t="shared" si="0"/>
        <v>23000</v>
      </c>
      <c r="W6" s="23">
        <f t="shared" si="0"/>
        <v>22000</v>
      </c>
      <c r="X6" s="23">
        <f t="shared" si="0"/>
        <v>23000</v>
      </c>
      <c r="Y6" s="23">
        <f t="shared" si="0"/>
        <v>21000</v>
      </c>
      <c r="Z6" s="23">
        <f t="shared" si="0"/>
        <v>22000</v>
      </c>
      <c r="AA6" s="23">
        <f t="shared" si="0"/>
        <v>23000</v>
      </c>
      <c r="AB6" s="23">
        <f t="shared" si="0"/>
        <v>24000</v>
      </c>
      <c r="AC6" s="23">
        <f t="shared" si="0"/>
        <v>23000</v>
      </c>
      <c r="AD6" s="23">
        <f t="shared" si="0"/>
        <v>24000</v>
      </c>
      <c r="AE6" s="23">
        <f t="shared" si="0"/>
        <v>21000</v>
      </c>
      <c r="AF6" s="23">
        <f t="shared" si="0"/>
        <v>22000</v>
      </c>
      <c r="AG6" s="23">
        <f t="shared" si="0"/>
        <v>21000</v>
      </c>
      <c r="AH6" s="23">
        <f t="shared" si="0"/>
        <v>22000</v>
      </c>
      <c r="AI6" s="23">
        <f t="shared" si="0"/>
        <v>23000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4">
        <v>2</v>
      </c>
      <c r="B7" s="25" t="s">
        <v>16</v>
      </c>
      <c r="C7" s="86" t="s">
        <v>17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thickBot="1" x14ac:dyDescent="0.25">
      <c r="A8" s="85"/>
      <c r="B8" s="22"/>
      <c r="C8" s="83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6">
        <v>3</v>
      </c>
      <c r="B9" s="36" t="s">
        <v>53</v>
      </c>
      <c r="C9" s="77" t="s">
        <v>54</v>
      </c>
      <c r="D9" s="21">
        <v>104365</v>
      </c>
      <c r="E9" s="21">
        <v>104382</v>
      </c>
      <c r="F9" s="21">
        <v>104400</v>
      </c>
      <c r="G9" s="21">
        <v>104417</v>
      </c>
      <c r="H9" s="21">
        <v>104434</v>
      </c>
      <c r="I9" s="21">
        <v>104451</v>
      </c>
      <c r="J9" s="21">
        <v>104467</v>
      </c>
      <c r="K9" s="21">
        <v>104484</v>
      </c>
      <c r="L9" s="21">
        <v>104500</v>
      </c>
      <c r="M9" s="21">
        <v>104514</v>
      </c>
      <c r="N9" s="21">
        <v>104524</v>
      </c>
      <c r="O9" s="21">
        <v>104540</v>
      </c>
      <c r="P9" s="21">
        <v>104553</v>
      </c>
      <c r="Q9" s="21">
        <v>104561</v>
      </c>
      <c r="R9" s="21">
        <v>104570</v>
      </c>
      <c r="S9" s="21">
        <v>104578</v>
      </c>
      <c r="T9" s="21">
        <v>104587</v>
      </c>
      <c r="U9" s="21">
        <v>104593</v>
      </c>
      <c r="V9" s="21">
        <v>104600</v>
      </c>
      <c r="W9" s="21">
        <v>104612</v>
      </c>
      <c r="X9" s="21">
        <v>104634</v>
      </c>
      <c r="Y9" s="21">
        <v>104653</v>
      </c>
      <c r="Z9" s="21">
        <v>104671</v>
      </c>
      <c r="AA9" s="21">
        <v>104689</v>
      </c>
      <c r="AB9" s="21">
        <v>104709</v>
      </c>
      <c r="AC9" s="21">
        <v>104730</v>
      </c>
      <c r="AD9" s="21">
        <v>104740</v>
      </c>
      <c r="AE9" s="21">
        <v>104748</v>
      </c>
      <c r="AF9" s="21">
        <v>104763</v>
      </c>
      <c r="AG9" s="21">
        <v>104778</v>
      </c>
      <c r="AH9" s="21">
        <v>104793</v>
      </c>
      <c r="AI9" s="21">
        <v>104809</v>
      </c>
    </row>
    <row r="10" spans="1:67" s="24" customFormat="1" ht="21.75" customHeight="1" thickBot="1" x14ac:dyDescent="0.25">
      <c r="A10" s="72"/>
      <c r="B10" s="37"/>
      <c r="C10" s="75"/>
      <c r="D10" s="23"/>
      <c r="E10" s="23">
        <f>(E9-D9)*1000</f>
        <v>17000</v>
      </c>
      <c r="F10" s="23">
        <f t="shared" ref="F10" si="31">(F9-E9)*1000</f>
        <v>18000</v>
      </c>
      <c r="G10" s="23">
        <f t="shared" ref="G10" si="32">(G9-F9)*1000</f>
        <v>17000</v>
      </c>
      <c r="H10" s="23">
        <f t="shared" ref="H10" si="33">(H9-G9)*1000</f>
        <v>17000</v>
      </c>
      <c r="I10" s="23">
        <f t="shared" ref="I10" si="34">(I9-H9)*1000</f>
        <v>17000</v>
      </c>
      <c r="J10" s="23">
        <f t="shared" ref="J10" si="35">(J9-I9)*1000</f>
        <v>16000</v>
      </c>
      <c r="K10" s="23">
        <f t="shared" ref="K10" si="36">(K9-J9)*1000</f>
        <v>17000</v>
      </c>
      <c r="L10" s="23">
        <f t="shared" ref="L10" si="37">(L9-K9)*1000</f>
        <v>16000</v>
      </c>
      <c r="M10" s="23">
        <f t="shared" ref="M10" si="38">(M9-L9)*1000</f>
        <v>14000</v>
      </c>
      <c r="N10" s="23">
        <f t="shared" ref="N10" si="39">(N9-M9)*1000</f>
        <v>10000</v>
      </c>
      <c r="O10" s="23">
        <f t="shared" ref="O10" si="40">(O9-N9)*1000</f>
        <v>16000</v>
      </c>
      <c r="P10" s="23">
        <f t="shared" ref="P10" si="41">(P9-O9)*1000</f>
        <v>13000</v>
      </c>
      <c r="Q10" s="23">
        <f t="shared" ref="Q10" si="42">(Q9-P9)*1000</f>
        <v>8000</v>
      </c>
      <c r="R10" s="23">
        <f t="shared" ref="R10" si="43">(R9-Q9)*1000</f>
        <v>9000</v>
      </c>
      <c r="S10" s="23">
        <f t="shared" ref="S10" si="44">(S9-R9)*1000</f>
        <v>8000</v>
      </c>
      <c r="T10" s="23">
        <f t="shared" ref="T10" si="45">(T9-S9)*1000</f>
        <v>9000</v>
      </c>
      <c r="U10" s="23">
        <f t="shared" ref="U10" si="46">(U9-T9)*1000</f>
        <v>6000</v>
      </c>
      <c r="V10" s="23">
        <f t="shared" ref="V10" si="47">(V9-U9)*1000</f>
        <v>7000</v>
      </c>
      <c r="W10" s="23">
        <f t="shared" ref="W10" si="48">(W9-V9)*1000</f>
        <v>12000</v>
      </c>
      <c r="X10" s="23">
        <f t="shared" ref="X10" si="49">(X9-W9)*1000</f>
        <v>22000</v>
      </c>
      <c r="Y10" s="23">
        <f t="shared" ref="Y10" si="50">(Y9-X9)*1000</f>
        <v>19000</v>
      </c>
      <c r="Z10" s="23">
        <f t="shared" ref="Z10" si="51">(Z9-Y9)*1000</f>
        <v>18000</v>
      </c>
      <c r="AA10" s="23">
        <f t="shared" ref="AA10" si="52">(AA9-Z9)*1000</f>
        <v>18000</v>
      </c>
      <c r="AB10" s="23">
        <f t="shared" ref="AB10" si="53">(AB9-AA9)*1000</f>
        <v>20000</v>
      </c>
      <c r="AC10" s="23">
        <f t="shared" ref="AC10" si="54">(AC9-AB9)*1000</f>
        <v>21000</v>
      </c>
      <c r="AD10" s="23">
        <f t="shared" ref="AD10" si="55">(AD9-AC9)*1000</f>
        <v>10000</v>
      </c>
      <c r="AE10" s="23">
        <f t="shared" ref="AE10" si="56">(AE9-AD9)*1000</f>
        <v>8000</v>
      </c>
      <c r="AF10" s="23">
        <f t="shared" ref="AF10" si="57">(AF9-AE9)*1000</f>
        <v>15000</v>
      </c>
      <c r="AG10" s="23">
        <f t="shared" ref="AG10" si="58">(AG9-AF9)*1000</f>
        <v>15000</v>
      </c>
      <c r="AH10" s="23">
        <f t="shared" ref="AH10" si="59">(AH9-AG9)*1000</f>
        <v>15000</v>
      </c>
      <c r="AI10" s="23">
        <f t="shared" ref="AI10" si="60">(AI9-AH9)*1000</f>
        <v>16000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7">
        <v>4</v>
      </c>
      <c r="B11" s="36" t="s">
        <v>55</v>
      </c>
      <c r="C11" s="77" t="s">
        <v>56</v>
      </c>
      <c r="D11" s="21">
        <v>88403</v>
      </c>
      <c r="E11" s="21">
        <v>88420</v>
      </c>
      <c r="F11" s="21">
        <v>88436</v>
      </c>
      <c r="G11" s="21">
        <v>88453</v>
      </c>
      <c r="H11" s="21">
        <v>88469</v>
      </c>
      <c r="I11" s="21">
        <v>88486</v>
      </c>
      <c r="J11" s="21">
        <v>88502</v>
      </c>
      <c r="K11" s="21">
        <v>88518</v>
      </c>
      <c r="L11" s="21">
        <v>88535</v>
      </c>
      <c r="M11" s="21">
        <v>88551</v>
      </c>
      <c r="N11" s="21">
        <v>88564</v>
      </c>
      <c r="O11" s="21">
        <v>88570</v>
      </c>
      <c r="P11" s="21">
        <v>88578</v>
      </c>
      <c r="Q11" s="21">
        <v>88592</v>
      </c>
      <c r="R11" s="21">
        <v>88606</v>
      </c>
      <c r="S11" s="21">
        <v>88621</v>
      </c>
      <c r="T11" s="21">
        <v>88636</v>
      </c>
      <c r="U11" s="21">
        <v>88654</v>
      </c>
      <c r="V11" s="21">
        <v>88669</v>
      </c>
      <c r="W11" s="21">
        <v>88679</v>
      </c>
      <c r="X11" s="21">
        <v>88680</v>
      </c>
      <c r="Y11" s="21">
        <v>88681</v>
      </c>
      <c r="Z11" s="21">
        <v>88682</v>
      </c>
      <c r="AA11" s="21">
        <v>88684</v>
      </c>
      <c r="AB11" s="21">
        <v>88685</v>
      </c>
      <c r="AC11" s="21">
        <v>88686</v>
      </c>
      <c r="AD11" s="21">
        <v>88698</v>
      </c>
      <c r="AE11" s="21">
        <v>88708</v>
      </c>
      <c r="AF11" s="21">
        <v>88710</v>
      </c>
      <c r="AG11" s="21">
        <v>88712</v>
      </c>
      <c r="AH11" s="21">
        <v>88715</v>
      </c>
      <c r="AI11" s="21">
        <v>88717</v>
      </c>
    </row>
    <row r="12" spans="1:67" s="38" customFormat="1" ht="21.75" customHeight="1" thickBot="1" x14ac:dyDescent="0.25">
      <c r="A12" s="74"/>
      <c r="B12" s="37"/>
      <c r="C12" s="75"/>
      <c r="D12" s="23"/>
      <c r="E12" s="23">
        <f>(E11-D11)*1000</f>
        <v>17000</v>
      </c>
      <c r="F12" s="23">
        <f t="shared" ref="F12" si="61">(F11-E11)*1000</f>
        <v>16000</v>
      </c>
      <c r="G12" s="23">
        <f t="shared" ref="G12" si="62">(G11-F11)*1000</f>
        <v>17000</v>
      </c>
      <c r="H12" s="23">
        <f t="shared" ref="H12" si="63">(H11-G11)*1000</f>
        <v>16000</v>
      </c>
      <c r="I12" s="23">
        <f t="shared" ref="I12" si="64">(I11-H11)*1000</f>
        <v>17000</v>
      </c>
      <c r="J12" s="23">
        <f t="shared" ref="J12" si="65">(J11-I11)*1000</f>
        <v>16000</v>
      </c>
      <c r="K12" s="23">
        <f t="shared" ref="K12" si="66">(K11-J11)*1000</f>
        <v>16000</v>
      </c>
      <c r="L12" s="23">
        <f t="shared" ref="L12" si="67">(L11-K11)*1000</f>
        <v>17000</v>
      </c>
      <c r="M12" s="23">
        <f t="shared" ref="M12" si="68">(M11-L11)*1000</f>
        <v>16000</v>
      </c>
      <c r="N12" s="23">
        <f t="shared" ref="N12" si="69">(N11-M11)*1000</f>
        <v>13000</v>
      </c>
      <c r="O12" s="23">
        <f t="shared" ref="O12" si="70">(O11-N11)*1000</f>
        <v>6000</v>
      </c>
      <c r="P12" s="23">
        <f t="shared" ref="P12" si="71">(P11-O11)*1000</f>
        <v>8000</v>
      </c>
      <c r="Q12" s="23">
        <f t="shared" ref="Q12" si="72">(Q11-P11)*1000</f>
        <v>14000</v>
      </c>
      <c r="R12" s="23">
        <f t="shared" ref="R12" si="73">(R11-Q11)*1000</f>
        <v>14000</v>
      </c>
      <c r="S12" s="23">
        <f t="shared" ref="S12" si="74">(S11-R11)*1000</f>
        <v>15000</v>
      </c>
      <c r="T12" s="23">
        <f t="shared" ref="T12" si="75">(T11-S11)*1000</f>
        <v>15000</v>
      </c>
      <c r="U12" s="23">
        <f t="shared" ref="U12" si="76">(U11-T11)*1000</f>
        <v>18000</v>
      </c>
      <c r="V12" s="23">
        <f t="shared" ref="V12" si="77">(V11-U11)*1000</f>
        <v>15000</v>
      </c>
      <c r="W12" s="23">
        <f t="shared" ref="W12" si="78">(W11-V11)*1000</f>
        <v>10000</v>
      </c>
      <c r="X12" s="23">
        <f t="shared" ref="X12" si="79">(X11-W11)*1000</f>
        <v>1000</v>
      </c>
      <c r="Y12" s="23">
        <f t="shared" ref="Y12" si="80">(Y11-X11)*1000</f>
        <v>1000</v>
      </c>
      <c r="Z12" s="23">
        <f t="shared" ref="Z12" si="81">(Z11-Y11)*1000</f>
        <v>1000</v>
      </c>
      <c r="AA12" s="23">
        <f t="shared" ref="AA12" si="82">(AA11-Z11)*1000</f>
        <v>2000</v>
      </c>
      <c r="AB12" s="23">
        <f t="shared" ref="AB12" si="83">(AB11-AA11)*1000</f>
        <v>1000</v>
      </c>
      <c r="AC12" s="23">
        <f t="shared" ref="AC12" si="84">(AC11-AB11)*1000</f>
        <v>1000</v>
      </c>
      <c r="AD12" s="23">
        <f t="shared" ref="AD12" si="85">(AD11-AC11)*1000</f>
        <v>12000</v>
      </c>
      <c r="AE12" s="23">
        <f t="shared" ref="AE12" si="86">(AE11-AD11)*1000</f>
        <v>10000</v>
      </c>
      <c r="AF12" s="23">
        <f t="shared" ref="AF12" si="87">(AF11-AE11)*1000</f>
        <v>2000</v>
      </c>
      <c r="AG12" s="23">
        <f t="shared" ref="AG12" si="88">(AG11-AF11)*1000</f>
        <v>2000</v>
      </c>
      <c r="AH12" s="23">
        <f t="shared" ref="AH12" si="89">(AH11-AG11)*1000</f>
        <v>3000</v>
      </c>
      <c r="AI12" s="23">
        <f t="shared" ref="AI12" si="90">(AI11-AH11)*1000</f>
        <v>2000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6">
        <v>7</v>
      </c>
      <c r="B13" s="39" t="s">
        <v>57</v>
      </c>
      <c r="C13" s="69" t="s">
        <v>58</v>
      </c>
      <c r="D13" s="40">
        <v>3121</v>
      </c>
      <c r="E13" s="40">
        <v>3121</v>
      </c>
      <c r="F13" s="40">
        <v>3121</v>
      </c>
      <c r="G13" s="40">
        <v>3121</v>
      </c>
      <c r="H13" s="40">
        <v>3121</v>
      </c>
      <c r="I13" s="40">
        <v>3121</v>
      </c>
      <c r="J13" s="40">
        <v>3121</v>
      </c>
      <c r="K13" s="40">
        <v>3121</v>
      </c>
      <c r="L13" s="40">
        <v>3121</v>
      </c>
      <c r="M13" s="40">
        <v>3121</v>
      </c>
      <c r="N13" s="40">
        <v>3121</v>
      </c>
      <c r="O13" s="40">
        <v>3121</v>
      </c>
      <c r="P13" s="40">
        <v>3121</v>
      </c>
      <c r="Q13" s="40">
        <v>3121</v>
      </c>
      <c r="R13" s="40">
        <v>3121</v>
      </c>
      <c r="S13" s="40">
        <v>3121</v>
      </c>
      <c r="T13" s="40">
        <v>3121</v>
      </c>
      <c r="U13" s="40">
        <v>3121</v>
      </c>
      <c r="V13" s="40">
        <v>3121</v>
      </c>
      <c r="W13" s="40">
        <v>3121</v>
      </c>
      <c r="X13" s="40">
        <v>3122</v>
      </c>
      <c r="Y13" s="40">
        <v>3122</v>
      </c>
      <c r="Z13" s="40">
        <v>3122</v>
      </c>
      <c r="AA13" s="40">
        <v>3122</v>
      </c>
      <c r="AB13" s="40">
        <v>3122</v>
      </c>
      <c r="AC13" s="40">
        <v>3122</v>
      </c>
      <c r="AD13" s="40">
        <v>3122</v>
      </c>
      <c r="AE13" s="40">
        <v>3122</v>
      </c>
      <c r="AF13" s="40">
        <v>3122</v>
      </c>
      <c r="AG13" s="40">
        <v>3122</v>
      </c>
      <c r="AH13" s="40">
        <v>3122</v>
      </c>
      <c r="AI13" s="40">
        <v>3122</v>
      </c>
    </row>
    <row r="14" spans="1:67" s="24" customFormat="1" ht="21.75" customHeight="1" thickBot="1" x14ac:dyDescent="0.25">
      <c r="A14" s="72"/>
      <c r="B14" s="41"/>
      <c r="C14" s="75"/>
      <c r="D14" s="42"/>
      <c r="E14" s="42">
        <f>E13-D13</f>
        <v>0</v>
      </c>
      <c r="F14" s="42">
        <f t="shared" ref="F14:AI14" si="91">F13-E13</f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f t="shared" si="91"/>
        <v>0</v>
      </c>
      <c r="S14" s="42">
        <f t="shared" si="91"/>
        <v>0</v>
      </c>
      <c r="T14" s="42">
        <f t="shared" si="91"/>
        <v>0</v>
      </c>
      <c r="U14" s="42">
        <f t="shared" si="91"/>
        <v>0</v>
      </c>
      <c r="V14" s="42">
        <f t="shared" si="91"/>
        <v>0</v>
      </c>
      <c r="W14" s="42">
        <f t="shared" si="91"/>
        <v>0</v>
      </c>
      <c r="X14" s="42">
        <f t="shared" si="91"/>
        <v>1</v>
      </c>
      <c r="Y14" s="42">
        <f t="shared" si="91"/>
        <v>0</v>
      </c>
      <c r="Z14" s="42">
        <f t="shared" si="91"/>
        <v>0</v>
      </c>
      <c r="AA14" s="42">
        <f t="shared" si="91"/>
        <v>0</v>
      </c>
      <c r="AB14" s="42">
        <f t="shared" si="91"/>
        <v>0</v>
      </c>
      <c r="AC14" s="42">
        <f t="shared" si="91"/>
        <v>0</v>
      </c>
      <c r="AD14" s="42">
        <f t="shared" si="91"/>
        <v>0</v>
      </c>
      <c r="AE14" s="42">
        <f t="shared" si="91"/>
        <v>0</v>
      </c>
      <c r="AF14" s="42">
        <f t="shared" si="91"/>
        <v>0</v>
      </c>
      <c r="AG14" s="42">
        <f t="shared" si="91"/>
        <v>0</v>
      </c>
      <c r="AH14" s="42">
        <f t="shared" si="91"/>
        <v>0</v>
      </c>
      <c r="AI14" s="42">
        <f t="shared" si="91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7">
        <v>8</v>
      </c>
      <c r="B15" s="39" t="s">
        <v>59</v>
      </c>
      <c r="C15" s="69" t="s">
        <v>60</v>
      </c>
      <c r="D15" s="40">
        <v>381</v>
      </c>
      <c r="E15" s="40">
        <v>381</v>
      </c>
      <c r="F15" s="40">
        <v>381</v>
      </c>
      <c r="G15" s="40">
        <v>381</v>
      </c>
      <c r="H15" s="40">
        <v>381</v>
      </c>
      <c r="I15" s="40">
        <v>382</v>
      </c>
      <c r="J15" s="40">
        <v>382</v>
      </c>
      <c r="K15" s="40">
        <v>382</v>
      </c>
      <c r="L15" s="40">
        <v>382</v>
      </c>
      <c r="M15" s="40">
        <v>382</v>
      </c>
      <c r="N15" s="40">
        <v>382</v>
      </c>
      <c r="O15" s="40">
        <v>382</v>
      </c>
      <c r="P15" s="40">
        <v>382</v>
      </c>
      <c r="Q15" s="40">
        <v>382</v>
      </c>
      <c r="R15" s="40">
        <v>382</v>
      </c>
      <c r="S15" s="40">
        <v>382</v>
      </c>
      <c r="T15" s="40">
        <v>382</v>
      </c>
      <c r="U15" s="40">
        <v>382</v>
      </c>
      <c r="V15" s="40">
        <v>382</v>
      </c>
      <c r="W15" s="40">
        <v>382</v>
      </c>
      <c r="X15" s="40">
        <v>383</v>
      </c>
      <c r="Y15" s="40">
        <v>383</v>
      </c>
      <c r="Z15" s="40">
        <v>383</v>
      </c>
      <c r="AA15" s="40">
        <v>383</v>
      </c>
      <c r="AB15" s="40">
        <v>383</v>
      </c>
      <c r="AC15" s="40">
        <v>383</v>
      </c>
      <c r="AD15" s="40">
        <v>383</v>
      </c>
      <c r="AE15" s="40">
        <v>383</v>
      </c>
      <c r="AF15" s="40">
        <v>383</v>
      </c>
      <c r="AG15" s="40">
        <v>383</v>
      </c>
      <c r="AH15" s="40">
        <v>383</v>
      </c>
      <c r="AI15" s="40">
        <v>383</v>
      </c>
    </row>
    <row r="16" spans="1:67" s="24" customFormat="1" ht="21.75" customHeight="1" thickBot="1" x14ac:dyDescent="0.25">
      <c r="A16" s="74"/>
      <c r="B16" s="41"/>
      <c r="C16" s="75"/>
      <c r="D16" s="42"/>
      <c r="E16" s="42">
        <f t="shared" ref="E16:AI16" si="92">E15-D15</f>
        <v>0</v>
      </c>
      <c r="F16" s="42">
        <f t="shared" si="92"/>
        <v>0</v>
      </c>
      <c r="G16" s="42">
        <f t="shared" si="92"/>
        <v>0</v>
      </c>
      <c r="H16" s="42">
        <f t="shared" si="92"/>
        <v>0</v>
      </c>
      <c r="I16" s="42">
        <f t="shared" si="92"/>
        <v>1</v>
      </c>
      <c r="J16" s="42">
        <f t="shared" si="92"/>
        <v>0</v>
      </c>
      <c r="K16" s="42">
        <f t="shared" si="92"/>
        <v>0</v>
      </c>
      <c r="L16" s="42">
        <f t="shared" si="92"/>
        <v>0</v>
      </c>
      <c r="M16" s="42">
        <f t="shared" si="92"/>
        <v>0</v>
      </c>
      <c r="N16" s="42">
        <f t="shared" si="92"/>
        <v>0</v>
      </c>
      <c r="O16" s="42">
        <f t="shared" si="92"/>
        <v>0</v>
      </c>
      <c r="P16" s="42">
        <f t="shared" si="92"/>
        <v>0</v>
      </c>
      <c r="Q16" s="42">
        <f t="shared" si="92"/>
        <v>0</v>
      </c>
      <c r="R16" s="42">
        <f t="shared" si="92"/>
        <v>0</v>
      </c>
      <c r="S16" s="42">
        <f t="shared" si="92"/>
        <v>0</v>
      </c>
      <c r="T16" s="42">
        <f t="shared" si="92"/>
        <v>0</v>
      </c>
      <c r="U16" s="42">
        <f t="shared" si="92"/>
        <v>0</v>
      </c>
      <c r="V16" s="42">
        <f t="shared" si="92"/>
        <v>0</v>
      </c>
      <c r="W16" s="42">
        <f t="shared" si="92"/>
        <v>0</v>
      </c>
      <c r="X16" s="42">
        <f t="shared" si="92"/>
        <v>1</v>
      </c>
      <c r="Y16" s="42">
        <f t="shared" si="92"/>
        <v>0</v>
      </c>
      <c r="Z16" s="42">
        <f t="shared" si="92"/>
        <v>0</v>
      </c>
      <c r="AA16" s="42">
        <f t="shared" si="92"/>
        <v>0</v>
      </c>
      <c r="AB16" s="42">
        <f t="shared" si="92"/>
        <v>0</v>
      </c>
      <c r="AC16" s="42">
        <f t="shared" si="92"/>
        <v>0</v>
      </c>
      <c r="AD16" s="42">
        <f t="shared" si="92"/>
        <v>0</v>
      </c>
      <c r="AE16" s="42">
        <f t="shared" si="92"/>
        <v>0</v>
      </c>
      <c r="AF16" s="42">
        <f t="shared" si="92"/>
        <v>0</v>
      </c>
      <c r="AG16" s="42">
        <f t="shared" si="92"/>
        <v>0</v>
      </c>
      <c r="AH16" s="42">
        <f t="shared" si="92"/>
        <v>0</v>
      </c>
      <c r="AI16" s="42">
        <f t="shared" si="92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7">
        <v>13</v>
      </c>
      <c r="B17" s="39" t="s">
        <v>61</v>
      </c>
      <c r="C17" s="69" t="s">
        <v>62</v>
      </c>
      <c r="D17" s="40">
        <v>1259307</v>
      </c>
      <c r="E17" s="40">
        <v>1259579</v>
      </c>
      <c r="F17" s="40">
        <v>1259845</v>
      </c>
      <c r="G17" s="40">
        <v>1260127</v>
      </c>
      <c r="H17" s="40">
        <v>1260424</v>
      </c>
      <c r="I17" s="40">
        <v>1260704</v>
      </c>
      <c r="J17" s="40">
        <v>1260990</v>
      </c>
      <c r="K17" s="40">
        <v>1261278</v>
      </c>
      <c r="L17" s="40">
        <v>1261555</v>
      </c>
      <c r="M17" s="40">
        <v>1261818</v>
      </c>
      <c r="N17" s="40">
        <v>1262081</v>
      </c>
      <c r="O17" s="40">
        <v>1262372</v>
      </c>
      <c r="P17" s="40">
        <v>1262660</v>
      </c>
      <c r="Q17" s="40">
        <v>1262914</v>
      </c>
      <c r="R17" s="40">
        <v>1263186</v>
      </c>
      <c r="S17" s="40">
        <v>1263453</v>
      </c>
      <c r="T17" s="40">
        <v>1263718</v>
      </c>
      <c r="U17" s="40">
        <v>1264006</v>
      </c>
      <c r="V17" s="40">
        <v>1264298</v>
      </c>
      <c r="W17" s="40">
        <v>1264586</v>
      </c>
      <c r="X17" s="40">
        <v>1264868</v>
      </c>
      <c r="Y17" s="40">
        <v>1265141</v>
      </c>
      <c r="Z17" s="40">
        <v>1265429</v>
      </c>
      <c r="AA17" s="40">
        <v>1265733</v>
      </c>
      <c r="AB17" s="40">
        <v>1266015</v>
      </c>
      <c r="AC17" s="40">
        <v>1266291</v>
      </c>
      <c r="AD17" s="40">
        <v>1266562</v>
      </c>
      <c r="AE17" s="40">
        <v>1266833</v>
      </c>
      <c r="AF17" s="40">
        <v>1267098</v>
      </c>
      <c r="AG17" s="40">
        <v>1267386</v>
      </c>
      <c r="AH17" s="40">
        <v>1267664</v>
      </c>
      <c r="AI17" s="40">
        <v>1267948</v>
      </c>
    </row>
    <row r="18" spans="1:35" ht="21.75" customHeight="1" thickBot="1" x14ac:dyDescent="0.25">
      <c r="A18" s="68"/>
      <c r="B18" s="43"/>
      <c r="C18" s="70"/>
      <c r="D18" s="42"/>
      <c r="E18" s="42">
        <f t="shared" ref="E18:AI18" si="93">E17-D17</f>
        <v>272</v>
      </c>
      <c r="F18" s="42">
        <f t="shared" si="93"/>
        <v>266</v>
      </c>
      <c r="G18" s="42">
        <f t="shared" si="93"/>
        <v>282</v>
      </c>
      <c r="H18" s="42">
        <f t="shared" si="93"/>
        <v>297</v>
      </c>
      <c r="I18" s="42">
        <f t="shared" si="93"/>
        <v>280</v>
      </c>
      <c r="J18" s="42">
        <f t="shared" si="93"/>
        <v>286</v>
      </c>
      <c r="K18" s="42">
        <f t="shared" si="93"/>
        <v>288</v>
      </c>
      <c r="L18" s="42">
        <f t="shared" si="93"/>
        <v>277</v>
      </c>
      <c r="M18" s="42">
        <f t="shared" si="93"/>
        <v>263</v>
      </c>
      <c r="N18" s="42">
        <f t="shared" si="93"/>
        <v>263</v>
      </c>
      <c r="O18" s="42">
        <f t="shared" si="93"/>
        <v>291</v>
      </c>
      <c r="P18" s="42">
        <f t="shared" si="93"/>
        <v>288</v>
      </c>
      <c r="Q18" s="42">
        <f t="shared" si="93"/>
        <v>254</v>
      </c>
      <c r="R18" s="42">
        <f t="shared" si="93"/>
        <v>272</v>
      </c>
      <c r="S18" s="42">
        <f t="shared" si="93"/>
        <v>267</v>
      </c>
      <c r="T18" s="42">
        <f t="shared" si="93"/>
        <v>265</v>
      </c>
      <c r="U18" s="42">
        <f t="shared" si="93"/>
        <v>288</v>
      </c>
      <c r="V18" s="42">
        <f t="shared" si="93"/>
        <v>292</v>
      </c>
      <c r="W18" s="42">
        <f t="shared" si="93"/>
        <v>288</v>
      </c>
      <c r="X18" s="42">
        <f t="shared" si="93"/>
        <v>282</v>
      </c>
      <c r="Y18" s="42">
        <f t="shared" si="93"/>
        <v>273</v>
      </c>
      <c r="Z18" s="42">
        <f t="shared" si="93"/>
        <v>288</v>
      </c>
      <c r="AA18" s="42">
        <f t="shared" si="93"/>
        <v>304</v>
      </c>
      <c r="AB18" s="42">
        <f t="shared" si="93"/>
        <v>282</v>
      </c>
      <c r="AC18" s="42">
        <f t="shared" si="93"/>
        <v>276</v>
      </c>
      <c r="AD18" s="42">
        <f t="shared" si="93"/>
        <v>271</v>
      </c>
      <c r="AE18" s="42">
        <f t="shared" si="93"/>
        <v>271</v>
      </c>
      <c r="AF18" s="42">
        <f t="shared" si="93"/>
        <v>265</v>
      </c>
      <c r="AG18" s="42">
        <f t="shared" si="93"/>
        <v>288</v>
      </c>
      <c r="AH18" s="42">
        <f t="shared" si="93"/>
        <v>278</v>
      </c>
      <c r="AI18" s="42">
        <f t="shared" si="93"/>
        <v>284</v>
      </c>
    </row>
    <row r="19" spans="1:35" ht="21.75" customHeight="1" x14ac:dyDescent="0.2">
      <c r="A19" s="71">
        <v>14</v>
      </c>
      <c r="B19" s="39" t="s">
        <v>63</v>
      </c>
      <c r="C19" s="69" t="s">
        <v>64</v>
      </c>
      <c r="D19" s="40">
        <v>352175</v>
      </c>
      <c r="E19" s="40">
        <v>352223</v>
      </c>
      <c r="F19" s="40">
        <v>352270</v>
      </c>
      <c r="G19" s="40">
        <v>352316</v>
      </c>
      <c r="H19" s="40">
        <v>352358</v>
      </c>
      <c r="I19" s="40">
        <v>352401</v>
      </c>
      <c r="J19" s="40">
        <v>352445</v>
      </c>
      <c r="K19" s="40">
        <v>352489</v>
      </c>
      <c r="L19" s="40">
        <v>352532</v>
      </c>
      <c r="M19" s="40">
        <v>352575</v>
      </c>
      <c r="N19" s="40">
        <v>352618</v>
      </c>
      <c r="O19" s="40">
        <v>352661</v>
      </c>
      <c r="P19" s="40">
        <v>352700</v>
      </c>
      <c r="Q19" s="40">
        <v>352739</v>
      </c>
      <c r="R19" s="40">
        <v>352779</v>
      </c>
      <c r="S19" s="40">
        <v>352820</v>
      </c>
      <c r="T19" s="40">
        <v>352864</v>
      </c>
      <c r="U19" s="40">
        <v>352906</v>
      </c>
      <c r="V19" s="40">
        <v>352948</v>
      </c>
      <c r="W19" s="40">
        <v>352986</v>
      </c>
      <c r="X19" s="40">
        <v>353028</v>
      </c>
      <c r="Y19" s="40">
        <v>353068</v>
      </c>
      <c r="Z19" s="40">
        <v>353106</v>
      </c>
      <c r="AA19" s="40">
        <v>353146</v>
      </c>
      <c r="AB19" s="40">
        <v>353183</v>
      </c>
      <c r="AC19" s="40">
        <v>353224</v>
      </c>
      <c r="AD19" s="40">
        <v>353268</v>
      </c>
      <c r="AE19" s="40">
        <v>353306</v>
      </c>
      <c r="AF19" s="40">
        <v>353345</v>
      </c>
      <c r="AG19" s="40">
        <v>353387</v>
      </c>
      <c r="AH19" s="40">
        <v>353427</v>
      </c>
      <c r="AI19" s="40">
        <v>353468</v>
      </c>
    </row>
    <row r="20" spans="1:35" ht="21.75" customHeight="1" thickBot="1" x14ac:dyDescent="0.25">
      <c r="A20" s="72"/>
      <c r="B20" s="43"/>
      <c r="C20" s="70"/>
      <c r="D20" s="42"/>
      <c r="E20" s="42">
        <f t="shared" ref="E20:AI20" si="94">E19-D19</f>
        <v>48</v>
      </c>
      <c r="F20" s="42">
        <f t="shared" si="94"/>
        <v>47</v>
      </c>
      <c r="G20" s="42">
        <f t="shared" si="94"/>
        <v>46</v>
      </c>
      <c r="H20" s="42">
        <f t="shared" si="94"/>
        <v>42</v>
      </c>
      <c r="I20" s="42">
        <f t="shared" si="94"/>
        <v>43</v>
      </c>
      <c r="J20" s="42">
        <f t="shared" si="94"/>
        <v>44</v>
      </c>
      <c r="K20" s="42">
        <f t="shared" si="94"/>
        <v>44</v>
      </c>
      <c r="L20" s="42">
        <f t="shared" si="94"/>
        <v>43</v>
      </c>
      <c r="M20" s="42">
        <f t="shared" si="94"/>
        <v>43</v>
      </c>
      <c r="N20" s="42">
        <f t="shared" si="94"/>
        <v>43</v>
      </c>
      <c r="O20" s="42">
        <f t="shared" si="94"/>
        <v>43</v>
      </c>
      <c r="P20" s="42">
        <f t="shared" si="94"/>
        <v>39</v>
      </c>
      <c r="Q20" s="42">
        <f t="shared" si="94"/>
        <v>39</v>
      </c>
      <c r="R20" s="42">
        <f t="shared" si="94"/>
        <v>40</v>
      </c>
      <c r="S20" s="42">
        <f t="shared" si="94"/>
        <v>41</v>
      </c>
      <c r="T20" s="42">
        <f t="shared" si="94"/>
        <v>44</v>
      </c>
      <c r="U20" s="42">
        <f t="shared" si="94"/>
        <v>42</v>
      </c>
      <c r="V20" s="42">
        <f t="shared" si="94"/>
        <v>42</v>
      </c>
      <c r="W20" s="42">
        <f t="shared" si="94"/>
        <v>38</v>
      </c>
      <c r="X20" s="42">
        <f t="shared" si="94"/>
        <v>42</v>
      </c>
      <c r="Y20" s="42">
        <f t="shared" si="94"/>
        <v>40</v>
      </c>
      <c r="Z20" s="42">
        <f t="shared" si="94"/>
        <v>38</v>
      </c>
      <c r="AA20" s="42">
        <f t="shared" si="94"/>
        <v>40</v>
      </c>
      <c r="AB20" s="42">
        <f t="shared" si="94"/>
        <v>37</v>
      </c>
      <c r="AC20" s="42">
        <f t="shared" si="94"/>
        <v>41</v>
      </c>
      <c r="AD20" s="42">
        <f t="shared" si="94"/>
        <v>44</v>
      </c>
      <c r="AE20" s="42">
        <f t="shared" si="94"/>
        <v>38</v>
      </c>
      <c r="AF20" s="42">
        <f t="shared" si="94"/>
        <v>39</v>
      </c>
      <c r="AG20" s="42">
        <f t="shared" si="94"/>
        <v>42</v>
      </c>
      <c r="AH20" s="42">
        <f t="shared" si="94"/>
        <v>40</v>
      </c>
      <c r="AI20" s="42">
        <f t="shared" si="94"/>
        <v>41</v>
      </c>
    </row>
    <row r="21" spans="1:35" ht="27" customHeight="1" x14ac:dyDescent="0.3">
      <c r="B21" s="73" t="s">
        <v>65</v>
      </c>
      <c r="C21" s="73"/>
      <c r="D21" s="44"/>
      <c r="E21" s="58">
        <f>((E6+E8)+((E10+E12)*40%)+(E14+E16+E18+E20))</f>
        <v>35920</v>
      </c>
      <c r="F21" s="58">
        <f t="shared" ref="F21:AI21" si="95">((F6+F8)+((F10+F12)*40%)+(F14+F16+F18+F20))</f>
        <v>36913</v>
      </c>
      <c r="G21" s="58">
        <f t="shared" si="95"/>
        <v>35928</v>
      </c>
      <c r="H21" s="58">
        <f t="shared" si="95"/>
        <v>35539</v>
      </c>
      <c r="I21" s="58">
        <f t="shared" si="95"/>
        <v>35924</v>
      </c>
      <c r="J21" s="58">
        <f t="shared" si="95"/>
        <v>36130</v>
      </c>
      <c r="K21" s="58">
        <f t="shared" si="95"/>
        <v>36532</v>
      </c>
      <c r="L21" s="58">
        <f t="shared" si="95"/>
        <v>36520</v>
      </c>
      <c r="M21" s="58">
        <f t="shared" si="95"/>
        <v>35306</v>
      </c>
      <c r="N21" s="58">
        <f t="shared" si="95"/>
        <v>32506</v>
      </c>
      <c r="O21" s="58">
        <f t="shared" si="95"/>
        <v>31134</v>
      </c>
      <c r="P21" s="58">
        <f t="shared" si="95"/>
        <v>30727</v>
      </c>
      <c r="Q21" s="58">
        <f t="shared" si="95"/>
        <v>32093</v>
      </c>
      <c r="R21" s="58">
        <f t="shared" si="95"/>
        <v>31512</v>
      </c>
      <c r="S21" s="58">
        <f t="shared" si="95"/>
        <v>31508</v>
      </c>
      <c r="T21" s="58">
        <f t="shared" si="95"/>
        <v>32909</v>
      </c>
      <c r="U21" s="58">
        <f t="shared" si="95"/>
        <v>31930</v>
      </c>
      <c r="V21" s="58">
        <f t="shared" si="95"/>
        <v>32134</v>
      </c>
      <c r="W21" s="58">
        <f t="shared" si="95"/>
        <v>31126</v>
      </c>
      <c r="X21" s="58">
        <f t="shared" si="95"/>
        <v>32526</v>
      </c>
      <c r="Y21" s="58">
        <f t="shared" si="95"/>
        <v>29313</v>
      </c>
      <c r="Z21" s="58">
        <f t="shared" si="95"/>
        <v>29926</v>
      </c>
      <c r="AA21" s="58">
        <f t="shared" si="95"/>
        <v>31344</v>
      </c>
      <c r="AB21" s="58">
        <f t="shared" si="95"/>
        <v>32719</v>
      </c>
      <c r="AC21" s="58">
        <f t="shared" si="95"/>
        <v>32117</v>
      </c>
      <c r="AD21" s="58">
        <f t="shared" si="95"/>
        <v>33115</v>
      </c>
      <c r="AE21" s="58">
        <f t="shared" si="95"/>
        <v>28509</v>
      </c>
      <c r="AF21" s="58">
        <f t="shared" si="95"/>
        <v>29104</v>
      </c>
      <c r="AG21" s="58">
        <f t="shared" si="95"/>
        <v>28130</v>
      </c>
      <c r="AH21" s="58">
        <f t="shared" si="95"/>
        <v>29518</v>
      </c>
      <c r="AI21" s="58">
        <f t="shared" si="95"/>
        <v>30525</v>
      </c>
    </row>
    <row r="22" spans="1:35" ht="27" customHeight="1" x14ac:dyDescent="0.3">
      <c r="B22" s="66" t="s">
        <v>66</v>
      </c>
      <c r="C22" s="66"/>
      <c r="D22" s="44"/>
      <c r="E22" s="58">
        <f>SUM(E21:AI21)</f>
        <v>1009137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9" t="s">
        <v>85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 t="s">
        <v>79</v>
      </c>
    </row>
    <row r="5" spans="1:42" s="8" customFormat="1" ht="40.5" customHeight="1" thickBot="1" x14ac:dyDescent="0.3">
      <c r="A5" s="92" t="s">
        <v>20</v>
      </c>
      <c r="B5" s="27" t="s">
        <v>48</v>
      </c>
      <c r="C5" s="94" t="s">
        <v>49</v>
      </c>
      <c r="D5" s="31">
        <v>346468.2</v>
      </c>
      <c r="E5" s="31">
        <v>346691.2</v>
      </c>
      <c r="F5" s="31">
        <v>346907.2</v>
      </c>
      <c r="G5" s="31">
        <v>347141.2</v>
      </c>
      <c r="H5" s="31">
        <v>347325.5</v>
      </c>
      <c r="I5" s="31">
        <v>347541.4</v>
      </c>
      <c r="J5" s="31">
        <v>347748.8</v>
      </c>
      <c r="K5" s="31">
        <v>347953.2</v>
      </c>
      <c r="L5" s="31">
        <v>348262.2</v>
      </c>
      <c r="M5" s="31">
        <v>348522.1</v>
      </c>
      <c r="N5" s="31">
        <v>348790</v>
      </c>
      <c r="O5" s="31">
        <v>349040.2</v>
      </c>
      <c r="P5" s="31">
        <v>349216.9</v>
      </c>
      <c r="Q5" s="31">
        <v>349446.7</v>
      </c>
      <c r="R5" s="31">
        <v>349726.2</v>
      </c>
      <c r="S5" s="31">
        <v>349977.1</v>
      </c>
      <c r="T5" s="31">
        <v>350308.1</v>
      </c>
      <c r="U5" s="31">
        <v>350634.1</v>
      </c>
      <c r="V5" s="31">
        <v>350971.1</v>
      </c>
      <c r="W5" s="31">
        <v>351288.9</v>
      </c>
      <c r="X5" s="31">
        <v>351524.4</v>
      </c>
      <c r="Y5" s="31">
        <v>351757.1</v>
      </c>
      <c r="Z5" s="31">
        <v>352040.1</v>
      </c>
      <c r="AA5" s="31">
        <v>352302.1</v>
      </c>
      <c r="AB5" s="31">
        <v>352507.1</v>
      </c>
      <c r="AC5" s="31">
        <v>352801.1</v>
      </c>
      <c r="AD5" s="31">
        <v>352996.1</v>
      </c>
      <c r="AE5" s="31">
        <v>353181.1</v>
      </c>
      <c r="AF5" s="31">
        <v>353430.1</v>
      </c>
      <c r="AG5" s="31">
        <v>353630.4</v>
      </c>
      <c r="AH5" s="31">
        <v>353840.6</v>
      </c>
      <c r="AI5" s="31">
        <v>354051.6</v>
      </c>
    </row>
    <row r="6" spans="1:42" s="34" customFormat="1" ht="25.7" customHeight="1" thickBot="1" x14ac:dyDescent="0.3">
      <c r="A6" s="93"/>
      <c r="B6" s="32"/>
      <c r="C6" s="94"/>
      <c r="D6" s="33"/>
      <c r="E6" s="33">
        <f t="shared" ref="E6:AI6" si="0">E5-D5</f>
        <v>223</v>
      </c>
      <c r="F6" s="33">
        <f t="shared" si="0"/>
        <v>216</v>
      </c>
      <c r="G6" s="33">
        <f t="shared" si="0"/>
        <v>234</v>
      </c>
      <c r="H6" s="33">
        <f t="shared" si="0"/>
        <v>184.29999999998836</v>
      </c>
      <c r="I6" s="33">
        <f t="shared" si="0"/>
        <v>215.90000000002328</v>
      </c>
      <c r="J6" s="33">
        <f t="shared" si="0"/>
        <v>207.39999999996508</v>
      </c>
      <c r="K6" s="33">
        <f t="shared" si="0"/>
        <v>204.40000000002328</v>
      </c>
      <c r="L6" s="65">
        <f t="shared" si="0"/>
        <v>309</v>
      </c>
      <c r="M6" s="65">
        <f t="shared" si="0"/>
        <v>259.89999999996508</v>
      </c>
      <c r="N6" s="65">
        <f t="shared" si="0"/>
        <v>267.90000000002328</v>
      </c>
      <c r="O6" s="65">
        <f t="shared" si="0"/>
        <v>250.20000000001164</v>
      </c>
      <c r="P6" s="33">
        <f t="shared" si="0"/>
        <v>176.70000000001164</v>
      </c>
      <c r="Q6" s="33">
        <f t="shared" si="0"/>
        <v>229.79999999998836</v>
      </c>
      <c r="R6" s="65">
        <f t="shared" si="0"/>
        <v>279.5</v>
      </c>
      <c r="S6" s="33">
        <f t="shared" si="0"/>
        <v>250.89999999996508</v>
      </c>
      <c r="T6" s="65">
        <f t="shared" si="0"/>
        <v>331</v>
      </c>
      <c r="U6" s="65">
        <f t="shared" si="0"/>
        <v>326</v>
      </c>
      <c r="V6" s="65">
        <f t="shared" si="0"/>
        <v>337</v>
      </c>
      <c r="W6" s="65">
        <f t="shared" si="0"/>
        <v>317.80000000004657</v>
      </c>
      <c r="X6" s="33">
        <f t="shared" si="0"/>
        <v>235.5</v>
      </c>
      <c r="Y6" s="33">
        <f t="shared" si="0"/>
        <v>232.69999999995343</v>
      </c>
      <c r="Z6" s="65">
        <f t="shared" si="0"/>
        <v>283</v>
      </c>
      <c r="AA6" s="33">
        <f t="shared" si="0"/>
        <v>262</v>
      </c>
      <c r="AB6" s="33">
        <f t="shared" si="0"/>
        <v>205</v>
      </c>
      <c r="AC6" s="65">
        <f t="shared" si="0"/>
        <v>294</v>
      </c>
      <c r="AD6" s="33">
        <f t="shared" si="0"/>
        <v>195</v>
      </c>
      <c r="AE6" s="33">
        <f t="shared" si="0"/>
        <v>185</v>
      </c>
      <c r="AF6" s="65">
        <f t="shared" si="0"/>
        <v>249</v>
      </c>
      <c r="AG6" s="33">
        <f t="shared" si="0"/>
        <v>200.30000000004657</v>
      </c>
      <c r="AH6" s="33">
        <f t="shared" si="0"/>
        <v>210.19999999995343</v>
      </c>
      <c r="AI6" s="33">
        <f t="shared" si="0"/>
        <v>211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2" t="s">
        <v>22</v>
      </c>
      <c r="B7" s="49" t="s">
        <v>69</v>
      </c>
      <c r="C7" s="94" t="s">
        <v>70</v>
      </c>
      <c r="D7" s="31">
        <v>373823.4</v>
      </c>
      <c r="E7" s="31">
        <v>373927.1</v>
      </c>
      <c r="F7" s="31">
        <v>373966.2</v>
      </c>
      <c r="G7" s="31">
        <v>374006.2</v>
      </c>
      <c r="H7" s="31">
        <v>374077</v>
      </c>
      <c r="I7" s="31">
        <v>374112.1</v>
      </c>
      <c r="J7" s="31">
        <v>374205.2</v>
      </c>
      <c r="K7" s="31">
        <v>374243.6</v>
      </c>
      <c r="L7" s="31">
        <v>374320.6</v>
      </c>
      <c r="M7" s="31">
        <v>374355.20000000001</v>
      </c>
      <c r="N7" s="31">
        <v>374461</v>
      </c>
      <c r="O7" s="31">
        <v>374480.2</v>
      </c>
      <c r="P7" s="31">
        <v>374582.7</v>
      </c>
      <c r="Q7" s="31">
        <v>374613.7</v>
      </c>
      <c r="R7" s="31">
        <v>374644.2</v>
      </c>
      <c r="S7" s="31">
        <v>374730.1</v>
      </c>
      <c r="T7" s="31">
        <v>374766.1</v>
      </c>
      <c r="U7" s="31">
        <v>374841.2</v>
      </c>
      <c r="V7" s="31">
        <v>374872.2</v>
      </c>
      <c r="W7" s="31">
        <v>374984.2</v>
      </c>
      <c r="X7" s="31">
        <v>375018.1</v>
      </c>
      <c r="Y7" s="31">
        <v>375085.1</v>
      </c>
      <c r="Z7" s="31">
        <v>375164.1</v>
      </c>
      <c r="AA7" s="31">
        <v>375192.9</v>
      </c>
      <c r="AB7" s="31">
        <v>375266.1</v>
      </c>
      <c r="AC7" s="31">
        <v>375297.1</v>
      </c>
      <c r="AD7" s="31">
        <v>375370.7</v>
      </c>
      <c r="AE7" s="31">
        <v>375393.8</v>
      </c>
      <c r="AF7" s="31">
        <v>375417.1</v>
      </c>
      <c r="AG7" s="31">
        <v>375471.1</v>
      </c>
      <c r="AH7" s="31">
        <v>375494.6</v>
      </c>
      <c r="AI7" s="31">
        <v>375563.4</v>
      </c>
    </row>
    <row r="8" spans="1:42" s="34" customFormat="1" ht="25.7" customHeight="1" thickBot="1" x14ac:dyDescent="0.3">
      <c r="A8" s="93"/>
      <c r="B8" s="47"/>
      <c r="C8" s="94"/>
      <c r="D8" s="33"/>
      <c r="E8" s="33">
        <f t="shared" ref="E8:AI8" si="1">E7-D7</f>
        <v>103.69999999995343</v>
      </c>
      <c r="F8" s="33">
        <f t="shared" si="1"/>
        <v>39.100000000034925</v>
      </c>
      <c r="G8" s="33">
        <f t="shared" si="1"/>
        <v>40</v>
      </c>
      <c r="H8" s="33">
        <f t="shared" si="1"/>
        <v>70.799999999988358</v>
      </c>
      <c r="I8" s="33">
        <f t="shared" si="1"/>
        <v>35.099999999976717</v>
      </c>
      <c r="J8" s="33">
        <f t="shared" si="1"/>
        <v>93.100000000034925</v>
      </c>
      <c r="K8" s="33">
        <f t="shared" si="1"/>
        <v>38.399999999965075</v>
      </c>
      <c r="L8" s="33">
        <f t="shared" si="1"/>
        <v>77</v>
      </c>
      <c r="M8" s="33">
        <f t="shared" si="1"/>
        <v>34.600000000034925</v>
      </c>
      <c r="N8" s="33">
        <f t="shared" si="1"/>
        <v>105.79999999998836</v>
      </c>
      <c r="O8" s="33">
        <f t="shared" si="1"/>
        <v>19.200000000011642</v>
      </c>
      <c r="P8" s="33">
        <f t="shared" si="1"/>
        <v>102.5</v>
      </c>
      <c r="Q8" s="33">
        <f t="shared" si="1"/>
        <v>31</v>
      </c>
      <c r="R8" s="33">
        <f t="shared" si="1"/>
        <v>30.5</v>
      </c>
      <c r="S8" s="33">
        <f t="shared" si="1"/>
        <v>85.899999999965075</v>
      </c>
      <c r="T8" s="33">
        <f t="shared" si="1"/>
        <v>36</v>
      </c>
      <c r="U8" s="33">
        <f t="shared" si="1"/>
        <v>75.100000000034925</v>
      </c>
      <c r="V8" s="33">
        <f t="shared" si="1"/>
        <v>31</v>
      </c>
      <c r="W8" s="33">
        <f t="shared" si="1"/>
        <v>112</v>
      </c>
      <c r="X8" s="33">
        <f t="shared" si="1"/>
        <v>33.899999999965075</v>
      </c>
      <c r="Y8" s="33">
        <f t="shared" si="1"/>
        <v>67</v>
      </c>
      <c r="Z8" s="33">
        <f t="shared" si="1"/>
        <v>79</v>
      </c>
      <c r="AA8" s="33">
        <f t="shared" si="1"/>
        <v>28.800000000046566</v>
      </c>
      <c r="AB8" s="33">
        <f t="shared" si="1"/>
        <v>73.199999999953434</v>
      </c>
      <c r="AC8" s="33">
        <f t="shared" si="1"/>
        <v>31</v>
      </c>
      <c r="AD8" s="33">
        <f t="shared" si="1"/>
        <v>73.600000000034925</v>
      </c>
      <c r="AE8" s="33">
        <f t="shared" si="1"/>
        <v>23.099999999976717</v>
      </c>
      <c r="AF8" s="33">
        <f t="shared" si="1"/>
        <v>23.299999999988358</v>
      </c>
      <c r="AG8" s="33">
        <f t="shared" si="1"/>
        <v>54</v>
      </c>
      <c r="AH8" s="33">
        <f t="shared" si="1"/>
        <v>23.5</v>
      </c>
      <c r="AI8" s="33">
        <f t="shared" si="1"/>
        <v>68.800000000046566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2">
        <v>4</v>
      </c>
      <c r="B9" s="46" t="s">
        <v>67</v>
      </c>
      <c r="C9" s="94" t="s">
        <v>68</v>
      </c>
      <c r="D9" s="31">
        <v>35683</v>
      </c>
      <c r="E9" s="31">
        <v>35757</v>
      </c>
      <c r="F9" s="31">
        <v>35757</v>
      </c>
      <c r="G9" s="31">
        <v>35757</v>
      </c>
      <c r="H9" s="31">
        <v>35892</v>
      </c>
      <c r="I9" s="31">
        <v>35892</v>
      </c>
      <c r="J9" s="31">
        <v>36032</v>
      </c>
      <c r="K9" s="31">
        <v>36035</v>
      </c>
      <c r="L9" s="31">
        <v>36146</v>
      </c>
      <c r="M9" s="31">
        <v>36146</v>
      </c>
      <c r="N9" s="31">
        <v>36271</v>
      </c>
      <c r="O9" s="31">
        <v>36271</v>
      </c>
      <c r="P9" s="31">
        <v>36419</v>
      </c>
      <c r="Q9" s="31">
        <v>36419</v>
      </c>
      <c r="R9" s="31">
        <v>36419</v>
      </c>
      <c r="S9" s="31">
        <v>36549</v>
      </c>
      <c r="T9" s="31">
        <v>36549</v>
      </c>
      <c r="U9" s="31">
        <v>36670</v>
      </c>
      <c r="V9" s="31">
        <v>36670</v>
      </c>
      <c r="W9" s="31">
        <v>36802</v>
      </c>
      <c r="X9" s="31">
        <v>36802</v>
      </c>
      <c r="Y9" s="31">
        <v>36907</v>
      </c>
      <c r="Z9" s="31">
        <v>37013</v>
      </c>
      <c r="AA9" s="31">
        <v>37013</v>
      </c>
      <c r="AB9" s="31">
        <v>37117</v>
      </c>
      <c r="AC9" s="31">
        <v>37117</v>
      </c>
      <c r="AD9" s="31">
        <v>37244</v>
      </c>
      <c r="AE9" s="31">
        <v>37244</v>
      </c>
      <c r="AF9" s="31">
        <v>37244</v>
      </c>
      <c r="AG9" s="31">
        <v>37357</v>
      </c>
      <c r="AH9" s="31">
        <v>37357</v>
      </c>
      <c r="AI9" s="31">
        <v>37496</v>
      </c>
    </row>
    <row r="10" spans="1:42" s="34" customFormat="1" ht="25.7" customHeight="1" thickBot="1" x14ac:dyDescent="0.3">
      <c r="A10" s="93"/>
      <c r="B10" s="47"/>
      <c r="C10" s="94"/>
      <c r="D10" s="33"/>
      <c r="E10" s="33">
        <f t="shared" ref="E10:AI10" si="2">E9-D9</f>
        <v>74</v>
      </c>
      <c r="F10" s="33">
        <f t="shared" si="2"/>
        <v>0</v>
      </c>
      <c r="G10" s="33">
        <f t="shared" si="2"/>
        <v>0</v>
      </c>
      <c r="H10" s="33">
        <f t="shared" si="2"/>
        <v>135</v>
      </c>
      <c r="I10" s="33">
        <f t="shared" si="2"/>
        <v>0</v>
      </c>
      <c r="J10" s="33">
        <f t="shared" si="2"/>
        <v>140</v>
      </c>
      <c r="K10" s="33">
        <f t="shared" si="2"/>
        <v>3</v>
      </c>
      <c r="L10" s="33">
        <f t="shared" si="2"/>
        <v>111</v>
      </c>
      <c r="M10" s="33">
        <f t="shared" si="2"/>
        <v>0</v>
      </c>
      <c r="N10" s="33">
        <f t="shared" si="2"/>
        <v>125</v>
      </c>
      <c r="O10" s="33">
        <f t="shared" si="2"/>
        <v>0</v>
      </c>
      <c r="P10" s="33">
        <f t="shared" si="2"/>
        <v>148</v>
      </c>
      <c r="Q10" s="33">
        <f t="shared" si="2"/>
        <v>0</v>
      </c>
      <c r="R10" s="33">
        <f t="shared" si="2"/>
        <v>0</v>
      </c>
      <c r="S10" s="33">
        <f t="shared" si="2"/>
        <v>130</v>
      </c>
      <c r="T10" s="33">
        <f t="shared" si="2"/>
        <v>0</v>
      </c>
      <c r="U10" s="33">
        <f t="shared" si="2"/>
        <v>121</v>
      </c>
      <c r="V10" s="33">
        <f t="shared" si="2"/>
        <v>0</v>
      </c>
      <c r="W10" s="33">
        <f t="shared" si="2"/>
        <v>132</v>
      </c>
      <c r="X10" s="33">
        <f t="shared" si="2"/>
        <v>0</v>
      </c>
      <c r="Y10" s="33">
        <f t="shared" si="2"/>
        <v>105</v>
      </c>
      <c r="Z10" s="33">
        <f t="shared" si="2"/>
        <v>106</v>
      </c>
      <c r="AA10" s="65">
        <f t="shared" si="2"/>
        <v>0</v>
      </c>
      <c r="AB10" s="33">
        <f t="shared" si="2"/>
        <v>104</v>
      </c>
      <c r="AC10" s="65">
        <f t="shared" si="2"/>
        <v>0</v>
      </c>
      <c r="AD10" s="33">
        <f t="shared" si="2"/>
        <v>127</v>
      </c>
      <c r="AE10" s="33">
        <f t="shared" si="2"/>
        <v>0</v>
      </c>
      <c r="AF10" s="33">
        <f t="shared" si="2"/>
        <v>0</v>
      </c>
      <c r="AG10" s="33">
        <f t="shared" si="2"/>
        <v>113</v>
      </c>
      <c r="AH10" s="33">
        <f t="shared" si="2"/>
        <v>0</v>
      </c>
      <c r="AI10" s="33">
        <f t="shared" si="2"/>
        <v>139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5">
        <v>5</v>
      </c>
      <c r="B11" s="27">
        <v>68864837</v>
      </c>
      <c r="C11" s="94" t="s">
        <v>74</v>
      </c>
      <c r="D11" s="31">
        <v>898.6</v>
      </c>
      <c r="E11" s="31">
        <v>899.9</v>
      </c>
      <c r="F11" s="31">
        <v>899.9</v>
      </c>
      <c r="G11" s="31">
        <v>903.76700000000005</v>
      </c>
      <c r="H11" s="31">
        <v>906.32299999999998</v>
      </c>
      <c r="I11" s="31">
        <v>910.9</v>
      </c>
      <c r="J11" s="31">
        <v>913</v>
      </c>
      <c r="K11" s="31">
        <v>914</v>
      </c>
      <c r="L11" s="31">
        <v>915</v>
      </c>
      <c r="M11" s="31">
        <v>918</v>
      </c>
      <c r="N11" s="31">
        <v>920</v>
      </c>
      <c r="O11" s="31">
        <v>922</v>
      </c>
      <c r="P11" s="31">
        <v>926</v>
      </c>
      <c r="Q11" s="31">
        <v>928</v>
      </c>
      <c r="R11" s="31">
        <v>929</v>
      </c>
      <c r="S11" s="31">
        <v>932</v>
      </c>
      <c r="T11" s="31">
        <v>934</v>
      </c>
      <c r="U11" s="31">
        <v>936.298</v>
      </c>
      <c r="V11" s="31">
        <v>939.48299999999995</v>
      </c>
      <c r="W11" s="31">
        <v>941</v>
      </c>
      <c r="X11" s="31">
        <v>943</v>
      </c>
      <c r="Y11" s="31">
        <v>946</v>
      </c>
      <c r="Z11" s="31">
        <v>949</v>
      </c>
      <c r="AA11" s="31">
        <v>953</v>
      </c>
      <c r="AB11" s="31">
        <v>956</v>
      </c>
      <c r="AC11" s="31">
        <v>958.71600000000001</v>
      </c>
      <c r="AD11" s="31">
        <v>961</v>
      </c>
      <c r="AE11" s="31">
        <v>963</v>
      </c>
      <c r="AF11" s="31">
        <v>966</v>
      </c>
      <c r="AG11" s="31">
        <v>969.524</v>
      </c>
      <c r="AH11" s="31">
        <v>972.23800000000006</v>
      </c>
      <c r="AI11" s="31">
        <v>973.5</v>
      </c>
    </row>
    <row r="12" spans="1:42" s="8" customFormat="1" ht="25.7" customHeight="1" thickBot="1" x14ac:dyDescent="0.3">
      <c r="A12" s="96"/>
      <c r="B12" s="48"/>
      <c r="C12" s="94"/>
      <c r="D12" s="33"/>
      <c r="E12" s="33">
        <f t="shared" ref="E12:Q12" si="3">E11-D11</f>
        <v>1.2999999999999545</v>
      </c>
      <c r="F12" s="33">
        <f t="shared" si="3"/>
        <v>0</v>
      </c>
      <c r="G12" s="33">
        <f t="shared" si="3"/>
        <v>3.8670000000000755</v>
      </c>
      <c r="H12" s="33">
        <f t="shared" si="3"/>
        <v>2.5559999999999263</v>
      </c>
      <c r="I12" s="33">
        <f t="shared" si="3"/>
        <v>4.5769999999999982</v>
      </c>
      <c r="J12" s="33">
        <f t="shared" si="3"/>
        <v>2.1000000000000227</v>
      </c>
      <c r="K12" s="33">
        <f t="shared" si="3"/>
        <v>1</v>
      </c>
      <c r="L12" s="33">
        <f t="shared" si="3"/>
        <v>1</v>
      </c>
      <c r="M12" s="33">
        <f t="shared" si="3"/>
        <v>3</v>
      </c>
      <c r="N12" s="33">
        <f t="shared" si="3"/>
        <v>2</v>
      </c>
      <c r="O12" s="33">
        <f t="shared" si="3"/>
        <v>2</v>
      </c>
      <c r="P12" s="33">
        <f t="shared" si="3"/>
        <v>4</v>
      </c>
      <c r="Q12" s="33">
        <f t="shared" si="3"/>
        <v>2</v>
      </c>
      <c r="R12" s="33">
        <f>R11-Q11</f>
        <v>1</v>
      </c>
      <c r="S12" s="33">
        <f t="shared" ref="S12:AI12" si="4">S11-R11</f>
        <v>3</v>
      </c>
      <c r="T12" s="33">
        <f t="shared" si="4"/>
        <v>2</v>
      </c>
      <c r="U12" s="33">
        <f t="shared" si="4"/>
        <v>2.2980000000000018</v>
      </c>
      <c r="V12" s="33">
        <f t="shared" si="4"/>
        <v>3.1849999999999454</v>
      </c>
      <c r="W12" s="33">
        <f t="shared" si="4"/>
        <v>1.5170000000000528</v>
      </c>
      <c r="X12" s="33">
        <f t="shared" si="4"/>
        <v>2</v>
      </c>
      <c r="Y12" s="33">
        <f t="shared" si="4"/>
        <v>3</v>
      </c>
      <c r="Z12" s="33">
        <f t="shared" si="4"/>
        <v>3</v>
      </c>
      <c r="AA12" s="33">
        <f t="shared" si="4"/>
        <v>4</v>
      </c>
      <c r="AB12" s="33">
        <f t="shared" si="4"/>
        <v>3</v>
      </c>
      <c r="AC12" s="33">
        <f t="shared" si="4"/>
        <v>2.7160000000000082</v>
      </c>
      <c r="AD12" s="33">
        <f t="shared" si="4"/>
        <v>2.2839999999999918</v>
      </c>
      <c r="AE12" s="33">
        <f t="shared" si="4"/>
        <v>2</v>
      </c>
      <c r="AF12" s="33">
        <f t="shared" si="4"/>
        <v>3</v>
      </c>
      <c r="AG12" s="33">
        <f t="shared" si="4"/>
        <v>3.5240000000000009</v>
      </c>
      <c r="AH12" s="33">
        <f t="shared" si="4"/>
        <v>2.7140000000000555</v>
      </c>
      <c r="AI12" s="33">
        <f t="shared" si="4"/>
        <v>1.2619999999999436</v>
      </c>
    </row>
    <row r="13" spans="1:42" s="8" customFormat="1" ht="25.7" customHeight="1" thickBot="1" x14ac:dyDescent="0.3">
      <c r="A13" s="95">
        <v>6</v>
      </c>
      <c r="B13" s="27">
        <v>65296485</v>
      </c>
      <c r="C13" s="94" t="s">
        <v>73</v>
      </c>
      <c r="D13" s="31">
        <v>1251</v>
      </c>
      <c r="E13" s="31">
        <v>1253</v>
      </c>
      <c r="F13" s="31">
        <v>1257</v>
      </c>
      <c r="G13" s="31">
        <v>1260.8109999999999</v>
      </c>
      <c r="H13" s="31">
        <v>1262.0530000000001</v>
      </c>
      <c r="I13" s="31">
        <v>1267</v>
      </c>
      <c r="J13" s="31">
        <v>1269</v>
      </c>
      <c r="K13" s="31">
        <v>1270.5</v>
      </c>
      <c r="L13" s="31">
        <v>1271</v>
      </c>
      <c r="M13" s="31">
        <v>1271</v>
      </c>
      <c r="N13" s="31">
        <v>1272</v>
      </c>
      <c r="O13" s="31">
        <v>1272</v>
      </c>
      <c r="P13" s="31">
        <v>1275</v>
      </c>
      <c r="Q13" s="31">
        <v>1275</v>
      </c>
      <c r="R13" s="31">
        <v>1277</v>
      </c>
      <c r="S13" s="31">
        <v>1278</v>
      </c>
      <c r="T13" s="31">
        <v>1279</v>
      </c>
      <c r="U13" s="31">
        <v>1281.3240000000001</v>
      </c>
      <c r="V13" s="31">
        <v>1283.807</v>
      </c>
      <c r="W13" s="31">
        <v>1285</v>
      </c>
      <c r="X13" s="31">
        <v>1285</v>
      </c>
      <c r="Y13" s="31">
        <v>1286</v>
      </c>
      <c r="Z13" s="31">
        <v>1287</v>
      </c>
      <c r="AA13" s="31">
        <v>1287</v>
      </c>
      <c r="AB13" s="31">
        <v>1288</v>
      </c>
      <c r="AC13" s="31">
        <v>1290.4290000000001</v>
      </c>
      <c r="AD13" s="31">
        <v>1293</v>
      </c>
      <c r="AE13" s="31">
        <v>1296</v>
      </c>
      <c r="AF13" s="31">
        <v>1297</v>
      </c>
      <c r="AG13" s="31">
        <v>1300.933</v>
      </c>
      <c r="AH13" s="31">
        <v>1304.819</v>
      </c>
      <c r="AI13" s="31">
        <v>1307.809</v>
      </c>
    </row>
    <row r="14" spans="1:42" s="8" customFormat="1" ht="25.7" customHeight="1" thickBot="1" x14ac:dyDescent="0.3">
      <c r="A14" s="96"/>
      <c r="B14" s="48"/>
      <c r="C14" s="94"/>
      <c r="D14" s="33"/>
      <c r="E14" s="33">
        <f t="shared" ref="E14:AI14" si="5">E13-D13</f>
        <v>2</v>
      </c>
      <c r="F14" s="33">
        <f t="shared" si="5"/>
        <v>4</v>
      </c>
      <c r="G14" s="33">
        <f t="shared" si="5"/>
        <v>3.8109999999999218</v>
      </c>
      <c r="H14" s="33">
        <f t="shared" si="5"/>
        <v>1.2420000000001892</v>
      </c>
      <c r="I14" s="33">
        <f t="shared" si="5"/>
        <v>4.946999999999889</v>
      </c>
      <c r="J14" s="33">
        <f t="shared" si="5"/>
        <v>2</v>
      </c>
      <c r="K14" s="33">
        <f t="shared" si="5"/>
        <v>1.5</v>
      </c>
      <c r="L14" s="33">
        <f t="shared" si="5"/>
        <v>0.5</v>
      </c>
      <c r="M14" s="33">
        <f t="shared" si="5"/>
        <v>0</v>
      </c>
      <c r="N14" s="33">
        <f t="shared" si="5"/>
        <v>1</v>
      </c>
      <c r="O14" s="33">
        <f t="shared" si="5"/>
        <v>0</v>
      </c>
      <c r="P14" s="33">
        <f t="shared" si="5"/>
        <v>3</v>
      </c>
      <c r="Q14" s="33">
        <f t="shared" si="5"/>
        <v>0</v>
      </c>
      <c r="R14" s="33">
        <f t="shared" si="5"/>
        <v>2</v>
      </c>
      <c r="S14" s="33">
        <f t="shared" si="5"/>
        <v>1</v>
      </c>
      <c r="T14" s="33">
        <f t="shared" si="5"/>
        <v>1</v>
      </c>
      <c r="U14" s="33">
        <f t="shared" si="5"/>
        <v>2.3240000000000691</v>
      </c>
      <c r="V14" s="33">
        <f t="shared" si="5"/>
        <v>2.4829999999999472</v>
      </c>
      <c r="W14" s="33">
        <f t="shared" si="5"/>
        <v>1.1929999999999836</v>
      </c>
      <c r="X14" s="33">
        <f t="shared" si="5"/>
        <v>0</v>
      </c>
      <c r="Y14" s="33">
        <f t="shared" si="5"/>
        <v>1</v>
      </c>
      <c r="Z14" s="33">
        <f t="shared" si="5"/>
        <v>1</v>
      </c>
      <c r="AA14" s="33">
        <f t="shared" si="5"/>
        <v>0</v>
      </c>
      <c r="AB14" s="33">
        <f t="shared" si="5"/>
        <v>1</v>
      </c>
      <c r="AC14" s="33">
        <f t="shared" si="5"/>
        <v>2.4290000000000873</v>
      </c>
      <c r="AD14" s="33">
        <f t="shared" si="5"/>
        <v>2.5709999999999127</v>
      </c>
      <c r="AE14" s="33">
        <f t="shared" si="5"/>
        <v>3</v>
      </c>
      <c r="AF14" s="33">
        <f t="shared" si="5"/>
        <v>1</v>
      </c>
      <c r="AG14" s="33">
        <f t="shared" si="5"/>
        <v>3.9329999999999927</v>
      </c>
      <c r="AH14" s="33">
        <f t="shared" si="5"/>
        <v>3.8859999999999673</v>
      </c>
      <c r="AI14" s="33">
        <f t="shared" si="5"/>
        <v>2.9900000000000091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8" t="s">
        <v>71</v>
      </c>
      <c r="C15" s="88"/>
      <c r="D15" s="50"/>
      <c r="E15" s="57">
        <f>E6+((E8*45%)+(E10*45%)+(E12+E14))</f>
        <v>306.26499999997901</v>
      </c>
      <c r="F15" s="57">
        <f t="shared" ref="F15:AI15" si="6">F6+((F8*45%)+(F10*45%)+(F12+F14))</f>
        <v>237.59500000001572</v>
      </c>
      <c r="G15" s="57">
        <f t="shared" si="6"/>
        <v>259.678</v>
      </c>
      <c r="H15" s="57">
        <f t="shared" si="6"/>
        <v>280.70799999998326</v>
      </c>
      <c r="I15" s="57">
        <f t="shared" si="6"/>
        <v>241.2190000000127</v>
      </c>
      <c r="J15" s="57">
        <f t="shared" si="6"/>
        <v>316.39499999998083</v>
      </c>
      <c r="K15" s="57">
        <f t="shared" si="6"/>
        <v>225.53000000000756</v>
      </c>
      <c r="L15" s="57">
        <f t="shared" si="6"/>
        <v>395.1</v>
      </c>
      <c r="M15" s="57">
        <f t="shared" si="6"/>
        <v>278.46999999998081</v>
      </c>
      <c r="N15" s="57">
        <f t="shared" si="6"/>
        <v>374.76000000001807</v>
      </c>
      <c r="O15" s="57">
        <f t="shared" si="6"/>
        <v>260.84000000001686</v>
      </c>
      <c r="P15" s="57">
        <f t="shared" si="6"/>
        <v>296.42500000001166</v>
      </c>
      <c r="Q15" s="57">
        <f t="shared" si="6"/>
        <v>245.74999999998835</v>
      </c>
      <c r="R15" s="57">
        <f t="shared" si="6"/>
        <v>296.22500000000002</v>
      </c>
      <c r="S15" s="57">
        <f t="shared" si="6"/>
        <v>352.05499999994936</v>
      </c>
      <c r="T15" s="57">
        <f t="shared" si="6"/>
        <v>350.2</v>
      </c>
      <c r="U15" s="57">
        <f t="shared" si="6"/>
        <v>418.86700000001576</v>
      </c>
      <c r="V15" s="57">
        <f t="shared" si="6"/>
        <v>356.61799999999988</v>
      </c>
      <c r="W15" s="57">
        <f t="shared" si="6"/>
        <v>430.31000000004661</v>
      </c>
      <c r="X15" s="57">
        <f t="shared" si="6"/>
        <v>252.75499999998428</v>
      </c>
      <c r="Y15" s="57">
        <f t="shared" si="6"/>
        <v>314.09999999995341</v>
      </c>
      <c r="Z15" s="57">
        <f t="shared" si="6"/>
        <v>370.25</v>
      </c>
      <c r="AA15" s="57">
        <f t="shared" si="6"/>
        <v>278.96000000002095</v>
      </c>
      <c r="AB15" s="57">
        <f t="shared" si="6"/>
        <v>288.73999999997903</v>
      </c>
      <c r="AC15" s="57">
        <f t="shared" si="6"/>
        <v>313.09500000000008</v>
      </c>
      <c r="AD15" s="57">
        <f t="shared" si="6"/>
        <v>290.12500000001563</v>
      </c>
      <c r="AE15" s="57">
        <f t="shared" si="6"/>
        <v>200.39499999998952</v>
      </c>
      <c r="AF15" s="57">
        <f t="shared" si="6"/>
        <v>263.48499999999478</v>
      </c>
      <c r="AG15" s="57">
        <f t="shared" si="6"/>
        <v>282.90700000004654</v>
      </c>
      <c r="AH15" s="57">
        <f t="shared" si="6"/>
        <v>227.37499999995345</v>
      </c>
      <c r="AI15" s="57">
        <f t="shared" si="6"/>
        <v>308.76200000002092</v>
      </c>
    </row>
    <row r="16" spans="1:42" ht="33" customHeight="1" x14ac:dyDescent="0.25">
      <c r="B16" s="87" t="s">
        <v>72</v>
      </c>
      <c r="C16" s="87"/>
      <c r="D16" s="50"/>
      <c r="E16" s="57">
        <f>SUM(E15:AI15)</f>
        <v>9313.9589999999625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1" activePane="bottomLeft" state="frozen"/>
      <selection pane="bottomLeft" activeCell="C5" sqref="C5:C34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75" customHeight="1" x14ac:dyDescent="0.25">
      <c r="A1" s="98" t="s">
        <v>86</v>
      </c>
      <c r="B1" s="98"/>
      <c r="C1" s="98"/>
    </row>
    <row r="3" spans="1:7" ht="48" x14ac:dyDescent="0.25">
      <c r="A3" s="51" t="s">
        <v>19</v>
      </c>
      <c r="B3" s="52">
        <v>74228.31</v>
      </c>
      <c r="C3" s="53"/>
    </row>
    <row r="4" spans="1:7" ht="28.5" customHeight="1" x14ac:dyDescent="0.25">
      <c r="A4" s="54">
        <v>1</v>
      </c>
      <c r="B4" s="52"/>
      <c r="C4" s="53">
        <f>B3/31</f>
        <v>2394.4616129032256</v>
      </c>
    </row>
    <row r="5" spans="1:7" ht="28.5" customHeight="1" x14ac:dyDescent="0.25">
      <c r="A5" s="54">
        <v>2</v>
      </c>
      <c r="B5" s="52"/>
      <c r="C5" s="53">
        <v>2394.4616129032256</v>
      </c>
    </row>
    <row r="6" spans="1:7" ht="28.5" customHeight="1" x14ac:dyDescent="0.25">
      <c r="A6" s="55">
        <v>3</v>
      </c>
      <c r="B6" s="52"/>
      <c r="C6" s="53">
        <v>2394.4616129032256</v>
      </c>
    </row>
    <row r="7" spans="1:7" ht="28.5" customHeight="1" x14ac:dyDescent="0.25">
      <c r="A7" s="54">
        <v>4</v>
      </c>
      <c r="B7" s="52"/>
      <c r="C7" s="53">
        <v>2394.4616129032256</v>
      </c>
    </row>
    <row r="8" spans="1:7" ht="28.5" customHeight="1" x14ac:dyDescent="0.25">
      <c r="A8" s="54">
        <v>5</v>
      </c>
      <c r="B8" s="52"/>
      <c r="C8" s="53">
        <v>2394.4616129032256</v>
      </c>
    </row>
    <row r="9" spans="1:7" ht="28.5" customHeight="1" x14ac:dyDescent="0.25">
      <c r="A9" s="54">
        <v>6</v>
      </c>
      <c r="B9" s="52"/>
      <c r="C9" s="53">
        <v>2394.4616129032256</v>
      </c>
      <c r="G9" t="s">
        <v>75</v>
      </c>
    </row>
    <row r="10" spans="1:7" ht="28.5" customHeight="1" x14ac:dyDescent="0.25">
      <c r="A10" s="54">
        <v>7</v>
      </c>
      <c r="B10" s="62"/>
      <c r="C10" s="53">
        <v>2394.4616129032256</v>
      </c>
    </row>
    <row r="11" spans="1:7" ht="28.5" customHeight="1" x14ac:dyDescent="0.25">
      <c r="A11" s="54">
        <v>8</v>
      </c>
      <c r="B11" s="52"/>
      <c r="C11" s="53">
        <v>2394.4616129032256</v>
      </c>
    </row>
    <row r="12" spans="1:7" ht="28.5" customHeight="1" x14ac:dyDescent="0.25">
      <c r="A12" s="54">
        <v>9</v>
      </c>
      <c r="B12" s="52"/>
      <c r="C12" s="53">
        <v>2394.4616129032256</v>
      </c>
    </row>
    <row r="13" spans="1:7" ht="28.5" customHeight="1" x14ac:dyDescent="0.25">
      <c r="A13" s="54">
        <v>10</v>
      </c>
      <c r="B13" s="52"/>
      <c r="C13" s="53">
        <v>2394.4616129032256</v>
      </c>
    </row>
    <row r="14" spans="1:7" ht="28.5" customHeight="1" x14ac:dyDescent="0.25">
      <c r="A14" s="54">
        <v>11</v>
      </c>
      <c r="B14" s="52"/>
      <c r="C14" s="53">
        <v>2394.4616129032256</v>
      </c>
    </row>
    <row r="15" spans="1:7" ht="28.5" customHeight="1" x14ac:dyDescent="0.25">
      <c r="A15" s="54">
        <v>12</v>
      </c>
      <c r="B15" s="52"/>
      <c r="C15" s="53">
        <v>2394.4616129032256</v>
      </c>
    </row>
    <row r="16" spans="1:7" ht="28.5" customHeight="1" x14ac:dyDescent="0.25">
      <c r="A16" s="54">
        <v>13</v>
      </c>
      <c r="B16" s="52"/>
      <c r="C16" s="53">
        <v>2394.4616129032256</v>
      </c>
    </row>
    <row r="17" spans="1:4" ht="28.5" customHeight="1" x14ac:dyDescent="0.25">
      <c r="A17" s="54">
        <v>14</v>
      </c>
      <c r="B17" s="62"/>
      <c r="C17" s="53">
        <v>2394.4616129032256</v>
      </c>
    </row>
    <row r="18" spans="1:4" ht="28.5" customHeight="1" x14ac:dyDescent="0.25">
      <c r="A18" s="54">
        <v>15</v>
      </c>
      <c r="B18" s="52"/>
      <c r="C18" s="53">
        <v>2394.4616129032256</v>
      </c>
    </row>
    <row r="19" spans="1:4" ht="28.5" customHeight="1" x14ac:dyDescent="0.25">
      <c r="A19" s="54">
        <v>16</v>
      </c>
      <c r="B19" s="52"/>
      <c r="C19" s="53">
        <v>2394.4616129032256</v>
      </c>
    </row>
    <row r="20" spans="1:4" ht="28.5" customHeight="1" x14ac:dyDescent="0.25">
      <c r="A20" s="54">
        <v>17</v>
      </c>
      <c r="B20" s="52"/>
      <c r="C20" s="53">
        <v>2394.4616129032256</v>
      </c>
    </row>
    <row r="21" spans="1:4" ht="28.5" customHeight="1" x14ac:dyDescent="0.25">
      <c r="A21" s="54">
        <v>18</v>
      </c>
      <c r="B21" s="52"/>
      <c r="C21" s="53">
        <v>2394.4616129032256</v>
      </c>
    </row>
    <row r="22" spans="1:4" ht="28.5" customHeight="1" x14ac:dyDescent="0.25">
      <c r="A22" s="54">
        <v>19</v>
      </c>
      <c r="B22" s="52"/>
      <c r="C22" s="53">
        <v>2394.4616129032256</v>
      </c>
    </row>
    <row r="23" spans="1:4" ht="28.5" customHeight="1" x14ac:dyDescent="0.25">
      <c r="A23" s="54">
        <v>20</v>
      </c>
      <c r="B23" s="52"/>
      <c r="C23" s="53">
        <v>2394.4616129032256</v>
      </c>
    </row>
    <row r="24" spans="1:4" ht="28.5" customHeight="1" x14ac:dyDescent="0.25">
      <c r="A24" s="54">
        <v>21</v>
      </c>
      <c r="B24" s="62"/>
      <c r="C24" s="53">
        <v>2394.4616129032256</v>
      </c>
    </row>
    <row r="25" spans="1:4" ht="28.5" customHeight="1" x14ac:dyDescent="0.25">
      <c r="A25" s="54">
        <v>22</v>
      </c>
      <c r="B25" s="52"/>
      <c r="C25" s="53">
        <v>2394.4616129032256</v>
      </c>
    </row>
    <row r="26" spans="1:4" ht="28.5" customHeight="1" x14ac:dyDescent="0.25">
      <c r="A26" s="54">
        <v>23</v>
      </c>
      <c r="B26" s="52"/>
      <c r="C26" s="53">
        <v>2394.4616129032256</v>
      </c>
    </row>
    <row r="27" spans="1:4" ht="28.5" customHeight="1" x14ac:dyDescent="0.25">
      <c r="A27" s="54">
        <v>24</v>
      </c>
      <c r="B27" s="52"/>
      <c r="C27" s="53">
        <v>2394.4616129032256</v>
      </c>
    </row>
    <row r="28" spans="1:4" ht="28.5" customHeight="1" x14ac:dyDescent="0.25">
      <c r="A28" s="54">
        <v>25</v>
      </c>
      <c r="B28" s="52"/>
      <c r="C28" s="53">
        <v>2394.4616129032256</v>
      </c>
      <c r="D28" s="56"/>
    </row>
    <row r="29" spans="1:4" ht="28.5" customHeight="1" x14ac:dyDescent="0.25">
      <c r="A29" s="54">
        <v>26</v>
      </c>
      <c r="B29" s="52"/>
      <c r="C29" s="53">
        <v>2394.4616129032256</v>
      </c>
      <c r="D29" s="56"/>
    </row>
    <row r="30" spans="1:4" ht="28.5" customHeight="1" x14ac:dyDescent="0.25">
      <c r="A30" s="54">
        <v>27</v>
      </c>
      <c r="B30" s="52"/>
      <c r="C30" s="53">
        <v>2394.4616129032256</v>
      </c>
    </row>
    <row r="31" spans="1:4" ht="28.5" customHeight="1" x14ac:dyDescent="0.25">
      <c r="A31" s="54">
        <v>28</v>
      </c>
      <c r="B31" s="52"/>
      <c r="C31" s="53">
        <v>2394.4616129032256</v>
      </c>
    </row>
    <row r="32" spans="1:4" ht="28.5" customHeight="1" x14ac:dyDescent="0.25">
      <c r="A32" s="54">
        <v>29</v>
      </c>
      <c r="B32" s="62"/>
      <c r="C32" s="53">
        <v>2394.4616129032256</v>
      </c>
    </row>
    <row r="33" spans="1:3" ht="28.5" customHeight="1" x14ac:dyDescent="0.25">
      <c r="A33" s="54">
        <v>30</v>
      </c>
      <c r="B33" s="52"/>
      <c r="C33" s="53">
        <v>2394.4616129032256</v>
      </c>
    </row>
    <row r="34" spans="1:3" ht="28.5" customHeight="1" x14ac:dyDescent="0.25">
      <c r="A34" s="54">
        <v>31</v>
      </c>
      <c r="B34" s="52"/>
      <c r="C34" s="53">
        <v>2394.4616129032256</v>
      </c>
    </row>
    <row r="35" spans="1:3" x14ac:dyDescent="0.25">
      <c r="A35" s="97" t="s">
        <v>76</v>
      </c>
      <c r="B35" s="97"/>
      <c r="C35" s="63">
        <f>SUM(C4:C34)</f>
        <v>74228.309999999939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topLeftCell="A13" zoomScaleNormal="100" workbookViewId="0">
      <selection activeCell="D33" sqref="D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8" t="s">
        <v>87</v>
      </c>
      <c r="B1" s="98"/>
      <c r="C1" s="98"/>
    </row>
    <row r="2" spans="1:3" ht="24.95" customHeight="1" x14ac:dyDescent="0.25">
      <c r="A2" s="59" t="s">
        <v>82</v>
      </c>
      <c r="B2" s="59" t="s">
        <v>80</v>
      </c>
      <c r="C2" s="59" t="s">
        <v>81</v>
      </c>
    </row>
    <row r="3" spans="1:3" ht="24.95" customHeight="1" x14ac:dyDescent="0.25">
      <c r="A3" s="60">
        <v>44896</v>
      </c>
      <c r="B3" s="64">
        <v>378</v>
      </c>
      <c r="C3" s="64">
        <v>552</v>
      </c>
    </row>
    <row r="4" spans="1:3" ht="24.95" customHeight="1" x14ac:dyDescent="0.25">
      <c r="A4" s="60">
        <v>44897</v>
      </c>
      <c r="B4" s="64">
        <v>462</v>
      </c>
      <c r="C4" s="64">
        <v>690</v>
      </c>
    </row>
    <row r="5" spans="1:3" ht="24.95" customHeight="1" x14ac:dyDescent="0.25">
      <c r="A5" s="60">
        <v>44898</v>
      </c>
      <c r="B5" s="64">
        <v>415</v>
      </c>
      <c r="C5" s="64">
        <v>590</v>
      </c>
    </row>
    <row r="6" spans="1:3" ht="24.95" customHeight="1" x14ac:dyDescent="0.25">
      <c r="A6" s="60">
        <v>44899</v>
      </c>
      <c r="B6" s="64">
        <v>365</v>
      </c>
      <c r="C6" s="64">
        <v>484</v>
      </c>
    </row>
    <row r="7" spans="1:3" ht="24.95" customHeight="1" x14ac:dyDescent="0.25">
      <c r="A7" s="60">
        <v>44900</v>
      </c>
      <c r="B7" s="64">
        <v>433</v>
      </c>
      <c r="C7" s="64">
        <v>550</v>
      </c>
    </row>
    <row r="8" spans="1:3" ht="24.95" customHeight="1" x14ac:dyDescent="0.25">
      <c r="A8" s="60">
        <v>44901</v>
      </c>
      <c r="B8" s="64">
        <v>433</v>
      </c>
      <c r="C8" s="64">
        <v>552</v>
      </c>
    </row>
    <row r="9" spans="1:3" ht="24.95" customHeight="1" x14ac:dyDescent="0.25">
      <c r="A9" s="60">
        <v>44902</v>
      </c>
      <c r="B9" s="64">
        <v>446</v>
      </c>
      <c r="C9" s="64">
        <v>557</v>
      </c>
    </row>
    <row r="10" spans="1:3" ht="24.95" customHeight="1" x14ac:dyDescent="0.25">
      <c r="A10" s="60">
        <v>44903</v>
      </c>
      <c r="B10" s="64">
        <v>427</v>
      </c>
      <c r="C10" s="64">
        <v>563</v>
      </c>
    </row>
    <row r="11" spans="1:3" ht="24.95" customHeight="1" x14ac:dyDescent="0.25">
      <c r="A11" s="60">
        <v>44904</v>
      </c>
      <c r="B11" s="64">
        <v>356</v>
      </c>
      <c r="C11" s="64">
        <v>475</v>
      </c>
    </row>
    <row r="12" spans="1:3" ht="24.95" customHeight="1" x14ac:dyDescent="0.25">
      <c r="A12" s="60">
        <v>44905</v>
      </c>
      <c r="B12" s="64">
        <v>365</v>
      </c>
      <c r="C12" s="64">
        <v>513</v>
      </c>
    </row>
    <row r="13" spans="1:3" ht="24.95" customHeight="1" x14ac:dyDescent="0.25">
      <c r="A13" s="60">
        <v>44906</v>
      </c>
      <c r="B13" s="64">
        <v>316</v>
      </c>
      <c r="C13" s="64">
        <v>428</v>
      </c>
    </row>
    <row r="14" spans="1:3" ht="24.95" customHeight="1" x14ac:dyDescent="0.25">
      <c r="A14" s="60">
        <v>44907</v>
      </c>
      <c r="B14" s="64">
        <v>295</v>
      </c>
      <c r="C14" s="64">
        <v>396</v>
      </c>
    </row>
    <row r="15" spans="1:3" ht="24.95" customHeight="1" x14ac:dyDescent="0.25">
      <c r="A15" s="60">
        <v>44908</v>
      </c>
      <c r="B15" s="64">
        <v>300</v>
      </c>
      <c r="C15" s="64">
        <v>415</v>
      </c>
    </row>
    <row r="16" spans="1:3" ht="24.95" customHeight="1" x14ac:dyDescent="0.25">
      <c r="A16" s="60">
        <v>44909</v>
      </c>
      <c r="B16" s="64">
        <v>321</v>
      </c>
      <c r="C16" s="64">
        <v>427</v>
      </c>
    </row>
    <row r="17" spans="1:3" ht="24.95" customHeight="1" x14ac:dyDescent="0.25">
      <c r="A17" s="60">
        <v>44910</v>
      </c>
      <c r="B17" s="64">
        <v>297</v>
      </c>
      <c r="C17" s="64">
        <v>433</v>
      </c>
    </row>
    <row r="18" spans="1:3" ht="24.95" customHeight="1" x14ac:dyDescent="0.25">
      <c r="A18" s="60">
        <v>44911</v>
      </c>
      <c r="B18" s="64">
        <v>282</v>
      </c>
      <c r="C18" s="64">
        <v>436</v>
      </c>
    </row>
    <row r="19" spans="1:3" ht="24.95" customHeight="1" x14ac:dyDescent="0.25">
      <c r="A19" s="60">
        <v>44912</v>
      </c>
      <c r="B19" s="64">
        <v>282</v>
      </c>
      <c r="C19" s="64">
        <v>421</v>
      </c>
    </row>
    <row r="20" spans="1:3" ht="24.95" customHeight="1" x14ac:dyDescent="0.25">
      <c r="A20" s="60">
        <v>44913</v>
      </c>
      <c r="B20" s="64">
        <v>262</v>
      </c>
      <c r="C20" s="64">
        <v>391</v>
      </c>
    </row>
    <row r="21" spans="1:3" ht="24.95" customHeight="1" x14ac:dyDescent="0.25">
      <c r="A21" s="60">
        <v>44914</v>
      </c>
      <c r="B21" s="64">
        <v>334</v>
      </c>
      <c r="C21" s="64">
        <v>509</v>
      </c>
    </row>
    <row r="22" spans="1:3" ht="24.95" customHeight="1" x14ac:dyDescent="0.25">
      <c r="A22" s="60">
        <v>44915</v>
      </c>
      <c r="B22" s="64">
        <v>288</v>
      </c>
      <c r="C22" s="64">
        <v>442</v>
      </c>
    </row>
    <row r="23" spans="1:3" ht="24.95" customHeight="1" x14ac:dyDescent="0.25">
      <c r="A23" s="60">
        <v>44916</v>
      </c>
      <c r="B23" s="64">
        <v>254</v>
      </c>
      <c r="C23" s="64">
        <v>373</v>
      </c>
    </row>
    <row r="24" spans="1:3" ht="24.95" customHeight="1" x14ac:dyDescent="0.25">
      <c r="A24" s="60">
        <v>44917</v>
      </c>
      <c r="B24" s="64">
        <v>246</v>
      </c>
      <c r="C24" s="64">
        <v>378</v>
      </c>
    </row>
    <row r="25" spans="1:3" ht="24.95" customHeight="1" x14ac:dyDescent="0.25">
      <c r="A25" s="60">
        <v>44918</v>
      </c>
      <c r="B25" s="64">
        <v>317</v>
      </c>
      <c r="C25" s="64">
        <v>496</v>
      </c>
    </row>
    <row r="26" spans="1:3" ht="24.95" customHeight="1" x14ac:dyDescent="0.25">
      <c r="A26" s="60">
        <v>44919</v>
      </c>
      <c r="B26" s="64">
        <v>276</v>
      </c>
      <c r="C26" s="64">
        <v>452</v>
      </c>
    </row>
    <row r="27" spans="1:3" ht="24.95" customHeight="1" x14ac:dyDescent="0.25">
      <c r="A27" s="60">
        <v>44920</v>
      </c>
      <c r="B27" s="64">
        <v>257</v>
      </c>
      <c r="C27" s="64">
        <v>396</v>
      </c>
    </row>
    <row r="28" spans="1:3" ht="24.95" customHeight="1" x14ac:dyDescent="0.25">
      <c r="A28" s="60">
        <v>44921</v>
      </c>
      <c r="B28" s="64">
        <v>353</v>
      </c>
      <c r="C28" s="64">
        <v>558</v>
      </c>
    </row>
    <row r="29" spans="1:3" ht="24.95" customHeight="1" x14ac:dyDescent="0.25">
      <c r="A29" s="60">
        <v>44922</v>
      </c>
      <c r="B29" s="64">
        <v>341</v>
      </c>
      <c r="C29" s="64">
        <v>527</v>
      </c>
    </row>
    <row r="30" spans="1:3" ht="24.95" customHeight="1" x14ac:dyDescent="0.25">
      <c r="A30" s="60">
        <v>44923</v>
      </c>
      <c r="B30" s="64">
        <v>346</v>
      </c>
      <c r="C30" s="64">
        <v>549</v>
      </c>
    </row>
    <row r="31" spans="1:3" ht="24.95" customHeight="1" x14ac:dyDescent="0.25">
      <c r="A31" s="60">
        <v>44924</v>
      </c>
      <c r="B31" s="64">
        <v>350</v>
      </c>
      <c r="C31" s="64">
        <v>549</v>
      </c>
    </row>
    <row r="32" spans="1:3" ht="24.95" customHeight="1" x14ac:dyDescent="0.25">
      <c r="A32" s="60">
        <v>44925</v>
      </c>
      <c r="B32" s="64">
        <v>301</v>
      </c>
      <c r="C32" s="64">
        <v>461</v>
      </c>
    </row>
    <row r="33" spans="1:3" ht="24.95" customHeight="1" x14ac:dyDescent="0.25">
      <c r="A33" s="60">
        <v>44926</v>
      </c>
      <c r="B33" s="64">
        <v>302</v>
      </c>
      <c r="C33" s="64">
        <v>481</v>
      </c>
    </row>
    <row r="34" spans="1:3" ht="30.75" customHeight="1" x14ac:dyDescent="0.25">
      <c r="A34" s="59" t="s">
        <v>83</v>
      </c>
      <c r="B34" s="61">
        <f>SUM(B3:B33)</f>
        <v>10400</v>
      </c>
      <c r="C34" s="61">
        <f>SUM(C3:C33)</f>
        <v>15044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2025-03-18T11:07:05Z</dcterms:modified>
</cp:coreProperties>
</file>