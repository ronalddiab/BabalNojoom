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\\CAMAD-SRV-NAS\Engineering_Departmet\Admin\UTILITY\HEP 2025\CAMAD\"/>
    </mc:Choice>
  </mc:AlternateContent>
  <xr:revisionPtr revIDLastSave="0" documentId="13_ncr:1_{EF47C599-2BDB-444C-B2EA-D41CE47B77DF}" xr6:coauthVersionLast="47" xr6:coauthVersionMax="47" xr10:uidLastSave="{00000000-0000-0000-0000-000000000000}"/>
  <bookViews>
    <workbookView xWindow="-120" yWindow="-120" windowWidth="21840" windowHeight="13140" activeTab="1" xr2:uid="{00000000-000D-0000-FFFF-FFFF00000000}"/>
  </bookViews>
  <sheets>
    <sheet name="Total" sheetId="2" r:id="rId1"/>
    <sheet name="Consum." sheetId="1" r:id="rId2"/>
  </sheets>
  <definedNames>
    <definedName name="_xlnm.Print_Area" localSheetId="1">'Consum.'!#REF!</definedName>
  </definedNames>
  <calcPr calcId="191029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7" i="1" l="1"/>
  <c r="K7" i="1" s="1"/>
  <c r="F7" i="1"/>
  <c r="G7" i="1" s="1"/>
  <c r="I2" i="2" l="1"/>
  <c r="J37" i="1"/>
  <c r="F37" i="1"/>
  <c r="J36" i="1"/>
  <c r="F36" i="1"/>
  <c r="J35" i="1"/>
  <c r="F35" i="1"/>
  <c r="J34" i="1"/>
  <c r="F34" i="1"/>
  <c r="J33" i="1"/>
  <c r="F33" i="1"/>
  <c r="C33" i="1"/>
  <c r="J32" i="1"/>
  <c r="F32" i="1"/>
  <c r="C32" i="1"/>
  <c r="J31" i="1"/>
  <c r="F31" i="1"/>
  <c r="C31" i="1"/>
  <c r="J30" i="1"/>
  <c r="F30" i="1"/>
  <c r="C30" i="1"/>
  <c r="J29" i="1"/>
  <c r="F29" i="1"/>
  <c r="C29" i="1"/>
  <c r="J28" i="1"/>
  <c r="F28" i="1"/>
  <c r="C28" i="1"/>
  <c r="J27" i="1"/>
  <c r="F27" i="1"/>
  <c r="C27" i="1"/>
  <c r="J26" i="1"/>
  <c r="F26" i="1"/>
  <c r="C26" i="1"/>
  <c r="J25" i="1"/>
  <c r="F25" i="1"/>
  <c r="C25" i="1"/>
  <c r="J24" i="1"/>
  <c r="F24" i="1"/>
  <c r="C24" i="1"/>
  <c r="J23" i="1"/>
  <c r="F23" i="1"/>
  <c r="C23" i="1"/>
  <c r="J22" i="1"/>
  <c r="F22" i="1"/>
  <c r="C22" i="1"/>
  <c r="J21" i="1"/>
  <c r="F21" i="1"/>
  <c r="C21" i="1"/>
  <c r="J20" i="1"/>
  <c r="F20" i="1"/>
  <c r="C20" i="1"/>
  <c r="J19" i="1"/>
  <c r="F19" i="1"/>
  <c r="C19" i="1"/>
  <c r="J18" i="1"/>
  <c r="F18" i="1"/>
  <c r="C18" i="1"/>
  <c r="J17" i="1"/>
  <c r="F17" i="1"/>
  <c r="C17" i="1"/>
  <c r="J16" i="1"/>
  <c r="F16" i="1"/>
  <c r="C16" i="1"/>
  <c r="J15" i="1"/>
  <c r="F15" i="1"/>
  <c r="C15" i="1"/>
  <c r="J14" i="1"/>
  <c r="F14" i="1"/>
  <c r="C14" i="1"/>
  <c r="J13" i="1"/>
  <c r="F13" i="1"/>
  <c r="C13" i="1"/>
  <c r="J12" i="1"/>
  <c r="F12" i="1"/>
  <c r="C12" i="1"/>
  <c r="J11" i="1"/>
  <c r="F11" i="1"/>
  <c r="C11" i="1"/>
  <c r="J10" i="1"/>
  <c r="F10" i="1"/>
  <c r="C10" i="1"/>
  <c r="J9" i="1"/>
  <c r="F9" i="1"/>
  <c r="C9" i="1"/>
  <c r="J8" i="1"/>
  <c r="F8" i="1"/>
  <c r="C8" i="1"/>
  <c r="K37" i="1" l="1"/>
  <c r="I31" i="2" s="1"/>
  <c r="G31" i="1"/>
  <c r="E25" i="2" s="1"/>
  <c r="K32" i="1"/>
  <c r="I26" i="2" s="1"/>
  <c r="G32" i="1"/>
  <c r="E26" i="2" s="1"/>
  <c r="G35" i="1"/>
  <c r="E29" i="2" s="1"/>
  <c r="K36" i="1"/>
  <c r="I30" i="2" s="1"/>
  <c r="G34" i="1"/>
  <c r="E28" i="2" s="1"/>
  <c r="G37" i="1"/>
  <c r="E31" i="2" s="1"/>
  <c r="K33" i="1"/>
  <c r="I27" i="2" s="1"/>
  <c r="G8" i="1"/>
  <c r="E2" i="2" s="1"/>
  <c r="G9" i="1"/>
  <c r="E3" i="2" s="1"/>
  <c r="G10" i="1"/>
  <c r="E4" i="2" s="1"/>
  <c r="G11" i="1"/>
  <c r="E5" i="2" s="1"/>
  <c r="G12" i="1"/>
  <c r="E6" i="2" s="1"/>
  <c r="G13" i="1"/>
  <c r="E7" i="2" s="1"/>
  <c r="G14" i="1"/>
  <c r="E8" i="2" s="1"/>
  <c r="G15" i="1"/>
  <c r="E9" i="2" s="1"/>
  <c r="G16" i="1"/>
  <c r="E10" i="2" s="1"/>
  <c r="G17" i="1"/>
  <c r="E11" i="2" s="1"/>
  <c r="G18" i="1"/>
  <c r="E12" i="2" s="1"/>
  <c r="G19" i="1"/>
  <c r="E13" i="2" s="1"/>
  <c r="G20" i="1"/>
  <c r="E14" i="2" s="1"/>
  <c r="G21" i="1"/>
  <c r="E15" i="2" s="1"/>
  <c r="G22" i="1"/>
  <c r="E16" i="2" s="1"/>
  <c r="G23" i="1"/>
  <c r="E17" i="2" s="1"/>
  <c r="G24" i="1"/>
  <c r="E18" i="2" s="1"/>
  <c r="G25" i="1"/>
  <c r="E19" i="2" s="1"/>
  <c r="G26" i="1"/>
  <c r="E20" i="2" s="1"/>
  <c r="G27" i="1"/>
  <c r="E21" i="2" s="1"/>
  <c r="G28" i="1"/>
  <c r="E22" i="2" s="1"/>
  <c r="G29" i="1"/>
  <c r="E23" i="2" s="1"/>
  <c r="G30" i="1"/>
  <c r="E24" i="2" s="1"/>
  <c r="G36" i="1"/>
  <c r="E30" i="2" s="1"/>
  <c r="K34" i="1"/>
  <c r="I28" i="2" s="1"/>
  <c r="K9" i="1"/>
  <c r="I3" i="2" s="1"/>
  <c r="K10" i="1"/>
  <c r="I4" i="2" s="1"/>
  <c r="K11" i="1"/>
  <c r="I5" i="2" s="1"/>
  <c r="K12" i="1"/>
  <c r="I6" i="2" s="1"/>
  <c r="K13" i="1"/>
  <c r="I7" i="2" s="1"/>
  <c r="K14" i="1"/>
  <c r="I8" i="2" s="1"/>
  <c r="K15" i="1"/>
  <c r="I9" i="2" s="1"/>
  <c r="K16" i="1"/>
  <c r="I10" i="2" s="1"/>
  <c r="K17" i="1"/>
  <c r="I11" i="2" s="1"/>
  <c r="K18" i="1"/>
  <c r="I12" i="2" s="1"/>
  <c r="K19" i="1"/>
  <c r="I13" i="2" s="1"/>
  <c r="K20" i="1"/>
  <c r="I14" i="2" s="1"/>
  <c r="K21" i="1"/>
  <c r="I15" i="2" s="1"/>
  <c r="K22" i="1"/>
  <c r="I16" i="2" s="1"/>
  <c r="K23" i="1"/>
  <c r="I17" i="2" s="1"/>
  <c r="K24" i="1"/>
  <c r="I18" i="2" s="1"/>
  <c r="K25" i="1"/>
  <c r="I19" i="2" s="1"/>
  <c r="K26" i="1"/>
  <c r="I20" i="2" s="1"/>
  <c r="K27" i="1"/>
  <c r="I21" i="2" s="1"/>
  <c r="K28" i="1"/>
  <c r="I22" i="2" s="1"/>
  <c r="K29" i="1"/>
  <c r="I23" i="2" s="1"/>
  <c r="K30" i="1"/>
  <c r="I24" i="2" s="1"/>
  <c r="K31" i="1"/>
  <c r="I25" i="2" s="1"/>
  <c r="G33" i="1"/>
  <c r="E27" i="2" s="1"/>
  <c r="K35" i="1"/>
  <c r="I29" i="2" s="1"/>
  <c r="B3" i="2" l="1"/>
  <c r="B4" i="2" s="1"/>
  <c r="B5" i="2" s="1"/>
  <c r="B6" i="2" s="1"/>
  <c r="B7" i="2" s="1"/>
  <c r="B8" i="2" s="1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B31" i="2" s="1"/>
</calcChain>
</file>

<file path=xl/sharedStrings.xml><?xml version="1.0" encoding="utf-8"?>
<sst xmlns="http://schemas.openxmlformats.org/spreadsheetml/2006/main" count="64" uniqueCount="31">
  <si>
    <t>Date</t>
  </si>
  <si>
    <t>Occupancy</t>
  </si>
  <si>
    <t>Total</t>
  </si>
  <si>
    <t>Electricity   (KW)</t>
  </si>
  <si>
    <t>Lit</t>
  </si>
  <si>
    <t>L.P.G</t>
  </si>
  <si>
    <t>Refill</t>
  </si>
  <si>
    <t>ALT 11D100053</t>
  </si>
  <si>
    <t>Consum</t>
  </si>
  <si>
    <t>4010D610084</t>
  </si>
  <si>
    <t>4010D610038</t>
  </si>
  <si>
    <t>Water     (M³)</t>
  </si>
  <si>
    <t>%</t>
  </si>
  <si>
    <t>Room</t>
  </si>
  <si>
    <t>ALT 11D100051</t>
  </si>
  <si>
    <t>CENTRO AL MANHAL</t>
  </si>
  <si>
    <t>Site Name</t>
  </si>
  <si>
    <t>Day</t>
  </si>
  <si>
    <t>Month</t>
  </si>
  <si>
    <t>Year</t>
  </si>
  <si>
    <t>Total Electricity Kwh</t>
  </si>
  <si>
    <t>Electricity Tariff ($/Kwh)</t>
  </si>
  <si>
    <t xml:space="preserve">LPG (Liters) </t>
  </si>
  <si>
    <t>LPG $/Liters</t>
  </si>
  <si>
    <t>Water Utility Supply (m3) m3</t>
  </si>
  <si>
    <t>Water Utility Supply (m3) $/m3</t>
  </si>
  <si>
    <t xml:space="preserve">Room Nights </t>
  </si>
  <si>
    <t xml:space="preserve">Total Guests </t>
  </si>
  <si>
    <t>Centro Al Manhal</t>
  </si>
  <si>
    <t>Cost</t>
  </si>
  <si>
    <t xml:space="preserve">Month :  June-2025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</si>
</sst>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15">
    <font>
      <sz val="11"/>
      <color theme="1"/>
      <name val="Calibri"/>
      <family val="2"/>
      <scheme val="minor"/>
    </font>
    <font>
      <b/>
      <i/>
      <sz val="11"/>
      <color theme="0"/>
      <name val="Calibri"/>
      <family val="2"/>
      <scheme val="minor"/>
    </font>
    <font>
      <sz val="24"/>
      <color theme="1"/>
      <name val="RotanaBold"/>
      <family val="1"/>
    </font>
    <font>
      <i/>
      <sz val="11"/>
      <color theme="0"/>
      <name val="Calibri"/>
      <family val="2"/>
      <scheme val="minor"/>
    </font>
    <font>
      <b/>
      <sz val="16"/>
      <color theme="1"/>
      <name val="Tahoma"/>
      <family val="2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indexed="8"/>
      <name val="Calibri"/>
      <family val="2"/>
    </font>
    <font>
      <sz val="14"/>
      <color theme="1"/>
      <name val="Calibri"/>
      <family val="2"/>
      <scheme val="minor"/>
    </font>
    <font>
      <sz val="14"/>
      <name val="Univers"/>
      <family val="2"/>
    </font>
    <font>
      <sz val="14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FF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4" tint="-0.249977111117893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hair">
        <color indexed="64"/>
      </top>
      <bottom/>
      <diagonal/>
    </border>
    <border>
      <left style="double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double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</borders>
  <cellStyleXfs count="2">
    <xf numFmtId="0" fontId="0" fillId="0" borderId="0"/>
    <xf numFmtId="0" fontId="5" fillId="0" borderId="0"/>
  </cellStyleXfs>
  <cellXfs count="55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1" fontId="0" fillId="0" borderId="0" xfId="0" applyNumberFormat="1" applyAlignment="1">
      <alignment horizontal="center"/>
    </xf>
    <xf numFmtId="1" fontId="0" fillId="0" borderId="0" xfId="0" applyNumberFormat="1"/>
    <xf numFmtId="0" fontId="1" fillId="0" borderId="0" xfId="0" applyFont="1" applyAlignment="1">
      <alignment horizontal="center" vertical="center"/>
    </xf>
    <xf numFmtId="0" fontId="7" fillId="0" borderId="4" xfId="1" applyFont="1" applyBorder="1" applyAlignment="1">
      <alignment horizontal="center" vertical="center"/>
    </xf>
    <xf numFmtId="0" fontId="7" fillId="0" borderId="4" xfId="1" applyFont="1" applyBorder="1" applyAlignment="1">
      <alignment horizontal="center" vertical="center" wrapText="1"/>
    </xf>
    <xf numFmtId="2" fontId="8" fillId="0" borderId="4" xfId="1" applyNumberFormat="1" applyFont="1" applyBorder="1" applyAlignment="1">
      <alignment horizontal="center" vertical="center" wrapText="1"/>
    </xf>
    <xf numFmtId="0" fontId="8" fillId="0" borderId="4" xfId="1" applyFont="1" applyBorder="1" applyAlignment="1">
      <alignment horizontal="center" vertical="center" wrapText="1"/>
    </xf>
    <xf numFmtId="0" fontId="7" fillId="0" borderId="0" xfId="1" applyFont="1" applyAlignment="1">
      <alignment horizontal="center" vertical="center"/>
    </xf>
    <xf numFmtId="0" fontId="9" fillId="0" borderId="0" xfId="1" applyFont="1" applyAlignment="1">
      <alignment horizontal="center"/>
    </xf>
    <xf numFmtId="0" fontId="7" fillId="0" borderId="0" xfId="1" applyFont="1" applyAlignment="1">
      <alignment horizontal="center"/>
    </xf>
    <xf numFmtId="1" fontId="5" fillId="0" borderId="0" xfId="1" applyNumberFormat="1" applyAlignment="1">
      <alignment horizontal="center"/>
    </xf>
    <xf numFmtId="2" fontId="6" fillId="0" borderId="0" xfId="1" applyNumberFormat="1" applyFont="1" applyAlignment="1">
      <alignment horizontal="center"/>
    </xf>
    <xf numFmtId="164" fontId="6" fillId="0" borderId="0" xfId="1" applyNumberFormat="1" applyFont="1" applyAlignment="1">
      <alignment horizontal="center"/>
    </xf>
    <xf numFmtId="0" fontId="5" fillId="0" borderId="0" xfId="1" applyAlignment="1">
      <alignment horizontal="center"/>
    </xf>
    <xf numFmtId="0" fontId="7" fillId="0" borderId="0" xfId="1" applyFont="1"/>
    <xf numFmtId="0" fontId="6" fillId="0" borderId="0" xfId="1" applyFont="1" applyAlignment="1">
      <alignment horizontal="center"/>
    </xf>
    <xf numFmtId="0" fontId="5" fillId="0" borderId="0" xfId="1"/>
    <xf numFmtId="14" fontId="3" fillId="6" borderId="1" xfId="0" applyNumberFormat="1" applyFont="1" applyFill="1" applyBorder="1" applyAlignment="1">
      <alignment vertical="center"/>
    </xf>
    <xf numFmtId="0" fontId="1" fillId="6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vertical="center"/>
    </xf>
    <xf numFmtId="1" fontId="1" fillId="6" borderId="1" xfId="0" applyNumberFormat="1" applyFont="1" applyFill="1" applyBorder="1" applyAlignment="1">
      <alignment horizontal="center" vertical="center"/>
    </xf>
    <xf numFmtId="0" fontId="1" fillId="3" borderId="1" xfId="0" applyFont="1" applyFill="1" applyBorder="1" applyAlignment="1">
      <alignment vertical="center"/>
    </xf>
    <xf numFmtId="0" fontId="10" fillId="2" borderId="1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1" fontId="10" fillId="0" borderId="1" xfId="0" applyNumberFormat="1" applyFont="1" applyBorder="1" applyAlignment="1">
      <alignment horizontal="center" vertical="center"/>
    </xf>
    <xf numFmtId="1" fontId="11" fillId="4" borderId="1" xfId="0" applyNumberFormat="1" applyFont="1" applyFill="1" applyBorder="1" applyAlignment="1">
      <alignment horizontal="center" vertical="center" wrapText="1"/>
    </xf>
    <xf numFmtId="1" fontId="0" fillId="0" borderId="1" xfId="0" applyNumberFormat="1" applyBorder="1"/>
    <xf numFmtId="1" fontId="11" fillId="0" borderId="1" xfId="0" applyNumberFormat="1" applyFont="1" applyBorder="1" applyAlignment="1">
      <alignment horizontal="center" vertical="center" wrapText="1"/>
    </xf>
    <xf numFmtId="1" fontId="11" fillId="4" borderId="1" xfId="0" applyNumberFormat="1" applyFont="1" applyFill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1" fillId="4" borderId="1" xfId="0" applyFont="1" applyFill="1" applyBorder="1" applyAlignment="1">
      <alignment horizontal="center"/>
    </xf>
    <xf numFmtId="2" fontId="0" fillId="0" borderId="1" xfId="0" applyNumberFormat="1" applyBorder="1"/>
    <xf numFmtId="0" fontId="13" fillId="2" borderId="5" xfId="0" applyFont="1" applyFill="1" applyBorder="1" applyAlignment="1">
      <alignment horizontal="center" vertical="center"/>
    </xf>
    <xf numFmtId="0" fontId="13" fillId="0" borderId="6" xfId="0" applyFont="1" applyBorder="1" applyAlignment="1">
      <alignment horizontal="center" vertical="center"/>
    </xf>
    <xf numFmtId="1" fontId="13" fillId="0" borderId="7" xfId="0" applyNumberFormat="1" applyFont="1" applyBorder="1" applyAlignment="1">
      <alignment horizontal="center" vertical="center"/>
    </xf>
    <xf numFmtId="1" fontId="11" fillId="4" borderId="6" xfId="0" applyNumberFormat="1" applyFont="1" applyFill="1" applyBorder="1" applyAlignment="1">
      <alignment horizontal="center" vertical="center"/>
    </xf>
    <xf numFmtId="1" fontId="11" fillId="4" borderId="8" xfId="0" applyNumberFormat="1" applyFont="1" applyFill="1" applyBorder="1" applyAlignment="1">
      <alignment horizontal="center" vertical="center"/>
    </xf>
    <xf numFmtId="1" fontId="10" fillId="0" borderId="8" xfId="0" applyNumberFormat="1" applyFont="1" applyBorder="1" applyAlignment="1">
      <alignment horizontal="center" vertical="center"/>
    </xf>
    <xf numFmtId="1" fontId="10" fillId="0" borderId="9" xfId="0" applyNumberFormat="1" applyFont="1" applyBorder="1" applyAlignment="1">
      <alignment horizontal="center" vertical="center"/>
    </xf>
    <xf numFmtId="1" fontId="11" fillId="0" borderId="6" xfId="0" applyNumberFormat="1" applyFont="1" applyBorder="1" applyAlignment="1">
      <alignment horizontal="center" vertical="center" wrapText="1"/>
    </xf>
    <xf numFmtId="1" fontId="11" fillId="4" borderId="8" xfId="0" applyNumberFormat="1" applyFont="1" applyFill="1" applyBorder="1" applyAlignment="1">
      <alignment horizontal="center" vertical="center" wrapText="1"/>
    </xf>
    <xf numFmtId="1" fontId="10" fillId="0" borderId="7" xfId="0" applyNumberFormat="1" applyFont="1" applyBorder="1" applyAlignment="1">
      <alignment horizontal="center" vertical="center"/>
    </xf>
    <xf numFmtId="0" fontId="14" fillId="0" borderId="6" xfId="0" applyFont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</cellXfs>
  <cellStyles count="2">
    <cellStyle name="Normal" xfId="0" builtinId="0"/>
    <cellStyle name="Normal 3" xfId="1" xr:uid="{71A3BBA3-108D-464E-89A6-0C49F51B6325}"/>
  </cellStyles>
  <dxfs count="0"/>
  <tableStyles count="0" defaultTableStyle="TableStyleMedium9" defaultPivotStyle="PivotStyleLight16"/>
  <colors>
    <mruColors>
      <color rgb="FFFF5050"/>
      <color rgb="FFCC6600"/>
      <color rgb="FFFEFE54"/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DF60AF-9531-4C30-B50E-6270635A9915}">
  <dimension ref="A1:X32"/>
  <sheetViews>
    <sheetView workbookViewId="0">
      <selection activeCell="L19" sqref="L19"/>
    </sheetView>
  </sheetViews>
  <sheetFormatPr defaultColWidth="11.5703125" defaultRowHeight="15"/>
  <cols>
    <col min="1" max="1" width="29.140625" style="17" bestFit="1" customWidth="1"/>
    <col min="2" max="3" width="11.5703125" style="12"/>
    <col min="4" max="4" width="13.42578125" style="12" customWidth="1"/>
    <col min="5" max="5" width="12.5703125" style="16" customWidth="1"/>
    <col min="6" max="6" width="12.5703125" style="14" customWidth="1"/>
    <col min="7" max="7" width="11.5703125" style="16"/>
    <col min="8" max="8" width="11.5703125" style="14"/>
    <col min="9" max="9" width="11.5703125" style="16"/>
    <col min="10" max="10" width="11.5703125" style="18"/>
    <col min="11" max="24" width="11.5703125" style="16"/>
    <col min="25" max="16384" width="11.5703125" style="19"/>
  </cols>
  <sheetData>
    <row r="1" spans="1:12" s="10" customFormat="1" ht="60">
      <c r="A1" s="6" t="s">
        <v>16</v>
      </c>
      <c r="B1" s="6" t="s">
        <v>17</v>
      </c>
      <c r="C1" s="6" t="s">
        <v>18</v>
      </c>
      <c r="D1" s="6" t="s">
        <v>19</v>
      </c>
      <c r="E1" s="7" t="s">
        <v>20</v>
      </c>
      <c r="F1" s="8" t="s">
        <v>21</v>
      </c>
      <c r="G1" s="7" t="s">
        <v>22</v>
      </c>
      <c r="H1" s="8" t="s">
        <v>23</v>
      </c>
      <c r="I1" s="7" t="s">
        <v>24</v>
      </c>
      <c r="J1" s="9" t="s">
        <v>25</v>
      </c>
      <c r="K1" s="7" t="s">
        <v>26</v>
      </c>
      <c r="L1" s="7" t="s">
        <v>27</v>
      </c>
    </row>
    <row r="2" spans="1:12">
      <c r="A2" s="11" t="s">
        <v>28</v>
      </c>
      <c r="B2" s="12">
        <v>1</v>
      </c>
      <c r="C2" s="12">
        <v>6</v>
      </c>
      <c r="D2" s="12">
        <v>2025</v>
      </c>
      <c r="E2" s="13">
        <f>'Consum.'!G8</f>
        <v>13765</v>
      </c>
      <c r="F2" s="14">
        <v>0.2</v>
      </c>
      <c r="G2" s="13">
        <v>1650</v>
      </c>
      <c r="H2" s="14">
        <v>1.82</v>
      </c>
      <c r="I2" s="13">
        <f>'Consum.'!K8</f>
        <v>67</v>
      </c>
      <c r="J2" s="15">
        <v>7.84</v>
      </c>
      <c r="K2" s="13">
        <v>197</v>
      </c>
      <c r="L2" s="13">
        <v>237</v>
      </c>
    </row>
    <row r="3" spans="1:12">
      <c r="A3" s="11" t="s">
        <v>28</v>
      </c>
      <c r="B3" s="12">
        <f>B2+1</f>
        <v>2</v>
      </c>
      <c r="C3" s="12">
        <v>6</v>
      </c>
      <c r="D3" s="12">
        <v>2025</v>
      </c>
      <c r="E3" s="13">
        <f>'Consum.'!G9</f>
        <v>14094</v>
      </c>
      <c r="F3" s="14">
        <v>0.2</v>
      </c>
      <c r="G3" s="13"/>
      <c r="I3" s="13">
        <f>'Consum.'!K9</f>
        <v>54</v>
      </c>
      <c r="J3" s="15">
        <v>7.84</v>
      </c>
      <c r="K3" s="13">
        <v>199</v>
      </c>
      <c r="L3" s="13">
        <v>234</v>
      </c>
    </row>
    <row r="4" spans="1:12">
      <c r="A4" s="11" t="s">
        <v>28</v>
      </c>
      <c r="B4" s="12">
        <f t="shared" ref="B4:B31" si="0">B3+1</f>
        <v>3</v>
      </c>
      <c r="C4" s="12">
        <v>6</v>
      </c>
      <c r="D4" s="12">
        <v>2025</v>
      </c>
      <c r="E4" s="13">
        <f>'Consum.'!G10</f>
        <v>13559</v>
      </c>
      <c r="F4" s="14">
        <v>0.2</v>
      </c>
      <c r="G4" s="13"/>
      <c r="I4" s="13">
        <f>'Consum.'!K10</f>
        <v>52</v>
      </c>
      <c r="J4" s="15">
        <v>7.84</v>
      </c>
      <c r="K4" s="13">
        <v>207</v>
      </c>
      <c r="L4" s="13">
        <v>244</v>
      </c>
    </row>
    <row r="5" spans="1:12">
      <c r="A5" s="11" t="s">
        <v>28</v>
      </c>
      <c r="B5" s="12">
        <f t="shared" si="0"/>
        <v>4</v>
      </c>
      <c r="C5" s="12">
        <v>6</v>
      </c>
      <c r="D5" s="12">
        <v>2025</v>
      </c>
      <c r="E5" s="13">
        <f>'Consum.'!G11</f>
        <v>12420</v>
      </c>
      <c r="F5" s="14">
        <v>0.2</v>
      </c>
      <c r="G5" s="13"/>
      <c r="I5" s="13">
        <f>'Consum.'!K11</f>
        <v>31</v>
      </c>
      <c r="J5" s="15">
        <v>7.84</v>
      </c>
      <c r="K5" s="13">
        <v>194</v>
      </c>
      <c r="L5" s="13">
        <v>254</v>
      </c>
    </row>
    <row r="6" spans="1:12">
      <c r="A6" s="11" t="s">
        <v>28</v>
      </c>
      <c r="B6" s="12">
        <f t="shared" si="0"/>
        <v>5</v>
      </c>
      <c r="C6" s="12">
        <v>6</v>
      </c>
      <c r="D6" s="12">
        <v>2025</v>
      </c>
      <c r="E6" s="13">
        <f>'Consum.'!G12</f>
        <v>12575</v>
      </c>
      <c r="F6" s="14">
        <v>0.2</v>
      </c>
      <c r="G6" s="13"/>
      <c r="I6" s="13">
        <f>'Consum.'!K12</f>
        <v>33</v>
      </c>
      <c r="J6" s="15">
        <v>7.84</v>
      </c>
      <c r="K6" s="13">
        <v>215</v>
      </c>
      <c r="L6" s="13">
        <v>306</v>
      </c>
    </row>
    <row r="7" spans="1:12">
      <c r="A7" s="11" t="s">
        <v>28</v>
      </c>
      <c r="B7" s="12">
        <f t="shared" si="0"/>
        <v>6</v>
      </c>
      <c r="C7" s="12">
        <v>6</v>
      </c>
      <c r="D7" s="12">
        <v>2025</v>
      </c>
      <c r="E7" s="13">
        <f>'Consum.'!G13</f>
        <v>12947</v>
      </c>
      <c r="F7" s="14">
        <v>0.2</v>
      </c>
      <c r="G7" s="13"/>
      <c r="I7" s="13">
        <f>'Consum.'!K13</f>
        <v>76</v>
      </c>
      <c r="J7" s="15">
        <v>7.84</v>
      </c>
      <c r="K7" s="13">
        <v>229</v>
      </c>
      <c r="L7" s="13">
        <v>333</v>
      </c>
    </row>
    <row r="8" spans="1:12">
      <c r="A8" s="11" t="s">
        <v>28</v>
      </c>
      <c r="B8" s="12">
        <f t="shared" si="0"/>
        <v>7</v>
      </c>
      <c r="C8" s="12">
        <v>6</v>
      </c>
      <c r="D8" s="12">
        <v>2025</v>
      </c>
      <c r="E8" s="13">
        <f>'Consum.'!G14</f>
        <v>12957</v>
      </c>
      <c r="F8" s="14">
        <v>0.2</v>
      </c>
      <c r="G8" s="13"/>
      <c r="I8" s="13">
        <f>'Consum.'!K14</f>
        <v>96</v>
      </c>
      <c r="J8" s="15">
        <v>7.84</v>
      </c>
      <c r="K8" s="13">
        <v>229</v>
      </c>
      <c r="L8" s="13">
        <v>323</v>
      </c>
    </row>
    <row r="9" spans="1:12">
      <c r="A9" s="11" t="s">
        <v>28</v>
      </c>
      <c r="B9" s="12">
        <f t="shared" si="0"/>
        <v>8</v>
      </c>
      <c r="C9" s="12">
        <v>6</v>
      </c>
      <c r="D9" s="12">
        <v>2025</v>
      </c>
      <c r="E9" s="13">
        <f>'Consum.'!G15</f>
        <v>12858</v>
      </c>
      <c r="F9" s="14">
        <v>0.2</v>
      </c>
      <c r="G9" s="13"/>
      <c r="I9" s="13">
        <f>'Consum.'!K15</f>
        <v>75</v>
      </c>
      <c r="J9" s="15">
        <v>7.84</v>
      </c>
      <c r="K9" s="13">
        <v>197</v>
      </c>
      <c r="L9" s="13">
        <v>258</v>
      </c>
    </row>
    <row r="10" spans="1:12">
      <c r="A10" s="11" t="s">
        <v>28</v>
      </c>
      <c r="B10" s="12">
        <f t="shared" si="0"/>
        <v>9</v>
      </c>
      <c r="C10" s="12">
        <v>6</v>
      </c>
      <c r="D10" s="12">
        <v>2025</v>
      </c>
      <c r="E10" s="13">
        <f>'Consum.'!G16</f>
        <v>13625</v>
      </c>
      <c r="F10" s="14">
        <v>0.2</v>
      </c>
      <c r="G10" s="13"/>
      <c r="I10" s="13">
        <f>'Consum.'!K16</f>
        <v>25</v>
      </c>
      <c r="J10" s="15">
        <v>7.84</v>
      </c>
      <c r="K10" s="13">
        <v>211</v>
      </c>
      <c r="L10" s="13">
        <v>262</v>
      </c>
    </row>
    <row r="11" spans="1:12">
      <c r="A11" s="11" t="s">
        <v>28</v>
      </c>
      <c r="B11" s="12">
        <f t="shared" si="0"/>
        <v>10</v>
      </c>
      <c r="C11" s="12">
        <v>6</v>
      </c>
      <c r="D11" s="12">
        <v>2025</v>
      </c>
      <c r="E11" s="13">
        <f>'Consum.'!G17</f>
        <v>13881</v>
      </c>
      <c r="F11" s="14">
        <v>0.2</v>
      </c>
      <c r="G11" s="13"/>
      <c r="I11" s="13">
        <f>'Consum.'!K17</f>
        <v>48</v>
      </c>
      <c r="J11" s="15">
        <v>7.84</v>
      </c>
      <c r="K11" s="13">
        <v>218</v>
      </c>
      <c r="L11" s="13">
        <v>255</v>
      </c>
    </row>
    <row r="12" spans="1:12">
      <c r="A12" s="11" t="s">
        <v>28</v>
      </c>
      <c r="B12" s="12">
        <f t="shared" si="0"/>
        <v>11</v>
      </c>
      <c r="C12" s="12">
        <v>6</v>
      </c>
      <c r="D12" s="12">
        <v>2025</v>
      </c>
      <c r="E12" s="13">
        <f>'Consum.'!G18</f>
        <v>14126</v>
      </c>
      <c r="F12" s="14">
        <v>0.2</v>
      </c>
      <c r="G12" s="13"/>
      <c r="I12" s="13">
        <f>'Consum.'!K18</f>
        <v>63</v>
      </c>
      <c r="J12" s="15">
        <v>7.84</v>
      </c>
      <c r="K12" s="13">
        <v>208</v>
      </c>
      <c r="L12" s="13">
        <v>246</v>
      </c>
    </row>
    <row r="13" spans="1:12">
      <c r="A13" s="11" t="s">
        <v>28</v>
      </c>
      <c r="B13" s="12">
        <f t="shared" si="0"/>
        <v>12</v>
      </c>
      <c r="C13" s="12">
        <v>6</v>
      </c>
      <c r="D13" s="12">
        <v>2025</v>
      </c>
      <c r="E13" s="13">
        <f>'Consum.'!G19</f>
        <v>14279</v>
      </c>
      <c r="F13" s="14">
        <v>0.2</v>
      </c>
      <c r="G13" s="13"/>
      <c r="I13" s="13">
        <f>'Consum.'!K19</f>
        <v>61</v>
      </c>
      <c r="J13" s="15">
        <v>7.84</v>
      </c>
      <c r="K13" s="13">
        <v>193</v>
      </c>
      <c r="L13" s="13">
        <v>236</v>
      </c>
    </row>
    <row r="14" spans="1:12">
      <c r="A14" s="11" t="s">
        <v>28</v>
      </c>
      <c r="B14" s="12">
        <f t="shared" si="0"/>
        <v>13</v>
      </c>
      <c r="C14" s="12">
        <v>6</v>
      </c>
      <c r="D14" s="12">
        <v>2025</v>
      </c>
      <c r="E14" s="13">
        <f>'Consum.'!G20</f>
        <v>14019</v>
      </c>
      <c r="F14" s="14">
        <v>0.2</v>
      </c>
      <c r="G14" s="13"/>
      <c r="I14" s="13">
        <f>'Consum.'!K20</f>
        <v>40</v>
      </c>
      <c r="J14" s="15">
        <v>7.84</v>
      </c>
      <c r="K14" s="13">
        <v>188</v>
      </c>
      <c r="L14" s="13">
        <v>240</v>
      </c>
    </row>
    <row r="15" spans="1:12">
      <c r="A15" s="11" t="s">
        <v>28</v>
      </c>
      <c r="B15" s="12">
        <f t="shared" si="0"/>
        <v>14</v>
      </c>
      <c r="C15" s="12">
        <v>6</v>
      </c>
      <c r="D15" s="12">
        <v>2025</v>
      </c>
      <c r="E15" s="13">
        <f>'Consum.'!G21</f>
        <v>13520</v>
      </c>
      <c r="F15" s="14">
        <v>0.2</v>
      </c>
      <c r="G15" s="13"/>
      <c r="I15" s="13">
        <f>'Consum.'!K21</f>
        <v>64</v>
      </c>
      <c r="J15" s="15">
        <v>7.84</v>
      </c>
      <c r="K15" s="13">
        <v>188</v>
      </c>
      <c r="L15" s="13">
        <v>238</v>
      </c>
    </row>
    <row r="16" spans="1:12">
      <c r="A16" s="11" t="s">
        <v>28</v>
      </c>
      <c r="B16" s="12">
        <f t="shared" si="0"/>
        <v>15</v>
      </c>
      <c r="C16" s="12">
        <v>6</v>
      </c>
      <c r="D16" s="12">
        <v>2025</v>
      </c>
      <c r="E16" s="13">
        <f>'Consum.'!G22</f>
        <v>14076</v>
      </c>
      <c r="F16" s="14">
        <v>0.2</v>
      </c>
      <c r="G16" s="13"/>
      <c r="I16" s="13">
        <f>'Consum.'!K22</f>
        <v>64</v>
      </c>
      <c r="J16" s="15">
        <v>7.84</v>
      </c>
      <c r="K16" s="13">
        <v>198</v>
      </c>
      <c r="L16" s="13">
        <v>241</v>
      </c>
    </row>
    <row r="17" spans="1:12">
      <c r="A17" s="11" t="s">
        <v>28</v>
      </c>
      <c r="B17" s="12">
        <f t="shared" si="0"/>
        <v>16</v>
      </c>
      <c r="C17" s="12">
        <v>6</v>
      </c>
      <c r="D17" s="12">
        <v>2025</v>
      </c>
      <c r="E17" s="13">
        <f>'Consum.'!G23</f>
        <v>15738</v>
      </c>
      <c r="F17" s="14">
        <v>0.2</v>
      </c>
      <c r="G17" s="13"/>
      <c r="I17" s="13">
        <f>'Consum.'!K23</f>
        <v>70</v>
      </c>
      <c r="J17" s="15">
        <v>7.84</v>
      </c>
      <c r="K17" s="13">
        <v>215</v>
      </c>
      <c r="L17" s="13">
        <v>256</v>
      </c>
    </row>
    <row r="18" spans="1:12">
      <c r="A18" s="11" t="s">
        <v>28</v>
      </c>
      <c r="B18" s="12">
        <f t="shared" si="0"/>
        <v>17</v>
      </c>
      <c r="C18" s="12">
        <v>6</v>
      </c>
      <c r="D18" s="12">
        <v>2025</v>
      </c>
      <c r="E18" s="13">
        <f>'Consum.'!G24</f>
        <v>15147</v>
      </c>
      <c r="F18" s="14">
        <v>0.2</v>
      </c>
      <c r="G18" s="13"/>
      <c r="I18" s="13">
        <f>'Consum.'!K24</f>
        <v>18</v>
      </c>
      <c r="J18" s="15">
        <v>7.84</v>
      </c>
      <c r="K18" s="13">
        <v>215</v>
      </c>
      <c r="L18" s="13">
        <v>258</v>
      </c>
    </row>
    <row r="19" spans="1:12">
      <c r="A19" s="11" t="s">
        <v>28</v>
      </c>
      <c r="B19" s="12">
        <f t="shared" si="0"/>
        <v>18</v>
      </c>
      <c r="C19" s="12">
        <v>6</v>
      </c>
      <c r="D19" s="12">
        <v>2025</v>
      </c>
      <c r="E19" s="13">
        <f>'Consum.'!G25</f>
        <v>14721</v>
      </c>
      <c r="F19" s="14">
        <v>0.2</v>
      </c>
      <c r="G19" s="13"/>
      <c r="I19" s="13">
        <f>'Consum.'!K25</f>
        <v>46</v>
      </c>
      <c r="J19" s="15">
        <v>7.84</v>
      </c>
      <c r="K19" s="13">
        <v>213</v>
      </c>
      <c r="L19" s="13">
        <v>268</v>
      </c>
    </row>
    <row r="20" spans="1:12">
      <c r="A20" s="11" t="s">
        <v>28</v>
      </c>
      <c r="B20" s="12">
        <f t="shared" si="0"/>
        <v>19</v>
      </c>
      <c r="C20" s="12">
        <v>6</v>
      </c>
      <c r="D20" s="12">
        <v>2025</v>
      </c>
      <c r="E20" s="13">
        <f>'Consum.'!G26</f>
        <v>-28932294</v>
      </c>
      <c r="F20" s="14">
        <v>0.2</v>
      </c>
      <c r="G20" s="13"/>
      <c r="I20" s="13">
        <f>'Consum.'!K26</f>
        <v>-76207</v>
      </c>
      <c r="J20" s="15">
        <v>7.84</v>
      </c>
      <c r="K20" s="13"/>
      <c r="L20" s="13"/>
    </row>
    <row r="21" spans="1:12">
      <c r="A21" s="11" t="s">
        <v>28</v>
      </c>
      <c r="B21" s="12">
        <f t="shared" si="0"/>
        <v>20</v>
      </c>
      <c r="C21" s="12">
        <v>6</v>
      </c>
      <c r="D21" s="12">
        <v>2025</v>
      </c>
      <c r="E21" s="13">
        <f>'Consum.'!G27</f>
        <v>0</v>
      </c>
      <c r="F21" s="14">
        <v>0.2</v>
      </c>
      <c r="G21" s="13"/>
      <c r="I21" s="13">
        <f>'Consum.'!K27</f>
        <v>0</v>
      </c>
      <c r="J21" s="15">
        <v>7.84</v>
      </c>
      <c r="K21" s="13"/>
      <c r="L21" s="13"/>
    </row>
    <row r="22" spans="1:12">
      <c r="A22" s="11" t="s">
        <v>28</v>
      </c>
      <c r="B22" s="12">
        <f t="shared" si="0"/>
        <v>21</v>
      </c>
      <c r="C22" s="12">
        <v>6</v>
      </c>
      <c r="D22" s="12">
        <v>2025</v>
      </c>
      <c r="E22" s="13">
        <f>'Consum.'!G28</f>
        <v>0</v>
      </c>
      <c r="F22" s="14">
        <v>0.2</v>
      </c>
      <c r="G22" s="13"/>
      <c r="I22" s="13">
        <f>'Consum.'!K28</f>
        <v>0</v>
      </c>
      <c r="J22" s="15">
        <v>7.84</v>
      </c>
      <c r="K22" s="13"/>
      <c r="L22" s="13"/>
    </row>
    <row r="23" spans="1:12">
      <c r="A23" s="11" t="s">
        <v>28</v>
      </c>
      <c r="B23" s="12">
        <f t="shared" si="0"/>
        <v>22</v>
      </c>
      <c r="C23" s="12">
        <v>6</v>
      </c>
      <c r="D23" s="12">
        <v>2025</v>
      </c>
      <c r="E23" s="13">
        <f>'Consum.'!G29</f>
        <v>0</v>
      </c>
      <c r="F23" s="14">
        <v>0.2</v>
      </c>
      <c r="G23" s="13"/>
      <c r="I23" s="13">
        <f>'Consum.'!K29</f>
        <v>0</v>
      </c>
      <c r="J23" s="15">
        <v>7.84</v>
      </c>
      <c r="K23" s="13"/>
      <c r="L23" s="13"/>
    </row>
    <row r="24" spans="1:12">
      <c r="A24" s="11" t="s">
        <v>28</v>
      </c>
      <c r="B24" s="12">
        <f t="shared" si="0"/>
        <v>23</v>
      </c>
      <c r="C24" s="12">
        <v>6</v>
      </c>
      <c r="D24" s="12">
        <v>2025</v>
      </c>
      <c r="E24" s="13">
        <f>'Consum.'!G30</f>
        <v>0</v>
      </c>
      <c r="F24" s="14">
        <v>0.2</v>
      </c>
      <c r="G24" s="13"/>
      <c r="I24" s="13">
        <f>'Consum.'!K30</f>
        <v>0</v>
      </c>
      <c r="J24" s="15">
        <v>7.84</v>
      </c>
      <c r="K24" s="13"/>
      <c r="L24" s="13"/>
    </row>
    <row r="25" spans="1:12">
      <c r="A25" s="11" t="s">
        <v>28</v>
      </c>
      <c r="B25" s="12">
        <f t="shared" si="0"/>
        <v>24</v>
      </c>
      <c r="C25" s="12">
        <v>6</v>
      </c>
      <c r="D25" s="12">
        <v>2025</v>
      </c>
      <c r="E25" s="13">
        <f>'Consum.'!G31</f>
        <v>0</v>
      </c>
      <c r="F25" s="14">
        <v>0.2</v>
      </c>
      <c r="G25" s="13"/>
      <c r="I25" s="13">
        <f>'Consum.'!K31</f>
        <v>0</v>
      </c>
      <c r="J25" s="15">
        <v>7.84</v>
      </c>
      <c r="K25" s="13"/>
      <c r="L25" s="13"/>
    </row>
    <row r="26" spans="1:12">
      <c r="A26" s="11" t="s">
        <v>28</v>
      </c>
      <c r="B26" s="12">
        <f>B25+1</f>
        <v>25</v>
      </c>
      <c r="C26" s="12">
        <v>6</v>
      </c>
      <c r="D26" s="12">
        <v>2025</v>
      </c>
      <c r="E26" s="13">
        <f>'Consum.'!G32</f>
        <v>0</v>
      </c>
      <c r="F26" s="14">
        <v>0.2</v>
      </c>
      <c r="G26" s="13"/>
      <c r="I26" s="13">
        <f>'Consum.'!K32</f>
        <v>0</v>
      </c>
      <c r="J26" s="15">
        <v>7.84</v>
      </c>
      <c r="K26" s="13"/>
      <c r="L26" s="13"/>
    </row>
    <row r="27" spans="1:12">
      <c r="A27" s="11" t="s">
        <v>28</v>
      </c>
      <c r="B27" s="12">
        <f t="shared" si="0"/>
        <v>26</v>
      </c>
      <c r="C27" s="12">
        <v>6</v>
      </c>
      <c r="D27" s="12">
        <v>2025</v>
      </c>
      <c r="E27" s="13">
        <f>'Consum.'!G33</f>
        <v>0</v>
      </c>
      <c r="F27" s="14">
        <v>0.2</v>
      </c>
      <c r="G27" s="13"/>
      <c r="I27" s="13">
        <f>'Consum.'!K33</f>
        <v>0</v>
      </c>
      <c r="J27" s="15">
        <v>7.84</v>
      </c>
      <c r="K27" s="13"/>
      <c r="L27" s="13"/>
    </row>
    <row r="28" spans="1:12">
      <c r="A28" s="11" t="s">
        <v>28</v>
      </c>
      <c r="B28" s="12">
        <f t="shared" si="0"/>
        <v>27</v>
      </c>
      <c r="C28" s="12">
        <v>6</v>
      </c>
      <c r="D28" s="12">
        <v>2025</v>
      </c>
      <c r="E28" s="13">
        <f>'Consum.'!G34</f>
        <v>0</v>
      </c>
      <c r="F28" s="14">
        <v>0.2</v>
      </c>
      <c r="G28" s="13"/>
      <c r="I28" s="13">
        <f>'Consum.'!K34</f>
        <v>0</v>
      </c>
      <c r="J28" s="15">
        <v>7.84</v>
      </c>
      <c r="K28" s="13"/>
      <c r="L28" s="13"/>
    </row>
    <row r="29" spans="1:12">
      <c r="A29" s="11" t="s">
        <v>28</v>
      </c>
      <c r="B29" s="12">
        <f t="shared" si="0"/>
        <v>28</v>
      </c>
      <c r="C29" s="12">
        <v>6</v>
      </c>
      <c r="D29" s="12">
        <v>2025</v>
      </c>
      <c r="E29" s="13">
        <f>'Consum.'!G35</f>
        <v>0</v>
      </c>
      <c r="F29" s="14">
        <v>0.2</v>
      </c>
      <c r="G29" s="13"/>
      <c r="I29" s="13">
        <f>'Consum.'!K35</f>
        <v>0</v>
      </c>
      <c r="J29" s="15">
        <v>7.84</v>
      </c>
      <c r="K29" s="13"/>
      <c r="L29" s="13"/>
    </row>
    <row r="30" spans="1:12">
      <c r="A30" s="11" t="s">
        <v>28</v>
      </c>
      <c r="B30" s="12">
        <f t="shared" si="0"/>
        <v>29</v>
      </c>
      <c r="C30" s="12">
        <v>6</v>
      </c>
      <c r="D30" s="12">
        <v>2025</v>
      </c>
      <c r="E30" s="13">
        <f>'Consum.'!G36</f>
        <v>0</v>
      </c>
      <c r="F30" s="14">
        <v>0.2</v>
      </c>
      <c r="G30" s="13"/>
      <c r="I30" s="13">
        <f>'Consum.'!K36</f>
        <v>0</v>
      </c>
      <c r="J30" s="15">
        <v>7.84</v>
      </c>
      <c r="K30" s="13"/>
      <c r="L30" s="13"/>
    </row>
    <row r="31" spans="1:12">
      <c r="A31" s="11" t="s">
        <v>28</v>
      </c>
      <c r="B31" s="12">
        <f t="shared" si="0"/>
        <v>30</v>
      </c>
      <c r="C31" s="12">
        <v>6</v>
      </c>
      <c r="D31" s="12">
        <v>2025</v>
      </c>
      <c r="E31" s="13">
        <f>'Consum.'!G37</f>
        <v>0</v>
      </c>
      <c r="F31" s="14">
        <v>0.2</v>
      </c>
      <c r="G31" s="13"/>
      <c r="I31" s="13">
        <f>'Consum.'!K37</f>
        <v>0</v>
      </c>
      <c r="J31" s="15">
        <v>7.84</v>
      </c>
      <c r="K31" s="13"/>
      <c r="L31" s="13"/>
    </row>
    <row r="32" spans="1:12">
      <c r="G32" s="1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65"/>
  <sheetViews>
    <sheetView tabSelected="1" zoomScale="70" zoomScaleNormal="70" zoomScaleSheetLayoutView="100" workbookViewId="0">
      <selection activeCell="I25" sqref="I25"/>
    </sheetView>
  </sheetViews>
  <sheetFormatPr defaultRowHeight="15"/>
  <cols>
    <col min="1" max="1" width="6" style="1" customWidth="1"/>
    <col min="2" max="2" width="7.5703125" style="2" hidden="1" customWidth="1"/>
    <col min="3" max="3" width="7.7109375" style="3" hidden="1" customWidth="1"/>
    <col min="4" max="5" width="20.7109375" customWidth="1"/>
    <col min="6" max="6" width="14.42578125" style="1" customWidth="1"/>
    <col min="7" max="7" width="13.28515625" customWidth="1"/>
    <col min="8" max="9" width="20.7109375" customWidth="1"/>
    <col min="10" max="10" width="15.7109375" customWidth="1"/>
    <col min="11" max="11" width="15.7109375" style="1" customWidth="1"/>
    <col min="12" max="12" width="18.7109375" customWidth="1"/>
    <col min="13" max="13" width="18.5703125" customWidth="1"/>
  </cols>
  <sheetData>
    <row r="1" spans="1:14" ht="49.5" customHeight="1">
      <c r="A1" s="53" t="s">
        <v>15</v>
      </c>
      <c r="B1" s="54"/>
      <c r="C1" s="54"/>
      <c r="D1" s="54"/>
      <c r="E1" s="54"/>
      <c r="F1" s="54"/>
      <c r="G1" s="54"/>
      <c r="H1" s="54"/>
      <c r="I1" s="54"/>
      <c r="J1" s="54"/>
      <c r="K1" s="54"/>
      <c r="L1" s="54"/>
    </row>
    <row r="2" spans="1:14" ht="96.75" customHeight="1">
      <c r="A2" s="52" t="s">
        <v>30</v>
      </c>
      <c r="B2" s="52"/>
      <c r="C2" s="52"/>
      <c r="D2" s="52"/>
      <c r="E2" s="52"/>
      <c r="F2" s="52"/>
      <c r="G2" s="52"/>
      <c r="H2" s="52"/>
      <c r="I2" s="52"/>
      <c r="J2" s="52"/>
      <c r="K2" s="52"/>
      <c r="L2" s="52"/>
      <c r="M2" s="52"/>
    </row>
    <row r="3" spans="1:14" s="5" customFormat="1" ht="15.2" customHeight="1">
      <c r="A3" s="20" t="s">
        <v>0</v>
      </c>
      <c r="B3" s="49" t="s">
        <v>1</v>
      </c>
      <c r="C3" s="49"/>
      <c r="D3" s="50" t="s">
        <v>3</v>
      </c>
      <c r="E3" s="50"/>
      <c r="F3" s="50"/>
      <c r="G3" s="50"/>
      <c r="H3" s="51" t="s">
        <v>11</v>
      </c>
      <c r="I3" s="51"/>
      <c r="J3" s="51"/>
      <c r="K3" s="51"/>
      <c r="L3" s="24" t="s">
        <v>5</v>
      </c>
      <c r="M3" s="24" t="s">
        <v>5</v>
      </c>
    </row>
    <row r="4" spans="1:14" s="5" customFormat="1" ht="15" customHeight="1">
      <c r="A4" s="20"/>
      <c r="B4" s="49"/>
      <c r="C4" s="49"/>
      <c r="D4" s="50"/>
      <c r="E4" s="50"/>
      <c r="F4" s="50"/>
      <c r="G4" s="50"/>
      <c r="H4" s="51"/>
      <c r="I4" s="51"/>
      <c r="J4" s="51"/>
      <c r="K4" s="51"/>
      <c r="L4" s="24" t="s">
        <v>6</v>
      </c>
      <c r="M4" s="24" t="s">
        <v>29</v>
      </c>
    </row>
    <row r="5" spans="1:14" s="5" customFormat="1">
      <c r="A5" s="25"/>
      <c r="B5" s="21" t="s">
        <v>12</v>
      </c>
      <c r="C5" s="26" t="s">
        <v>13</v>
      </c>
      <c r="D5" s="27" t="s">
        <v>14</v>
      </c>
      <c r="E5" s="27" t="s">
        <v>7</v>
      </c>
      <c r="F5" s="22" t="s">
        <v>2</v>
      </c>
      <c r="G5" s="22" t="s">
        <v>8</v>
      </c>
      <c r="H5" s="23" t="s">
        <v>9</v>
      </c>
      <c r="I5" s="23" t="s">
        <v>10</v>
      </c>
      <c r="J5" s="23" t="s">
        <v>2</v>
      </c>
      <c r="K5" s="23" t="s">
        <v>8</v>
      </c>
      <c r="L5" s="24" t="s">
        <v>4</v>
      </c>
      <c r="M5" s="24" t="s">
        <v>4</v>
      </c>
    </row>
    <row r="6" spans="1:14" s="5" customFormat="1">
      <c r="A6" s="25"/>
      <c r="B6" s="21"/>
      <c r="C6" s="26"/>
      <c r="D6" s="27"/>
      <c r="E6" s="27"/>
      <c r="F6" s="22"/>
      <c r="G6" s="22"/>
      <c r="H6" s="23"/>
      <c r="I6" s="23"/>
      <c r="J6" s="23"/>
      <c r="K6" s="23"/>
      <c r="L6" s="24"/>
      <c r="M6" s="24"/>
    </row>
    <row r="7" spans="1:14" ht="15" customHeight="1">
      <c r="A7" s="38">
        <v>31</v>
      </c>
      <c r="B7" s="39"/>
      <c r="C7" s="40"/>
      <c r="D7" s="41">
        <v>22584499</v>
      </c>
      <c r="E7" s="42">
        <v>6099488</v>
      </c>
      <c r="F7" s="43">
        <f t="shared" ref="F7" si="0">(D7+E7)</f>
        <v>28683987</v>
      </c>
      <c r="G7" s="44">
        <f t="shared" ref="G7" si="1">(F7-F6)</f>
        <v>28683987</v>
      </c>
      <c r="H7" s="45">
        <v>27799</v>
      </c>
      <c r="I7" s="46">
        <v>47424</v>
      </c>
      <c r="J7" s="43">
        <f>H7+I7</f>
        <v>75223</v>
      </c>
      <c r="K7" s="47">
        <f t="shared" ref="K7" si="2">(J7-J6)</f>
        <v>75223</v>
      </c>
      <c r="L7" s="48">
        <v>47</v>
      </c>
      <c r="M7" s="32">
        <v>85</v>
      </c>
    </row>
    <row r="8" spans="1:14" ht="18.75" customHeight="1">
      <c r="A8" s="28">
        <v>1</v>
      </c>
      <c r="B8" s="29"/>
      <c r="C8" s="30">
        <f t="shared" ref="C8:C33" si="3">(229/100*B8)</f>
        <v>0</v>
      </c>
      <c r="D8" s="31">
        <v>22595713</v>
      </c>
      <c r="E8" s="31">
        <v>6102039</v>
      </c>
      <c r="F8" s="30">
        <f t="shared" ref="F8:F37" si="4">(D8+E8)</f>
        <v>28697752</v>
      </c>
      <c r="G8" s="30">
        <f t="shared" ref="G8:G37" si="5">(F8-F7)</f>
        <v>13765</v>
      </c>
      <c r="H8" s="33">
        <v>27840</v>
      </c>
      <c r="I8" s="33">
        <v>47451</v>
      </c>
      <c r="J8" s="30">
        <f>H8+I8</f>
        <v>75291</v>
      </c>
      <c r="K8" s="30">
        <v>67</v>
      </c>
      <c r="L8" s="31">
        <v>1650</v>
      </c>
      <c r="M8" s="32">
        <v>1.82</v>
      </c>
      <c r="N8" s="4"/>
    </row>
    <row r="9" spans="1:14" ht="18" customHeight="1">
      <c r="A9" s="28">
        <v>2</v>
      </c>
      <c r="B9" s="29"/>
      <c r="C9" s="30">
        <f t="shared" si="3"/>
        <v>0</v>
      </c>
      <c r="D9" s="34">
        <v>22607104</v>
      </c>
      <c r="E9" s="34">
        <v>6104742</v>
      </c>
      <c r="F9" s="30">
        <f t="shared" si="4"/>
        <v>28711846</v>
      </c>
      <c r="G9" s="30">
        <f t="shared" si="5"/>
        <v>14094</v>
      </c>
      <c r="H9" s="31">
        <v>27871</v>
      </c>
      <c r="I9" s="31">
        <v>47474</v>
      </c>
      <c r="J9" s="30">
        <f t="shared" ref="J9:J36" si="6">H9+I9</f>
        <v>75345</v>
      </c>
      <c r="K9" s="30">
        <f t="shared" ref="K9:K37" si="7">(J9-J8)</f>
        <v>54</v>
      </c>
      <c r="L9" s="31"/>
      <c r="M9" s="32"/>
      <c r="N9" s="4"/>
    </row>
    <row r="10" spans="1:14" ht="17.100000000000001" customHeight="1">
      <c r="A10" s="28">
        <v>3</v>
      </c>
      <c r="B10" s="29"/>
      <c r="C10" s="30">
        <f t="shared" si="3"/>
        <v>0</v>
      </c>
      <c r="D10" s="34">
        <v>22618047</v>
      </c>
      <c r="E10" s="31">
        <v>6107358</v>
      </c>
      <c r="F10" s="30">
        <f t="shared" si="4"/>
        <v>28725405</v>
      </c>
      <c r="G10" s="30">
        <f t="shared" si="5"/>
        <v>13559</v>
      </c>
      <c r="H10" s="31">
        <v>27900</v>
      </c>
      <c r="I10" s="31">
        <v>47497</v>
      </c>
      <c r="J10" s="30">
        <f t="shared" si="6"/>
        <v>75397</v>
      </c>
      <c r="K10" s="30">
        <f t="shared" si="7"/>
        <v>52</v>
      </c>
      <c r="L10" s="31"/>
      <c r="M10" s="32"/>
      <c r="N10" s="4"/>
    </row>
    <row r="11" spans="1:14" ht="17.100000000000001" customHeight="1">
      <c r="A11" s="28">
        <v>4</v>
      </c>
      <c r="B11" s="29"/>
      <c r="C11" s="30">
        <f t="shared" si="3"/>
        <v>0</v>
      </c>
      <c r="D11" s="31">
        <v>22627808</v>
      </c>
      <c r="E11" s="31">
        <v>6110017</v>
      </c>
      <c r="F11" s="30">
        <f t="shared" si="4"/>
        <v>28737825</v>
      </c>
      <c r="G11" s="30">
        <f t="shared" si="5"/>
        <v>12420</v>
      </c>
      <c r="H11" s="31">
        <v>27917</v>
      </c>
      <c r="I11" s="31">
        <v>47511</v>
      </c>
      <c r="J11" s="30">
        <f t="shared" si="6"/>
        <v>75428</v>
      </c>
      <c r="K11" s="30">
        <f t="shared" si="7"/>
        <v>31</v>
      </c>
      <c r="L11" s="31"/>
      <c r="M11" s="32"/>
      <c r="N11" s="4"/>
    </row>
    <row r="12" spans="1:14" ht="17.100000000000001" customHeight="1">
      <c r="A12" s="28">
        <v>5</v>
      </c>
      <c r="B12" s="29"/>
      <c r="C12" s="30">
        <f t="shared" si="3"/>
        <v>0</v>
      </c>
      <c r="D12" s="31">
        <v>22637739</v>
      </c>
      <c r="E12" s="31">
        <v>6112661</v>
      </c>
      <c r="F12" s="30">
        <f t="shared" si="4"/>
        <v>28750400</v>
      </c>
      <c r="G12" s="30">
        <f t="shared" si="5"/>
        <v>12575</v>
      </c>
      <c r="H12" s="31">
        <v>27935</v>
      </c>
      <c r="I12" s="31">
        <v>47526</v>
      </c>
      <c r="J12" s="30">
        <f t="shared" si="6"/>
        <v>75461</v>
      </c>
      <c r="K12" s="30">
        <f t="shared" si="7"/>
        <v>33</v>
      </c>
      <c r="L12" s="31"/>
      <c r="M12" s="32"/>
      <c r="N12" s="4"/>
    </row>
    <row r="13" spans="1:14" ht="17.100000000000001" customHeight="1">
      <c r="A13" s="28">
        <v>6</v>
      </c>
      <c r="B13" s="29"/>
      <c r="C13" s="30">
        <f t="shared" si="3"/>
        <v>0</v>
      </c>
      <c r="D13" s="31">
        <v>22647964</v>
      </c>
      <c r="E13" s="31">
        <v>6115383</v>
      </c>
      <c r="F13" s="30">
        <f t="shared" si="4"/>
        <v>28763347</v>
      </c>
      <c r="G13" s="30">
        <f t="shared" si="5"/>
        <v>12947</v>
      </c>
      <c r="H13" s="31">
        <v>27978</v>
      </c>
      <c r="I13" s="31">
        <v>47559</v>
      </c>
      <c r="J13" s="30">
        <f t="shared" si="6"/>
        <v>75537</v>
      </c>
      <c r="K13" s="30">
        <f t="shared" si="7"/>
        <v>76</v>
      </c>
      <c r="L13" s="31"/>
      <c r="M13" s="32"/>
      <c r="N13" s="4"/>
    </row>
    <row r="14" spans="1:14" ht="17.100000000000001" customHeight="1">
      <c r="A14" s="28">
        <v>7</v>
      </c>
      <c r="B14" s="29"/>
      <c r="C14" s="30">
        <f t="shared" si="3"/>
        <v>0</v>
      </c>
      <c r="D14" s="31">
        <v>22658279</v>
      </c>
      <c r="E14" s="31">
        <v>6118025</v>
      </c>
      <c r="F14" s="30">
        <f t="shared" si="4"/>
        <v>28776304</v>
      </c>
      <c r="G14" s="30">
        <f t="shared" si="5"/>
        <v>12957</v>
      </c>
      <c r="H14" s="31">
        <v>28034</v>
      </c>
      <c r="I14" s="31">
        <v>47599</v>
      </c>
      <c r="J14" s="30">
        <f t="shared" si="6"/>
        <v>75633</v>
      </c>
      <c r="K14" s="30">
        <f t="shared" si="7"/>
        <v>96</v>
      </c>
      <c r="L14" s="31"/>
      <c r="M14" s="32"/>
      <c r="N14" s="4"/>
    </row>
    <row r="15" spans="1:14" ht="17.100000000000001" customHeight="1">
      <c r="A15" s="28">
        <v>8</v>
      </c>
      <c r="B15" s="29"/>
      <c r="C15" s="30">
        <f t="shared" si="3"/>
        <v>0</v>
      </c>
      <c r="D15" s="31">
        <v>22668540</v>
      </c>
      <c r="E15" s="31">
        <v>6120622</v>
      </c>
      <c r="F15" s="30">
        <f t="shared" si="4"/>
        <v>28789162</v>
      </c>
      <c r="G15" s="30">
        <f t="shared" si="5"/>
        <v>12858</v>
      </c>
      <c r="H15" s="31">
        <v>28077</v>
      </c>
      <c r="I15" s="31">
        <v>47631</v>
      </c>
      <c r="J15" s="30">
        <f t="shared" si="6"/>
        <v>75708</v>
      </c>
      <c r="K15" s="30">
        <f t="shared" si="7"/>
        <v>75</v>
      </c>
      <c r="L15" s="31"/>
      <c r="M15" s="32"/>
      <c r="N15" s="4"/>
    </row>
    <row r="16" spans="1:14" ht="17.100000000000001" customHeight="1">
      <c r="A16" s="28">
        <v>9</v>
      </c>
      <c r="B16" s="29"/>
      <c r="C16" s="30">
        <f t="shared" si="3"/>
        <v>0</v>
      </c>
      <c r="D16" s="31">
        <v>22679603</v>
      </c>
      <c r="E16" s="31">
        <v>6123184</v>
      </c>
      <c r="F16" s="30">
        <f t="shared" si="4"/>
        <v>28802787</v>
      </c>
      <c r="G16" s="30">
        <f t="shared" si="5"/>
        <v>13625</v>
      </c>
      <c r="H16" s="31">
        <v>28091</v>
      </c>
      <c r="I16" s="31">
        <v>47642</v>
      </c>
      <c r="J16" s="30">
        <f t="shared" si="6"/>
        <v>75733</v>
      </c>
      <c r="K16" s="30">
        <f t="shared" si="7"/>
        <v>25</v>
      </c>
      <c r="L16" s="31"/>
      <c r="M16" s="32"/>
      <c r="N16" s="4"/>
    </row>
    <row r="17" spans="1:14" ht="17.100000000000001" customHeight="1">
      <c r="A17" s="28">
        <v>10</v>
      </c>
      <c r="B17" s="29"/>
      <c r="C17" s="30">
        <f t="shared" si="3"/>
        <v>0</v>
      </c>
      <c r="D17" s="31">
        <v>22690938</v>
      </c>
      <c r="E17" s="31">
        <v>6125730</v>
      </c>
      <c r="F17" s="30">
        <f t="shared" si="4"/>
        <v>28816668</v>
      </c>
      <c r="G17" s="30">
        <f t="shared" si="5"/>
        <v>13881</v>
      </c>
      <c r="H17" s="31">
        <v>28119</v>
      </c>
      <c r="I17" s="31">
        <v>47662</v>
      </c>
      <c r="J17" s="30">
        <f t="shared" si="6"/>
        <v>75781</v>
      </c>
      <c r="K17" s="30">
        <f t="shared" si="7"/>
        <v>48</v>
      </c>
      <c r="L17" s="31"/>
      <c r="M17" s="32"/>
      <c r="N17" s="4"/>
    </row>
    <row r="18" spans="1:14" ht="17.100000000000001" customHeight="1">
      <c r="A18" s="28">
        <v>11</v>
      </c>
      <c r="B18" s="29"/>
      <c r="C18" s="30">
        <f t="shared" si="3"/>
        <v>0</v>
      </c>
      <c r="D18" s="31">
        <v>22702406</v>
      </c>
      <c r="E18" s="31">
        <v>6128388</v>
      </c>
      <c r="F18" s="30">
        <f t="shared" si="4"/>
        <v>28830794</v>
      </c>
      <c r="G18" s="30">
        <f t="shared" si="5"/>
        <v>14126</v>
      </c>
      <c r="H18" s="31">
        <v>28155</v>
      </c>
      <c r="I18" s="31">
        <v>47689</v>
      </c>
      <c r="J18" s="30">
        <f t="shared" si="6"/>
        <v>75844</v>
      </c>
      <c r="K18" s="30">
        <f t="shared" si="7"/>
        <v>63</v>
      </c>
      <c r="L18" s="31"/>
      <c r="M18" s="32"/>
      <c r="N18" s="4"/>
    </row>
    <row r="19" spans="1:14" ht="17.100000000000001" customHeight="1">
      <c r="A19" s="28">
        <v>12</v>
      </c>
      <c r="B19" s="29"/>
      <c r="C19" s="30">
        <f t="shared" si="3"/>
        <v>0</v>
      </c>
      <c r="D19" s="31">
        <v>22714011</v>
      </c>
      <c r="E19" s="31">
        <v>6131062</v>
      </c>
      <c r="F19" s="30">
        <f t="shared" si="4"/>
        <v>28845073</v>
      </c>
      <c r="G19" s="30">
        <f t="shared" si="5"/>
        <v>14279</v>
      </c>
      <c r="H19" s="31">
        <v>28189</v>
      </c>
      <c r="I19" s="31">
        <v>47716</v>
      </c>
      <c r="J19" s="30">
        <f t="shared" si="6"/>
        <v>75905</v>
      </c>
      <c r="K19" s="30">
        <f t="shared" si="7"/>
        <v>61</v>
      </c>
      <c r="L19" s="31"/>
      <c r="M19" s="32"/>
      <c r="N19" s="4"/>
    </row>
    <row r="20" spans="1:14" ht="17.100000000000001" customHeight="1">
      <c r="A20" s="28">
        <v>13</v>
      </c>
      <c r="B20" s="29"/>
      <c r="C20" s="30">
        <f t="shared" si="3"/>
        <v>0</v>
      </c>
      <c r="D20" s="31">
        <v>22725344</v>
      </c>
      <c r="E20" s="31">
        <v>6133748</v>
      </c>
      <c r="F20" s="30">
        <f t="shared" si="4"/>
        <v>28859092</v>
      </c>
      <c r="G20" s="30">
        <f t="shared" si="5"/>
        <v>14019</v>
      </c>
      <c r="H20" s="31">
        <v>28212</v>
      </c>
      <c r="I20" s="31">
        <v>47733</v>
      </c>
      <c r="J20" s="30">
        <f t="shared" si="6"/>
        <v>75945</v>
      </c>
      <c r="K20" s="30">
        <f t="shared" si="7"/>
        <v>40</v>
      </c>
      <c r="L20" s="31"/>
      <c r="M20" s="32"/>
      <c r="N20" s="4"/>
    </row>
    <row r="21" spans="1:14" ht="17.100000000000001" customHeight="1">
      <c r="A21" s="28">
        <v>14</v>
      </c>
      <c r="B21" s="29"/>
      <c r="C21" s="30">
        <f t="shared" si="3"/>
        <v>0</v>
      </c>
      <c r="D21" s="31">
        <v>22736115</v>
      </c>
      <c r="E21" s="31">
        <v>6136497</v>
      </c>
      <c r="F21" s="30">
        <f t="shared" si="4"/>
        <v>28872612</v>
      </c>
      <c r="G21" s="30">
        <f t="shared" si="5"/>
        <v>13520</v>
      </c>
      <c r="H21" s="31">
        <v>28247</v>
      </c>
      <c r="I21" s="31">
        <v>47762</v>
      </c>
      <c r="J21" s="30">
        <f t="shared" si="6"/>
        <v>76009</v>
      </c>
      <c r="K21" s="30">
        <f t="shared" si="7"/>
        <v>64</v>
      </c>
      <c r="L21" s="31"/>
      <c r="M21" s="32"/>
      <c r="N21" s="4"/>
    </row>
    <row r="22" spans="1:14" ht="17.100000000000001" customHeight="1">
      <c r="A22" s="28">
        <v>15</v>
      </c>
      <c r="B22" s="29"/>
      <c r="C22" s="30">
        <f t="shared" si="3"/>
        <v>0</v>
      </c>
      <c r="D22" s="31">
        <v>22747604</v>
      </c>
      <c r="E22" s="31">
        <v>6139084</v>
      </c>
      <c r="F22" s="30">
        <f t="shared" si="4"/>
        <v>28886688</v>
      </c>
      <c r="G22" s="30">
        <f t="shared" si="5"/>
        <v>14076</v>
      </c>
      <c r="H22" s="31">
        <v>28283</v>
      </c>
      <c r="I22" s="31">
        <v>47790</v>
      </c>
      <c r="J22" s="30">
        <f t="shared" si="6"/>
        <v>76073</v>
      </c>
      <c r="K22" s="30">
        <f t="shared" si="7"/>
        <v>64</v>
      </c>
      <c r="L22" s="29"/>
      <c r="M22" s="32"/>
      <c r="N22" s="4"/>
    </row>
    <row r="23" spans="1:14" ht="17.100000000000001" customHeight="1">
      <c r="A23" s="28">
        <v>16</v>
      </c>
      <c r="B23" s="29"/>
      <c r="C23" s="30">
        <f t="shared" si="3"/>
        <v>0</v>
      </c>
      <c r="D23" s="31">
        <v>22760638</v>
      </c>
      <c r="E23" s="31">
        <v>6141788</v>
      </c>
      <c r="F23" s="30">
        <f t="shared" si="4"/>
        <v>28902426</v>
      </c>
      <c r="G23" s="30">
        <f t="shared" si="5"/>
        <v>15738</v>
      </c>
      <c r="H23" s="31">
        <v>28322</v>
      </c>
      <c r="I23" s="31">
        <v>47821</v>
      </c>
      <c r="J23" s="30">
        <f t="shared" si="6"/>
        <v>76143</v>
      </c>
      <c r="K23" s="30">
        <f t="shared" si="7"/>
        <v>70</v>
      </c>
      <c r="L23" s="35"/>
      <c r="M23" s="32"/>
      <c r="N23" s="4"/>
    </row>
    <row r="24" spans="1:14" ht="16.5" customHeight="1">
      <c r="A24" s="28">
        <v>17</v>
      </c>
      <c r="B24" s="29"/>
      <c r="C24" s="30">
        <f t="shared" si="3"/>
        <v>0</v>
      </c>
      <c r="D24" s="31">
        <v>22773067</v>
      </c>
      <c r="E24" s="31">
        <v>6144506</v>
      </c>
      <c r="F24" s="30">
        <f t="shared" si="4"/>
        <v>28917573</v>
      </c>
      <c r="G24" s="30">
        <f t="shared" si="5"/>
        <v>15147</v>
      </c>
      <c r="H24" s="31">
        <v>28332</v>
      </c>
      <c r="I24" s="31">
        <v>47829</v>
      </c>
      <c r="J24" s="30">
        <f t="shared" si="6"/>
        <v>76161</v>
      </c>
      <c r="K24" s="30">
        <f t="shared" si="7"/>
        <v>18</v>
      </c>
      <c r="L24" s="31"/>
      <c r="M24" s="32"/>
      <c r="N24" s="4"/>
    </row>
    <row r="25" spans="1:14" ht="17.100000000000001" customHeight="1">
      <c r="A25" s="28">
        <v>18</v>
      </c>
      <c r="B25" s="29"/>
      <c r="C25" s="30">
        <f t="shared" si="3"/>
        <v>0</v>
      </c>
      <c r="D25" s="31">
        <v>22784978</v>
      </c>
      <c r="E25" s="31">
        <v>6147316</v>
      </c>
      <c r="F25" s="30">
        <f t="shared" si="4"/>
        <v>28932294</v>
      </c>
      <c r="G25" s="30">
        <f t="shared" si="5"/>
        <v>14721</v>
      </c>
      <c r="H25" s="31">
        <v>28358</v>
      </c>
      <c r="I25" s="31">
        <v>47849</v>
      </c>
      <c r="J25" s="30">
        <f t="shared" si="6"/>
        <v>76207</v>
      </c>
      <c r="K25" s="30">
        <f t="shared" si="7"/>
        <v>46</v>
      </c>
      <c r="L25" s="31"/>
      <c r="M25" s="32"/>
      <c r="N25" s="4"/>
    </row>
    <row r="26" spans="1:14" ht="17.100000000000001" customHeight="1">
      <c r="A26" s="28">
        <v>19</v>
      </c>
      <c r="B26" s="29"/>
      <c r="C26" s="30">
        <f t="shared" si="3"/>
        <v>0</v>
      </c>
      <c r="D26" s="31"/>
      <c r="E26" s="31"/>
      <c r="F26" s="30">
        <f t="shared" si="4"/>
        <v>0</v>
      </c>
      <c r="G26" s="30">
        <f t="shared" si="5"/>
        <v>-28932294</v>
      </c>
      <c r="H26" s="31"/>
      <c r="I26" s="31"/>
      <c r="J26" s="30">
        <f t="shared" si="6"/>
        <v>0</v>
      </c>
      <c r="K26" s="30">
        <f t="shared" si="7"/>
        <v>-76207</v>
      </c>
      <c r="L26" s="31"/>
      <c r="M26" s="32"/>
      <c r="N26" s="4"/>
    </row>
    <row r="27" spans="1:14" ht="17.100000000000001" customHeight="1">
      <c r="A27" s="28">
        <v>20</v>
      </c>
      <c r="B27" s="29"/>
      <c r="C27" s="30">
        <f t="shared" si="3"/>
        <v>0</v>
      </c>
      <c r="D27" s="31"/>
      <c r="E27" s="36"/>
      <c r="F27" s="30">
        <f t="shared" si="4"/>
        <v>0</v>
      </c>
      <c r="G27" s="30">
        <f t="shared" si="5"/>
        <v>0</v>
      </c>
      <c r="H27" s="31"/>
      <c r="I27" s="31"/>
      <c r="J27" s="30">
        <f t="shared" si="6"/>
        <v>0</v>
      </c>
      <c r="K27" s="30">
        <f t="shared" si="7"/>
        <v>0</v>
      </c>
      <c r="L27" s="31"/>
      <c r="M27" s="32"/>
      <c r="N27" s="4"/>
    </row>
    <row r="28" spans="1:14" ht="17.100000000000001" customHeight="1">
      <c r="A28" s="28">
        <v>21</v>
      </c>
      <c r="B28" s="29"/>
      <c r="C28" s="30">
        <f t="shared" si="3"/>
        <v>0</v>
      </c>
      <c r="D28" s="36"/>
      <c r="E28" s="31"/>
      <c r="F28" s="30">
        <f t="shared" si="4"/>
        <v>0</v>
      </c>
      <c r="G28" s="30">
        <f t="shared" si="5"/>
        <v>0</v>
      </c>
      <c r="H28" s="31"/>
      <c r="I28" s="31"/>
      <c r="J28" s="30">
        <f t="shared" si="6"/>
        <v>0</v>
      </c>
      <c r="K28" s="30">
        <f t="shared" si="7"/>
        <v>0</v>
      </c>
      <c r="L28" s="31"/>
      <c r="M28" s="32"/>
      <c r="N28" s="4"/>
    </row>
    <row r="29" spans="1:14" ht="17.100000000000001" customHeight="1">
      <c r="A29" s="28">
        <v>22</v>
      </c>
      <c r="B29" s="29"/>
      <c r="C29" s="30">
        <f t="shared" si="3"/>
        <v>0</v>
      </c>
      <c r="D29" s="31"/>
      <c r="E29" s="31"/>
      <c r="F29" s="30">
        <f t="shared" si="4"/>
        <v>0</v>
      </c>
      <c r="G29" s="30">
        <f t="shared" si="5"/>
        <v>0</v>
      </c>
      <c r="H29" s="31"/>
      <c r="I29" s="31"/>
      <c r="J29" s="30">
        <f t="shared" si="6"/>
        <v>0</v>
      </c>
      <c r="K29" s="30">
        <f t="shared" si="7"/>
        <v>0</v>
      </c>
      <c r="L29" s="31"/>
      <c r="M29" s="32"/>
      <c r="N29" s="4"/>
    </row>
    <row r="30" spans="1:14" ht="17.100000000000001" customHeight="1">
      <c r="A30" s="28">
        <v>23</v>
      </c>
      <c r="B30" s="29"/>
      <c r="C30" s="30">
        <f t="shared" si="3"/>
        <v>0</v>
      </c>
      <c r="D30" s="31"/>
      <c r="E30" s="31"/>
      <c r="F30" s="30">
        <f t="shared" si="4"/>
        <v>0</v>
      </c>
      <c r="G30" s="30">
        <f t="shared" si="5"/>
        <v>0</v>
      </c>
      <c r="H30" s="31"/>
      <c r="I30" s="31"/>
      <c r="J30" s="30">
        <f t="shared" si="6"/>
        <v>0</v>
      </c>
      <c r="K30" s="30">
        <f>(J30-J29)</f>
        <v>0</v>
      </c>
      <c r="L30" s="31"/>
      <c r="M30" s="32"/>
      <c r="N30" s="4"/>
    </row>
    <row r="31" spans="1:14" ht="17.100000000000001" customHeight="1">
      <c r="A31" s="28">
        <v>24</v>
      </c>
      <c r="B31" s="29"/>
      <c r="C31" s="30">
        <f t="shared" si="3"/>
        <v>0</v>
      </c>
      <c r="D31" s="31"/>
      <c r="E31" s="31"/>
      <c r="F31" s="30">
        <f t="shared" si="4"/>
        <v>0</v>
      </c>
      <c r="G31" s="30">
        <f t="shared" si="5"/>
        <v>0</v>
      </c>
      <c r="H31" s="31"/>
      <c r="I31" s="31"/>
      <c r="J31" s="30">
        <f t="shared" si="6"/>
        <v>0</v>
      </c>
      <c r="K31" s="30">
        <f t="shared" si="7"/>
        <v>0</v>
      </c>
      <c r="L31" s="31"/>
      <c r="M31" s="37"/>
      <c r="N31" s="4"/>
    </row>
    <row r="32" spans="1:14" ht="17.100000000000001" customHeight="1">
      <c r="A32" s="28">
        <v>25</v>
      </c>
      <c r="B32" s="29"/>
      <c r="C32" s="30">
        <f t="shared" si="3"/>
        <v>0</v>
      </c>
      <c r="D32" s="31"/>
      <c r="E32" s="31"/>
      <c r="F32" s="30">
        <f t="shared" si="4"/>
        <v>0</v>
      </c>
      <c r="G32" s="30">
        <f t="shared" si="5"/>
        <v>0</v>
      </c>
      <c r="H32" s="31"/>
      <c r="I32" s="31"/>
      <c r="J32" s="30">
        <f t="shared" si="6"/>
        <v>0</v>
      </c>
      <c r="K32" s="30">
        <f t="shared" si="7"/>
        <v>0</v>
      </c>
      <c r="L32" s="31"/>
      <c r="M32" s="32"/>
      <c r="N32" s="4"/>
    </row>
    <row r="33" spans="1:14" ht="17.100000000000001" customHeight="1">
      <c r="A33" s="28">
        <v>26</v>
      </c>
      <c r="B33" s="29"/>
      <c r="C33" s="30">
        <f t="shared" si="3"/>
        <v>0</v>
      </c>
      <c r="D33" s="31"/>
      <c r="E33" s="31"/>
      <c r="F33" s="30">
        <f t="shared" si="4"/>
        <v>0</v>
      </c>
      <c r="G33" s="30">
        <f t="shared" si="5"/>
        <v>0</v>
      </c>
      <c r="H33" s="31"/>
      <c r="I33" s="31"/>
      <c r="J33" s="30">
        <f t="shared" si="6"/>
        <v>0</v>
      </c>
      <c r="K33" s="30">
        <f t="shared" si="7"/>
        <v>0</v>
      </c>
      <c r="L33" s="31"/>
      <c r="M33" s="32"/>
      <c r="N33" s="4"/>
    </row>
    <row r="34" spans="1:14" ht="17.100000000000001" customHeight="1">
      <c r="A34" s="28">
        <v>27</v>
      </c>
      <c r="B34" s="29"/>
      <c r="C34" s="30"/>
      <c r="D34" s="31"/>
      <c r="E34" s="31"/>
      <c r="F34" s="30">
        <f t="shared" si="4"/>
        <v>0</v>
      </c>
      <c r="G34" s="30">
        <f t="shared" si="5"/>
        <v>0</v>
      </c>
      <c r="H34" s="31"/>
      <c r="I34" s="31"/>
      <c r="J34" s="30">
        <f t="shared" si="6"/>
        <v>0</v>
      </c>
      <c r="K34" s="30">
        <f t="shared" si="7"/>
        <v>0</v>
      </c>
      <c r="L34" s="31"/>
      <c r="M34" s="32"/>
      <c r="N34" s="4"/>
    </row>
    <row r="35" spans="1:14" ht="17.100000000000001" customHeight="1">
      <c r="A35" s="28">
        <v>28</v>
      </c>
      <c r="B35" s="29"/>
      <c r="C35" s="30"/>
      <c r="D35" s="31"/>
      <c r="E35" s="31"/>
      <c r="F35" s="30">
        <f t="shared" si="4"/>
        <v>0</v>
      </c>
      <c r="G35" s="30">
        <f t="shared" si="5"/>
        <v>0</v>
      </c>
      <c r="H35" s="31"/>
      <c r="I35" s="31"/>
      <c r="J35" s="30">
        <f t="shared" si="6"/>
        <v>0</v>
      </c>
      <c r="K35" s="30">
        <f t="shared" si="7"/>
        <v>0</v>
      </c>
      <c r="L35" s="31"/>
      <c r="M35" s="32"/>
      <c r="N35" s="4"/>
    </row>
    <row r="36" spans="1:14" ht="15.75" customHeight="1">
      <c r="A36" s="28">
        <v>29</v>
      </c>
      <c r="B36" s="29"/>
      <c r="C36" s="30"/>
      <c r="D36" s="31"/>
      <c r="E36" s="31"/>
      <c r="F36" s="30">
        <f t="shared" si="4"/>
        <v>0</v>
      </c>
      <c r="G36" s="30">
        <f t="shared" si="5"/>
        <v>0</v>
      </c>
      <c r="H36" s="31"/>
      <c r="I36" s="31"/>
      <c r="J36" s="30">
        <f t="shared" si="6"/>
        <v>0</v>
      </c>
      <c r="K36" s="30">
        <f t="shared" si="7"/>
        <v>0</v>
      </c>
      <c r="L36" s="29"/>
      <c r="M36" s="32"/>
      <c r="N36" s="4"/>
    </row>
    <row r="37" spans="1:14" ht="15" customHeight="1">
      <c r="A37" s="28">
        <v>30</v>
      </c>
      <c r="B37" s="29"/>
      <c r="C37" s="30"/>
      <c r="D37" s="31"/>
      <c r="E37" s="31"/>
      <c r="F37" s="30">
        <f t="shared" si="4"/>
        <v>0</v>
      </c>
      <c r="G37" s="30">
        <f t="shared" si="5"/>
        <v>0</v>
      </c>
      <c r="H37" s="31"/>
      <c r="I37" s="31"/>
      <c r="J37" s="30">
        <f>H37+I37</f>
        <v>0</v>
      </c>
      <c r="K37" s="30">
        <f t="shared" si="7"/>
        <v>0</v>
      </c>
      <c r="L37" s="35"/>
      <c r="M37" s="32"/>
      <c r="N37" s="4"/>
    </row>
    <row r="38" spans="1:14">
      <c r="L38" s="1"/>
    </row>
    <row r="40" spans="1:14">
      <c r="J40" s="1"/>
      <c r="K40"/>
    </row>
    <row r="41" spans="1:14">
      <c r="J41" s="1"/>
      <c r="K41"/>
    </row>
    <row r="42" spans="1:14">
      <c r="J42" s="1"/>
      <c r="K42"/>
    </row>
    <row r="43" spans="1:14">
      <c r="J43" s="1"/>
      <c r="K43"/>
    </row>
    <row r="44" spans="1:14">
      <c r="J44" s="1"/>
      <c r="K44"/>
    </row>
    <row r="45" spans="1:14">
      <c r="J45" s="1"/>
      <c r="K45"/>
    </row>
    <row r="46" spans="1:14">
      <c r="J46" s="1"/>
      <c r="K46"/>
    </row>
    <row r="47" spans="1:14">
      <c r="J47" s="1"/>
      <c r="K47"/>
    </row>
    <row r="48" spans="1:14">
      <c r="J48" s="1"/>
      <c r="K48"/>
    </row>
    <row r="49" spans="10:11">
      <c r="J49" s="1"/>
      <c r="K49"/>
    </row>
    <row r="50" spans="10:11">
      <c r="J50" s="1"/>
      <c r="K50"/>
    </row>
    <row r="51" spans="10:11">
      <c r="J51" s="1"/>
      <c r="K51"/>
    </row>
    <row r="52" spans="10:11">
      <c r="J52" s="1"/>
      <c r="K52"/>
    </row>
    <row r="53" spans="10:11">
      <c r="J53" s="1"/>
      <c r="K53"/>
    </row>
    <row r="54" spans="10:11">
      <c r="J54" s="1"/>
      <c r="K54"/>
    </row>
    <row r="55" spans="10:11">
      <c r="J55" s="1"/>
      <c r="K55"/>
    </row>
    <row r="56" spans="10:11">
      <c r="J56" s="1"/>
      <c r="K56"/>
    </row>
    <row r="57" spans="10:11">
      <c r="J57" s="1"/>
      <c r="K57"/>
    </row>
    <row r="58" spans="10:11">
      <c r="J58" s="1"/>
      <c r="K58"/>
    </row>
    <row r="59" spans="10:11">
      <c r="J59" s="1"/>
      <c r="K59"/>
    </row>
    <row r="60" spans="10:11">
      <c r="J60" s="1"/>
      <c r="K60"/>
    </row>
    <row r="61" spans="10:11">
      <c r="J61" s="1"/>
      <c r="K61"/>
    </row>
    <row r="62" spans="10:11">
      <c r="J62" s="1"/>
      <c r="K62"/>
    </row>
    <row r="63" spans="10:11">
      <c r="J63" s="1"/>
      <c r="K63"/>
    </row>
    <row r="64" spans="10:11">
      <c r="J64" s="1"/>
      <c r="K64"/>
    </row>
    <row r="65" spans="10:11">
      <c r="J65" s="1"/>
      <c r="K65"/>
    </row>
  </sheetData>
  <mergeCells count="5">
    <mergeCell ref="B3:C4"/>
    <mergeCell ref="D3:G4"/>
    <mergeCell ref="H3:K4"/>
    <mergeCell ref="A2:M2"/>
    <mergeCell ref="A1:L1"/>
  </mergeCells>
  <printOptions verticalCentered="1"/>
  <pageMargins left="4" right="0" top="0.25" bottom="0.23" header="0" footer="0"/>
  <pageSetup paperSize="8" scale="95" orientation="portrait" r:id="rId1"/>
  <headerFooter>
    <oddFooter>&amp;RConsum.02.08.xlsx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</vt:lpstr>
      <vt:lpstr>Consum.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engineering</dc:creator>
  <cp:lastModifiedBy>Rangana Peiris</cp:lastModifiedBy>
  <cp:lastPrinted>2025-02-01T09:55:38Z</cp:lastPrinted>
  <dcterms:created xsi:type="dcterms:W3CDTF">2008-02-19T08:39:03Z</dcterms:created>
  <dcterms:modified xsi:type="dcterms:W3CDTF">2025-06-19T11:46:29Z</dcterms:modified>
</cp:coreProperties>
</file>