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ublic_All_Users\Engineering\HEP Energy Srvices -2025\"/>
    </mc:Choice>
  </mc:AlternateContent>
  <xr:revisionPtr revIDLastSave="0" documentId="13_ncr:1_{E9862662-563F-4BC5-BE2A-B71CF9B7FD69}" xr6:coauthVersionLast="47" xr6:coauthVersionMax="47" xr10:uidLastSave="{00000000-0000-0000-0000-000000000000}"/>
  <bookViews>
    <workbookView xWindow="-120" yWindow="-120" windowWidth="29040" windowHeight="15840" xr2:uid="{F8B10726-B79E-4F3A-827C-0806028455B2}"/>
  </bookViews>
  <sheets>
    <sheet name="Total" sheetId="2" r:id="rId1"/>
    <sheet name="Mar-202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3" l="1"/>
  <c r="AB7" i="3"/>
  <c r="AB8" i="3"/>
  <c r="AB9" i="3"/>
  <c r="AB10" i="3"/>
  <c r="AB11" i="3"/>
  <c r="J8" i="2" s="1"/>
  <c r="AB12" i="3"/>
  <c r="AB13" i="3"/>
  <c r="AB14" i="3"/>
  <c r="AB15" i="3"/>
  <c r="AB16" i="3"/>
  <c r="AB17" i="3"/>
  <c r="AB18" i="3"/>
  <c r="AB19" i="3"/>
  <c r="J16" i="2" s="1"/>
  <c r="AB20" i="3"/>
  <c r="AB21" i="3"/>
  <c r="AB22" i="3"/>
  <c r="AB23" i="3"/>
  <c r="AB24" i="3"/>
  <c r="AB25" i="3"/>
  <c r="AB26" i="3"/>
  <c r="AB27" i="3"/>
  <c r="J24" i="2" s="1"/>
  <c r="AB28" i="3"/>
  <c r="AB29" i="3"/>
  <c r="AB30" i="3"/>
  <c r="AB31" i="3"/>
  <c r="AB32" i="3"/>
  <c r="AB33" i="3"/>
  <c r="AB34" i="3"/>
  <c r="AB35" i="3"/>
  <c r="J32" i="2" s="1"/>
  <c r="AB5" i="3"/>
  <c r="J2" i="2" s="1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5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J3" i="2"/>
  <c r="J4" i="2"/>
  <c r="J5" i="2"/>
  <c r="J7" i="2"/>
  <c r="J9" i="2"/>
  <c r="J11" i="2"/>
  <c r="J12" i="2"/>
  <c r="J13" i="2"/>
  <c r="J15" i="2"/>
  <c r="J17" i="2"/>
  <c r="J19" i="2"/>
  <c r="J20" i="2"/>
  <c r="J21" i="2"/>
  <c r="J23" i="2"/>
  <c r="J25" i="2"/>
  <c r="J27" i="2"/>
  <c r="J28" i="2"/>
  <c r="J29" i="2"/>
  <c r="J31" i="2"/>
  <c r="I3" i="2"/>
  <c r="I4" i="2"/>
  <c r="I5" i="2"/>
  <c r="I7" i="2"/>
  <c r="I8" i="2"/>
  <c r="I9" i="2"/>
  <c r="I11" i="2"/>
  <c r="I12" i="2"/>
  <c r="I13" i="2"/>
  <c r="I15" i="2"/>
  <c r="I16" i="2"/>
  <c r="I17" i="2"/>
  <c r="I19" i="2"/>
  <c r="I20" i="2"/>
  <c r="I21" i="2"/>
  <c r="I23" i="2"/>
  <c r="I24" i="2"/>
  <c r="I25" i="2"/>
  <c r="I27" i="2"/>
  <c r="I28" i="2"/>
  <c r="I29" i="2"/>
  <c r="I31" i="2"/>
  <c r="I32" i="2"/>
  <c r="I2" i="2"/>
  <c r="F24" i="2"/>
  <c r="D50" i="3"/>
  <c r="D49" i="3"/>
  <c r="D48" i="3"/>
  <c r="D44" i="3"/>
  <c r="Z37" i="3"/>
  <c r="AH36" i="3"/>
  <c r="AG36" i="3"/>
  <c r="AI35" i="3"/>
  <c r="U35" i="3"/>
  <c r="S35" i="3"/>
  <c r="Q35" i="3"/>
  <c r="O35" i="3"/>
  <c r="I35" i="3"/>
  <c r="G35" i="3"/>
  <c r="E35" i="3"/>
  <c r="C35" i="3"/>
  <c r="AI34" i="3"/>
  <c r="U34" i="3"/>
  <c r="S34" i="3"/>
  <c r="Q34" i="3"/>
  <c r="O34" i="3"/>
  <c r="V34" i="3" s="1"/>
  <c r="W34" i="3" s="1"/>
  <c r="H31" i="2" s="1"/>
  <c r="I34" i="3"/>
  <c r="G34" i="3"/>
  <c r="E34" i="3"/>
  <c r="C34" i="3"/>
  <c r="AI33" i="3"/>
  <c r="U33" i="3"/>
  <c r="S33" i="3"/>
  <c r="Q33" i="3"/>
  <c r="O33" i="3"/>
  <c r="I33" i="3"/>
  <c r="G33" i="3"/>
  <c r="E33" i="3"/>
  <c r="C33" i="3"/>
  <c r="AI32" i="3"/>
  <c r="U32" i="3"/>
  <c r="S32" i="3"/>
  <c r="Q32" i="3"/>
  <c r="O32" i="3"/>
  <c r="I32" i="3"/>
  <c r="G32" i="3"/>
  <c r="E32" i="3"/>
  <c r="C32" i="3"/>
  <c r="AI31" i="3"/>
  <c r="U31" i="3"/>
  <c r="S31" i="3"/>
  <c r="Q31" i="3"/>
  <c r="O31" i="3"/>
  <c r="I31" i="3"/>
  <c r="G31" i="3"/>
  <c r="E31" i="3"/>
  <c r="C31" i="3"/>
  <c r="AI30" i="3"/>
  <c r="U30" i="3"/>
  <c r="S30" i="3"/>
  <c r="Q30" i="3"/>
  <c r="O30" i="3"/>
  <c r="I30" i="3"/>
  <c r="G30" i="3"/>
  <c r="E30" i="3"/>
  <c r="C30" i="3"/>
  <c r="AI29" i="3"/>
  <c r="U29" i="3"/>
  <c r="S29" i="3"/>
  <c r="Q29" i="3"/>
  <c r="O29" i="3"/>
  <c r="I29" i="3"/>
  <c r="G29" i="3"/>
  <c r="E29" i="3"/>
  <c r="C29" i="3"/>
  <c r="J29" i="3" s="1"/>
  <c r="K29" i="3" s="1"/>
  <c r="F26" i="2" s="1"/>
  <c r="AI28" i="3"/>
  <c r="U28" i="3"/>
  <c r="S28" i="3"/>
  <c r="Q28" i="3"/>
  <c r="O28" i="3"/>
  <c r="I28" i="3"/>
  <c r="G28" i="3"/>
  <c r="E28" i="3"/>
  <c r="C28" i="3"/>
  <c r="AI27" i="3"/>
  <c r="U27" i="3"/>
  <c r="S27" i="3"/>
  <c r="Q27" i="3"/>
  <c r="O27" i="3"/>
  <c r="I27" i="3"/>
  <c r="G27" i="3"/>
  <c r="E27" i="3"/>
  <c r="C27" i="3"/>
  <c r="J27" i="3" s="1"/>
  <c r="K27" i="3" s="1"/>
  <c r="AI26" i="3"/>
  <c r="U26" i="3"/>
  <c r="S26" i="3"/>
  <c r="Q26" i="3"/>
  <c r="O26" i="3"/>
  <c r="I26" i="3"/>
  <c r="G26" i="3"/>
  <c r="E26" i="3"/>
  <c r="C26" i="3"/>
  <c r="J26" i="3" s="1"/>
  <c r="K26" i="3" s="1"/>
  <c r="F23" i="2" s="1"/>
  <c r="AI25" i="3"/>
  <c r="U25" i="3"/>
  <c r="S25" i="3"/>
  <c r="Q25" i="3"/>
  <c r="O25" i="3"/>
  <c r="I25" i="3"/>
  <c r="G25" i="3"/>
  <c r="E25" i="3"/>
  <c r="C25" i="3"/>
  <c r="AI24" i="3"/>
  <c r="U24" i="3"/>
  <c r="S24" i="3"/>
  <c r="Q24" i="3"/>
  <c r="O24" i="3"/>
  <c r="I24" i="3"/>
  <c r="G24" i="3"/>
  <c r="E24" i="3"/>
  <c r="C24" i="3"/>
  <c r="AI23" i="3"/>
  <c r="U23" i="3"/>
  <c r="S23" i="3"/>
  <c r="Q23" i="3"/>
  <c r="O23" i="3"/>
  <c r="I23" i="3"/>
  <c r="G23" i="3"/>
  <c r="E23" i="3"/>
  <c r="C23" i="3"/>
  <c r="J23" i="3" s="1"/>
  <c r="K23" i="3" s="1"/>
  <c r="F20" i="2" s="1"/>
  <c r="AI22" i="3"/>
  <c r="U22" i="3"/>
  <c r="S22" i="3"/>
  <c r="Q22" i="3"/>
  <c r="O22" i="3"/>
  <c r="I22" i="3"/>
  <c r="G22" i="3"/>
  <c r="E22" i="3"/>
  <c r="C22" i="3"/>
  <c r="AI21" i="3"/>
  <c r="U21" i="3"/>
  <c r="S21" i="3"/>
  <c r="Q21" i="3"/>
  <c r="O21" i="3"/>
  <c r="I21" i="3"/>
  <c r="G21" i="3"/>
  <c r="E21" i="3"/>
  <c r="C21" i="3"/>
  <c r="AI20" i="3"/>
  <c r="U20" i="3"/>
  <c r="S20" i="3"/>
  <c r="Q20" i="3"/>
  <c r="O20" i="3"/>
  <c r="V20" i="3" s="1"/>
  <c r="W20" i="3" s="1"/>
  <c r="H17" i="2" s="1"/>
  <c r="I20" i="3"/>
  <c r="G20" i="3"/>
  <c r="E20" i="3"/>
  <c r="C20" i="3"/>
  <c r="AI19" i="3"/>
  <c r="U19" i="3"/>
  <c r="S19" i="3"/>
  <c r="Q19" i="3"/>
  <c r="O19" i="3"/>
  <c r="I19" i="3"/>
  <c r="G19" i="3"/>
  <c r="E19" i="3"/>
  <c r="C19" i="3"/>
  <c r="AI18" i="3"/>
  <c r="U18" i="3"/>
  <c r="S18" i="3"/>
  <c r="Q18" i="3"/>
  <c r="O18" i="3"/>
  <c r="I18" i="3"/>
  <c r="G18" i="3"/>
  <c r="E18" i="3"/>
  <c r="C18" i="3"/>
  <c r="AI17" i="3"/>
  <c r="U17" i="3"/>
  <c r="S17" i="3"/>
  <c r="Q17" i="3"/>
  <c r="O17" i="3"/>
  <c r="I17" i="3"/>
  <c r="G17" i="3"/>
  <c r="E17" i="3"/>
  <c r="C17" i="3"/>
  <c r="AI16" i="3"/>
  <c r="U16" i="3"/>
  <c r="S16" i="3"/>
  <c r="Q16" i="3"/>
  <c r="O16" i="3"/>
  <c r="I16" i="3"/>
  <c r="G16" i="3"/>
  <c r="E16" i="3"/>
  <c r="C16" i="3"/>
  <c r="AI15" i="3"/>
  <c r="U15" i="3"/>
  <c r="S15" i="3"/>
  <c r="Q15" i="3"/>
  <c r="O15" i="3"/>
  <c r="I15" i="3"/>
  <c r="G15" i="3"/>
  <c r="E15" i="3"/>
  <c r="C15" i="3"/>
  <c r="J15" i="3" s="1"/>
  <c r="K15" i="3" s="1"/>
  <c r="F12" i="2" s="1"/>
  <c r="AI14" i="3"/>
  <c r="U14" i="3"/>
  <c r="S14" i="3"/>
  <c r="Q14" i="3"/>
  <c r="O14" i="3"/>
  <c r="I14" i="3"/>
  <c r="G14" i="3"/>
  <c r="E14" i="3"/>
  <c r="C14" i="3"/>
  <c r="AI13" i="3"/>
  <c r="U13" i="3"/>
  <c r="S13" i="3"/>
  <c r="Q13" i="3"/>
  <c r="O13" i="3"/>
  <c r="I13" i="3"/>
  <c r="G13" i="3"/>
  <c r="E13" i="3"/>
  <c r="C13" i="3"/>
  <c r="AI12" i="3"/>
  <c r="U12" i="3"/>
  <c r="S12" i="3"/>
  <c r="Q12" i="3"/>
  <c r="O12" i="3"/>
  <c r="I12" i="3"/>
  <c r="G12" i="3"/>
  <c r="E12" i="3"/>
  <c r="C12" i="3"/>
  <c r="J12" i="3" s="1"/>
  <c r="K12" i="3" s="1"/>
  <c r="F9" i="2" s="1"/>
  <c r="AI11" i="3"/>
  <c r="U11" i="3"/>
  <c r="S11" i="3"/>
  <c r="Q11" i="3"/>
  <c r="O11" i="3"/>
  <c r="I11" i="3"/>
  <c r="G11" i="3"/>
  <c r="E11" i="3"/>
  <c r="C11" i="3"/>
  <c r="AI10" i="3"/>
  <c r="U10" i="3"/>
  <c r="S10" i="3"/>
  <c r="Q10" i="3"/>
  <c r="O10" i="3"/>
  <c r="I10" i="3"/>
  <c r="G10" i="3"/>
  <c r="E10" i="3"/>
  <c r="C10" i="3"/>
  <c r="AI9" i="3"/>
  <c r="U9" i="3"/>
  <c r="S9" i="3"/>
  <c r="Q9" i="3"/>
  <c r="O9" i="3"/>
  <c r="I9" i="3"/>
  <c r="G9" i="3"/>
  <c r="E9" i="3"/>
  <c r="C9" i="3"/>
  <c r="J9" i="3" s="1"/>
  <c r="K9" i="3" s="1"/>
  <c r="F6" i="2" s="1"/>
  <c r="AI8" i="3"/>
  <c r="U8" i="3"/>
  <c r="S8" i="3"/>
  <c r="Q8" i="3"/>
  <c r="O8" i="3"/>
  <c r="I8" i="3"/>
  <c r="G8" i="3"/>
  <c r="E8" i="3"/>
  <c r="C8" i="3"/>
  <c r="AI7" i="3"/>
  <c r="U7" i="3"/>
  <c r="S7" i="3"/>
  <c r="Q7" i="3"/>
  <c r="O7" i="3"/>
  <c r="I7" i="3"/>
  <c r="G7" i="3"/>
  <c r="E7" i="3"/>
  <c r="C7" i="3"/>
  <c r="AI6" i="3"/>
  <c r="U6" i="3"/>
  <c r="S6" i="3"/>
  <c r="Q6" i="3"/>
  <c r="O6" i="3"/>
  <c r="V6" i="3" s="1"/>
  <c r="W6" i="3" s="1"/>
  <c r="H3" i="2" s="1"/>
  <c r="I6" i="3"/>
  <c r="G6" i="3"/>
  <c r="E6" i="3"/>
  <c r="C6" i="3"/>
  <c r="AI5" i="3"/>
  <c r="U5" i="3"/>
  <c r="S5" i="3"/>
  <c r="Q5" i="3"/>
  <c r="O5" i="3"/>
  <c r="I5" i="3"/>
  <c r="G5" i="3"/>
  <c r="E5" i="3"/>
  <c r="C5" i="3"/>
  <c r="AB4" i="3"/>
  <c r="U4" i="3"/>
  <c r="S4" i="3"/>
  <c r="Q4" i="3"/>
  <c r="O4" i="3"/>
  <c r="I4" i="3"/>
  <c r="G4" i="3"/>
  <c r="E4" i="3"/>
  <c r="C4" i="3"/>
  <c r="J30" i="2" l="1"/>
  <c r="J26" i="2"/>
  <c r="J22" i="2"/>
  <c r="J18" i="2"/>
  <c r="J14" i="2"/>
  <c r="J10" i="2"/>
  <c r="J6" i="2"/>
  <c r="I30" i="2"/>
  <c r="I26" i="2"/>
  <c r="I22" i="2"/>
  <c r="I18" i="2"/>
  <c r="I14" i="2"/>
  <c r="I10" i="2"/>
  <c r="I6" i="2"/>
  <c r="V4" i="3"/>
  <c r="W4" i="3" s="1"/>
  <c r="J11" i="3"/>
  <c r="K11" i="3" s="1"/>
  <c r="F8" i="2" s="1"/>
  <c r="J25" i="3"/>
  <c r="K25" i="3" s="1"/>
  <c r="F22" i="2" s="1"/>
  <c r="V8" i="3"/>
  <c r="W8" i="3" s="1"/>
  <c r="H5" i="2" s="1"/>
  <c r="J14" i="3"/>
  <c r="K14" i="3" s="1"/>
  <c r="F11" i="2" s="1"/>
  <c r="V22" i="3"/>
  <c r="W22" i="3" s="1"/>
  <c r="H19" i="2" s="1"/>
  <c r="J28" i="3"/>
  <c r="K28" i="3" s="1"/>
  <c r="F25" i="2" s="1"/>
  <c r="J17" i="3"/>
  <c r="K17" i="3" s="1"/>
  <c r="F14" i="2" s="1"/>
  <c r="J31" i="3"/>
  <c r="K31" i="3" s="1"/>
  <c r="F28" i="2" s="1"/>
  <c r="E26" i="2"/>
  <c r="J6" i="3"/>
  <c r="K6" i="3" s="1"/>
  <c r="F3" i="2" s="1"/>
  <c r="V14" i="3"/>
  <c r="W14" i="3" s="1"/>
  <c r="H11" i="2" s="1"/>
  <c r="J20" i="3"/>
  <c r="K20" i="3" s="1"/>
  <c r="F17" i="2" s="1"/>
  <c r="V28" i="3"/>
  <c r="W28" i="3" s="1"/>
  <c r="H25" i="2" s="1"/>
  <c r="J34" i="3"/>
  <c r="K34" i="3" s="1"/>
  <c r="F31" i="2" s="1"/>
  <c r="E12" i="2"/>
  <c r="E14" i="2"/>
  <c r="J10" i="3"/>
  <c r="K10" i="3" s="1"/>
  <c r="F7" i="2" s="1"/>
  <c r="V18" i="3"/>
  <c r="W18" i="3" s="1"/>
  <c r="H15" i="2" s="1"/>
  <c r="J24" i="3"/>
  <c r="K24" i="3" s="1"/>
  <c r="F21" i="2" s="1"/>
  <c r="V32" i="3"/>
  <c r="W32" i="3" s="1"/>
  <c r="H29" i="2" s="1"/>
  <c r="V29" i="3"/>
  <c r="W29" i="3" s="1"/>
  <c r="H26" i="2" s="1"/>
  <c r="G25" i="2"/>
  <c r="E17" i="2"/>
  <c r="E3" i="2"/>
  <c r="V15" i="3"/>
  <c r="W15" i="3" s="1"/>
  <c r="H12" i="2" s="1"/>
  <c r="J13" i="3"/>
  <c r="K13" i="3" s="1"/>
  <c r="F10" i="2" s="1"/>
  <c r="V10" i="3"/>
  <c r="W10" i="3" s="1"/>
  <c r="H7" i="2" s="1"/>
  <c r="J16" i="3"/>
  <c r="K16" i="3" s="1"/>
  <c r="F13" i="2" s="1"/>
  <c r="V24" i="3"/>
  <c r="W24" i="3" s="1"/>
  <c r="H21" i="2" s="1"/>
  <c r="J30" i="3"/>
  <c r="K30" i="3" s="1"/>
  <c r="F27" i="2" s="1"/>
  <c r="G17" i="2"/>
  <c r="E8" i="2"/>
  <c r="E6" i="2"/>
  <c r="V7" i="3"/>
  <c r="V21" i="3"/>
  <c r="V35" i="3"/>
  <c r="G21" i="2"/>
  <c r="J5" i="3"/>
  <c r="E2" i="2" s="1"/>
  <c r="J19" i="3"/>
  <c r="J33" i="3"/>
  <c r="E11" i="2"/>
  <c r="C41" i="3"/>
  <c r="C43" i="3" s="1"/>
  <c r="V13" i="3"/>
  <c r="V27" i="3"/>
  <c r="G19" i="2"/>
  <c r="D41" i="3"/>
  <c r="D43" i="3" s="1"/>
  <c r="J8" i="3"/>
  <c r="V16" i="3"/>
  <c r="J22" i="3"/>
  <c r="V30" i="3"/>
  <c r="E9" i="2"/>
  <c r="E7" i="2"/>
  <c r="V19" i="3"/>
  <c r="G26" i="2"/>
  <c r="E41" i="3"/>
  <c r="E43" i="3" s="1"/>
  <c r="N37" i="3"/>
  <c r="O37" i="3" s="1"/>
  <c r="P37" i="3"/>
  <c r="Q37" i="3" s="1"/>
  <c r="T37" i="3"/>
  <c r="U37" i="3" s="1"/>
  <c r="V17" i="3"/>
  <c r="V31" i="3"/>
  <c r="E24" i="2"/>
  <c r="V9" i="3"/>
  <c r="E22" i="2"/>
  <c r="G3" i="2"/>
  <c r="AB37" i="3"/>
  <c r="E50" i="3" s="1"/>
  <c r="V26" i="3"/>
  <c r="E20" i="2"/>
  <c r="V33" i="3"/>
  <c r="R37" i="3"/>
  <c r="S37" i="3" s="1"/>
  <c r="AI36" i="3"/>
  <c r="V11" i="3"/>
  <c r="V25" i="3"/>
  <c r="E31" i="2"/>
  <c r="E25" i="2"/>
  <c r="G5" i="2"/>
  <c r="E23" i="2"/>
  <c r="V23" i="3"/>
  <c r="G31" i="2"/>
  <c r="J4" i="3"/>
  <c r="K4" i="3" s="1"/>
  <c r="V12" i="3"/>
  <c r="J18" i="3"/>
  <c r="J32" i="3"/>
  <c r="J7" i="3"/>
  <c r="J21" i="3"/>
  <c r="J35" i="3"/>
  <c r="F49" i="3"/>
  <c r="F48" i="3"/>
  <c r="F50" i="3"/>
  <c r="B41" i="3"/>
  <c r="V5" i="3"/>
  <c r="G2" i="2" s="1"/>
  <c r="G7" i="2" l="1"/>
  <c r="G11" i="2"/>
  <c r="E21" i="2"/>
  <c r="E13" i="2"/>
  <c r="E28" i="2"/>
  <c r="G15" i="2"/>
  <c r="E27" i="2"/>
  <c r="G12" i="2"/>
  <c r="E10" i="2"/>
  <c r="G29" i="2"/>
  <c r="W12" i="3"/>
  <c r="H9" i="2" s="1"/>
  <c r="G9" i="2"/>
  <c r="K18" i="3"/>
  <c r="F15" i="2" s="1"/>
  <c r="E15" i="2"/>
  <c r="K22" i="3"/>
  <c r="F19" i="2" s="1"/>
  <c r="E19" i="2"/>
  <c r="G50" i="3"/>
  <c r="W35" i="3"/>
  <c r="H32" i="2" s="1"/>
  <c r="G32" i="2"/>
  <c r="W23" i="3"/>
  <c r="H20" i="2" s="1"/>
  <c r="G20" i="2"/>
  <c r="W19" i="3"/>
  <c r="H16" i="2" s="1"/>
  <c r="G16" i="2"/>
  <c r="W30" i="3"/>
  <c r="H27" i="2" s="1"/>
  <c r="G27" i="2"/>
  <c r="W16" i="3"/>
  <c r="H13" i="2" s="1"/>
  <c r="G13" i="2"/>
  <c r="K8" i="3"/>
  <c r="F5" i="2" s="1"/>
  <c r="E5" i="2"/>
  <c r="W27" i="3"/>
  <c r="H24" i="2" s="1"/>
  <c r="G24" i="2"/>
  <c r="K33" i="3"/>
  <c r="F30" i="2" s="1"/>
  <c r="E30" i="2"/>
  <c r="K5" i="3"/>
  <c r="F2" i="2" s="1"/>
  <c r="K21" i="3"/>
  <c r="F18" i="2" s="1"/>
  <c r="E18" i="2"/>
  <c r="W31" i="3"/>
  <c r="H28" i="2" s="1"/>
  <c r="G28" i="2"/>
  <c r="W17" i="3"/>
  <c r="H14" i="2" s="1"/>
  <c r="G14" i="2"/>
  <c r="W21" i="3"/>
  <c r="H18" i="2" s="1"/>
  <c r="G18" i="2"/>
  <c r="W25" i="3"/>
  <c r="H22" i="2" s="1"/>
  <c r="G22" i="2"/>
  <c r="W11" i="3"/>
  <c r="H8" i="2" s="1"/>
  <c r="G8" i="2"/>
  <c r="W33" i="3"/>
  <c r="H30" i="2" s="1"/>
  <c r="G30" i="2"/>
  <c r="W13" i="3"/>
  <c r="H10" i="2" s="1"/>
  <c r="G10" i="2"/>
  <c r="W26" i="3"/>
  <c r="H23" i="2" s="1"/>
  <c r="G23" i="2"/>
  <c r="K19" i="3"/>
  <c r="F16" i="2" s="1"/>
  <c r="E16" i="2"/>
  <c r="W9" i="3"/>
  <c r="H6" i="2" s="1"/>
  <c r="G6" i="2"/>
  <c r="K35" i="3"/>
  <c r="F32" i="2" s="1"/>
  <c r="E32" i="2"/>
  <c r="K7" i="3"/>
  <c r="F4" i="2" s="1"/>
  <c r="E4" i="2"/>
  <c r="K32" i="3"/>
  <c r="F29" i="2" s="1"/>
  <c r="E29" i="2"/>
  <c r="W7" i="3"/>
  <c r="H4" i="2" s="1"/>
  <c r="G4" i="2"/>
  <c r="W5" i="3"/>
  <c r="V37" i="3"/>
  <c r="B43" i="3"/>
  <c r="F43" i="3" s="1"/>
  <c r="F41" i="3"/>
  <c r="W37" i="3" l="1"/>
  <c r="H2" i="2"/>
  <c r="G48" i="3"/>
  <c r="E48" i="3"/>
  <c r="G49" i="3"/>
  <c r="E49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<sst xmlns="http://schemas.openxmlformats.org/spreadsheetml/2006/main" count="108" uniqueCount="58">
  <si>
    <t xml:space="preserve">  ELECTRICITY</t>
  </si>
  <si>
    <t>WATER</t>
  </si>
  <si>
    <t>DISTRICT COOLING</t>
  </si>
  <si>
    <t>Office-GF</t>
  </si>
  <si>
    <t>Technical-2</t>
  </si>
  <si>
    <t>Roof (Back wash)</t>
  </si>
  <si>
    <t>Roof (Irrigation)</t>
  </si>
  <si>
    <t>Electricity</t>
  </si>
  <si>
    <t>Water</t>
  </si>
  <si>
    <t>DAY</t>
  </si>
  <si>
    <t>(MDB 2)
7688590628</t>
  </si>
  <si>
    <t>CONS.</t>
  </si>
  <si>
    <t>(MDB 3)
3757543605</t>
  </si>
  <si>
    <t>(EMDB)
4242355719</t>
  </si>
  <si>
    <t>MDB ROOF TOP 7432903998</t>
  </si>
  <si>
    <t>Total
CONS.</t>
  </si>
  <si>
    <t>Ele
AED</t>
  </si>
  <si>
    <t>Reading</t>
  </si>
  <si>
    <r>
      <t>Cons
M</t>
    </r>
    <r>
      <rPr>
        <b/>
        <vertAlign val="superscript"/>
        <sz val="14"/>
        <rFont val="Aptos Narrow"/>
        <family val="2"/>
        <scheme val="minor"/>
      </rPr>
      <t>3</t>
    </r>
  </si>
  <si>
    <r>
      <t>Total M</t>
    </r>
    <r>
      <rPr>
        <b/>
        <vertAlign val="superscript"/>
        <sz val="14"/>
        <rFont val="Aptos Narrow"/>
        <family val="2"/>
        <scheme val="minor"/>
      </rPr>
      <t>3</t>
    </r>
  </si>
  <si>
    <t>Total AED</t>
  </si>
  <si>
    <t xml:space="preserve">ENERGY
KWH </t>
  </si>
  <si>
    <t>TOTAL M3</t>
  </si>
  <si>
    <t>TOTAL AED</t>
  </si>
  <si>
    <t>Total M3
MTD</t>
  </si>
  <si>
    <t>Total AED
MTD</t>
  </si>
  <si>
    <t>TOTAL KWH</t>
  </si>
  <si>
    <t xml:space="preserve">   Total electricity consumption for hotel tower</t>
  </si>
  <si>
    <t>ELECTRICITY (KWh)</t>
  </si>
  <si>
    <t>TOTAL KWh</t>
  </si>
  <si>
    <t>AED</t>
  </si>
  <si>
    <t>Monthly Budget</t>
  </si>
  <si>
    <t>Daily
Budget</t>
  </si>
  <si>
    <t>MTD
Average</t>
  </si>
  <si>
    <t>MTD
Budget</t>
  </si>
  <si>
    <t>MTD
Actual</t>
  </si>
  <si>
    <t>Chilled Water</t>
  </si>
  <si>
    <t>Additional Info</t>
  </si>
  <si>
    <t>Hotel Occupancy
 %</t>
  </si>
  <si>
    <t>Adl. &amp; Chl.</t>
  </si>
  <si>
    <t>Room Nights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</si>
  <si>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</si>
  <si>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</si>
  <si>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</si>
  <si>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</si>
  <si>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</si>
  <si>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</si>
  <si>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</si>
  <si>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</si>
  <si>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</si>
  <si>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</si>
  <si>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</si>
  <si>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</si>
  <si>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>Centro Capital Centre Abu Dhabi</t>
  </si>
  <si>
    <t>LAST YEAR</t>
  </si>
  <si>
    <t>District
Cooling</t>
  </si>
  <si>
    <r>
      <t xml:space="preserve">Cons
</t>
    </r>
    <r>
      <rPr>
        <b/>
        <sz val="10"/>
        <rFont val="Aptos Narrow"/>
        <family val="2"/>
        <scheme val="minor"/>
      </rPr>
      <t>Ton-Hour*AED</t>
    </r>
  </si>
  <si>
    <t>TOTAL AED
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</si>
</sst>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3"/>
      <name val="Aptos Narrow"/>
      <family val="2"/>
      <scheme val="minor"/>
    </font>
    <font>
      <b/>
      <sz val="14"/>
      <name val="Aptos Narrow"/>
      <family val="2"/>
      <scheme val="minor"/>
    </font>
    <font>
      <b/>
      <vertAlign val="superscript"/>
      <sz val="14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Universe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4"/>
      <color rgb="FF00B0F0"/>
      <name val="Aptos Narrow"/>
      <family val="2"/>
      <scheme val="minor"/>
    </font>
    <font>
      <b/>
      <sz val="12"/>
      <color theme="3" tint="0.3999755851924192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i/>
      <sz val="1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215">
    <xf numFmtId="0" fontId="0" fillId="0" borderId="0" xfId="0"/>
    <xf numFmtId="0" fontId="0" fillId="3" borderId="0" xfId="0" applyFill="1"/>
    <xf numFmtId="0" fontId="7" fillId="3" borderId="0" xfId="0" applyFont="1" applyFill="1"/>
    <xf numFmtId="0" fontId="8" fillId="4" borderId="4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9" fillId="0" borderId="0" xfId="0" applyFont="1"/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9" fillId="3" borderId="0" xfId="0" applyFont="1" applyFill="1"/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1" fillId="3" borderId="0" xfId="0" applyFont="1" applyFill="1"/>
    <xf numFmtId="0" fontId="11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1" fontId="9" fillId="0" borderId="17" xfId="0" applyNumberFormat="1" applyFont="1" applyBorder="1" applyAlignment="1">
      <alignment horizontal="center" vertical="center" wrapText="1"/>
    </xf>
    <xf numFmtId="1" fontId="9" fillId="0" borderId="18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" fontId="9" fillId="0" borderId="19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1" fontId="9" fillId="0" borderId="21" xfId="0" applyNumberFormat="1" applyFont="1" applyBorder="1" applyAlignment="1">
      <alignment horizontal="center" vertical="center"/>
    </xf>
    <xf numFmtId="1" fontId="16" fillId="0" borderId="18" xfId="0" applyNumberFormat="1" applyFont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7" fillId="0" borderId="17" xfId="0" applyFont="1" applyBorder="1" applyAlignment="1">
      <alignment horizontal="center" vertical="center"/>
    </xf>
    <xf numFmtId="1" fontId="17" fillId="0" borderId="20" xfId="0" applyNumberFormat="1" applyFont="1" applyBorder="1" applyAlignment="1">
      <alignment horizontal="center" vertical="center"/>
    </xf>
    <xf numFmtId="1" fontId="17" fillId="0" borderId="9" xfId="0" applyNumberFormat="1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16" fillId="0" borderId="23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 wrapText="1"/>
    </xf>
    <xf numFmtId="1" fontId="9" fillId="0" borderId="23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1" fontId="9" fillId="0" borderId="28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1" fontId="17" fillId="0" borderId="28" xfId="0" applyNumberFormat="1" applyFont="1" applyBorder="1" applyAlignment="1">
      <alignment horizontal="center" vertical="center"/>
    </xf>
    <xf numFmtId="1" fontId="17" fillId="0" borderId="23" xfId="0" applyNumberFormat="1" applyFont="1" applyBorder="1" applyAlignment="1">
      <alignment horizontal="center" vertical="center"/>
    </xf>
    <xf numFmtId="1" fontId="9" fillId="0" borderId="26" xfId="0" applyNumberFormat="1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1" fontId="9" fillId="0" borderId="33" xfId="0" applyNumberFormat="1" applyFont="1" applyBorder="1" applyAlignment="1">
      <alignment horizontal="center" vertical="center"/>
    </xf>
    <xf numFmtId="1" fontId="16" fillId="0" borderId="31" xfId="0" applyNumberFormat="1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" fontId="17" fillId="0" borderId="33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 wrapText="1"/>
    </xf>
    <xf numFmtId="1" fontId="9" fillId="0" borderId="32" xfId="0" applyNumberFormat="1" applyFont="1" applyBorder="1" applyAlignment="1">
      <alignment horizontal="center" vertical="center" wrapText="1"/>
    </xf>
    <xf numFmtId="1" fontId="17" fillId="0" borderId="33" xfId="0" applyNumberFormat="1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1" fontId="9" fillId="0" borderId="35" xfId="0" applyNumberFormat="1" applyFont="1" applyBorder="1" applyAlignment="1">
      <alignment horizontal="center" vertical="center" wrapText="1"/>
    </xf>
    <xf numFmtId="1" fontId="9" fillId="0" borderId="36" xfId="0" applyNumberFormat="1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/>
    </xf>
    <xf numFmtId="1" fontId="17" fillId="0" borderId="37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1" fontId="22" fillId="3" borderId="21" xfId="0" applyNumberFormat="1" applyFont="1" applyFill="1" applyBorder="1" applyAlignment="1">
      <alignment horizontal="center" vertical="center"/>
    </xf>
    <xf numFmtId="1" fontId="13" fillId="0" borderId="3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9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3" fillId="0" borderId="0" xfId="0" applyFont="1"/>
    <xf numFmtId="3" fontId="23" fillId="6" borderId="15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0" fontId="19" fillId="0" borderId="0" xfId="0" applyFont="1"/>
    <xf numFmtId="165" fontId="19" fillId="0" borderId="13" xfId="1" applyNumberFormat="1" applyFont="1" applyBorder="1" applyAlignment="1">
      <alignment horizontal="center" vertical="center" wrapText="1"/>
    </xf>
    <xf numFmtId="165" fontId="22" fillId="0" borderId="13" xfId="1" applyNumberFormat="1" applyFont="1" applyBorder="1" applyAlignment="1">
      <alignment horizontal="center" vertical="center"/>
    </xf>
    <xf numFmtId="1" fontId="19" fillId="0" borderId="0" xfId="0" applyNumberFormat="1" applyFont="1" applyAlignment="1">
      <alignment horizontal="center" vertical="center" wrapText="1"/>
    </xf>
    <xf numFmtId="164" fontId="23" fillId="6" borderId="15" xfId="1" applyFont="1" applyFill="1" applyBorder="1" applyAlignment="1">
      <alignment horizontal="center" vertical="center"/>
    </xf>
    <xf numFmtId="0" fontId="15" fillId="0" borderId="0" xfId="0" applyFont="1"/>
    <xf numFmtId="165" fontId="19" fillId="0" borderId="24" xfId="1" applyNumberFormat="1" applyFont="1" applyBorder="1" applyAlignment="1">
      <alignment horizontal="center" vertical="center" wrapText="1"/>
    </xf>
    <xf numFmtId="165" fontId="22" fillId="0" borderId="12" xfId="1" applyNumberFormat="1" applyFont="1" applyFill="1" applyBorder="1" applyAlignment="1">
      <alignment horizontal="center" vertical="center" wrapText="1"/>
    </xf>
    <xf numFmtId="1" fontId="22" fillId="0" borderId="0" xfId="0" applyNumberFormat="1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6" fillId="6" borderId="8" xfId="0" applyFont="1" applyFill="1" applyBorder="1" applyAlignment="1">
      <alignment horizontal="center" vertical="center" wrapText="1"/>
    </xf>
    <xf numFmtId="14" fontId="6" fillId="6" borderId="8" xfId="0" applyNumberFormat="1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65" fontId="14" fillId="0" borderId="27" xfId="1" applyNumberFormat="1" applyFont="1" applyBorder="1" applyAlignment="1">
      <alignment horizontal="center" vertical="center"/>
    </xf>
    <xf numFmtId="165" fontId="14" fillId="0" borderId="28" xfId="0" applyNumberFormat="1" applyFont="1" applyBorder="1" applyAlignment="1">
      <alignment vertical="center"/>
    </xf>
    <xf numFmtId="165" fontId="14" fillId="0" borderId="28" xfId="1" applyNumberFormat="1" applyFont="1" applyBorder="1" applyAlignment="1">
      <alignment horizontal="center" vertical="center"/>
    </xf>
    <xf numFmtId="165" fontId="14" fillId="0" borderId="23" xfId="1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165" fontId="11" fillId="0" borderId="0" xfId="1" applyNumberFormat="1" applyFont="1" applyFill="1" applyBorder="1" applyAlignment="1">
      <alignment horizontal="center" vertical="center"/>
    </xf>
    <xf numFmtId="165" fontId="13" fillId="0" borderId="0" xfId="1" applyNumberFormat="1" applyFont="1" applyFill="1" applyBorder="1" applyAlignment="1">
      <alignment horizontal="center" vertical="center"/>
    </xf>
    <xf numFmtId="165" fontId="14" fillId="7" borderId="32" xfId="1" applyNumberFormat="1" applyFont="1" applyFill="1" applyBorder="1" applyAlignment="1">
      <alignment horizontal="center" vertical="center"/>
    </xf>
    <xf numFmtId="165" fontId="14" fillId="7" borderId="33" xfId="0" applyNumberFormat="1" applyFont="1" applyFill="1" applyBorder="1" applyAlignment="1">
      <alignment vertical="center"/>
    </xf>
    <xf numFmtId="165" fontId="14" fillId="7" borderId="33" xfId="1" applyNumberFormat="1" applyFont="1" applyFill="1" applyBorder="1" applyAlignment="1">
      <alignment horizontal="center" vertical="center"/>
    </xf>
    <xf numFmtId="165" fontId="14" fillId="7" borderId="31" xfId="1" applyNumberFormat="1" applyFont="1" applyFill="1" applyBorder="1" applyAlignment="1">
      <alignment horizontal="center" vertical="center"/>
    </xf>
    <xf numFmtId="165" fontId="14" fillId="0" borderId="19" xfId="1" applyNumberFormat="1" applyFont="1" applyBorder="1" applyAlignment="1">
      <alignment horizontal="center" vertical="center"/>
    </xf>
    <xf numFmtId="165" fontId="14" fillId="0" borderId="20" xfId="0" applyNumberFormat="1" applyFont="1" applyBorder="1" applyAlignment="1">
      <alignment vertical="center"/>
    </xf>
    <xf numFmtId="165" fontId="14" fillId="0" borderId="20" xfId="1" applyNumberFormat="1" applyFont="1" applyBorder="1" applyAlignment="1">
      <alignment horizontal="center" vertical="center"/>
    </xf>
    <xf numFmtId="165" fontId="14" fillId="0" borderId="18" xfId="1" applyNumberFormat="1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164" fontId="25" fillId="0" borderId="0" xfId="2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164" fontId="27" fillId="0" borderId="0" xfId="2" applyFont="1" applyBorder="1" applyAlignment="1">
      <alignment vertical="center"/>
    </xf>
    <xf numFmtId="0" fontId="14" fillId="0" borderId="41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/>
    </xf>
    <xf numFmtId="10" fontId="29" fillId="0" borderId="33" xfId="0" applyNumberFormat="1" applyFont="1" applyBorder="1" applyAlignment="1">
      <alignment horizontal="center" vertical="center"/>
    </xf>
    <xf numFmtId="1" fontId="22" fillId="3" borderId="33" xfId="0" applyNumberFormat="1" applyFont="1" applyFill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 vertical="center"/>
    </xf>
    <xf numFmtId="10" fontId="0" fillId="0" borderId="44" xfId="0" applyNumberFormat="1" applyBorder="1"/>
    <xf numFmtId="1" fontId="18" fillId="0" borderId="46" xfId="0" applyNumberFormat="1" applyFont="1" applyBorder="1" applyAlignment="1">
      <alignment horizontal="center" vertical="center"/>
    </xf>
    <xf numFmtId="10" fontId="0" fillId="0" borderId="30" xfId="0" applyNumberFormat="1" applyBorder="1"/>
    <xf numFmtId="1" fontId="18" fillId="0" borderId="33" xfId="0" applyNumberFormat="1" applyFont="1" applyBorder="1" applyAlignment="1">
      <alignment horizontal="center" vertical="center"/>
    </xf>
    <xf numFmtId="1" fontId="18" fillId="0" borderId="47" xfId="0" applyNumberFormat="1" applyFont="1" applyBorder="1" applyAlignment="1">
      <alignment horizontal="center" vertical="center"/>
    </xf>
    <xf numFmtId="1" fontId="18" fillId="0" borderId="31" xfId="0" applyNumberFormat="1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 wrapText="1"/>
    </xf>
    <xf numFmtId="2" fontId="30" fillId="0" borderId="48" xfId="3" applyNumberFormat="1" applyFont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31" fillId="0" borderId="0" xfId="3" applyFont="1" applyAlignment="1">
      <alignment horizontal="center"/>
    </xf>
    <xf numFmtId="0" fontId="4" fillId="0" borderId="0" xfId="3" applyFont="1" applyAlignment="1">
      <alignment horizontal="center"/>
    </xf>
    <xf numFmtId="1" fontId="1" fillId="0" borderId="0" xfId="3" applyNumberFormat="1" applyAlignment="1">
      <alignment horizontal="center"/>
    </xf>
    <xf numFmtId="2" fontId="3" fillId="0" borderId="0" xfId="3" applyNumberFormat="1" applyFont="1" applyAlignment="1">
      <alignment horizontal="center"/>
    </xf>
    <xf numFmtId="0" fontId="1" fillId="0" borderId="0" xfId="3" applyAlignment="1">
      <alignment horizontal="center"/>
    </xf>
    <xf numFmtId="0" fontId="4" fillId="0" borderId="0" xfId="3" applyFont="1"/>
    <xf numFmtId="0" fontId="3" fillId="0" borderId="0" xfId="3" applyFont="1" applyAlignment="1">
      <alignment horizontal="center"/>
    </xf>
    <xf numFmtId="0" fontId="1" fillId="0" borderId="0" xfId="3"/>
    <xf numFmtId="0" fontId="11" fillId="0" borderId="9" xfId="0" applyFont="1" applyBorder="1" applyAlignment="1">
      <alignment horizontal="center" vertical="center" wrapText="1"/>
    </xf>
    <xf numFmtId="0" fontId="0" fillId="0" borderId="4" xfId="0" applyBorder="1"/>
    <xf numFmtId="1" fontId="18" fillId="0" borderId="5" xfId="0" applyNumberFormat="1" applyFont="1" applyBorder="1" applyAlignment="1">
      <alignment horizontal="center" vertical="center"/>
    </xf>
    <xf numFmtId="1" fontId="0" fillId="0" borderId="6" xfId="0" applyNumberFormat="1" applyBorder="1"/>
    <xf numFmtId="10" fontId="0" fillId="0" borderId="22" xfId="0" applyNumberFormat="1" applyBorder="1"/>
    <xf numFmtId="1" fontId="18" fillId="0" borderId="50" xfId="0" applyNumberFormat="1" applyFont="1" applyBorder="1" applyAlignment="1">
      <alignment horizontal="center" vertical="center"/>
    </xf>
    <xf numFmtId="1" fontId="18" fillId="0" borderId="38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" fontId="22" fillId="3" borderId="2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" fontId="22" fillId="3" borderId="11" xfId="0" applyNumberFormat="1" applyFont="1" applyFill="1" applyBorder="1" applyAlignment="1">
      <alignment horizontal="center" vertical="center"/>
    </xf>
    <xf numFmtId="0" fontId="4" fillId="8" borderId="45" xfId="0" applyFont="1" applyFill="1" applyBorder="1" applyAlignment="1">
      <alignment horizontal="center" vertical="center" wrapText="1"/>
    </xf>
    <xf numFmtId="0" fontId="4" fillId="8" borderId="38" xfId="0" applyFont="1" applyFill="1" applyBorder="1" applyAlignment="1">
      <alignment horizontal="center" vertical="center" wrapText="1"/>
    </xf>
    <xf numFmtId="1" fontId="6" fillId="6" borderId="4" xfId="0" applyNumberFormat="1" applyFont="1" applyFill="1" applyBorder="1" applyAlignment="1">
      <alignment horizontal="center" vertical="center"/>
    </xf>
    <xf numFmtId="1" fontId="6" fillId="6" borderId="5" xfId="0" applyNumberFormat="1" applyFont="1" applyFill="1" applyBorder="1" applyAlignment="1">
      <alignment horizontal="center" vertical="center"/>
    </xf>
    <xf numFmtId="1" fontId="6" fillId="6" borderId="6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28" fillId="8" borderId="10" xfId="0" applyFont="1" applyFill="1" applyBorder="1" applyAlignment="1">
      <alignment horizontal="center"/>
    </xf>
    <xf numFmtId="0" fontId="28" fillId="8" borderId="11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center" vertical="center"/>
    </xf>
    <xf numFmtId="0" fontId="6" fillId="9" borderId="49" xfId="0" applyFont="1" applyFill="1" applyBorder="1" applyAlignment="1">
      <alignment horizontal="center" vertical="center"/>
    </xf>
    <xf numFmtId="0" fontId="6" fillId="9" borderId="24" xfId="0" applyFont="1" applyFill="1" applyBorder="1" applyAlignment="1">
      <alignment horizontal="center" vertical="center"/>
    </xf>
    <xf numFmtId="165" fontId="14" fillId="0" borderId="16" xfId="1" applyNumberFormat="1" applyFont="1" applyBorder="1" applyAlignment="1">
      <alignment horizontal="center" vertical="center"/>
    </xf>
    <xf numFmtId="165" fontId="14" fillId="0" borderId="19" xfId="1" applyNumberFormat="1" applyFont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49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4" fillId="8" borderId="44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3" fontId="23" fillId="6" borderId="4" xfId="0" applyNumberFormat="1" applyFont="1" applyFill="1" applyBorder="1" applyAlignment="1">
      <alignment horizontal="center" vertical="center"/>
    </xf>
    <xf numFmtId="3" fontId="23" fillId="6" borderId="5" xfId="0" applyNumberFormat="1" applyFont="1" applyFill="1" applyBorder="1" applyAlignment="1">
      <alignment horizontal="center" vertical="center"/>
    </xf>
    <xf numFmtId="164" fontId="23" fillId="6" borderId="4" xfId="1" applyFont="1" applyFill="1" applyBorder="1" applyAlignment="1">
      <alignment horizontal="center" vertical="center"/>
    </xf>
    <xf numFmtId="164" fontId="23" fillId="6" borderId="5" xfId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165" fontId="14" fillId="0" borderId="39" xfId="1" applyNumberFormat="1" applyFont="1" applyBorder="1" applyAlignment="1">
      <alignment horizontal="center" vertical="center"/>
    </xf>
    <xf numFmtId="165" fontId="14" fillId="0" borderId="40" xfId="1" applyNumberFormat="1" applyFont="1" applyBorder="1" applyAlignment="1">
      <alignment horizontal="center" vertical="center"/>
    </xf>
    <xf numFmtId="165" fontId="14" fillId="7" borderId="29" xfId="1" applyNumberFormat="1" applyFont="1" applyFill="1" applyBorder="1" applyAlignment="1">
      <alignment horizontal="center" vertical="center"/>
    </xf>
    <xf numFmtId="165" fontId="14" fillId="7" borderId="32" xfId="1" applyNumberFormat="1" applyFont="1" applyFill="1" applyBorder="1" applyAlignment="1">
      <alignment horizontal="center" vertical="center"/>
    </xf>
    <xf numFmtId="1" fontId="17" fillId="0" borderId="43" xfId="0" applyNumberFormat="1" applyFont="1" applyBorder="1" applyAlignment="1">
      <alignment horizontal="center" vertical="center"/>
    </xf>
  </cellXfs>
  <cellStyles count="4">
    <cellStyle name="Comma" xfId="1" builtinId="3"/>
    <cellStyle name="Comma 4" xfId="2" xr:uid="{20FEB905-39C2-4CD7-89BE-9F6B39E5D1FC}"/>
    <cellStyle name="Normal" xfId="0" builtinId="0"/>
    <cellStyle name="Normal 3 4" xfId="3" xr:uid="{760E6F69-E650-44A7-B65F-FAFED3720C27}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BE4C-6643-4DE2-977F-72ADA2EE430B}">
  <dimension ref="A1:X32"/>
  <sheetViews>
    <sheetView tabSelected="1" workbookViewId="0">
      <selection activeCell="L2" sqref="L2"/>
    </sheetView>
  </sheetViews>
  <sheetFormatPr defaultColWidth="11.5703125" defaultRowHeight="15"/>
  <cols>
    <col min="1" max="1" width="29.140625" style="147" bestFit="1" customWidth="1"/>
    <col min="2" max="3" width="11.5703125" style="143"/>
    <col min="4" max="4" width="13.42578125" style="143" customWidth="1"/>
    <col min="5" max="5" width="12.5703125" style="146" customWidth="1"/>
    <col min="6" max="6" width="12.5703125" style="145" customWidth="1"/>
    <col min="7" max="7" width="11.5703125" style="146"/>
    <col min="8" max="8" width="11.5703125" style="148"/>
    <col min="9" max="9" width="11.5703125" style="146"/>
    <col min="10" max="10" width="11.5703125" style="148"/>
    <col min="11" max="24" width="11.5703125" style="146"/>
    <col min="25" max="16384" width="11.5703125" style="149"/>
  </cols>
  <sheetData>
    <row r="1" spans="1:12" s="141" customFormat="1" ht="60">
      <c r="A1" s="137" t="s">
        <v>41</v>
      </c>
      <c r="B1" s="137" t="s">
        <v>42</v>
      </c>
      <c r="C1" s="137" t="s">
        <v>43</v>
      </c>
      <c r="D1" s="137" t="s">
        <v>44</v>
      </c>
      <c r="E1" s="138" t="s">
        <v>45</v>
      </c>
      <c r="F1" s="139" t="s">
        <v>46</v>
      </c>
      <c r="G1" s="138" t="s">
        <v>47</v>
      </c>
      <c r="H1" s="140" t="s">
        <v>48</v>
      </c>
      <c r="I1" s="138" t="s">
        <v>49</v>
      </c>
      <c r="J1" s="140" t="s">
        <v>50</v>
      </c>
      <c r="K1" s="138" t="s">
        <v>51</v>
      </c>
      <c r="L1" s="138" t="s">
        <v>52</v>
      </c>
    </row>
    <row r="2" spans="1:12">
      <c r="A2" s="142" t="s">
        <v>53</v>
      </c>
      <c r="B2" s="143">
        <v>1</v>
      </c>
      <c r="C2" s="143">
        <v>3</v>
      </c>
      <c r="D2" s="143">
        <v>2025</v>
      </c>
      <c r="E2" s="144">
        <f>IF('Mar-2025'!J5&gt;=0,'Mar-2025'!J5,0)</f>
        <v>10865</v>
      </c>
      <c r="F2" s="145">
        <f>'Mar-2025'!K5/'Mar-2025'!J5</f>
        <v>0.2</v>
      </c>
      <c r="G2" s="144">
        <f>IF('Mar-2025'!V5&gt;=0,'Mar-2025'!V5,0)</f>
        <v>77.159999999999854</v>
      </c>
      <c r="H2" s="145">
        <f>'Mar-2025'!W5/'Mar-2025'!V5</f>
        <v>7.84</v>
      </c>
      <c r="I2" s="144">
        <f>IF('Mar-2025'!AA5&gt;=0,'Mar-2025'!AA5,0)</f>
        <v>2615.9752521200003</v>
      </c>
      <c r="J2" s="145">
        <f>'Mar-2025'!AB5/'Mar-2025'!AA5</f>
        <v>1.2129625452031776</v>
      </c>
      <c r="K2" s="144">
        <f>'Mar-2025'!AI5</f>
        <v>245.99879999999999</v>
      </c>
      <c r="L2" s="144">
        <f>'Mar-2025'!AH5</f>
        <v>323</v>
      </c>
    </row>
    <row r="3" spans="1:12">
      <c r="A3" s="142" t="s">
        <v>53</v>
      </c>
      <c r="B3" s="143">
        <f>B2+1</f>
        <v>2</v>
      </c>
      <c r="C3" s="143">
        <v>3</v>
      </c>
      <c r="D3" s="143">
        <v>2025</v>
      </c>
      <c r="E3" s="144">
        <f>IF('Mar-2025'!J6&gt;=0,'Mar-2025'!J6,0)</f>
        <v>10805</v>
      </c>
      <c r="F3" s="145">
        <f>'Mar-2025'!K6/'Mar-2025'!J6</f>
        <v>0.2</v>
      </c>
      <c r="G3" s="144">
        <f>IF('Mar-2025'!V6&gt;=0,'Mar-2025'!V6,0)</f>
        <v>68</v>
      </c>
      <c r="H3" s="145">
        <f>'Mar-2025'!W6/'Mar-2025'!V6</f>
        <v>7.84</v>
      </c>
      <c r="I3" s="144">
        <f>IF('Mar-2025'!AA6&gt;=0,'Mar-2025'!AA6,0)</f>
        <v>2672.84427934</v>
      </c>
      <c r="J3" s="145">
        <f>'Mar-2025'!AB6/'Mar-2025'!AA6</f>
        <v>1.2129625452031778</v>
      </c>
      <c r="K3" s="144">
        <f>'Mar-2025'!AI6</f>
        <v>235.98</v>
      </c>
      <c r="L3" s="144">
        <f>'Mar-2025'!AH6</f>
        <v>286</v>
      </c>
    </row>
    <row r="4" spans="1:12">
      <c r="A4" s="142" t="s">
        <v>53</v>
      </c>
      <c r="B4" s="143">
        <f t="shared" ref="B4:B32" si="0">B3+1</f>
        <v>3</v>
      </c>
      <c r="C4" s="143">
        <v>3</v>
      </c>
      <c r="D4" s="143">
        <v>2025</v>
      </c>
      <c r="E4" s="144">
        <f>IF('Mar-2025'!J7&gt;=0,'Mar-2025'!J7,0)</f>
        <v>11324</v>
      </c>
      <c r="F4" s="145">
        <f>'Mar-2025'!K7/'Mar-2025'!J7</f>
        <v>0.2</v>
      </c>
      <c r="G4" s="144">
        <f>IF('Mar-2025'!V7&gt;=0,'Mar-2025'!V7,0)</f>
        <v>78</v>
      </c>
      <c r="H4" s="145">
        <f>'Mar-2025'!W7/'Mar-2025'!V7</f>
        <v>7.84</v>
      </c>
      <c r="I4" s="144">
        <f>IF('Mar-2025'!AA7&gt;=0,'Mar-2025'!AA7,0)</f>
        <v>2331.6301160200001</v>
      </c>
      <c r="J4" s="145">
        <f>'Mar-2025'!AB7/'Mar-2025'!AA7</f>
        <v>1.2129625452031778</v>
      </c>
      <c r="K4" s="144">
        <f>'Mar-2025'!AI7</f>
        <v>252.0018</v>
      </c>
      <c r="L4" s="144">
        <f>'Mar-2025'!AH7</f>
        <v>317</v>
      </c>
    </row>
    <row r="5" spans="1:12">
      <c r="A5" s="142" t="s">
        <v>53</v>
      </c>
      <c r="B5" s="143">
        <f t="shared" si="0"/>
        <v>4</v>
      </c>
      <c r="C5" s="143">
        <v>3</v>
      </c>
      <c r="D5" s="143">
        <v>2025</v>
      </c>
      <c r="E5" s="144">
        <f>IF('Mar-2025'!J8&gt;=0,'Mar-2025'!J8,0)</f>
        <v>10909</v>
      </c>
      <c r="F5" s="145">
        <f>'Mar-2025'!K8/'Mar-2025'!J8</f>
        <v>0.2</v>
      </c>
      <c r="G5" s="144">
        <f>IF('Mar-2025'!V8&gt;=0,'Mar-2025'!V8,0)</f>
        <v>77</v>
      </c>
      <c r="H5" s="145">
        <f>'Mar-2025'!W8/'Mar-2025'!V8</f>
        <v>7.839999999999999</v>
      </c>
      <c r="I5" s="144">
        <f>IF('Mar-2025'!AA8&gt;=0,'Mar-2025'!AA8,0)</f>
        <v>2672.84427934</v>
      </c>
      <c r="J5" s="145">
        <f>'Mar-2025'!AB8/'Mar-2025'!AA8</f>
        <v>1.2129625452031778</v>
      </c>
      <c r="K5" s="144">
        <f>'Mar-2025'!AI8</f>
        <v>251.00819999999999</v>
      </c>
      <c r="L5" s="144">
        <f>'Mar-2025'!AH8</f>
        <v>310</v>
      </c>
    </row>
    <row r="6" spans="1:12">
      <c r="A6" s="142" t="s">
        <v>53</v>
      </c>
      <c r="B6" s="143">
        <f t="shared" si="0"/>
        <v>5</v>
      </c>
      <c r="C6" s="143">
        <v>3</v>
      </c>
      <c r="D6" s="143">
        <v>2025</v>
      </c>
      <c r="E6" s="144">
        <f>IF('Mar-2025'!J9&gt;=0,'Mar-2025'!J9,0)</f>
        <v>11232</v>
      </c>
      <c r="F6" s="145">
        <f>'Mar-2025'!K9/'Mar-2025'!J9</f>
        <v>0.2</v>
      </c>
      <c r="G6" s="144">
        <f>IF('Mar-2025'!V9&gt;=0,'Mar-2025'!V9,0)</f>
        <v>89</v>
      </c>
      <c r="H6" s="145">
        <f>'Mar-2025'!W9/'Mar-2025'!V9</f>
        <v>7.84</v>
      </c>
      <c r="I6" s="144">
        <f>IF('Mar-2025'!AA9&gt;=0,'Mar-2025'!AA9,0)</f>
        <v>2957.1894154400002</v>
      </c>
      <c r="J6" s="145">
        <f>'Mar-2025'!AB9/'Mar-2025'!AA9</f>
        <v>1.2129625452031778</v>
      </c>
      <c r="K6" s="144">
        <f>'Mar-2025'!AI9</f>
        <v>245.0052</v>
      </c>
      <c r="L6" s="144">
        <f>'Mar-2025'!AH9</f>
        <v>286</v>
      </c>
    </row>
    <row r="7" spans="1:12">
      <c r="A7" s="142" t="s">
        <v>53</v>
      </c>
      <c r="B7" s="143">
        <f t="shared" si="0"/>
        <v>6</v>
      </c>
      <c r="C7" s="143">
        <v>3</v>
      </c>
      <c r="D7" s="143">
        <v>2025</v>
      </c>
      <c r="E7" s="144">
        <f>IF('Mar-2025'!J10&gt;=0,'Mar-2025'!J10,0)</f>
        <v>11159</v>
      </c>
      <c r="F7" s="145">
        <f>'Mar-2025'!K10/'Mar-2025'!J10</f>
        <v>0.2</v>
      </c>
      <c r="G7" s="144">
        <f>IF('Mar-2025'!V10&gt;=0,'Mar-2025'!V10,0)</f>
        <v>81</v>
      </c>
      <c r="H7" s="145">
        <f>'Mar-2025'!W10/'Mar-2025'!V10</f>
        <v>7.84</v>
      </c>
      <c r="I7" s="144">
        <f>IF('Mar-2025'!AA10&gt;=0,'Mar-2025'!AA10,0)</f>
        <v>3269.96906515</v>
      </c>
      <c r="J7" s="145">
        <f>'Mar-2025'!AB10/'Mar-2025'!AA10</f>
        <v>1.2129625452031778</v>
      </c>
      <c r="K7" s="144">
        <f>'Mar-2025'!AI10</f>
        <v>245.0052</v>
      </c>
      <c r="L7" s="144">
        <f>'Mar-2025'!AH10</f>
        <v>300</v>
      </c>
    </row>
    <row r="8" spans="1:12">
      <c r="A8" s="142" t="s">
        <v>53</v>
      </c>
      <c r="B8" s="143">
        <f t="shared" si="0"/>
        <v>7</v>
      </c>
      <c r="C8" s="143">
        <v>3</v>
      </c>
      <c r="D8" s="143">
        <v>2025</v>
      </c>
      <c r="E8" s="144">
        <f>IF('Mar-2025'!J11&gt;=0,'Mar-2025'!J11,0)</f>
        <v>10930</v>
      </c>
      <c r="F8" s="145">
        <f>'Mar-2025'!K11/'Mar-2025'!J11</f>
        <v>0.2</v>
      </c>
      <c r="G8" s="144">
        <f>IF('Mar-2025'!V11&gt;=0,'Mar-2025'!V11,0)</f>
        <v>87</v>
      </c>
      <c r="H8" s="145">
        <f>'Mar-2025'!W11/'Mar-2025'!V11</f>
        <v>7.8400000000000007</v>
      </c>
      <c r="I8" s="144">
        <f>IF('Mar-2025'!AA11&gt;=0,'Mar-2025'!AA11,0)</f>
        <v>3639.61774208</v>
      </c>
      <c r="J8" s="145">
        <f>'Mar-2025'!AB11/'Mar-2025'!AA11</f>
        <v>1.2129625452031776</v>
      </c>
      <c r="K8" s="144">
        <f>'Mar-2025'!AI11</f>
        <v>240.98939999999999</v>
      </c>
      <c r="L8" s="144">
        <f>'Mar-2025'!AH11</f>
        <v>298</v>
      </c>
    </row>
    <row r="9" spans="1:12">
      <c r="A9" s="142" t="s">
        <v>53</v>
      </c>
      <c r="B9" s="143">
        <f t="shared" si="0"/>
        <v>8</v>
      </c>
      <c r="C9" s="143">
        <v>3</v>
      </c>
      <c r="D9" s="143">
        <v>2025</v>
      </c>
      <c r="E9" s="144">
        <f>IF('Mar-2025'!J12&gt;=0,'Mar-2025'!J12,0)</f>
        <v>11059</v>
      </c>
      <c r="F9" s="145">
        <f>'Mar-2025'!K12/'Mar-2025'!J12</f>
        <v>0.2</v>
      </c>
      <c r="G9" s="144">
        <f>IF('Mar-2025'!V12&gt;=0,'Mar-2025'!V12,0)</f>
        <v>77</v>
      </c>
      <c r="H9" s="145">
        <f>'Mar-2025'!W12/'Mar-2025'!V12</f>
        <v>7.839999999999999</v>
      </c>
      <c r="I9" s="144">
        <f>IF('Mar-2025'!AA12&gt;=0,'Mar-2025'!AA12,0)</f>
        <v>3611.1832284699999</v>
      </c>
      <c r="J9" s="145">
        <f>'Mar-2025'!AB12/'Mar-2025'!AA12</f>
        <v>1.2129625452031778</v>
      </c>
      <c r="K9" s="144">
        <f>'Mar-2025'!AI12</f>
        <v>252.0018</v>
      </c>
      <c r="L9" s="144">
        <f>'Mar-2025'!AH12</f>
        <v>308</v>
      </c>
    </row>
    <row r="10" spans="1:12">
      <c r="A10" s="142" t="s">
        <v>53</v>
      </c>
      <c r="B10" s="143">
        <f t="shared" si="0"/>
        <v>9</v>
      </c>
      <c r="C10" s="143">
        <v>3</v>
      </c>
      <c r="D10" s="143">
        <v>2025</v>
      </c>
      <c r="E10" s="144">
        <f>IF('Mar-2025'!J13&gt;=0,'Mar-2025'!J13,0)</f>
        <v>10976</v>
      </c>
      <c r="F10" s="145">
        <f>'Mar-2025'!K13/'Mar-2025'!J13</f>
        <v>0.2</v>
      </c>
      <c r="G10" s="144">
        <f>IF('Mar-2025'!V13&gt;=0,'Mar-2025'!V13,0)</f>
        <v>94</v>
      </c>
      <c r="H10" s="145">
        <f>'Mar-2025'!W13/'Mar-2025'!V13</f>
        <v>7.8400000000000007</v>
      </c>
      <c r="I10" s="144">
        <f>IF('Mar-2025'!AA13&gt;=0,'Mar-2025'!AA13,0)</f>
        <v>3810.2248237399999</v>
      </c>
      <c r="J10" s="145">
        <f>'Mar-2025'!AB13/'Mar-2025'!AA13</f>
        <v>1.2129625452031778</v>
      </c>
      <c r="K10" s="144">
        <f>'Mar-2025'!AI13</f>
        <v>248.9796</v>
      </c>
      <c r="L10" s="144">
        <f>'Mar-2025'!AH13</f>
        <v>301</v>
      </c>
    </row>
    <row r="11" spans="1:12">
      <c r="A11" s="142" t="s">
        <v>53</v>
      </c>
      <c r="B11" s="143">
        <f t="shared" si="0"/>
        <v>10</v>
      </c>
      <c r="C11" s="143">
        <v>3</v>
      </c>
      <c r="D11" s="143">
        <v>2025</v>
      </c>
      <c r="E11" s="144">
        <f>IF('Mar-2025'!J14&gt;=0,'Mar-2025'!J14,0)</f>
        <v>11273</v>
      </c>
      <c r="F11" s="145">
        <f>'Mar-2025'!K14/'Mar-2025'!J14</f>
        <v>0.19999999999999998</v>
      </c>
      <c r="G11" s="144">
        <f>IF('Mar-2025'!V14&gt;=0,'Mar-2025'!V14,0)</f>
        <v>73</v>
      </c>
      <c r="H11" s="145">
        <f>'Mar-2025'!W14/'Mar-2025'!V14</f>
        <v>7.839999999999999</v>
      </c>
      <c r="I11" s="144">
        <f>IF('Mar-2025'!AA14&gt;=0,'Mar-2025'!AA14,0)</f>
        <v>3810.2248237399999</v>
      </c>
      <c r="J11" s="145">
        <f>'Mar-2025'!AB14/'Mar-2025'!AA14</f>
        <v>1.2129625452031778</v>
      </c>
      <c r="K11" s="144">
        <f>'Mar-2025'!AI14</f>
        <v>303.00659999999999</v>
      </c>
      <c r="L11" s="144">
        <f>'Mar-2025'!AH14</f>
        <v>380</v>
      </c>
    </row>
    <row r="12" spans="1:12">
      <c r="A12" s="142" t="s">
        <v>53</v>
      </c>
      <c r="B12" s="143">
        <f t="shared" si="0"/>
        <v>11</v>
      </c>
      <c r="C12" s="143">
        <v>3</v>
      </c>
      <c r="D12" s="143">
        <v>2025</v>
      </c>
      <c r="E12" s="144">
        <f>IF('Mar-2025'!J15&gt;=0,'Mar-2025'!J15,0)</f>
        <v>10973</v>
      </c>
      <c r="F12" s="145">
        <f>'Mar-2025'!K15/'Mar-2025'!J15</f>
        <v>0.19999999999999998</v>
      </c>
      <c r="G12" s="144">
        <f>IF('Mar-2025'!V15&gt;=0,'Mar-2025'!V15,0)</f>
        <v>93.070000000000164</v>
      </c>
      <c r="H12" s="145">
        <f>'Mar-2025'!W15/'Mar-2025'!V15</f>
        <v>7.84</v>
      </c>
      <c r="I12" s="144">
        <f>IF('Mar-2025'!AA15&gt;=0,'Mar-2025'!AA15,0)</f>
        <v>3753.3557965200002</v>
      </c>
      <c r="J12" s="145">
        <f>'Mar-2025'!AB15/'Mar-2025'!AA15</f>
        <v>1.2129625452031776</v>
      </c>
      <c r="K12" s="144">
        <f>'Mar-2025'!AI15</f>
        <v>328.01220000000001</v>
      </c>
      <c r="L12" s="144">
        <f>'Mar-2025'!AH15</f>
        <v>416</v>
      </c>
    </row>
    <row r="13" spans="1:12">
      <c r="A13" s="142" t="s">
        <v>53</v>
      </c>
      <c r="B13" s="143">
        <f t="shared" si="0"/>
        <v>12</v>
      </c>
      <c r="C13" s="143">
        <v>3</v>
      </c>
      <c r="D13" s="143">
        <v>2025</v>
      </c>
      <c r="E13" s="144">
        <f>IF('Mar-2025'!J16&gt;=0,'Mar-2025'!J16,0)</f>
        <v>11572</v>
      </c>
      <c r="F13" s="145">
        <f>'Mar-2025'!K16/'Mar-2025'!J16</f>
        <v>0.2</v>
      </c>
      <c r="G13" s="144">
        <f>IF('Mar-2025'!V16&gt;=0,'Mar-2025'!V16,0)</f>
        <v>110.91999999999996</v>
      </c>
      <c r="H13" s="145">
        <f>'Mar-2025'!W16/'Mar-2025'!V16</f>
        <v>7.84</v>
      </c>
      <c r="I13" s="144">
        <f>IF('Mar-2025'!AA16&gt;=0,'Mar-2025'!AA16,0)</f>
        <v>4293.6115551100002</v>
      </c>
      <c r="J13" s="145">
        <f>'Mar-2025'!AB16/'Mar-2025'!AA16</f>
        <v>1.2129625452031778</v>
      </c>
      <c r="K13" s="144">
        <f>'Mar-2025'!AI16</f>
        <v>328.01220000000001</v>
      </c>
      <c r="L13" s="144">
        <f>'Mar-2025'!AH16</f>
        <v>423</v>
      </c>
    </row>
    <row r="14" spans="1:12">
      <c r="A14" s="142" t="s">
        <v>53</v>
      </c>
      <c r="B14" s="143">
        <f t="shared" si="0"/>
        <v>13</v>
      </c>
      <c r="C14" s="143">
        <v>3</v>
      </c>
      <c r="D14" s="143">
        <v>2025</v>
      </c>
      <c r="E14" s="144">
        <f>IF('Mar-2025'!J17&gt;=0,'Mar-2025'!J17,0)</f>
        <v>11315</v>
      </c>
      <c r="F14" s="145">
        <f>'Mar-2025'!K17/'Mar-2025'!J17</f>
        <v>0.2</v>
      </c>
      <c r="G14" s="144">
        <f>IF('Mar-2025'!V17&gt;=0,'Mar-2025'!V17,0)</f>
        <v>103.00999999999988</v>
      </c>
      <c r="H14" s="145">
        <f>'Mar-2025'!W17/'Mar-2025'!V17</f>
        <v>7.84</v>
      </c>
      <c r="I14" s="144">
        <f>IF('Mar-2025'!AA17&gt;=0,'Mar-2025'!AA17,0)</f>
        <v>3184.6655243200003</v>
      </c>
      <c r="J14" s="145">
        <f>'Mar-2025'!AB17/'Mar-2025'!AA17</f>
        <v>1.2129625452031776</v>
      </c>
      <c r="K14" s="144">
        <f>'Mar-2025'!AI17</f>
        <v>315.01260000000002</v>
      </c>
      <c r="L14" s="144">
        <f>'Mar-2025'!AH17</f>
        <v>401</v>
      </c>
    </row>
    <row r="15" spans="1:12">
      <c r="A15" s="142" t="s">
        <v>53</v>
      </c>
      <c r="B15" s="143">
        <f t="shared" si="0"/>
        <v>14</v>
      </c>
      <c r="C15" s="143">
        <v>3</v>
      </c>
      <c r="D15" s="143">
        <v>2025</v>
      </c>
      <c r="E15" s="144">
        <f>IF('Mar-2025'!J18&gt;=0,'Mar-2025'!J18,0)</f>
        <v>11186</v>
      </c>
      <c r="F15" s="145">
        <f>'Mar-2025'!K18/'Mar-2025'!J18</f>
        <v>0.2</v>
      </c>
      <c r="G15" s="144">
        <f>IF('Mar-2025'!V18&gt;=0,'Mar-2025'!V18,0)</f>
        <v>96</v>
      </c>
      <c r="H15" s="145">
        <f>'Mar-2025'!W18/'Mar-2025'!V18</f>
        <v>7.84</v>
      </c>
      <c r="I15" s="144">
        <f>IF('Mar-2025'!AA18&gt;=0,'Mar-2025'!AA18,0)</f>
        <v>3724.9212829100002</v>
      </c>
      <c r="J15" s="145">
        <f>'Mar-2025'!AB18/'Mar-2025'!AA18</f>
        <v>1.2129625452031776</v>
      </c>
      <c r="K15" s="144">
        <f>'Mar-2025'!AI18</f>
        <v>312.98399999999998</v>
      </c>
      <c r="L15" s="144">
        <f>'Mar-2025'!AH18</f>
        <v>416</v>
      </c>
    </row>
    <row r="16" spans="1:12">
      <c r="A16" s="142" t="s">
        <v>53</v>
      </c>
      <c r="B16" s="143">
        <f t="shared" si="0"/>
        <v>15</v>
      </c>
      <c r="C16" s="143">
        <v>3</v>
      </c>
      <c r="D16" s="143">
        <v>2025</v>
      </c>
      <c r="E16" s="144">
        <f>IF('Mar-2025'!J19&gt;=0,'Mar-2025'!J19,0)</f>
        <v>10925</v>
      </c>
      <c r="F16" s="145">
        <f>'Mar-2025'!K19/'Mar-2025'!J19</f>
        <v>0.2</v>
      </c>
      <c r="G16" s="144">
        <f>IF('Mar-2025'!V19&gt;=0,'Mar-2025'!V19,0)</f>
        <v>94</v>
      </c>
      <c r="H16" s="145">
        <f>'Mar-2025'!W19/'Mar-2025'!V19</f>
        <v>7.8400000000000007</v>
      </c>
      <c r="I16" s="144">
        <f>IF('Mar-2025'!AA19&gt;=0,'Mar-2025'!AA19,0)</f>
        <v>3696.4867693000001</v>
      </c>
      <c r="J16" s="145">
        <f>'Mar-2025'!AB19/'Mar-2025'!AA19</f>
        <v>1.2129625452031778</v>
      </c>
      <c r="K16" s="144">
        <f>'Mar-2025'!AI19</f>
        <v>277.00740000000002</v>
      </c>
      <c r="L16" s="144">
        <f>'Mar-2025'!AH19</f>
        <v>353</v>
      </c>
    </row>
    <row r="17" spans="1:12">
      <c r="A17" s="142" t="s">
        <v>53</v>
      </c>
      <c r="B17" s="143">
        <f t="shared" si="0"/>
        <v>16</v>
      </c>
      <c r="C17" s="143">
        <v>3</v>
      </c>
      <c r="D17" s="143">
        <v>2025</v>
      </c>
      <c r="E17" s="144">
        <f>IF('Mar-2025'!J20&gt;=0,'Mar-2025'!J20,0)</f>
        <v>10667</v>
      </c>
      <c r="F17" s="145">
        <f>'Mar-2025'!K20/'Mar-2025'!J20</f>
        <v>0.2</v>
      </c>
      <c r="G17" s="144">
        <f>IF('Mar-2025'!V20&gt;=0,'Mar-2025'!V20,0)</f>
        <v>65</v>
      </c>
      <c r="H17" s="145">
        <f>'Mar-2025'!W20/'Mar-2025'!V20</f>
        <v>7.84</v>
      </c>
      <c r="I17" s="144">
        <f>IF('Mar-2025'!AA20&gt;=0,'Mar-2025'!AA20,0)</f>
        <v>3810.2248237399999</v>
      </c>
      <c r="J17" s="145">
        <f>'Mar-2025'!AB20/'Mar-2025'!AA20</f>
        <v>1.2129625452031778</v>
      </c>
      <c r="K17" s="144">
        <f>'Mar-2025'!AI20</f>
        <v>272.99160000000001</v>
      </c>
      <c r="L17" s="144">
        <f>'Mar-2025'!AH20</f>
        <v>331</v>
      </c>
    </row>
    <row r="18" spans="1:12">
      <c r="A18" s="142" t="s">
        <v>53</v>
      </c>
      <c r="B18" s="143">
        <f t="shared" si="0"/>
        <v>17</v>
      </c>
      <c r="C18" s="143">
        <v>3</v>
      </c>
      <c r="D18" s="143">
        <v>2025</v>
      </c>
      <c r="E18" s="144">
        <f>IF('Mar-2025'!J21&gt;=0,'Mar-2025'!J21,0)</f>
        <v>11121</v>
      </c>
      <c r="F18" s="145">
        <f>'Mar-2025'!K21/'Mar-2025'!J21</f>
        <v>0.2</v>
      </c>
      <c r="G18" s="144">
        <f>IF('Mar-2025'!V21&gt;=0,'Mar-2025'!V21,0)</f>
        <v>84</v>
      </c>
      <c r="H18" s="145">
        <f>'Mar-2025'!W21/'Mar-2025'!V21</f>
        <v>7.839999999999999</v>
      </c>
      <c r="I18" s="144">
        <f>IF('Mar-2025'!AA21&gt;=0,'Mar-2025'!AA21,0)</f>
        <v>3582.7487148600003</v>
      </c>
      <c r="J18" s="145">
        <f>'Mar-2025'!AB21/'Mar-2025'!AA21</f>
        <v>1.2129625452031776</v>
      </c>
      <c r="K18" s="144">
        <f>'Mar-2025'!AI21</f>
        <v>310.00319999999999</v>
      </c>
      <c r="L18" s="144">
        <f>'Mar-2025'!AH21</f>
        <v>396</v>
      </c>
    </row>
    <row r="19" spans="1:12">
      <c r="A19" s="142" t="s">
        <v>53</v>
      </c>
      <c r="B19" s="143">
        <f t="shared" si="0"/>
        <v>18</v>
      </c>
      <c r="C19" s="143">
        <v>3</v>
      </c>
      <c r="D19" s="143">
        <v>2025</v>
      </c>
      <c r="E19" s="144">
        <f>IF('Mar-2025'!J22&gt;=0,'Mar-2025'!J22,0)</f>
        <v>11297</v>
      </c>
      <c r="F19" s="145">
        <f>'Mar-2025'!K22/'Mar-2025'!J22</f>
        <v>0.2</v>
      </c>
      <c r="G19" s="144">
        <f>IF('Mar-2025'!V22&gt;=0,'Mar-2025'!V22,0)</f>
        <v>114.25999999999999</v>
      </c>
      <c r="H19" s="145">
        <f>'Mar-2025'!W22/'Mar-2025'!V22</f>
        <v>7.84</v>
      </c>
      <c r="I19" s="144">
        <f>IF('Mar-2025'!AA22&gt;=0,'Mar-2025'!AA22,0)</f>
        <v>3668.05225569</v>
      </c>
      <c r="J19" s="145">
        <f>'Mar-2025'!AB22/'Mar-2025'!AA22</f>
        <v>1.2129625452031778</v>
      </c>
      <c r="K19" s="144">
        <f>'Mar-2025'!AI22</f>
        <v>305.98739999999998</v>
      </c>
      <c r="L19" s="144">
        <f>'Mar-2025'!AH22</f>
        <v>377</v>
      </c>
    </row>
    <row r="20" spans="1:12">
      <c r="A20" s="142" t="s">
        <v>53</v>
      </c>
      <c r="B20" s="143">
        <f t="shared" si="0"/>
        <v>19</v>
      </c>
      <c r="C20" s="143">
        <v>3</v>
      </c>
      <c r="D20" s="143">
        <v>2025</v>
      </c>
      <c r="E20" s="144">
        <f>IF('Mar-2025'!J23&gt;=0,'Mar-2025'!J23,0)</f>
        <v>10958</v>
      </c>
      <c r="F20" s="145">
        <f>'Mar-2025'!K23/'Mar-2025'!J23</f>
        <v>0.19999999999999998</v>
      </c>
      <c r="G20" s="144">
        <f>IF('Mar-2025'!V23&gt;=0,'Mar-2025'!V23,0)</f>
        <v>92.659999999999854</v>
      </c>
      <c r="H20" s="145">
        <f>'Mar-2025'!W23/'Mar-2025'!V23</f>
        <v>7.84</v>
      </c>
      <c r="I20" s="144">
        <f>IF('Mar-2025'!AA23&gt;=0,'Mar-2025'!AA23,0)</f>
        <v>3469.01066042</v>
      </c>
      <c r="J20" s="145">
        <f>'Mar-2025'!AB23/'Mar-2025'!AA23</f>
        <v>1.2129625452031778</v>
      </c>
      <c r="K20" s="144">
        <f>'Mar-2025'!AI23</f>
        <v>303.00659999999999</v>
      </c>
      <c r="L20" s="144">
        <f>'Mar-2025'!AH23</f>
        <v>365</v>
      </c>
    </row>
    <row r="21" spans="1:12">
      <c r="A21" s="142" t="s">
        <v>53</v>
      </c>
      <c r="B21" s="143">
        <f t="shared" si="0"/>
        <v>20</v>
      </c>
      <c r="C21" s="143">
        <v>3</v>
      </c>
      <c r="D21" s="143">
        <v>2025</v>
      </c>
      <c r="E21" s="144">
        <f>IF('Mar-2025'!J24&gt;=0,'Mar-2025'!J24,0)</f>
        <v>11271</v>
      </c>
      <c r="F21" s="145">
        <f>'Mar-2025'!K24/'Mar-2025'!J24</f>
        <v>0.2</v>
      </c>
      <c r="G21" s="144">
        <f>IF('Mar-2025'!V24&gt;=0,'Mar-2025'!V24,0)</f>
        <v>101.08000000000015</v>
      </c>
      <c r="H21" s="145">
        <f>'Mar-2025'!W24/'Mar-2025'!V24</f>
        <v>7.84</v>
      </c>
      <c r="I21" s="144">
        <f>IF('Mar-2025'!AA24&gt;=0,'Mar-2025'!AA24,0)</f>
        <v>3781.7903101300003</v>
      </c>
      <c r="J21" s="145">
        <f>'Mar-2025'!AB24/'Mar-2025'!AA24</f>
        <v>1.2129625452031778</v>
      </c>
      <c r="K21" s="144">
        <f>'Mar-2025'!AI24</f>
        <v>286.98480000000001</v>
      </c>
      <c r="L21" s="144">
        <f>'Mar-2025'!AH24</f>
        <v>343</v>
      </c>
    </row>
    <row r="22" spans="1:12">
      <c r="A22" s="142" t="s">
        <v>53</v>
      </c>
      <c r="B22" s="143">
        <f t="shared" si="0"/>
        <v>21</v>
      </c>
      <c r="C22" s="143">
        <v>3</v>
      </c>
      <c r="D22" s="143">
        <v>2025</v>
      </c>
      <c r="E22" s="144">
        <f>IF('Mar-2025'!J25&gt;=0,'Mar-2025'!J25,0)</f>
        <v>11336</v>
      </c>
      <c r="F22" s="145">
        <f>'Mar-2025'!K25/'Mar-2025'!J25</f>
        <v>0.2</v>
      </c>
      <c r="G22" s="144">
        <f>IF('Mar-2025'!V25&gt;=0,'Mar-2025'!V25,0)</f>
        <v>60</v>
      </c>
      <c r="H22" s="145">
        <f>'Mar-2025'!W25/'Mar-2025'!V25</f>
        <v>7.84</v>
      </c>
      <c r="I22" s="144">
        <f>IF('Mar-2025'!AA25&gt;=0,'Mar-2025'!AA25,0)</f>
        <v>3952.3973917900003</v>
      </c>
      <c r="J22" s="145">
        <f>'Mar-2025'!AB25/'Mar-2025'!AA25</f>
        <v>1.2129625452031776</v>
      </c>
      <c r="K22" s="144">
        <f>'Mar-2025'!AI25</f>
        <v>266.98860000000002</v>
      </c>
      <c r="L22" s="144">
        <f>'Mar-2025'!AH25</f>
        <v>317</v>
      </c>
    </row>
    <row r="23" spans="1:12">
      <c r="A23" s="142" t="s">
        <v>53</v>
      </c>
      <c r="B23" s="143">
        <f t="shared" si="0"/>
        <v>22</v>
      </c>
      <c r="C23" s="143">
        <v>3</v>
      </c>
      <c r="D23" s="143">
        <v>2025</v>
      </c>
      <c r="E23" s="144">
        <f>IF('Mar-2025'!J26&gt;=0,'Mar-2025'!J26,0)</f>
        <v>10887</v>
      </c>
      <c r="F23" s="145">
        <f>'Mar-2025'!K26/'Mar-2025'!J26</f>
        <v>0.2</v>
      </c>
      <c r="G23" s="144">
        <f>IF('Mar-2025'!V26&gt;=0,'Mar-2025'!V26,0)</f>
        <v>111</v>
      </c>
      <c r="H23" s="145">
        <f>'Mar-2025'!W26/'Mar-2025'!V26</f>
        <v>7.84</v>
      </c>
      <c r="I23" s="144">
        <f>IF('Mar-2025'!AA26&gt;=0,'Mar-2025'!AA26,0)</f>
        <v>3952.3973917900003</v>
      </c>
      <c r="J23" s="145">
        <f>'Mar-2025'!AB26/'Mar-2025'!AA26</f>
        <v>1.2129625452031776</v>
      </c>
      <c r="K23" s="144">
        <f>'Mar-2025'!AI26</f>
        <v>251.00819999999999</v>
      </c>
      <c r="L23" s="144">
        <f>'Mar-2025'!AH26</f>
        <v>296</v>
      </c>
    </row>
    <row r="24" spans="1:12">
      <c r="A24" s="142" t="s">
        <v>53</v>
      </c>
      <c r="B24" s="143">
        <f t="shared" si="0"/>
        <v>23</v>
      </c>
      <c r="C24" s="143">
        <v>3</v>
      </c>
      <c r="D24" s="143">
        <v>2025</v>
      </c>
      <c r="E24" s="144">
        <f>IF('Mar-2025'!J27&gt;=0,'Mar-2025'!J27,0)</f>
        <v>11052</v>
      </c>
      <c r="F24" s="145">
        <f>'Mar-2025'!K27/'Mar-2025'!J27</f>
        <v>0.2</v>
      </c>
      <c r="G24" s="144">
        <f>IF('Mar-2025'!V27&gt;=0,'Mar-2025'!V27,0)</f>
        <v>78</v>
      </c>
      <c r="H24" s="145">
        <f>'Mar-2025'!W27/'Mar-2025'!V27</f>
        <v>7.84</v>
      </c>
      <c r="I24" s="144">
        <f>IF('Mar-2025'!AA27&gt;=0,'Mar-2025'!AA27,0)</f>
        <v>3895.5283645700001</v>
      </c>
      <c r="J24" s="145">
        <f>'Mar-2025'!AB27/'Mar-2025'!AA27</f>
        <v>1.2129625452031778</v>
      </c>
      <c r="K24" s="144">
        <f>'Mar-2025'!AI27</f>
        <v>248.9796</v>
      </c>
      <c r="L24" s="144">
        <f>'Mar-2025'!AH27</f>
        <v>304</v>
      </c>
    </row>
    <row r="25" spans="1:12">
      <c r="A25" s="142" t="s">
        <v>53</v>
      </c>
      <c r="B25" s="143">
        <f t="shared" si="0"/>
        <v>24</v>
      </c>
      <c r="C25" s="143">
        <v>3</v>
      </c>
      <c r="D25" s="143">
        <v>2025</v>
      </c>
      <c r="E25" s="144">
        <f>IF('Mar-2025'!J28&gt;=0,'Mar-2025'!J28,0)</f>
        <v>11641</v>
      </c>
      <c r="F25" s="145">
        <f>'Mar-2025'!K28/'Mar-2025'!J28</f>
        <v>0.2</v>
      </c>
      <c r="G25" s="144">
        <f>IF('Mar-2025'!V28&gt;=0,'Mar-2025'!V28,0)</f>
        <v>92</v>
      </c>
      <c r="H25" s="145">
        <f>'Mar-2025'!W28/'Mar-2025'!V28</f>
        <v>7.84</v>
      </c>
      <c r="I25" s="144">
        <f>IF('Mar-2025'!AA28&gt;=0,'Mar-2025'!AA28,0)</f>
        <v>3639.61774208</v>
      </c>
      <c r="J25" s="145">
        <f>'Mar-2025'!AB28/'Mar-2025'!AA28</f>
        <v>1.2129625452031776</v>
      </c>
      <c r="K25" s="144">
        <f>'Mar-2025'!AI28</f>
        <v>257.01120000000003</v>
      </c>
      <c r="L25" s="144">
        <f>'Mar-2025'!AH28</f>
        <v>303</v>
      </c>
    </row>
    <row r="26" spans="1:12">
      <c r="A26" s="142" t="s">
        <v>53</v>
      </c>
      <c r="B26" s="143">
        <f>B25+1</f>
        <v>25</v>
      </c>
      <c r="C26" s="143">
        <v>3</v>
      </c>
      <c r="D26" s="143">
        <v>2025</v>
      </c>
      <c r="E26" s="144">
        <f>IF('Mar-2025'!J29&gt;=0,'Mar-2025'!J29,0)</f>
        <v>11902</v>
      </c>
      <c r="F26" s="145">
        <f>'Mar-2025'!K29/'Mar-2025'!J29</f>
        <v>0.2</v>
      </c>
      <c r="G26" s="144">
        <f>IF('Mar-2025'!V29&gt;=0,'Mar-2025'!V29,0)</f>
        <v>72.799999999999727</v>
      </c>
      <c r="H26" s="145">
        <f>'Mar-2025'!W29/'Mar-2025'!V29</f>
        <v>7.8400000000000007</v>
      </c>
      <c r="I26" s="144">
        <f>IF('Mar-2025'!AA29&gt;=0,'Mar-2025'!AA29,0)</f>
        <v>2786.5823337800002</v>
      </c>
      <c r="J26" s="145">
        <f>'Mar-2025'!AB29/'Mar-2025'!AA29</f>
        <v>1.2129625452031778</v>
      </c>
      <c r="K26" s="144">
        <f>'Mar-2025'!AI29</f>
        <v>240.98939999999999</v>
      </c>
      <c r="L26" s="144">
        <f>'Mar-2025'!AH29</f>
        <v>279</v>
      </c>
    </row>
    <row r="27" spans="1:12">
      <c r="A27" s="142" t="s">
        <v>53</v>
      </c>
      <c r="B27" s="143">
        <f t="shared" si="0"/>
        <v>26</v>
      </c>
      <c r="C27" s="143">
        <v>3</v>
      </c>
      <c r="D27" s="143">
        <v>2025</v>
      </c>
      <c r="E27" s="144">
        <f>IF('Mar-2025'!J30&gt;=0,'Mar-2025'!J30,0)</f>
        <v>11195</v>
      </c>
      <c r="F27" s="145">
        <f>'Mar-2025'!K30/'Mar-2025'!J30</f>
        <v>0.2</v>
      </c>
      <c r="G27" s="144">
        <f>IF('Mar-2025'!V30&gt;=0,'Mar-2025'!V30,0)</f>
        <v>77.580000000000496</v>
      </c>
      <c r="H27" s="145">
        <f>'Mar-2025'!W30/'Mar-2025'!V30</f>
        <v>7.84</v>
      </c>
      <c r="I27" s="144">
        <f>IF('Mar-2025'!AA30&gt;=0,'Mar-2025'!AA30,0)</f>
        <v>2843.4513609999999</v>
      </c>
      <c r="J27" s="145">
        <f>'Mar-2025'!AB30/'Mar-2025'!AA30</f>
        <v>1.2129625452031778</v>
      </c>
      <c r="K27" s="144">
        <f>'Mar-2025'!AI30</f>
        <v>246.9924</v>
      </c>
      <c r="L27" s="144">
        <f>'Mar-2025'!AH30</f>
        <v>299</v>
      </c>
    </row>
    <row r="28" spans="1:12">
      <c r="A28" s="142" t="s">
        <v>53</v>
      </c>
      <c r="B28" s="143">
        <f t="shared" si="0"/>
        <v>27</v>
      </c>
      <c r="C28" s="143">
        <v>3</v>
      </c>
      <c r="D28" s="143">
        <v>2025</v>
      </c>
      <c r="E28" s="144">
        <f>IF('Mar-2025'!J31&gt;=0,'Mar-2025'!J31,0)</f>
        <v>10887</v>
      </c>
      <c r="F28" s="145">
        <f>'Mar-2025'!K31/'Mar-2025'!J31</f>
        <v>0.2</v>
      </c>
      <c r="G28" s="144">
        <f>IF('Mar-2025'!V31&gt;=0,'Mar-2025'!V31,0)</f>
        <v>74.359999999999786</v>
      </c>
      <c r="H28" s="145">
        <f>'Mar-2025'!W31/'Mar-2025'!V31</f>
        <v>7.839999999999999</v>
      </c>
      <c r="I28" s="144">
        <f>IF('Mar-2025'!AA31&gt;=0,'Mar-2025'!AA31,0)</f>
        <v>3326.8380923700001</v>
      </c>
      <c r="J28" s="145">
        <f>'Mar-2025'!AB31/'Mar-2025'!AA31</f>
        <v>1.2129625452031778</v>
      </c>
      <c r="K28" s="144">
        <f>'Mar-2025'!AI31</f>
        <v>239.00220000000002</v>
      </c>
      <c r="L28" s="144">
        <f>'Mar-2025'!AH31</f>
        <v>288</v>
      </c>
    </row>
    <row r="29" spans="1:12">
      <c r="A29" s="142" t="s">
        <v>53</v>
      </c>
      <c r="B29" s="143">
        <f t="shared" si="0"/>
        <v>28</v>
      </c>
      <c r="C29" s="143">
        <v>3</v>
      </c>
      <c r="D29" s="143">
        <v>2025</v>
      </c>
      <c r="E29" s="144">
        <f>IF('Mar-2025'!J32&gt;=0,'Mar-2025'!J32,0)</f>
        <v>10688</v>
      </c>
      <c r="F29" s="145">
        <f>'Mar-2025'!K32/'Mar-2025'!J32</f>
        <v>0.19999999999999998</v>
      </c>
      <c r="G29" s="144">
        <f>IF('Mar-2025'!V32&gt;=0,'Mar-2025'!V32,0)</f>
        <v>77.430000000000064</v>
      </c>
      <c r="H29" s="145">
        <f>'Mar-2025'!W32/'Mar-2025'!V32</f>
        <v>7.839999999999999</v>
      </c>
      <c r="I29" s="144">
        <f>IF('Mar-2025'!AA32&gt;=0,'Mar-2025'!AA32,0)</f>
        <v>3838.65933735</v>
      </c>
      <c r="J29" s="145">
        <f>'Mar-2025'!AB32/'Mar-2025'!AA32</f>
        <v>1.2129625452031778</v>
      </c>
      <c r="K29" s="144">
        <f>'Mar-2025'!AI32</f>
        <v>252.0018</v>
      </c>
      <c r="L29" s="144">
        <f>'Mar-2025'!AH32</f>
        <v>319</v>
      </c>
    </row>
    <row r="30" spans="1:12">
      <c r="A30" s="142" t="s">
        <v>53</v>
      </c>
      <c r="B30" s="143">
        <f t="shared" si="0"/>
        <v>29</v>
      </c>
      <c r="C30" s="143">
        <v>3</v>
      </c>
      <c r="D30" s="143">
        <v>2025</v>
      </c>
      <c r="E30" s="144">
        <f>IF('Mar-2025'!J33&gt;=0,'Mar-2025'!J33,0)</f>
        <v>10608</v>
      </c>
      <c r="F30" s="145">
        <f>'Mar-2025'!K33/'Mar-2025'!J33</f>
        <v>0.19999999999999998</v>
      </c>
      <c r="G30" s="144">
        <f>IF('Mar-2025'!V33&gt;=0,'Mar-2025'!V33,0)</f>
        <v>82.039999999999736</v>
      </c>
      <c r="H30" s="145">
        <f>'Mar-2025'!W33/'Mar-2025'!V33</f>
        <v>7.84</v>
      </c>
      <c r="I30" s="144">
        <f>IF('Mar-2025'!AA33&gt;=0,'Mar-2025'!AA33,0)</f>
        <v>4123.0044734499998</v>
      </c>
      <c r="J30" s="145">
        <f>'Mar-2025'!AB33/'Mar-2025'!AA33</f>
        <v>1.212962545203178</v>
      </c>
      <c r="K30" s="144">
        <f>'Mar-2025'!AI33</f>
        <v>250.0146</v>
      </c>
      <c r="L30" s="144">
        <f>'Mar-2025'!AH33</f>
        <v>345</v>
      </c>
    </row>
    <row r="31" spans="1:12">
      <c r="A31" s="142" t="s">
        <v>53</v>
      </c>
      <c r="B31" s="143">
        <f t="shared" si="0"/>
        <v>30</v>
      </c>
      <c r="C31" s="143">
        <v>3</v>
      </c>
      <c r="D31" s="143">
        <v>2025</v>
      </c>
      <c r="E31" s="144">
        <f>IF('Mar-2025'!J34&gt;=0,'Mar-2025'!J34,0)</f>
        <v>11118</v>
      </c>
      <c r="F31" s="145">
        <f>'Mar-2025'!K34/'Mar-2025'!J34</f>
        <v>0.19999999999999998</v>
      </c>
      <c r="G31" s="144">
        <f>IF('Mar-2025'!V34&gt;=0,'Mar-2025'!V34,0)</f>
        <v>134.79000000000019</v>
      </c>
      <c r="H31" s="145">
        <f>'Mar-2025'!W34/'Mar-2025'!V34</f>
        <v>7.839999999999999</v>
      </c>
      <c r="I31" s="144">
        <f>IF('Mar-2025'!AA34&gt;=0,'Mar-2025'!AA34,0)</f>
        <v>4094.5699598400001</v>
      </c>
      <c r="J31" s="145">
        <f>'Mar-2025'!AB34/'Mar-2025'!AA34</f>
        <v>1.2129625452031776</v>
      </c>
      <c r="K31" s="144">
        <f>'Mar-2025'!AI34</f>
        <v>413.00640000000004</v>
      </c>
      <c r="L31" s="144">
        <f>'Mar-2025'!AH34</f>
        <v>649</v>
      </c>
    </row>
    <row r="32" spans="1:12">
      <c r="A32" s="142" t="s">
        <v>53</v>
      </c>
      <c r="B32" s="143">
        <f t="shared" si="0"/>
        <v>31</v>
      </c>
      <c r="C32" s="143">
        <v>3</v>
      </c>
      <c r="D32" s="143">
        <v>2025</v>
      </c>
      <c r="E32" s="144">
        <f>IF('Mar-2025'!J35&gt;=0,'Mar-2025'!J35,0)</f>
        <v>11275</v>
      </c>
      <c r="F32" s="145">
        <f>'Mar-2025'!K35/'Mar-2025'!J35</f>
        <v>0.2</v>
      </c>
      <c r="G32" s="144">
        <f>IF('Mar-2025'!V35&gt;=0,'Mar-2025'!V35,0)</f>
        <v>125</v>
      </c>
      <c r="H32" s="145">
        <f>'Mar-2025'!W35/'Mar-2025'!V35</f>
        <v>7.84</v>
      </c>
      <c r="I32" s="144">
        <f>IF('Mar-2025'!AA35&gt;=0,'Mar-2025'!AA35,0)</f>
        <v>4009.2664190099999</v>
      </c>
      <c r="J32" s="145">
        <f>'Mar-2025'!AB35/'Mar-2025'!AA35</f>
        <v>1.2129625452031778</v>
      </c>
      <c r="K32" s="144">
        <f>'Mar-2025'!AI35</f>
        <v>312.98399999999998</v>
      </c>
      <c r="L32" s="144">
        <f>'Mar-2025'!AH35</f>
        <v>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6014-0572-4DD6-AE86-A8D8BFFF1E99}">
  <dimension ref="A1:AI964"/>
  <sheetViews>
    <sheetView topLeftCell="F10" zoomScale="83" zoomScaleNormal="83" workbookViewId="0">
      <selection activeCell="M37" sqref="M37"/>
    </sheetView>
  </sheetViews>
  <sheetFormatPr defaultRowHeight="15"/>
  <cols>
    <col min="1" max="1" width="5.5703125" bestFit="1" customWidth="1"/>
    <col min="2" max="2" width="19.5703125" bestFit="1" customWidth="1"/>
    <col min="3" max="3" width="17" customWidth="1"/>
    <col min="4" max="4" width="13.42578125" customWidth="1"/>
    <col min="5" max="5" width="14.5703125" bestFit="1" customWidth="1"/>
    <col min="6" max="6" width="13.7109375" customWidth="1"/>
    <col min="7" max="7" width="12.7109375" bestFit="1" customWidth="1"/>
    <col min="8" max="8" width="14.28515625" bestFit="1" customWidth="1"/>
    <col min="9" max="9" width="12.7109375" bestFit="1" customWidth="1"/>
    <col min="10" max="10" width="10.85546875" bestFit="1" customWidth="1"/>
    <col min="11" max="11" width="10.28515625" customWidth="1"/>
    <col min="12" max="12" width="1.28515625" style="1" customWidth="1"/>
    <col min="13" max="13" width="5.85546875" bestFit="1" customWidth="1"/>
    <col min="14" max="14" width="10.42578125" bestFit="1" customWidth="1"/>
    <col min="15" max="15" width="10" bestFit="1" customWidth="1"/>
    <col min="16" max="16" width="10.42578125" bestFit="1" customWidth="1"/>
    <col min="17" max="17" width="10" bestFit="1" customWidth="1"/>
    <col min="18" max="18" width="10.42578125" bestFit="1" customWidth="1"/>
    <col min="19" max="19" width="10" bestFit="1" customWidth="1"/>
    <col min="20" max="20" width="10.42578125" bestFit="1" customWidth="1"/>
    <col min="21" max="21" width="10" bestFit="1" customWidth="1"/>
    <col min="22" max="22" width="11.42578125" bestFit="1" customWidth="1"/>
    <col min="23" max="23" width="18" customWidth="1"/>
    <col min="24" max="24" width="1.140625" style="1" customWidth="1"/>
    <col min="25" max="25" width="6.140625" bestFit="1" customWidth="1"/>
    <col min="26" max="27" width="12.85546875" style="84" customWidth="1"/>
    <col min="28" max="28" width="19.5703125" customWidth="1"/>
    <col min="29" max="29" width="1.140625" customWidth="1"/>
    <col min="30" max="32" width="12.7109375" style="82" customWidth="1"/>
    <col min="34" max="34" width="16.42578125" customWidth="1"/>
  </cols>
  <sheetData>
    <row r="1" spans="1:35" ht="44.25" customHeight="1" thickBot="1">
      <c r="A1" s="171" t="s">
        <v>0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  <c r="M1" s="177" t="s">
        <v>1</v>
      </c>
      <c r="N1" s="178"/>
      <c r="O1" s="178"/>
      <c r="P1" s="178"/>
      <c r="Q1" s="178"/>
      <c r="R1" s="178"/>
      <c r="S1" s="178"/>
      <c r="T1" s="178"/>
      <c r="U1" s="178"/>
      <c r="V1" s="178"/>
      <c r="W1" s="179"/>
      <c r="Y1" s="180" t="s">
        <v>2</v>
      </c>
      <c r="Z1" s="181"/>
      <c r="AA1" s="181"/>
      <c r="AB1" s="182"/>
      <c r="AD1" s="186" t="s">
        <v>54</v>
      </c>
      <c r="AE1" s="187"/>
      <c r="AF1" s="188"/>
      <c r="AG1" s="189" t="s">
        <v>37</v>
      </c>
      <c r="AH1" s="190"/>
      <c r="AI1" s="190"/>
    </row>
    <row r="2" spans="1:35" s="5" customFormat="1" ht="22.5" customHeight="1" thickBot="1">
      <c r="A2" s="174"/>
      <c r="B2" s="175"/>
      <c r="C2" s="175"/>
      <c r="D2" s="175"/>
      <c r="E2" s="175"/>
      <c r="F2" s="175"/>
      <c r="G2" s="175"/>
      <c r="H2" s="175"/>
      <c r="I2" s="175"/>
      <c r="J2" s="175"/>
      <c r="K2" s="176"/>
      <c r="L2" s="2"/>
      <c r="M2" s="191" t="s">
        <v>3</v>
      </c>
      <c r="N2" s="192"/>
      <c r="O2" s="193"/>
      <c r="P2" s="192" t="s">
        <v>4</v>
      </c>
      <c r="Q2" s="193"/>
      <c r="R2" s="192" t="s">
        <v>5</v>
      </c>
      <c r="S2" s="193"/>
      <c r="T2" s="192" t="s">
        <v>6</v>
      </c>
      <c r="U2" s="193"/>
      <c r="V2" s="3"/>
      <c r="W2" s="4"/>
      <c r="X2" s="1"/>
      <c r="Y2" s="183"/>
      <c r="Z2" s="184"/>
      <c r="AA2" s="184"/>
      <c r="AB2" s="185"/>
      <c r="AC2"/>
      <c r="AD2" s="194" t="s">
        <v>7</v>
      </c>
      <c r="AE2" s="194" t="s">
        <v>8</v>
      </c>
      <c r="AF2" s="199" t="s">
        <v>55</v>
      </c>
      <c r="AG2" s="202" t="s">
        <v>38</v>
      </c>
      <c r="AH2" s="166" t="s">
        <v>39</v>
      </c>
      <c r="AI2" s="166" t="s">
        <v>40</v>
      </c>
    </row>
    <row r="3" spans="1:35" s="5" customFormat="1" ht="52.5" customHeight="1" thickBot="1">
      <c r="A3" s="6" t="s">
        <v>9</v>
      </c>
      <c r="B3" s="7" t="s">
        <v>10</v>
      </c>
      <c r="C3" s="8" t="s">
        <v>11</v>
      </c>
      <c r="D3" s="7" t="s">
        <v>12</v>
      </c>
      <c r="E3" s="8" t="s">
        <v>11</v>
      </c>
      <c r="F3" s="7" t="s">
        <v>13</v>
      </c>
      <c r="G3" s="8" t="s">
        <v>11</v>
      </c>
      <c r="H3" s="9" t="s">
        <v>14</v>
      </c>
      <c r="I3" s="8" t="s">
        <v>11</v>
      </c>
      <c r="J3" s="10" t="s">
        <v>15</v>
      </c>
      <c r="K3" s="10" t="s">
        <v>16</v>
      </c>
      <c r="L3" s="11"/>
      <c r="M3" s="12" t="s">
        <v>9</v>
      </c>
      <c r="N3" s="13" t="s">
        <v>17</v>
      </c>
      <c r="O3" s="13" t="s">
        <v>18</v>
      </c>
      <c r="P3" s="13" t="s">
        <v>17</v>
      </c>
      <c r="Q3" s="13" t="s">
        <v>18</v>
      </c>
      <c r="R3" s="13" t="s">
        <v>17</v>
      </c>
      <c r="S3" s="13" t="s">
        <v>18</v>
      </c>
      <c r="T3" s="13" t="s">
        <v>17</v>
      </c>
      <c r="U3" s="13" t="s">
        <v>18</v>
      </c>
      <c r="V3" s="14" t="s">
        <v>19</v>
      </c>
      <c r="W3" s="15" t="s">
        <v>20</v>
      </c>
      <c r="X3" s="16"/>
      <c r="Y3" s="17" t="s">
        <v>9</v>
      </c>
      <c r="Z3" s="18" t="s">
        <v>21</v>
      </c>
      <c r="AA3" s="126"/>
      <c r="AB3" s="150" t="s">
        <v>56</v>
      </c>
      <c r="AC3"/>
      <c r="AD3" s="195"/>
      <c r="AE3" s="195"/>
      <c r="AF3" s="200"/>
      <c r="AG3" s="203"/>
      <c r="AH3" s="167"/>
      <c r="AI3" s="167"/>
    </row>
    <row r="4" spans="1:35" ht="22.5" hidden="1" customHeight="1" thickBot="1">
      <c r="A4" s="19">
        <v>28</v>
      </c>
      <c r="B4" s="20">
        <v>21108932</v>
      </c>
      <c r="C4" s="21" t="e">
        <f t="shared" ref="C4:C35" si="0">IF(ISBLANK(B4),"0",B4-B3)</f>
        <v>#VALUE!</v>
      </c>
      <c r="D4" s="20">
        <v>25368317</v>
      </c>
      <c r="E4" s="22" t="e">
        <f t="shared" ref="E4:E35" si="1">IF(ISBLANK(D4),"0",D4-D3)</f>
        <v>#VALUE!</v>
      </c>
      <c r="F4" s="61">
        <v>17196110</v>
      </c>
      <c r="G4" s="22" t="e">
        <f t="shared" ref="G4:G35" si="2">IF(ISBLANK(F4),"0",F4-F3)</f>
        <v>#VALUE!</v>
      </c>
      <c r="H4" s="62">
        <v>363722</v>
      </c>
      <c r="I4" s="24" t="e">
        <f t="shared" ref="I4:I35" si="3">IF(ISBLANK(H4),"0",H4-H3)</f>
        <v>#VALUE!</v>
      </c>
      <c r="J4" s="25" t="e">
        <f t="shared" ref="J4:J35" si="4">SUM(C4+E4+G4+I4)</f>
        <v>#VALUE!</v>
      </c>
      <c r="K4" s="26" t="e">
        <f t="shared" ref="K4" si="5">J4*0.2</f>
        <v>#VALUE!</v>
      </c>
      <c r="L4" s="27"/>
      <c r="M4" s="28">
        <v>28</v>
      </c>
      <c r="N4" s="29">
        <v>711.21</v>
      </c>
      <c r="O4" s="30" t="e">
        <f t="shared" ref="O4:O35" si="6">IF(ISBLANK(N4),"0",N4-N3)</f>
        <v>#VALUE!</v>
      </c>
      <c r="P4" s="31">
        <v>261550</v>
      </c>
      <c r="Q4" s="30" t="e">
        <f t="shared" ref="Q4:Q35" si="7">IF(ISBLANK(P4),"0",P4-P3)</f>
        <v>#VALUE!</v>
      </c>
      <c r="R4" s="29">
        <v>1458.23</v>
      </c>
      <c r="S4" s="30" t="e">
        <f t="shared" ref="S4:S35" si="8">IF(ISBLANK(R4),"0",R4-R3)</f>
        <v>#VALUE!</v>
      </c>
      <c r="T4" s="29">
        <v>2118.4</v>
      </c>
      <c r="U4" s="30" t="e">
        <f t="shared" ref="U4" si="9">IF(ISBLANK(T4),"0",T4-T3)</f>
        <v>#VALUE!</v>
      </c>
      <c r="V4" s="32" t="e">
        <f t="shared" ref="V4:V35" si="10">O4+Q4+S4+U4</f>
        <v>#VALUE!</v>
      </c>
      <c r="W4" s="26" t="e">
        <f t="shared" ref="W4:W35" si="11">V4*7.84</f>
        <v>#VALUE!</v>
      </c>
      <c r="X4"/>
      <c r="Y4" s="28">
        <v>28</v>
      </c>
      <c r="Z4" s="31">
        <v>78241300</v>
      </c>
      <c r="AA4" s="127"/>
      <c r="AB4" s="33" t="e">
        <f t="shared" ref="AB4" si="12">IF(ISBLANK(Z4),"0",(Z4-Z3)*(0.2843451361)*(0.3449)+(4108.31))</f>
        <v>#VALUE!</v>
      </c>
      <c r="AD4" s="196"/>
      <c r="AE4" s="196"/>
      <c r="AF4" s="201"/>
      <c r="AG4" s="151"/>
      <c r="AH4" s="152"/>
      <c r="AI4" s="153"/>
    </row>
    <row r="5" spans="1:35" ht="22.5" customHeight="1">
      <c r="A5" s="34">
        <v>1</v>
      </c>
      <c r="B5" s="35">
        <v>21113080</v>
      </c>
      <c r="C5" s="36">
        <f t="shared" si="0"/>
        <v>4148</v>
      </c>
      <c r="D5" s="37">
        <v>25372505</v>
      </c>
      <c r="E5" s="38">
        <f t="shared" si="1"/>
        <v>4188</v>
      </c>
      <c r="F5" s="35">
        <v>17198590</v>
      </c>
      <c r="G5" s="38">
        <f t="shared" si="2"/>
        <v>2480</v>
      </c>
      <c r="H5" s="39">
        <v>363771</v>
      </c>
      <c r="I5" s="40">
        <f t="shared" si="3"/>
        <v>49</v>
      </c>
      <c r="J5" s="41">
        <f t="shared" si="4"/>
        <v>10865</v>
      </c>
      <c r="K5" s="33">
        <f>J5*0.2</f>
        <v>2173</v>
      </c>
      <c r="L5" s="27"/>
      <c r="M5" s="42">
        <v>1</v>
      </c>
      <c r="N5" s="43">
        <v>711</v>
      </c>
      <c r="O5" s="44">
        <f t="shared" si="6"/>
        <v>-0.21000000000003638</v>
      </c>
      <c r="P5" s="42">
        <v>261628</v>
      </c>
      <c r="Q5" s="44">
        <f t="shared" si="7"/>
        <v>78</v>
      </c>
      <c r="R5" s="43">
        <v>1458</v>
      </c>
      <c r="S5" s="44">
        <f t="shared" si="8"/>
        <v>-0.23000000000001819</v>
      </c>
      <c r="T5" s="43">
        <v>2118</v>
      </c>
      <c r="U5" s="44">
        <f>IF(ISBLANK(T5),"0",T5-T4)</f>
        <v>-0.40000000000009095</v>
      </c>
      <c r="V5" s="45">
        <f t="shared" si="10"/>
        <v>77.159999999999854</v>
      </c>
      <c r="W5" s="33">
        <f t="shared" si="11"/>
        <v>604.93439999999885</v>
      </c>
      <c r="X5" s="27"/>
      <c r="Y5" s="42">
        <v>1</v>
      </c>
      <c r="Z5" s="46">
        <v>78250500</v>
      </c>
      <c r="AA5" s="214">
        <f>(Z5-Z4)*(0.2843451361)</f>
        <v>2615.9752521200003</v>
      </c>
      <c r="AB5" s="33">
        <f>IF(ISBLANK(Z5),"0",(Z5-Z4)*(0.3449))</f>
        <v>3173.08</v>
      </c>
      <c r="AD5" s="33">
        <v>2483.4</v>
      </c>
      <c r="AE5" s="33">
        <v>972.16</v>
      </c>
      <c r="AF5" s="33">
        <v>4732.9727667649604</v>
      </c>
      <c r="AG5" s="131">
        <v>0.59419999999999995</v>
      </c>
      <c r="AH5" s="132">
        <v>323</v>
      </c>
      <c r="AI5" s="135">
        <f>AG5*414</f>
        <v>245.99879999999999</v>
      </c>
    </row>
    <row r="6" spans="1:35" ht="22.5" customHeight="1">
      <c r="A6" s="47">
        <v>2</v>
      </c>
      <c r="B6" s="48">
        <v>21117352</v>
      </c>
      <c r="C6" s="36">
        <f t="shared" si="0"/>
        <v>4272</v>
      </c>
      <c r="D6" s="48">
        <v>25376597</v>
      </c>
      <c r="E6" s="38">
        <f t="shared" si="1"/>
        <v>4092</v>
      </c>
      <c r="F6" s="48">
        <v>17200988</v>
      </c>
      <c r="G6" s="49">
        <f t="shared" si="2"/>
        <v>2398</v>
      </c>
      <c r="H6" s="50">
        <v>363814</v>
      </c>
      <c r="I6" s="51">
        <f t="shared" si="3"/>
        <v>43</v>
      </c>
      <c r="J6" s="52">
        <f t="shared" si="4"/>
        <v>10805</v>
      </c>
      <c r="K6" s="53">
        <f t="shared" ref="K6:K35" si="13">J6*0.2</f>
        <v>2161</v>
      </c>
      <c r="L6" s="27"/>
      <c r="M6" s="54">
        <v>2</v>
      </c>
      <c r="N6" s="55">
        <v>714</v>
      </c>
      <c r="O6" s="56">
        <f t="shared" si="6"/>
        <v>3</v>
      </c>
      <c r="P6" s="54">
        <v>261693</v>
      </c>
      <c r="Q6" s="56">
        <f t="shared" si="7"/>
        <v>65</v>
      </c>
      <c r="R6" s="55">
        <v>1458</v>
      </c>
      <c r="S6" s="56">
        <f t="shared" si="8"/>
        <v>0</v>
      </c>
      <c r="T6" s="55">
        <v>2118</v>
      </c>
      <c r="U6" s="56">
        <f t="shared" ref="U6:U35" si="14">IF(ISBLANK(T6),"0",T6-T5)</f>
        <v>0</v>
      </c>
      <c r="V6" s="57">
        <f t="shared" si="10"/>
        <v>68</v>
      </c>
      <c r="W6" s="53">
        <f t="shared" si="11"/>
        <v>533.12</v>
      </c>
      <c r="X6" s="27"/>
      <c r="Y6" s="54">
        <v>2</v>
      </c>
      <c r="Z6" s="58">
        <v>78259900</v>
      </c>
      <c r="AA6" s="214">
        <f t="shared" ref="AA6:AA35" si="15">(Z6-Z5)*(0.2843451361)</f>
        <v>2672.84427934</v>
      </c>
      <c r="AB6" s="33">
        <f t="shared" ref="AB6:AB35" si="16">IF(ISBLANK(Z6),"0",(Z6-Z5)*(0.3449))</f>
        <v>3242.06</v>
      </c>
      <c r="AD6" s="53">
        <v>2225.8000000000002</v>
      </c>
      <c r="AE6" s="53">
        <v>885.92</v>
      </c>
      <c r="AF6" s="33">
        <v>4742.7599263495222</v>
      </c>
      <c r="AG6" s="133">
        <v>0.56999999999999995</v>
      </c>
      <c r="AH6" s="134">
        <v>286</v>
      </c>
      <c r="AI6" s="136">
        <f t="shared" ref="AI6:AI35" si="17">AG6*414</f>
        <v>235.98</v>
      </c>
    </row>
    <row r="7" spans="1:35" ht="22.5" customHeight="1">
      <c r="A7" s="47">
        <v>3</v>
      </c>
      <c r="B7" s="48">
        <v>21121964</v>
      </c>
      <c r="C7" s="36">
        <f t="shared" si="0"/>
        <v>4612</v>
      </c>
      <c r="D7" s="48">
        <v>25380784</v>
      </c>
      <c r="E7" s="38">
        <f t="shared" si="1"/>
        <v>4187</v>
      </c>
      <c r="F7" s="48">
        <v>17203460</v>
      </c>
      <c r="G7" s="49">
        <f t="shared" si="2"/>
        <v>2472</v>
      </c>
      <c r="H7" s="50">
        <v>363867</v>
      </c>
      <c r="I7" s="51">
        <f t="shared" si="3"/>
        <v>53</v>
      </c>
      <c r="J7" s="52">
        <f t="shared" si="4"/>
        <v>11324</v>
      </c>
      <c r="K7" s="53">
        <f t="shared" si="13"/>
        <v>2264.8000000000002</v>
      </c>
      <c r="L7" s="27"/>
      <c r="M7" s="54">
        <v>3</v>
      </c>
      <c r="N7" s="55">
        <v>714</v>
      </c>
      <c r="O7" s="56">
        <f t="shared" si="6"/>
        <v>0</v>
      </c>
      <c r="P7" s="54">
        <v>261771</v>
      </c>
      <c r="Q7" s="56">
        <f t="shared" si="7"/>
        <v>78</v>
      </c>
      <c r="R7" s="55">
        <v>1458</v>
      </c>
      <c r="S7" s="56">
        <f t="shared" si="8"/>
        <v>0</v>
      </c>
      <c r="T7" s="55">
        <v>2118</v>
      </c>
      <c r="U7" s="56">
        <f t="shared" si="14"/>
        <v>0</v>
      </c>
      <c r="V7" s="57">
        <f t="shared" si="10"/>
        <v>78</v>
      </c>
      <c r="W7" s="53">
        <f t="shared" si="11"/>
        <v>611.52</v>
      </c>
      <c r="X7" s="27"/>
      <c r="Y7" s="54">
        <v>3</v>
      </c>
      <c r="Z7" s="58">
        <v>78268100</v>
      </c>
      <c r="AA7" s="214">
        <f t="shared" si="15"/>
        <v>2331.6301160200001</v>
      </c>
      <c r="AB7" s="33">
        <f t="shared" si="16"/>
        <v>2828.18</v>
      </c>
      <c r="AD7" s="53">
        <v>2306.8000000000002</v>
      </c>
      <c r="AE7" s="53">
        <v>972.16</v>
      </c>
      <c r="AF7" s="33">
        <v>4781.9085646877702</v>
      </c>
      <c r="AG7" s="133">
        <v>0.60870000000000002</v>
      </c>
      <c r="AH7" s="134">
        <v>317</v>
      </c>
      <c r="AI7" s="136">
        <f t="shared" si="17"/>
        <v>252.0018</v>
      </c>
    </row>
    <row r="8" spans="1:35" ht="22.5" customHeight="1">
      <c r="A8" s="47">
        <v>4</v>
      </c>
      <c r="B8" s="48">
        <v>21126123</v>
      </c>
      <c r="C8" s="36">
        <f t="shared" si="0"/>
        <v>4159</v>
      </c>
      <c r="D8" s="48">
        <v>25385009</v>
      </c>
      <c r="E8" s="38">
        <f t="shared" si="1"/>
        <v>4225</v>
      </c>
      <c r="F8" s="48">
        <v>17205930</v>
      </c>
      <c r="G8" s="49">
        <f t="shared" si="2"/>
        <v>2470</v>
      </c>
      <c r="H8" s="50">
        <v>363922</v>
      </c>
      <c r="I8" s="51">
        <f t="shared" si="3"/>
        <v>55</v>
      </c>
      <c r="J8" s="52">
        <f t="shared" si="4"/>
        <v>10909</v>
      </c>
      <c r="K8" s="53">
        <f t="shared" si="13"/>
        <v>2181.8000000000002</v>
      </c>
      <c r="L8" s="27"/>
      <c r="M8" s="54">
        <v>4</v>
      </c>
      <c r="N8" s="55">
        <v>714</v>
      </c>
      <c r="O8" s="56">
        <f t="shared" si="6"/>
        <v>0</v>
      </c>
      <c r="P8" s="59">
        <v>261848</v>
      </c>
      <c r="Q8" s="56">
        <f t="shared" si="7"/>
        <v>77</v>
      </c>
      <c r="R8" s="55">
        <v>1458</v>
      </c>
      <c r="S8" s="56">
        <f t="shared" si="8"/>
        <v>0</v>
      </c>
      <c r="T8" s="55">
        <v>2118</v>
      </c>
      <c r="U8" s="56">
        <f t="shared" si="14"/>
        <v>0</v>
      </c>
      <c r="V8" s="57">
        <f t="shared" si="10"/>
        <v>77</v>
      </c>
      <c r="W8" s="53">
        <f t="shared" si="11"/>
        <v>603.67999999999995</v>
      </c>
      <c r="X8" s="27"/>
      <c r="Y8" s="54">
        <v>4</v>
      </c>
      <c r="Z8" s="58">
        <v>78277500</v>
      </c>
      <c r="AA8" s="214">
        <f t="shared" si="15"/>
        <v>2672.84427934</v>
      </c>
      <c r="AB8" s="33">
        <f t="shared" si="16"/>
        <v>3242.06</v>
      </c>
      <c r="AD8" s="53">
        <v>2310</v>
      </c>
      <c r="AE8" s="53">
        <v>932.96</v>
      </c>
      <c r="AF8" s="33">
        <v>4889.5673201179525</v>
      </c>
      <c r="AG8" s="133">
        <v>0.60629999999999995</v>
      </c>
      <c r="AH8" s="134">
        <v>310</v>
      </c>
      <c r="AI8" s="136">
        <f t="shared" si="17"/>
        <v>251.00819999999999</v>
      </c>
    </row>
    <row r="9" spans="1:35" ht="22.5" customHeight="1">
      <c r="A9" s="47">
        <v>5</v>
      </c>
      <c r="B9" s="48">
        <v>21130431</v>
      </c>
      <c r="C9" s="36">
        <f t="shared" si="0"/>
        <v>4308</v>
      </c>
      <c r="D9" s="48">
        <v>25389370</v>
      </c>
      <c r="E9" s="38">
        <f t="shared" si="1"/>
        <v>4361</v>
      </c>
      <c r="F9" s="48">
        <v>17208433</v>
      </c>
      <c r="G9" s="49">
        <f t="shared" si="2"/>
        <v>2503</v>
      </c>
      <c r="H9" s="50">
        <v>363982</v>
      </c>
      <c r="I9" s="51">
        <f t="shared" si="3"/>
        <v>60</v>
      </c>
      <c r="J9" s="52">
        <f t="shared" si="4"/>
        <v>11232</v>
      </c>
      <c r="K9" s="53">
        <f t="shared" si="13"/>
        <v>2246.4</v>
      </c>
      <c r="L9" s="27"/>
      <c r="M9" s="54">
        <v>5</v>
      </c>
      <c r="N9" s="55">
        <v>714</v>
      </c>
      <c r="O9" s="56">
        <f t="shared" si="6"/>
        <v>0</v>
      </c>
      <c r="P9" s="42">
        <v>261937</v>
      </c>
      <c r="Q9" s="56">
        <f t="shared" si="7"/>
        <v>89</v>
      </c>
      <c r="R9" s="55">
        <v>1458</v>
      </c>
      <c r="S9" s="56">
        <f t="shared" si="8"/>
        <v>0</v>
      </c>
      <c r="T9" s="55">
        <v>2118</v>
      </c>
      <c r="U9" s="56">
        <f t="shared" si="14"/>
        <v>0</v>
      </c>
      <c r="V9" s="57">
        <f t="shared" si="10"/>
        <v>89</v>
      </c>
      <c r="W9" s="53">
        <f t="shared" si="11"/>
        <v>697.76</v>
      </c>
      <c r="X9" s="27"/>
      <c r="Y9" s="54">
        <v>5</v>
      </c>
      <c r="Z9" s="58">
        <v>78287900</v>
      </c>
      <c r="AA9" s="214">
        <f t="shared" si="15"/>
        <v>2957.1894154400002</v>
      </c>
      <c r="AB9" s="33">
        <f t="shared" si="16"/>
        <v>3586.96</v>
      </c>
      <c r="AD9" s="53">
        <v>2298.8000000000002</v>
      </c>
      <c r="AE9" s="53">
        <v>885.92</v>
      </c>
      <c r="AF9" s="33">
        <v>5144.0334693165642</v>
      </c>
      <c r="AG9" s="133">
        <v>0.59179999999999999</v>
      </c>
      <c r="AH9" s="134">
        <v>286</v>
      </c>
      <c r="AI9" s="136">
        <f t="shared" si="17"/>
        <v>245.0052</v>
      </c>
    </row>
    <row r="10" spans="1:35" ht="22.5" customHeight="1">
      <c r="A10" s="47">
        <v>6</v>
      </c>
      <c r="B10" s="48">
        <v>21134647</v>
      </c>
      <c r="C10" s="36">
        <f t="shared" si="0"/>
        <v>4216</v>
      </c>
      <c r="D10" s="48">
        <v>25393758</v>
      </c>
      <c r="E10" s="38">
        <f t="shared" si="1"/>
        <v>4388</v>
      </c>
      <c r="F10" s="48">
        <v>17210929</v>
      </c>
      <c r="G10" s="49">
        <f t="shared" si="2"/>
        <v>2496</v>
      </c>
      <c r="H10" s="50">
        <v>364041</v>
      </c>
      <c r="I10" s="51">
        <f t="shared" si="3"/>
        <v>59</v>
      </c>
      <c r="J10" s="52">
        <f t="shared" si="4"/>
        <v>11159</v>
      </c>
      <c r="K10" s="53">
        <f t="shared" si="13"/>
        <v>2231.8000000000002</v>
      </c>
      <c r="L10" s="27"/>
      <c r="M10" s="54">
        <v>6</v>
      </c>
      <c r="N10" s="55">
        <v>715</v>
      </c>
      <c r="O10" s="56">
        <f t="shared" si="6"/>
        <v>1</v>
      </c>
      <c r="P10" s="46">
        <v>262014</v>
      </c>
      <c r="Q10" s="56">
        <f t="shared" si="7"/>
        <v>77</v>
      </c>
      <c r="R10" s="55">
        <v>1458</v>
      </c>
      <c r="S10" s="56">
        <f t="shared" si="8"/>
        <v>0</v>
      </c>
      <c r="T10" s="55">
        <v>2121</v>
      </c>
      <c r="U10" s="56">
        <f t="shared" si="14"/>
        <v>3</v>
      </c>
      <c r="V10" s="57">
        <f t="shared" si="10"/>
        <v>81</v>
      </c>
      <c r="W10" s="53">
        <f t="shared" si="11"/>
        <v>635.04</v>
      </c>
      <c r="X10" s="27"/>
      <c r="Y10" s="54">
        <v>6</v>
      </c>
      <c r="Z10" s="60">
        <v>78299400</v>
      </c>
      <c r="AA10" s="214">
        <f t="shared" si="15"/>
        <v>3269.96906515</v>
      </c>
      <c r="AB10" s="33">
        <f t="shared" si="16"/>
        <v>3966.35</v>
      </c>
      <c r="AD10" s="53">
        <v>2360.4</v>
      </c>
      <c r="AE10" s="53">
        <v>870.24</v>
      </c>
      <c r="AF10" s="33">
        <v>5036.3747138863819</v>
      </c>
      <c r="AG10" s="133">
        <v>0.59179999999999999</v>
      </c>
      <c r="AH10" s="134">
        <v>300</v>
      </c>
      <c r="AI10" s="136">
        <f t="shared" si="17"/>
        <v>245.0052</v>
      </c>
    </row>
    <row r="11" spans="1:35" ht="22.5" customHeight="1">
      <c r="A11" s="47">
        <v>7</v>
      </c>
      <c r="B11" s="48">
        <v>21138704</v>
      </c>
      <c r="C11" s="36">
        <f t="shared" si="0"/>
        <v>4057</v>
      </c>
      <c r="D11" s="48">
        <v>25398130</v>
      </c>
      <c r="E11" s="38">
        <f t="shared" si="1"/>
        <v>4372</v>
      </c>
      <c r="F11" s="48">
        <v>17213374</v>
      </c>
      <c r="G11" s="49">
        <f t="shared" si="2"/>
        <v>2445</v>
      </c>
      <c r="H11" s="50">
        <v>364097</v>
      </c>
      <c r="I11" s="51">
        <f t="shared" si="3"/>
        <v>56</v>
      </c>
      <c r="J11" s="52">
        <f t="shared" si="4"/>
        <v>10930</v>
      </c>
      <c r="K11" s="53">
        <f t="shared" si="13"/>
        <v>2186</v>
      </c>
      <c r="L11" s="27"/>
      <c r="M11" s="54">
        <v>7</v>
      </c>
      <c r="N11" s="55">
        <v>715</v>
      </c>
      <c r="O11" s="56">
        <f t="shared" si="6"/>
        <v>0</v>
      </c>
      <c r="P11" s="58">
        <v>262101</v>
      </c>
      <c r="Q11" s="56">
        <f t="shared" si="7"/>
        <v>87</v>
      </c>
      <c r="R11" s="55">
        <v>1458</v>
      </c>
      <c r="S11" s="56">
        <f t="shared" si="8"/>
        <v>0</v>
      </c>
      <c r="T11" s="55">
        <v>2121</v>
      </c>
      <c r="U11" s="56">
        <f t="shared" si="14"/>
        <v>0</v>
      </c>
      <c r="V11" s="57">
        <f t="shared" si="10"/>
        <v>87</v>
      </c>
      <c r="W11" s="53">
        <f t="shared" si="11"/>
        <v>682.08</v>
      </c>
      <c r="X11" s="27"/>
      <c r="Y11" s="54">
        <v>7</v>
      </c>
      <c r="Z11" s="60">
        <v>78312200</v>
      </c>
      <c r="AA11" s="214">
        <f t="shared" si="15"/>
        <v>3639.61774208</v>
      </c>
      <c r="AB11" s="33">
        <f t="shared" si="16"/>
        <v>4414.7199999999993</v>
      </c>
      <c r="AD11" s="53">
        <v>2315.8000000000002</v>
      </c>
      <c r="AE11" s="53">
        <v>956.48</v>
      </c>
      <c r="AF11" s="33">
        <v>5065.7361926400681</v>
      </c>
      <c r="AG11" s="133">
        <v>0.58209999999999995</v>
      </c>
      <c r="AH11" s="134">
        <v>298</v>
      </c>
      <c r="AI11" s="136">
        <f t="shared" si="17"/>
        <v>240.98939999999999</v>
      </c>
    </row>
    <row r="12" spans="1:35" ht="22.5" customHeight="1">
      <c r="A12" s="47">
        <v>8</v>
      </c>
      <c r="B12" s="48">
        <v>21143030</v>
      </c>
      <c r="C12" s="36">
        <f t="shared" si="0"/>
        <v>4326</v>
      </c>
      <c r="D12" s="48">
        <v>25402401</v>
      </c>
      <c r="E12" s="38">
        <f t="shared" si="1"/>
        <v>4271</v>
      </c>
      <c r="F12" s="48">
        <v>17215782</v>
      </c>
      <c r="G12" s="49">
        <f t="shared" si="2"/>
        <v>2408</v>
      </c>
      <c r="H12" s="50">
        <v>364151</v>
      </c>
      <c r="I12" s="51">
        <f t="shared" si="3"/>
        <v>54</v>
      </c>
      <c r="J12" s="52">
        <f t="shared" si="4"/>
        <v>11059</v>
      </c>
      <c r="K12" s="53">
        <f t="shared" si="13"/>
        <v>2211.8000000000002</v>
      </c>
      <c r="L12" s="27"/>
      <c r="M12" s="54">
        <v>8</v>
      </c>
      <c r="N12" s="55">
        <v>715</v>
      </c>
      <c r="O12" s="56">
        <f t="shared" si="6"/>
        <v>0</v>
      </c>
      <c r="P12" s="58">
        <v>262178</v>
      </c>
      <c r="Q12" s="56">
        <f t="shared" si="7"/>
        <v>77</v>
      </c>
      <c r="R12" s="55">
        <v>1458</v>
      </c>
      <c r="S12" s="56">
        <f t="shared" si="8"/>
        <v>0</v>
      </c>
      <c r="T12" s="55">
        <v>2121</v>
      </c>
      <c r="U12" s="56">
        <f t="shared" si="14"/>
        <v>0</v>
      </c>
      <c r="V12" s="57">
        <f t="shared" si="10"/>
        <v>77</v>
      </c>
      <c r="W12" s="53">
        <f t="shared" si="11"/>
        <v>603.67999999999995</v>
      </c>
      <c r="X12" s="27"/>
      <c r="Y12" s="54">
        <v>8</v>
      </c>
      <c r="Z12" s="60">
        <v>78324900</v>
      </c>
      <c r="AA12" s="214">
        <f t="shared" si="15"/>
        <v>3611.1832284699999</v>
      </c>
      <c r="AB12" s="33">
        <f t="shared" si="16"/>
        <v>4380.2299999999996</v>
      </c>
      <c r="AD12" s="53">
        <v>2268.6</v>
      </c>
      <c r="AE12" s="53">
        <v>721.28</v>
      </c>
      <c r="AF12" s="33">
        <v>5320.2023418386798</v>
      </c>
      <c r="AG12" s="133">
        <v>0.60870000000000002</v>
      </c>
      <c r="AH12" s="134">
        <v>308</v>
      </c>
      <c r="AI12" s="136">
        <f t="shared" si="17"/>
        <v>252.0018</v>
      </c>
    </row>
    <row r="13" spans="1:35" ht="22.5" customHeight="1">
      <c r="A13" s="47">
        <v>9</v>
      </c>
      <c r="B13" s="48">
        <v>21147292</v>
      </c>
      <c r="C13" s="36">
        <f t="shared" si="0"/>
        <v>4262</v>
      </c>
      <c r="D13" s="48">
        <v>25406683</v>
      </c>
      <c r="E13" s="38">
        <f t="shared" si="1"/>
        <v>4282</v>
      </c>
      <c r="F13" s="48">
        <v>17218155</v>
      </c>
      <c r="G13" s="49">
        <f t="shared" si="2"/>
        <v>2373</v>
      </c>
      <c r="H13" s="50">
        <v>364210</v>
      </c>
      <c r="I13" s="51">
        <f t="shared" si="3"/>
        <v>59</v>
      </c>
      <c r="J13" s="52">
        <f t="shared" si="4"/>
        <v>10976</v>
      </c>
      <c r="K13" s="53">
        <f t="shared" si="13"/>
        <v>2195.2000000000003</v>
      </c>
      <c r="L13" s="27"/>
      <c r="M13" s="54">
        <v>9</v>
      </c>
      <c r="N13" s="55">
        <v>720</v>
      </c>
      <c r="O13" s="56">
        <f t="shared" si="6"/>
        <v>5</v>
      </c>
      <c r="P13" s="58">
        <v>262263</v>
      </c>
      <c r="Q13" s="56">
        <f t="shared" si="7"/>
        <v>85</v>
      </c>
      <c r="R13" s="55">
        <v>1459</v>
      </c>
      <c r="S13" s="56">
        <f t="shared" si="8"/>
        <v>1</v>
      </c>
      <c r="T13" s="55">
        <v>2124</v>
      </c>
      <c r="U13" s="56">
        <f t="shared" si="14"/>
        <v>3</v>
      </c>
      <c r="V13" s="57">
        <f t="shared" si="10"/>
        <v>94</v>
      </c>
      <c r="W13" s="53">
        <f t="shared" si="11"/>
        <v>736.96</v>
      </c>
      <c r="X13" s="27"/>
      <c r="Y13" s="54">
        <v>9</v>
      </c>
      <c r="Z13" s="60">
        <v>78338300</v>
      </c>
      <c r="AA13" s="214">
        <f t="shared" si="15"/>
        <v>3810.2248237399999</v>
      </c>
      <c r="AB13" s="33">
        <f t="shared" si="16"/>
        <v>4621.66</v>
      </c>
      <c r="AD13" s="53">
        <v>2254.2000000000003</v>
      </c>
      <c r="AE13" s="53">
        <v>1121.1199999999999</v>
      </c>
      <c r="AF13" s="33">
        <v>5075.5233522246299</v>
      </c>
      <c r="AG13" s="133">
        <v>0.60140000000000005</v>
      </c>
      <c r="AH13" s="134">
        <v>301</v>
      </c>
      <c r="AI13" s="136">
        <f t="shared" si="17"/>
        <v>248.9796</v>
      </c>
    </row>
    <row r="14" spans="1:35" ht="22.5" customHeight="1">
      <c r="A14" s="47">
        <v>10</v>
      </c>
      <c r="B14" s="48">
        <v>21151516</v>
      </c>
      <c r="C14" s="36">
        <f t="shared" si="0"/>
        <v>4224</v>
      </c>
      <c r="D14" s="48">
        <v>25411166</v>
      </c>
      <c r="E14" s="38">
        <f t="shared" si="1"/>
        <v>4483</v>
      </c>
      <c r="F14" s="48">
        <v>17220659</v>
      </c>
      <c r="G14" s="49">
        <f t="shared" si="2"/>
        <v>2504</v>
      </c>
      <c r="H14" s="50">
        <v>364272</v>
      </c>
      <c r="I14" s="51">
        <f t="shared" si="3"/>
        <v>62</v>
      </c>
      <c r="J14" s="52">
        <f t="shared" si="4"/>
        <v>11273</v>
      </c>
      <c r="K14" s="53">
        <f t="shared" si="13"/>
        <v>2254.6</v>
      </c>
      <c r="L14" s="27"/>
      <c r="M14" s="54">
        <v>10</v>
      </c>
      <c r="N14" s="55">
        <v>720</v>
      </c>
      <c r="O14" s="56">
        <f t="shared" si="6"/>
        <v>0</v>
      </c>
      <c r="P14" s="58">
        <v>262336</v>
      </c>
      <c r="Q14" s="56">
        <f t="shared" si="7"/>
        <v>73</v>
      </c>
      <c r="R14" s="55">
        <v>1459</v>
      </c>
      <c r="S14" s="56">
        <f t="shared" si="8"/>
        <v>0</v>
      </c>
      <c r="T14" s="55">
        <v>2124</v>
      </c>
      <c r="U14" s="56">
        <f t="shared" si="14"/>
        <v>0</v>
      </c>
      <c r="V14" s="57">
        <f t="shared" si="10"/>
        <v>73</v>
      </c>
      <c r="W14" s="53">
        <f t="shared" si="11"/>
        <v>572.31999999999994</v>
      </c>
      <c r="X14" s="27"/>
      <c r="Y14" s="54">
        <v>10</v>
      </c>
      <c r="Z14" s="58">
        <v>78351700</v>
      </c>
      <c r="AA14" s="214">
        <f t="shared" si="15"/>
        <v>3810.2248237399999</v>
      </c>
      <c r="AB14" s="33">
        <f t="shared" si="16"/>
        <v>4621.66</v>
      </c>
      <c r="AD14" s="53">
        <v>2166.2000000000003</v>
      </c>
      <c r="AE14" s="53">
        <v>870.24</v>
      </c>
      <c r="AF14" s="33">
        <v>5134.2463097320015</v>
      </c>
      <c r="AG14" s="133">
        <v>0.7319</v>
      </c>
      <c r="AH14" s="134">
        <v>380</v>
      </c>
      <c r="AI14" s="136">
        <f t="shared" si="17"/>
        <v>303.00659999999999</v>
      </c>
    </row>
    <row r="15" spans="1:35" ht="22.5" customHeight="1">
      <c r="A15" s="47">
        <v>11</v>
      </c>
      <c r="B15" s="48">
        <v>21155539</v>
      </c>
      <c r="C15" s="36">
        <f t="shared" si="0"/>
        <v>4023</v>
      </c>
      <c r="D15" s="48">
        <v>25415567</v>
      </c>
      <c r="E15" s="38">
        <f t="shared" si="1"/>
        <v>4401</v>
      </c>
      <c r="F15" s="48">
        <v>17223144</v>
      </c>
      <c r="G15" s="49">
        <f t="shared" si="2"/>
        <v>2485</v>
      </c>
      <c r="H15" s="50">
        <v>364336</v>
      </c>
      <c r="I15" s="51">
        <f t="shared" si="3"/>
        <v>64</v>
      </c>
      <c r="J15" s="52">
        <f t="shared" si="4"/>
        <v>10973</v>
      </c>
      <c r="K15" s="53">
        <f t="shared" si="13"/>
        <v>2194.6</v>
      </c>
      <c r="L15" s="27"/>
      <c r="M15" s="54">
        <v>11</v>
      </c>
      <c r="N15" s="55">
        <v>721.47</v>
      </c>
      <c r="O15" s="56">
        <f t="shared" si="6"/>
        <v>1.4700000000000273</v>
      </c>
      <c r="P15" s="58">
        <v>262427</v>
      </c>
      <c r="Q15" s="56">
        <f t="shared" si="7"/>
        <v>91</v>
      </c>
      <c r="R15" s="55">
        <v>1459.01</v>
      </c>
      <c r="S15" s="56">
        <f t="shared" si="8"/>
        <v>9.9999999999909051E-3</v>
      </c>
      <c r="T15" s="55">
        <v>2124.59</v>
      </c>
      <c r="U15" s="56">
        <f t="shared" si="14"/>
        <v>0.59000000000014552</v>
      </c>
      <c r="V15" s="57">
        <f t="shared" si="10"/>
        <v>93.070000000000164</v>
      </c>
      <c r="W15" s="53">
        <f t="shared" si="11"/>
        <v>729.66880000000128</v>
      </c>
      <c r="X15" s="27"/>
      <c r="Y15" s="54">
        <v>11</v>
      </c>
      <c r="Z15" s="58">
        <v>78364900</v>
      </c>
      <c r="AA15" s="214">
        <f t="shared" si="15"/>
        <v>3753.3557965200002</v>
      </c>
      <c r="AB15" s="33">
        <f t="shared" si="16"/>
        <v>4552.6799999999994</v>
      </c>
      <c r="AD15" s="53">
        <v>2225.6</v>
      </c>
      <c r="AE15" s="53">
        <v>823.19999999999993</v>
      </c>
      <c r="AF15" s="33">
        <v>5134.2463097320015</v>
      </c>
      <c r="AG15" s="133">
        <v>0.7923</v>
      </c>
      <c r="AH15" s="134">
        <v>416</v>
      </c>
      <c r="AI15" s="136">
        <f t="shared" si="17"/>
        <v>328.01220000000001</v>
      </c>
    </row>
    <row r="16" spans="1:35" ht="22.5" customHeight="1">
      <c r="A16" s="47">
        <v>12</v>
      </c>
      <c r="B16" s="48">
        <v>21159805</v>
      </c>
      <c r="C16" s="36">
        <f t="shared" si="0"/>
        <v>4266</v>
      </c>
      <c r="D16" s="48">
        <v>25420215</v>
      </c>
      <c r="E16" s="38">
        <f t="shared" si="1"/>
        <v>4648</v>
      </c>
      <c r="F16" s="48">
        <v>17225733</v>
      </c>
      <c r="G16" s="49">
        <f t="shared" si="2"/>
        <v>2589</v>
      </c>
      <c r="H16" s="50">
        <v>364405</v>
      </c>
      <c r="I16" s="51">
        <f t="shared" si="3"/>
        <v>69</v>
      </c>
      <c r="J16" s="52">
        <f t="shared" si="4"/>
        <v>11572</v>
      </c>
      <c r="K16" s="53">
        <f t="shared" si="13"/>
        <v>2314.4</v>
      </c>
      <c r="L16" s="27"/>
      <c r="M16" s="54">
        <v>12</v>
      </c>
      <c r="N16" s="55">
        <v>722.07</v>
      </c>
      <c r="O16" s="56">
        <f t="shared" si="6"/>
        <v>0.60000000000002274</v>
      </c>
      <c r="P16" s="58">
        <v>262537</v>
      </c>
      <c r="Q16" s="56">
        <f t="shared" si="7"/>
        <v>110</v>
      </c>
      <c r="R16" s="55">
        <v>1459.31</v>
      </c>
      <c r="S16" s="56">
        <f t="shared" si="8"/>
        <v>0.29999999999995453</v>
      </c>
      <c r="T16" s="55">
        <v>2124.61</v>
      </c>
      <c r="U16" s="56">
        <f t="shared" si="14"/>
        <v>1.999999999998181E-2</v>
      </c>
      <c r="V16" s="57">
        <f t="shared" si="10"/>
        <v>110.91999999999996</v>
      </c>
      <c r="W16" s="53">
        <f t="shared" si="11"/>
        <v>869.61279999999965</v>
      </c>
      <c r="X16" s="27"/>
      <c r="Y16" s="54">
        <v>12</v>
      </c>
      <c r="Z16" s="58">
        <v>78380000</v>
      </c>
      <c r="AA16" s="214">
        <f t="shared" si="15"/>
        <v>4293.6115551100002</v>
      </c>
      <c r="AB16" s="33">
        <f t="shared" si="16"/>
        <v>5207.99</v>
      </c>
      <c r="AD16" s="53">
        <v>2296.4</v>
      </c>
      <c r="AE16" s="53">
        <v>721.28</v>
      </c>
      <c r="AF16" s="33">
        <v>5075.5233522246299</v>
      </c>
      <c r="AG16" s="133">
        <v>0.7923</v>
      </c>
      <c r="AH16" s="134">
        <v>423</v>
      </c>
      <c r="AI16" s="136">
        <f t="shared" si="17"/>
        <v>328.01220000000001</v>
      </c>
    </row>
    <row r="17" spans="1:35" ht="22.5" customHeight="1">
      <c r="A17" s="47">
        <v>13</v>
      </c>
      <c r="B17" s="48">
        <v>21164113</v>
      </c>
      <c r="C17" s="36">
        <f t="shared" si="0"/>
        <v>4308</v>
      </c>
      <c r="D17" s="48">
        <v>25424629</v>
      </c>
      <c r="E17" s="38">
        <f t="shared" si="1"/>
        <v>4414</v>
      </c>
      <c r="F17" s="48">
        <v>17228261</v>
      </c>
      <c r="G17" s="49">
        <f t="shared" si="2"/>
        <v>2528</v>
      </c>
      <c r="H17" s="50">
        <v>364470</v>
      </c>
      <c r="I17" s="51">
        <f t="shared" si="3"/>
        <v>65</v>
      </c>
      <c r="J17" s="52">
        <f t="shared" si="4"/>
        <v>11315</v>
      </c>
      <c r="K17" s="53">
        <f t="shared" si="13"/>
        <v>2263</v>
      </c>
      <c r="L17" s="27"/>
      <c r="M17" s="54">
        <v>13</v>
      </c>
      <c r="N17" s="55">
        <v>722</v>
      </c>
      <c r="O17" s="56">
        <f t="shared" si="6"/>
        <v>-7.0000000000050022E-2</v>
      </c>
      <c r="P17" s="58">
        <v>262640</v>
      </c>
      <c r="Q17" s="56">
        <f t="shared" si="7"/>
        <v>103</v>
      </c>
      <c r="R17" s="55">
        <v>1459</v>
      </c>
      <c r="S17" s="56">
        <f>IF(ISBLANK(R17),"0",R17-R16)</f>
        <v>-0.30999999999994543</v>
      </c>
      <c r="T17" s="55">
        <v>2125</v>
      </c>
      <c r="U17" s="56">
        <f t="shared" si="14"/>
        <v>0.38999999999987267</v>
      </c>
      <c r="V17" s="57">
        <f t="shared" si="10"/>
        <v>103.00999999999988</v>
      </c>
      <c r="W17" s="53">
        <f t="shared" si="11"/>
        <v>807.59839999999906</v>
      </c>
      <c r="X17" s="27"/>
      <c r="Y17" s="54">
        <v>13</v>
      </c>
      <c r="Z17" s="58">
        <v>78391200</v>
      </c>
      <c r="AA17" s="214">
        <f t="shared" si="15"/>
        <v>3184.6655243200003</v>
      </c>
      <c r="AB17" s="33">
        <f t="shared" si="16"/>
        <v>3862.8799999999997</v>
      </c>
      <c r="AD17" s="53">
        <v>2238.2000000000003</v>
      </c>
      <c r="AE17" s="53">
        <v>815.36</v>
      </c>
      <c r="AF17" s="33">
        <v>5075.5233522246299</v>
      </c>
      <c r="AG17" s="133">
        <v>0.76090000000000002</v>
      </c>
      <c r="AH17" s="134">
        <v>401</v>
      </c>
      <c r="AI17" s="136">
        <f t="shared" si="17"/>
        <v>315.01260000000002</v>
      </c>
    </row>
    <row r="18" spans="1:35" ht="22.5" customHeight="1">
      <c r="A18" s="47">
        <v>14</v>
      </c>
      <c r="B18" s="61">
        <v>21168259</v>
      </c>
      <c r="C18" s="36">
        <f t="shared" si="0"/>
        <v>4146</v>
      </c>
      <c r="D18" s="61">
        <v>25429083</v>
      </c>
      <c r="E18" s="38">
        <f t="shared" si="1"/>
        <v>4454</v>
      </c>
      <c r="F18" s="61">
        <v>17230780</v>
      </c>
      <c r="G18" s="49">
        <f t="shared" si="2"/>
        <v>2519</v>
      </c>
      <c r="H18" s="62">
        <v>364537</v>
      </c>
      <c r="I18" s="51">
        <f t="shared" si="3"/>
        <v>67</v>
      </c>
      <c r="J18" s="52">
        <f t="shared" si="4"/>
        <v>11186</v>
      </c>
      <c r="K18" s="53">
        <f t="shared" si="13"/>
        <v>2237.2000000000003</v>
      </c>
      <c r="L18" s="27"/>
      <c r="M18" s="54">
        <v>14</v>
      </c>
      <c r="N18" s="55">
        <v>722</v>
      </c>
      <c r="O18" s="56">
        <f t="shared" si="6"/>
        <v>0</v>
      </c>
      <c r="P18" s="58">
        <v>262736</v>
      </c>
      <c r="Q18" s="56">
        <f t="shared" si="7"/>
        <v>96</v>
      </c>
      <c r="R18" s="55">
        <v>1459</v>
      </c>
      <c r="S18" s="56">
        <f t="shared" si="8"/>
        <v>0</v>
      </c>
      <c r="T18" s="55">
        <v>2125</v>
      </c>
      <c r="U18" s="56">
        <f t="shared" si="14"/>
        <v>0</v>
      </c>
      <c r="V18" s="57">
        <f t="shared" si="10"/>
        <v>96</v>
      </c>
      <c r="W18" s="53">
        <f t="shared" si="11"/>
        <v>752.64</v>
      </c>
      <c r="X18" s="27"/>
      <c r="Y18" s="54">
        <v>14</v>
      </c>
      <c r="Z18" s="58">
        <v>78404300</v>
      </c>
      <c r="AA18" s="214">
        <f t="shared" si="15"/>
        <v>3724.9212829100002</v>
      </c>
      <c r="AB18" s="33">
        <f t="shared" si="16"/>
        <v>4518.1899999999996</v>
      </c>
      <c r="AD18" s="53">
        <v>2171.6</v>
      </c>
      <c r="AE18" s="53">
        <v>658.56</v>
      </c>
      <c r="AF18" s="33">
        <v>5222.3307459930602</v>
      </c>
      <c r="AG18" s="133">
        <v>0.75600000000000001</v>
      </c>
      <c r="AH18" s="134">
        <v>416</v>
      </c>
      <c r="AI18" s="136">
        <f t="shared" si="17"/>
        <v>312.98399999999998</v>
      </c>
    </row>
    <row r="19" spans="1:35" ht="22.5" customHeight="1">
      <c r="A19" s="47">
        <v>15</v>
      </c>
      <c r="B19" s="61">
        <v>21172247</v>
      </c>
      <c r="C19" s="36">
        <f t="shared" si="0"/>
        <v>3988</v>
      </c>
      <c r="D19" s="61">
        <v>25433514</v>
      </c>
      <c r="E19" s="38">
        <f t="shared" si="1"/>
        <v>4431</v>
      </c>
      <c r="F19" s="61">
        <v>17233230</v>
      </c>
      <c r="G19" s="49">
        <f t="shared" si="2"/>
        <v>2450</v>
      </c>
      <c r="H19" s="62">
        <v>364593</v>
      </c>
      <c r="I19" s="51">
        <f t="shared" si="3"/>
        <v>56</v>
      </c>
      <c r="J19" s="52">
        <f t="shared" si="4"/>
        <v>10925</v>
      </c>
      <c r="K19" s="53">
        <f t="shared" si="13"/>
        <v>2185</v>
      </c>
      <c r="L19" s="27"/>
      <c r="M19" s="54">
        <v>15</v>
      </c>
      <c r="N19" s="55">
        <v>723</v>
      </c>
      <c r="O19" s="56">
        <f t="shared" si="6"/>
        <v>1</v>
      </c>
      <c r="P19" s="58">
        <v>262829</v>
      </c>
      <c r="Q19" s="56">
        <f t="shared" si="7"/>
        <v>93</v>
      </c>
      <c r="R19" s="55">
        <v>1459</v>
      </c>
      <c r="S19" s="56">
        <f t="shared" si="8"/>
        <v>0</v>
      </c>
      <c r="T19" s="55">
        <v>2125</v>
      </c>
      <c r="U19" s="56">
        <f t="shared" si="14"/>
        <v>0</v>
      </c>
      <c r="V19" s="57">
        <f t="shared" si="10"/>
        <v>94</v>
      </c>
      <c r="W19" s="53">
        <f t="shared" si="11"/>
        <v>736.96</v>
      </c>
      <c r="X19" s="27"/>
      <c r="Y19" s="54">
        <v>15</v>
      </c>
      <c r="Z19" s="58">
        <v>78417300</v>
      </c>
      <c r="AA19" s="214">
        <f t="shared" si="15"/>
        <v>3696.4867693000001</v>
      </c>
      <c r="AB19" s="33">
        <f t="shared" si="16"/>
        <v>4483.7</v>
      </c>
      <c r="AD19" s="53">
        <v>2185.2000000000003</v>
      </c>
      <c r="AE19" s="53">
        <v>744.8</v>
      </c>
      <c r="AF19" s="33">
        <v>5153.8206289011259</v>
      </c>
      <c r="AG19" s="133">
        <v>0.66910000000000003</v>
      </c>
      <c r="AH19" s="134">
        <v>353</v>
      </c>
      <c r="AI19" s="136">
        <f t="shared" si="17"/>
        <v>277.00740000000002</v>
      </c>
    </row>
    <row r="20" spans="1:35" ht="22.5" customHeight="1">
      <c r="A20" s="47">
        <v>16</v>
      </c>
      <c r="B20" s="61">
        <v>21176218</v>
      </c>
      <c r="C20" s="36">
        <f t="shared" si="0"/>
        <v>3971</v>
      </c>
      <c r="D20" s="61">
        <v>25437787</v>
      </c>
      <c r="E20" s="38">
        <f t="shared" si="1"/>
        <v>4273</v>
      </c>
      <c r="F20" s="61">
        <v>17235603</v>
      </c>
      <c r="G20" s="49">
        <f t="shared" si="2"/>
        <v>2373</v>
      </c>
      <c r="H20" s="62">
        <v>364643</v>
      </c>
      <c r="I20" s="51">
        <f t="shared" si="3"/>
        <v>50</v>
      </c>
      <c r="J20" s="52">
        <f t="shared" si="4"/>
        <v>10667</v>
      </c>
      <c r="K20" s="53">
        <f t="shared" si="13"/>
        <v>2133.4</v>
      </c>
      <c r="L20" s="27"/>
      <c r="M20" s="54">
        <v>16</v>
      </c>
      <c r="N20" s="55">
        <v>723</v>
      </c>
      <c r="O20" s="56">
        <f t="shared" si="6"/>
        <v>0</v>
      </c>
      <c r="P20" s="58">
        <v>262893</v>
      </c>
      <c r="Q20" s="56">
        <f t="shared" si="7"/>
        <v>64</v>
      </c>
      <c r="R20" s="55">
        <v>1459</v>
      </c>
      <c r="S20" s="56">
        <f t="shared" si="8"/>
        <v>0</v>
      </c>
      <c r="T20" s="55">
        <v>2126</v>
      </c>
      <c r="U20" s="56">
        <f t="shared" si="14"/>
        <v>1</v>
      </c>
      <c r="V20" s="57">
        <f t="shared" si="10"/>
        <v>65</v>
      </c>
      <c r="W20" s="53">
        <f t="shared" si="11"/>
        <v>509.59999999999997</v>
      </c>
      <c r="X20" s="27"/>
      <c r="Y20" s="54">
        <v>16</v>
      </c>
      <c r="Z20" s="58">
        <v>78430700</v>
      </c>
      <c r="AA20" s="214">
        <f t="shared" si="15"/>
        <v>3810.2248237399999</v>
      </c>
      <c r="AB20" s="33">
        <f t="shared" si="16"/>
        <v>4621.66</v>
      </c>
      <c r="AD20" s="53">
        <v>2138.2000000000003</v>
      </c>
      <c r="AE20" s="53">
        <v>619.36</v>
      </c>
      <c r="AF20" s="33">
        <v>5281.0537035004318</v>
      </c>
      <c r="AG20" s="133">
        <v>0.65939999999999999</v>
      </c>
      <c r="AH20" s="134">
        <v>331</v>
      </c>
      <c r="AI20" s="136">
        <f t="shared" si="17"/>
        <v>272.99160000000001</v>
      </c>
    </row>
    <row r="21" spans="1:35" ht="22.5" customHeight="1">
      <c r="A21" s="47">
        <v>17</v>
      </c>
      <c r="B21" s="61">
        <v>21180263</v>
      </c>
      <c r="C21" s="36">
        <f t="shared" si="0"/>
        <v>4045</v>
      </c>
      <c r="D21" s="61">
        <v>25442259</v>
      </c>
      <c r="E21" s="38">
        <f t="shared" si="1"/>
        <v>4472</v>
      </c>
      <c r="F21" s="61">
        <v>17238144</v>
      </c>
      <c r="G21" s="49">
        <f t="shared" si="2"/>
        <v>2541</v>
      </c>
      <c r="H21" s="62">
        <v>364706</v>
      </c>
      <c r="I21" s="51">
        <f t="shared" si="3"/>
        <v>63</v>
      </c>
      <c r="J21" s="52">
        <f t="shared" si="4"/>
        <v>11121</v>
      </c>
      <c r="K21" s="53">
        <f t="shared" si="13"/>
        <v>2224.2000000000003</v>
      </c>
      <c r="L21" s="27"/>
      <c r="M21" s="54">
        <v>17</v>
      </c>
      <c r="N21" s="55">
        <v>723</v>
      </c>
      <c r="O21" s="56">
        <f t="shared" si="6"/>
        <v>0</v>
      </c>
      <c r="P21" s="58">
        <v>262977</v>
      </c>
      <c r="Q21" s="56">
        <f t="shared" si="7"/>
        <v>84</v>
      </c>
      <c r="R21" s="55">
        <v>1459</v>
      </c>
      <c r="S21" s="56">
        <f t="shared" si="8"/>
        <v>0</v>
      </c>
      <c r="T21" s="55">
        <v>2126</v>
      </c>
      <c r="U21" s="56">
        <f t="shared" si="14"/>
        <v>0</v>
      </c>
      <c r="V21" s="57">
        <f t="shared" si="10"/>
        <v>84</v>
      </c>
      <c r="W21" s="53">
        <f t="shared" si="11"/>
        <v>658.56</v>
      </c>
      <c r="X21" s="27"/>
      <c r="Y21" s="54">
        <v>17</v>
      </c>
      <c r="Z21" s="58">
        <v>78443300</v>
      </c>
      <c r="AA21" s="214">
        <f t="shared" si="15"/>
        <v>3582.7487148600003</v>
      </c>
      <c r="AB21" s="33">
        <f t="shared" si="16"/>
        <v>4345.74</v>
      </c>
      <c r="AD21" s="53">
        <v>2135</v>
      </c>
      <c r="AE21" s="53">
        <v>611.52</v>
      </c>
      <c r="AF21" s="33">
        <v>5339.7766610078043</v>
      </c>
      <c r="AG21" s="133">
        <v>0.74880000000000002</v>
      </c>
      <c r="AH21" s="134">
        <v>396</v>
      </c>
      <c r="AI21" s="136">
        <f t="shared" si="17"/>
        <v>310.00319999999999</v>
      </c>
    </row>
    <row r="22" spans="1:35" ht="22.5" customHeight="1">
      <c r="A22" s="47">
        <v>18</v>
      </c>
      <c r="B22" s="61">
        <v>21184409</v>
      </c>
      <c r="C22" s="36">
        <f t="shared" si="0"/>
        <v>4146</v>
      </c>
      <c r="D22" s="61">
        <v>25446779</v>
      </c>
      <c r="E22" s="38">
        <f t="shared" si="1"/>
        <v>4520</v>
      </c>
      <c r="F22" s="61">
        <v>17240707</v>
      </c>
      <c r="G22" s="49">
        <f t="shared" si="2"/>
        <v>2563</v>
      </c>
      <c r="H22" s="62">
        <v>364774</v>
      </c>
      <c r="I22" s="51">
        <f t="shared" si="3"/>
        <v>68</v>
      </c>
      <c r="J22" s="52">
        <f t="shared" si="4"/>
        <v>11297</v>
      </c>
      <c r="K22" s="53">
        <f t="shared" si="13"/>
        <v>2259.4</v>
      </c>
      <c r="L22" s="27"/>
      <c r="M22" s="54">
        <v>18</v>
      </c>
      <c r="N22" s="55">
        <v>724</v>
      </c>
      <c r="O22" s="56">
        <f t="shared" si="6"/>
        <v>1</v>
      </c>
      <c r="P22" s="58">
        <v>263089</v>
      </c>
      <c r="Q22" s="56">
        <f t="shared" si="7"/>
        <v>112</v>
      </c>
      <c r="R22" s="55">
        <v>1459.84</v>
      </c>
      <c r="S22" s="56">
        <f t="shared" si="8"/>
        <v>0.83999999999991815</v>
      </c>
      <c r="T22" s="55">
        <v>2126.42</v>
      </c>
      <c r="U22" s="56">
        <f t="shared" si="14"/>
        <v>0.42000000000007276</v>
      </c>
      <c r="V22" s="57">
        <f t="shared" si="10"/>
        <v>114.25999999999999</v>
      </c>
      <c r="W22" s="53">
        <f t="shared" si="11"/>
        <v>895.7983999999999</v>
      </c>
      <c r="X22" s="27"/>
      <c r="Y22" s="54">
        <v>18</v>
      </c>
      <c r="Z22" s="58">
        <v>78456200</v>
      </c>
      <c r="AA22" s="214">
        <f t="shared" si="15"/>
        <v>3668.05225569</v>
      </c>
      <c r="AB22" s="33">
        <f t="shared" si="16"/>
        <v>4449.21</v>
      </c>
      <c r="AD22" s="53">
        <v>2164.4</v>
      </c>
      <c r="AE22" s="53">
        <v>689.92</v>
      </c>
      <c r="AF22" s="33">
        <v>5349.563820592366</v>
      </c>
      <c r="AG22" s="133">
        <v>0.73909999999999998</v>
      </c>
      <c r="AH22" s="134">
        <v>377</v>
      </c>
      <c r="AI22" s="136">
        <f t="shared" si="17"/>
        <v>305.98739999999998</v>
      </c>
    </row>
    <row r="23" spans="1:35" ht="22.5" customHeight="1">
      <c r="A23" s="47">
        <v>19</v>
      </c>
      <c r="B23" s="61">
        <v>21188345</v>
      </c>
      <c r="C23" s="36">
        <f t="shared" si="0"/>
        <v>3936</v>
      </c>
      <c r="D23" s="61">
        <v>25451239</v>
      </c>
      <c r="E23" s="38">
        <f t="shared" si="1"/>
        <v>4460</v>
      </c>
      <c r="F23" s="61">
        <v>17243205</v>
      </c>
      <c r="G23" s="49">
        <f t="shared" si="2"/>
        <v>2498</v>
      </c>
      <c r="H23" s="62">
        <v>364838</v>
      </c>
      <c r="I23" s="51">
        <f t="shared" si="3"/>
        <v>64</v>
      </c>
      <c r="J23" s="52">
        <f t="shared" si="4"/>
        <v>10958</v>
      </c>
      <c r="K23" s="53">
        <f t="shared" si="13"/>
        <v>2191.6</v>
      </c>
      <c r="L23" s="27"/>
      <c r="M23" s="54">
        <v>19</v>
      </c>
      <c r="N23" s="55">
        <v>724.52</v>
      </c>
      <c r="O23" s="56">
        <f t="shared" si="6"/>
        <v>0.51999999999998181</v>
      </c>
      <c r="P23" s="60">
        <v>263181</v>
      </c>
      <c r="Q23" s="56">
        <f t="shared" si="7"/>
        <v>92</v>
      </c>
      <c r="R23" s="55">
        <v>1459.97</v>
      </c>
      <c r="S23" s="56">
        <f t="shared" si="8"/>
        <v>0.13000000000010914</v>
      </c>
      <c r="T23" s="55">
        <v>2126.4299999999998</v>
      </c>
      <c r="U23" s="56">
        <f t="shared" si="14"/>
        <v>9.9999999997635314E-3</v>
      </c>
      <c r="V23" s="57">
        <f t="shared" si="10"/>
        <v>92.659999999999854</v>
      </c>
      <c r="W23" s="53">
        <f t="shared" si="11"/>
        <v>726.45439999999883</v>
      </c>
      <c r="X23" s="27"/>
      <c r="Y23" s="54">
        <v>19</v>
      </c>
      <c r="Z23" s="58">
        <v>78468400</v>
      </c>
      <c r="AA23" s="214">
        <f t="shared" si="15"/>
        <v>3469.01066042</v>
      </c>
      <c r="AB23" s="33">
        <f t="shared" si="16"/>
        <v>4207.78</v>
      </c>
      <c r="AD23" s="53">
        <v>2223</v>
      </c>
      <c r="AE23" s="53">
        <v>721.28</v>
      </c>
      <c r="AF23" s="33">
        <v>5427.8610972688621</v>
      </c>
      <c r="AG23" s="133">
        <v>0.7319</v>
      </c>
      <c r="AH23" s="134">
        <v>365</v>
      </c>
      <c r="AI23" s="136">
        <f t="shared" si="17"/>
        <v>303.00659999999999</v>
      </c>
    </row>
    <row r="24" spans="1:35" ht="22.5" customHeight="1">
      <c r="A24" s="47">
        <v>20</v>
      </c>
      <c r="B24" s="61">
        <v>21192418</v>
      </c>
      <c r="C24" s="36">
        <f t="shared" si="0"/>
        <v>4073</v>
      </c>
      <c r="D24" s="61">
        <v>25455819</v>
      </c>
      <c r="E24" s="38">
        <f t="shared" si="1"/>
        <v>4580</v>
      </c>
      <c r="F24" s="61">
        <v>17245759</v>
      </c>
      <c r="G24" s="49">
        <f t="shared" si="2"/>
        <v>2554</v>
      </c>
      <c r="H24" s="62">
        <v>364902</v>
      </c>
      <c r="I24" s="51">
        <f t="shared" si="3"/>
        <v>64</v>
      </c>
      <c r="J24" s="52">
        <f t="shared" si="4"/>
        <v>11271</v>
      </c>
      <c r="K24" s="53">
        <f t="shared" si="13"/>
        <v>2254.2000000000003</v>
      </c>
      <c r="L24" s="27"/>
      <c r="M24" s="54">
        <v>20</v>
      </c>
      <c r="N24" s="55">
        <v>725</v>
      </c>
      <c r="O24" s="56">
        <f t="shared" si="6"/>
        <v>0.48000000000001819</v>
      </c>
      <c r="P24" s="58">
        <v>263282</v>
      </c>
      <c r="Q24" s="56">
        <f t="shared" si="7"/>
        <v>101</v>
      </c>
      <c r="R24" s="55">
        <v>1460</v>
      </c>
      <c r="S24" s="56">
        <f t="shared" si="8"/>
        <v>2.9999999999972715E-2</v>
      </c>
      <c r="T24" s="55">
        <v>2126</v>
      </c>
      <c r="U24" s="56">
        <f t="shared" si="14"/>
        <v>-0.42999999999983629</v>
      </c>
      <c r="V24" s="57">
        <f t="shared" si="10"/>
        <v>101.08000000000015</v>
      </c>
      <c r="W24" s="53">
        <f t="shared" si="11"/>
        <v>792.46720000000118</v>
      </c>
      <c r="X24" s="27"/>
      <c r="Y24" s="54">
        <v>20</v>
      </c>
      <c r="Z24" s="58">
        <v>78481700</v>
      </c>
      <c r="AA24" s="214">
        <f t="shared" si="15"/>
        <v>3781.7903101300003</v>
      </c>
      <c r="AB24" s="33">
        <f t="shared" si="16"/>
        <v>4587.17</v>
      </c>
      <c r="AD24" s="53">
        <v>2280.2000000000003</v>
      </c>
      <c r="AE24" s="53">
        <v>759.6959999999998</v>
      </c>
      <c r="AF24" s="33">
        <v>5437.6482568534238</v>
      </c>
      <c r="AG24" s="133">
        <v>0.69320000000000004</v>
      </c>
      <c r="AH24" s="134">
        <v>343</v>
      </c>
      <c r="AI24" s="136">
        <f t="shared" si="17"/>
        <v>286.98480000000001</v>
      </c>
    </row>
    <row r="25" spans="1:35" ht="22.5" customHeight="1">
      <c r="A25" s="47">
        <v>21</v>
      </c>
      <c r="B25" s="61">
        <v>21196657</v>
      </c>
      <c r="C25" s="36">
        <f t="shared" si="0"/>
        <v>4239</v>
      </c>
      <c r="D25" s="61">
        <v>25460372</v>
      </c>
      <c r="E25" s="38">
        <f t="shared" si="1"/>
        <v>4553</v>
      </c>
      <c r="F25" s="61">
        <v>17248243</v>
      </c>
      <c r="G25" s="49">
        <f t="shared" si="2"/>
        <v>2484</v>
      </c>
      <c r="H25" s="62">
        <v>364962</v>
      </c>
      <c r="I25" s="51">
        <f t="shared" si="3"/>
        <v>60</v>
      </c>
      <c r="J25" s="52">
        <f t="shared" si="4"/>
        <v>11336</v>
      </c>
      <c r="K25" s="53">
        <f t="shared" si="13"/>
        <v>2267.2000000000003</v>
      </c>
      <c r="L25" s="27"/>
      <c r="M25" s="54">
        <v>21</v>
      </c>
      <c r="N25" s="55">
        <v>725</v>
      </c>
      <c r="O25" s="56">
        <f t="shared" si="6"/>
        <v>0</v>
      </c>
      <c r="P25" s="58">
        <v>263342</v>
      </c>
      <c r="Q25" s="56">
        <f t="shared" si="7"/>
        <v>60</v>
      </c>
      <c r="R25" s="55">
        <v>1460</v>
      </c>
      <c r="S25" s="56">
        <f t="shared" si="8"/>
        <v>0</v>
      </c>
      <c r="T25" s="55">
        <v>2126</v>
      </c>
      <c r="U25" s="56">
        <f t="shared" si="14"/>
        <v>0</v>
      </c>
      <c r="V25" s="57">
        <f t="shared" si="10"/>
        <v>60</v>
      </c>
      <c r="W25" s="53">
        <f t="shared" si="11"/>
        <v>470.4</v>
      </c>
      <c r="X25" s="27"/>
      <c r="Y25" s="54">
        <v>21</v>
      </c>
      <c r="Z25" s="58">
        <v>78495600</v>
      </c>
      <c r="AA25" s="214">
        <f t="shared" si="15"/>
        <v>3952.3973917900003</v>
      </c>
      <c r="AB25" s="33">
        <f t="shared" si="16"/>
        <v>4794.1099999999997</v>
      </c>
      <c r="AD25" s="53">
        <v>2263.8000000000002</v>
      </c>
      <c r="AE25" s="53">
        <v>714.06719999999939</v>
      </c>
      <c r="AF25" s="33">
        <v>5300.6280226695562</v>
      </c>
      <c r="AG25" s="133">
        <v>0.64490000000000003</v>
      </c>
      <c r="AH25" s="134">
        <v>317</v>
      </c>
      <c r="AI25" s="136">
        <f t="shared" si="17"/>
        <v>266.98860000000002</v>
      </c>
    </row>
    <row r="26" spans="1:35" ht="22.5" customHeight="1">
      <c r="A26" s="47">
        <v>22</v>
      </c>
      <c r="B26" s="61">
        <v>21200860</v>
      </c>
      <c r="C26" s="36">
        <f t="shared" si="0"/>
        <v>4203</v>
      </c>
      <c r="D26" s="61">
        <v>25464574</v>
      </c>
      <c r="E26" s="38">
        <f t="shared" si="1"/>
        <v>4202</v>
      </c>
      <c r="F26" s="61">
        <v>17250656</v>
      </c>
      <c r="G26" s="49">
        <f t="shared" si="2"/>
        <v>2413</v>
      </c>
      <c r="H26" s="62">
        <v>365031</v>
      </c>
      <c r="I26" s="51">
        <f t="shared" si="3"/>
        <v>69</v>
      </c>
      <c r="J26" s="52">
        <f t="shared" si="4"/>
        <v>10887</v>
      </c>
      <c r="K26" s="53">
        <f t="shared" si="13"/>
        <v>2177.4</v>
      </c>
      <c r="L26" s="27"/>
      <c r="M26" s="54">
        <v>22</v>
      </c>
      <c r="N26" s="55">
        <v>725</v>
      </c>
      <c r="O26" s="56">
        <f t="shared" si="6"/>
        <v>0</v>
      </c>
      <c r="P26" s="58">
        <v>263453</v>
      </c>
      <c r="Q26" s="56">
        <f t="shared" si="7"/>
        <v>111</v>
      </c>
      <c r="R26" s="55">
        <v>1460</v>
      </c>
      <c r="S26" s="56">
        <f t="shared" si="8"/>
        <v>0</v>
      </c>
      <c r="T26" s="55">
        <v>2126</v>
      </c>
      <c r="U26" s="56">
        <f t="shared" si="14"/>
        <v>0</v>
      </c>
      <c r="V26" s="57">
        <f t="shared" si="10"/>
        <v>111</v>
      </c>
      <c r="W26" s="53">
        <f t="shared" si="11"/>
        <v>870.24</v>
      </c>
      <c r="X26" s="27"/>
      <c r="Y26" s="54">
        <v>22</v>
      </c>
      <c r="Z26" s="58">
        <v>78509500</v>
      </c>
      <c r="AA26" s="214">
        <f t="shared" si="15"/>
        <v>3952.3973917900003</v>
      </c>
      <c r="AB26" s="33">
        <f t="shared" si="16"/>
        <v>4794.1099999999997</v>
      </c>
      <c r="AD26" s="53">
        <v>2238.8000000000002</v>
      </c>
      <c r="AE26" s="53">
        <v>772.24000000000092</v>
      </c>
      <c r="AF26" s="33">
        <v>5320.2023418386798</v>
      </c>
      <c r="AG26" s="133">
        <v>0.60629999999999995</v>
      </c>
      <c r="AH26" s="134">
        <v>296</v>
      </c>
      <c r="AI26" s="136">
        <f t="shared" si="17"/>
        <v>251.00819999999999</v>
      </c>
    </row>
    <row r="27" spans="1:35" ht="22.5" customHeight="1">
      <c r="A27" s="47">
        <v>23</v>
      </c>
      <c r="B27" s="61">
        <v>21205157</v>
      </c>
      <c r="C27" s="36">
        <f t="shared" si="0"/>
        <v>4297</v>
      </c>
      <c r="D27" s="61">
        <v>25468849</v>
      </c>
      <c r="E27" s="38">
        <f t="shared" si="1"/>
        <v>4275</v>
      </c>
      <c r="F27" s="61">
        <v>17253088</v>
      </c>
      <c r="G27" s="49">
        <f t="shared" si="2"/>
        <v>2432</v>
      </c>
      <c r="H27" s="62">
        <v>365079</v>
      </c>
      <c r="I27" s="51">
        <f>IF(ISBLANK(H27),"0",H27-H26)</f>
        <v>48</v>
      </c>
      <c r="J27" s="52">
        <f t="shared" si="4"/>
        <v>11052</v>
      </c>
      <c r="K27" s="53">
        <f t="shared" si="13"/>
        <v>2210.4</v>
      </c>
      <c r="L27" s="27"/>
      <c r="M27" s="54">
        <v>23</v>
      </c>
      <c r="N27" s="55">
        <v>725</v>
      </c>
      <c r="O27" s="56">
        <f t="shared" si="6"/>
        <v>0</v>
      </c>
      <c r="P27" s="58">
        <v>263528</v>
      </c>
      <c r="Q27" s="56">
        <f t="shared" si="7"/>
        <v>75</v>
      </c>
      <c r="R27" s="55">
        <v>1460</v>
      </c>
      <c r="S27" s="56">
        <f t="shared" si="8"/>
        <v>0</v>
      </c>
      <c r="T27" s="55">
        <v>2129</v>
      </c>
      <c r="U27" s="56">
        <f t="shared" si="14"/>
        <v>3</v>
      </c>
      <c r="V27" s="57">
        <f t="shared" si="10"/>
        <v>78</v>
      </c>
      <c r="W27" s="53">
        <f t="shared" si="11"/>
        <v>611.52</v>
      </c>
      <c r="X27" s="27"/>
      <c r="Y27" s="54">
        <v>23</v>
      </c>
      <c r="Z27" s="58">
        <v>78523200</v>
      </c>
      <c r="AA27" s="214">
        <f t="shared" si="15"/>
        <v>3895.5283645700001</v>
      </c>
      <c r="AB27" s="33">
        <f t="shared" si="16"/>
        <v>4725.13</v>
      </c>
      <c r="AD27" s="53">
        <v>2171</v>
      </c>
      <c r="AE27" s="53">
        <v>614.65600000000074</v>
      </c>
      <c r="AF27" s="33">
        <v>5320.2023418386798</v>
      </c>
      <c r="AG27" s="133">
        <v>0.60140000000000005</v>
      </c>
      <c r="AH27" s="134">
        <v>304</v>
      </c>
      <c r="AI27" s="136">
        <f t="shared" si="17"/>
        <v>248.9796</v>
      </c>
    </row>
    <row r="28" spans="1:35" ht="22.5" customHeight="1">
      <c r="A28" s="47">
        <v>24</v>
      </c>
      <c r="B28" s="61">
        <v>21209796</v>
      </c>
      <c r="C28" s="36">
        <f t="shared" si="0"/>
        <v>4639</v>
      </c>
      <c r="D28" s="61">
        <v>25473307</v>
      </c>
      <c r="E28" s="38">
        <f t="shared" si="1"/>
        <v>4458</v>
      </c>
      <c r="F28" s="57">
        <v>17255573</v>
      </c>
      <c r="G28" s="49">
        <f t="shared" si="2"/>
        <v>2485</v>
      </c>
      <c r="H28" s="62">
        <v>365138</v>
      </c>
      <c r="I28" s="51">
        <f t="shared" si="3"/>
        <v>59</v>
      </c>
      <c r="J28" s="52">
        <f t="shared" si="4"/>
        <v>11641</v>
      </c>
      <c r="K28" s="53">
        <f t="shared" si="13"/>
        <v>2328.2000000000003</v>
      </c>
      <c r="L28" s="27"/>
      <c r="M28" s="54">
        <v>24</v>
      </c>
      <c r="N28" s="55">
        <v>725</v>
      </c>
      <c r="O28" s="56">
        <f t="shared" si="6"/>
        <v>0</v>
      </c>
      <c r="P28" s="58">
        <v>263620</v>
      </c>
      <c r="Q28" s="56">
        <f t="shared" si="7"/>
        <v>92</v>
      </c>
      <c r="R28" s="55">
        <v>1460</v>
      </c>
      <c r="S28" s="56">
        <f t="shared" si="8"/>
        <v>0</v>
      </c>
      <c r="T28" s="55">
        <v>2129</v>
      </c>
      <c r="U28" s="56">
        <f t="shared" si="14"/>
        <v>0</v>
      </c>
      <c r="V28" s="57">
        <f t="shared" si="10"/>
        <v>92</v>
      </c>
      <c r="W28" s="53">
        <f t="shared" si="11"/>
        <v>721.28</v>
      </c>
      <c r="X28" s="27"/>
      <c r="Y28" s="54">
        <v>24</v>
      </c>
      <c r="Z28" s="58">
        <v>78536000</v>
      </c>
      <c r="AA28" s="214">
        <f t="shared" si="15"/>
        <v>3639.61774208</v>
      </c>
      <c r="AB28" s="33">
        <f t="shared" si="16"/>
        <v>4414.7199999999993</v>
      </c>
      <c r="AD28" s="53">
        <v>2210.4</v>
      </c>
      <c r="AE28" s="53">
        <v>699.87679999999989</v>
      </c>
      <c r="AF28" s="33">
        <v>5388.712458930614</v>
      </c>
      <c r="AG28" s="133">
        <v>0.62080000000000002</v>
      </c>
      <c r="AH28" s="134">
        <v>303</v>
      </c>
      <c r="AI28" s="136">
        <f t="shared" si="17"/>
        <v>257.01120000000003</v>
      </c>
    </row>
    <row r="29" spans="1:35" ht="22.5" customHeight="1">
      <c r="A29" s="47">
        <v>25</v>
      </c>
      <c r="B29" s="61">
        <v>21214813</v>
      </c>
      <c r="C29" s="36">
        <f t="shared" si="0"/>
        <v>5017</v>
      </c>
      <c r="D29" s="61">
        <v>25477670</v>
      </c>
      <c r="E29" s="38">
        <f t="shared" si="1"/>
        <v>4363</v>
      </c>
      <c r="F29" s="61">
        <v>17258057</v>
      </c>
      <c r="G29" s="49">
        <f t="shared" si="2"/>
        <v>2484</v>
      </c>
      <c r="H29" s="62">
        <v>365176</v>
      </c>
      <c r="I29" s="51">
        <f t="shared" si="3"/>
        <v>38</v>
      </c>
      <c r="J29" s="52">
        <f t="shared" si="4"/>
        <v>11902</v>
      </c>
      <c r="K29" s="53">
        <f t="shared" si="13"/>
        <v>2380.4</v>
      </c>
      <c r="L29" s="27"/>
      <c r="M29" s="54">
        <v>25</v>
      </c>
      <c r="N29" s="55">
        <v>726.03</v>
      </c>
      <c r="O29" s="56">
        <f t="shared" si="6"/>
        <v>1.0299999999999727</v>
      </c>
      <c r="P29" s="58">
        <v>263691</v>
      </c>
      <c r="Q29" s="56">
        <f t="shared" si="7"/>
        <v>71</v>
      </c>
      <c r="R29" s="63">
        <v>1460.53</v>
      </c>
      <c r="S29" s="56">
        <f t="shared" si="8"/>
        <v>0.52999999999997272</v>
      </c>
      <c r="T29" s="55">
        <v>2129.2399999999998</v>
      </c>
      <c r="U29" s="56">
        <f t="shared" si="14"/>
        <v>0.23999999999978172</v>
      </c>
      <c r="V29" s="57">
        <f t="shared" si="10"/>
        <v>72.799999999999727</v>
      </c>
      <c r="W29" s="53">
        <f t="shared" si="11"/>
        <v>570.75199999999791</v>
      </c>
      <c r="X29" s="27"/>
      <c r="Y29" s="54">
        <v>25</v>
      </c>
      <c r="Z29" s="58">
        <v>78545800</v>
      </c>
      <c r="AA29" s="214">
        <f t="shared" si="15"/>
        <v>2786.5823337800002</v>
      </c>
      <c r="AB29" s="33">
        <f t="shared" si="16"/>
        <v>3380.02</v>
      </c>
      <c r="AD29" s="53">
        <v>2206.6</v>
      </c>
      <c r="AE29" s="53">
        <v>644.68319999999835</v>
      </c>
      <c r="AF29" s="33">
        <v>5437.6482568534238</v>
      </c>
      <c r="AG29" s="133">
        <v>0.58209999999999995</v>
      </c>
      <c r="AH29" s="134">
        <v>279</v>
      </c>
      <c r="AI29" s="136">
        <f t="shared" si="17"/>
        <v>240.98939999999999</v>
      </c>
    </row>
    <row r="30" spans="1:35" ht="22.5" customHeight="1">
      <c r="A30" s="47">
        <v>26</v>
      </c>
      <c r="B30" s="61">
        <v>21219300</v>
      </c>
      <c r="C30" s="36">
        <f t="shared" si="0"/>
        <v>4487</v>
      </c>
      <c r="D30" s="61">
        <v>25481891</v>
      </c>
      <c r="E30" s="38">
        <f t="shared" si="1"/>
        <v>4221</v>
      </c>
      <c r="F30" s="61">
        <v>17260500</v>
      </c>
      <c r="G30" s="49">
        <f t="shared" si="2"/>
        <v>2443</v>
      </c>
      <c r="H30" s="62">
        <v>365220</v>
      </c>
      <c r="I30" s="51">
        <f t="shared" si="3"/>
        <v>44</v>
      </c>
      <c r="J30" s="52">
        <f t="shared" si="4"/>
        <v>11195</v>
      </c>
      <c r="K30" s="53">
        <f t="shared" si="13"/>
        <v>2239</v>
      </c>
      <c r="L30" s="27"/>
      <c r="M30" s="54">
        <v>26</v>
      </c>
      <c r="N30" s="55">
        <v>726.36</v>
      </c>
      <c r="O30" s="56">
        <f t="shared" si="6"/>
        <v>0.33000000000004093</v>
      </c>
      <c r="P30" s="58">
        <v>263768</v>
      </c>
      <c r="Q30" s="56">
        <f t="shared" si="7"/>
        <v>77</v>
      </c>
      <c r="R30" s="55">
        <v>1460.7</v>
      </c>
      <c r="S30" s="56">
        <f t="shared" si="8"/>
        <v>0.17000000000007276</v>
      </c>
      <c r="T30" s="55">
        <v>2129.3200000000002</v>
      </c>
      <c r="U30" s="56">
        <f t="shared" si="14"/>
        <v>8.0000000000381988E-2</v>
      </c>
      <c r="V30" s="57">
        <f t="shared" si="10"/>
        <v>77.580000000000496</v>
      </c>
      <c r="W30" s="53">
        <f t="shared" si="11"/>
        <v>608.2272000000039</v>
      </c>
      <c r="X30" s="27"/>
      <c r="Y30" s="54">
        <v>26</v>
      </c>
      <c r="Z30" s="58">
        <v>78555800</v>
      </c>
      <c r="AA30" s="214">
        <f t="shared" si="15"/>
        <v>2843.4513609999999</v>
      </c>
      <c r="AB30" s="33">
        <f t="shared" si="16"/>
        <v>3449</v>
      </c>
      <c r="AD30" s="53">
        <v>2386</v>
      </c>
      <c r="AE30" s="53">
        <v>890.78080000000091</v>
      </c>
      <c r="AF30" s="33">
        <v>5222.3307459930602</v>
      </c>
      <c r="AG30" s="133">
        <v>0.59660000000000002</v>
      </c>
      <c r="AH30" s="134">
        <v>299</v>
      </c>
      <c r="AI30" s="136">
        <f t="shared" si="17"/>
        <v>246.9924</v>
      </c>
    </row>
    <row r="31" spans="1:35" ht="22.5" customHeight="1">
      <c r="A31" s="47">
        <v>27</v>
      </c>
      <c r="B31" s="61">
        <v>21223308</v>
      </c>
      <c r="C31" s="36">
        <f t="shared" si="0"/>
        <v>4008</v>
      </c>
      <c r="D31" s="61">
        <v>25486206</v>
      </c>
      <c r="E31" s="38">
        <f t="shared" si="1"/>
        <v>4315</v>
      </c>
      <c r="F31" s="61">
        <v>17263010</v>
      </c>
      <c r="G31" s="49">
        <f t="shared" si="2"/>
        <v>2510</v>
      </c>
      <c r="H31" s="62">
        <v>365274</v>
      </c>
      <c r="I31" s="51">
        <f t="shared" si="3"/>
        <v>54</v>
      </c>
      <c r="J31" s="52">
        <f t="shared" si="4"/>
        <v>10887</v>
      </c>
      <c r="K31" s="53">
        <f t="shared" si="13"/>
        <v>2177.4</v>
      </c>
      <c r="L31" s="27"/>
      <c r="M31" s="54">
        <v>27</v>
      </c>
      <c r="N31" s="55">
        <v>726.46</v>
      </c>
      <c r="O31" s="56">
        <f t="shared" si="6"/>
        <v>0.10000000000002274</v>
      </c>
      <c r="P31" s="58">
        <v>263842</v>
      </c>
      <c r="Q31" s="56">
        <f t="shared" si="7"/>
        <v>74</v>
      </c>
      <c r="R31" s="55">
        <v>1460.95</v>
      </c>
      <c r="S31" s="56">
        <f t="shared" si="8"/>
        <v>0.25</v>
      </c>
      <c r="T31" s="55">
        <v>2129.33</v>
      </c>
      <c r="U31" s="56">
        <f t="shared" si="14"/>
        <v>9.9999999997635314E-3</v>
      </c>
      <c r="V31" s="57">
        <f t="shared" si="10"/>
        <v>74.359999999999786</v>
      </c>
      <c r="W31" s="53">
        <f t="shared" si="11"/>
        <v>582.98239999999828</v>
      </c>
      <c r="X31" s="27"/>
      <c r="Y31" s="54">
        <v>27</v>
      </c>
      <c r="Z31" s="58">
        <v>78567500</v>
      </c>
      <c r="AA31" s="214">
        <f t="shared" si="15"/>
        <v>3326.8380923700001</v>
      </c>
      <c r="AB31" s="33">
        <f t="shared" si="16"/>
        <v>4035.33</v>
      </c>
      <c r="AD31" s="53">
        <v>2419.4</v>
      </c>
      <c r="AE31" s="53">
        <v>893.76</v>
      </c>
      <c r="AF31" s="33">
        <v>5016.8003947172583</v>
      </c>
      <c r="AG31" s="133">
        <v>0.57730000000000004</v>
      </c>
      <c r="AH31" s="134">
        <v>288</v>
      </c>
      <c r="AI31" s="136">
        <f t="shared" si="17"/>
        <v>239.00220000000002</v>
      </c>
    </row>
    <row r="32" spans="1:35" ht="22.5" customHeight="1">
      <c r="A32" s="47">
        <v>28</v>
      </c>
      <c r="B32" s="61">
        <v>21227223</v>
      </c>
      <c r="C32" s="36">
        <f t="shared" si="0"/>
        <v>3915</v>
      </c>
      <c r="D32" s="61">
        <v>25490503</v>
      </c>
      <c r="E32" s="38">
        <f t="shared" si="1"/>
        <v>4297</v>
      </c>
      <c r="F32" s="61">
        <v>17265432</v>
      </c>
      <c r="G32" s="49">
        <f t="shared" si="2"/>
        <v>2422</v>
      </c>
      <c r="H32" s="62">
        <v>365328</v>
      </c>
      <c r="I32" s="51">
        <f t="shared" si="3"/>
        <v>54</v>
      </c>
      <c r="J32" s="52">
        <f t="shared" si="4"/>
        <v>10688</v>
      </c>
      <c r="K32" s="53">
        <f t="shared" si="13"/>
        <v>2137.6</v>
      </c>
      <c r="L32" s="27"/>
      <c r="M32" s="54">
        <v>28</v>
      </c>
      <c r="N32" s="55">
        <v>726.76</v>
      </c>
      <c r="O32" s="56">
        <f t="shared" si="6"/>
        <v>0.29999999999995453</v>
      </c>
      <c r="P32" s="58">
        <v>263919</v>
      </c>
      <c r="Q32" s="56">
        <f t="shared" si="7"/>
        <v>77</v>
      </c>
      <c r="R32" s="55">
        <v>1461.07</v>
      </c>
      <c r="S32" s="56">
        <f t="shared" si="8"/>
        <v>0.11999999999989086</v>
      </c>
      <c r="T32" s="55">
        <v>2129.34</v>
      </c>
      <c r="U32" s="56">
        <f t="shared" si="14"/>
        <v>1.0000000000218279E-2</v>
      </c>
      <c r="V32" s="57">
        <f t="shared" si="10"/>
        <v>77.430000000000064</v>
      </c>
      <c r="W32" s="53">
        <f t="shared" si="11"/>
        <v>607.05120000000045</v>
      </c>
      <c r="X32" s="27"/>
      <c r="Y32" s="54">
        <v>28</v>
      </c>
      <c r="Z32" s="58">
        <v>78581000</v>
      </c>
      <c r="AA32" s="214">
        <f t="shared" si="15"/>
        <v>3838.65933735</v>
      </c>
      <c r="AB32" s="33">
        <f t="shared" si="16"/>
        <v>4656.1499999999996</v>
      </c>
      <c r="AD32" s="53">
        <v>2421.2000000000003</v>
      </c>
      <c r="AE32" s="53">
        <v>791.84</v>
      </c>
      <c r="AF32" s="33">
        <v>5095.0976713937544</v>
      </c>
      <c r="AG32" s="133">
        <v>0.60870000000000002</v>
      </c>
      <c r="AH32" s="134">
        <v>319</v>
      </c>
      <c r="AI32" s="136">
        <f t="shared" si="17"/>
        <v>252.0018</v>
      </c>
    </row>
    <row r="33" spans="1:35" ht="22.5" customHeight="1">
      <c r="A33" s="47">
        <v>29</v>
      </c>
      <c r="B33" s="61">
        <v>21231062</v>
      </c>
      <c r="C33" s="36">
        <f t="shared" si="0"/>
        <v>3839</v>
      </c>
      <c r="D33" s="61">
        <v>25494848</v>
      </c>
      <c r="E33" s="38">
        <f t="shared" si="1"/>
        <v>4345</v>
      </c>
      <c r="F33" s="61">
        <v>17267803</v>
      </c>
      <c r="G33" s="49">
        <f t="shared" si="2"/>
        <v>2371</v>
      </c>
      <c r="H33" s="62">
        <v>365381</v>
      </c>
      <c r="I33" s="51">
        <f t="shared" si="3"/>
        <v>53</v>
      </c>
      <c r="J33" s="52">
        <f t="shared" si="4"/>
        <v>10608</v>
      </c>
      <c r="K33" s="53">
        <f t="shared" si="13"/>
        <v>2121.6</v>
      </c>
      <c r="L33" s="27"/>
      <c r="M33" s="54">
        <v>29</v>
      </c>
      <c r="N33" s="55">
        <v>726.79</v>
      </c>
      <c r="O33" s="56">
        <f t="shared" si="6"/>
        <v>2.9999999999972715E-2</v>
      </c>
      <c r="P33" s="58">
        <v>264001</v>
      </c>
      <c r="Q33" s="56">
        <f t="shared" si="7"/>
        <v>82</v>
      </c>
      <c r="R33" s="55">
        <v>1461.07</v>
      </c>
      <c r="S33" s="56">
        <f t="shared" si="8"/>
        <v>0</v>
      </c>
      <c r="T33" s="55">
        <v>2129.35</v>
      </c>
      <c r="U33" s="56">
        <f t="shared" si="14"/>
        <v>9.9999999997635314E-3</v>
      </c>
      <c r="V33" s="57">
        <f t="shared" si="10"/>
        <v>82.039999999999736</v>
      </c>
      <c r="W33" s="53">
        <f t="shared" si="11"/>
        <v>643.1935999999979</v>
      </c>
      <c r="X33"/>
      <c r="Y33" s="54">
        <v>29</v>
      </c>
      <c r="Z33" s="58">
        <v>78595500</v>
      </c>
      <c r="AA33" s="214">
        <f t="shared" si="15"/>
        <v>4123.0044734499998</v>
      </c>
      <c r="AB33" s="33">
        <f t="shared" si="16"/>
        <v>5001.05</v>
      </c>
      <c r="AD33" s="53">
        <v>2421.2000000000003</v>
      </c>
      <c r="AE33" s="53">
        <v>846.72</v>
      </c>
      <c r="AF33" s="33">
        <v>5114.6719905628779</v>
      </c>
      <c r="AG33" s="133">
        <v>0.60389999999999999</v>
      </c>
      <c r="AH33" s="134">
        <v>345</v>
      </c>
      <c r="AI33" s="136">
        <f t="shared" si="17"/>
        <v>250.0146</v>
      </c>
    </row>
    <row r="34" spans="1:35" ht="22.5" customHeight="1">
      <c r="A34" s="64">
        <v>30</v>
      </c>
      <c r="B34" s="65">
        <v>21235192</v>
      </c>
      <c r="C34" s="36">
        <f t="shared" si="0"/>
        <v>4130</v>
      </c>
      <c r="D34" s="65">
        <v>25499295</v>
      </c>
      <c r="E34" s="38">
        <f t="shared" si="1"/>
        <v>4447</v>
      </c>
      <c r="F34" s="65">
        <v>17270279</v>
      </c>
      <c r="G34" s="49">
        <f t="shared" si="2"/>
        <v>2476</v>
      </c>
      <c r="H34" s="66">
        <v>365446</v>
      </c>
      <c r="I34" s="51">
        <f t="shared" si="3"/>
        <v>65</v>
      </c>
      <c r="J34" s="52">
        <f t="shared" si="4"/>
        <v>11118</v>
      </c>
      <c r="K34" s="53">
        <f t="shared" si="13"/>
        <v>2223.6</v>
      </c>
      <c r="L34" s="27"/>
      <c r="M34" s="67">
        <v>30</v>
      </c>
      <c r="N34" s="68">
        <v>727</v>
      </c>
      <c r="O34" s="56">
        <f t="shared" si="6"/>
        <v>0.21000000000003638</v>
      </c>
      <c r="P34" s="69">
        <v>264135</v>
      </c>
      <c r="Q34" s="56">
        <f t="shared" si="7"/>
        <v>134</v>
      </c>
      <c r="R34" s="68">
        <v>1461</v>
      </c>
      <c r="S34" s="56">
        <f t="shared" si="8"/>
        <v>-6.9999999999936335E-2</v>
      </c>
      <c r="T34" s="68">
        <v>2130</v>
      </c>
      <c r="U34" s="56">
        <f t="shared" si="14"/>
        <v>0.65000000000009095</v>
      </c>
      <c r="V34" s="57">
        <f t="shared" si="10"/>
        <v>134.79000000000019</v>
      </c>
      <c r="W34" s="53">
        <f t="shared" si="11"/>
        <v>1056.7536000000014</v>
      </c>
      <c r="X34"/>
      <c r="Y34" s="67">
        <v>30</v>
      </c>
      <c r="Z34" s="69">
        <v>78609900</v>
      </c>
      <c r="AA34" s="214">
        <f t="shared" si="15"/>
        <v>4094.5699598400001</v>
      </c>
      <c r="AB34" s="33">
        <f t="shared" si="16"/>
        <v>4966.5599999999995</v>
      </c>
      <c r="AD34" s="53">
        <v>2312.2000000000003</v>
      </c>
      <c r="AE34" s="53">
        <v>823.19999999999993</v>
      </c>
      <c r="AF34" s="33">
        <v>5212.5435864084975</v>
      </c>
      <c r="AG34" s="133">
        <v>0.99760000000000004</v>
      </c>
      <c r="AH34" s="134">
        <v>649</v>
      </c>
      <c r="AI34" s="136">
        <f t="shared" si="17"/>
        <v>413.00640000000004</v>
      </c>
    </row>
    <row r="35" spans="1:35" ht="22.5" customHeight="1" thickBot="1">
      <c r="A35" s="19">
        <v>31</v>
      </c>
      <c r="B35" s="20">
        <v>21239472</v>
      </c>
      <c r="C35" s="21">
        <f t="shared" si="0"/>
        <v>4280</v>
      </c>
      <c r="D35" s="20">
        <v>25503767</v>
      </c>
      <c r="E35" s="22">
        <f t="shared" si="1"/>
        <v>4472</v>
      </c>
      <c r="F35" s="20">
        <v>17272740</v>
      </c>
      <c r="G35" s="22">
        <f t="shared" si="2"/>
        <v>2461</v>
      </c>
      <c r="H35" s="23">
        <v>365508</v>
      </c>
      <c r="I35" s="24">
        <f t="shared" si="3"/>
        <v>62</v>
      </c>
      <c r="J35" s="25">
        <f t="shared" si="4"/>
        <v>11275</v>
      </c>
      <c r="K35" s="26">
        <f t="shared" si="13"/>
        <v>2255</v>
      </c>
      <c r="L35" s="27"/>
      <c r="M35" s="28">
        <v>31</v>
      </c>
      <c r="N35" s="29">
        <v>727</v>
      </c>
      <c r="O35" s="56">
        <f t="shared" si="6"/>
        <v>0</v>
      </c>
      <c r="P35" s="31">
        <v>264259</v>
      </c>
      <c r="Q35" s="56">
        <f t="shared" si="7"/>
        <v>124</v>
      </c>
      <c r="R35" s="29">
        <v>1461</v>
      </c>
      <c r="S35" s="56">
        <f t="shared" si="8"/>
        <v>0</v>
      </c>
      <c r="T35" s="29">
        <v>2131</v>
      </c>
      <c r="U35" s="56">
        <f t="shared" si="14"/>
        <v>1</v>
      </c>
      <c r="V35" s="32">
        <f t="shared" si="10"/>
        <v>125</v>
      </c>
      <c r="W35" s="26">
        <f t="shared" si="11"/>
        <v>980</v>
      </c>
      <c r="X35"/>
      <c r="Y35" s="28">
        <v>31</v>
      </c>
      <c r="Z35" s="31">
        <v>78624000</v>
      </c>
      <c r="AA35" s="214">
        <f t="shared" si="15"/>
        <v>4009.2664190099999</v>
      </c>
      <c r="AB35" s="33">
        <f t="shared" si="16"/>
        <v>4863.09</v>
      </c>
      <c r="AD35" s="26">
        <v>2393.8000000000002</v>
      </c>
      <c r="AE35" s="53">
        <v>893.76</v>
      </c>
      <c r="AF35" s="33">
        <v>5251.6922247467464</v>
      </c>
      <c r="AG35" s="154">
        <v>0.75600000000000001</v>
      </c>
      <c r="AH35" s="155">
        <v>446</v>
      </c>
      <c r="AI35" s="156">
        <f t="shared" si="17"/>
        <v>312.98399999999998</v>
      </c>
    </row>
    <row r="36" spans="1:35" ht="30.75" thickBot="1">
      <c r="A36" s="70"/>
      <c r="B36" s="157"/>
      <c r="C36" s="157"/>
      <c r="D36" s="157"/>
      <c r="E36" s="157"/>
      <c r="F36" s="157"/>
      <c r="G36" s="157"/>
      <c r="H36" s="157"/>
      <c r="I36" s="157"/>
      <c r="J36" s="71"/>
      <c r="K36" s="71"/>
      <c r="L36" s="71"/>
      <c r="M36" s="72"/>
      <c r="N36" s="73" t="s">
        <v>22</v>
      </c>
      <c r="O36" s="74" t="s">
        <v>23</v>
      </c>
      <c r="P36" s="73" t="s">
        <v>22</v>
      </c>
      <c r="Q36" s="74" t="s">
        <v>23</v>
      </c>
      <c r="R36" s="73" t="s">
        <v>22</v>
      </c>
      <c r="S36" s="74" t="s">
        <v>23</v>
      </c>
      <c r="T36" s="73" t="s">
        <v>22</v>
      </c>
      <c r="U36" s="74" t="s">
        <v>23</v>
      </c>
      <c r="V36" s="75" t="s">
        <v>24</v>
      </c>
      <c r="W36" s="76" t="s">
        <v>25</v>
      </c>
      <c r="X36"/>
      <c r="Z36" s="77" t="s">
        <v>26</v>
      </c>
      <c r="AA36" s="164"/>
      <c r="AB36" s="158" t="s">
        <v>57</v>
      </c>
      <c r="AD36" s="159"/>
      <c r="AE36" s="159"/>
      <c r="AF36" s="159"/>
      <c r="AG36" s="128">
        <f>AVERAGE(AG5:AG35)</f>
        <v>0.66533870967741915</v>
      </c>
      <c r="AH36" s="129">
        <f>SUM(AH5:AH35)</f>
        <v>10775</v>
      </c>
      <c r="AI36" s="130">
        <f>SUM(AI5:AI35)</f>
        <v>8538.9570000000003</v>
      </c>
    </row>
    <row r="37" spans="1:35" ht="18" customHeight="1" thickBot="1">
      <c r="A37" s="70"/>
      <c r="J37" s="71"/>
      <c r="K37" s="71"/>
      <c r="L37" s="71"/>
      <c r="N37" s="78">
        <f>SUM(O5:O35)</f>
        <v>15.789999999999964</v>
      </c>
      <c r="O37" s="79">
        <f>N37*7.84</f>
        <v>123.79359999999971</v>
      </c>
      <c r="P37" s="78">
        <f>SUM(Q5:Q35)</f>
        <v>2709</v>
      </c>
      <c r="Q37" s="79">
        <f>P37*7.84</f>
        <v>21238.560000000001</v>
      </c>
      <c r="R37" s="78">
        <f>SUM(S5:S35)</f>
        <v>2.7699999999999818</v>
      </c>
      <c r="S37" s="79">
        <f>R37*7.84</f>
        <v>21.716799999999857</v>
      </c>
      <c r="T37" s="78">
        <f>SUM(U5:U35)</f>
        <v>12.599999999999909</v>
      </c>
      <c r="U37" s="79">
        <f>T37*7.84</f>
        <v>98.783999999999281</v>
      </c>
      <c r="V37" s="80">
        <f>SUM(V5:V35)</f>
        <v>2740.16</v>
      </c>
      <c r="W37" s="81">
        <f>SUM(W5:W35)</f>
        <v>21482.854399999997</v>
      </c>
      <c r="X37"/>
      <c r="Z37" s="160">
        <f>SUM(Z5:Z35)</f>
        <v>2431352200</v>
      </c>
      <c r="AA37" s="165"/>
      <c r="AB37" s="81">
        <f>SUM(AB5:AB35)</f>
        <v>131993.23000000001</v>
      </c>
    </row>
    <row r="38" spans="1:35" ht="22.5" customHeight="1" thickBot="1">
      <c r="A38" s="70"/>
      <c r="B38" s="168" t="s">
        <v>27</v>
      </c>
      <c r="C38" s="169"/>
      <c r="D38" s="169"/>
      <c r="E38" s="169"/>
      <c r="F38" s="170"/>
      <c r="G38" s="83"/>
      <c r="H38" s="83"/>
      <c r="I38" s="83"/>
      <c r="J38" s="83"/>
      <c r="K38" s="83"/>
      <c r="L38" s="71"/>
      <c r="M38" s="83"/>
      <c r="N38" s="83"/>
      <c r="O38" s="83"/>
      <c r="P38" s="83"/>
      <c r="Q38" s="83"/>
      <c r="X38"/>
    </row>
    <row r="39" spans="1:35" ht="15.75" thickBot="1">
      <c r="A39" s="85"/>
      <c r="B39" s="85"/>
      <c r="C39" s="85"/>
      <c r="D39" s="85"/>
      <c r="E39" s="85"/>
      <c r="F39" s="85"/>
      <c r="G39" s="86"/>
      <c r="H39" s="86"/>
      <c r="I39" s="86"/>
      <c r="J39" s="86"/>
      <c r="K39" s="86"/>
      <c r="L39" s="71"/>
      <c r="N39" s="87"/>
      <c r="O39" s="87"/>
      <c r="P39" s="87"/>
      <c r="Q39" s="87"/>
      <c r="X39"/>
    </row>
    <row r="40" spans="1:35" ht="10.5" customHeight="1" thickBot="1">
      <c r="A40" s="85"/>
      <c r="B40" s="204" t="s">
        <v>28</v>
      </c>
      <c r="C40" s="205"/>
      <c r="D40" s="205"/>
      <c r="E40" s="205"/>
      <c r="F40" s="88" t="s">
        <v>29</v>
      </c>
      <c r="G40" s="89"/>
      <c r="H40" s="89"/>
      <c r="I40" s="89"/>
      <c r="J40" s="89"/>
      <c r="K40" s="89"/>
      <c r="L40" s="71"/>
      <c r="M40" s="89"/>
      <c r="N40" s="89"/>
      <c r="O40" s="89"/>
      <c r="P40" s="89"/>
      <c r="Q40" s="89"/>
      <c r="X40"/>
    </row>
    <row r="41" spans="1:35" ht="15" customHeight="1" thickBot="1">
      <c r="A41" s="90"/>
      <c r="B41" s="91">
        <f>SUM(C5:C35)</f>
        <v>130540</v>
      </c>
      <c r="C41" s="91">
        <f>SUM(E5:E35)</f>
        <v>135450</v>
      </c>
      <c r="D41" s="91">
        <f>SUM(G5:G35)</f>
        <v>76630</v>
      </c>
      <c r="E41" s="91">
        <f>SUM(I5:I35)</f>
        <v>1786</v>
      </c>
      <c r="F41" s="92">
        <f>SUM(B41:E41)</f>
        <v>344406</v>
      </c>
      <c r="G41" s="93"/>
      <c r="H41" s="93"/>
      <c r="I41" s="93"/>
      <c r="J41" s="89"/>
      <c r="K41" s="89"/>
      <c r="L41" s="71"/>
      <c r="M41" s="89"/>
      <c r="N41" s="89"/>
      <c r="O41" s="89"/>
      <c r="P41" s="89"/>
      <c r="Q41" s="89"/>
      <c r="X41"/>
    </row>
    <row r="42" spans="1:35" ht="22.5" customHeight="1" thickBot="1">
      <c r="A42" s="90"/>
      <c r="B42" s="206" t="s">
        <v>30</v>
      </c>
      <c r="C42" s="207"/>
      <c r="D42" s="207"/>
      <c r="E42" s="207"/>
      <c r="F42" s="94" t="s">
        <v>23</v>
      </c>
      <c r="G42" s="95"/>
      <c r="H42" s="95"/>
      <c r="I42" s="86"/>
      <c r="J42" s="89"/>
      <c r="K42" s="89"/>
      <c r="L42" s="71"/>
      <c r="M42" s="89"/>
      <c r="N42" s="89"/>
      <c r="O42" s="89"/>
      <c r="P42" s="89"/>
      <c r="Q42" s="89"/>
      <c r="X42"/>
    </row>
    <row r="43" spans="1:35" ht="16.5" thickBot="1">
      <c r="A43" s="70"/>
      <c r="B43" s="96">
        <f>B41*0.2</f>
        <v>26108</v>
      </c>
      <c r="C43" s="96">
        <f>C41*0.2</f>
        <v>27090</v>
      </c>
      <c r="D43" s="96">
        <f>D41*0.2</f>
        <v>15326</v>
      </c>
      <c r="E43" s="96">
        <f>E41*0.2</f>
        <v>357.20000000000005</v>
      </c>
      <c r="F43" s="97">
        <f>SUM(B43:E43)</f>
        <v>68881.2</v>
      </c>
      <c r="G43" s="93"/>
      <c r="H43" s="93"/>
      <c r="I43" s="93"/>
      <c r="J43" s="98"/>
      <c r="K43" s="89"/>
      <c r="L43" s="71"/>
      <c r="M43" s="89"/>
      <c r="N43" s="89"/>
      <c r="O43" s="89"/>
      <c r="P43" s="89"/>
      <c r="X43"/>
    </row>
    <row r="44" spans="1:35" ht="28.5" customHeight="1">
      <c r="B44" s="99">
        <v>45717</v>
      </c>
      <c r="C44" s="99"/>
      <c r="D44" s="100">
        <f ca="1">TODAY()</f>
        <v>45824</v>
      </c>
      <c r="E44" s="101">
        <v>31</v>
      </c>
      <c r="K44" s="89"/>
      <c r="L44" s="71"/>
      <c r="M44" s="89"/>
      <c r="X44"/>
    </row>
    <row r="45" spans="1:35" ht="16.5" customHeight="1">
      <c r="B45" s="99"/>
      <c r="C45" s="99"/>
      <c r="D45" s="100"/>
      <c r="E45" s="101"/>
      <c r="K45" s="89"/>
      <c r="L45" s="71"/>
      <c r="M45" s="89"/>
      <c r="X45"/>
    </row>
    <row r="46" spans="1:35" ht="39.75" customHeight="1" thickBot="1">
      <c r="B46" s="99"/>
      <c r="C46" s="99"/>
      <c r="D46" s="100"/>
      <c r="E46" s="101"/>
      <c r="K46" s="89"/>
      <c r="L46" s="71"/>
      <c r="M46" s="89"/>
      <c r="X46"/>
    </row>
    <row r="47" spans="1:35" ht="43.5" customHeight="1" thickBot="1">
      <c r="A47" s="208"/>
      <c r="B47" s="209"/>
      <c r="C47" s="102" t="s">
        <v>31</v>
      </c>
      <c r="D47" s="102" t="s">
        <v>32</v>
      </c>
      <c r="E47" s="103" t="s">
        <v>33</v>
      </c>
      <c r="F47" s="102" t="s">
        <v>34</v>
      </c>
      <c r="G47" s="104" t="s">
        <v>35</v>
      </c>
      <c r="H47" s="105"/>
      <c r="I47" s="105"/>
      <c r="J47" s="105"/>
      <c r="K47" s="105"/>
      <c r="L47" s="89"/>
      <c r="M47" s="71"/>
      <c r="N47" s="89"/>
      <c r="X47"/>
      <c r="Z47"/>
      <c r="AA47"/>
      <c r="AB47" s="84"/>
      <c r="AD47" s="161"/>
      <c r="AE47" s="162"/>
      <c r="AF47" s="163"/>
      <c r="AG47" s="82"/>
    </row>
    <row r="48" spans="1:35" ht="29.25" customHeight="1">
      <c r="A48" s="210" t="s">
        <v>7</v>
      </c>
      <c r="B48" s="211"/>
      <c r="C48" s="106">
        <v>73350</v>
      </c>
      <c r="D48" s="107">
        <f>C48/31</f>
        <v>2366.1290322580644</v>
      </c>
      <c r="E48" s="108">
        <f>F43/E44</f>
        <v>2221.9741935483871</v>
      </c>
      <c r="F48" s="107">
        <f>D48*E44</f>
        <v>73350</v>
      </c>
      <c r="G48" s="109">
        <f>F43</f>
        <v>68881.2</v>
      </c>
      <c r="H48" s="110"/>
      <c r="I48" s="111"/>
      <c r="J48" s="110"/>
      <c r="K48" s="112"/>
      <c r="L48" s="89"/>
      <c r="M48" s="71"/>
      <c r="N48" s="89"/>
      <c r="X48"/>
      <c r="Z48"/>
      <c r="AA48"/>
      <c r="AB48" s="84"/>
      <c r="AD48" s="161"/>
      <c r="AE48" s="162"/>
      <c r="AF48" s="163"/>
      <c r="AG48" s="82"/>
    </row>
    <row r="49" spans="1:33" ht="29.25" customHeight="1">
      <c r="A49" s="212" t="s">
        <v>8</v>
      </c>
      <c r="B49" s="213"/>
      <c r="C49" s="113">
        <v>22396</v>
      </c>
      <c r="D49" s="114">
        <f>C49/31</f>
        <v>722.45161290322585</v>
      </c>
      <c r="E49" s="115">
        <f>W37/E44</f>
        <v>692.99530322580631</v>
      </c>
      <c r="F49" s="114">
        <f>D49*E44</f>
        <v>22396</v>
      </c>
      <c r="G49" s="116">
        <f>W37</f>
        <v>21482.854399999997</v>
      </c>
      <c r="H49" s="110"/>
      <c r="I49" s="111"/>
      <c r="J49" s="110"/>
      <c r="K49" s="112"/>
      <c r="L49" s="89"/>
      <c r="M49" s="71"/>
      <c r="N49" s="89"/>
      <c r="X49"/>
      <c r="Z49"/>
      <c r="AA49"/>
      <c r="AB49" s="84"/>
      <c r="AD49" s="161"/>
      <c r="AE49" s="162"/>
      <c r="AF49" s="163"/>
      <c r="AG49" s="82"/>
    </row>
    <row r="50" spans="1:33" ht="29.25" customHeight="1" thickBot="1">
      <c r="A50" s="197" t="s">
        <v>36</v>
      </c>
      <c r="B50" s="198"/>
      <c r="C50" s="117">
        <v>165282</v>
      </c>
      <c r="D50" s="118">
        <f>C50/31</f>
        <v>5331.677419354839</v>
      </c>
      <c r="E50" s="119">
        <f>AB37/E44</f>
        <v>4257.8461290322584</v>
      </c>
      <c r="F50" s="118">
        <f>D50*E44</f>
        <v>165282</v>
      </c>
      <c r="G50" s="120">
        <f>AB37</f>
        <v>131993.23000000001</v>
      </c>
      <c r="H50" s="121"/>
      <c r="I50" s="111"/>
      <c r="J50" s="121"/>
      <c r="K50" s="112"/>
      <c r="L50" s="89"/>
      <c r="M50" s="71"/>
      <c r="N50" s="89"/>
      <c r="X50"/>
      <c r="Z50"/>
      <c r="AA50"/>
      <c r="AB50" s="84"/>
      <c r="AD50" s="161"/>
      <c r="AE50" s="162"/>
      <c r="AF50" s="163"/>
      <c r="AG50" s="82"/>
    </row>
    <row r="51" spans="1:33" ht="15.75">
      <c r="A51" s="122"/>
      <c r="B51" s="122"/>
      <c r="C51" s="122"/>
      <c r="D51" s="122"/>
      <c r="E51" s="122"/>
      <c r="F51" s="122"/>
      <c r="G51" s="122"/>
      <c r="H51" s="122"/>
      <c r="I51" s="122"/>
      <c r="J51" s="123"/>
      <c r="K51" s="89"/>
      <c r="L51" s="71"/>
      <c r="M51" s="89"/>
      <c r="X51"/>
    </row>
    <row r="52" spans="1:33" ht="15.75">
      <c r="A52" s="122"/>
      <c r="B52" s="122"/>
      <c r="C52" s="122"/>
      <c r="D52" s="122"/>
      <c r="E52" s="122"/>
      <c r="F52" s="122"/>
      <c r="G52" s="122"/>
      <c r="H52" s="122"/>
      <c r="I52" s="122"/>
      <c r="J52" s="123"/>
      <c r="K52" s="89"/>
      <c r="L52" s="71"/>
      <c r="X52"/>
    </row>
    <row r="53" spans="1:33" ht="15.75">
      <c r="A53" s="122"/>
      <c r="B53" s="122"/>
      <c r="C53" s="122"/>
      <c r="D53" s="122"/>
      <c r="E53" s="122"/>
      <c r="F53" s="122"/>
      <c r="G53" s="122"/>
      <c r="K53" s="89"/>
      <c r="L53" s="71"/>
      <c r="X53"/>
    </row>
    <row r="54" spans="1:33" ht="15.75">
      <c r="A54" s="122"/>
      <c r="B54" s="122"/>
      <c r="C54" s="122"/>
      <c r="D54" s="122"/>
      <c r="E54" s="122"/>
      <c r="F54" s="122"/>
      <c r="G54" s="122"/>
      <c r="K54" s="89"/>
      <c r="L54" s="71"/>
      <c r="X54"/>
    </row>
    <row r="55" spans="1:33" ht="15.75">
      <c r="A55" s="122"/>
      <c r="B55" s="122"/>
      <c r="C55" s="122"/>
      <c r="D55" s="122"/>
      <c r="E55" s="122"/>
      <c r="F55" s="122"/>
      <c r="G55" s="122"/>
      <c r="K55" s="89"/>
      <c r="L55" s="71"/>
      <c r="X55"/>
    </row>
    <row r="56" spans="1:33" ht="15.75">
      <c r="A56" s="122"/>
      <c r="B56" s="122"/>
      <c r="C56" s="122"/>
      <c r="D56" s="122"/>
      <c r="E56" s="122"/>
      <c r="F56" s="122"/>
      <c r="G56" s="122"/>
      <c r="L56" s="71"/>
      <c r="X56"/>
    </row>
    <row r="57" spans="1:33" ht="18.75">
      <c r="G57" s="124"/>
      <c r="H57" s="124"/>
      <c r="I57" s="124"/>
      <c r="L57" s="71"/>
      <c r="X57"/>
    </row>
    <row r="58" spans="1:33" ht="15.75">
      <c r="G58" s="122"/>
      <c r="H58" s="122"/>
      <c r="I58" s="125"/>
      <c r="L58" s="71"/>
      <c r="X58"/>
    </row>
    <row r="59" spans="1:33" ht="15.75">
      <c r="G59" s="122"/>
      <c r="H59" s="122"/>
      <c r="I59" s="125"/>
      <c r="L59" s="71"/>
      <c r="X59"/>
    </row>
    <row r="60" spans="1:33" ht="15.75">
      <c r="G60" s="122"/>
      <c r="H60" s="122"/>
      <c r="I60" s="125"/>
      <c r="L60" s="71"/>
      <c r="X60"/>
    </row>
    <row r="61" spans="1:33" ht="15.75">
      <c r="G61" s="122"/>
      <c r="H61" s="122"/>
      <c r="I61" s="125"/>
      <c r="L61" s="71"/>
      <c r="X61"/>
    </row>
    <row r="62" spans="1:33">
      <c r="L62" s="71"/>
      <c r="X62"/>
    </row>
    <row r="63" spans="1:33">
      <c r="L63" s="71"/>
      <c r="X63"/>
    </row>
    <row r="64" spans="1:33">
      <c r="L64" s="71"/>
      <c r="X64"/>
    </row>
    <row r="65" spans="12:24">
      <c r="L65" s="71"/>
      <c r="X65"/>
    </row>
    <row r="66" spans="12:24">
      <c r="L66" s="71"/>
      <c r="X66"/>
    </row>
    <row r="67" spans="12:24">
      <c r="L67" s="71"/>
      <c r="X67"/>
    </row>
    <row r="68" spans="12:24">
      <c r="L68" s="71"/>
      <c r="X68"/>
    </row>
    <row r="69" spans="12:24">
      <c r="L69" s="71"/>
      <c r="X69"/>
    </row>
    <row r="70" spans="12:24">
      <c r="L70" s="71"/>
      <c r="X70"/>
    </row>
    <row r="71" spans="12:24">
      <c r="L71" s="71"/>
      <c r="X71"/>
    </row>
    <row r="72" spans="12:24">
      <c r="L72" s="71"/>
      <c r="X72"/>
    </row>
    <row r="73" spans="12:24">
      <c r="L73" s="71"/>
      <c r="X73"/>
    </row>
    <row r="74" spans="12:24">
      <c r="L74" s="71"/>
      <c r="X74"/>
    </row>
    <row r="75" spans="12:24">
      <c r="L75" s="71"/>
      <c r="X75"/>
    </row>
    <row r="76" spans="12:24">
      <c r="L76" s="71"/>
      <c r="X76"/>
    </row>
    <row r="77" spans="12:24">
      <c r="L77" s="71"/>
      <c r="X77"/>
    </row>
    <row r="78" spans="12:24">
      <c r="L78" s="71"/>
      <c r="X78"/>
    </row>
    <row r="79" spans="12:24">
      <c r="L79" s="71"/>
      <c r="X79"/>
    </row>
    <row r="80" spans="12:24">
      <c r="L80" s="71"/>
      <c r="X80"/>
    </row>
    <row r="81" spans="12:24">
      <c r="L81" s="71"/>
      <c r="X81"/>
    </row>
    <row r="82" spans="12:24">
      <c r="L82" s="71"/>
      <c r="X82"/>
    </row>
    <row r="83" spans="12:24">
      <c r="L83" s="71"/>
      <c r="X83"/>
    </row>
    <row r="84" spans="12:24">
      <c r="L84" s="71"/>
      <c r="X84"/>
    </row>
    <row r="85" spans="12:24">
      <c r="L85" s="71"/>
      <c r="X85"/>
    </row>
    <row r="86" spans="12:24">
      <c r="L86" s="71"/>
      <c r="X86"/>
    </row>
    <row r="87" spans="12:24">
      <c r="L87" s="71"/>
      <c r="X87"/>
    </row>
    <row r="88" spans="12:24">
      <c r="L88" s="71"/>
      <c r="X88"/>
    </row>
    <row r="89" spans="12:24">
      <c r="L89" s="71"/>
      <c r="X89"/>
    </row>
    <row r="90" spans="12:24">
      <c r="L90" s="71"/>
      <c r="X90"/>
    </row>
    <row r="91" spans="12:24">
      <c r="L91" s="71"/>
      <c r="X91"/>
    </row>
    <row r="92" spans="12:24">
      <c r="L92" s="71"/>
      <c r="X92"/>
    </row>
    <row r="93" spans="12:24">
      <c r="L93" s="71"/>
      <c r="X93"/>
    </row>
    <row r="94" spans="12:24">
      <c r="L94" s="71"/>
      <c r="X94"/>
    </row>
    <row r="95" spans="12:24">
      <c r="L95" s="71"/>
      <c r="X95"/>
    </row>
    <row r="96" spans="12:24">
      <c r="L96" s="71"/>
      <c r="X96"/>
    </row>
    <row r="97" spans="12:24">
      <c r="L97" s="71"/>
      <c r="X97"/>
    </row>
    <row r="98" spans="12:24">
      <c r="L98" s="71"/>
      <c r="X98"/>
    </row>
    <row r="99" spans="12:24">
      <c r="L99" s="71"/>
      <c r="X99"/>
    </row>
    <row r="100" spans="12:24">
      <c r="L100" s="71"/>
      <c r="X100"/>
    </row>
    <row r="101" spans="12:24">
      <c r="L101" s="71"/>
      <c r="X101"/>
    </row>
    <row r="102" spans="12:24">
      <c r="L102" s="71"/>
      <c r="X102"/>
    </row>
    <row r="103" spans="12:24">
      <c r="L103" s="71"/>
      <c r="X103"/>
    </row>
    <row r="104" spans="12:24">
      <c r="L104" s="71"/>
      <c r="X104"/>
    </row>
    <row r="105" spans="12:24">
      <c r="L105" s="71"/>
      <c r="X105"/>
    </row>
    <row r="106" spans="12:24">
      <c r="L106" s="71"/>
      <c r="X106"/>
    </row>
    <row r="107" spans="12:24">
      <c r="L107" s="71"/>
      <c r="X107"/>
    </row>
    <row r="108" spans="12:24">
      <c r="L108" s="71"/>
      <c r="X108"/>
    </row>
    <row r="109" spans="12:24">
      <c r="L109" s="71"/>
      <c r="X109"/>
    </row>
    <row r="110" spans="12:24">
      <c r="L110" s="71"/>
      <c r="X110"/>
    </row>
    <row r="111" spans="12:24">
      <c r="L111" s="71"/>
      <c r="X111"/>
    </row>
    <row r="112" spans="12:24">
      <c r="L112" s="71"/>
      <c r="X112"/>
    </row>
    <row r="113" spans="12:24">
      <c r="L113" s="71"/>
      <c r="X113"/>
    </row>
    <row r="114" spans="12:24">
      <c r="L114" s="71"/>
      <c r="X114"/>
    </row>
    <row r="115" spans="12:24">
      <c r="L115" s="71"/>
      <c r="X115"/>
    </row>
    <row r="116" spans="12:24">
      <c r="L116" s="71"/>
      <c r="X116"/>
    </row>
    <row r="117" spans="12:24">
      <c r="L117" s="71"/>
      <c r="X117"/>
    </row>
    <row r="118" spans="12:24">
      <c r="L118" s="71"/>
      <c r="X118"/>
    </row>
    <row r="119" spans="12:24">
      <c r="L119" s="71"/>
      <c r="X119"/>
    </row>
    <row r="120" spans="12:24">
      <c r="L120" s="71"/>
      <c r="X120"/>
    </row>
    <row r="121" spans="12:24">
      <c r="L121" s="71"/>
      <c r="X121"/>
    </row>
    <row r="122" spans="12:24">
      <c r="L122" s="71"/>
      <c r="X122"/>
    </row>
    <row r="123" spans="12:24">
      <c r="L123" s="71"/>
      <c r="X123"/>
    </row>
    <row r="124" spans="12:24">
      <c r="L124" s="71"/>
      <c r="X124"/>
    </row>
    <row r="125" spans="12:24">
      <c r="L125" s="71"/>
      <c r="X125"/>
    </row>
    <row r="126" spans="12:24">
      <c r="L126" s="71"/>
      <c r="X126"/>
    </row>
    <row r="127" spans="12:24">
      <c r="L127" s="71"/>
      <c r="X127"/>
    </row>
    <row r="128" spans="12:24">
      <c r="L128" s="71"/>
      <c r="X128"/>
    </row>
    <row r="129" spans="12:24">
      <c r="L129" s="71"/>
      <c r="X129"/>
    </row>
    <row r="130" spans="12:24">
      <c r="L130" s="71"/>
      <c r="X130"/>
    </row>
    <row r="131" spans="12:24">
      <c r="L131" s="71"/>
      <c r="X131"/>
    </row>
    <row r="132" spans="12:24">
      <c r="L132" s="71"/>
      <c r="X132"/>
    </row>
    <row r="133" spans="12:24">
      <c r="L133" s="71"/>
      <c r="X133"/>
    </row>
    <row r="134" spans="12:24">
      <c r="L134" s="71"/>
      <c r="X134"/>
    </row>
    <row r="135" spans="12:24">
      <c r="L135" s="71"/>
      <c r="X135"/>
    </row>
    <row r="136" spans="12:24">
      <c r="L136" s="71"/>
      <c r="X136"/>
    </row>
    <row r="137" spans="12:24">
      <c r="L137" s="71"/>
      <c r="X137"/>
    </row>
    <row r="138" spans="12:24">
      <c r="L138" s="71"/>
      <c r="X138"/>
    </row>
    <row r="139" spans="12:24">
      <c r="L139" s="71"/>
      <c r="X139"/>
    </row>
    <row r="140" spans="12:24">
      <c r="L140" s="71"/>
      <c r="X140"/>
    </row>
    <row r="141" spans="12:24">
      <c r="L141" s="71"/>
      <c r="X141"/>
    </row>
    <row r="142" spans="12:24">
      <c r="L142" s="71"/>
      <c r="X142"/>
    </row>
    <row r="143" spans="12:24">
      <c r="L143" s="71"/>
      <c r="X143"/>
    </row>
    <row r="144" spans="12:24">
      <c r="L144" s="71"/>
      <c r="X144"/>
    </row>
    <row r="145" spans="12:24">
      <c r="L145" s="71"/>
      <c r="X145"/>
    </row>
    <row r="146" spans="12:24">
      <c r="L146" s="71"/>
      <c r="X146"/>
    </row>
    <row r="147" spans="12:24">
      <c r="L147" s="71"/>
      <c r="X147"/>
    </row>
    <row r="148" spans="12:24">
      <c r="L148" s="71"/>
      <c r="X148"/>
    </row>
    <row r="149" spans="12:24">
      <c r="L149" s="71"/>
      <c r="X149"/>
    </row>
    <row r="150" spans="12:24">
      <c r="L150" s="71"/>
      <c r="X150"/>
    </row>
    <row r="151" spans="12:24">
      <c r="L151" s="71"/>
      <c r="X151"/>
    </row>
    <row r="152" spans="12:24">
      <c r="L152" s="71"/>
      <c r="X152"/>
    </row>
    <row r="153" spans="12:24">
      <c r="L153" s="71"/>
      <c r="X153"/>
    </row>
    <row r="154" spans="12:24">
      <c r="L154" s="71"/>
      <c r="X154"/>
    </row>
    <row r="155" spans="12:24">
      <c r="L155" s="71"/>
      <c r="X155"/>
    </row>
    <row r="156" spans="12:24">
      <c r="L156" s="71"/>
      <c r="X156"/>
    </row>
    <row r="157" spans="12:24">
      <c r="L157" s="71"/>
      <c r="X157"/>
    </row>
    <row r="158" spans="12:24">
      <c r="L158" s="71"/>
      <c r="X158"/>
    </row>
    <row r="159" spans="12:24">
      <c r="L159" s="71"/>
      <c r="X159"/>
    </row>
    <row r="160" spans="12:24">
      <c r="L160" s="71"/>
      <c r="X160"/>
    </row>
    <row r="161" spans="12:24">
      <c r="L161" s="71"/>
      <c r="X161"/>
    </row>
    <row r="162" spans="12:24">
      <c r="L162" s="71"/>
      <c r="X162"/>
    </row>
    <row r="163" spans="12:24">
      <c r="L163" s="71"/>
      <c r="X163"/>
    </row>
    <row r="164" spans="12:24">
      <c r="L164" s="71"/>
      <c r="X164"/>
    </row>
    <row r="165" spans="12:24">
      <c r="L165" s="71"/>
      <c r="X165"/>
    </row>
    <row r="166" spans="12:24">
      <c r="L166" s="71"/>
      <c r="X166"/>
    </row>
    <row r="167" spans="12:24">
      <c r="L167" s="71"/>
      <c r="X167"/>
    </row>
    <row r="168" spans="12:24">
      <c r="L168" s="71"/>
      <c r="X168"/>
    </row>
    <row r="169" spans="12:24">
      <c r="L169" s="71"/>
      <c r="X169"/>
    </row>
    <row r="170" spans="12:24">
      <c r="L170" s="71"/>
      <c r="X170"/>
    </row>
    <row r="171" spans="12:24">
      <c r="L171" s="71"/>
      <c r="X171"/>
    </row>
    <row r="172" spans="12:24">
      <c r="L172" s="71"/>
      <c r="X172"/>
    </row>
    <row r="173" spans="12:24">
      <c r="L173" s="71"/>
      <c r="X173"/>
    </row>
    <row r="174" spans="12:24">
      <c r="L174" s="71"/>
      <c r="X174"/>
    </row>
    <row r="175" spans="12:24">
      <c r="L175" s="71"/>
      <c r="X175"/>
    </row>
    <row r="176" spans="12:24">
      <c r="L176" s="71"/>
      <c r="X176"/>
    </row>
    <row r="177" spans="12:24">
      <c r="L177" s="71"/>
      <c r="X177"/>
    </row>
    <row r="178" spans="12:24">
      <c r="L178" s="71"/>
      <c r="X178"/>
    </row>
    <row r="179" spans="12:24">
      <c r="L179" s="71"/>
      <c r="X179"/>
    </row>
    <row r="180" spans="12:24">
      <c r="L180" s="71"/>
      <c r="X180"/>
    </row>
    <row r="181" spans="12:24">
      <c r="L181" s="71"/>
      <c r="X181"/>
    </row>
    <row r="182" spans="12:24">
      <c r="L182" s="71"/>
      <c r="X182"/>
    </row>
    <row r="183" spans="12:24">
      <c r="L183" s="71"/>
      <c r="X183"/>
    </row>
    <row r="184" spans="12:24">
      <c r="L184" s="71"/>
      <c r="X184"/>
    </row>
    <row r="185" spans="12:24">
      <c r="L185" s="71"/>
      <c r="X185"/>
    </row>
    <row r="186" spans="12:24">
      <c r="L186" s="71"/>
      <c r="X186"/>
    </row>
    <row r="187" spans="12:24">
      <c r="L187" s="71"/>
      <c r="X187"/>
    </row>
    <row r="188" spans="12:24">
      <c r="L188" s="71"/>
      <c r="X188"/>
    </row>
    <row r="189" spans="12:24">
      <c r="L189" s="71"/>
      <c r="X189"/>
    </row>
    <row r="190" spans="12:24">
      <c r="L190" s="71"/>
      <c r="X190"/>
    </row>
    <row r="191" spans="12:24">
      <c r="L191" s="71"/>
      <c r="X191"/>
    </row>
    <row r="192" spans="12:24">
      <c r="L192" s="71"/>
      <c r="X192"/>
    </row>
    <row r="193" spans="12:24">
      <c r="L193" s="71"/>
      <c r="X193"/>
    </row>
    <row r="194" spans="12:24">
      <c r="L194" s="71"/>
      <c r="X194"/>
    </row>
    <row r="195" spans="12:24">
      <c r="L195" s="71"/>
      <c r="X195"/>
    </row>
    <row r="196" spans="12:24">
      <c r="L196" s="71"/>
      <c r="X196"/>
    </row>
    <row r="197" spans="12:24">
      <c r="L197" s="71"/>
      <c r="X197"/>
    </row>
    <row r="198" spans="12:24">
      <c r="L198" s="71"/>
      <c r="X198"/>
    </row>
    <row r="199" spans="12:24">
      <c r="L199" s="71"/>
      <c r="X199"/>
    </row>
    <row r="200" spans="12:24">
      <c r="L200" s="71"/>
      <c r="X200"/>
    </row>
    <row r="201" spans="12:24">
      <c r="L201" s="71"/>
      <c r="X201"/>
    </row>
    <row r="202" spans="12:24">
      <c r="L202" s="71"/>
      <c r="X202"/>
    </row>
    <row r="203" spans="12:24">
      <c r="L203" s="71"/>
      <c r="X203"/>
    </row>
    <row r="204" spans="12:24">
      <c r="L204" s="71"/>
      <c r="X204"/>
    </row>
    <row r="205" spans="12:24">
      <c r="L205" s="71"/>
      <c r="X205"/>
    </row>
    <row r="206" spans="12:24">
      <c r="L206" s="71"/>
      <c r="X206"/>
    </row>
    <row r="207" spans="12:24">
      <c r="L207" s="71"/>
      <c r="X207"/>
    </row>
    <row r="208" spans="12:24">
      <c r="L208" s="71"/>
      <c r="X208"/>
    </row>
    <row r="209" spans="12:24">
      <c r="L209" s="71"/>
      <c r="X209"/>
    </row>
    <row r="210" spans="12:24">
      <c r="L210" s="71"/>
      <c r="X210"/>
    </row>
    <row r="211" spans="12:24">
      <c r="L211" s="71"/>
      <c r="X211"/>
    </row>
    <row r="212" spans="12:24">
      <c r="L212" s="71"/>
      <c r="X212"/>
    </row>
    <row r="213" spans="12:24">
      <c r="L213" s="71"/>
      <c r="X213"/>
    </row>
    <row r="214" spans="12:24">
      <c r="L214" s="71"/>
      <c r="X214"/>
    </row>
    <row r="215" spans="12:24">
      <c r="L215" s="71"/>
      <c r="X215"/>
    </row>
    <row r="216" spans="12:24">
      <c r="L216" s="71"/>
      <c r="X216"/>
    </row>
    <row r="217" spans="12:24">
      <c r="L217" s="71"/>
      <c r="X217"/>
    </row>
    <row r="218" spans="12:24">
      <c r="L218" s="71"/>
      <c r="X218"/>
    </row>
    <row r="219" spans="12:24">
      <c r="L219" s="71"/>
      <c r="X219"/>
    </row>
    <row r="220" spans="12:24">
      <c r="L220" s="71"/>
      <c r="X220"/>
    </row>
    <row r="221" spans="12:24">
      <c r="L221" s="71"/>
      <c r="X221"/>
    </row>
    <row r="222" spans="12:24">
      <c r="L222" s="71"/>
      <c r="X222"/>
    </row>
    <row r="223" spans="12:24">
      <c r="L223" s="71"/>
      <c r="X223"/>
    </row>
    <row r="224" spans="12:24">
      <c r="L224" s="71"/>
      <c r="X224"/>
    </row>
    <row r="225" spans="12:24">
      <c r="L225" s="71"/>
      <c r="X225"/>
    </row>
    <row r="226" spans="12:24">
      <c r="L226" s="71"/>
      <c r="X226"/>
    </row>
    <row r="227" spans="12:24">
      <c r="L227" s="71"/>
      <c r="X227"/>
    </row>
    <row r="228" spans="12:24">
      <c r="L228" s="71"/>
      <c r="X228"/>
    </row>
    <row r="229" spans="12:24">
      <c r="L229" s="71"/>
      <c r="X229"/>
    </row>
    <row r="230" spans="12:24">
      <c r="L230" s="71"/>
      <c r="X230"/>
    </row>
    <row r="231" spans="12:24">
      <c r="L231" s="71"/>
      <c r="X231"/>
    </row>
    <row r="232" spans="12:24">
      <c r="L232" s="71"/>
      <c r="X232"/>
    </row>
    <row r="233" spans="12:24">
      <c r="L233" s="71"/>
      <c r="X233"/>
    </row>
    <row r="234" spans="12:24">
      <c r="L234" s="71"/>
      <c r="X234"/>
    </row>
    <row r="235" spans="12:24">
      <c r="L235" s="71"/>
      <c r="X235"/>
    </row>
    <row r="236" spans="12:24">
      <c r="L236" s="71"/>
      <c r="X236"/>
    </row>
    <row r="237" spans="12:24">
      <c r="L237" s="71"/>
      <c r="X237"/>
    </row>
    <row r="238" spans="12:24">
      <c r="L238" s="71"/>
      <c r="X238"/>
    </row>
    <row r="239" spans="12:24">
      <c r="L239" s="71"/>
      <c r="X239"/>
    </row>
    <row r="240" spans="12:24">
      <c r="L240" s="71"/>
      <c r="X240"/>
    </row>
    <row r="241" spans="12:24">
      <c r="L241" s="71"/>
      <c r="X241"/>
    </row>
    <row r="242" spans="12:24">
      <c r="L242" s="71"/>
      <c r="X242"/>
    </row>
    <row r="243" spans="12:24">
      <c r="L243" s="71"/>
      <c r="X243"/>
    </row>
    <row r="244" spans="12:24">
      <c r="L244" s="71"/>
      <c r="X244"/>
    </row>
    <row r="245" spans="12:24">
      <c r="L245" s="71"/>
      <c r="X245"/>
    </row>
    <row r="246" spans="12:24">
      <c r="L246" s="71"/>
      <c r="X246"/>
    </row>
    <row r="247" spans="12:24">
      <c r="L247" s="71"/>
      <c r="X247"/>
    </row>
    <row r="248" spans="12:24">
      <c r="L248" s="71"/>
      <c r="X248"/>
    </row>
    <row r="249" spans="12:24">
      <c r="L249" s="71"/>
      <c r="X249"/>
    </row>
    <row r="250" spans="12:24">
      <c r="L250" s="71"/>
      <c r="X250"/>
    </row>
    <row r="251" spans="12:24">
      <c r="L251" s="71"/>
      <c r="X251"/>
    </row>
    <row r="252" spans="12:24">
      <c r="L252" s="71"/>
      <c r="X252"/>
    </row>
    <row r="253" spans="12:24">
      <c r="L253" s="71"/>
      <c r="X253"/>
    </row>
    <row r="254" spans="12:24">
      <c r="L254" s="71"/>
      <c r="X254"/>
    </row>
    <row r="255" spans="12:24">
      <c r="L255" s="71"/>
      <c r="X255"/>
    </row>
    <row r="256" spans="12:24">
      <c r="L256" s="71"/>
      <c r="X256"/>
    </row>
    <row r="257" spans="12:24">
      <c r="L257" s="71"/>
      <c r="X257"/>
    </row>
    <row r="258" spans="12:24">
      <c r="L258" s="71"/>
      <c r="X258"/>
    </row>
    <row r="259" spans="12:24">
      <c r="L259" s="71"/>
      <c r="X259"/>
    </row>
    <row r="260" spans="12:24">
      <c r="L260" s="71"/>
      <c r="X260"/>
    </row>
    <row r="261" spans="12:24">
      <c r="L261" s="71"/>
      <c r="X261"/>
    </row>
    <row r="262" spans="12:24">
      <c r="L262" s="71"/>
      <c r="X262"/>
    </row>
    <row r="263" spans="12:24">
      <c r="L263" s="71"/>
      <c r="X263"/>
    </row>
    <row r="264" spans="12:24">
      <c r="L264" s="71"/>
      <c r="X264"/>
    </row>
    <row r="265" spans="12:24">
      <c r="L265" s="71"/>
      <c r="X265"/>
    </row>
    <row r="266" spans="12:24">
      <c r="L266" s="71"/>
      <c r="X266"/>
    </row>
    <row r="267" spans="12:24">
      <c r="L267" s="71"/>
      <c r="X267"/>
    </row>
    <row r="268" spans="12:24">
      <c r="L268" s="71"/>
      <c r="X268"/>
    </row>
    <row r="269" spans="12:24">
      <c r="L269" s="71"/>
      <c r="X269"/>
    </row>
    <row r="270" spans="12:24">
      <c r="L270" s="71"/>
      <c r="X270"/>
    </row>
    <row r="271" spans="12:24">
      <c r="L271" s="71"/>
      <c r="X271"/>
    </row>
    <row r="272" spans="12:24">
      <c r="L272" s="71"/>
      <c r="X272"/>
    </row>
    <row r="273" spans="12:24">
      <c r="L273" s="71"/>
      <c r="X273"/>
    </row>
    <row r="274" spans="12:24">
      <c r="L274" s="71"/>
      <c r="X274"/>
    </row>
    <row r="275" spans="12:24">
      <c r="L275" s="71"/>
      <c r="X275"/>
    </row>
    <row r="276" spans="12:24">
      <c r="L276" s="71"/>
      <c r="X276"/>
    </row>
    <row r="277" spans="12:24">
      <c r="L277" s="71"/>
      <c r="X277"/>
    </row>
    <row r="278" spans="12:24">
      <c r="L278" s="71"/>
      <c r="X278"/>
    </row>
    <row r="279" spans="12:24">
      <c r="L279" s="71"/>
      <c r="X279"/>
    </row>
    <row r="280" spans="12:24">
      <c r="L280" s="71"/>
      <c r="X280"/>
    </row>
    <row r="281" spans="12:24">
      <c r="L281" s="71"/>
      <c r="X281"/>
    </row>
    <row r="282" spans="12:24">
      <c r="L282" s="71"/>
      <c r="X282"/>
    </row>
    <row r="283" spans="12:24">
      <c r="L283" s="71"/>
      <c r="X283"/>
    </row>
    <row r="284" spans="12:24">
      <c r="L284" s="71"/>
      <c r="X284"/>
    </row>
    <row r="285" spans="12:24">
      <c r="L285" s="71"/>
      <c r="X285"/>
    </row>
    <row r="286" spans="12:24">
      <c r="L286" s="71"/>
      <c r="X286"/>
    </row>
    <row r="287" spans="12:24">
      <c r="L287" s="71"/>
      <c r="X287"/>
    </row>
    <row r="288" spans="12:24">
      <c r="L288" s="71"/>
      <c r="X288"/>
    </row>
    <row r="289" spans="12:24">
      <c r="L289" s="71"/>
      <c r="X289"/>
    </row>
    <row r="290" spans="12:24">
      <c r="L290" s="71"/>
      <c r="X290"/>
    </row>
    <row r="291" spans="12:24">
      <c r="L291" s="71"/>
      <c r="X291"/>
    </row>
    <row r="292" spans="12:24">
      <c r="L292" s="71"/>
      <c r="X292"/>
    </row>
    <row r="293" spans="12:24">
      <c r="L293" s="71"/>
      <c r="X293"/>
    </row>
    <row r="294" spans="12:24">
      <c r="L294" s="71"/>
      <c r="X294"/>
    </row>
    <row r="295" spans="12:24">
      <c r="L295" s="71"/>
      <c r="X295"/>
    </row>
    <row r="296" spans="12:24">
      <c r="L296" s="71"/>
      <c r="X296"/>
    </row>
    <row r="297" spans="12:24">
      <c r="L297" s="71"/>
      <c r="X297"/>
    </row>
    <row r="298" spans="12:24">
      <c r="L298" s="71"/>
      <c r="X298"/>
    </row>
    <row r="299" spans="12:24">
      <c r="L299" s="71"/>
      <c r="X299"/>
    </row>
    <row r="300" spans="12:24">
      <c r="L300" s="71"/>
      <c r="X300"/>
    </row>
    <row r="301" spans="12:24">
      <c r="L301" s="71"/>
      <c r="X301"/>
    </row>
    <row r="302" spans="12:24">
      <c r="L302" s="71"/>
      <c r="X302"/>
    </row>
    <row r="303" spans="12:24">
      <c r="L303" s="71"/>
      <c r="X303"/>
    </row>
    <row r="304" spans="12:24">
      <c r="L304" s="71"/>
      <c r="X304"/>
    </row>
    <row r="305" spans="12:24">
      <c r="L305" s="71"/>
      <c r="X305"/>
    </row>
    <row r="306" spans="12:24">
      <c r="L306" s="71"/>
      <c r="X306"/>
    </row>
    <row r="307" spans="12:24">
      <c r="L307" s="71"/>
      <c r="X307"/>
    </row>
    <row r="308" spans="12:24">
      <c r="L308" s="71"/>
      <c r="X308"/>
    </row>
    <row r="309" spans="12:24">
      <c r="L309" s="71"/>
      <c r="X309"/>
    </row>
    <row r="310" spans="12:24">
      <c r="L310" s="71"/>
      <c r="X310"/>
    </row>
    <row r="311" spans="12:24">
      <c r="L311" s="71"/>
      <c r="X311"/>
    </row>
    <row r="312" spans="12:24">
      <c r="L312" s="71"/>
      <c r="X312"/>
    </row>
    <row r="313" spans="12:24">
      <c r="L313" s="71"/>
      <c r="X313"/>
    </row>
    <row r="314" spans="12:24">
      <c r="L314" s="71"/>
      <c r="X314"/>
    </row>
    <row r="315" spans="12:24">
      <c r="L315" s="71"/>
      <c r="X315"/>
    </row>
    <row r="316" spans="12:24">
      <c r="L316" s="71"/>
      <c r="X316"/>
    </row>
    <row r="317" spans="12:24">
      <c r="L317" s="71"/>
      <c r="X317"/>
    </row>
    <row r="318" spans="12:24">
      <c r="L318" s="71"/>
      <c r="X318"/>
    </row>
    <row r="319" spans="12:24">
      <c r="L319" s="71"/>
      <c r="X319"/>
    </row>
    <row r="320" spans="12:24">
      <c r="L320" s="71"/>
      <c r="X320"/>
    </row>
    <row r="321" spans="12:24">
      <c r="L321" s="71"/>
      <c r="X321"/>
    </row>
    <row r="322" spans="12:24">
      <c r="L322" s="71"/>
      <c r="X322"/>
    </row>
    <row r="323" spans="12:24">
      <c r="L323" s="71"/>
      <c r="X323"/>
    </row>
    <row r="324" spans="12:24">
      <c r="L324" s="71"/>
      <c r="X324"/>
    </row>
    <row r="325" spans="12:24">
      <c r="L325" s="71"/>
      <c r="X325"/>
    </row>
    <row r="326" spans="12:24">
      <c r="L326" s="71"/>
      <c r="X326"/>
    </row>
    <row r="327" spans="12:24">
      <c r="L327" s="71"/>
      <c r="X327"/>
    </row>
    <row r="328" spans="12:24">
      <c r="L328" s="71"/>
      <c r="X328"/>
    </row>
    <row r="329" spans="12:24">
      <c r="L329" s="71"/>
      <c r="X329"/>
    </row>
    <row r="330" spans="12:24">
      <c r="L330" s="71"/>
      <c r="X330"/>
    </row>
    <row r="331" spans="12:24">
      <c r="L331" s="71"/>
      <c r="X331"/>
    </row>
    <row r="332" spans="12:24">
      <c r="L332" s="71"/>
      <c r="X332"/>
    </row>
    <row r="333" spans="12:24">
      <c r="L333" s="71"/>
      <c r="X333"/>
    </row>
    <row r="334" spans="12:24">
      <c r="L334" s="71"/>
      <c r="X334"/>
    </row>
    <row r="335" spans="12:24">
      <c r="L335" s="71"/>
      <c r="X335"/>
    </row>
    <row r="336" spans="12:24">
      <c r="L336" s="71"/>
      <c r="X336"/>
    </row>
    <row r="337" spans="12:24">
      <c r="L337" s="71"/>
      <c r="X337"/>
    </row>
    <row r="338" spans="12:24">
      <c r="L338" s="71"/>
      <c r="X338"/>
    </row>
    <row r="339" spans="12:24">
      <c r="L339" s="71"/>
      <c r="X339"/>
    </row>
    <row r="340" spans="12:24">
      <c r="L340" s="71"/>
      <c r="X340"/>
    </row>
    <row r="341" spans="12:24">
      <c r="L341" s="71"/>
      <c r="X341"/>
    </row>
    <row r="342" spans="12:24">
      <c r="L342" s="71"/>
      <c r="X342"/>
    </row>
    <row r="343" spans="12:24">
      <c r="L343" s="71"/>
      <c r="X343"/>
    </row>
    <row r="344" spans="12:24">
      <c r="L344" s="71"/>
      <c r="X344"/>
    </row>
    <row r="345" spans="12:24">
      <c r="L345" s="71"/>
      <c r="X345"/>
    </row>
    <row r="346" spans="12:24">
      <c r="L346" s="71"/>
      <c r="X346"/>
    </row>
    <row r="347" spans="12:24">
      <c r="L347" s="71"/>
      <c r="X347"/>
    </row>
    <row r="348" spans="12:24">
      <c r="L348" s="71"/>
      <c r="X348"/>
    </row>
    <row r="349" spans="12:24">
      <c r="L349" s="71"/>
      <c r="X349"/>
    </row>
    <row r="350" spans="12:24">
      <c r="L350" s="71"/>
      <c r="X350"/>
    </row>
    <row r="351" spans="12:24">
      <c r="L351" s="71"/>
      <c r="X351"/>
    </row>
    <row r="352" spans="12:24">
      <c r="L352" s="71"/>
      <c r="X352"/>
    </row>
    <row r="353" spans="12:24">
      <c r="L353" s="71"/>
      <c r="X353"/>
    </row>
    <row r="354" spans="12:24">
      <c r="L354" s="71"/>
      <c r="X354"/>
    </row>
    <row r="355" spans="12:24">
      <c r="L355" s="71"/>
      <c r="X355"/>
    </row>
    <row r="356" spans="12:24">
      <c r="L356" s="71"/>
      <c r="X356"/>
    </row>
    <row r="357" spans="12:24">
      <c r="L357" s="71"/>
      <c r="X357"/>
    </row>
    <row r="358" spans="12:24">
      <c r="L358" s="71"/>
      <c r="X358"/>
    </row>
    <row r="359" spans="12:24">
      <c r="L359" s="71"/>
      <c r="X359"/>
    </row>
    <row r="360" spans="12:24">
      <c r="L360" s="71"/>
      <c r="X360"/>
    </row>
    <row r="361" spans="12:24">
      <c r="L361" s="71"/>
      <c r="X361"/>
    </row>
    <row r="362" spans="12:24">
      <c r="L362" s="71"/>
      <c r="X362"/>
    </row>
    <row r="363" spans="12:24">
      <c r="L363" s="71"/>
      <c r="X363"/>
    </row>
    <row r="364" spans="12:24">
      <c r="L364" s="71"/>
      <c r="X364"/>
    </row>
    <row r="365" spans="12:24">
      <c r="L365" s="71"/>
      <c r="X365"/>
    </row>
    <row r="366" spans="12:24">
      <c r="L366" s="71"/>
      <c r="X366"/>
    </row>
    <row r="367" spans="12:24">
      <c r="L367" s="71"/>
      <c r="X367"/>
    </row>
    <row r="368" spans="12:24">
      <c r="L368" s="71"/>
      <c r="X368"/>
    </row>
    <row r="369" spans="12:24">
      <c r="L369" s="71"/>
      <c r="X369"/>
    </row>
    <row r="370" spans="12:24">
      <c r="L370" s="71"/>
      <c r="X370"/>
    </row>
    <row r="371" spans="12:24">
      <c r="L371" s="71"/>
      <c r="X371"/>
    </row>
    <row r="372" spans="12:24">
      <c r="L372" s="71"/>
      <c r="X372"/>
    </row>
    <row r="373" spans="12:24">
      <c r="L373" s="71"/>
      <c r="X373"/>
    </row>
    <row r="374" spans="12:24">
      <c r="L374" s="71"/>
      <c r="X374"/>
    </row>
    <row r="375" spans="12:24">
      <c r="L375" s="71"/>
      <c r="X375"/>
    </row>
    <row r="376" spans="12:24">
      <c r="L376" s="71"/>
      <c r="X376"/>
    </row>
    <row r="377" spans="12:24">
      <c r="L377" s="71"/>
      <c r="X377"/>
    </row>
    <row r="378" spans="12:24">
      <c r="L378" s="71"/>
      <c r="X378"/>
    </row>
    <row r="379" spans="12:24">
      <c r="L379" s="71"/>
      <c r="X379"/>
    </row>
    <row r="380" spans="12:24">
      <c r="L380" s="71"/>
      <c r="X380"/>
    </row>
    <row r="381" spans="12:24">
      <c r="L381" s="71"/>
      <c r="X381"/>
    </row>
    <row r="382" spans="12:24">
      <c r="L382" s="71"/>
      <c r="X382"/>
    </row>
    <row r="383" spans="12:24">
      <c r="L383" s="71"/>
      <c r="X383"/>
    </row>
    <row r="384" spans="12:24">
      <c r="L384" s="71"/>
      <c r="X384"/>
    </row>
    <row r="385" spans="12:24">
      <c r="L385" s="71"/>
      <c r="X385"/>
    </row>
    <row r="386" spans="12:24">
      <c r="L386" s="71"/>
      <c r="X386"/>
    </row>
    <row r="387" spans="12:24">
      <c r="L387" s="71"/>
      <c r="X387"/>
    </row>
    <row r="388" spans="12:24">
      <c r="L388" s="71"/>
      <c r="X388"/>
    </row>
    <row r="389" spans="12:24">
      <c r="L389" s="71"/>
      <c r="X389"/>
    </row>
    <row r="390" spans="12:24">
      <c r="L390" s="71"/>
      <c r="X390"/>
    </row>
    <row r="391" spans="12:24">
      <c r="L391" s="71"/>
      <c r="X391"/>
    </row>
    <row r="392" spans="12:24">
      <c r="L392" s="71"/>
      <c r="X392"/>
    </row>
    <row r="393" spans="12:24">
      <c r="L393" s="71"/>
      <c r="X393"/>
    </row>
    <row r="394" spans="12:24">
      <c r="L394" s="71"/>
      <c r="X394"/>
    </row>
    <row r="395" spans="12:24">
      <c r="L395" s="71"/>
      <c r="X395"/>
    </row>
    <row r="396" spans="12:24">
      <c r="L396" s="71"/>
      <c r="X396"/>
    </row>
    <row r="397" spans="12:24">
      <c r="L397" s="71"/>
      <c r="X397"/>
    </row>
    <row r="398" spans="12:24">
      <c r="L398" s="71"/>
      <c r="X398"/>
    </row>
    <row r="399" spans="12:24">
      <c r="L399" s="71"/>
      <c r="X399"/>
    </row>
    <row r="400" spans="12:24">
      <c r="L400" s="71"/>
      <c r="X400"/>
    </row>
    <row r="401" spans="12:24">
      <c r="L401" s="71"/>
      <c r="X401"/>
    </row>
    <row r="402" spans="12:24">
      <c r="L402" s="71"/>
      <c r="X402"/>
    </row>
    <row r="403" spans="12:24">
      <c r="L403" s="71"/>
      <c r="X403"/>
    </row>
    <row r="404" spans="12:24">
      <c r="L404" s="71"/>
      <c r="X404"/>
    </row>
    <row r="405" spans="12:24">
      <c r="L405" s="71"/>
      <c r="X405"/>
    </row>
    <row r="406" spans="12:24">
      <c r="L406" s="71"/>
      <c r="X406"/>
    </row>
    <row r="407" spans="12:24">
      <c r="L407" s="71"/>
      <c r="X407"/>
    </row>
    <row r="408" spans="12:24">
      <c r="L408" s="71"/>
      <c r="X408"/>
    </row>
    <row r="409" spans="12:24">
      <c r="L409" s="71"/>
      <c r="X409"/>
    </row>
    <row r="410" spans="12:24">
      <c r="L410" s="71"/>
      <c r="X410"/>
    </row>
    <row r="411" spans="12:24">
      <c r="L411" s="71"/>
      <c r="X411"/>
    </row>
    <row r="412" spans="12:24">
      <c r="L412" s="71"/>
      <c r="X412"/>
    </row>
    <row r="413" spans="12:24">
      <c r="L413" s="71"/>
      <c r="X413"/>
    </row>
    <row r="414" spans="12:24">
      <c r="L414" s="71"/>
      <c r="X414"/>
    </row>
    <row r="415" spans="12:24">
      <c r="L415" s="71"/>
      <c r="X415"/>
    </row>
    <row r="416" spans="12:24">
      <c r="L416" s="71"/>
      <c r="X416"/>
    </row>
    <row r="417" spans="12:24">
      <c r="L417" s="71"/>
      <c r="X417"/>
    </row>
    <row r="418" spans="12:24">
      <c r="L418" s="71"/>
      <c r="X418"/>
    </row>
    <row r="419" spans="12:24">
      <c r="L419" s="71"/>
      <c r="X419"/>
    </row>
    <row r="420" spans="12:24">
      <c r="L420" s="71"/>
      <c r="X420"/>
    </row>
    <row r="421" spans="12:24">
      <c r="L421" s="71"/>
      <c r="X421"/>
    </row>
    <row r="422" spans="12:24">
      <c r="L422" s="71"/>
      <c r="X422"/>
    </row>
    <row r="423" spans="12:24">
      <c r="L423" s="71"/>
      <c r="X423"/>
    </row>
    <row r="424" spans="12:24">
      <c r="L424" s="71"/>
      <c r="X424"/>
    </row>
    <row r="425" spans="12:24">
      <c r="L425" s="71"/>
      <c r="X425"/>
    </row>
    <row r="426" spans="12:24">
      <c r="L426" s="71"/>
      <c r="X426"/>
    </row>
    <row r="427" spans="12:24">
      <c r="L427" s="71"/>
      <c r="X427"/>
    </row>
    <row r="428" spans="12:24">
      <c r="L428" s="71"/>
      <c r="X428"/>
    </row>
    <row r="429" spans="12:24">
      <c r="L429" s="71"/>
      <c r="X429"/>
    </row>
    <row r="430" spans="12:24">
      <c r="L430" s="71"/>
      <c r="X430"/>
    </row>
    <row r="431" spans="12:24">
      <c r="L431" s="71"/>
      <c r="X431"/>
    </row>
    <row r="432" spans="12:24">
      <c r="L432" s="71"/>
      <c r="X432"/>
    </row>
    <row r="433" spans="12:24">
      <c r="L433" s="71"/>
      <c r="X433"/>
    </row>
    <row r="434" spans="12:24">
      <c r="L434" s="71"/>
      <c r="X434"/>
    </row>
    <row r="435" spans="12:24">
      <c r="L435" s="71"/>
      <c r="X435"/>
    </row>
    <row r="436" spans="12:24">
      <c r="L436" s="71"/>
      <c r="X436"/>
    </row>
    <row r="437" spans="12:24">
      <c r="L437" s="71"/>
      <c r="X437"/>
    </row>
    <row r="438" spans="12:24">
      <c r="L438" s="71"/>
      <c r="X438"/>
    </row>
    <row r="439" spans="12:24">
      <c r="L439" s="71"/>
      <c r="X439"/>
    </row>
    <row r="440" spans="12:24">
      <c r="L440" s="71"/>
      <c r="X440"/>
    </row>
    <row r="441" spans="12:24">
      <c r="L441" s="71"/>
      <c r="X441"/>
    </row>
    <row r="442" spans="12:24">
      <c r="L442" s="71"/>
      <c r="X442"/>
    </row>
    <row r="443" spans="12:24">
      <c r="L443" s="71"/>
      <c r="X443"/>
    </row>
    <row r="444" spans="12:24">
      <c r="L444" s="71"/>
      <c r="X444"/>
    </row>
    <row r="445" spans="12:24">
      <c r="L445" s="71"/>
      <c r="X445"/>
    </row>
    <row r="446" spans="12:24">
      <c r="L446" s="71"/>
      <c r="X446"/>
    </row>
    <row r="447" spans="12:24">
      <c r="L447" s="71"/>
      <c r="X447"/>
    </row>
    <row r="448" spans="12:24">
      <c r="L448" s="71"/>
      <c r="X448"/>
    </row>
    <row r="449" spans="12:24">
      <c r="L449" s="71"/>
      <c r="X449"/>
    </row>
    <row r="450" spans="12:24">
      <c r="L450" s="71"/>
      <c r="X450"/>
    </row>
    <row r="451" spans="12:24">
      <c r="L451" s="71"/>
      <c r="X451"/>
    </row>
    <row r="452" spans="12:24">
      <c r="L452" s="71"/>
      <c r="X452"/>
    </row>
    <row r="453" spans="12:24">
      <c r="L453" s="71"/>
      <c r="X453"/>
    </row>
    <row r="454" spans="12:24">
      <c r="L454" s="71"/>
      <c r="X454"/>
    </row>
    <row r="455" spans="12:24">
      <c r="L455" s="71"/>
      <c r="X455"/>
    </row>
    <row r="456" spans="12:24">
      <c r="L456" s="71"/>
      <c r="X456"/>
    </row>
    <row r="457" spans="12:24">
      <c r="L457" s="71"/>
      <c r="X457"/>
    </row>
    <row r="458" spans="12:24">
      <c r="L458" s="71"/>
      <c r="X458"/>
    </row>
    <row r="459" spans="12:24">
      <c r="L459" s="71"/>
      <c r="X459"/>
    </row>
    <row r="460" spans="12:24">
      <c r="L460" s="71"/>
      <c r="X460"/>
    </row>
    <row r="461" spans="12:24">
      <c r="L461" s="71"/>
      <c r="X461"/>
    </row>
    <row r="462" spans="12:24">
      <c r="L462" s="71"/>
      <c r="X462"/>
    </row>
    <row r="463" spans="12:24">
      <c r="L463" s="71"/>
      <c r="X463"/>
    </row>
    <row r="464" spans="12:24">
      <c r="L464" s="71"/>
      <c r="X464"/>
    </row>
    <row r="465" spans="12:24">
      <c r="L465" s="71"/>
      <c r="X465"/>
    </row>
    <row r="466" spans="12:24">
      <c r="L466" s="71"/>
      <c r="X466"/>
    </row>
    <row r="467" spans="12:24">
      <c r="L467" s="71"/>
      <c r="X467"/>
    </row>
    <row r="468" spans="12:24">
      <c r="L468" s="71"/>
      <c r="X468"/>
    </row>
    <row r="469" spans="12:24">
      <c r="L469" s="71"/>
      <c r="X469"/>
    </row>
    <row r="470" spans="12:24">
      <c r="L470" s="71"/>
      <c r="X470"/>
    </row>
    <row r="471" spans="12:24">
      <c r="L471" s="71"/>
      <c r="X471"/>
    </row>
    <row r="472" spans="12:24">
      <c r="L472" s="71"/>
      <c r="X472"/>
    </row>
    <row r="473" spans="12:24">
      <c r="L473" s="71"/>
      <c r="X473"/>
    </row>
    <row r="474" spans="12:24">
      <c r="L474" s="71"/>
      <c r="X474"/>
    </row>
    <row r="475" spans="12:24">
      <c r="L475" s="71"/>
      <c r="X475"/>
    </row>
    <row r="476" spans="12:24">
      <c r="L476" s="71"/>
      <c r="X476"/>
    </row>
    <row r="477" spans="12:24">
      <c r="L477" s="71"/>
      <c r="X477"/>
    </row>
    <row r="478" spans="12:24">
      <c r="L478" s="71"/>
      <c r="X478"/>
    </row>
    <row r="479" spans="12:24">
      <c r="L479" s="71"/>
      <c r="X479"/>
    </row>
    <row r="480" spans="12:24">
      <c r="L480" s="71"/>
      <c r="X480"/>
    </row>
    <row r="481" spans="12:24">
      <c r="L481" s="71"/>
      <c r="X481"/>
    </row>
    <row r="482" spans="12:24">
      <c r="L482" s="71"/>
      <c r="X482"/>
    </row>
    <row r="483" spans="12:24">
      <c r="L483" s="71"/>
      <c r="X483"/>
    </row>
    <row r="484" spans="12:24">
      <c r="L484" s="71"/>
      <c r="X484"/>
    </row>
    <row r="485" spans="12:24">
      <c r="L485" s="71"/>
      <c r="X485"/>
    </row>
    <row r="486" spans="12:24">
      <c r="L486" s="71"/>
      <c r="X486"/>
    </row>
    <row r="487" spans="12:24">
      <c r="L487" s="71"/>
      <c r="X487"/>
    </row>
    <row r="488" spans="12:24">
      <c r="L488" s="71"/>
      <c r="X488"/>
    </row>
    <row r="489" spans="12:24">
      <c r="L489" s="71"/>
      <c r="X489"/>
    </row>
    <row r="490" spans="12:24">
      <c r="L490" s="71"/>
      <c r="X490"/>
    </row>
    <row r="491" spans="12:24">
      <c r="L491" s="71"/>
      <c r="X491"/>
    </row>
    <row r="492" spans="12:24">
      <c r="L492" s="71"/>
      <c r="X492"/>
    </row>
    <row r="493" spans="12:24">
      <c r="L493" s="71"/>
      <c r="X493"/>
    </row>
    <row r="494" spans="12:24">
      <c r="L494" s="71"/>
      <c r="X494"/>
    </row>
    <row r="495" spans="12:24">
      <c r="L495" s="71"/>
      <c r="X495"/>
    </row>
    <row r="496" spans="12:24">
      <c r="L496" s="71"/>
      <c r="X496"/>
    </row>
    <row r="497" spans="12:24">
      <c r="L497" s="71"/>
      <c r="X497"/>
    </row>
    <row r="498" spans="12:24">
      <c r="L498" s="71"/>
      <c r="X498"/>
    </row>
    <row r="499" spans="12:24">
      <c r="L499" s="71"/>
      <c r="X499"/>
    </row>
    <row r="500" spans="12:24">
      <c r="L500" s="71"/>
      <c r="X500"/>
    </row>
    <row r="501" spans="12:24">
      <c r="L501" s="71"/>
      <c r="X501"/>
    </row>
    <row r="502" spans="12:24">
      <c r="L502" s="71"/>
      <c r="X502"/>
    </row>
    <row r="503" spans="12:24">
      <c r="L503" s="71"/>
      <c r="X503"/>
    </row>
    <row r="504" spans="12:24">
      <c r="L504" s="71"/>
      <c r="X504"/>
    </row>
    <row r="505" spans="12:24">
      <c r="L505" s="71"/>
      <c r="X505"/>
    </row>
    <row r="506" spans="12:24">
      <c r="L506" s="71"/>
      <c r="X506"/>
    </row>
    <row r="507" spans="12:24">
      <c r="L507" s="71"/>
      <c r="X507"/>
    </row>
    <row r="508" spans="12:24">
      <c r="L508" s="71"/>
      <c r="X508"/>
    </row>
    <row r="509" spans="12:24">
      <c r="L509" s="71"/>
      <c r="X509"/>
    </row>
    <row r="510" spans="12:24">
      <c r="L510" s="71"/>
      <c r="X510"/>
    </row>
    <row r="511" spans="12:24">
      <c r="L511" s="71"/>
      <c r="X511"/>
    </row>
    <row r="512" spans="12:24">
      <c r="L512" s="71"/>
      <c r="X512"/>
    </row>
    <row r="513" spans="12:24">
      <c r="L513" s="71"/>
      <c r="X513"/>
    </row>
    <row r="514" spans="12:24">
      <c r="L514" s="71"/>
      <c r="X514"/>
    </row>
    <row r="515" spans="12:24">
      <c r="L515" s="71"/>
      <c r="X515"/>
    </row>
    <row r="516" spans="12:24">
      <c r="L516" s="71"/>
      <c r="X516"/>
    </row>
    <row r="517" spans="12:24">
      <c r="L517" s="71"/>
      <c r="X517"/>
    </row>
    <row r="518" spans="12:24">
      <c r="L518" s="71"/>
      <c r="X518"/>
    </row>
    <row r="519" spans="12:24">
      <c r="L519" s="71"/>
      <c r="X519"/>
    </row>
    <row r="520" spans="12:24">
      <c r="L520" s="71"/>
      <c r="X520"/>
    </row>
    <row r="521" spans="12:24">
      <c r="L521" s="71"/>
      <c r="X521"/>
    </row>
    <row r="522" spans="12:24">
      <c r="L522" s="71"/>
      <c r="X522"/>
    </row>
    <row r="523" spans="12:24">
      <c r="L523" s="71"/>
      <c r="X523"/>
    </row>
    <row r="524" spans="12:24">
      <c r="L524" s="71"/>
      <c r="X524"/>
    </row>
    <row r="525" spans="12:24">
      <c r="L525" s="71"/>
      <c r="X525"/>
    </row>
    <row r="526" spans="12:24">
      <c r="L526" s="71"/>
      <c r="X526"/>
    </row>
    <row r="527" spans="12:24">
      <c r="L527" s="71"/>
      <c r="X527"/>
    </row>
    <row r="528" spans="12:24">
      <c r="L528" s="71"/>
      <c r="X528"/>
    </row>
    <row r="529" spans="12:24">
      <c r="L529" s="71"/>
      <c r="X529"/>
    </row>
    <row r="530" spans="12:24">
      <c r="L530" s="71"/>
      <c r="X530"/>
    </row>
    <row r="531" spans="12:24">
      <c r="L531" s="71"/>
      <c r="X531"/>
    </row>
    <row r="532" spans="12:24">
      <c r="L532" s="71"/>
      <c r="X532"/>
    </row>
    <row r="533" spans="12:24">
      <c r="L533" s="71"/>
      <c r="X533"/>
    </row>
    <row r="534" spans="12:24">
      <c r="L534" s="71"/>
      <c r="X534"/>
    </row>
    <row r="535" spans="12:24">
      <c r="L535" s="71"/>
      <c r="X535"/>
    </row>
    <row r="536" spans="12:24">
      <c r="L536" s="71"/>
      <c r="X536"/>
    </row>
    <row r="537" spans="12:24">
      <c r="L537" s="71"/>
      <c r="X537"/>
    </row>
    <row r="538" spans="12:24">
      <c r="L538" s="71"/>
      <c r="X538"/>
    </row>
    <row r="539" spans="12:24">
      <c r="L539" s="71"/>
      <c r="X539"/>
    </row>
    <row r="540" spans="12:24">
      <c r="L540" s="71"/>
      <c r="X540"/>
    </row>
    <row r="541" spans="12:24">
      <c r="L541" s="71"/>
      <c r="X541"/>
    </row>
    <row r="542" spans="12:24">
      <c r="L542" s="71"/>
      <c r="X542"/>
    </row>
    <row r="543" spans="12:24">
      <c r="L543" s="71"/>
      <c r="X543"/>
    </row>
    <row r="544" spans="12:24">
      <c r="L544" s="71"/>
      <c r="X544"/>
    </row>
    <row r="545" spans="12:24">
      <c r="L545" s="71"/>
      <c r="X545"/>
    </row>
    <row r="546" spans="12:24">
      <c r="L546" s="71"/>
      <c r="X546"/>
    </row>
    <row r="547" spans="12:24">
      <c r="L547" s="71"/>
      <c r="X547"/>
    </row>
    <row r="548" spans="12:24">
      <c r="L548" s="71"/>
      <c r="X548"/>
    </row>
    <row r="549" spans="12:24">
      <c r="L549" s="71"/>
      <c r="X549"/>
    </row>
    <row r="550" spans="12:24">
      <c r="L550" s="71"/>
      <c r="X550"/>
    </row>
    <row r="551" spans="12:24">
      <c r="L551" s="71"/>
      <c r="X551"/>
    </row>
    <row r="552" spans="12:24">
      <c r="L552" s="71"/>
      <c r="X552"/>
    </row>
    <row r="553" spans="12:24">
      <c r="L553" s="71"/>
      <c r="X553"/>
    </row>
    <row r="554" spans="12:24">
      <c r="L554" s="71"/>
      <c r="X554"/>
    </row>
    <row r="555" spans="12:24">
      <c r="L555" s="71"/>
      <c r="X555"/>
    </row>
    <row r="556" spans="12:24">
      <c r="L556" s="71"/>
      <c r="X556"/>
    </row>
    <row r="557" spans="12:24">
      <c r="L557" s="71"/>
      <c r="X557"/>
    </row>
    <row r="558" spans="12:24">
      <c r="L558" s="71"/>
      <c r="X558"/>
    </row>
    <row r="559" spans="12:24">
      <c r="L559" s="71"/>
      <c r="X559"/>
    </row>
    <row r="560" spans="12:24">
      <c r="L560" s="71"/>
      <c r="X560"/>
    </row>
    <row r="561" spans="12:24">
      <c r="L561" s="71"/>
      <c r="X561"/>
    </row>
    <row r="562" spans="12:24">
      <c r="L562" s="71"/>
      <c r="X562"/>
    </row>
    <row r="563" spans="12:24">
      <c r="L563" s="71"/>
      <c r="X563"/>
    </row>
    <row r="564" spans="12:24">
      <c r="L564" s="71"/>
      <c r="X564"/>
    </row>
    <row r="565" spans="12:24">
      <c r="L565" s="71"/>
      <c r="X565"/>
    </row>
    <row r="566" spans="12:24">
      <c r="L566" s="71"/>
      <c r="X566"/>
    </row>
    <row r="567" spans="12:24">
      <c r="L567" s="71"/>
      <c r="X567"/>
    </row>
    <row r="568" spans="12:24">
      <c r="L568" s="71"/>
      <c r="X568"/>
    </row>
    <row r="569" spans="12:24">
      <c r="L569" s="71"/>
      <c r="X569"/>
    </row>
    <row r="570" spans="12:24">
      <c r="L570" s="71"/>
      <c r="X570"/>
    </row>
    <row r="571" spans="12:24">
      <c r="L571" s="71"/>
      <c r="X571"/>
    </row>
    <row r="572" spans="12:24">
      <c r="L572" s="71"/>
      <c r="X572"/>
    </row>
    <row r="573" spans="12:24">
      <c r="L573" s="71"/>
      <c r="X573"/>
    </row>
    <row r="574" spans="12:24">
      <c r="L574" s="71"/>
      <c r="X574"/>
    </row>
    <row r="575" spans="12:24">
      <c r="L575" s="71"/>
      <c r="X575"/>
    </row>
    <row r="576" spans="12:24">
      <c r="L576" s="71"/>
      <c r="X576"/>
    </row>
    <row r="577" spans="12:24">
      <c r="L577" s="71"/>
      <c r="X577"/>
    </row>
    <row r="578" spans="12:24">
      <c r="L578" s="71"/>
      <c r="X578"/>
    </row>
    <row r="579" spans="12:24">
      <c r="L579" s="71"/>
      <c r="X579"/>
    </row>
    <row r="580" spans="12:24">
      <c r="L580" s="71"/>
      <c r="X580"/>
    </row>
    <row r="581" spans="12:24">
      <c r="L581" s="71"/>
      <c r="X581"/>
    </row>
    <row r="582" spans="12:24">
      <c r="L582" s="71"/>
      <c r="X582"/>
    </row>
    <row r="583" spans="12:24">
      <c r="L583" s="71"/>
      <c r="X583"/>
    </row>
    <row r="584" spans="12:24">
      <c r="L584" s="71"/>
      <c r="X584"/>
    </row>
    <row r="585" spans="12:24">
      <c r="L585" s="71"/>
      <c r="X585"/>
    </row>
    <row r="586" spans="12:24">
      <c r="L586" s="71"/>
      <c r="X586"/>
    </row>
    <row r="587" spans="12:24">
      <c r="L587" s="71"/>
      <c r="X587"/>
    </row>
    <row r="588" spans="12:24">
      <c r="L588" s="71"/>
      <c r="X588"/>
    </row>
    <row r="589" spans="12:24">
      <c r="L589" s="71"/>
      <c r="X589"/>
    </row>
    <row r="590" spans="12:24">
      <c r="L590" s="71"/>
      <c r="X590"/>
    </row>
    <row r="591" spans="12:24">
      <c r="L591" s="71"/>
      <c r="X591"/>
    </row>
    <row r="592" spans="12:24">
      <c r="L592" s="71"/>
      <c r="X592"/>
    </row>
    <row r="593" spans="12:24">
      <c r="L593" s="71"/>
      <c r="X593"/>
    </row>
    <row r="594" spans="12:24">
      <c r="L594" s="71"/>
      <c r="X594"/>
    </row>
    <row r="595" spans="12:24">
      <c r="L595" s="71"/>
      <c r="X595"/>
    </row>
    <row r="596" spans="12:24">
      <c r="L596" s="71"/>
      <c r="X596"/>
    </row>
    <row r="597" spans="12:24">
      <c r="L597" s="71"/>
      <c r="X597"/>
    </row>
    <row r="598" spans="12:24">
      <c r="L598" s="71"/>
      <c r="X598"/>
    </row>
    <row r="599" spans="12:24">
      <c r="L599" s="71"/>
      <c r="X599"/>
    </row>
    <row r="600" spans="12:24">
      <c r="L600" s="71"/>
      <c r="X600"/>
    </row>
    <row r="601" spans="12:24">
      <c r="L601" s="71"/>
      <c r="X601"/>
    </row>
    <row r="602" spans="12:24">
      <c r="L602" s="71"/>
      <c r="X602"/>
    </row>
    <row r="603" spans="12:24">
      <c r="L603" s="71"/>
      <c r="X603"/>
    </row>
    <row r="604" spans="12:24">
      <c r="L604" s="71"/>
      <c r="X604"/>
    </row>
    <row r="605" spans="12:24">
      <c r="L605" s="71"/>
      <c r="X605"/>
    </row>
    <row r="606" spans="12:24">
      <c r="L606" s="71"/>
      <c r="X606"/>
    </row>
    <row r="607" spans="12:24">
      <c r="L607" s="71"/>
      <c r="X607"/>
    </row>
    <row r="608" spans="12:24">
      <c r="L608" s="71"/>
      <c r="X608"/>
    </row>
    <row r="609" spans="12:24">
      <c r="L609" s="71"/>
      <c r="X609"/>
    </row>
    <row r="610" spans="12:24">
      <c r="L610" s="71"/>
      <c r="X610"/>
    </row>
    <row r="611" spans="12:24">
      <c r="L611" s="71"/>
      <c r="X611"/>
    </row>
    <row r="612" spans="12:24">
      <c r="L612" s="71"/>
      <c r="X612"/>
    </row>
    <row r="613" spans="12:24">
      <c r="L613" s="71"/>
      <c r="X613"/>
    </row>
    <row r="614" spans="12:24">
      <c r="L614" s="71"/>
      <c r="X614"/>
    </row>
    <row r="615" spans="12:24">
      <c r="L615" s="71"/>
      <c r="X615"/>
    </row>
    <row r="616" spans="12:24">
      <c r="L616" s="71"/>
      <c r="X616"/>
    </row>
    <row r="617" spans="12:24">
      <c r="L617" s="71"/>
      <c r="X617"/>
    </row>
    <row r="618" spans="12:24">
      <c r="L618" s="71"/>
      <c r="X618"/>
    </row>
    <row r="619" spans="12:24">
      <c r="L619" s="71"/>
      <c r="X619"/>
    </row>
    <row r="620" spans="12:24">
      <c r="L620" s="71"/>
      <c r="X620"/>
    </row>
    <row r="621" spans="12:24">
      <c r="L621" s="71"/>
      <c r="X621"/>
    </row>
    <row r="622" spans="12:24">
      <c r="L622" s="71"/>
      <c r="X622"/>
    </row>
    <row r="623" spans="12:24">
      <c r="L623" s="71"/>
      <c r="X623"/>
    </row>
    <row r="624" spans="12:24">
      <c r="L624" s="71"/>
      <c r="X624"/>
    </row>
    <row r="625" spans="12:24">
      <c r="L625" s="71"/>
      <c r="X625"/>
    </row>
    <row r="626" spans="12:24">
      <c r="L626" s="71"/>
      <c r="X626"/>
    </row>
    <row r="627" spans="12:24">
      <c r="L627" s="71"/>
      <c r="X627"/>
    </row>
    <row r="628" spans="12:24">
      <c r="L628" s="71"/>
      <c r="X628"/>
    </row>
    <row r="629" spans="12:24">
      <c r="L629" s="71"/>
      <c r="X629"/>
    </row>
    <row r="630" spans="12:24">
      <c r="L630" s="71"/>
      <c r="X630"/>
    </row>
    <row r="631" spans="12:24">
      <c r="L631" s="71"/>
      <c r="X631"/>
    </row>
    <row r="632" spans="12:24">
      <c r="L632" s="71"/>
      <c r="X632"/>
    </row>
    <row r="633" spans="12:24">
      <c r="L633" s="71"/>
      <c r="X633"/>
    </row>
    <row r="634" spans="12:24">
      <c r="L634" s="71"/>
      <c r="X634"/>
    </row>
    <row r="635" spans="12:24">
      <c r="L635" s="71"/>
      <c r="X635"/>
    </row>
    <row r="636" spans="12:24">
      <c r="L636" s="71"/>
      <c r="X636"/>
    </row>
    <row r="637" spans="12:24">
      <c r="L637" s="71"/>
      <c r="X637"/>
    </row>
    <row r="638" spans="12:24">
      <c r="L638" s="71"/>
      <c r="X638"/>
    </row>
    <row r="639" spans="12:24">
      <c r="L639" s="71"/>
      <c r="X639"/>
    </row>
    <row r="640" spans="12:24">
      <c r="L640" s="71"/>
      <c r="X640"/>
    </row>
    <row r="641" spans="12:24">
      <c r="L641" s="71"/>
      <c r="X641"/>
    </row>
    <row r="642" spans="12:24">
      <c r="L642" s="71"/>
      <c r="X642"/>
    </row>
    <row r="643" spans="12:24">
      <c r="L643" s="71"/>
      <c r="X643"/>
    </row>
    <row r="644" spans="12:24">
      <c r="L644" s="71"/>
      <c r="X644"/>
    </row>
    <row r="645" spans="12:24">
      <c r="L645" s="71"/>
      <c r="X645"/>
    </row>
    <row r="646" spans="12:24">
      <c r="L646" s="71"/>
      <c r="X646"/>
    </row>
    <row r="647" spans="12:24">
      <c r="L647" s="71"/>
      <c r="X647"/>
    </row>
    <row r="648" spans="12:24">
      <c r="L648" s="71"/>
      <c r="X648"/>
    </row>
    <row r="649" spans="12:24">
      <c r="L649" s="71"/>
      <c r="X649"/>
    </row>
    <row r="650" spans="12:24">
      <c r="L650" s="71"/>
      <c r="X650"/>
    </row>
    <row r="651" spans="12:24">
      <c r="L651" s="71"/>
      <c r="X651"/>
    </row>
    <row r="652" spans="12:24">
      <c r="L652" s="71"/>
      <c r="X652"/>
    </row>
    <row r="653" spans="12:24">
      <c r="L653" s="71"/>
      <c r="X653"/>
    </row>
    <row r="654" spans="12:24">
      <c r="L654" s="71"/>
      <c r="X654"/>
    </row>
    <row r="655" spans="12:24">
      <c r="L655" s="71"/>
      <c r="X655"/>
    </row>
    <row r="656" spans="12:24">
      <c r="L656" s="71"/>
      <c r="X656"/>
    </row>
    <row r="657" spans="12:24">
      <c r="L657" s="71"/>
      <c r="X657"/>
    </row>
    <row r="658" spans="12:24">
      <c r="L658" s="71"/>
      <c r="X658"/>
    </row>
    <row r="659" spans="12:24">
      <c r="L659" s="71"/>
      <c r="X659"/>
    </row>
    <row r="660" spans="12:24">
      <c r="L660" s="71"/>
      <c r="X660"/>
    </row>
    <row r="661" spans="12:24">
      <c r="L661" s="71"/>
      <c r="X661"/>
    </row>
    <row r="662" spans="12:24">
      <c r="L662" s="71"/>
      <c r="X662"/>
    </row>
    <row r="663" spans="12:24">
      <c r="L663" s="71"/>
      <c r="X663"/>
    </row>
    <row r="664" spans="12:24">
      <c r="L664" s="71"/>
      <c r="X664"/>
    </row>
    <row r="665" spans="12:24">
      <c r="L665" s="71"/>
      <c r="X665"/>
    </row>
    <row r="666" spans="12:24">
      <c r="L666" s="71"/>
      <c r="X666"/>
    </row>
    <row r="667" spans="12:24">
      <c r="L667" s="71"/>
      <c r="X667"/>
    </row>
    <row r="668" spans="12:24">
      <c r="L668" s="71"/>
      <c r="X668"/>
    </row>
    <row r="669" spans="12:24">
      <c r="L669" s="71"/>
      <c r="X669"/>
    </row>
    <row r="670" spans="12:24">
      <c r="L670" s="71"/>
      <c r="X670"/>
    </row>
    <row r="671" spans="12:24">
      <c r="L671" s="71"/>
      <c r="X671"/>
    </row>
    <row r="672" spans="12:24">
      <c r="L672" s="71"/>
      <c r="X672"/>
    </row>
    <row r="673" spans="12:24">
      <c r="L673" s="71"/>
      <c r="X673"/>
    </row>
    <row r="674" spans="12:24">
      <c r="L674" s="71"/>
      <c r="X674"/>
    </row>
    <row r="675" spans="12:24">
      <c r="L675" s="71"/>
      <c r="X675"/>
    </row>
    <row r="676" spans="12:24">
      <c r="L676" s="71"/>
      <c r="X676"/>
    </row>
    <row r="677" spans="12:24">
      <c r="L677" s="71"/>
      <c r="X677"/>
    </row>
    <row r="678" spans="12:24">
      <c r="L678" s="71"/>
      <c r="X678"/>
    </row>
    <row r="679" spans="12:24">
      <c r="L679" s="71"/>
      <c r="X679"/>
    </row>
    <row r="680" spans="12:24">
      <c r="L680" s="71"/>
      <c r="X680"/>
    </row>
    <row r="681" spans="12:24">
      <c r="L681" s="71"/>
      <c r="X681"/>
    </row>
    <row r="682" spans="12:24">
      <c r="L682" s="71"/>
      <c r="X682"/>
    </row>
    <row r="683" spans="12:24">
      <c r="L683" s="71"/>
      <c r="X683"/>
    </row>
    <row r="684" spans="12:24">
      <c r="L684" s="71"/>
      <c r="X684"/>
    </row>
    <row r="685" spans="12:24">
      <c r="L685" s="71"/>
      <c r="X685"/>
    </row>
    <row r="686" spans="12:24">
      <c r="L686" s="71"/>
      <c r="X686"/>
    </row>
    <row r="687" spans="12:24">
      <c r="L687" s="71"/>
      <c r="X687"/>
    </row>
    <row r="688" spans="12:24">
      <c r="L688" s="71"/>
      <c r="X688"/>
    </row>
    <row r="689" spans="12:24">
      <c r="L689" s="71"/>
      <c r="X689"/>
    </row>
    <row r="690" spans="12:24">
      <c r="L690" s="71"/>
      <c r="X690"/>
    </row>
    <row r="691" spans="12:24">
      <c r="L691" s="71"/>
      <c r="X691"/>
    </row>
    <row r="692" spans="12:24">
      <c r="L692" s="71"/>
      <c r="X692"/>
    </row>
    <row r="693" spans="12:24">
      <c r="L693" s="71"/>
      <c r="X693"/>
    </row>
    <row r="694" spans="12:24">
      <c r="L694" s="71"/>
      <c r="X694"/>
    </row>
    <row r="695" spans="12:24">
      <c r="L695" s="71"/>
      <c r="X695"/>
    </row>
    <row r="696" spans="12:24">
      <c r="L696" s="71"/>
      <c r="X696"/>
    </row>
    <row r="697" spans="12:24">
      <c r="L697" s="71"/>
      <c r="X697"/>
    </row>
    <row r="698" spans="12:24">
      <c r="L698" s="71"/>
      <c r="X698"/>
    </row>
    <row r="699" spans="12:24">
      <c r="L699" s="71"/>
      <c r="X699"/>
    </row>
    <row r="700" spans="12:24">
      <c r="L700" s="71"/>
      <c r="X700"/>
    </row>
    <row r="701" spans="12:24">
      <c r="L701" s="71"/>
      <c r="X701"/>
    </row>
    <row r="702" spans="12:24">
      <c r="L702" s="71"/>
      <c r="X702"/>
    </row>
    <row r="703" spans="12:24">
      <c r="L703" s="71"/>
      <c r="X703"/>
    </row>
    <row r="704" spans="12:24">
      <c r="L704" s="71"/>
      <c r="X704"/>
    </row>
    <row r="705" spans="12:24">
      <c r="L705" s="71"/>
      <c r="X705"/>
    </row>
    <row r="706" spans="12:24">
      <c r="L706" s="71"/>
      <c r="X706"/>
    </row>
    <row r="707" spans="12:24">
      <c r="L707" s="71"/>
      <c r="X707"/>
    </row>
    <row r="708" spans="12:24">
      <c r="L708" s="71"/>
      <c r="X708"/>
    </row>
    <row r="709" spans="12:24">
      <c r="L709" s="71"/>
      <c r="X709"/>
    </row>
    <row r="710" spans="12:24">
      <c r="L710" s="71"/>
      <c r="X710"/>
    </row>
    <row r="711" spans="12:24">
      <c r="L711" s="71"/>
      <c r="X711"/>
    </row>
    <row r="712" spans="12:24">
      <c r="L712" s="71"/>
      <c r="X712"/>
    </row>
    <row r="713" spans="12:24">
      <c r="L713" s="71"/>
      <c r="X713"/>
    </row>
    <row r="714" spans="12:24">
      <c r="L714" s="71"/>
      <c r="X714"/>
    </row>
    <row r="715" spans="12:24">
      <c r="L715" s="71"/>
      <c r="X715"/>
    </row>
    <row r="716" spans="12:24">
      <c r="L716" s="71"/>
      <c r="X716"/>
    </row>
    <row r="717" spans="12:24">
      <c r="L717" s="71"/>
      <c r="X717"/>
    </row>
    <row r="718" spans="12:24">
      <c r="L718" s="71"/>
      <c r="X718"/>
    </row>
    <row r="719" spans="12:24">
      <c r="L719" s="71"/>
      <c r="X719"/>
    </row>
    <row r="720" spans="12:24">
      <c r="L720" s="71"/>
      <c r="X720"/>
    </row>
    <row r="721" spans="12:24">
      <c r="L721" s="71"/>
      <c r="X721"/>
    </row>
    <row r="722" spans="12:24">
      <c r="L722" s="71"/>
      <c r="X722"/>
    </row>
    <row r="723" spans="12:24">
      <c r="L723" s="71"/>
      <c r="X723"/>
    </row>
    <row r="724" spans="12:24">
      <c r="L724" s="71"/>
      <c r="X724"/>
    </row>
    <row r="725" spans="12:24">
      <c r="L725" s="71"/>
      <c r="X725"/>
    </row>
    <row r="726" spans="12:24">
      <c r="L726" s="71"/>
      <c r="X726"/>
    </row>
    <row r="727" spans="12:24">
      <c r="L727" s="71"/>
      <c r="X727"/>
    </row>
    <row r="728" spans="12:24">
      <c r="L728" s="71"/>
      <c r="X728"/>
    </row>
    <row r="729" spans="12:24">
      <c r="L729" s="71"/>
      <c r="X729"/>
    </row>
    <row r="730" spans="12:24">
      <c r="L730" s="71"/>
      <c r="X730"/>
    </row>
    <row r="731" spans="12:24">
      <c r="L731" s="71"/>
      <c r="X731"/>
    </row>
    <row r="732" spans="12:24">
      <c r="L732" s="71"/>
      <c r="X732"/>
    </row>
    <row r="733" spans="12:24">
      <c r="L733" s="71"/>
      <c r="X733"/>
    </row>
    <row r="734" spans="12:24">
      <c r="L734" s="71"/>
      <c r="X734"/>
    </row>
    <row r="735" spans="12:24">
      <c r="L735" s="71"/>
      <c r="X735"/>
    </row>
    <row r="736" spans="12:24">
      <c r="L736" s="71"/>
      <c r="X736"/>
    </row>
    <row r="737" spans="12:24">
      <c r="L737" s="71"/>
      <c r="X737"/>
    </row>
    <row r="738" spans="12:24">
      <c r="L738" s="71"/>
      <c r="X738"/>
    </row>
    <row r="739" spans="12:24">
      <c r="L739" s="71"/>
      <c r="X739"/>
    </row>
    <row r="740" spans="12:24">
      <c r="L740" s="71"/>
      <c r="X740"/>
    </row>
    <row r="741" spans="12:24">
      <c r="L741" s="71"/>
      <c r="X741"/>
    </row>
    <row r="742" spans="12:24">
      <c r="L742" s="71"/>
      <c r="X742"/>
    </row>
    <row r="743" spans="12:24">
      <c r="L743" s="71"/>
      <c r="X743"/>
    </row>
    <row r="744" spans="12:24">
      <c r="L744" s="71"/>
      <c r="X744"/>
    </row>
    <row r="745" spans="12:24">
      <c r="L745" s="71"/>
      <c r="X745"/>
    </row>
    <row r="746" spans="12:24">
      <c r="L746" s="71"/>
      <c r="X746"/>
    </row>
    <row r="747" spans="12:24">
      <c r="L747" s="71"/>
      <c r="X747"/>
    </row>
    <row r="748" spans="12:24">
      <c r="L748" s="71"/>
      <c r="X748"/>
    </row>
    <row r="749" spans="12:24">
      <c r="L749" s="71"/>
      <c r="X749"/>
    </row>
    <row r="750" spans="12:24">
      <c r="L750" s="71"/>
      <c r="X750"/>
    </row>
    <row r="751" spans="12:24">
      <c r="L751" s="71"/>
      <c r="X751"/>
    </row>
    <row r="752" spans="12:24">
      <c r="L752" s="71"/>
      <c r="X752"/>
    </row>
    <row r="753" spans="12:24">
      <c r="L753" s="71"/>
      <c r="X753"/>
    </row>
    <row r="754" spans="12:24">
      <c r="L754" s="71"/>
      <c r="X754"/>
    </row>
    <row r="755" spans="12:24">
      <c r="L755" s="71"/>
      <c r="X755"/>
    </row>
    <row r="756" spans="12:24">
      <c r="L756" s="71"/>
      <c r="X756"/>
    </row>
    <row r="757" spans="12:24">
      <c r="L757" s="71"/>
      <c r="X757"/>
    </row>
    <row r="758" spans="12:24">
      <c r="L758" s="71"/>
      <c r="X758"/>
    </row>
    <row r="759" spans="12:24">
      <c r="L759" s="71"/>
      <c r="X759"/>
    </row>
    <row r="760" spans="12:24">
      <c r="L760" s="71"/>
      <c r="X760"/>
    </row>
    <row r="761" spans="12:24">
      <c r="L761" s="71"/>
      <c r="X761"/>
    </row>
    <row r="762" spans="12:24">
      <c r="L762" s="71"/>
      <c r="X762"/>
    </row>
    <row r="763" spans="12:24">
      <c r="L763" s="71"/>
      <c r="X763"/>
    </row>
    <row r="764" spans="12:24">
      <c r="L764" s="71"/>
      <c r="X764"/>
    </row>
    <row r="765" spans="12:24">
      <c r="L765" s="71"/>
      <c r="X765"/>
    </row>
    <row r="766" spans="12:24">
      <c r="L766" s="71"/>
      <c r="X766"/>
    </row>
    <row r="767" spans="12:24">
      <c r="L767" s="71"/>
      <c r="X767"/>
    </row>
    <row r="768" spans="12:24">
      <c r="L768" s="71"/>
      <c r="X768"/>
    </row>
    <row r="769" spans="12:24">
      <c r="L769" s="71"/>
      <c r="X769"/>
    </row>
    <row r="770" spans="12:24">
      <c r="L770" s="71"/>
      <c r="X770"/>
    </row>
    <row r="771" spans="12:24">
      <c r="L771" s="71"/>
      <c r="X771"/>
    </row>
    <row r="772" spans="12:24">
      <c r="L772" s="71"/>
      <c r="X772"/>
    </row>
    <row r="773" spans="12:24">
      <c r="L773" s="71"/>
      <c r="X773"/>
    </row>
    <row r="774" spans="12:24">
      <c r="L774" s="71"/>
      <c r="X774"/>
    </row>
    <row r="775" spans="12:24">
      <c r="L775" s="71"/>
      <c r="X775"/>
    </row>
    <row r="776" spans="12:24">
      <c r="L776" s="71"/>
      <c r="X776"/>
    </row>
    <row r="777" spans="12:24">
      <c r="L777" s="71"/>
      <c r="X777"/>
    </row>
    <row r="778" spans="12:24">
      <c r="L778" s="71"/>
      <c r="X778"/>
    </row>
    <row r="779" spans="12:24">
      <c r="L779" s="71"/>
      <c r="X779"/>
    </row>
    <row r="780" spans="12:24">
      <c r="L780" s="71"/>
      <c r="X780"/>
    </row>
    <row r="781" spans="12:24">
      <c r="L781" s="71"/>
      <c r="X781"/>
    </row>
    <row r="782" spans="12:24">
      <c r="L782" s="71"/>
      <c r="X782"/>
    </row>
    <row r="783" spans="12:24">
      <c r="L783" s="71"/>
      <c r="X783"/>
    </row>
    <row r="784" spans="12:24">
      <c r="L784" s="71"/>
      <c r="X784"/>
    </row>
    <row r="785" spans="12:24">
      <c r="L785" s="71"/>
      <c r="X785"/>
    </row>
    <row r="786" spans="12:24">
      <c r="L786" s="71"/>
      <c r="X786"/>
    </row>
    <row r="787" spans="12:24">
      <c r="L787" s="71"/>
      <c r="X787"/>
    </row>
    <row r="788" spans="12:24">
      <c r="L788" s="71"/>
      <c r="X788"/>
    </row>
    <row r="789" spans="12:24">
      <c r="L789" s="71"/>
      <c r="X789"/>
    </row>
    <row r="790" spans="12:24">
      <c r="L790" s="71"/>
      <c r="X790"/>
    </row>
    <row r="791" spans="12:24">
      <c r="L791" s="71"/>
      <c r="X791"/>
    </row>
    <row r="792" spans="12:24">
      <c r="L792" s="71"/>
      <c r="X792"/>
    </row>
    <row r="793" spans="12:24">
      <c r="L793" s="71"/>
      <c r="X793"/>
    </row>
    <row r="794" spans="12:24">
      <c r="L794" s="71"/>
      <c r="X794"/>
    </row>
    <row r="795" spans="12:24">
      <c r="L795" s="71"/>
      <c r="X795"/>
    </row>
    <row r="796" spans="12:24">
      <c r="L796" s="71"/>
      <c r="X796"/>
    </row>
    <row r="797" spans="12:24">
      <c r="L797" s="71"/>
      <c r="X797"/>
    </row>
    <row r="798" spans="12:24">
      <c r="L798" s="71"/>
      <c r="X798"/>
    </row>
    <row r="799" spans="12:24">
      <c r="L799" s="71"/>
      <c r="X799"/>
    </row>
    <row r="800" spans="12:24">
      <c r="L800" s="71"/>
      <c r="X800"/>
    </row>
    <row r="801" spans="12:24">
      <c r="L801" s="71"/>
      <c r="X801"/>
    </row>
    <row r="802" spans="12:24">
      <c r="L802" s="71"/>
      <c r="X802"/>
    </row>
    <row r="803" spans="12:24">
      <c r="L803" s="71"/>
      <c r="X803"/>
    </row>
    <row r="804" spans="12:24">
      <c r="L804" s="71"/>
      <c r="X804"/>
    </row>
    <row r="805" spans="12:24">
      <c r="L805" s="71"/>
      <c r="X805"/>
    </row>
    <row r="806" spans="12:24">
      <c r="L806" s="71"/>
      <c r="X806"/>
    </row>
    <row r="807" spans="12:24">
      <c r="L807" s="71"/>
      <c r="X807"/>
    </row>
    <row r="808" spans="12:24">
      <c r="L808" s="71"/>
      <c r="X808"/>
    </row>
    <row r="809" spans="12:24">
      <c r="L809" s="71"/>
      <c r="X809"/>
    </row>
    <row r="810" spans="12:24">
      <c r="L810" s="71"/>
      <c r="X810"/>
    </row>
    <row r="811" spans="12:24">
      <c r="L811" s="71"/>
      <c r="X811"/>
    </row>
    <row r="812" spans="12:24">
      <c r="L812" s="71"/>
      <c r="X812"/>
    </row>
    <row r="813" spans="12:24">
      <c r="L813" s="71"/>
      <c r="X813"/>
    </row>
    <row r="814" spans="12:24">
      <c r="L814" s="71"/>
      <c r="X814"/>
    </row>
    <row r="815" spans="12:24">
      <c r="L815" s="71"/>
      <c r="X815"/>
    </row>
    <row r="816" spans="12:24">
      <c r="L816" s="71"/>
      <c r="X816"/>
    </row>
    <row r="817" spans="12:24">
      <c r="L817" s="71"/>
      <c r="X817"/>
    </row>
    <row r="818" spans="12:24">
      <c r="L818" s="71"/>
      <c r="X818"/>
    </row>
    <row r="819" spans="12:24">
      <c r="L819" s="71"/>
      <c r="X819"/>
    </row>
    <row r="820" spans="12:24">
      <c r="L820" s="71"/>
      <c r="X820"/>
    </row>
    <row r="821" spans="12:24">
      <c r="L821" s="71"/>
      <c r="X821"/>
    </row>
    <row r="822" spans="12:24">
      <c r="L822" s="71"/>
      <c r="X822"/>
    </row>
    <row r="823" spans="12:24">
      <c r="L823" s="71"/>
      <c r="X823"/>
    </row>
    <row r="824" spans="12:24">
      <c r="L824" s="71"/>
      <c r="X824"/>
    </row>
    <row r="825" spans="12:24">
      <c r="L825" s="71"/>
      <c r="X825"/>
    </row>
    <row r="826" spans="12:24">
      <c r="L826" s="71"/>
      <c r="X826"/>
    </row>
    <row r="827" spans="12:24">
      <c r="L827" s="71"/>
      <c r="X827"/>
    </row>
    <row r="828" spans="12:24">
      <c r="L828" s="71"/>
      <c r="X828"/>
    </row>
    <row r="829" spans="12:24">
      <c r="L829" s="71"/>
      <c r="X829"/>
    </row>
    <row r="830" spans="12:24">
      <c r="L830" s="71"/>
      <c r="X830"/>
    </row>
    <row r="831" spans="12:24">
      <c r="L831" s="71"/>
      <c r="X831"/>
    </row>
    <row r="832" spans="12:24">
      <c r="L832" s="71"/>
      <c r="X832"/>
    </row>
    <row r="833" spans="12:24">
      <c r="L833" s="71"/>
      <c r="X833"/>
    </row>
    <row r="834" spans="12:24">
      <c r="L834" s="71"/>
      <c r="X834"/>
    </row>
    <row r="835" spans="12:24">
      <c r="L835" s="71"/>
      <c r="X835"/>
    </row>
    <row r="836" spans="12:24">
      <c r="L836" s="71"/>
      <c r="X836"/>
    </row>
    <row r="837" spans="12:24">
      <c r="L837" s="71"/>
      <c r="X837"/>
    </row>
    <row r="838" spans="12:24">
      <c r="L838" s="71"/>
      <c r="X838"/>
    </row>
    <row r="839" spans="12:24">
      <c r="L839" s="71"/>
      <c r="X839"/>
    </row>
    <row r="840" spans="12:24">
      <c r="L840" s="71"/>
      <c r="X840"/>
    </row>
    <row r="841" spans="12:24">
      <c r="L841" s="71"/>
      <c r="X841"/>
    </row>
    <row r="842" spans="12:24">
      <c r="L842" s="71"/>
      <c r="X842"/>
    </row>
    <row r="843" spans="12:24">
      <c r="L843" s="71"/>
      <c r="X843"/>
    </row>
    <row r="844" spans="12:24">
      <c r="L844" s="71"/>
      <c r="X844"/>
    </row>
    <row r="845" spans="12:24">
      <c r="L845" s="71"/>
      <c r="X845"/>
    </row>
    <row r="846" spans="12:24">
      <c r="L846" s="71"/>
      <c r="X846"/>
    </row>
    <row r="847" spans="12:24">
      <c r="L847" s="71"/>
      <c r="X847"/>
    </row>
    <row r="848" spans="12:24">
      <c r="L848" s="71"/>
      <c r="X848"/>
    </row>
    <row r="849" spans="12:24">
      <c r="L849" s="71"/>
      <c r="X849"/>
    </row>
    <row r="850" spans="12:24">
      <c r="L850" s="71"/>
      <c r="X850"/>
    </row>
    <row r="851" spans="12:24">
      <c r="L851" s="71"/>
      <c r="X851"/>
    </row>
    <row r="852" spans="12:24">
      <c r="L852" s="71"/>
      <c r="X852"/>
    </row>
    <row r="853" spans="12:24">
      <c r="L853" s="71"/>
      <c r="X853"/>
    </row>
    <row r="854" spans="12:24">
      <c r="L854" s="71"/>
      <c r="X854"/>
    </row>
    <row r="855" spans="12:24">
      <c r="L855" s="71"/>
      <c r="X855"/>
    </row>
    <row r="856" spans="12:24">
      <c r="L856" s="71"/>
      <c r="X856"/>
    </row>
    <row r="857" spans="12:24">
      <c r="L857" s="71"/>
      <c r="X857"/>
    </row>
    <row r="858" spans="12:24">
      <c r="L858" s="71"/>
      <c r="X858"/>
    </row>
    <row r="859" spans="12:24">
      <c r="L859" s="71"/>
      <c r="X859"/>
    </row>
    <row r="860" spans="12:24">
      <c r="L860" s="71"/>
      <c r="X860"/>
    </row>
    <row r="861" spans="12:24">
      <c r="L861" s="71"/>
      <c r="X861"/>
    </row>
    <row r="862" spans="12:24">
      <c r="L862" s="71"/>
      <c r="X862"/>
    </row>
    <row r="863" spans="12:24">
      <c r="L863" s="71"/>
      <c r="X863"/>
    </row>
    <row r="864" spans="12:24">
      <c r="L864" s="71"/>
      <c r="X864"/>
    </row>
    <row r="865" spans="12:24">
      <c r="L865" s="71"/>
      <c r="X865"/>
    </row>
    <row r="866" spans="12:24">
      <c r="L866" s="71"/>
      <c r="X866"/>
    </row>
    <row r="867" spans="12:24">
      <c r="L867" s="71"/>
      <c r="X867"/>
    </row>
    <row r="868" spans="12:24">
      <c r="L868" s="71"/>
      <c r="X868"/>
    </row>
    <row r="869" spans="12:24">
      <c r="L869" s="71"/>
      <c r="X869"/>
    </row>
    <row r="870" spans="12:24">
      <c r="L870" s="71"/>
      <c r="X870"/>
    </row>
    <row r="871" spans="12:24">
      <c r="L871" s="71"/>
      <c r="X871"/>
    </row>
    <row r="872" spans="12:24">
      <c r="L872" s="71"/>
      <c r="X872"/>
    </row>
    <row r="873" spans="12:24">
      <c r="L873" s="71"/>
      <c r="X873"/>
    </row>
    <row r="874" spans="12:24">
      <c r="L874" s="71"/>
      <c r="X874"/>
    </row>
    <row r="875" spans="12:24">
      <c r="L875" s="71"/>
      <c r="X875"/>
    </row>
    <row r="876" spans="12:24">
      <c r="L876" s="71"/>
      <c r="X876"/>
    </row>
    <row r="877" spans="12:24">
      <c r="L877" s="71"/>
      <c r="X877"/>
    </row>
    <row r="878" spans="12:24">
      <c r="L878" s="71"/>
      <c r="X878"/>
    </row>
    <row r="879" spans="12:24">
      <c r="L879" s="71"/>
      <c r="X879"/>
    </row>
    <row r="880" spans="12:24">
      <c r="L880" s="71"/>
      <c r="X880"/>
    </row>
    <row r="881" spans="12:24">
      <c r="L881" s="71"/>
      <c r="X881"/>
    </row>
    <row r="882" spans="12:24">
      <c r="L882" s="71"/>
      <c r="X882"/>
    </row>
    <row r="883" spans="12:24">
      <c r="L883" s="71"/>
      <c r="X883"/>
    </row>
    <row r="884" spans="12:24">
      <c r="L884" s="71"/>
      <c r="X884"/>
    </row>
    <row r="885" spans="12:24">
      <c r="L885" s="71"/>
      <c r="X885"/>
    </row>
    <row r="886" spans="12:24">
      <c r="L886" s="71"/>
      <c r="X886"/>
    </row>
    <row r="887" spans="12:24">
      <c r="L887" s="71"/>
      <c r="X887"/>
    </row>
    <row r="888" spans="12:24">
      <c r="L888" s="71"/>
      <c r="X888"/>
    </row>
    <row r="889" spans="12:24">
      <c r="L889" s="71"/>
      <c r="X889"/>
    </row>
    <row r="890" spans="12:24">
      <c r="L890" s="71"/>
      <c r="X890"/>
    </row>
    <row r="891" spans="12:24">
      <c r="L891" s="71"/>
      <c r="X891"/>
    </row>
    <row r="892" spans="12:24">
      <c r="L892" s="71"/>
      <c r="X892"/>
    </row>
    <row r="893" spans="12:24">
      <c r="L893" s="71"/>
      <c r="X893"/>
    </row>
    <row r="894" spans="12:24">
      <c r="L894" s="71"/>
      <c r="X894"/>
    </row>
    <row r="895" spans="12:24">
      <c r="L895" s="71"/>
      <c r="X895"/>
    </row>
    <row r="896" spans="12:24">
      <c r="L896" s="71"/>
      <c r="X896"/>
    </row>
    <row r="897" spans="12:24">
      <c r="L897" s="71"/>
      <c r="X897"/>
    </row>
    <row r="898" spans="12:24">
      <c r="L898" s="71"/>
      <c r="X898"/>
    </row>
    <row r="899" spans="12:24">
      <c r="L899" s="71"/>
      <c r="X899"/>
    </row>
    <row r="900" spans="12:24">
      <c r="L900" s="71"/>
      <c r="X900"/>
    </row>
    <row r="901" spans="12:24">
      <c r="L901" s="71"/>
      <c r="X901"/>
    </row>
    <row r="902" spans="12:24">
      <c r="L902" s="71"/>
      <c r="X902"/>
    </row>
    <row r="903" spans="12:24">
      <c r="L903" s="71"/>
      <c r="X903"/>
    </row>
    <row r="904" spans="12:24">
      <c r="L904" s="71"/>
      <c r="X904"/>
    </row>
    <row r="905" spans="12:24">
      <c r="L905" s="71"/>
      <c r="X905"/>
    </row>
    <row r="906" spans="12:24">
      <c r="L906" s="71"/>
      <c r="X906"/>
    </row>
    <row r="907" spans="12:24">
      <c r="L907" s="71"/>
      <c r="X907"/>
    </row>
    <row r="908" spans="12:24">
      <c r="L908" s="71"/>
      <c r="X908"/>
    </row>
    <row r="909" spans="12:24">
      <c r="L909" s="71"/>
      <c r="X909"/>
    </row>
    <row r="910" spans="12:24">
      <c r="L910" s="71"/>
      <c r="X910"/>
    </row>
    <row r="911" spans="12:24">
      <c r="L911" s="71"/>
      <c r="X911"/>
    </row>
    <row r="912" spans="12:24">
      <c r="L912" s="71"/>
      <c r="X912"/>
    </row>
    <row r="913" spans="12:24">
      <c r="L913" s="71"/>
      <c r="X913"/>
    </row>
    <row r="914" spans="12:24">
      <c r="L914" s="71"/>
      <c r="X914"/>
    </row>
    <row r="915" spans="12:24">
      <c r="L915" s="71"/>
      <c r="X915"/>
    </row>
    <row r="916" spans="12:24">
      <c r="L916" s="71"/>
      <c r="X916"/>
    </row>
    <row r="917" spans="12:24">
      <c r="L917" s="71"/>
      <c r="X917"/>
    </row>
    <row r="918" spans="12:24">
      <c r="L918" s="71"/>
      <c r="X918"/>
    </row>
    <row r="919" spans="12:24">
      <c r="L919" s="71"/>
      <c r="X919"/>
    </row>
    <row r="920" spans="12:24">
      <c r="L920" s="71"/>
      <c r="X920"/>
    </row>
    <row r="921" spans="12:24">
      <c r="L921" s="71"/>
      <c r="X921"/>
    </row>
    <row r="922" spans="12:24">
      <c r="L922" s="71"/>
      <c r="X922"/>
    </row>
    <row r="923" spans="12:24">
      <c r="L923" s="71"/>
      <c r="X923"/>
    </row>
    <row r="924" spans="12:24">
      <c r="L924" s="71"/>
      <c r="X924"/>
    </row>
    <row r="925" spans="12:24">
      <c r="L925" s="71"/>
      <c r="X925"/>
    </row>
    <row r="926" spans="12:24">
      <c r="L926" s="71"/>
      <c r="X926"/>
    </row>
    <row r="927" spans="12:24">
      <c r="L927" s="71"/>
      <c r="X927"/>
    </row>
    <row r="928" spans="12:24">
      <c r="L928" s="71"/>
      <c r="X928"/>
    </row>
    <row r="929" spans="12:24">
      <c r="L929" s="71"/>
      <c r="X929"/>
    </row>
    <row r="930" spans="12:24">
      <c r="L930" s="71"/>
      <c r="X930"/>
    </row>
    <row r="931" spans="12:24">
      <c r="L931" s="71"/>
      <c r="X931"/>
    </row>
    <row r="932" spans="12:24">
      <c r="L932" s="71"/>
      <c r="X932"/>
    </row>
    <row r="933" spans="12:24">
      <c r="L933" s="71"/>
      <c r="X933"/>
    </row>
    <row r="934" spans="12:24">
      <c r="L934" s="71"/>
      <c r="X934"/>
    </row>
    <row r="935" spans="12:24">
      <c r="L935" s="71"/>
      <c r="X935"/>
    </row>
    <row r="936" spans="12:24">
      <c r="L936" s="71"/>
      <c r="X936"/>
    </row>
    <row r="937" spans="12:24">
      <c r="L937" s="71"/>
      <c r="X937"/>
    </row>
    <row r="938" spans="12:24">
      <c r="L938" s="71"/>
      <c r="X938"/>
    </row>
    <row r="939" spans="12:24">
      <c r="L939" s="71"/>
      <c r="X939"/>
    </row>
    <row r="940" spans="12:24">
      <c r="L940" s="71"/>
      <c r="X940"/>
    </row>
    <row r="941" spans="12:24">
      <c r="L941" s="71"/>
      <c r="X941"/>
    </row>
    <row r="942" spans="12:24">
      <c r="L942" s="71"/>
      <c r="X942"/>
    </row>
    <row r="943" spans="12:24">
      <c r="L943" s="71"/>
      <c r="X943"/>
    </row>
    <row r="944" spans="12:24">
      <c r="L944" s="71"/>
      <c r="X944"/>
    </row>
    <row r="945" spans="12:24">
      <c r="L945" s="71"/>
      <c r="X945"/>
    </row>
    <row r="946" spans="12:24">
      <c r="L946" s="71"/>
      <c r="X946"/>
    </row>
    <row r="947" spans="12:24">
      <c r="L947" s="71"/>
      <c r="X947"/>
    </row>
    <row r="948" spans="12:24">
      <c r="L948" s="71"/>
      <c r="X948"/>
    </row>
    <row r="949" spans="12:24">
      <c r="L949" s="71"/>
      <c r="X949"/>
    </row>
    <row r="950" spans="12:24">
      <c r="L950" s="71"/>
      <c r="X950"/>
    </row>
    <row r="951" spans="12:24">
      <c r="L951" s="71"/>
      <c r="X951"/>
    </row>
    <row r="952" spans="12:24">
      <c r="L952" s="71"/>
      <c r="X952"/>
    </row>
    <row r="953" spans="12:24">
      <c r="L953" s="71"/>
      <c r="X953"/>
    </row>
    <row r="954" spans="12:24">
      <c r="L954" s="71"/>
      <c r="X954"/>
    </row>
    <row r="955" spans="12:24">
      <c r="L955" s="71"/>
      <c r="X955"/>
    </row>
    <row r="956" spans="12:24">
      <c r="L956" s="71"/>
      <c r="X956"/>
    </row>
    <row r="957" spans="12:24">
      <c r="L957" s="71"/>
    </row>
    <row r="958" spans="12:24">
      <c r="L958" s="71"/>
    </row>
    <row r="959" spans="12:24">
      <c r="L959" s="71"/>
    </row>
    <row r="960" spans="12:24">
      <c r="L960" s="71"/>
    </row>
    <row r="961" spans="12:12">
      <c r="L961" s="71"/>
    </row>
    <row r="962" spans="12:12">
      <c r="L962" s="71"/>
    </row>
    <row r="963" spans="12:12">
      <c r="L963" s="71"/>
    </row>
    <row r="964" spans="12:12">
      <c r="L964" s="71"/>
    </row>
  </sheetData>
  <mergeCells count="22">
    <mergeCell ref="A50:B50"/>
    <mergeCell ref="AE2:AE4"/>
    <mergeCell ref="AF2:AF4"/>
    <mergeCell ref="AG2:AG3"/>
    <mergeCell ref="AH2:AH3"/>
    <mergeCell ref="B40:E40"/>
    <mergeCell ref="B42:E42"/>
    <mergeCell ref="A47:B47"/>
    <mergeCell ref="A48:B48"/>
    <mergeCell ref="A49:B49"/>
    <mergeCell ref="AI2:AI3"/>
    <mergeCell ref="B38:F38"/>
    <mergeCell ref="A1:K2"/>
    <mergeCell ref="M1:W1"/>
    <mergeCell ref="Y1:AB2"/>
    <mergeCell ref="AD1:AF1"/>
    <mergeCell ref="AG1:AI1"/>
    <mergeCell ref="M2:O2"/>
    <mergeCell ref="P2:Q2"/>
    <mergeCell ref="R2:S2"/>
    <mergeCell ref="T2:U2"/>
    <mergeCell ref="AD2:AD4"/>
  </mergeCells>
  <conditionalFormatting sqref="E48">
    <cfRule type="cellIs" dxfId="8" priority="7" operator="greaterThan">
      <formula>$E$48</formula>
    </cfRule>
    <cfRule type="cellIs" dxfId="7" priority="8" operator="lessThan">
      <formula>$E$48</formula>
    </cfRule>
    <cfRule type="cellIs" dxfId="6" priority="9" operator="greaterThan">
      <formula>$E$48</formula>
    </cfRule>
  </conditionalFormatting>
  <conditionalFormatting sqref="G48">
    <cfRule type="cellIs" dxfId="5" priority="3" operator="lessThan">
      <formula>$F$48</formula>
    </cfRule>
    <cfRule type="cellIs" dxfId="4" priority="6" operator="greaterThan">
      <formula>$F$48</formula>
    </cfRule>
  </conditionalFormatting>
  <conditionalFormatting sqref="G49">
    <cfRule type="cellIs" dxfId="3" priority="2" operator="lessThan">
      <formula>$F$49</formula>
    </cfRule>
    <cfRule type="cellIs" dxfId="2" priority="4" operator="greaterThan">
      <formula>$F$49</formula>
    </cfRule>
  </conditionalFormatting>
  <conditionalFormatting sqref="G50">
    <cfRule type="cellIs" dxfId="1" priority="1" operator="lessThan">
      <formula>$F$50</formula>
    </cfRule>
    <cfRule type="cellIs" dxfId="0" priority="5" operator="greaterThan">
      <formula>$F$50</formula>
    </cfRule>
  </conditionalFormatting>
  <dataValidations count="2">
    <dataValidation type="textLength" errorStyle="information" allowBlank="1" showInputMessage="1" showErrorMessage="1" error="XLBVal:5=268502.34_x000d__x000a_" sqref="C48" xr:uid="{92CC71B0-B942-474F-BEE3-5BFE14E7222F}">
      <formula1>0</formula1>
      <formula2>300</formula2>
    </dataValidation>
    <dataValidation type="textLength" errorStyle="information" allowBlank="1" showInputMessage="1" showErrorMessage="1" error="XLBVal:5=37555.62_x000d__x000a_" sqref="C49" xr:uid="{5B7ECA33-623A-488B-8BD6-37836256A2B0}">
      <formula1>0</formula1>
      <formula2>300</formula2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Issac</dc:creator>
  <cp:lastModifiedBy>Engineering - Pearl Rotana</cp:lastModifiedBy>
  <dcterms:created xsi:type="dcterms:W3CDTF">2025-03-28T09:06:39Z</dcterms:created>
  <dcterms:modified xsi:type="dcterms:W3CDTF">2025-06-16T13:53:24Z</dcterms:modified>
</cp:coreProperties>
</file>