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1/"/>
    </mc:Choice>
  </mc:AlternateContent>
  <xr:revisionPtr revIDLastSave="892" documentId="8_{8847650D-614C-4264-8C87-30D8B5EB4252}" xr6:coauthVersionLast="47" xr6:coauthVersionMax="47" xr10:uidLastSave="{DE22D128-EC21-4DB8-A5C3-07540F497BE4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I12" i="3" l="1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E14" i="5"/>
  <c r="E12" i="5"/>
  <c r="E10" i="5"/>
  <c r="E8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E16" i="3"/>
  <c r="E14" i="3"/>
  <c r="C4" i="6" l="1"/>
  <c r="C35" i="6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 l="1"/>
  <c r="E21" i="3"/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H15" i="5" l="1"/>
  <c r="AG15" i="5"/>
  <c r="AF15" i="5"/>
  <c r="AF21" i="3" l="1"/>
  <c r="AG21" i="3"/>
  <c r="AH21" i="3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0" shapeId="0" xr:uid="{60F0917E-CE00-4CC3-A429-2D7AA953FF28}">
      <text>
        <r>
          <rPr>
            <b/>
            <sz val="9"/>
            <color indexed="81"/>
            <rFont val="Tahoma"/>
            <family val="2"/>
          </rPr>
          <t>No Readings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  <comment ref="P13" authorId="0" shapeId="0" xr:uid="{E0B4DF7B-F301-43FF-B8FE-46B29B70B52B}">
      <text>
        <r>
          <rPr>
            <b/>
            <sz val="9"/>
            <color indexed="81"/>
            <rFont val="Tahoma"/>
            <family val="2"/>
          </rPr>
          <t>No Readings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<sst xmlns="http://schemas.openxmlformats.org/spreadsheetml/2006/main" count="123" uniqueCount="88">
  <si>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</si>
  <si>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</si>
  <si>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</si>
  <si>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</si>
  <si>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</si>
  <si>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</si>
  <si>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</si>
  <si>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</si>
  <si>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</si>
  <si>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</si>
  <si>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</si>
  <si>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</si>
  <si>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</si>
  <si>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JANUARY 2021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</si>
  <si>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</si>
  <si>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</si>
  <si>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</si>
  <si>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</si>
  <si>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</si>
  <si>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1 (KW)</t>
  </si>
  <si>
    <t>I5T18D002266/ No. 72039517</t>
  </si>
  <si>
    <t>Hotel &amp; Arjaan 2 (KW)</t>
  </si>
  <si>
    <t>I5T18D002318 / 72039569</t>
  </si>
  <si>
    <t>Chillers (SMDB CH 1) (KW)</t>
  </si>
  <si>
    <t>I5T18D002317 / 72039568</t>
  </si>
  <si>
    <t>Chillers (SMDB CH 2) (KW)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</si>
  <si>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</si>
  <si>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</si>
  <si>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</si>
  <si>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</si>
  <si>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</si>
  <si>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</si>
  <si>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</si>
  <si>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</si>
  <si>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</si>
  <si>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</si>
  <si>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JANUARY  2021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</si>
  <si>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</si>
  <si>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</si>
  <si>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</si>
  <si>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</si>
  <si>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</si>
  <si>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</si>
  <si>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</si>
  <si>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</si>
  <si>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</si>
  <si>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</si>
  <si>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</si>
  <si>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</si>
  <si>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</si>
  <si>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</si>
  <si>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</si>
  <si>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</si>
  <si>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</si>
  <si>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</si>
  <si>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</si>
  <si>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</si>
  <si>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</si>
  <si>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</si>
  <si>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</si>
  <si>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</si>
  <si>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</si>
  <si>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</si>
  <si>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</si>
  <si>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</si>
  <si>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</si>
  <si>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</si>
  <si>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</si>
  <si>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</si>
  <si>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</si>
  <si>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</si>
  <si>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</si>
  <si>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</si>
  <si>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</si>
  <si>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</si>
  <si>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</si>
  <si>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</si>
  <si>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</si>
  <si>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</si>
  <si>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</si>
  <si>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</si>
  <si>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</si>
  <si>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</si>
  <si>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</si>
  <si>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</si>
  <si>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</si>
  <si>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GAS METER READINGS &amp; CONSUMPTION (Liters) January 2021</t>
  </si>
  <si>
    <t>Occupied Room &amp; Number of Guest - January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</si>
</sst>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168" fontId="26" fillId="0" borderId="21" xfId="1" applyNumberFormat="1" applyFont="1" applyFill="1" applyBorder="1"/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1</v>
      </c>
      <c r="D2" s="10">
        <v>2021</v>
      </c>
      <c r="E2" s="4" cm="1">
        <f t="array" ref="E2:E32">TRANSPOSE(Electricity!E21:AI21)</f>
        <v>27005</v>
      </c>
      <c r="F2" s="11">
        <v>0.2</v>
      </c>
      <c r="G2" s="4">
        <f>LPG!C4</f>
        <v>2138.2358064516129</v>
      </c>
      <c r="H2" s="11">
        <v>1.4300070407757015</v>
      </c>
      <c r="I2" s="4" cm="1">
        <f t="array" ref="I2:I32">TRANSPOSE(Water!E15:AI15)</f>
        <v>218.25199999999751</v>
      </c>
      <c r="J2" s="11">
        <v>7.84</v>
      </c>
      <c r="K2" s="4">
        <f>'Occupied &amp; No. of Guest'!B3</f>
        <v>133</v>
      </c>
      <c r="L2" s="4">
        <f>'Occupied &amp; No. of Guest'!C3</f>
        <v>183</v>
      </c>
    </row>
    <row r="3" spans="1:12" x14ac:dyDescent="0.25">
      <c r="A3" s="9" t="s">
        <v>12</v>
      </c>
      <c r="B3" s="10">
        <f>B2+1</f>
        <v>2</v>
      </c>
      <c r="C3" s="10">
        <v>1</v>
      </c>
      <c r="D3" s="10">
        <v>2021</v>
      </c>
      <c r="E3" s="4">
        <v>27402</v>
      </c>
      <c r="F3" s="11">
        <v>0.2</v>
      </c>
      <c r="G3" s="4">
        <f>LPG!C5</f>
        <v>2138.2358064516129</v>
      </c>
      <c r="H3" s="11">
        <v>1.4300070407757015</v>
      </c>
      <c r="I3" s="4">
        <v>213.05399999999861</v>
      </c>
      <c r="J3" s="11">
        <v>7.84</v>
      </c>
      <c r="K3" s="4">
        <f>'Occupied &amp; No. of Guest'!B4</f>
        <v>132</v>
      </c>
      <c r="L3" s="4">
        <f>'Occupied &amp; No. of Guest'!C4</f>
        <v>170</v>
      </c>
    </row>
    <row r="4" spans="1:12" x14ac:dyDescent="0.25">
      <c r="A4" s="9" t="s">
        <v>12</v>
      </c>
      <c r="B4" s="10">
        <f t="shared" ref="B4:B32" si="0">B3+1</f>
        <v>3</v>
      </c>
      <c r="C4" s="10">
        <v>1</v>
      </c>
      <c r="D4" s="10">
        <v>2021</v>
      </c>
      <c r="E4" s="4">
        <v>26618</v>
      </c>
      <c r="F4" s="11">
        <v>0.2</v>
      </c>
      <c r="G4" s="4">
        <f>LPG!C6</f>
        <v>2138.2358064516129</v>
      </c>
      <c r="H4" s="11">
        <v>1.4300070407757015</v>
      </c>
      <c r="I4" s="4">
        <v>261.0380000000207</v>
      </c>
      <c r="J4" s="11">
        <v>7.84</v>
      </c>
      <c r="K4" s="4">
        <f>'Occupied &amp; No. of Guest'!B5</f>
        <v>130</v>
      </c>
      <c r="L4" s="4">
        <f>'Occupied &amp; No. of Guest'!C5</f>
        <v>171</v>
      </c>
    </row>
    <row r="5" spans="1:12" x14ac:dyDescent="0.25">
      <c r="A5" s="9" t="s">
        <v>12</v>
      </c>
      <c r="B5" s="10">
        <f t="shared" si="0"/>
        <v>4</v>
      </c>
      <c r="C5" s="10">
        <v>1</v>
      </c>
      <c r="D5" s="10">
        <v>2021</v>
      </c>
      <c r="E5" s="4">
        <v>26189</v>
      </c>
      <c r="F5" s="11">
        <v>0.2</v>
      </c>
      <c r="G5" s="4">
        <f>LPG!C7</f>
        <v>2138.2358064516129</v>
      </c>
      <c r="H5" s="11">
        <v>1.4300070407757015</v>
      </c>
      <c r="I5" s="4">
        <v>152.6219999999891</v>
      </c>
      <c r="J5" s="11">
        <v>7.84</v>
      </c>
      <c r="K5" s="4">
        <f>'Occupied &amp; No. of Guest'!B6</f>
        <v>139</v>
      </c>
      <c r="L5" s="4">
        <f>'Occupied &amp; No. of Guest'!C6</f>
        <v>183</v>
      </c>
    </row>
    <row r="6" spans="1:12" x14ac:dyDescent="0.25">
      <c r="A6" s="9" t="s">
        <v>12</v>
      </c>
      <c r="B6" s="10">
        <f t="shared" si="0"/>
        <v>5</v>
      </c>
      <c r="C6" s="10">
        <v>1</v>
      </c>
      <c r="D6" s="10">
        <v>2021</v>
      </c>
      <c r="E6" s="4">
        <v>25210</v>
      </c>
      <c r="F6" s="11">
        <v>0.2</v>
      </c>
      <c r="G6" s="4">
        <f>LPG!C8</f>
        <v>2138.2358064516129</v>
      </c>
      <c r="H6" s="11">
        <v>1.4300070407757015</v>
      </c>
      <c r="I6" s="4">
        <v>106.68399999998805</v>
      </c>
      <c r="J6" s="11">
        <v>7.84</v>
      </c>
      <c r="K6" s="4">
        <f>'Occupied &amp; No. of Guest'!B7</f>
        <v>152</v>
      </c>
      <c r="L6" s="4">
        <f>'Occupied &amp; No. of Guest'!C7</f>
        <v>194</v>
      </c>
    </row>
    <row r="7" spans="1:12" x14ac:dyDescent="0.25">
      <c r="A7" s="9" t="s">
        <v>12</v>
      </c>
      <c r="B7" s="10">
        <f t="shared" si="0"/>
        <v>6</v>
      </c>
      <c r="C7" s="10">
        <v>1</v>
      </c>
      <c r="D7" s="10">
        <v>2021</v>
      </c>
      <c r="E7" s="4">
        <v>26608</v>
      </c>
      <c r="F7" s="11">
        <v>0.2</v>
      </c>
      <c r="G7" s="4">
        <f>LPG!C9</f>
        <v>2138.2358064516129</v>
      </c>
      <c r="H7" s="11">
        <v>1.4300070407757015</v>
      </c>
      <c r="I7" s="4">
        <v>164.84300000001159</v>
      </c>
      <c r="J7" s="11">
        <v>7.84</v>
      </c>
      <c r="K7" s="4">
        <f>'Occupied &amp; No. of Guest'!B8</f>
        <v>145</v>
      </c>
      <c r="L7" s="4">
        <f>'Occupied &amp; No. of Guest'!C8</f>
        <v>181</v>
      </c>
    </row>
    <row r="8" spans="1:12" x14ac:dyDescent="0.25">
      <c r="A8" s="9" t="s">
        <v>12</v>
      </c>
      <c r="B8" s="10">
        <f t="shared" si="0"/>
        <v>7</v>
      </c>
      <c r="C8" s="10">
        <v>1</v>
      </c>
      <c r="D8" s="10">
        <v>2021</v>
      </c>
      <c r="E8" s="4">
        <v>27218</v>
      </c>
      <c r="F8" s="11">
        <v>0.2</v>
      </c>
      <c r="G8" s="4">
        <f>LPG!C10</f>
        <v>2138.2358064516129</v>
      </c>
      <c r="H8" s="11">
        <v>1.4300070407757015</v>
      </c>
      <c r="I8" s="4">
        <v>171.93399999998837</v>
      </c>
      <c r="J8" s="11">
        <v>7.84</v>
      </c>
      <c r="K8" s="4">
        <f>'Occupied &amp; No. of Guest'!B9</f>
        <v>135</v>
      </c>
      <c r="L8" s="4">
        <f>'Occupied &amp; No. of Guest'!C9</f>
        <v>181</v>
      </c>
    </row>
    <row r="9" spans="1:12" x14ac:dyDescent="0.25">
      <c r="A9" s="9" t="s">
        <v>12</v>
      </c>
      <c r="B9" s="10">
        <f t="shared" si="0"/>
        <v>8</v>
      </c>
      <c r="C9" s="10">
        <v>1</v>
      </c>
      <c r="D9" s="10">
        <v>2021</v>
      </c>
      <c r="E9" s="4">
        <v>24400</v>
      </c>
      <c r="F9" s="11">
        <v>0.2</v>
      </c>
      <c r="G9" s="4">
        <f>LPG!C11</f>
        <v>2138.2358064516129</v>
      </c>
      <c r="H9" s="11">
        <v>1.4300070407757015</v>
      </c>
      <c r="I9" s="4">
        <v>145.85800000001709</v>
      </c>
      <c r="J9" s="11">
        <v>7.84</v>
      </c>
      <c r="K9" s="4">
        <f>'Occupied &amp; No. of Guest'!B10</f>
        <v>138</v>
      </c>
      <c r="L9" s="4">
        <f>'Occupied &amp; No. of Guest'!C10</f>
        <v>189</v>
      </c>
    </row>
    <row r="10" spans="1:12" x14ac:dyDescent="0.25">
      <c r="A10" s="9" t="s">
        <v>12</v>
      </c>
      <c r="B10" s="10">
        <f t="shared" si="0"/>
        <v>9</v>
      </c>
      <c r="C10" s="10">
        <v>1</v>
      </c>
      <c r="D10" s="10">
        <v>2021</v>
      </c>
      <c r="E10" s="4">
        <v>24614</v>
      </c>
      <c r="F10" s="11">
        <v>0.2</v>
      </c>
      <c r="G10" s="4">
        <f>LPG!C12</f>
        <v>2138.2358064516129</v>
      </c>
      <c r="H10" s="11">
        <v>1.4300070407757015</v>
      </c>
      <c r="I10" s="4">
        <v>194.61299999998846</v>
      </c>
      <c r="J10" s="11">
        <v>7.84</v>
      </c>
      <c r="K10" s="4">
        <f>'Occupied &amp; No. of Guest'!B11</f>
        <v>128</v>
      </c>
      <c r="L10" s="4">
        <f>'Occupied &amp; No. of Guest'!C11</f>
        <v>167</v>
      </c>
    </row>
    <row r="11" spans="1:12" x14ac:dyDescent="0.25">
      <c r="A11" s="9" t="s">
        <v>12</v>
      </c>
      <c r="B11" s="10">
        <f t="shared" si="0"/>
        <v>10</v>
      </c>
      <c r="C11" s="10">
        <v>1</v>
      </c>
      <c r="D11" s="10">
        <v>2021</v>
      </c>
      <c r="E11" s="4">
        <v>25010</v>
      </c>
      <c r="F11" s="11">
        <v>0.2</v>
      </c>
      <c r="G11" s="4">
        <f>LPG!C13</f>
        <v>2138.2358064516129</v>
      </c>
      <c r="H11" s="11">
        <v>1.4300070407757015</v>
      </c>
      <c r="I11" s="4">
        <v>115.3329999999947</v>
      </c>
      <c r="J11" s="11">
        <v>7.84</v>
      </c>
      <c r="K11" s="4">
        <f>'Occupied &amp; No. of Guest'!B12</f>
        <v>148</v>
      </c>
      <c r="L11" s="4">
        <f>'Occupied &amp; No. of Guest'!C12</f>
        <v>191</v>
      </c>
    </row>
    <row r="12" spans="1:12" x14ac:dyDescent="0.25">
      <c r="A12" s="9" t="s">
        <v>12</v>
      </c>
      <c r="B12" s="10">
        <f t="shared" si="0"/>
        <v>11</v>
      </c>
      <c r="C12" s="10">
        <v>1</v>
      </c>
      <c r="D12" s="10">
        <v>2021</v>
      </c>
      <c r="E12" s="4">
        <v>22993</v>
      </c>
      <c r="F12" s="11">
        <v>0.2</v>
      </c>
      <c r="G12" s="4">
        <f>LPG!C14</f>
        <v>2138.2358064516129</v>
      </c>
      <c r="H12" s="11">
        <v>1.4300070407757015</v>
      </c>
      <c r="I12" s="4">
        <v>141.57900000001123</v>
      </c>
      <c r="J12" s="11">
        <v>7.84</v>
      </c>
      <c r="K12" s="4">
        <f>'Occupied &amp; No. of Guest'!B13</f>
        <v>160</v>
      </c>
      <c r="L12" s="4">
        <f>'Occupied &amp; No. of Guest'!C13</f>
        <v>205</v>
      </c>
    </row>
    <row r="13" spans="1:12" x14ac:dyDescent="0.25">
      <c r="A13" s="9" t="s">
        <v>12</v>
      </c>
      <c r="B13" s="10">
        <f t="shared" si="0"/>
        <v>12</v>
      </c>
      <c r="C13" s="10">
        <v>1</v>
      </c>
      <c r="D13" s="10">
        <v>2021</v>
      </c>
      <c r="E13" s="4">
        <v>26800</v>
      </c>
      <c r="F13" s="11">
        <v>0.2</v>
      </c>
      <c r="G13" s="4">
        <f>LPG!C15</f>
        <v>2138.2358064516129</v>
      </c>
      <c r="H13" s="11">
        <v>1.4300070407757015</v>
      </c>
      <c r="I13" s="4">
        <v>194.20100000001185</v>
      </c>
      <c r="J13" s="11">
        <v>7.84</v>
      </c>
      <c r="K13" s="4">
        <f>'Occupied &amp; No. of Guest'!B14</f>
        <v>174</v>
      </c>
      <c r="L13" s="4">
        <f>'Occupied &amp; No. of Guest'!C14</f>
        <v>222</v>
      </c>
    </row>
    <row r="14" spans="1:12" x14ac:dyDescent="0.25">
      <c r="A14" s="9" t="s">
        <v>12</v>
      </c>
      <c r="B14" s="10">
        <f t="shared" si="0"/>
        <v>13</v>
      </c>
      <c r="C14" s="10">
        <v>1</v>
      </c>
      <c r="D14" s="10">
        <v>2021</v>
      </c>
      <c r="E14" s="4">
        <v>25607</v>
      </c>
      <c r="F14" s="11">
        <v>0.2</v>
      </c>
      <c r="G14" s="4">
        <f>LPG!C16</f>
        <v>2138.2358064516129</v>
      </c>
      <c r="H14" s="11">
        <v>1.4300070407757015</v>
      </c>
      <c r="I14" s="4">
        <v>693.45599999999365</v>
      </c>
      <c r="J14" s="11">
        <v>7.84</v>
      </c>
      <c r="K14" s="4">
        <f>'Occupied &amp; No. of Guest'!B15</f>
        <v>161</v>
      </c>
      <c r="L14" s="4">
        <f>'Occupied &amp; No. of Guest'!C15</f>
        <v>203</v>
      </c>
    </row>
    <row r="15" spans="1:12" x14ac:dyDescent="0.25">
      <c r="A15" s="9" t="s">
        <v>12</v>
      </c>
      <c r="B15" s="10">
        <f t="shared" si="0"/>
        <v>14</v>
      </c>
      <c r="C15" s="10">
        <v>1</v>
      </c>
      <c r="D15" s="10">
        <v>2021</v>
      </c>
      <c r="E15" s="4">
        <v>26397</v>
      </c>
      <c r="F15" s="11">
        <v>0.2</v>
      </c>
      <c r="G15" s="4">
        <f>LPG!C17</f>
        <v>2138.2358064516129</v>
      </c>
      <c r="H15" s="11">
        <v>1.4300070407757015</v>
      </c>
      <c r="I15" s="4">
        <v>185.23499999999379</v>
      </c>
      <c r="J15" s="11">
        <v>7.84</v>
      </c>
      <c r="K15" s="4">
        <f>'Occupied &amp; No. of Guest'!B16</f>
        <v>168</v>
      </c>
      <c r="L15" s="4">
        <f>'Occupied &amp; No. of Guest'!C16</f>
        <v>209</v>
      </c>
    </row>
    <row r="16" spans="1:12" x14ac:dyDescent="0.25">
      <c r="A16" s="9" t="s">
        <v>12</v>
      </c>
      <c r="B16" s="10">
        <f t="shared" si="0"/>
        <v>15</v>
      </c>
      <c r="C16" s="10">
        <v>1</v>
      </c>
      <c r="D16" s="10">
        <v>2021</v>
      </c>
      <c r="E16" s="4">
        <v>24415</v>
      </c>
      <c r="F16" s="11">
        <v>0.2</v>
      </c>
      <c r="G16" s="4">
        <f>LPG!C18</f>
        <v>2138.2358064516129</v>
      </c>
      <c r="H16" s="11">
        <v>1.4300070407757015</v>
      </c>
      <c r="I16" s="4">
        <v>165.59700000001547</v>
      </c>
      <c r="J16" s="11">
        <v>7.84</v>
      </c>
      <c r="K16" s="4">
        <f>'Occupied &amp; No. of Guest'!B17</f>
        <v>133</v>
      </c>
      <c r="L16" s="4">
        <f>'Occupied &amp; No. of Guest'!C17</f>
        <v>177</v>
      </c>
    </row>
    <row r="17" spans="1:12" x14ac:dyDescent="0.25">
      <c r="A17" s="9" t="s">
        <v>12</v>
      </c>
      <c r="B17" s="10">
        <f t="shared" si="0"/>
        <v>16</v>
      </c>
      <c r="C17" s="10">
        <v>1</v>
      </c>
      <c r="D17" s="10">
        <v>2021</v>
      </c>
      <c r="E17" s="4">
        <v>25792</v>
      </c>
      <c r="F17" s="11">
        <v>0.2</v>
      </c>
      <c r="G17" s="4">
        <f>LPG!C19</f>
        <v>2138.2358064516129</v>
      </c>
      <c r="H17" s="11">
        <v>1.4300070407757015</v>
      </c>
      <c r="I17" s="4">
        <v>214.18499999999045</v>
      </c>
      <c r="J17" s="11">
        <v>7.84</v>
      </c>
      <c r="K17" s="4">
        <f>'Occupied &amp; No. of Guest'!B18</f>
        <v>153</v>
      </c>
      <c r="L17" s="4">
        <f>'Occupied &amp; No. of Guest'!C18</f>
        <v>198</v>
      </c>
    </row>
    <row r="18" spans="1:12" x14ac:dyDescent="0.25">
      <c r="A18" s="9" t="s">
        <v>12</v>
      </c>
      <c r="B18" s="10">
        <f t="shared" si="0"/>
        <v>17</v>
      </c>
      <c r="C18" s="10">
        <v>1</v>
      </c>
      <c r="D18" s="10">
        <v>2021</v>
      </c>
      <c r="E18" s="4">
        <v>24809</v>
      </c>
      <c r="F18" s="11">
        <v>0.2</v>
      </c>
      <c r="G18" s="4">
        <f>LPG!C20</f>
        <v>2138.2358064516129</v>
      </c>
      <c r="H18" s="11">
        <v>1.4300070407757015</v>
      </c>
      <c r="I18" s="4">
        <v>274.18899999999195</v>
      </c>
      <c r="J18" s="11">
        <v>7.84</v>
      </c>
      <c r="K18" s="4">
        <f>'Occupied &amp; No. of Guest'!B19</f>
        <v>182</v>
      </c>
      <c r="L18" s="4">
        <f>'Occupied &amp; No. of Guest'!C19</f>
        <v>233</v>
      </c>
    </row>
    <row r="19" spans="1:12" x14ac:dyDescent="0.25">
      <c r="A19" s="9" t="s">
        <v>12</v>
      </c>
      <c r="B19" s="10">
        <f t="shared" si="0"/>
        <v>18</v>
      </c>
      <c r="C19" s="10">
        <v>1</v>
      </c>
      <c r="D19" s="10">
        <v>2021</v>
      </c>
      <c r="E19" s="4">
        <v>24802</v>
      </c>
      <c r="F19" s="11">
        <v>0.2</v>
      </c>
      <c r="G19" s="4">
        <f>LPG!C21</f>
        <v>2138.2358064516129</v>
      </c>
      <c r="H19" s="11">
        <v>1.4300070407757015</v>
      </c>
      <c r="I19" s="4">
        <v>155.69599999999684</v>
      </c>
      <c r="J19" s="11">
        <v>7.84</v>
      </c>
      <c r="K19" s="4">
        <f>'Occupied &amp; No. of Guest'!B20</f>
        <v>175</v>
      </c>
      <c r="L19" s="4">
        <f>'Occupied &amp; No. of Guest'!C20</f>
        <v>221</v>
      </c>
    </row>
    <row r="20" spans="1:12" x14ac:dyDescent="0.25">
      <c r="A20" s="9" t="s">
        <v>12</v>
      </c>
      <c r="B20" s="10">
        <f t="shared" si="0"/>
        <v>19</v>
      </c>
      <c r="C20" s="10">
        <v>1</v>
      </c>
      <c r="D20" s="10">
        <v>2021</v>
      </c>
      <c r="E20" s="4">
        <v>26602</v>
      </c>
      <c r="F20" s="11">
        <v>0.2</v>
      </c>
      <c r="G20" s="4">
        <f>LPG!C22</f>
        <v>2138.2358064516129</v>
      </c>
      <c r="H20" s="11">
        <v>1.4300070407757015</v>
      </c>
      <c r="I20" s="4">
        <v>236.4730000000111</v>
      </c>
      <c r="J20" s="11">
        <v>7.84</v>
      </c>
      <c r="K20" s="4">
        <f>'Occupied &amp; No. of Guest'!B21</f>
        <v>184</v>
      </c>
      <c r="L20" s="4">
        <f>'Occupied &amp; No. of Guest'!C21</f>
        <v>234</v>
      </c>
    </row>
    <row r="21" spans="1:12" x14ac:dyDescent="0.25">
      <c r="A21" s="9" t="s">
        <v>12</v>
      </c>
      <c r="B21" s="10">
        <f t="shared" si="0"/>
        <v>20</v>
      </c>
      <c r="C21" s="10">
        <v>1</v>
      </c>
      <c r="D21" s="10">
        <v>2021</v>
      </c>
      <c r="E21" s="4">
        <v>28023</v>
      </c>
      <c r="F21" s="11">
        <v>0.2</v>
      </c>
      <c r="G21" s="4">
        <f>LPG!C23</f>
        <v>2138.2358064516129</v>
      </c>
      <c r="H21" s="11">
        <v>1.4300070407757015</v>
      </c>
      <c r="I21" s="4">
        <v>346.57400000000706</v>
      </c>
      <c r="J21" s="11">
        <v>7.84</v>
      </c>
      <c r="K21" s="4">
        <f>'Occupied &amp; No. of Guest'!B22</f>
        <v>188</v>
      </c>
      <c r="L21" s="4">
        <f>'Occupied &amp; No. of Guest'!C22</f>
        <v>243</v>
      </c>
    </row>
    <row r="22" spans="1:12" x14ac:dyDescent="0.25">
      <c r="A22" s="9" t="s">
        <v>12</v>
      </c>
      <c r="B22" s="10">
        <f t="shared" si="0"/>
        <v>21</v>
      </c>
      <c r="C22" s="10">
        <v>1</v>
      </c>
      <c r="D22" s="10">
        <v>2021</v>
      </c>
      <c r="E22" s="4">
        <v>27007</v>
      </c>
      <c r="F22" s="11">
        <v>0.2</v>
      </c>
      <c r="G22" s="4">
        <f>LPG!C24</f>
        <v>2138.2358064516129</v>
      </c>
      <c r="H22" s="11">
        <v>1.4300070407757015</v>
      </c>
      <c r="I22" s="4">
        <v>188.54500000000507</v>
      </c>
      <c r="J22" s="11">
        <v>7.84</v>
      </c>
      <c r="K22" s="4">
        <f>'Occupied &amp; No. of Guest'!B23</f>
        <v>146</v>
      </c>
      <c r="L22" s="4">
        <f>'Occupied &amp; No. of Guest'!C23</f>
        <v>185</v>
      </c>
    </row>
    <row r="23" spans="1:12" x14ac:dyDescent="0.25">
      <c r="A23" s="9" t="s">
        <v>12</v>
      </c>
      <c r="B23" s="10">
        <f t="shared" si="0"/>
        <v>22</v>
      </c>
      <c r="C23" s="10">
        <v>1</v>
      </c>
      <c r="D23" s="10">
        <v>2021</v>
      </c>
      <c r="E23" s="4">
        <v>25194</v>
      </c>
      <c r="F23" s="11">
        <v>0.2</v>
      </c>
      <c r="G23" s="4">
        <f>LPG!C25</f>
        <v>2138.2358064516129</v>
      </c>
      <c r="H23" s="11">
        <v>1.4300070407757015</v>
      </c>
      <c r="I23" s="4">
        <v>212.89999999998881</v>
      </c>
      <c r="J23" s="11">
        <v>7.84</v>
      </c>
      <c r="K23" s="4">
        <f>'Occupied &amp; No. of Guest'!B24</f>
        <v>137</v>
      </c>
      <c r="L23" s="4">
        <f>'Occupied &amp; No. of Guest'!C24</f>
        <v>187</v>
      </c>
    </row>
    <row r="24" spans="1:12" x14ac:dyDescent="0.25">
      <c r="A24" s="9" t="s">
        <v>12</v>
      </c>
      <c r="B24" s="10">
        <f t="shared" si="0"/>
        <v>23</v>
      </c>
      <c r="C24" s="10">
        <v>1</v>
      </c>
      <c r="D24" s="10">
        <v>2021</v>
      </c>
      <c r="E24" s="4">
        <v>26283</v>
      </c>
      <c r="F24" s="11">
        <v>0.2</v>
      </c>
      <c r="G24" s="4">
        <f>LPG!C26</f>
        <v>2138.2358064516129</v>
      </c>
      <c r="H24" s="11">
        <v>1.4300070407757015</v>
      </c>
      <c r="I24" s="4">
        <v>224.78899999998274</v>
      </c>
      <c r="J24" s="11">
        <v>7.84</v>
      </c>
      <c r="K24" s="4">
        <f>'Occupied &amp; No. of Guest'!B25</f>
        <v>149</v>
      </c>
      <c r="L24" s="4">
        <f>'Occupied &amp; No. of Guest'!C25</f>
        <v>205</v>
      </c>
    </row>
    <row r="25" spans="1:12" x14ac:dyDescent="0.25">
      <c r="A25" s="9" t="s">
        <v>12</v>
      </c>
      <c r="B25" s="10">
        <f t="shared" si="0"/>
        <v>24</v>
      </c>
      <c r="C25" s="10">
        <v>1</v>
      </c>
      <c r="D25" s="10">
        <v>2021</v>
      </c>
      <c r="E25" s="4">
        <v>24799</v>
      </c>
      <c r="F25" s="11">
        <v>0.2</v>
      </c>
      <c r="G25" s="4">
        <f>LPG!C27</f>
        <v>2138.2358064516129</v>
      </c>
      <c r="H25" s="11">
        <v>1.4300070407757015</v>
      </c>
      <c r="I25" s="4">
        <v>262.67900000001669</v>
      </c>
      <c r="J25" s="11">
        <v>7.84</v>
      </c>
      <c r="K25" s="4">
        <f>'Occupied &amp; No. of Guest'!B26</f>
        <v>172</v>
      </c>
      <c r="L25" s="4">
        <f>'Occupied &amp; No. of Guest'!C26</f>
        <v>225</v>
      </c>
    </row>
    <row r="26" spans="1:12" x14ac:dyDescent="0.25">
      <c r="A26" s="9" t="s">
        <v>12</v>
      </c>
      <c r="B26" s="10">
        <f>B25+1</f>
        <v>25</v>
      </c>
      <c r="C26" s="10">
        <v>1</v>
      </c>
      <c r="D26" s="10">
        <v>2021</v>
      </c>
      <c r="E26" s="4">
        <v>26198</v>
      </c>
      <c r="F26" s="11">
        <v>0.2</v>
      </c>
      <c r="G26" s="4">
        <f>LPG!C28</f>
        <v>2138.2358064516129</v>
      </c>
      <c r="H26" s="11">
        <v>1.4300070407757015</v>
      </c>
      <c r="I26" s="4">
        <v>152.30300000001185</v>
      </c>
      <c r="J26" s="11">
        <v>7.84</v>
      </c>
      <c r="K26" s="4">
        <f>'Occupied &amp; No. of Guest'!B27</f>
        <v>183</v>
      </c>
      <c r="L26" s="4">
        <f>'Occupied &amp; No. of Guest'!C27</f>
        <v>233</v>
      </c>
    </row>
    <row r="27" spans="1:12" x14ac:dyDescent="0.25">
      <c r="A27" s="9" t="s">
        <v>12</v>
      </c>
      <c r="B27" s="10">
        <f t="shared" si="0"/>
        <v>26</v>
      </c>
      <c r="C27" s="10">
        <v>1</v>
      </c>
      <c r="D27" s="10">
        <v>2021</v>
      </c>
      <c r="E27" s="4">
        <v>27391</v>
      </c>
      <c r="F27" s="11">
        <v>0.2</v>
      </c>
      <c r="G27" s="4">
        <f>LPG!C29</f>
        <v>2138.2358064516129</v>
      </c>
      <c r="H27" s="11">
        <v>1.4300070407757015</v>
      </c>
      <c r="I27" s="4">
        <v>215.66299999999441</v>
      </c>
      <c r="J27" s="11">
        <v>7.84</v>
      </c>
      <c r="K27" s="4">
        <f>'Occupied &amp; No. of Guest'!B28</f>
        <v>183</v>
      </c>
      <c r="L27" s="4">
        <f>'Occupied &amp; No. of Guest'!C28</f>
        <v>237</v>
      </c>
    </row>
    <row r="28" spans="1:12" x14ac:dyDescent="0.25">
      <c r="A28" s="9" t="s">
        <v>12</v>
      </c>
      <c r="B28" s="10">
        <f t="shared" si="0"/>
        <v>27</v>
      </c>
      <c r="C28" s="10">
        <v>1</v>
      </c>
      <c r="D28" s="10">
        <v>2021</v>
      </c>
      <c r="E28" s="4">
        <v>27014</v>
      </c>
      <c r="F28" s="11">
        <v>0.2</v>
      </c>
      <c r="G28" s="4">
        <f>LPG!C30</f>
        <v>2138.2358064516129</v>
      </c>
      <c r="H28" s="11">
        <v>1.4300070407757015</v>
      </c>
      <c r="I28" s="4">
        <v>266.1869999999775</v>
      </c>
      <c r="J28" s="11">
        <v>7.84</v>
      </c>
      <c r="K28" s="4">
        <f>'Occupied &amp; No. of Guest'!B29</f>
        <v>200</v>
      </c>
      <c r="L28" s="4">
        <f>'Occupied &amp; No. of Guest'!C29</f>
        <v>262</v>
      </c>
    </row>
    <row r="29" spans="1:12" x14ac:dyDescent="0.25">
      <c r="A29" s="9" t="s">
        <v>12</v>
      </c>
      <c r="B29" s="10">
        <f t="shared" si="0"/>
        <v>28</v>
      </c>
      <c r="C29" s="10">
        <v>1</v>
      </c>
      <c r="D29" s="10">
        <v>2021</v>
      </c>
      <c r="E29" s="4">
        <v>27010</v>
      </c>
      <c r="F29" s="11">
        <v>0.2</v>
      </c>
      <c r="G29" s="4">
        <f>LPG!C31</f>
        <v>2138.2358064516129</v>
      </c>
      <c r="H29" s="11">
        <v>1.4300070407757015</v>
      </c>
      <c r="I29" s="4">
        <v>265.06099999999378</v>
      </c>
      <c r="J29" s="11">
        <v>7.84</v>
      </c>
      <c r="K29" s="4">
        <f>'Occupied &amp; No. of Guest'!B30</f>
        <v>191</v>
      </c>
      <c r="L29" s="4">
        <f>'Occupied &amp; No. of Guest'!C30</f>
        <v>238</v>
      </c>
    </row>
    <row r="30" spans="1:12" x14ac:dyDescent="0.25">
      <c r="A30" s="9" t="s">
        <v>12</v>
      </c>
      <c r="B30" s="10">
        <f t="shared" si="0"/>
        <v>29</v>
      </c>
      <c r="C30" s="10">
        <v>1</v>
      </c>
      <c r="D30" s="10">
        <v>2021</v>
      </c>
      <c r="E30" s="4">
        <v>26611</v>
      </c>
      <c r="F30" s="11">
        <v>0.2</v>
      </c>
      <c r="G30" s="4">
        <f>LPG!C32</f>
        <v>2138.2358064516129</v>
      </c>
      <c r="H30" s="11">
        <v>1.4300070407757015</v>
      </c>
      <c r="I30" s="4">
        <v>179.26900000002342</v>
      </c>
      <c r="J30" s="11">
        <v>7.84</v>
      </c>
      <c r="K30" s="4">
        <f>'Occupied &amp; No. of Guest'!B31</f>
        <v>151</v>
      </c>
      <c r="L30" s="4">
        <f>'Occupied &amp; No. of Guest'!C31</f>
        <v>195</v>
      </c>
    </row>
    <row r="31" spans="1:12" x14ac:dyDescent="0.25">
      <c r="A31" s="9" t="s">
        <v>12</v>
      </c>
      <c r="B31" s="10">
        <f t="shared" si="0"/>
        <v>30</v>
      </c>
      <c r="C31" s="10">
        <v>1</v>
      </c>
      <c r="D31" s="10">
        <v>2021</v>
      </c>
      <c r="E31" s="4">
        <v>27607</v>
      </c>
      <c r="F31" s="11">
        <v>0.2</v>
      </c>
      <c r="G31" s="4">
        <f>LPG!C33</f>
        <v>2138.2358064516129</v>
      </c>
      <c r="H31" s="11">
        <v>1.4300070407757015</v>
      </c>
      <c r="I31" s="4">
        <v>285.15499999999116</v>
      </c>
      <c r="J31" s="11">
        <v>7.84</v>
      </c>
      <c r="K31" s="4">
        <f>'Occupied &amp; No. of Guest'!B32</f>
        <v>146</v>
      </c>
      <c r="L31" s="4">
        <f>'Occupied &amp; No. of Guest'!C32</f>
        <v>189</v>
      </c>
    </row>
    <row r="32" spans="1:12" x14ac:dyDescent="0.25">
      <c r="A32" s="9" t="s">
        <v>12</v>
      </c>
      <c r="B32" s="10">
        <f t="shared" si="0"/>
        <v>31</v>
      </c>
      <c r="C32" s="10">
        <v>1</v>
      </c>
      <c r="D32" s="10">
        <v>2021</v>
      </c>
      <c r="E32" s="4">
        <v>26406</v>
      </c>
      <c r="F32" s="11">
        <v>0.2</v>
      </c>
      <c r="G32" s="4">
        <f>LPG!C34</f>
        <v>2138.2358064516129</v>
      </c>
      <c r="H32" s="11">
        <v>1.4300070407757015</v>
      </c>
      <c r="I32" s="4">
        <v>206.71900000000545</v>
      </c>
      <c r="J32" s="11">
        <v>7.84</v>
      </c>
      <c r="K32" s="4">
        <f>'Occupied &amp; No. of Guest'!B33</f>
        <v>147</v>
      </c>
      <c r="L32" s="4">
        <f>'Occupied &amp; No. of Guest'!C33</f>
        <v>189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E16" sqref="E16:AI16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6" t="s">
        <v>13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</row>
    <row r="3" spans="1:67" s="14" customFormat="1" ht="29.25" customHeight="1" thickBot="1" x14ac:dyDescent="0.3"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</row>
    <row r="4" spans="1:67" ht="38.25" x14ac:dyDescent="0.2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78">
        <v>1</v>
      </c>
      <c r="B5" s="20" t="s">
        <v>18</v>
      </c>
      <c r="C5" s="80" t="s">
        <v>19</v>
      </c>
      <c r="D5" s="21">
        <v>76604</v>
      </c>
      <c r="E5" s="21">
        <v>76624</v>
      </c>
      <c r="F5" s="21">
        <v>76644</v>
      </c>
      <c r="G5" s="21">
        <v>76664</v>
      </c>
      <c r="H5" s="21">
        <v>76684</v>
      </c>
      <c r="I5" s="21">
        <v>76703</v>
      </c>
      <c r="J5" s="21">
        <v>76723</v>
      </c>
      <c r="K5" s="21">
        <v>76744</v>
      </c>
      <c r="L5" s="21">
        <v>76763</v>
      </c>
      <c r="M5" s="21">
        <v>76783</v>
      </c>
      <c r="N5" s="21">
        <v>76803</v>
      </c>
      <c r="O5" s="21">
        <v>76821</v>
      </c>
      <c r="P5" s="21">
        <v>76842</v>
      </c>
      <c r="Q5" s="21">
        <v>76861</v>
      </c>
      <c r="R5" s="21">
        <v>76882</v>
      </c>
      <c r="S5" s="21">
        <v>76901</v>
      </c>
      <c r="T5" s="21">
        <v>76921</v>
      </c>
      <c r="U5" s="21">
        <v>76940</v>
      </c>
      <c r="V5" s="21">
        <v>76959</v>
      </c>
      <c r="W5" s="21">
        <v>76979</v>
      </c>
      <c r="X5" s="21">
        <v>77000</v>
      </c>
      <c r="Y5" s="21">
        <v>77020</v>
      </c>
      <c r="Z5" s="21">
        <v>77039</v>
      </c>
      <c r="AA5" s="21">
        <v>77059</v>
      </c>
      <c r="AB5" s="21">
        <v>77078</v>
      </c>
      <c r="AC5" s="21">
        <v>77098</v>
      </c>
      <c r="AD5" s="21">
        <v>77118</v>
      </c>
      <c r="AE5" s="21">
        <v>77138</v>
      </c>
      <c r="AF5" s="21">
        <v>77158</v>
      </c>
      <c r="AG5" s="21">
        <v>77178</v>
      </c>
      <c r="AH5" s="21">
        <v>77199</v>
      </c>
      <c r="AI5" s="21">
        <v>77218</v>
      </c>
    </row>
    <row r="6" spans="1:67" s="24" customFormat="1" ht="21.75" customHeight="1" x14ac:dyDescent="0.2">
      <c r="A6" s="79"/>
      <c r="B6" s="22"/>
      <c r="C6" s="81"/>
      <c r="D6" s="23"/>
      <c r="E6" s="23">
        <f>(E5-D5)*1000</f>
        <v>20000</v>
      </c>
      <c r="F6" s="23">
        <f t="shared" ref="F6:AI6" si="0">(F5-E5)*1000</f>
        <v>20000</v>
      </c>
      <c r="G6" s="23">
        <f t="shared" si="0"/>
        <v>20000</v>
      </c>
      <c r="H6" s="23">
        <f t="shared" si="0"/>
        <v>20000</v>
      </c>
      <c r="I6" s="23">
        <f t="shared" si="0"/>
        <v>19000</v>
      </c>
      <c r="J6" s="23">
        <f t="shared" si="0"/>
        <v>20000</v>
      </c>
      <c r="K6" s="23">
        <f t="shared" si="0"/>
        <v>21000</v>
      </c>
      <c r="L6" s="23">
        <f t="shared" si="0"/>
        <v>19000</v>
      </c>
      <c r="M6" s="23">
        <f t="shared" si="0"/>
        <v>20000</v>
      </c>
      <c r="N6" s="23">
        <f t="shared" si="0"/>
        <v>20000</v>
      </c>
      <c r="O6" s="23">
        <f t="shared" si="0"/>
        <v>18000</v>
      </c>
      <c r="P6" s="23">
        <f t="shared" si="0"/>
        <v>21000</v>
      </c>
      <c r="Q6" s="23">
        <f t="shared" si="0"/>
        <v>19000</v>
      </c>
      <c r="R6" s="23">
        <f t="shared" si="0"/>
        <v>21000</v>
      </c>
      <c r="S6" s="23">
        <f t="shared" si="0"/>
        <v>19000</v>
      </c>
      <c r="T6" s="23">
        <f t="shared" si="0"/>
        <v>20000</v>
      </c>
      <c r="U6" s="23">
        <f t="shared" si="0"/>
        <v>19000</v>
      </c>
      <c r="V6" s="23">
        <f t="shared" si="0"/>
        <v>19000</v>
      </c>
      <c r="W6" s="23">
        <f t="shared" si="0"/>
        <v>20000</v>
      </c>
      <c r="X6" s="23">
        <f t="shared" si="0"/>
        <v>21000</v>
      </c>
      <c r="Y6" s="23">
        <f t="shared" si="0"/>
        <v>20000</v>
      </c>
      <c r="Z6" s="23">
        <f t="shared" si="0"/>
        <v>19000</v>
      </c>
      <c r="AA6" s="23">
        <f t="shared" si="0"/>
        <v>20000</v>
      </c>
      <c r="AB6" s="23">
        <f t="shared" si="0"/>
        <v>19000</v>
      </c>
      <c r="AC6" s="23">
        <f t="shared" si="0"/>
        <v>20000</v>
      </c>
      <c r="AD6" s="23">
        <f t="shared" si="0"/>
        <v>20000</v>
      </c>
      <c r="AE6" s="23">
        <f t="shared" si="0"/>
        <v>20000</v>
      </c>
      <c r="AF6" s="23">
        <f t="shared" si="0"/>
        <v>20000</v>
      </c>
      <c r="AG6" s="23">
        <f t="shared" si="0"/>
        <v>20000</v>
      </c>
      <c r="AH6" s="23">
        <f t="shared" si="0"/>
        <v>21000</v>
      </c>
      <c r="AI6" s="23">
        <f t="shared" si="0"/>
        <v>19000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2">
        <v>2</v>
      </c>
      <c r="B7" s="25" t="s">
        <v>20</v>
      </c>
      <c r="C7" s="84" t="s">
        <v>21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x14ac:dyDescent="0.2">
      <c r="A8" s="83"/>
      <c r="B8" s="22"/>
      <c r="C8" s="81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4">
        <v>3</v>
      </c>
      <c r="B9" s="36" t="s">
        <v>22</v>
      </c>
      <c r="C9" s="75" t="s">
        <v>23</v>
      </c>
      <c r="D9" s="21">
        <v>90489</v>
      </c>
      <c r="E9" s="21">
        <v>90503</v>
      </c>
      <c r="F9" s="21">
        <v>90517</v>
      </c>
      <c r="G9" s="21">
        <v>90530</v>
      </c>
      <c r="H9" s="21">
        <v>90543</v>
      </c>
      <c r="I9" s="21">
        <v>90556</v>
      </c>
      <c r="J9" s="21">
        <v>90571</v>
      </c>
      <c r="K9" s="21">
        <v>90585</v>
      </c>
      <c r="L9" s="21">
        <v>90596</v>
      </c>
      <c r="M9" s="21">
        <v>90606</v>
      </c>
      <c r="N9" s="21">
        <v>90616</v>
      </c>
      <c r="O9" s="21">
        <v>90626</v>
      </c>
      <c r="P9" s="21">
        <v>90639</v>
      </c>
      <c r="Q9" s="21">
        <v>90653</v>
      </c>
      <c r="R9" s="21">
        <v>90665</v>
      </c>
      <c r="S9" s="21">
        <v>90677</v>
      </c>
      <c r="T9" s="21">
        <v>90690</v>
      </c>
      <c r="U9" s="21">
        <v>90697</v>
      </c>
      <c r="V9" s="21">
        <v>90700</v>
      </c>
      <c r="W9" s="21">
        <v>90712</v>
      </c>
      <c r="X9" s="21">
        <v>90726</v>
      </c>
      <c r="Y9" s="21">
        <v>90739</v>
      </c>
      <c r="Z9" s="21">
        <v>90751</v>
      </c>
      <c r="AA9" s="21">
        <v>90763</v>
      </c>
      <c r="AB9" s="21">
        <v>90774</v>
      </c>
      <c r="AC9" s="21">
        <v>90787</v>
      </c>
      <c r="AD9" s="21">
        <v>90802</v>
      </c>
      <c r="AE9" s="21">
        <v>90816</v>
      </c>
      <c r="AF9" s="21">
        <v>90830</v>
      </c>
      <c r="AG9" s="21">
        <v>90843</v>
      </c>
      <c r="AH9" s="21">
        <v>90856</v>
      </c>
      <c r="AI9" s="21">
        <v>90870</v>
      </c>
    </row>
    <row r="10" spans="1:67" s="24" customFormat="1" ht="21.75" customHeight="1" x14ac:dyDescent="0.2">
      <c r="A10" s="70"/>
      <c r="B10" s="37"/>
      <c r="C10" s="73"/>
      <c r="D10" s="23"/>
      <c r="E10" s="23">
        <f>(E9-D9)*1000</f>
        <v>14000</v>
      </c>
      <c r="F10" s="23">
        <f t="shared" ref="F10" si="31">(F9-E9)*1000</f>
        <v>14000</v>
      </c>
      <c r="G10" s="23">
        <f t="shared" ref="G10" si="32">(G9-F9)*1000</f>
        <v>13000</v>
      </c>
      <c r="H10" s="23">
        <f t="shared" ref="H10" si="33">(H9-G9)*1000</f>
        <v>13000</v>
      </c>
      <c r="I10" s="23">
        <f t="shared" ref="I10" si="34">(I9-H9)*1000</f>
        <v>13000</v>
      </c>
      <c r="J10" s="23">
        <f t="shared" ref="J10" si="35">(J9-I9)*1000</f>
        <v>15000</v>
      </c>
      <c r="K10" s="23">
        <f t="shared" ref="K10" si="36">(K9-J9)*1000</f>
        <v>14000</v>
      </c>
      <c r="L10" s="23">
        <f t="shared" ref="L10" si="37">(L9-K9)*1000</f>
        <v>11000</v>
      </c>
      <c r="M10" s="23">
        <f t="shared" ref="M10" si="38">(M9-L9)*1000</f>
        <v>10000</v>
      </c>
      <c r="N10" s="23">
        <f t="shared" ref="N10" si="39">(N9-M9)*1000</f>
        <v>10000</v>
      </c>
      <c r="O10" s="23">
        <f t="shared" ref="O10" si="40">(O9-N9)*1000</f>
        <v>10000</v>
      </c>
      <c r="P10" s="23">
        <f t="shared" ref="P10" si="41">(P9-O9)*1000</f>
        <v>13000</v>
      </c>
      <c r="Q10" s="23">
        <f t="shared" ref="Q10" si="42">(Q9-P9)*1000</f>
        <v>14000</v>
      </c>
      <c r="R10" s="23">
        <f t="shared" ref="R10" si="43">(R9-Q9)*1000</f>
        <v>12000</v>
      </c>
      <c r="S10" s="23">
        <f t="shared" ref="S10" si="44">(S9-R9)*1000</f>
        <v>12000</v>
      </c>
      <c r="T10" s="23">
        <f t="shared" ref="T10" si="45">(T9-S9)*1000</f>
        <v>13000</v>
      </c>
      <c r="U10" s="23">
        <f t="shared" ref="U10" si="46">(U9-T9)*1000</f>
        <v>7000</v>
      </c>
      <c r="V10" s="23">
        <f t="shared" ref="V10" si="47">(V9-U9)*1000</f>
        <v>3000</v>
      </c>
      <c r="W10" s="23">
        <f t="shared" ref="W10" si="48">(W9-V9)*1000</f>
        <v>12000</v>
      </c>
      <c r="X10" s="23">
        <f t="shared" ref="X10" si="49">(X9-W9)*1000</f>
        <v>14000</v>
      </c>
      <c r="Y10" s="23">
        <f t="shared" ref="Y10" si="50">(Y9-X9)*1000</f>
        <v>13000</v>
      </c>
      <c r="Z10" s="23">
        <f t="shared" ref="Z10" si="51">(Z9-Y9)*1000</f>
        <v>12000</v>
      </c>
      <c r="AA10" s="23">
        <f t="shared" ref="AA10" si="52">(AA9-Z9)*1000</f>
        <v>12000</v>
      </c>
      <c r="AB10" s="23">
        <f t="shared" ref="AB10" si="53">(AB9-AA9)*1000</f>
        <v>11000</v>
      </c>
      <c r="AC10" s="23">
        <f t="shared" ref="AC10" si="54">(AC9-AB9)*1000</f>
        <v>13000</v>
      </c>
      <c r="AD10" s="23">
        <f t="shared" ref="AD10" si="55">(AD9-AC9)*1000</f>
        <v>15000</v>
      </c>
      <c r="AE10" s="23">
        <f t="shared" ref="AE10" si="56">(AE9-AD9)*1000</f>
        <v>14000</v>
      </c>
      <c r="AF10" s="23">
        <f t="shared" ref="AF10" si="57">(AF9-AE9)*1000</f>
        <v>14000</v>
      </c>
      <c r="AG10" s="23">
        <f t="shared" ref="AG10" si="58">(AG9-AF9)*1000</f>
        <v>13000</v>
      </c>
      <c r="AH10" s="23">
        <f t="shared" ref="AH10" si="59">(AH9-AG9)*1000</f>
        <v>13000</v>
      </c>
      <c r="AI10" s="23">
        <f t="shared" ref="AI10" si="60">(AI9-AH9)*1000</f>
        <v>14000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5">
        <v>4</v>
      </c>
      <c r="B11" s="36" t="s">
        <v>24</v>
      </c>
      <c r="C11" s="75" t="s">
        <v>25</v>
      </c>
      <c r="D11" s="21">
        <v>77345</v>
      </c>
      <c r="E11" s="21">
        <v>77348</v>
      </c>
      <c r="F11" s="21">
        <v>77352</v>
      </c>
      <c r="G11" s="21">
        <v>77355</v>
      </c>
      <c r="H11" s="21">
        <v>77357</v>
      </c>
      <c r="I11" s="21">
        <v>77359</v>
      </c>
      <c r="J11" s="21">
        <v>77360</v>
      </c>
      <c r="K11" s="21">
        <v>77361</v>
      </c>
      <c r="L11" s="21">
        <v>77363</v>
      </c>
      <c r="M11" s="21">
        <v>77364</v>
      </c>
      <c r="N11" s="21">
        <v>77366</v>
      </c>
      <c r="O11" s="21">
        <v>77368</v>
      </c>
      <c r="P11" s="21">
        <v>77369</v>
      </c>
      <c r="Q11" s="21">
        <v>77371</v>
      </c>
      <c r="R11" s="21">
        <v>77372</v>
      </c>
      <c r="S11" s="21">
        <v>77373</v>
      </c>
      <c r="T11" s="21">
        <v>77374</v>
      </c>
      <c r="U11" s="21">
        <v>77381</v>
      </c>
      <c r="V11" s="21">
        <v>77392</v>
      </c>
      <c r="W11" s="21">
        <v>77396</v>
      </c>
      <c r="X11" s="21">
        <v>77399</v>
      </c>
      <c r="Y11" s="21">
        <v>77403</v>
      </c>
      <c r="Z11" s="21">
        <v>77406</v>
      </c>
      <c r="AA11" s="21">
        <v>77409</v>
      </c>
      <c r="AB11" s="21">
        <v>77412</v>
      </c>
      <c r="AC11" s="21">
        <v>77414</v>
      </c>
      <c r="AD11" s="21">
        <v>77417</v>
      </c>
      <c r="AE11" s="21">
        <v>77420</v>
      </c>
      <c r="AF11" s="21">
        <v>77423</v>
      </c>
      <c r="AG11" s="21">
        <v>77426</v>
      </c>
      <c r="AH11" s="21">
        <v>77429</v>
      </c>
      <c r="AI11" s="21">
        <v>77433</v>
      </c>
    </row>
    <row r="12" spans="1:67" s="38" customFormat="1" ht="21.75" customHeight="1" x14ac:dyDescent="0.2">
      <c r="A12" s="72"/>
      <c r="B12" s="37"/>
      <c r="C12" s="73"/>
      <c r="D12" s="23"/>
      <c r="E12" s="23">
        <f>(E11-D11)*1000</f>
        <v>3000</v>
      </c>
      <c r="F12" s="23">
        <f t="shared" ref="F12" si="61">(F11-E11)*1000</f>
        <v>4000</v>
      </c>
      <c r="G12" s="23">
        <f t="shared" ref="G12" si="62">(G11-F11)*1000</f>
        <v>3000</v>
      </c>
      <c r="H12" s="23">
        <f t="shared" ref="H12" si="63">(H11-G11)*1000</f>
        <v>2000</v>
      </c>
      <c r="I12" s="23">
        <f t="shared" ref="I12" si="64">(I11-H11)*1000</f>
        <v>2000</v>
      </c>
      <c r="J12" s="23">
        <f t="shared" ref="J12" si="65">(J11-I11)*1000</f>
        <v>1000</v>
      </c>
      <c r="K12" s="23">
        <f t="shared" ref="K12" si="66">(K11-J11)*1000</f>
        <v>1000</v>
      </c>
      <c r="L12" s="23">
        <f t="shared" ref="L12" si="67">(L11-K11)*1000</f>
        <v>2000</v>
      </c>
      <c r="M12" s="23">
        <f t="shared" ref="M12" si="68">(M11-L11)*1000</f>
        <v>1000</v>
      </c>
      <c r="N12" s="23">
        <f t="shared" ref="N12" si="69">(N11-M11)*1000</f>
        <v>2000</v>
      </c>
      <c r="O12" s="23">
        <f t="shared" ref="O12" si="70">(O11-N11)*1000</f>
        <v>2000</v>
      </c>
      <c r="P12" s="23">
        <f t="shared" ref="P12" si="71">(P11-O11)*1000</f>
        <v>1000</v>
      </c>
      <c r="Q12" s="23">
        <f t="shared" ref="Q12" si="72">(Q11-P11)*1000</f>
        <v>2000</v>
      </c>
      <c r="R12" s="23">
        <f t="shared" ref="R12" si="73">(R11-Q11)*1000</f>
        <v>1000</v>
      </c>
      <c r="S12" s="23">
        <f t="shared" ref="S12" si="74">(S11-R11)*1000</f>
        <v>1000</v>
      </c>
      <c r="T12" s="23">
        <f t="shared" ref="T12" si="75">(T11-S11)*1000</f>
        <v>1000</v>
      </c>
      <c r="U12" s="23">
        <f t="shared" ref="U12" si="76">(U11-T11)*1000</f>
        <v>7000</v>
      </c>
      <c r="V12" s="23">
        <f t="shared" ref="V12" si="77">(V11-U11)*1000</f>
        <v>11000</v>
      </c>
      <c r="W12" s="23">
        <f t="shared" ref="W12" si="78">(W11-V11)*1000</f>
        <v>4000</v>
      </c>
      <c r="X12" s="23">
        <f t="shared" ref="X12" si="79">(X11-W11)*1000</f>
        <v>3000</v>
      </c>
      <c r="Y12" s="23">
        <f t="shared" ref="Y12" si="80">(Y11-X11)*1000</f>
        <v>4000</v>
      </c>
      <c r="Z12" s="23">
        <f t="shared" ref="Z12" si="81">(Z11-Y11)*1000</f>
        <v>3000</v>
      </c>
      <c r="AA12" s="23">
        <f t="shared" ref="AA12" si="82">(AA11-Z11)*1000</f>
        <v>3000</v>
      </c>
      <c r="AB12" s="23">
        <f t="shared" ref="AB12" si="83">(AB11-AA11)*1000</f>
        <v>3000</v>
      </c>
      <c r="AC12" s="23">
        <f t="shared" ref="AC12" si="84">(AC11-AB11)*1000</f>
        <v>2000</v>
      </c>
      <c r="AD12" s="23">
        <f t="shared" ref="AD12" si="85">(AD11-AC11)*1000</f>
        <v>3000</v>
      </c>
      <c r="AE12" s="23">
        <f t="shared" ref="AE12" si="86">(AE11-AD11)*1000</f>
        <v>3000</v>
      </c>
      <c r="AF12" s="23">
        <f t="shared" ref="AF12" si="87">(AF11-AE11)*1000</f>
        <v>3000</v>
      </c>
      <c r="AG12" s="23">
        <f t="shared" ref="AG12" si="88">(AG11-AF11)*1000</f>
        <v>3000</v>
      </c>
      <c r="AH12" s="23">
        <f t="shared" ref="AH12" si="89">(AH11-AG11)*1000</f>
        <v>3000</v>
      </c>
      <c r="AI12" s="23">
        <f t="shared" ref="AI12" si="90">(AI11-AH11)*1000</f>
        <v>4000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4">
        <v>7</v>
      </c>
      <c r="B13" s="39" t="s">
        <v>26</v>
      </c>
      <c r="C13" s="67" t="s">
        <v>27</v>
      </c>
      <c r="D13" s="40">
        <v>2999</v>
      </c>
      <c r="E13" s="40">
        <v>2999</v>
      </c>
      <c r="F13" s="40">
        <v>2999</v>
      </c>
      <c r="G13" s="40">
        <v>2999</v>
      </c>
      <c r="H13" s="40">
        <v>2999</v>
      </c>
      <c r="I13" s="40">
        <v>2999</v>
      </c>
      <c r="J13" s="40">
        <v>2999</v>
      </c>
      <c r="K13" s="40">
        <v>3002</v>
      </c>
      <c r="L13" s="40">
        <v>3002</v>
      </c>
      <c r="M13" s="40">
        <v>3002</v>
      </c>
      <c r="N13" s="40">
        <v>3002</v>
      </c>
      <c r="O13" s="40">
        <v>3002</v>
      </c>
      <c r="P13" s="40">
        <v>3002</v>
      </c>
      <c r="Q13" s="40">
        <v>3002</v>
      </c>
      <c r="R13" s="40">
        <v>3002</v>
      </c>
      <c r="S13" s="40">
        <v>3002</v>
      </c>
      <c r="T13" s="40">
        <v>3002</v>
      </c>
      <c r="U13" s="40">
        <v>3002</v>
      </c>
      <c r="V13" s="40">
        <v>3002</v>
      </c>
      <c r="W13" s="40">
        <v>3002</v>
      </c>
      <c r="X13" s="40">
        <v>3003</v>
      </c>
      <c r="Y13" s="40">
        <v>3003</v>
      </c>
      <c r="Z13" s="40">
        <v>3003</v>
      </c>
      <c r="AA13" s="40">
        <v>3003</v>
      </c>
      <c r="AB13" s="40">
        <v>3003</v>
      </c>
      <c r="AC13" s="40">
        <v>3003</v>
      </c>
      <c r="AD13" s="40">
        <v>3003</v>
      </c>
      <c r="AE13" s="40">
        <v>3003</v>
      </c>
      <c r="AF13" s="40">
        <v>3003</v>
      </c>
      <c r="AG13" s="40">
        <v>3003</v>
      </c>
      <c r="AH13" s="40">
        <v>3003</v>
      </c>
      <c r="AI13" s="40">
        <v>3003</v>
      </c>
    </row>
    <row r="14" spans="1:67" s="24" customFormat="1" ht="21.75" customHeight="1" x14ac:dyDescent="0.2">
      <c r="A14" s="70"/>
      <c r="B14" s="41"/>
      <c r="C14" s="73"/>
      <c r="D14" s="42"/>
      <c r="E14" s="42">
        <f t="shared" ref="E14:Y14" si="91">E13-D13</f>
        <v>0</v>
      </c>
      <c r="F14" s="42">
        <f t="shared" ref="F14" si="92">F13-E13</f>
        <v>0</v>
      </c>
      <c r="G14" s="42">
        <f t="shared" ref="G14" si="93">G13-F13</f>
        <v>0</v>
      </c>
      <c r="H14" s="42">
        <f t="shared" ref="H14" si="94">H13-G13</f>
        <v>0</v>
      </c>
      <c r="I14" s="42">
        <f t="shared" ref="I14" si="95">I13-H13</f>
        <v>0</v>
      </c>
      <c r="J14" s="42">
        <f t="shared" ref="J14" si="96">J13-I13</f>
        <v>0</v>
      </c>
      <c r="K14" s="42">
        <f t="shared" ref="K14" si="97">K13-J13</f>
        <v>3</v>
      </c>
      <c r="L14" s="42">
        <f t="shared" ref="L14" si="98">L13-K13</f>
        <v>0</v>
      </c>
      <c r="M14" s="42">
        <f t="shared" ref="M14" si="99">M13-L13</f>
        <v>0</v>
      </c>
      <c r="N14" s="42">
        <f t="shared" ref="N14" si="100">N13-M13</f>
        <v>0</v>
      </c>
      <c r="O14" s="42">
        <f t="shared" ref="O14" si="101">O13-N13</f>
        <v>0</v>
      </c>
      <c r="P14" s="42">
        <f t="shared" ref="P14" si="102">P13-O13</f>
        <v>0</v>
      </c>
      <c r="Q14" s="42">
        <f t="shared" ref="Q14" si="103">Q13-P13</f>
        <v>0</v>
      </c>
      <c r="R14" s="42">
        <f t="shared" ref="R14" si="104">R13-Q13</f>
        <v>0</v>
      </c>
      <c r="S14" s="42">
        <f t="shared" ref="S14" si="105">S13-R13</f>
        <v>0</v>
      </c>
      <c r="T14" s="42">
        <f t="shared" ref="T14" si="106">T13-S13</f>
        <v>0</v>
      </c>
      <c r="U14" s="42">
        <f t="shared" ref="U14" si="107">U13-T13</f>
        <v>0</v>
      </c>
      <c r="V14" s="42">
        <f t="shared" ref="V14" si="108">V13-U13</f>
        <v>0</v>
      </c>
      <c r="W14" s="42">
        <f t="shared" ref="W14" si="109">W13-V13</f>
        <v>0</v>
      </c>
      <c r="X14" s="42">
        <f t="shared" ref="X14" si="110">X13-W13</f>
        <v>1</v>
      </c>
      <c r="Y14" s="42">
        <f t="shared" ref="Y14" si="111">Y13-X13</f>
        <v>0</v>
      </c>
      <c r="Z14" s="42">
        <f t="shared" ref="Z14" si="112">Z13-Y13</f>
        <v>0</v>
      </c>
      <c r="AA14" s="42">
        <f t="shared" ref="AA14" si="113">AA13-Z13</f>
        <v>0</v>
      </c>
      <c r="AB14" s="42">
        <f t="shared" ref="AB14" si="114">AB13-AA13</f>
        <v>0</v>
      </c>
      <c r="AC14" s="42">
        <f t="shared" ref="AC14" si="115">AC13-AB13</f>
        <v>0</v>
      </c>
      <c r="AD14" s="42">
        <f t="shared" ref="AD14" si="116">AD13-AC13</f>
        <v>0</v>
      </c>
      <c r="AE14" s="42">
        <f t="shared" ref="AE14" si="117">AE13-AD13</f>
        <v>0</v>
      </c>
      <c r="AF14" s="42">
        <f t="shared" ref="AF14" si="118">AF13-AE13</f>
        <v>0</v>
      </c>
      <c r="AG14" s="42">
        <f t="shared" ref="AG14" si="119">AG13-AF13</f>
        <v>0</v>
      </c>
      <c r="AH14" s="42">
        <f t="shared" ref="AH14" si="120">AH13-AG13</f>
        <v>0</v>
      </c>
      <c r="AI14" s="42">
        <f t="shared" ref="AI14" si="121"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5">
        <v>8</v>
      </c>
      <c r="B15" s="39" t="s">
        <v>28</v>
      </c>
      <c r="C15" s="67" t="s">
        <v>29</v>
      </c>
      <c r="D15" s="40">
        <v>323</v>
      </c>
      <c r="E15" s="40">
        <v>323</v>
      </c>
      <c r="F15" s="40">
        <v>323</v>
      </c>
      <c r="G15" s="40">
        <v>323</v>
      </c>
      <c r="H15" s="40">
        <v>323</v>
      </c>
      <c r="I15" s="40">
        <v>325</v>
      </c>
      <c r="J15" s="40">
        <v>325</v>
      </c>
      <c r="K15" s="40">
        <v>325</v>
      </c>
      <c r="L15" s="40">
        <v>325</v>
      </c>
      <c r="M15" s="40">
        <v>325</v>
      </c>
      <c r="N15" s="40">
        <v>325</v>
      </c>
      <c r="O15" s="40">
        <v>325</v>
      </c>
      <c r="P15" s="40">
        <v>325</v>
      </c>
      <c r="Q15" s="40">
        <v>325</v>
      </c>
      <c r="R15" s="40">
        <v>325</v>
      </c>
      <c r="S15" s="40">
        <v>325</v>
      </c>
      <c r="T15" s="40">
        <v>325</v>
      </c>
      <c r="U15" s="40">
        <v>325</v>
      </c>
      <c r="V15" s="40">
        <v>325</v>
      </c>
      <c r="W15" s="40">
        <v>325</v>
      </c>
      <c r="X15" s="40">
        <v>326</v>
      </c>
      <c r="Y15" s="40">
        <v>326</v>
      </c>
      <c r="Z15" s="40">
        <v>326</v>
      </c>
      <c r="AA15" s="40">
        <v>326</v>
      </c>
      <c r="AB15" s="40">
        <v>326</v>
      </c>
      <c r="AC15" s="40">
        <v>326</v>
      </c>
      <c r="AD15" s="40">
        <v>326</v>
      </c>
      <c r="AE15" s="40">
        <v>326</v>
      </c>
      <c r="AF15" s="40">
        <v>326</v>
      </c>
      <c r="AG15" s="40">
        <v>326</v>
      </c>
      <c r="AH15" s="40">
        <v>326</v>
      </c>
      <c r="AI15" s="40">
        <v>326</v>
      </c>
    </row>
    <row r="16" spans="1:67" s="24" customFormat="1" ht="21.75" customHeight="1" x14ac:dyDescent="0.2">
      <c r="A16" s="72"/>
      <c r="B16" s="41"/>
      <c r="C16" s="73"/>
      <c r="D16" s="42"/>
      <c r="E16" s="42">
        <f t="shared" ref="E16:AI16" si="122">E15-D15</f>
        <v>0</v>
      </c>
      <c r="F16" s="42">
        <f t="shared" ref="F16" si="123">F15-E15</f>
        <v>0</v>
      </c>
      <c r="G16" s="42">
        <f t="shared" ref="G16" si="124">G15-F15</f>
        <v>0</v>
      </c>
      <c r="H16" s="42">
        <f t="shared" ref="H16" si="125">H15-G15</f>
        <v>0</v>
      </c>
      <c r="I16" s="42">
        <f t="shared" ref="I16" si="126">I15-H15</f>
        <v>2</v>
      </c>
      <c r="J16" s="42">
        <f t="shared" ref="J16" si="127">J15-I15</f>
        <v>0</v>
      </c>
      <c r="K16" s="42">
        <f t="shared" ref="K16" si="128">K15-J15</f>
        <v>0</v>
      </c>
      <c r="L16" s="42">
        <f t="shared" ref="L16" si="129">L15-K15</f>
        <v>0</v>
      </c>
      <c r="M16" s="42">
        <f t="shared" ref="M16" si="130">M15-L15</f>
        <v>0</v>
      </c>
      <c r="N16" s="42">
        <f t="shared" ref="N16" si="131">N15-M15</f>
        <v>0</v>
      </c>
      <c r="O16" s="42">
        <f t="shared" ref="O16" si="132">O15-N15</f>
        <v>0</v>
      </c>
      <c r="P16" s="42">
        <f t="shared" ref="P16" si="133">P15-O15</f>
        <v>0</v>
      </c>
      <c r="Q16" s="42">
        <f t="shared" ref="Q16" si="134">Q15-P15</f>
        <v>0</v>
      </c>
      <c r="R16" s="42">
        <f t="shared" ref="R16" si="135">R15-Q15</f>
        <v>0</v>
      </c>
      <c r="S16" s="42">
        <f t="shared" ref="S16" si="136">S15-R15</f>
        <v>0</v>
      </c>
      <c r="T16" s="42">
        <f t="shared" ref="T16" si="137">T15-S15</f>
        <v>0</v>
      </c>
      <c r="U16" s="42">
        <f t="shared" ref="U16" si="138">U15-T15</f>
        <v>0</v>
      </c>
      <c r="V16" s="42">
        <f t="shared" ref="V16" si="139">V15-U15</f>
        <v>0</v>
      </c>
      <c r="W16" s="42">
        <f t="shared" ref="W16" si="140">W15-V15</f>
        <v>0</v>
      </c>
      <c r="X16" s="42">
        <f t="shared" ref="X16" si="141">X15-W15</f>
        <v>1</v>
      </c>
      <c r="Y16" s="42">
        <f t="shared" ref="Y16" si="142">Y15-X15</f>
        <v>0</v>
      </c>
      <c r="Z16" s="42">
        <f t="shared" ref="Z16" si="143">Z15-Y15</f>
        <v>0</v>
      </c>
      <c r="AA16" s="42">
        <f t="shared" ref="AA16" si="144">AA15-Z15</f>
        <v>0</v>
      </c>
      <c r="AB16" s="42">
        <f t="shared" ref="AB16" si="145">AB15-AA15</f>
        <v>0</v>
      </c>
      <c r="AC16" s="42">
        <f t="shared" ref="AC16" si="146">AC15-AB15</f>
        <v>0</v>
      </c>
      <c r="AD16" s="42">
        <f t="shared" ref="AD16" si="147">AD15-AC15</f>
        <v>0</v>
      </c>
      <c r="AE16" s="42">
        <f t="shared" ref="AE16" si="148">AE15-AD15</f>
        <v>0</v>
      </c>
      <c r="AF16" s="42">
        <f t="shared" ref="AF16" si="149">AF15-AE15</f>
        <v>0</v>
      </c>
      <c r="AG16" s="42">
        <f t="shared" ref="AG16" si="150">AG15-AF15</f>
        <v>0</v>
      </c>
      <c r="AH16" s="42">
        <f t="shared" ref="AH16" si="151">AH15-AG15</f>
        <v>0</v>
      </c>
      <c r="AI16" s="42">
        <f t="shared" ref="AI16" si="152">AI15-AH15</f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5">
        <v>13</v>
      </c>
      <c r="B17" s="39" t="s">
        <v>30</v>
      </c>
      <c r="C17" s="67" t="s">
        <v>31</v>
      </c>
      <c r="D17" s="40">
        <v>1104658</v>
      </c>
      <c r="E17" s="40">
        <v>1104826</v>
      </c>
      <c r="F17" s="40">
        <v>1104989</v>
      </c>
      <c r="G17" s="40">
        <v>1105170</v>
      </c>
      <c r="H17" s="40">
        <v>1105322</v>
      </c>
      <c r="I17" s="40">
        <v>1105495</v>
      </c>
      <c r="J17" s="40">
        <v>1105666</v>
      </c>
      <c r="K17" s="40">
        <v>1105842</v>
      </c>
      <c r="L17" s="40">
        <v>1106007</v>
      </c>
      <c r="M17" s="40">
        <v>1106180</v>
      </c>
      <c r="N17" s="40">
        <v>1106351</v>
      </c>
      <c r="O17" s="40">
        <v>1106507</v>
      </c>
      <c r="P17" s="40">
        <v>1106670</v>
      </c>
      <c r="Q17" s="40">
        <v>1106839</v>
      </c>
      <c r="R17" s="40">
        <v>1107000</v>
      </c>
      <c r="S17" s="40">
        <v>1107179</v>
      </c>
      <c r="T17" s="40">
        <v>1107333</v>
      </c>
      <c r="U17" s="40">
        <v>1107505</v>
      </c>
      <c r="V17" s="40">
        <v>1107669</v>
      </c>
      <c r="W17" s="40">
        <v>1107833</v>
      </c>
      <c r="X17" s="40">
        <v>1108016</v>
      </c>
      <c r="Y17" s="40">
        <v>1108185</v>
      </c>
      <c r="Z17" s="40">
        <v>1108341</v>
      </c>
      <c r="AA17" s="40">
        <v>1108587</v>
      </c>
      <c r="AB17" s="40">
        <v>1108749</v>
      </c>
      <c r="AC17" s="40">
        <v>1108913</v>
      </c>
      <c r="AD17" s="40">
        <v>1109067</v>
      </c>
      <c r="AE17" s="40">
        <v>1109244</v>
      </c>
      <c r="AF17" s="40">
        <v>1109417</v>
      </c>
      <c r="AG17" s="40">
        <v>1109593</v>
      </c>
      <c r="AH17" s="40">
        <v>1109763</v>
      </c>
      <c r="AI17" s="40">
        <v>1109934</v>
      </c>
    </row>
    <row r="18" spans="1:35" ht="21.75" customHeight="1" x14ac:dyDescent="0.2">
      <c r="A18" s="66"/>
      <c r="B18" s="43"/>
      <c r="C18" s="68"/>
      <c r="D18" s="42"/>
      <c r="E18" s="42">
        <f t="shared" ref="E18:AI18" si="153">E17-D17</f>
        <v>168</v>
      </c>
      <c r="F18" s="42">
        <f t="shared" si="153"/>
        <v>163</v>
      </c>
      <c r="G18" s="42">
        <f t="shared" si="153"/>
        <v>181</v>
      </c>
      <c r="H18" s="42">
        <f t="shared" si="153"/>
        <v>152</v>
      </c>
      <c r="I18" s="42">
        <f t="shared" si="153"/>
        <v>173</v>
      </c>
      <c r="J18" s="42">
        <f t="shared" si="153"/>
        <v>171</v>
      </c>
      <c r="K18" s="42">
        <f t="shared" si="153"/>
        <v>176</v>
      </c>
      <c r="L18" s="42">
        <f t="shared" si="153"/>
        <v>165</v>
      </c>
      <c r="M18" s="42">
        <f t="shared" si="153"/>
        <v>173</v>
      </c>
      <c r="N18" s="42">
        <f t="shared" si="153"/>
        <v>171</v>
      </c>
      <c r="O18" s="42">
        <f t="shared" si="153"/>
        <v>156</v>
      </c>
      <c r="P18" s="42">
        <f t="shared" si="153"/>
        <v>163</v>
      </c>
      <c r="Q18" s="42">
        <f t="shared" si="153"/>
        <v>169</v>
      </c>
      <c r="R18" s="42">
        <f t="shared" si="153"/>
        <v>161</v>
      </c>
      <c r="S18" s="42">
        <f t="shared" si="153"/>
        <v>179</v>
      </c>
      <c r="T18" s="42">
        <f t="shared" si="153"/>
        <v>154</v>
      </c>
      <c r="U18" s="42">
        <f t="shared" si="153"/>
        <v>172</v>
      </c>
      <c r="V18" s="42">
        <f t="shared" si="153"/>
        <v>164</v>
      </c>
      <c r="W18" s="42">
        <f t="shared" si="153"/>
        <v>164</v>
      </c>
      <c r="X18" s="42">
        <f t="shared" si="153"/>
        <v>183</v>
      </c>
      <c r="Y18" s="42">
        <f t="shared" si="153"/>
        <v>169</v>
      </c>
      <c r="Z18" s="42">
        <f t="shared" si="153"/>
        <v>156</v>
      </c>
      <c r="AA18" s="42">
        <f t="shared" si="153"/>
        <v>246</v>
      </c>
      <c r="AB18" s="42">
        <f t="shared" si="153"/>
        <v>162</v>
      </c>
      <c r="AC18" s="42">
        <f t="shared" si="153"/>
        <v>164</v>
      </c>
      <c r="AD18" s="42">
        <f t="shared" si="153"/>
        <v>154</v>
      </c>
      <c r="AE18" s="42">
        <f t="shared" si="153"/>
        <v>177</v>
      </c>
      <c r="AF18" s="42">
        <f t="shared" si="153"/>
        <v>173</v>
      </c>
      <c r="AG18" s="42">
        <f t="shared" si="153"/>
        <v>176</v>
      </c>
      <c r="AH18" s="42">
        <f t="shared" si="153"/>
        <v>170</v>
      </c>
      <c r="AI18" s="42">
        <f t="shared" si="153"/>
        <v>171</v>
      </c>
    </row>
    <row r="19" spans="1:35" ht="21.75" customHeight="1" x14ac:dyDescent="0.2">
      <c r="A19" s="69">
        <v>14</v>
      </c>
      <c r="B19" s="39" t="s">
        <v>32</v>
      </c>
      <c r="C19" s="67" t="s">
        <v>33</v>
      </c>
      <c r="D19" s="40">
        <v>324327</v>
      </c>
      <c r="E19" s="40">
        <v>324364</v>
      </c>
      <c r="F19" s="40">
        <v>324403</v>
      </c>
      <c r="G19" s="40">
        <v>324440</v>
      </c>
      <c r="H19" s="40">
        <v>324477</v>
      </c>
      <c r="I19" s="40">
        <v>324512</v>
      </c>
      <c r="J19" s="40">
        <v>324549</v>
      </c>
      <c r="K19" s="40">
        <v>324588</v>
      </c>
      <c r="L19" s="40">
        <v>324623</v>
      </c>
      <c r="M19" s="40">
        <v>324664</v>
      </c>
      <c r="N19" s="40">
        <v>324703</v>
      </c>
      <c r="O19" s="40">
        <v>324740</v>
      </c>
      <c r="P19" s="40">
        <v>324777</v>
      </c>
      <c r="Q19" s="40">
        <v>324815</v>
      </c>
      <c r="R19" s="40">
        <v>324851</v>
      </c>
      <c r="S19" s="40">
        <v>324887</v>
      </c>
      <c r="T19" s="40">
        <v>324925</v>
      </c>
      <c r="U19" s="40">
        <v>324962</v>
      </c>
      <c r="V19" s="40">
        <v>325000</v>
      </c>
      <c r="W19" s="40">
        <v>325038</v>
      </c>
      <c r="X19" s="40">
        <v>325076</v>
      </c>
      <c r="Y19" s="40">
        <v>325114</v>
      </c>
      <c r="Z19" s="40">
        <v>325152</v>
      </c>
      <c r="AA19" s="40">
        <v>325189</v>
      </c>
      <c r="AB19" s="40">
        <v>325226</v>
      </c>
      <c r="AC19" s="40">
        <v>325260</v>
      </c>
      <c r="AD19" s="40">
        <v>325297</v>
      </c>
      <c r="AE19" s="40">
        <v>325334</v>
      </c>
      <c r="AF19" s="40">
        <v>325371</v>
      </c>
      <c r="AG19" s="40">
        <v>325406</v>
      </c>
      <c r="AH19" s="40">
        <v>325443</v>
      </c>
      <c r="AI19" s="40">
        <v>325478</v>
      </c>
    </row>
    <row r="20" spans="1:35" ht="21.75" customHeight="1" x14ac:dyDescent="0.2">
      <c r="A20" s="70"/>
      <c r="B20" s="43"/>
      <c r="C20" s="68"/>
      <c r="D20" s="42"/>
      <c r="E20" s="42">
        <f t="shared" ref="E20:AI20" si="154">E19-D19</f>
        <v>37</v>
      </c>
      <c r="F20" s="42">
        <f t="shared" si="154"/>
        <v>39</v>
      </c>
      <c r="G20" s="42">
        <f t="shared" si="154"/>
        <v>37</v>
      </c>
      <c r="H20" s="42">
        <f t="shared" si="154"/>
        <v>37</v>
      </c>
      <c r="I20" s="42">
        <f t="shared" si="154"/>
        <v>35</v>
      </c>
      <c r="J20" s="42">
        <f t="shared" si="154"/>
        <v>37</v>
      </c>
      <c r="K20" s="42">
        <f t="shared" si="154"/>
        <v>39</v>
      </c>
      <c r="L20" s="42">
        <f t="shared" si="154"/>
        <v>35</v>
      </c>
      <c r="M20" s="42">
        <f t="shared" si="154"/>
        <v>41</v>
      </c>
      <c r="N20" s="42">
        <f t="shared" si="154"/>
        <v>39</v>
      </c>
      <c r="O20" s="42">
        <f t="shared" si="154"/>
        <v>37</v>
      </c>
      <c r="P20" s="42">
        <f t="shared" si="154"/>
        <v>37</v>
      </c>
      <c r="Q20" s="42">
        <f t="shared" si="154"/>
        <v>38</v>
      </c>
      <c r="R20" s="42">
        <f t="shared" si="154"/>
        <v>36</v>
      </c>
      <c r="S20" s="42">
        <f t="shared" si="154"/>
        <v>36</v>
      </c>
      <c r="T20" s="42">
        <f t="shared" si="154"/>
        <v>38</v>
      </c>
      <c r="U20" s="42">
        <f t="shared" si="154"/>
        <v>37</v>
      </c>
      <c r="V20" s="42">
        <f t="shared" si="154"/>
        <v>38</v>
      </c>
      <c r="W20" s="42">
        <f t="shared" si="154"/>
        <v>38</v>
      </c>
      <c r="X20" s="42">
        <f t="shared" si="154"/>
        <v>38</v>
      </c>
      <c r="Y20" s="42">
        <f t="shared" si="154"/>
        <v>38</v>
      </c>
      <c r="Z20" s="42">
        <f t="shared" si="154"/>
        <v>38</v>
      </c>
      <c r="AA20" s="42">
        <f t="shared" si="154"/>
        <v>37</v>
      </c>
      <c r="AB20" s="42">
        <f t="shared" si="154"/>
        <v>37</v>
      </c>
      <c r="AC20" s="42">
        <f t="shared" si="154"/>
        <v>34</v>
      </c>
      <c r="AD20" s="42">
        <f t="shared" si="154"/>
        <v>37</v>
      </c>
      <c r="AE20" s="42">
        <f t="shared" si="154"/>
        <v>37</v>
      </c>
      <c r="AF20" s="42">
        <f t="shared" si="154"/>
        <v>37</v>
      </c>
      <c r="AG20" s="42">
        <f t="shared" si="154"/>
        <v>35</v>
      </c>
      <c r="AH20" s="42">
        <f t="shared" si="154"/>
        <v>37</v>
      </c>
      <c r="AI20" s="42">
        <f t="shared" si="154"/>
        <v>35</v>
      </c>
    </row>
    <row r="21" spans="1:35" ht="27" customHeight="1" x14ac:dyDescent="0.3">
      <c r="B21" s="71" t="s">
        <v>34</v>
      </c>
      <c r="C21" s="71"/>
      <c r="D21" s="44"/>
      <c r="E21" s="58">
        <f>((E6+E8)+((E10+E12)*40%)+(E14+E16+E18+E20))</f>
        <v>27005</v>
      </c>
      <c r="F21" s="58">
        <f t="shared" ref="F21:AI21" si="155">((F6+F8)+((F10+F12)*40%)+(F14+F16+F18+F20))</f>
        <v>27402</v>
      </c>
      <c r="G21" s="58">
        <f t="shared" si="155"/>
        <v>26618</v>
      </c>
      <c r="H21" s="58">
        <f t="shared" si="155"/>
        <v>26189</v>
      </c>
      <c r="I21" s="58">
        <f t="shared" si="155"/>
        <v>25210</v>
      </c>
      <c r="J21" s="58">
        <f t="shared" si="155"/>
        <v>26608</v>
      </c>
      <c r="K21" s="58">
        <f t="shared" si="155"/>
        <v>27218</v>
      </c>
      <c r="L21" s="58">
        <f t="shared" si="155"/>
        <v>24400</v>
      </c>
      <c r="M21" s="58">
        <f t="shared" si="155"/>
        <v>24614</v>
      </c>
      <c r="N21" s="58">
        <f t="shared" si="155"/>
        <v>25010</v>
      </c>
      <c r="O21" s="58">
        <f t="shared" si="155"/>
        <v>22993</v>
      </c>
      <c r="P21" s="58">
        <f t="shared" si="155"/>
        <v>26800</v>
      </c>
      <c r="Q21" s="58">
        <f t="shared" si="155"/>
        <v>25607</v>
      </c>
      <c r="R21" s="58">
        <f t="shared" si="155"/>
        <v>26397</v>
      </c>
      <c r="S21" s="58">
        <f t="shared" si="155"/>
        <v>24415</v>
      </c>
      <c r="T21" s="58">
        <f t="shared" si="155"/>
        <v>25792</v>
      </c>
      <c r="U21" s="58">
        <f t="shared" si="155"/>
        <v>24809</v>
      </c>
      <c r="V21" s="58">
        <f t="shared" si="155"/>
        <v>24802</v>
      </c>
      <c r="W21" s="58">
        <f t="shared" si="155"/>
        <v>26602</v>
      </c>
      <c r="X21" s="58">
        <f t="shared" si="155"/>
        <v>28023</v>
      </c>
      <c r="Y21" s="58">
        <f t="shared" si="155"/>
        <v>27007</v>
      </c>
      <c r="Z21" s="58">
        <f t="shared" si="155"/>
        <v>25194</v>
      </c>
      <c r="AA21" s="58">
        <f t="shared" si="155"/>
        <v>26283</v>
      </c>
      <c r="AB21" s="58">
        <f t="shared" si="155"/>
        <v>24799</v>
      </c>
      <c r="AC21" s="58">
        <f t="shared" si="155"/>
        <v>26198</v>
      </c>
      <c r="AD21" s="58">
        <f t="shared" si="155"/>
        <v>27391</v>
      </c>
      <c r="AE21" s="58">
        <f t="shared" si="155"/>
        <v>27014</v>
      </c>
      <c r="AF21" s="58">
        <f t="shared" si="155"/>
        <v>27010</v>
      </c>
      <c r="AG21" s="58">
        <f t="shared" si="155"/>
        <v>26611</v>
      </c>
      <c r="AH21" s="58">
        <f t="shared" si="155"/>
        <v>27607</v>
      </c>
      <c r="AI21" s="58">
        <f t="shared" si="155"/>
        <v>26406</v>
      </c>
    </row>
    <row r="22" spans="1:35" ht="27" customHeight="1" x14ac:dyDescent="0.3">
      <c r="B22" s="64" t="s">
        <v>35</v>
      </c>
      <c r="C22" s="64"/>
      <c r="D22" s="44"/>
      <c r="E22" s="58">
        <f>SUM(E21:AI21)</f>
        <v>808034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6" sqref="E6:AI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7" t="s">
        <v>36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42" s="8" customFormat="1" ht="30" customHeight="1" thickBot="1" x14ac:dyDescent="0.3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</row>
    <row r="4" spans="1:42" s="30" customFormat="1" ht="57.75" customHeight="1" thickBot="1" x14ac:dyDescent="0.3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 t="s">
        <v>69</v>
      </c>
    </row>
    <row r="5" spans="1:42" s="8" customFormat="1" ht="40.5" customHeight="1" x14ac:dyDescent="0.25">
      <c r="A5" s="90" t="s">
        <v>39</v>
      </c>
      <c r="B5" s="27" t="s">
        <v>70</v>
      </c>
      <c r="C5" s="92" t="s">
        <v>71</v>
      </c>
      <c r="D5" s="31">
        <v>192349.5</v>
      </c>
      <c r="E5" s="31">
        <v>192499.9</v>
      </c>
      <c r="F5" s="31">
        <v>192659.3</v>
      </c>
      <c r="G5" s="31">
        <v>192812.2</v>
      </c>
      <c r="H5" s="31">
        <v>192964</v>
      </c>
      <c r="I5" s="31">
        <v>193069.8</v>
      </c>
      <c r="J5" s="31">
        <v>193197.5</v>
      </c>
      <c r="K5" s="31">
        <v>193340.3</v>
      </c>
      <c r="L5" s="31">
        <v>193483.6</v>
      </c>
      <c r="M5" s="31">
        <v>193624.9</v>
      </c>
      <c r="N5" s="31">
        <v>193737.3</v>
      </c>
      <c r="O5" s="31">
        <v>193866.5</v>
      </c>
      <c r="P5" s="31">
        <v>194025.7</v>
      </c>
      <c r="Q5" s="31">
        <v>194183.5</v>
      </c>
      <c r="R5" s="31">
        <v>194282.9</v>
      </c>
      <c r="S5" s="31">
        <v>194429.7</v>
      </c>
      <c r="T5" s="31">
        <v>194583</v>
      </c>
      <c r="U5" s="31">
        <v>194736.9</v>
      </c>
      <c r="V5" s="31">
        <v>194839.9</v>
      </c>
      <c r="W5" s="31">
        <v>195001.5</v>
      </c>
      <c r="X5" s="31">
        <v>195171.20000000001</v>
      </c>
      <c r="Y5" s="31">
        <v>195286.7</v>
      </c>
      <c r="Z5" s="31">
        <v>195454.6</v>
      </c>
      <c r="AA5" s="31">
        <v>195622.3</v>
      </c>
      <c r="AB5" s="31">
        <v>195782.5</v>
      </c>
      <c r="AC5" s="31">
        <v>195887.2</v>
      </c>
      <c r="AD5" s="31">
        <v>196056.2</v>
      </c>
      <c r="AE5" s="31">
        <v>196225.9</v>
      </c>
      <c r="AF5" s="31">
        <v>196415.3</v>
      </c>
      <c r="AG5" s="31">
        <v>196544.2</v>
      </c>
      <c r="AH5" s="31">
        <v>196702.5</v>
      </c>
      <c r="AI5" s="31">
        <v>196856</v>
      </c>
    </row>
    <row r="6" spans="1:42" s="34" customFormat="1" ht="25.7" customHeight="1" x14ac:dyDescent="0.25">
      <c r="A6" s="91"/>
      <c r="B6" s="32"/>
      <c r="C6" s="92"/>
      <c r="D6" s="33"/>
      <c r="E6" s="33">
        <f t="shared" ref="E6:AI6" si="0">E5-D5</f>
        <v>150.39999999999418</v>
      </c>
      <c r="F6" s="33">
        <f t="shared" ref="F6" si="1">F5-E5</f>
        <v>159.39999999999418</v>
      </c>
      <c r="G6" s="33">
        <f t="shared" ref="G6" si="2">G5-F5</f>
        <v>152.90000000002328</v>
      </c>
      <c r="H6" s="33">
        <f t="shared" ref="H6" si="3">H5-G5</f>
        <v>151.79999999998836</v>
      </c>
      <c r="I6" s="33">
        <f t="shared" ref="I6" si="4">I5-H5</f>
        <v>105.79999999998836</v>
      </c>
      <c r="J6" s="33">
        <f t="shared" ref="J6" si="5">J5-I5</f>
        <v>127.70000000001164</v>
      </c>
      <c r="K6" s="33">
        <f t="shared" ref="K6" si="6">K5-J5</f>
        <v>142.79999999998836</v>
      </c>
      <c r="L6" s="33">
        <f t="shared" ref="L6" si="7">L5-K5</f>
        <v>143.30000000001746</v>
      </c>
      <c r="M6" s="33">
        <f t="shared" ref="M6" si="8">M5-L5</f>
        <v>141.29999999998836</v>
      </c>
      <c r="N6" s="33">
        <f t="shared" ref="N6" si="9">N5-M5</f>
        <v>112.39999999999418</v>
      </c>
      <c r="O6" s="33">
        <f t="shared" ref="O6" si="10">O5-N5</f>
        <v>129.20000000001164</v>
      </c>
      <c r="P6" s="33">
        <f t="shared" ref="P6" si="11">P5-O5</f>
        <v>159.20000000001164</v>
      </c>
      <c r="Q6" s="33">
        <f t="shared" ref="Q6" si="12">Q5-P5</f>
        <v>157.79999999998836</v>
      </c>
      <c r="R6" s="33">
        <f t="shared" ref="R6" si="13">R5-Q5</f>
        <v>99.399999999994179</v>
      </c>
      <c r="S6" s="33">
        <f t="shared" ref="S6" si="14">S5-R5</f>
        <v>146.80000000001746</v>
      </c>
      <c r="T6" s="33">
        <f t="shared" ref="T6" si="15">T5-S5</f>
        <v>153.29999999998836</v>
      </c>
      <c r="U6" s="33">
        <f t="shared" ref="U6" si="16">U5-T5</f>
        <v>153.89999999999418</v>
      </c>
      <c r="V6" s="33">
        <f t="shared" ref="V6" si="17">V5-U5</f>
        <v>103</v>
      </c>
      <c r="W6" s="33">
        <f t="shared" ref="W6" si="18">W5-V5</f>
        <v>161.60000000000582</v>
      </c>
      <c r="X6" s="33">
        <f t="shared" ref="X6" si="19">X5-W5</f>
        <v>169.70000000001164</v>
      </c>
      <c r="Y6" s="33">
        <f t="shared" ref="Y6" si="20">Y5-X5</f>
        <v>115.5</v>
      </c>
      <c r="Z6" s="33">
        <f t="shared" ref="Z6" si="21">Z5-Y5</f>
        <v>167.89999999999418</v>
      </c>
      <c r="AA6" s="33">
        <f t="shared" ref="AA6" si="22">AA5-Z5</f>
        <v>167.69999999998254</v>
      </c>
      <c r="AB6" s="33">
        <f t="shared" ref="AB6" si="23">AB5-AA5</f>
        <v>160.20000000001164</v>
      </c>
      <c r="AC6" s="33">
        <f t="shared" ref="AC6" si="24">AC5-AB5</f>
        <v>104.70000000001164</v>
      </c>
      <c r="AD6" s="33">
        <f t="shared" ref="AD6" si="25">AD5-AC5</f>
        <v>169</v>
      </c>
      <c r="AE6" s="33">
        <f t="shared" ref="AE6" si="26">AE5-AD5</f>
        <v>169.69999999998254</v>
      </c>
      <c r="AF6" s="33">
        <f t="shared" ref="AF6" si="27">AF5-AE5</f>
        <v>189.39999999999418</v>
      </c>
      <c r="AG6" s="33">
        <f t="shared" ref="AG6" si="28">AG5-AF5</f>
        <v>128.90000000002328</v>
      </c>
      <c r="AH6" s="33">
        <f t="shared" ref="AH6" si="29">AH5-AG5</f>
        <v>158.29999999998836</v>
      </c>
      <c r="AI6" s="33">
        <f t="shared" ref="AI6" si="30">AI5-AH5</f>
        <v>153.5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0" t="s">
        <v>41</v>
      </c>
      <c r="B7" s="49" t="s">
        <v>72</v>
      </c>
      <c r="C7" s="92" t="s">
        <v>73</v>
      </c>
      <c r="D7" s="31">
        <v>255643.8</v>
      </c>
      <c r="E7" s="31">
        <v>255788.9</v>
      </c>
      <c r="F7" s="31">
        <v>255891.6</v>
      </c>
      <c r="G7" s="31">
        <v>256058</v>
      </c>
      <c r="H7" s="31">
        <v>256058</v>
      </c>
      <c r="I7" s="31">
        <v>256058</v>
      </c>
      <c r="J7" s="31">
        <v>256058</v>
      </c>
      <c r="K7" s="31">
        <v>256058</v>
      </c>
      <c r="L7" s="31">
        <v>256058</v>
      </c>
      <c r="M7" s="31">
        <v>256058</v>
      </c>
      <c r="N7" s="31">
        <v>256058</v>
      </c>
      <c r="O7" s="31">
        <v>256058</v>
      </c>
      <c r="P7" s="31">
        <v>256058</v>
      </c>
      <c r="Q7" s="31">
        <v>257222.7</v>
      </c>
      <c r="R7" s="31">
        <v>257361.2</v>
      </c>
      <c r="S7" s="31">
        <v>257401.60000000001</v>
      </c>
      <c r="T7" s="31">
        <v>257508.7</v>
      </c>
      <c r="U7" s="31">
        <v>257704.1</v>
      </c>
      <c r="V7" s="31">
        <v>257797.5</v>
      </c>
      <c r="W7" s="31">
        <v>257958.2</v>
      </c>
      <c r="X7" s="31">
        <v>258259.5</v>
      </c>
      <c r="Y7" s="31">
        <v>258396.7</v>
      </c>
      <c r="Z7" s="31">
        <v>258493</v>
      </c>
      <c r="AA7" s="31">
        <v>258608.5</v>
      </c>
      <c r="AB7" s="31">
        <v>258762.2</v>
      </c>
      <c r="AC7" s="31">
        <v>258856.2</v>
      </c>
      <c r="AD7" s="31">
        <v>258949.5</v>
      </c>
      <c r="AE7" s="31">
        <v>259098.3</v>
      </c>
      <c r="AF7" s="31">
        <v>259230.8</v>
      </c>
      <c r="AG7" s="31">
        <v>259335.3</v>
      </c>
      <c r="AH7" s="31">
        <v>259519.9</v>
      </c>
      <c r="AI7" s="31">
        <v>259627.1</v>
      </c>
    </row>
    <row r="8" spans="1:42" s="34" customFormat="1" ht="25.7" customHeight="1" x14ac:dyDescent="0.25">
      <c r="A8" s="91"/>
      <c r="B8" s="47"/>
      <c r="C8" s="92"/>
      <c r="D8" s="33"/>
      <c r="E8" s="33">
        <f t="shared" ref="E8:P8" si="31">E7-D7</f>
        <v>145.10000000000582</v>
      </c>
      <c r="F8" s="33">
        <f t="shared" ref="F8" si="32">F7-E7</f>
        <v>102.70000000001164</v>
      </c>
      <c r="G8" s="33">
        <f t="shared" ref="G8" si="33">G7-F7</f>
        <v>166.39999999999418</v>
      </c>
      <c r="H8" s="33">
        <f t="shared" ref="H8" si="34">H7-G7</f>
        <v>0</v>
      </c>
      <c r="I8" s="33">
        <f t="shared" ref="I8" si="35">I7-H7</f>
        <v>0</v>
      </c>
      <c r="J8" s="33">
        <f t="shared" ref="J8" si="36">J7-I7</f>
        <v>0</v>
      </c>
      <c r="K8" s="33">
        <f t="shared" ref="K8" si="37">K7-J7</f>
        <v>0</v>
      </c>
      <c r="L8" s="33">
        <f t="shared" ref="L8" si="38">L7-K7</f>
        <v>0</v>
      </c>
      <c r="M8" s="33">
        <f t="shared" ref="M8" si="39">M7-L7</f>
        <v>0</v>
      </c>
      <c r="N8" s="33">
        <f t="shared" ref="N8" si="40">N7-M7</f>
        <v>0</v>
      </c>
      <c r="O8" s="33">
        <f t="shared" ref="O8" si="41">O7-N7</f>
        <v>0</v>
      </c>
      <c r="P8" s="33">
        <f t="shared" ref="P8" si="42">P7-O7</f>
        <v>0</v>
      </c>
      <c r="Q8" s="33">
        <f t="shared" ref="Q8" si="43">Q7-P7</f>
        <v>1164.7000000000116</v>
      </c>
      <c r="R8" s="33">
        <f t="shared" ref="R8" si="44">R7-Q7</f>
        <v>138.5</v>
      </c>
      <c r="S8" s="33">
        <f t="shared" ref="S8" si="45">S7-R7</f>
        <v>40.399999999994179</v>
      </c>
      <c r="T8" s="33">
        <f t="shared" ref="T8" si="46">T7-S7</f>
        <v>107.10000000000582</v>
      </c>
      <c r="U8" s="33">
        <f t="shared" ref="U8" si="47">U7-T7</f>
        <v>195.39999999999418</v>
      </c>
      <c r="V8" s="33">
        <f t="shared" ref="V8" si="48">V7-U7</f>
        <v>93.399999999994179</v>
      </c>
      <c r="W8" s="33">
        <f t="shared" ref="W8" si="49">W7-V7</f>
        <v>160.70000000001164</v>
      </c>
      <c r="X8" s="33">
        <f t="shared" ref="X8" si="50">X7-W7</f>
        <v>301.29999999998836</v>
      </c>
      <c r="Y8" s="33">
        <f t="shared" ref="Y8" si="51">Y7-X7</f>
        <v>137.20000000001164</v>
      </c>
      <c r="Z8" s="33">
        <f t="shared" ref="Z8" si="52">Z7-Y7</f>
        <v>96.299999999988358</v>
      </c>
      <c r="AA8" s="33">
        <f t="shared" ref="AA8" si="53">AA7-Z7</f>
        <v>115.5</v>
      </c>
      <c r="AB8" s="33">
        <f t="shared" ref="AB8" si="54">AB7-AA7</f>
        <v>153.70000000001164</v>
      </c>
      <c r="AC8" s="33">
        <f t="shared" ref="AC8" si="55">AC7-AB7</f>
        <v>94</v>
      </c>
      <c r="AD8" s="33">
        <f t="shared" ref="AD8" si="56">AD7-AC7</f>
        <v>93.299999999988358</v>
      </c>
      <c r="AE8" s="33">
        <f t="shared" ref="AE8" si="57">AE7-AD7</f>
        <v>148.79999999998836</v>
      </c>
      <c r="AF8" s="33">
        <f t="shared" ref="AF8" si="58">AF7-AE7</f>
        <v>132.5</v>
      </c>
      <c r="AG8" s="33">
        <f t="shared" ref="AG8" si="59">AG7-AF7</f>
        <v>104.5</v>
      </c>
      <c r="AH8" s="33">
        <f t="shared" ref="AH8" si="60">AH7-AG7</f>
        <v>184.60000000000582</v>
      </c>
      <c r="AI8" s="33">
        <f t="shared" ref="AI8" si="61">AI7-AH7</f>
        <v>107.20000000001164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0">
        <v>4</v>
      </c>
      <c r="B9" s="46" t="s">
        <v>74</v>
      </c>
      <c r="C9" s="92" t="s">
        <v>75</v>
      </c>
      <c r="D9" s="31">
        <v>72572</v>
      </c>
      <c r="E9" s="31">
        <v>72575</v>
      </c>
      <c r="F9" s="31">
        <v>72588</v>
      </c>
      <c r="G9" s="31">
        <v>72660</v>
      </c>
      <c r="H9" s="31">
        <v>72660</v>
      </c>
      <c r="I9" s="31">
        <v>72660</v>
      </c>
      <c r="J9" s="31">
        <v>72738</v>
      </c>
      <c r="K9" s="31">
        <v>72800</v>
      </c>
      <c r="L9" s="31">
        <v>72801</v>
      </c>
      <c r="M9" s="31">
        <v>72908</v>
      </c>
      <c r="N9" s="31">
        <v>72908</v>
      </c>
      <c r="O9" s="31">
        <v>72917</v>
      </c>
      <c r="P9" s="31">
        <v>72992</v>
      </c>
      <c r="Q9" s="31">
        <v>73015</v>
      </c>
      <c r="R9" s="31">
        <v>73065</v>
      </c>
      <c r="S9" s="31">
        <v>73065</v>
      </c>
      <c r="T9" s="31">
        <v>73086</v>
      </c>
      <c r="U9" s="31">
        <v>73155</v>
      </c>
      <c r="V9" s="31">
        <v>73174</v>
      </c>
      <c r="W9" s="31">
        <v>73177</v>
      </c>
      <c r="X9" s="31">
        <v>73267</v>
      </c>
      <c r="Y9" s="31">
        <v>73286</v>
      </c>
      <c r="Z9" s="31">
        <v>73287</v>
      </c>
      <c r="AA9" s="31">
        <v>73294</v>
      </c>
      <c r="AB9" s="31">
        <v>73363</v>
      </c>
      <c r="AC9" s="31">
        <v>73367</v>
      </c>
      <c r="AD9" s="31">
        <v>73375</v>
      </c>
      <c r="AE9" s="31">
        <v>73438</v>
      </c>
      <c r="AF9" s="31">
        <v>73470</v>
      </c>
      <c r="AG9" s="31">
        <v>73473</v>
      </c>
      <c r="AH9" s="31">
        <v>73561</v>
      </c>
      <c r="AI9" s="31">
        <v>73563</v>
      </c>
    </row>
    <row r="10" spans="1:42" s="34" customFormat="1" ht="25.7" customHeight="1" x14ac:dyDescent="0.25">
      <c r="A10" s="91"/>
      <c r="B10" s="47"/>
      <c r="C10" s="92"/>
      <c r="D10" s="33"/>
      <c r="E10" s="33">
        <f t="shared" ref="E10:AI10" si="62">E9-D9</f>
        <v>3</v>
      </c>
      <c r="F10" s="33">
        <f t="shared" ref="F10" si="63">F9-E9</f>
        <v>13</v>
      </c>
      <c r="G10" s="33">
        <f t="shared" ref="G10" si="64">G9-F9</f>
        <v>72</v>
      </c>
      <c r="H10" s="33">
        <f t="shared" ref="H10" si="65">H9-G9</f>
        <v>0</v>
      </c>
      <c r="I10" s="33">
        <f t="shared" ref="I10" si="66">I9-H9</f>
        <v>0</v>
      </c>
      <c r="J10" s="33">
        <f t="shared" ref="J10" si="67">J9-I9</f>
        <v>78</v>
      </c>
      <c r="K10" s="33">
        <f t="shared" ref="K10" si="68">K9-J9</f>
        <v>62</v>
      </c>
      <c r="L10" s="33">
        <f t="shared" ref="L10" si="69">L9-K9</f>
        <v>1</v>
      </c>
      <c r="M10" s="33">
        <f t="shared" ref="M10" si="70">M9-L9</f>
        <v>107</v>
      </c>
      <c r="N10" s="33">
        <f t="shared" ref="N10" si="71">N9-M9</f>
        <v>0</v>
      </c>
      <c r="O10" s="33">
        <f t="shared" ref="O10" si="72">O9-N9</f>
        <v>9</v>
      </c>
      <c r="P10" s="33">
        <f t="shared" ref="P10" si="73">P9-O9</f>
        <v>75</v>
      </c>
      <c r="Q10" s="33">
        <f t="shared" ref="Q10" si="74">Q9-P9</f>
        <v>23</v>
      </c>
      <c r="R10" s="33">
        <f t="shared" ref="R10" si="75">R9-Q9</f>
        <v>50</v>
      </c>
      <c r="S10" s="33">
        <f t="shared" ref="S10" si="76">S9-R9</f>
        <v>0</v>
      </c>
      <c r="T10" s="33">
        <f t="shared" ref="T10" si="77">T9-S9</f>
        <v>21</v>
      </c>
      <c r="U10" s="33">
        <f t="shared" ref="U10" si="78">U9-T9</f>
        <v>69</v>
      </c>
      <c r="V10" s="33">
        <f t="shared" ref="V10" si="79">V9-U9</f>
        <v>19</v>
      </c>
      <c r="W10" s="33">
        <f t="shared" ref="W10" si="80">W9-V9</f>
        <v>3</v>
      </c>
      <c r="X10" s="33">
        <f t="shared" ref="X10" si="81">X9-W9</f>
        <v>90</v>
      </c>
      <c r="Y10" s="33">
        <f t="shared" ref="Y10" si="82">Y9-X9</f>
        <v>19</v>
      </c>
      <c r="Z10" s="33">
        <f t="shared" ref="Z10" si="83">Z9-Y9</f>
        <v>1</v>
      </c>
      <c r="AA10" s="33">
        <f t="shared" ref="AA10" si="84">AA9-Z9</f>
        <v>7</v>
      </c>
      <c r="AB10" s="33">
        <f t="shared" ref="AB10" si="85">AB9-AA9</f>
        <v>69</v>
      </c>
      <c r="AC10" s="33">
        <f t="shared" ref="AC10" si="86">AC9-AB9</f>
        <v>4</v>
      </c>
      <c r="AD10" s="33">
        <f t="shared" ref="AD10" si="87">AD9-AC9</f>
        <v>8</v>
      </c>
      <c r="AE10" s="33">
        <f t="shared" ref="AE10" si="88">AE9-AD9</f>
        <v>63</v>
      </c>
      <c r="AF10" s="33">
        <f t="shared" ref="AF10" si="89">AF9-AE9</f>
        <v>32</v>
      </c>
      <c r="AG10" s="33">
        <f t="shared" ref="AG10" si="90">AG9-AF9</f>
        <v>3</v>
      </c>
      <c r="AH10" s="33">
        <f t="shared" ref="AH10" si="91">AH9-AG9</f>
        <v>88</v>
      </c>
      <c r="AI10" s="33">
        <f t="shared" ref="AI10" si="92">AI9-AH9</f>
        <v>2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3">
        <v>5</v>
      </c>
      <c r="B11" s="27">
        <v>68864837</v>
      </c>
      <c r="C11" s="92" t="s">
        <v>76</v>
      </c>
      <c r="D11" s="31">
        <v>70.727999999999994</v>
      </c>
      <c r="E11" s="31">
        <v>71.436000000000007</v>
      </c>
      <c r="F11" s="31">
        <v>72.385999999999996</v>
      </c>
      <c r="G11" s="31">
        <v>72.841999999999999</v>
      </c>
      <c r="H11" s="31">
        <v>73.272000000000006</v>
      </c>
      <c r="I11" s="31">
        <v>73.594999999999999</v>
      </c>
      <c r="J11" s="31">
        <v>73.981999999999999</v>
      </c>
      <c r="K11" s="31">
        <v>74.822999999999993</v>
      </c>
      <c r="L11" s="31">
        <v>75.347999999999999</v>
      </c>
      <c r="M11" s="31">
        <v>76.313999999999993</v>
      </c>
      <c r="N11" s="31">
        <v>77.489999999999995</v>
      </c>
      <c r="O11" s="31">
        <v>77.954999999999998</v>
      </c>
      <c r="P11" s="31">
        <v>78.772000000000006</v>
      </c>
      <c r="Q11" s="31">
        <v>79.628</v>
      </c>
      <c r="R11" s="31">
        <v>80.188999999999993</v>
      </c>
      <c r="S11" s="31">
        <v>80.418999999999997</v>
      </c>
      <c r="T11" s="31">
        <v>81.242000000000004</v>
      </c>
      <c r="U11" s="31">
        <v>81.75</v>
      </c>
      <c r="V11" s="31">
        <v>83.332999999999998</v>
      </c>
      <c r="W11" s="31">
        <v>83.888999999999996</v>
      </c>
      <c r="X11" s="31">
        <v>84.272999999999996</v>
      </c>
      <c r="Y11" s="31">
        <v>85.06</v>
      </c>
      <c r="Z11" s="31">
        <v>85.548000000000002</v>
      </c>
      <c r="AA11" s="31">
        <v>86.135999999999996</v>
      </c>
      <c r="AB11" s="31">
        <v>87.623999999999995</v>
      </c>
      <c r="AC11" s="31">
        <v>88.126000000000005</v>
      </c>
      <c r="AD11" s="31">
        <v>88.727999999999994</v>
      </c>
      <c r="AE11" s="31">
        <v>89.162999999999997</v>
      </c>
      <c r="AF11" s="31">
        <v>90.242999999999995</v>
      </c>
      <c r="AG11" s="31">
        <v>90.847999999999999</v>
      </c>
      <c r="AH11" s="31">
        <v>91.674999999999997</v>
      </c>
      <c r="AI11" s="31">
        <v>92.619</v>
      </c>
    </row>
    <row r="12" spans="1:42" s="8" customFormat="1" ht="25.7" customHeight="1" x14ac:dyDescent="0.25">
      <c r="A12" s="94"/>
      <c r="B12" s="48"/>
      <c r="C12" s="92"/>
      <c r="D12" s="33"/>
      <c r="E12" s="33">
        <f t="shared" ref="E12:S12" si="93">E11-D11</f>
        <v>0.70800000000001262</v>
      </c>
      <c r="F12" s="33">
        <f t="shared" ref="F12" si="94">F11-E11</f>
        <v>0.94999999999998863</v>
      </c>
      <c r="G12" s="33">
        <f t="shared" ref="G12" si="95">G11-F11</f>
        <v>0.45600000000000307</v>
      </c>
      <c r="H12" s="33">
        <f t="shared" ref="H12" si="96">H11-G11</f>
        <v>0.43000000000000682</v>
      </c>
      <c r="I12" s="33">
        <f t="shared" ref="I12" si="97">I11-H11</f>
        <v>0.32299999999999329</v>
      </c>
      <c r="J12" s="33">
        <f t="shared" ref="J12" si="98">J11-I11</f>
        <v>0.38700000000000045</v>
      </c>
      <c r="K12" s="33">
        <f t="shared" ref="K12" si="99">K11-J11</f>
        <v>0.84099999999999397</v>
      </c>
      <c r="L12" s="33">
        <f t="shared" ref="L12" si="100">L11-K11</f>
        <v>0.52500000000000568</v>
      </c>
      <c r="M12" s="33">
        <f t="shared" ref="M12" si="101">M11-L11</f>
        <v>0.96599999999999397</v>
      </c>
      <c r="N12" s="33">
        <f t="shared" ref="N12" si="102">N11-M11</f>
        <v>1.1760000000000019</v>
      </c>
      <c r="O12" s="33">
        <f t="shared" ref="O12" si="103">O11-N11</f>
        <v>0.46500000000000341</v>
      </c>
      <c r="P12" s="33">
        <f t="shared" ref="P12" si="104">P11-O11</f>
        <v>0.81700000000000728</v>
      </c>
      <c r="Q12" s="33">
        <f t="shared" ref="Q12" si="105">Q11-P11</f>
        <v>0.85599999999999454</v>
      </c>
      <c r="R12" s="33">
        <f t="shared" ref="R12" si="106">R11-Q11</f>
        <v>0.56099999999999284</v>
      </c>
      <c r="S12" s="33">
        <f t="shared" ref="S12" si="107">S11-R11</f>
        <v>0.23000000000000398</v>
      </c>
      <c r="T12" s="33">
        <f t="shared" ref="T12" si="108">T11-S11</f>
        <v>0.8230000000000075</v>
      </c>
      <c r="U12" s="33">
        <f t="shared" ref="U12" si="109">U11-T11</f>
        <v>0.50799999999999557</v>
      </c>
      <c r="V12" s="33">
        <f t="shared" ref="V12" si="110">V11-U11</f>
        <v>1.5829999999999984</v>
      </c>
      <c r="W12" s="33">
        <f t="shared" ref="W12" si="111">W11-V11</f>
        <v>0.55599999999999739</v>
      </c>
      <c r="X12" s="33">
        <f t="shared" ref="X12" si="112">X11-W11</f>
        <v>0.38400000000000034</v>
      </c>
      <c r="Y12" s="33">
        <f t="shared" ref="Y12" si="113">Y11-X11</f>
        <v>0.78700000000000614</v>
      </c>
      <c r="Z12" s="33">
        <f t="shared" ref="Z12" si="114">Z11-Y11</f>
        <v>0.48799999999999955</v>
      </c>
      <c r="AA12" s="33">
        <f t="shared" ref="AA12" si="115">AA11-Z11</f>
        <v>0.58799999999999386</v>
      </c>
      <c r="AB12" s="33">
        <f t="shared" ref="AB12" si="116">AB11-AA11</f>
        <v>1.4879999999999995</v>
      </c>
      <c r="AC12" s="33">
        <f t="shared" ref="AC12" si="117">AC11-AB11</f>
        <v>0.50200000000000955</v>
      </c>
      <c r="AD12" s="33">
        <f t="shared" ref="AD12" si="118">AD11-AC11</f>
        <v>0.60199999999998965</v>
      </c>
      <c r="AE12" s="33">
        <f t="shared" ref="AE12" si="119">AE11-AD11</f>
        <v>0.43500000000000227</v>
      </c>
      <c r="AF12" s="33">
        <f t="shared" ref="AF12" si="120">AF11-AE11</f>
        <v>1.0799999999999983</v>
      </c>
      <c r="AG12" s="33">
        <f t="shared" ref="AG12" si="121">AG11-AF11</f>
        <v>0.60500000000000398</v>
      </c>
      <c r="AH12" s="33">
        <f t="shared" ref="AH12" si="122">AH11-AG11</f>
        <v>0.82699999999999818</v>
      </c>
      <c r="AI12" s="33">
        <f t="shared" ref="AI12" si="123">AI11-AH11</f>
        <v>0.94400000000000261</v>
      </c>
    </row>
    <row r="13" spans="1:42" s="8" customFormat="1" ht="25.7" customHeight="1" x14ac:dyDescent="0.25">
      <c r="A13" s="93">
        <v>6</v>
      </c>
      <c r="B13" s="27">
        <v>65296485</v>
      </c>
      <c r="C13" s="92" t="s">
        <v>77</v>
      </c>
      <c r="D13" s="31">
        <v>8090.2709999999997</v>
      </c>
      <c r="E13" s="31">
        <v>8090.77</v>
      </c>
      <c r="F13" s="31">
        <v>8091.4089999999997</v>
      </c>
      <c r="G13" s="31">
        <v>8091.8109999999997</v>
      </c>
      <c r="H13" s="31">
        <v>8092.2030000000004</v>
      </c>
      <c r="I13" s="31">
        <v>8092.7640000000001</v>
      </c>
      <c r="J13" s="31">
        <v>8094.42</v>
      </c>
      <c r="K13" s="31">
        <v>8094.8130000000001</v>
      </c>
      <c r="L13" s="31">
        <v>8096.3959999999997</v>
      </c>
      <c r="M13" s="31">
        <v>8100.5929999999998</v>
      </c>
      <c r="N13" s="31">
        <v>8102.35</v>
      </c>
      <c r="O13" s="31">
        <v>8110.2139999999999</v>
      </c>
      <c r="P13" s="31">
        <v>8110.6480000000001</v>
      </c>
      <c r="Q13" s="31">
        <v>8110.9830000000002</v>
      </c>
      <c r="R13" s="31">
        <v>8111.4319999999998</v>
      </c>
      <c r="S13" s="31">
        <v>8111.8190000000004</v>
      </c>
      <c r="T13" s="31">
        <v>8114.2359999999999</v>
      </c>
      <c r="U13" s="31">
        <v>8115.0370000000003</v>
      </c>
      <c r="V13" s="31">
        <v>8115.57</v>
      </c>
      <c r="W13" s="31">
        <v>8116.2219999999998</v>
      </c>
      <c r="X13" s="31">
        <v>8116.6270000000004</v>
      </c>
      <c r="Y13" s="31">
        <v>8118.5950000000003</v>
      </c>
      <c r="Z13" s="31">
        <v>8119.3220000000001</v>
      </c>
      <c r="AA13" s="31">
        <v>8120.6980000000003</v>
      </c>
      <c r="AB13" s="31">
        <v>8121.4740000000002</v>
      </c>
      <c r="AC13" s="31">
        <v>8124.4750000000004</v>
      </c>
      <c r="AD13" s="31">
        <v>8124.951</v>
      </c>
      <c r="AE13" s="31">
        <v>8125.6930000000002</v>
      </c>
      <c r="AF13" s="31">
        <v>8126.2489999999998</v>
      </c>
      <c r="AG13" s="31">
        <v>8127.6379999999999</v>
      </c>
      <c r="AH13" s="31">
        <v>8130.9960000000001</v>
      </c>
      <c r="AI13" s="31">
        <v>8134.1310000000003</v>
      </c>
    </row>
    <row r="14" spans="1:42" s="8" customFormat="1" ht="25.7" customHeight="1" x14ac:dyDescent="0.25">
      <c r="A14" s="94"/>
      <c r="B14" s="48"/>
      <c r="C14" s="92"/>
      <c r="D14" s="33"/>
      <c r="E14" s="33">
        <f t="shared" ref="E14:AI14" si="124">E13-D13</f>
        <v>0.49900000000070577</v>
      </c>
      <c r="F14" s="33">
        <f t="shared" ref="F14" si="125">F13-E13</f>
        <v>0.6389999999992142</v>
      </c>
      <c r="G14" s="33">
        <f t="shared" ref="G14" si="126">G13-F13</f>
        <v>0.40200000000004366</v>
      </c>
      <c r="H14" s="33">
        <f t="shared" ref="H14" si="127">H13-G13</f>
        <v>0.39200000000073487</v>
      </c>
      <c r="I14" s="33">
        <f t="shared" ref="I14" si="128">I13-H13</f>
        <v>0.56099999999969441</v>
      </c>
      <c r="J14" s="33">
        <f t="shared" ref="J14" si="129">J13-I13</f>
        <v>1.6559999999999491</v>
      </c>
      <c r="K14" s="33">
        <f t="shared" ref="K14" si="130">K13-J13</f>
        <v>0.3930000000000291</v>
      </c>
      <c r="L14" s="33">
        <f t="shared" ref="L14" si="131">L13-K13</f>
        <v>1.5829999999996289</v>
      </c>
      <c r="M14" s="33">
        <f t="shared" ref="M14" si="132">M13-L13</f>
        <v>4.1970000000001164</v>
      </c>
      <c r="N14" s="33">
        <f t="shared" ref="N14" si="133">N13-M13</f>
        <v>1.7570000000005166</v>
      </c>
      <c r="O14" s="33">
        <f t="shared" ref="O14" si="134">O13-N13</f>
        <v>7.863999999999578</v>
      </c>
      <c r="P14" s="33">
        <f t="shared" ref="P14" si="135">P13-O13</f>
        <v>0.43400000000019645</v>
      </c>
      <c r="Q14" s="33">
        <f t="shared" ref="Q14" si="136">Q13-P13</f>
        <v>0.33500000000003638</v>
      </c>
      <c r="R14" s="33">
        <f t="shared" ref="R14" si="137">R13-Q13</f>
        <v>0.44899999999961437</v>
      </c>
      <c r="S14" s="33">
        <f t="shared" ref="S14" si="138">S13-R13</f>
        <v>0.38700000000062573</v>
      </c>
      <c r="T14" s="33">
        <f t="shared" ref="T14" si="139">T13-S13</f>
        <v>2.4169999999994616</v>
      </c>
      <c r="U14" s="33">
        <f t="shared" ref="U14" si="140">U13-T13</f>
        <v>0.80100000000038563</v>
      </c>
      <c r="V14" s="33">
        <f t="shared" ref="V14" si="141">V13-U13</f>
        <v>0.53299999999944703</v>
      </c>
      <c r="W14" s="33">
        <f t="shared" ref="W14" si="142">W13-V13</f>
        <v>0.65200000000004366</v>
      </c>
      <c r="X14" s="33">
        <f t="shared" ref="X14" si="143">X13-W13</f>
        <v>0.40500000000065484</v>
      </c>
      <c r="Y14" s="33">
        <f t="shared" ref="Y14" si="144">Y13-X13</f>
        <v>1.9679999999998472</v>
      </c>
      <c r="Z14" s="33">
        <f t="shared" ref="Z14" si="145">Z13-Y13</f>
        <v>0.72699999999986176</v>
      </c>
      <c r="AA14" s="33">
        <f t="shared" ref="AA14" si="146">AA13-Z13</f>
        <v>1.3760000000002037</v>
      </c>
      <c r="AB14" s="33">
        <f t="shared" ref="AB14" si="147">AB13-AA13</f>
        <v>0.77599999999983993</v>
      </c>
      <c r="AC14" s="33">
        <f t="shared" ref="AC14" si="148">AC13-AB13</f>
        <v>3.0010000000002037</v>
      </c>
      <c r="AD14" s="33">
        <f t="shared" ref="AD14" si="149">AD13-AC13</f>
        <v>0.47599999999965803</v>
      </c>
      <c r="AE14" s="33">
        <f t="shared" ref="AE14" si="150">AE13-AD13</f>
        <v>0.74200000000018917</v>
      </c>
      <c r="AF14" s="33">
        <f t="shared" ref="AF14" si="151">AF13-AE13</f>
        <v>0.55599999999958527</v>
      </c>
      <c r="AG14" s="33">
        <f t="shared" ref="AG14" si="152">AG13-AF13</f>
        <v>1.3890000000001237</v>
      </c>
      <c r="AH14" s="33">
        <f t="shared" ref="AH14" si="153">AH13-AG13</f>
        <v>3.3580000000001746</v>
      </c>
      <c r="AI14" s="33">
        <f t="shared" ref="AI14" si="154">AI13-AH13</f>
        <v>3.1350000000002183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6" t="s">
        <v>78</v>
      </c>
      <c r="C15" s="86"/>
      <c r="D15" s="50"/>
      <c r="E15" s="57">
        <f>E6+((E8*45%)+(E10*45%)+(E12+E14))</f>
        <v>218.25199999999751</v>
      </c>
      <c r="F15" s="57">
        <f t="shared" ref="F15:AI15" si="155">F6+((F8*45%)+(F10*45%)+(F12+F14))</f>
        <v>213.05399999999861</v>
      </c>
      <c r="G15" s="57">
        <f t="shared" si="155"/>
        <v>261.0380000000207</v>
      </c>
      <c r="H15" s="57">
        <f t="shared" si="155"/>
        <v>152.6219999999891</v>
      </c>
      <c r="I15" s="57">
        <f t="shared" si="155"/>
        <v>106.68399999998805</v>
      </c>
      <c r="J15" s="57">
        <f t="shared" si="155"/>
        <v>164.84300000001159</v>
      </c>
      <c r="K15" s="57">
        <f t="shared" si="155"/>
        <v>171.93399999998837</v>
      </c>
      <c r="L15" s="57">
        <f t="shared" si="155"/>
        <v>145.85800000001709</v>
      </c>
      <c r="M15" s="57">
        <f t="shared" si="155"/>
        <v>194.61299999998846</v>
      </c>
      <c r="N15" s="57">
        <f t="shared" si="155"/>
        <v>115.3329999999947</v>
      </c>
      <c r="O15" s="57">
        <f t="shared" si="155"/>
        <v>141.57900000001123</v>
      </c>
      <c r="P15" s="57">
        <f t="shared" si="155"/>
        <v>194.20100000001185</v>
      </c>
      <c r="Q15" s="57">
        <f t="shared" si="155"/>
        <v>693.45599999999365</v>
      </c>
      <c r="R15" s="57">
        <f t="shared" si="155"/>
        <v>185.23499999999379</v>
      </c>
      <c r="S15" s="57">
        <f t="shared" si="155"/>
        <v>165.59700000001547</v>
      </c>
      <c r="T15" s="57">
        <f t="shared" si="155"/>
        <v>214.18499999999045</v>
      </c>
      <c r="U15" s="57">
        <f t="shared" si="155"/>
        <v>274.18899999999195</v>
      </c>
      <c r="V15" s="57">
        <f t="shared" si="155"/>
        <v>155.69599999999684</v>
      </c>
      <c r="W15" s="57">
        <f t="shared" si="155"/>
        <v>236.4730000000111</v>
      </c>
      <c r="X15" s="57">
        <f t="shared" si="155"/>
        <v>346.57400000000706</v>
      </c>
      <c r="Y15" s="57">
        <f t="shared" si="155"/>
        <v>188.54500000000507</v>
      </c>
      <c r="Z15" s="57">
        <f t="shared" si="155"/>
        <v>212.89999999998881</v>
      </c>
      <c r="AA15" s="57">
        <f t="shared" si="155"/>
        <v>224.78899999998274</v>
      </c>
      <c r="AB15" s="57">
        <f t="shared" si="155"/>
        <v>262.67900000001669</v>
      </c>
      <c r="AC15" s="57">
        <f t="shared" si="155"/>
        <v>152.30300000001185</v>
      </c>
      <c r="AD15" s="57">
        <f t="shared" si="155"/>
        <v>215.66299999999441</v>
      </c>
      <c r="AE15" s="57">
        <f t="shared" si="155"/>
        <v>266.1869999999775</v>
      </c>
      <c r="AF15" s="57">
        <f t="shared" si="155"/>
        <v>265.06099999999378</v>
      </c>
      <c r="AG15" s="57">
        <f t="shared" si="155"/>
        <v>179.26900000002342</v>
      </c>
      <c r="AH15" s="57">
        <f t="shared" si="155"/>
        <v>285.15499999999116</v>
      </c>
      <c r="AI15" s="57">
        <f t="shared" si="155"/>
        <v>206.71900000000545</v>
      </c>
    </row>
    <row r="16" spans="1:42" ht="33" customHeight="1" x14ac:dyDescent="0.25">
      <c r="B16" s="85" t="s">
        <v>79</v>
      </c>
      <c r="C16" s="85"/>
      <c r="D16" s="50"/>
      <c r="E16" s="57">
        <f>SUM(E15:AI15)</f>
        <v>6810.6860000000079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3.5" customHeight="1" x14ac:dyDescent="0.25">
      <c r="A1" s="96" t="s">
        <v>86</v>
      </c>
      <c r="B1" s="96"/>
      <c r="C1" s="96"/>
    </row>
    <row r="3" spans="1:7" ht="48" x14ac:dyDescent="0.25">
      <c r="A3" s="51" t="s">
        <v>38</v>
      </c>
      <c r="B3" s="52">
        <v>66285.31</v>
      </c>
      <c r="C3" s="53"/>
    </row>
    <row r="4" spans="1:7" ht="28.5" customHeight="1" x14ac:dyDescent="0.25">
      <c r="A4" s="54">
        <v>1</v>
      </c>
      <c r="B4" s="52"/>
      <c r="C4" s="53">
        <f>B3/31</f>
        <v>2138.2358064516129</v>
      </c>
    </row>
    <row r="5" spans="1:7" ht="28.5" customHeight="1" x14ac:dyDescent="0.25">
      <c r="A5" s="54">
        <v>2</v>
      </c>
      <c r="B5" s="52"/>
      <c r="C5" s="53">
        <v>2138.2358064516129</v>
      </c>
    </row>
    <row r="6" spans="1:7" ht="28.5" customHeight="1" x14ac:dyDescent="0.25">
      <c r="A6" s="55">
        <v>3</v>
      </c>
      <c r="B6" s="52"/>
      <c r="C6" s="53">
        <v>2138.2358064516129</v>
      </c>
    </row>
    <row r="7" spans="1:7" ht="28.5" customHeight="1" x14ac:dyDescent="0.25">
      <c r="A7" s="54">
        <v>4</v>
      </c>
      <c r="B7" s="52"/>
      <c r="C7" s="53">
        <v>2138.2358064516129</v>
      </c>
    </row>
    <row r="8" spans="1:7" ht="28.5" customHeight="1" x14ac:dyDescent="0.25">
      <c r="A8" s="54">
        <v>5</v>
      </c>
      <c r="B8" s="52"/>
      <c r="C8" s="53">
        <v>2138.2358064516129</v>
      </c>
    </row>
    <row r="9" spans="1:7" ht="28.5" customHeight="1" x14ac:dyDescent="0.25">
      <c r="A9" s="54">
        <v>6</v>
      </c>
      <c r="B9" s="52"/>
      <c r="C9" s="53">
        <v>2138.2358064516129</v>
      </c>
      <c r="G9" t="s">
        <v>80</v>
      </c>
    </row>
    <row r="10" spans="1:7" ht="28.5" customHeight="1" x14ac:dyDescent="0.25">
      <c r="A10" s="54">
        <v>7</v>
      </c>
      <c r="B10" s="52"/>
      <c r="C10" s="53">
        <v>2138.2358064516129</v>
      </c>
    </row>
    <row r="11" spans="1:7" ht="28.5" customHeight="1" x14ac:dyDescent="0.25">
      <c r="A11" s="54">
        <v>8</v>
      </c>
      <c r="B11" s="52"/>
      <c r="C11" s="53">
        <v>2138.2358064516129</v>
      </c>
    </row>
    <row r="12" spans="1:7" ht="28.5" customHeight="1" x14ac:dyDescent="0.25">
      <c r="A12" s="54">
        <v>9</v>
      </c>
      <c r="B12" s="52"/>
      <c r="C12" s="53">
        <v>2138.2358064516129</v>
      </c>
    </row>
    <row r="13" spans="1:7" ht="28.5" customHeight="1" x14ac:dyDescent="0.25">
      <c r="A13" s="54">
        <v>10</v>
      </c>
      <c r="B13" s="52"/>
      <c r="C13" s="53">
        <v>2138.2358064516129</v>
      </c>
    </row>
    <row r="14" spans="1:7" ht="28.5" customHeight="1" x14ac:dyDescent="0.25">
      <c r="A14" s="54">
        <v>11</v>
      </c>
      <c r="B14" s="52"/>
      <c r="C14" s="53">
        <v>2138.2358064516129</v>
      </c>
    </row>
    <row r="15" spans="1:7" ht="28.5" customHeight="1" x14ac:dyDescent="0.25">
      <c r="A15" s="54">
        <v>12</v>
      </c>
      <c r="B15" s="52"/>
      <c r="C15" s="53">
        <v>2138.2358064516129</v>
      </c>
    </row>
    <row r="16" spans="1:7" ht="28.5" customHeight="1" x14ac:dyDescent="0.25">
      <c r="A16" s="54">
        <v>13</v>
      </c>
      <c r="B16" s="52"/>
      <c r="C16" s="53">
        <v>2138.2358064516129</v>
      </c>
    </row>
    <row r="17" spans="1:4" ht="28.5" customHeight="1" x14ac:dyDescent="0.25">
      <c r="A17" s="54">
        <v>14</v>
      </c>
      <c r="B17" s="52"/>
      <c r="C17" s="53">
        <v>2138.2358064516129</v>
      </c>
    </row>
    <row r="18" spans="1:4" ht="28.5" customHeight="1" x14ac:dyDescent="0.25">
      <c r="A18" s="54">
        <v>15</v>
      </c>
      <c r="B18" s="52"/>
      <c r="C18" s="53">
        <v>2138.2358064516129</v>
      </c>
    </row>
    <row r="19" spans="1:4" ht="28.5" customHeight="1" x14ac:dyDescent="0.25">
      <c r="A19" s="54">
        <v>16</v>
      </c>
      <c r="B19" s="52"/>
      <c r="C19" s="53">
        <v>2138.2358064516129</v>
      </c>
    </row>
    <row r="20" spans="1:4" ht="28.5" customHeight="1" x14ac:dyDescent="0.25">
      <c r="A20" s="54">
        <v>17</v>
      </c>
      <c r="B20" s="52"/>
      <c r="C20" s="53">
        <v>2138.2358064516129</v>
      </c>
    </row>
    <row r="21" spans="1:4" ht="28.5" customHeight="1" x14ac:dyDescent="0.25">
      <c r="A21" s="54">
        <v>18</v>
      </c>
      <c r="B21" s="52"/>
      <c r="C21" s="53">
        <v>2138.2358064516129</v>
      </c>
    </row>
    <row r="22" spans="1:4" ht="28.5" customHeight="1" x14ac:dyDescent="0.25">
      <c r="A22" s="54">
        <v>19</v>
      </c>
      <c r="B22" s="52"/>
      <c r="C22" s="53">
        <v>2138.2358064516129</v>
      </c>
    </row>
    <row r="23" spans="1:4" ht="28.5" customHeight="1" x14ac:dyDescent="0.25">
      <c r="A23" s="54">
        <v>20</v>
      </c>
      <c r="B23" s="52"/>
      <c r="C23" s="53">
        <v>2138.2358064516129</v>
      </c>
    </row>
    <row r="24" spans="1:4" ht="28.5" customHeight="1" x14ac:dyDescent="0.25">
      <c r="A24" s="54">
        <v>21</v>
      </c>
      <c r="B24" s="52"/>
      <c r="C24" s="53">
        <v>2138.2358064516129</v>
      </c>
    </row>
    <row r="25" spans="1:4" ht="28.5" customHeight="1" x14ac:dyDescent="0.25">
      <c r="A25" s="54">
        <v>22</v>
      </c>
      <c r="B25" s="52"/>
      <c r="C25" s="53">
        <v>2138.2358064516129</v>
      </c>
    </row>
    <row r="26" spans="1:4" ht="28.5" customHeight="1" x14ac:dyDescent="0.25">
      <c r="A26" s="54">
        <v>23</v>
      </c>
      <c r="B26" s="52"/>
      <c r="C26" s="53">
        <v>2138.2358064516129</v>
      </c>
    </row>
    <row r="27" spans="1:4" ht="28.5" customHeight="1" x14ac:dyDescent="0.25">
      <c r="A27" s="54">
        <v>24</v>
      </c>
      <c r="B27" s="52"/>
      <c r="C27" s="53">
        <v>2138.2358064516129</v>
      </c>
    </row>
    <row r="28" spans="1:4" ht="28.5" customHeight="1" x14ac:dyDescent="0.25">
      <c r="A28" s="54">
        <v>25</v>
      </c>
      <c r="B28" s="52"/>
      <c r="C28" s="53">
        <v>2138.2358064516129</v>
      </c>
      <c r="D28" s="56"/>
    </row>
    <row r="29" spans="1:4" ht="28.5" customHeight="1" x14ac:dyDescent="0.25">
      <c r="A29" s="54">
        <v>26</v>
      </c>
      <c r="B29" s="52"/>
      <c r="C29" s="53">
        <v>2138.2358064516129</v>
      </c>
      <c r="D29" s="56"/>
    </row>
    <row r="30" spans="1:4" ht="28.5" customHeight="1" x14ac:dyDescent="0.25">
      <c r="A30" s="54">
        <v>27</v>
      </c>
      <c r="B30" s="52"/>
      <c r="C30" s="53">
        <v>2138.2358064516129</v>
      </c>
    </row>
    <row r="31" spans="1:4" ht="28.5" customHeight="1" x14ac:dyDescent="0.25">
      <c r="A31" s="54">
        <v>28</v>
      </c>
      <c r="B31" s="52"/>
      <c r="C31" s="53">
        <v>2138.2358064516129</v>
      </c>
    </row>
    <row r="32" spans="1:4" ht="28.5" customHeight="1" x14ac:dyDescent="0.25">
      <c r="A32" s="54">
        <v>29</v>
      </c>
      <c r="B32" s="52"/>
      <c r="C32" s="53">
        <v>2138.2358064516129</v>
      </c>
    </row>
    <row r="33" spans="1:3" ht="28.5" customHeight="1" x14ac:dyDescent="0.25">
      <c r="A33" s="54">
        <v>30</v>
      </c>
      <c r="B33" s="52"/>
      <c r="C33" s="53">
        <v>2138.2358064516129</v>
      </c>
    </row>
    <row r="34" spans="1:3" ht="28.5" customHeight="1" x14ac:dyDescent="0.25">
      <c r="A34" s="54">
        <v>31</v>
      </c>
      <c r="B34" s="52"/>
      <c r="C34" s="53">
        <v>2138.2358064516129</v>
      </c>
    </row>
    <row r="35" spans="1:3" x14ac:dyDescent="0.25">
      <c r="A35" s="95" t="s">
        <v>81</v>
      </c>
      <c r="B35" s="95"/>
      <c r="C35" s="62">
        <f>SUM(C4:C34)</f>
        <v>66285.310000000027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8" workbookViewId="0">
      <selection activeCell="B34" sqref="B34:C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6" t="s">
        <v>87</v>
      </c>
      <c r="B1" s="96"/>
      <c r="C1" s="96"/>
    </row>
    <row r="2" spans="1:3" ht="24.95" customHeight="1" x14ac:dyDescent="0.25">
      <c r="A2" s="59" t="s">
        <v>82</v>
      </c>
      <c r="B2" s="59" t="s">
        <v>83</v>
      </c>
      <c r="C2" s="59" t="s">
        <v>84</v>
      </c>
    </row>
    <row r="3" spans="1:3" ht="24.95" customHeight="1" x14ac:dyDescent="0.25">
      <c r="A3" s="60">
        <v>44197</v>
      </c>
      <c r="B3" s="63">
        <v>133</v>
      </c>
      <c r="C3" s="63">
        <v>183</v>
      </c>
    </row>
    <row r="4" spans="1:3" ht="24.95" customHeight="1" x14ac:dyDescent="0.25">
      <c r="A4" s="60">
        <v>44198</v>
      </c>
      <c r="B4" s="63">
        <v>132</v>
      </c>
      <c r="C4" s="63">
        <v>170</v>
      </c>
    </row>
    <row r="5" spans="1:3" ht="24.95" customHeight="1" x14ac:dyDescent="0.25">
      <c r="A5" s="60">
        <v>44199</v>
      </c>
      <c r="B5" s="63">
        <v>130</v>
      </c>
      <c r="C5" s="63">
        <v>171</v>
      </c>
    </row>
    <row r="6" spans="1:3" ht="24.95" customHeight="1" x14ac:dyDescent="0.25">
      <c r="A6" s="60">
        <v>44200</v>
      </c>
      <c r="B6" s="63">
        <v>139</v>
      </c>
      <c r="C6" s="63">
        <v>183</v>
      </c>
    </row>
    <row r="7" spans="1:3" ht="24.95" customHeight="1" x14ac:dyDescent="0.25">
      <c r="A7" s="60">
        <v>44201</v>
      </c>
      <c r="B7" s="63">
        <v>152</v>
      </c>
      <c r="C7" s="63">
        <v>194</v>
      </c>
    </row>
    <row r="8" spans="1:3" ht="24.95" customHeight="1" x14ac:dyDescent="0.25">
      <c r="A8" s="60">
        <v>44202</v>
      </c>
      <c r="B8" s="63">
        <v>145</v>
      </c>
      <c r="C8" s="63">
        <v>181</v>
      </c>
    </row>
    <row r="9" spans="1:3" ht="24.95" customHeight="1" x14ac:dyDescent="0.25">
      <c r="A9" s="60">
        <v>44203</v>
      </c>
      <c r="B9" s="63">
        <v>135</v>
      </c>
      <c r="C9" s="63">
        <v>181</v>
      </c>
    </row>
    <row r="10" spans="1:3" ht="24.95" customHeight="1" x14ac:dyDescent="0.25">
      <c r="A10" s="60">
        <v>44204</v>
      </c>
      <c r="B10" s="63">
        <v>138</v>
      </c>
      <c r="C10" s="63">
        <v>189</v>
      </c>
    </row>
    <row r="11" spans="1:3" ht="24.95" customHeight="1" x14ac:dyDescent="0.25">
      <c r="A11" s="60">
        <v>44205</v>
      </c>
      <c r="B11" s="63">
        <v>128</v>
      </c>
      <c r="C11" s="63">
        <v>167</v>
      </c>
    </row>
    <row r="12" spans="1:3" ht="24.95" customHeight="1" x14ac:dyDescent="0.25">
      <c r="A12" s="60">
        <v>44206</v>
      </c>
      <c r="B12" s="63">
        <v>148</v>
      </c>
      <c r="C12" s="63">
        <v>191</v>
      </c>
    </row>
    <row r="13" spans="1:3" ht="24.95" customHeight="1" x14ac:dyDescent="0.25">
      <c r="A13" s="60">
        <v>44207</v>
      </c>
      <c r="B13" s="63">
        <v>160</v>
      </c>
      <c r="C13" s="63">
        <v>205</v>
      </c>
    </row>
    <row r="14" spans="1:3" ht="24.95" customHeight="1" x14ac:dyDescent="0.25">
      <c r="A14" s="60">
        <v>44208</v>
      </c>
      <c r="B14" s="63">
        <v>174</v>
      </c>
      <c r="C14" s="63">
        <v>222</v>
      </c>
    </row>
    <row r="15" spans="1:3" ht="24.95" customHeight="1" x14ac:dyDescent="0.25">
      <c r="A15" s="60">
        <v>44209</v>
      </c>
      <c r="B15" s="63">
        <v>161</v>
      </c>
      <c r="C15" s="63">
        <v>203</v>
      </c>
    </row>
    <row r="16" spans="1:3" ht="24.95" customHeight="1" x14ac:dyDescent="0.25">
      <c r="A16" s="60">
        <v>44210</v>
      </c>
      <c r="B16" s="63">
        <v>168</v>
      </c>
      <c r="C16" s="63">
        <v>209</v>
      </c>
    </row>
    <row r="17" spans="1:3" ht="24.95" customHeight="1" x14ac:dyDescent="0.25">
      <c r="A17" s="60">
        <v>44211</v>
      </c>
      <c r="B17" s="63">
        <v>133</v>
      </c>
      <c r="C17" s="63">
        <v>177</v>
      </c>
    </row>
    <row r="18" spans="1:3" ht="24.95" customHeight="1" x14ac:dyDescent="0.25">
      <c r="A18" s="60">
        <v>44212</v>
      </c>
      <c r="B18" s="63">
        <v>153</v>
      </c>
      <c r="C18" s="63">
        <v>198</v>
      </c>
    </row>
    <row r="19" spans="1:3" ht="24.95" customHeight="1" x14ac:dyDescent="0.25">
      <c r="A19" s="60">
        <v>44213</v>
      </c>
      <c r="B19" s="63">
        <v>182</v>
      </c>
      <c r="C19" s="63">
        <v>233</v>
      </c>
    </row>
    <row r="20" spans="1:3" ht="24.95" customHeight="1" x14ac:dyDescent="0.25">
      <c r="A20" s="60">
        <v>44214</v>
      </c>
      <c r="B20" s="63">
        <v>175</v>
      </c>
      <c r="C20" s="63">
        <v>221</v>
      </c>
    </row>
    <row r="21" spans="1:3" ht="24.95" customHeight="1" x14ac:dyDescent="0.25">
      <c r="A21" s="60">
        <v>44215</v>
      </c>
      <c r="B21" s="63">
        <v>184</v>
      </c>
      <c r="C21" s="63">
        <v>234</v>
      </c>
    </row>
    <row r="22" spans="1:3" ht="24.95" customHeight="1" x14ac:dyDescent="0.25">
      <c r="A22" s="60">
        <v>44216</v>
      </c>
      <c r="B22" s="63">
        <v>188</v>
      </c>
      <c r="C22" s="63">
        <v>243</v>
      </c>
    </row>
    <row r="23" spans="1:3" ht="24.95" customHeight="1" x14ac:dyDescent="0.25">
      <c r="A23" s="60">
        <v>44217</v>
      </c>
      <c r="B23" s="63">
        <v>146</v>
      </c>
      <c r="C23" s="63">
        <v>185</v>
      </c>
    </row>
    <row r="24" spans="1:3" ht="24.95" customHeight="1" x14ac:dyDescent="0.25">
      <c r="A24" s="60">
        <v>44218</v>
      </c>
      <c r="B24" s="63">
        <v>137</v>
      </c>
      <c r="C24" s="63">
        <v>187</v>
      </c>
    </row>
    <row r="25" spans="1:3" ht="24.95" customHeight="1" x14ac:dyDescent="0.25">
      <c r="A25" s="60">
        <v>44219</v>
      </c>
      <c r="B25" s="63">
        <v>149</v>
      </c>
      <c r="C25" s="63">
        <v>205</v>
      </c>
    </row>
    <row r="26" spans="1:3" ht="24.95" customHeight="1" x14ac:dyDescent="0.25">
      <c r="A26" s="60">
        <v>44220</v>
      </c>
      <c r="B26" s="63">
        <v>172</v>
      </c>
      <c r="C26" s="63">
        <v>225</v>
      </c>
    </row>
    <row r="27" spans="1:3" ht="24.95" customHeight="1" x14ac:dyDescent="0.25">
      <c r="A27" s="60">
        <v>44221</v>
      </c>
      <c r="B27" s="63">
        <v>183</v>
      </c>
      <c r="C27" s="63">
        <v>233</v>
      </c>
    </row>
    <row r="28" spans="1:3" ht="24.95" customHeight="1" x14ac:dyDescent="0.25">
      <c r="A28" s="60">
        <v>44222</v>
      </c>
      <c r="B28" s="63">
        <v>183</v>
      </c>
      <c r="C28" s="63">
        <v>237</v>
      </c>
    </row>
    <row r="29" spans="1:3" ht="24.95" customHeight="1" x14ac:dyDescent="0.25">
      <c r="A29" s="60">
        <v>44223</v>
      </c>
      <c r="B29" s="63">
        <v>200</v>
      </c>
      <c r="C29" s="63">
        <v>262</v>
      </c>
    </row>
    <row r="30" spans="1:3" ht="24.95" customHeight="1" x14ac:dyDescent="0.25">
      <c r="A30" s="60">
        <v>44224</v>
      </c>
      <c r="B30" s="63">
        <v>191</v>
      </c>
      <c r="C30" s="63">
        <v>238</v>
      </c>
    </row>
    <row r="31" spans="1:3" ht="24.95" customHeight="1" x14ac:dyDescent="0.25">
      <c r="A31" s="60">
        <v>44225</v>
      </c>
      <c r="B31" s="63">
        <v>151</v>
      </c>
      <c r="C31" s="63">
        <v>195</v>
      </c>
    </row>
    <row r="32" spans="1:3" ht="24.95" customHeight="1" x14ac:dyDescent="0.25">
      <c r="A32" s="60">
        <v>44226</v>
      </c>
      <c r="B32" s="63">
        <v>146</v>
      </c>
      <c r="C32" s="63">
        <v>189</v>
      </c>
    </row>
    <row r="33" spans="1:3" ht="24.95" customHeight="1" x14ac:dyDescent="0.25">
      <c r="A33" s="60">
        <v>44227</v>
      </c>
      <c r="B33" s="63">
        <v>147</v>
      </c>
      <c r="C33" s="63">
        <v>189</v>
      </c>
    </row>
    <row r="34" spans="1:3" ht="30.75" customHeight="1" x14ac:dyDescent="0.25">
      <c r="A34" s="59" t="s">
        <v>85</v>
      </c>
      <c r="B34" s="61">
        <f>SUM(B3:B33)</f>
        <v>4863</v>
      </c>
      <c r="C34" s="61">
        <f>SUM(C3:C33)</f>
        <v>6300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2025-03-19T08:52:00Z</dcterms:modified>
  <cp:category/>
  <cp:contentStatus/>
</cp:coreProperties>
</file>