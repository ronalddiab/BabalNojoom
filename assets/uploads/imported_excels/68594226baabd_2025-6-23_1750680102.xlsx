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541" documentId="8_{8847650D-614C-4264-8C87-30D8B5EB4252}" xr6:coauthVersionLast="47" xr6:coauthVersionMax="47" xr10:uidLastSave="{A0FA8B87-3A98-4164-B7E7-4BA64E7E7278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G2" i="2"/>
  <c r="E2" i="2"/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20" i="3" l="1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I6" i="5" l="1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H15" i="5" l="1"/>
  <c r="AG15" i="5"/>
  <c r="AF15" i="5"/>
  <c r="AI16" i="3" l="1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F14" i="3"/>
  <c r="E14" i="3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16" i="5" l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  <author>tc={1A24E0EC-4FF8-4F19-9802-4D6E00E85202}</author>
    <author>tc={F640A2C9-FF07-4FC1-84F7-9630D01B29A6}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AA9" authorId="1" shapeId="0" xr:uid="{1A24E0EC-4FF8-4F19-9802-4D6E00E8520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faulty</t>
      </text>
    </comment>
    <comment ref="W10" authorId="2" shapeId="0" xr:uid="{F640A2C9-FF07-4FC1-84F7-9630D01B29A6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faulty</t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sharedStrings.xml><?xml version="1.0" encoding="utf-8"?>
<sst xmlns="http://schemas.openxmlformats.org/spreadsheetml/2006/main" count="126" uniqueCount="89">
  <si>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</si>
  <si>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</si>
  <si>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</si>
  <si>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</si>
  <si>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</si>
  <si>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</si>
  <si>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</si>
  <si>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</si>
  <si>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</si>
  <si>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</si>
  <si>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</si>
  <si>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</si>
  <si>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</si>
  <si>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</si>
  <si>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</si>
  <si>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</si>
  <si>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</si>
  <si>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</si>
  <si>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</si>
  <si>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</si>
  <si>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</si>
  <si>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</si>
  <si>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</si>
  <si>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</si>
  <si>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</si>
  <si>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</si>
  <si>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</si>
  <si>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</si>
  <si>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</si>
  <si>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</si>
  <si>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</si>
  <si>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</si>
  <si>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</si>
  <si>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</si>
  <si>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</si>
  <si>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</si>
  <si>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</si>
  <si>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</si>
  <si>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</si>
  <si>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</si>
  <si>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</si>
  <si>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</si>
  <si>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</si>
  <si>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</si>
  <si>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</si>
  <si>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</si>
  <si>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</si>
  <si>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</si>
  <si>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</si>
  <si>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</si>
  <si>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</si>
  <si>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</si>
  <si>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</si>
  <si>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</si>
  <si>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</si>
  <si>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</si>
  <si>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</si>
  <si>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</si>
  <si>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</si>
  <si>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</si>
  <si>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</si>
  <si>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</si>
  <si>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</si>
  <si>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</si>
  <si>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</si>
  <si>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</si>
  <si>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</si>
  <si>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</si>
  <si>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</si>
  <si>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</si>
  <si>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</si>
  <si>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</si>
  <si>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</si>
  <si>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</si>
  <si>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</si>
  <si>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</si>
  <si>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</si>
  <si>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JANUARY  2024</t>
    </r>
  </si>
  <si>
    <t>29</t>
  </si>
  <si>
    <t>30</t>
  </si>
  <si>
    <t>31</t>
  </si>
  <si>
    <t>Occupied</t>
  </si>
  <si>
    <t># Guest</t>
  </si>
  <si>
    <t>Date</t>
  </si>
  <si>
    <t>TOTAL MTD</t>
  </si>
  <si>
    <t>DAILY ELECTRICITY METER READINGS &amp; CONSUMPTION JANUARY 2024</t>
  </si>
  <si>
    <t>DAILY GAS METER READINGS &amp; CONSUMPTION (Liters) January 2024</t>
  </si>
  <si>
    <t>Occupied Room &amp; Number of Guest - January 2024</t>
  </si>
  <si>
    <t>From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</si>
</sst>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0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166" fontId="18" fillId="5" borderId="2" xfId="0" applyNumberFormat="1" applyFont="1" applyFill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MS Operator Park Rotana" id="{D6A7EFF8-4500-44C8-A3D3-2EF6228D51D1}" userId="S-1-5-21-351798456-1536042236-3721781268-130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9" dT="2024-01-24T03:58:18.50" personId="{D6A7EFF8-4500-44C8-A3D3-2EF6228D51D1}" id="{1A24E0EC-4FF8-4F19-9802-4D6E00E85202}">
    <text>Meter faulty</text>
  </threadedComment>
  <threadedComment ref="W10" dT="2024-01-22T21:43:08.65" personId="{D6A7EFF8-4500-44C8-A3D3-2EF6228D51D1}" id="{F640A2C9-FF07-4FC1-84F7-9630D01B29A6}">
    <text>Meter faulty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F17" sqref="F17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1</v>
      </c>
      <c r="D2" s="10">
        <v>2024</v>
      </c>
      <c r="E2" s="4">
        <f>Electricity!E23/31</f>
        <v>29070.187096774196</v>
      </c>
      <c r="F2" s="11">
        <v>0.2</v>
      </c>
      <c r="G2" s="4">
        <f>LPG!C36/31</f>
        <v>2369.6348387096773</v>
      </c>
      <c r="H2" s="11">
        <v>1.6300000217809523</v>
      </c>
      <c r="I2" s="4">
        <f>Water!E17/31</f>
        <v>285.38709677419354</v>
      </c>
      <c r="J2" s="11">
        <v>7.84</v>
      </c>
      <c r="K2" s="4">
        <f>'Occupied &amp; No. of Guest'!B3</f>
        <v>349</v>
      </c>
      <c r="L2" s="4">
        <f>'Occupied &amp; No. of Guest'!C3</f>
        <v>657</v>
      </c>
    </row>
    <row r="3" spans="1:12" x14ac:dyDescent="0.25">
      <c r="A3" s="9" t="s">
        <v>52</v>
      </c>
      <c r="B3" s="10">
        <f>B2+1</f>
        <v>2</v>
      </c>
      <c r="C3" s="10">
        <v>1</v>
      </c>
      <c r="D3" s="10">
        <v>2024</v>
      </c>
      <c r="E3" s="4">
        <v>29070.187096774196</v>
      </c>
      <c r="F3" s="11">
        <v>0.2</v>
      </c>
      <c r="G3" s="4">
        <v>2369.6348387096773</v>
      </c>
      <c r="H3" s="11">
        <v>1.6300000217809523</v>
      </c>
      <c r="I3" s="4">
        <v>285.38709677419354</v>
      </c>
      <c r="J3" s="11">
        <v>7.84</v>
      </c>
      <c r="K3" s="4">
        <f>'Occupied &amp; No. of Guest'!B4</f>
        <v>367</v>
      </c>
      <c r="L3" s="4">
        <f>'Occupied &amp; No. of Guest'!C4</f>
        <v>668</v>
      </c>
    </row>
    <row r="4" spans="1:12" x14ac:dyDescent="0.25">
      <c r="A4" s="9" t="s">
        <v>52</v>
      </c>
      <c r="B4" s="10">
        <f t="shared" ref="B4:B32" si="0">B3+1</f>
        <v>3</v>
      </c>
      <c r="C4" s="10">
        <v>1</v>
      </c>
      <c r="D4" s="10">
        <v>2024</v>
      </c>
      <c r="E4" s="4">
        <v>29070.187096774196</v>
      </c>
      <c r="F4" s="11">
        <v>0.2</v>
      </c>
      <c r="G4" s="4">
        <v>2369.6348387096773</v>
      </c>
      <c r="H4" s="11">
        <v>1.6300000217809523</v>
      </c>
      <c r="I4" s="4">
        <v>285.38709677419354</v>
      </c>
      <c r="J4" s="11">
        <v>7.84</v>
      </c>
      <c r="K4" s="4">
        <f>'Occupied &amp; No. of Guest'!B5</f>
        <v>337</v>
      </c>
      <c r="L4" s="4">
        <f>'Occupied &amp; No. of Guest'!C5</f>
        <v>601</v>
      </c>
    </row>
    <row r="5" spans="1:12" x14ac:dyDescent="0.25">
      <c r="A5" s="9" t="s">
        <v>52</v>
      </c>
      <c r="B5" s="10">
        <f t="shared" si="0"/>
        <v>4</v>
      </c>
      <c r="C5" s="10">
        <v>1</v>
      </c>
      <c r="D5" s="10">
        <v>2024</v>
      </c>
      <c r="E5" s="4">
        <v>29070.187096774196</v>
      </c>
      <c r="F5" s="11">
        <v>0.2</v>
      </c>
      <c r="G5" s="4">
        <v>2369.6348387096773</v>
      </c>
      <c r="H5" s="11">
        <v>1.6300000217809523</v>
      </c>
      <c r="I5" s="4">
        <v>285.38709677419354</v>
      </c>
      <c r="J5" s="11">
        <v>7.84</v>
      </c>
      <c r="K5" s="4">
        <f>'Occupied &amp; No. of Guest'!B6</f>
        <v>330</v>
      </c>
      <c r="L5" s="4">
        <f>'Occupied &amp; No. of Guest'!C6</f>
        <v>570</v>
      </c>
    </row>
    <row r="6" spans="1:12" x14ac:dyDescent="0.25">
      <c r="A6" s="9" t="s">
        <v>52</v>
      </c>
      <c r="B6" s="10">
        <f t="shared" si="0"/>
        <v>5</v>
      </c>
      <c r="C6" s="10">
        <v>1</v>
      </c>
      <c r="D6" s="10">
        <v>2024</v>
      </c>
      <c r="E6" s="4">
        <v>29070.187096774196</v>
      </c>
      <c r="F6" s="11">
        <v>0.2</v>
      </c>
      <c r="G6" s="4">
        <v>2369.6348387096773</v>
      </c>
      <c r="H6" s="11">
        <v>1.6300000217809523</v>
      </c>
      <c r="I6" s="4">
        <v>285.38709677419354</v>
      </c>
      <c r="J6" s="11">
        <v>7.84</v>
      </c>
      <c r="K6" s="4">
        <f>'Occupied &amp; No. of Guest'!B7</f>
        <v>312</v>
      </c>
      <c r="L6" s="4">
        <f>'Occupied &amp; No. of Guest'!C7</f>
        <v>556</v>
      </c>
    </row>
    <row r="7" spans="1:12" x14ac:dyDescent="0.25">
      <c r="A7" s="9" t="s">
        <v>52</v>
      </c>
      <c r="B7" s="10">
        <f t="shared" si="0"/>
        <v>6</v>
      </c>
      <c r="C7" s="10">
        <v>1</v>
      </c>
      <c r="D7" s="10">
        <v>2024</v>
      </c>
      <c r="E7" s="4">
        <v>29070.187096774196</v>
      </c>
      <c r="F7" s="11">
        <v>0.2</v>
      </c>
      <c r="G7" s="4">
        <v>2369.6348387096773</v>
      </c>
      <c r="H7" s="11">
        <v>1.6300000217809523</v>
      </c>
      <c r="I7" s="4">
        <v>285.38709677419354</v>
      </c>
      <c r="J7" s="11">
        <v>7.84</v>
      </c>
      <c r="K7" s="4">
        <f>'Occupied &amp; No. of Guest'!B8</f>
        <v>304</v>
      </c>
      <c r="L7" s="4">
        <f>'Occupied &amp; No. of Guest'!C8</f>
        <v>548</v>
      </c>
    </row>
    <row r="8" spans="1:12" x14ac:dyDescent="0.25">
      <c r="A8" s="9" t="s">
        <v>52</v>
      </c>
      <c r="B8" s="10">
        <f t="shared" si="0"/>
        <v>7</v>
      </c>
      <c r="C8" s="10">
        <v>1</v>
      </c>
      <c r="D8" s="10">
        <v>2024</v>
      </c>
      <c r="E8" s="4">
        <v>29070.187096774196</v>
      </c>
      <c r="F8" s="11">
        <v>0.2</v>
      </c>
      <c r="G8" s="4">
        <v>2369.6348387096773</v>
      </c>
      <c r="H8" s="11">
        <v>1.6300000217809523</v>
      </c>
      <c r="I8" s="4">
        <v>285.38709677419354</v>
      </c>
      <c r="J8" s="11">
        <v>7.84</v>
      </c>
      <c r="K8" s="4">
        <f>'Occupied &amp; No. of Guest'!B9</f>
        <v>322</v>
      </c>
      <c r="L8" s="4">
        <f>'Occupied &amp; No. of Guest'!C9</f>
        <v>508</v>
      </c>
    </row>
    <row r="9" spans="1:12" x14ac:dyDescent="0.25">
      <c r="A9" s="9" t="s">
        <v>52</v>
      </c>
      <c r="B9" s="10">
        <f t="shared" si="0"/>
        <v>8</v>
      </c>
      <c r="C9" s="10">
        <v>1</v>
      </c>
      <c r="D9" s="10">
        <v>2024</v>
      </c>
      <c r="E9" s="4">
        <v>29070.187096774196</v>
      </c>
      <c r="F9" s="11">
        <v>0.2</v>
      </c>
      <c r="G9" s="4">
        <v>2369.6348387096773</v>
      </c>
      <c r="H9" s="11">
        <v>1.6300000217809523</v>
      </c>
      <c r="I9" s="4">
        <v>285.38709677419354</v>
      </c>
      <c r="J9" s="11">
        <v>7.84</v>
      </c>
      <c r="K9" s="4">
        <f>'Occupied &amp; No. of Guest'!B10</f>
        <v>348</v>
      </c>
      <c r="L9" s="4">
        <f>'Occupied &amp; No. of Guest'!C10</f>
        <v>527</v>
      </c>
    </row>
    <row r="10" spans="1:12" x14ac:dyDescent="0.25">
      <c r="A10" s="9" t="s">
        <v>52</v>
      </c>
      <c r="B10" s="10">
        <f t="shared" si="0"/>
        <v>9</v>
      </c>
      <c r="C10" s="10">
        <v>1</v>
      </c>
      <c r="D10" s="10">
        <v>2024</v>
      </c>
      <c r="E10" s="4">
        <v>29070.187096774196</v>
      </c>
      <c r="F10" s="11">
        <v>0.2</v>
      </c>
      <c r="G10" s="4">
        <v>2369.6348387096773</v>
      </c>
      <c r="H10" s="11">
        <v>1.6300000217809523</v>
      </c>
      <c r="I10" s="4">
        <v>285.38709677419354</v>
      </c>
      <c r="J10" s="11">
        <v>7.84</v>
      </c>
      <c r="K10" s="4">
        <f>'Occupied &amp; No. of Guest'!B11</f>
        <v>389</v>
      </c>
      <c r="L10" s="4">
        <f>'Occupied &amp; No. of Guest'!C11</f>
        <v>605</v>
      </c>
    </row>
    <row r="11" spans="1:12" x14ac:dyDescent="0.25">
      <c r="A11" s="9" t="s">
        <v>52</v>
      </c>
      <c r="B11" s="10">
        <f t="shared" si="0"/>
        <v>10</v>
      </c>
      <c r="C11" s="10">
        <v>1</v>
      </c>
      <c r="D11" s="10">
        <v>2024</v>
      </c>
      <c r="E11" s="4">
        <v>29070.187096774196</v>
      </c>
      <c r="F11" s="11">
        <v>0.2</v>
      </c>
      <c r="G11" s="4">
        <v>2369.6348387096773</v>
      </c>
      <c r="H11" s="11">
        <v>1.6300000217809523</v>
      </c>
      <c r="I11" s="4">
        <v>285.38709677419354</v>
      </c>
      <c r="J11" s="11">
        <v>7.84</v>
      </c>
      <c r="K11" s="4">
        <f>'Occupied &amp; No. of Guest'!B12</f>
        <v>372</v>
      </c>
      <c r="L11" s="4">
        <f>'Occupied &amp; No. of Guest'!C12</f>
        <v>585</v>
      </c>
    </row>
    <row r="12" spans="1:12" x14ac:dyDescent="0.25">
      <c r="A12" s="9" t="s">
        <v>52</v>
      </c>
      <c r="B12" s="10">
        <f t="shared" si="0"/>
        <v>11</v>
      </c>
      <c r="C12" s="10">
        <v>1</v>
      </c>
      <c r="D12" s="10">
        <v>2024</v>
      </c>
      <c r="E12" s="4">
        <v>29070.187096774196</v>
      </c>
      <c r="F12" s="11">
        <v>0.2</v>
      </c>
      <c r="G12" s="4">
        <v>2369.6348387096773</v>
      </c>
      <c r="H12" s="11">
        <v>1.6300000217809523</v>
      </c>
      <c r="I12" s="4">
        <v>285.38709677419354</v>
      </c>
      <c r="J12" s="11">
        <v>7.84</v>
      </c>
      <c r="K12" s="4">
        <f>'Occupied &amp; No. of Guest'!B13</f>
        <v>424</v>
      </c>
      <c r="L12" s="4">
        <f>'Occupied &amp; No. of Guest'!C13</f>
        <v>709</v>
      </c>
    </row>
    <row r="13" spans="1:12" x14ac:dyDescent="0.25">
      <c r="A13" s="9" t="s">
        <v>52</v>
      </c>
      <c r="B13" s="10">
        <f t="shared" si="0"/>
        <v>12</v>
      </c>
      <c r="C13" s="10">
        <v>1</v>
      </c>
      <c r="D13" s="10">
        <v>2024</v>
      </c>
      <c r="E13" s="4">
        <v>29070.187096774196</v>
      </c>
      <c r="F13" s="11">
        <v>0.2</v>
      </c>
      <c r="G13" s="4">
        <v>2369.6348387096773</v>
      </c>
      <c r="H13" s="11">
        <v>1.6300000217809523</v>
      </c>
      <c r="I13" s="4">
        <v>285.38709677419354</v>
      </c>
      <c r="J13" s="11">
        <v>7.84</v>
      </c>
      <c r="K13" s="4">
        <f>'Occupied &amp; No. of Guest'!B14</f>
        <v>323</v>
      </c>
      <c r="L13" s="4">
        <f>'Occupied &amp; No. of Guest'!C14</f>
        <v>526</v>
      </c>
    </row>
    <row r="14" spans="1:12" x14ac:dyDescent="0.25">
      <c r="A14" s="9" t="s">
        <v>52</v>
      </c>
      <c r="B14" s="10">
        <f t="shared" si="0"/>
        <v>13</v>
      </c>
      <c r="C14" s="10">
        <v>1</v>
      </c>
      <c r="D14" s="10">
        <v>2024</v>
      </c>
      <c r="E14" s="4">
        <v>29070.187096774196</v>
      </c>
      <c r="F14" s="11">
        <v>0.2</v>
      </c>
      <c r="G14" s="4">
        <v>2369.6348387096773</v>
      </c>
      <c r="H14" s="11">
        <v>1.6300000217809523</v>
      </c>
      <c r="I14" s="4">
        <v>285.38709677419354</v>
      </c>
      <c r="J14" s="11">
        <v>7.84</v>
      </c>
      <c r="K14" s="4">
        <f>'Occupied &amp; No. of Guest'!B15</f>
        <v>310</v>
      </c>
      <c r="L14" s="4">
        <f>'Occupied &amp; No. of Guest'!C15</f>
        <v>478</v>
      </c>
    </row>
    <row r="15" spans="1:12" x14ac:dyDescent="0.25">
      <c r="A15" s="9" t="s">
        <v>52</v>
      </c>
      <c r="B15" s="10">
        <f t="shared" si="0"/>
        <v>14</v>
      </c>
      <c r="C15" s="10">
        <v>1</v>
      </c>
      <c r="D15" s="10">
        <v>2024</v>
      </c>
      <c r="E15" s="4">
        <v>29070.187096774196</v>
      </c>
      <c r="F15" s="11">
        <v>0.2</v>
      </c>
      <c r="G15" s="4">
        <v>2369.6348387096773</v>
      </c>
      <c r="H15" s="11">
        <v>1.6300000217809523</v>
      </c>
      <c r="I15" s="4">
        <v>285.38709677419354</v>
      </c>
      <c r="J15" s="11">
        <v>7.84</v>
      </c>
      <c r="K15" s="4">
        <f>'Occupied &amp; No. of Guest'!B16</f>
        <v>320</v>
      </c>
      <c r="L15" s="4">
        <f>'Occupied &amp; No. of Guest'!C16</f>
        <v>449</v>
      </c>
    </row>
    <row r="16" spans="1:12" x14ac:dyDescent="0.25">
      <c r="A16" s="9" t="s">
        <v>52</v>
      </c>
      <c r="B16" s="10">
        <f t="shared" si="0"/>
        <v>15</v>
      </c>
      <c r="C16" s="10">
        <v>1</v>
      </c>
      <c r="D16" s="10">
        <v>2024</v>
      </c>
      <c r="E16" s="4">
        <v>29070.187096774196</v>
      </c>
      <c r="F16" s="11">
        <v>0.2</v>
      </c>
      <c r="G16" s="4">
        <v>2369.6348387096773</v>
      </c>
      <c r="H16" s="11">
        <v>1.6300000217809523</v>
      </c>
      <c r="I16" s="4">
        <v>285.38709677419354</v>
      </c>
      <c r="J16" s="11">
        <v>7.84</v>
      </c>
      <c r="K16" s="4">
        <f>'Occupied &amp; No. of Guest'!B17</f>
        <v>357</v>
      </c>
      <c r="L16" s="4">
        <f>'Occupied &amp; No. of Guest'!C17</f>
        <v>501</v>
      </c>
    </row>
    <row r="17" spans="1:12" x14ac:dyDescent="0.25">
      <c r="A17" s="9" t="s">
        <v>52</v>
      </c>
      <c r="B17" s="10">
        <f t="shared" si="0"/>
        <v>16</v>
      </c>
      <c r="C17" s="10">
        <v>1</v>
      </c>
      <c r="D17" s="10">
        <v>2024</v>
      </c>
      <c r="E17" s="4">
        <v>29070.187096774196</v>
      </c>
      <c r="F17" s="11">
        <v>0.2</v>
      </c>
      <c r="G17" s="4">
        <v>2369.6348387096773</v>
      </c>
      <c r="H17" s="11">
        <v>1.6300000217809523</v>
      </c>
      <c r="I17" s="4">
        <v>285.38709677419354</v>
      </c>
      <c r="J17" s="11">
        <v>7.84</v>
      </c>
      <c r="K17" s="4">
        <f>'Occupied &amp; No. of Guest'!B18</f>
        <v>412</v>
      </c>
      <c r="L17" s="4">
        <f>'Occupied &amp; No. of Guest'!C18</f>
        <v>606</v>
      </c>
    </row>
    <row r="18" spans="1:12" x14ac:dyDescent="0.25">
      <c r="A18" s="9" t="s">
        <v>52</v>
      </c>
      <c r="B18" s="10">
        <f t="shared" si="0"/>
        <v>17</v>
      </c>
      <c r="C18" s="10">
        <v>1</v>
      </c>
      <c r="D18" s="10">
        <v>2024</v>
      </c>
      <c r="E18" s="4">
        <v>29070.187096774196</v>
      </c>
      <c r="F18" s="11">
        <v>0.2</v>
      </c>
      <c r="G18" s="4">
        <v>2369.6348387096773</v>
      </c>
      <c r="H18" s="11">
        <v>1.6300000217809523</v>
      </c>
      <c r="I18" s="4">
        <v>285.38709677419354</v>
      </c>
      <c r="J18" s="11">
        <v>7.84</v>
      </c>
      <c r="K18" s="4">
        <f>'Occupied &amp; No. of Guest'!B19</f>
        <v>422</v>
      </c>
      <c r="L18" s="4">
        <f>'Occupied &amp; No. of Guest'!C19</f>
        <v>622</v>
      </c>
    </row>
    <row r="19" spans="1:12" x14ac:dyDescent="0.25">
      <c r="A19" s="9" t="s">
        <v>52</v>
      </c>
      <c r="B19" s="10">
        <f t="shared" si="0"/>
        <v>18</v>
      </c>
      <c r="C19" s="10">
        <v>1</v>
      </c>
      <c r="D19" s="10">
        <v>2024</v>
      </c>
      <c r="E19" s="4">
        <v>29070.187096774196</v>
      </c>
      <c r="F19" s="11">
        <v>0.2</v>
      </c>
      <c r="G19" s="4">
        <v>2369.6348387096773</v>
      </c>
      <c r="H19" s="11">
        <v>1.6300000217809523</v>
      </c>
      <c r="I19" s="4">
        <v>285.38709677419354</v>
      </c>
      <c r="J19" s="11">
        <v>7.84</v>
      </c>
      <c r="K19" s="4">
        <f>'Occupied &amp; No. of Guest'!B20</f>
        <v>407</v>
      </c>
      <c r="L19" s="4">
        <f>'Occupied &amp; No. of Guest'!C20</f>
        <v>633</v>
      </c>
    </row>
    <row r="20" spans="1:12" x14ac:dyDescent="0.25">
      <c r="A20" s="9" t="s">
        <v>52</v>
      </c>
      <c r="B20" s="10">
        <f t="shared" si="0"/>
        <v>19</v>
      </c>
      <c r="C20" s="10">
        <v>1</v>
      </c>
      <c r="D20" s="10">
        <v>2024</v>
      </c>
      <c r="E20" s="4">
        <v>29070.187096774196</v>
      </c>
      <c r="F20" s="11">
        <v>0.2</v>
      </c>
      <c r="G20" s="4">
        <v>2369.6348387096773</v>
      </c>
      <c r="H20" s="11">
        <v>1.6300000217809523</v>
      </c>
      <c r="I20" s="4">
        <v>285.38709677419354</v>
      </c>
      <c r="J20" s="11">
        <v>7.84</v>
      </c>
      <c r="K20" s="4">
        <f>'Occupied &amp; No. of Guest'!B21</f>
        <v>436</v>
      </c>
      <c r="L20" s="4">
        <f>'Occupied &amp; No. of Guest'!C21</f>
        <v>715</v>
      </c>
    </row>
    <row r="21" spans="1:12" x14ac:dyDescent="0.25">
      <c r="A21" s="9" t="s">
        <v>52</v>
      </c>
      <c r="B21" s="10">
        <f t="shared" si="0"/>
        <v>20</v>
      </c>
      <c r="C21" s="10">
        <v>1</v>
      </c>
      <c r="D21" s="10">
        <v>2024</v>
      </c>
      <c r="E21" s="4">
        <v>29070.187096774196</v>
      </c>
      <c r="F21" s="11">
        <v>0.2</v>
      </c>
      <c r="G21" s="4">
        <v>2369.6348387096773</v>
      </c>
      <c r="H21" s="11">
        <v>1.6300000217809523</v>
      </c>
      <c r="I21" s="4">
        <v>285.38709677419354</v>
      </c>
      <c r="J21" s="11">
        <v>7.84</v>
      </c>
      <c r="K21" s="4">
        <f>'Occupied &amp; No. of Guest'!B22</f>
        <v>406</v>
      </c>
      <c r="L21" s="4">
        <f>'Occupied &amp; No. of Guest'!C22</f>
        <v>631</v>
      </c>
    </row>
    <row r="22" spans="1:12" x14ac:dyDescent="0.25">
      <c r="A22" s="9" t="s">
        <v>52</v>
      </c>
      <c r="B22" s="10">
        <f t="shared" si="0"/>
        <v>21</v>
      </c>
      <c r="C22" s="10">
        <v>1</v>
      </c>
      <c r="D22" s="10">
        <v>2024</v>
      </c>
      <c r="E22" s="4">
        <v>29070.187096774196</v>
      </c>
      <c r="F22" s="11">
        <v>0.2</v>
      </c>
      <c r="G22" s="4">
        <v>2369.6348387096773</v>
      </c>
      <c r="H22" s="11">
        <v>1.6300000217809523</v>
      </c>
      <c r="I22" s="4">
        <v>285.38709677419354</v>
      </c>
      <c r="J22" s="11">
        <v>7.84</v>
      </c>
      <c r="K22" s="4">
        <f>'Occupied &amp; No. of Guest'!B23</f>
        <v>423</v>
      </c>
      <c r="L22" s="4">
        <f>'Occupied &amp; No. of Guest'!C23</f>
        <v>638</v>
      </c>
    </row>
    <row r="23" spans="1:12" x14ac:dyDescent="0.25">
      <c r="A23" s="9" t="s">
        <v>52</v>
      </c>
      <c r="B23" s="10">
        <f t="shared" si="0"/>
        <v>22</v>
      </c>
      <c r="C23" s="10">
        <v>1</v>
      </c>
      <c r="D23" s="10">
        <v>2024</v>
      </c>
      <c r="E23" s="4">
        <v>29070.187096774196</v>
      </c>
      <c r="F23" s="11">
        <v>0.2</v>
      </c>
      <c r="G23" s="4">
        <v>2369.6348387096773</v>
      </c>
      <c r="H23" s="11">
        <v>1.6300000217809523</v>
      </c>
      <c r="I23" s="4">
        <v>285.38709677419354</v>
      </c>
      <c r="J23" s="11">
        <v>7.84</v>
      </c>
      <c r="K23" s="4">
        <f>'Occupied &amp; No. of Guest'!B24</f>
        <v>481</v>
      </c>
      <c r="L23" s="4">
        <f>'Occupied &amp; No. of Guest'!C24</f>
        <v>723</v>
      </c>
    </row>
    <row r="24" spans="1:12" x14ac:dyDescent="0.25">
      <c r="A24" s="9" t="s">
        <v>52</v>
      </c>
      <c r="B24" s="10">
        <f t="shared" si="0"/>
        <v>23</v>
      </c>
      <c r="C24" s="10">
        <v>1</v>
      </c>
      <c r="D24" s="10">
        <v>2024</v>
      </c>
      <c r="E24" s="4">
        <v>29070.187096774196</v>
      </c>
      <c r="F24" s="11">
        <v>0.2</v>
      </c>
      <c r="G24" s="4">
        <v>2369.6348387096773</v>
      </c>
      <c r="H24" s="11">
        <v>1.6300000217809523</v>
      </c>
      <c r="I24" s="4">
        <v>285.38709677419354</v>
      </c>
      <c r="J24" s="11">
        <v>7.84</v>
      </c>
      <c r="K24" s="4">
        <f>'Occupied &amp; No. of Guest'!B25</f>
        <v>486</v>
      </c>
      <c r="L24" s="4">
        <f>'Occupied &amp; No. of Guest'!C25</f>
        <v>704</v>
      </c>
    </row>
    <row r="25" spans="1:12" x14ac:dyDescent="0.25">
      <c r="A25" s="9" t="s">
        <v>52</v>
      </c>
      <c r="B25" s="10">
        <f t="shared" si="0"/>
        <v>24</v>
      </c>
      <c r="C25" s="10">
        <v>1</v>
      </c>
      <c r="D25" s="10">
        <v>2024</v>
      </c>
      <c r="E25" s="4">
        <v>29070.187096774196</v>
      </c>
      <c r="F25" s="11">
        <v>0.2</v>
      </c>
      <c r="G25" s="4">
        <v>2369.6348387096773</v>
      </c>
      <c r="H25" s="11">
        <v>1.6300000217809523</v>
      </c>
      <c r="I25" s="4">
        <v>285.38709677419354</v>
      </c>
      <c r="J25" s="11">
        <v>7.84</v>
      </c>
      <c r="K25" s="4">
        <f>'Occupied &amp; No. of Guest'!B26</f>
        <v>484</v>
      </c>
      <c r="L25" s="4">
        <f>'Occupied &amp; No. of Guest'!C26</f>
        <v>704</v>
      </c>
    </row>
    <row r="26" spans="1:12" x14ac:dyDescent="0.25">
      <c r="A26" s="9" t="s">
        <v>52</v>
      </c>
      <c r="B26" s="10">
        <f>B25+1</f>
        <v>25</v>
      </c>
      <c r="C26" s="10">
        <v>1</v>
      </c>
      <c r="D26" s="10">
        <v>2024</v>
      </c>
      <c r="E26" s="4">
        <v>29070.187096774196</v>
      </c>
      <c r="F26" s="11">
        <v>0.2</v>
      </c>
      <c r="G26" s="4">
        <v>2369.6348387096773</v>
      </c>
      <c r="H26" s="11">
        <v>1.6300000217809523</v>
      </c>
      <c r="I26" s="4">
        <v>285.38709677419354</v>
      </c>
      <c r="J26" s="11">
        <v>7.84</v>
      </c>
      <c r="K26" s="4">
        <f>'Occupied &amp; No. of Guest'!B27</f>
        <v>482</v>
      </c>
      <c r="L26" s="4">
        <f>'Occupied &amp; No. of Guest'!C27</f>
        <v>718</v>
      </c>
    </row>
    <row r="27" spans="1:12" x14ac:dyDescent="0.25">
      <c r="A27" s="9" t="s">
        <v>52</v>
      </c>
      <c r="B27" s="10">
        <f t="shared" si="0"/>
        <v>26</v>
      </c>
      <c r="C27" s="10">
        <v>1</v>
      </c>
      <c r="D27" s="10">
        <v>2024</v>
      </c>
      <c r="E27" s="4">
        <v>29070.187096774196</v>
      </c>
      <c r="F27" s="11">
        <v>0.2</v>
      </c>
      <c r="G27" s="4">
        <v>2369.6348387096773</v>
      </c>
      <c r="H27" s="11">
        <v>1.6300000217809523</v>
      </c>
      <c r="I27" s="4">
        <v>285.38709677419354</v>
      </c>
      <c r="J27" s="11">
        <v>7.84</v>
      </c>
      <c r="K27" s="4">
        <f>'Occupied &amp; No. of Guest'!B28</f>
        <v>475</v>
      </c>
      <c r="L27" s="4">
        <f>'Occupied &amp; No. of Guest'!C28</f>
        <v>749</v>
      </c>
    </row>
    <row r="28" spans="1:12" x14ac:dyDescent="0.25">
      <c r="A28" s="9" t="s">
        <v>52</v>
      </c>
      <c r="B28" s="10">
        <f t="shared" si="0"/>
        <v>27</v>
      </c>
      <c r="C28" s="10">
        <v>1</v>
      </c>
      <c r="D28" s="10">
        <v>2024</v>
      </c>
      <c r="E28" s="4">
        <v>29070.187096774196</v>
      </c>
      <c r="F28" s="11">
        <v>0.2</v>
      </c>
      <c r="G28" s="4">
        <v>2369.6348387096773</v>
      </c>
      <c r="H28" s="11">
        <v>1.6300000217809523</v>
      </c>
      <c r="I28" s="4">
        <v>285.38709677419354</v>
      </c>
      <c r="J28" s="11">
        <v>7.84</v>
      </c>
      <c r="K28" s="4">
        <f>'Occupied &amp; No. of Guest'!B29</f>
        <v>420</v>
      </c>
      <c r="L28" s="4">
        <f>'Occupied &amp; No. of Guest'!C29</f>
        <v>667</v>
      </c>
    </row>
    <row r="29" spans="1:12" x14ac:dyDescent="0.25">
      <c r="A29" s="9" t="s">
        <v>52</v>
      </c>
      <c r="B29" s="10">
        <f t="shared" si="0"/>
        <v>28</v>
      </c>
      <c r="C29" s="10">
        <v>1</v>
      </c>
      <c r="D29" s="10">
        <v>2024</v>
      </c>
      <c r="E29" s="4">
        <v>29070.187096774196</v>
      </c>
      <c r="F29" s="11">
        <v>0.2</v>
      </c>
      <c r="G29" s="4">
        <v>2369.6348387096773</v>
      </c>
      <c r="H29" s="11">
        <v>1.6300000217809523</v>
      </c>
      <c r="I29" s="4">
        <v>285.38709677419354</v>
      </c>
      <c r="J29" s="11">
        <v>7.84</v>
      </c>
      <c r="K29" s="4">
        <f>'Occupied &amp; No. of Guest'!B30</f>
        <v>470</v>
      </c>
      <c r="L29" s="4">
        <f>'Occupied &amp; No. of Guest'!C30</f>
        <v>761</v>
      </c>
    </row>
    <row r="30" spans="1:12" x14ac:dyDescent="0.25">
      <c r="A30" s="9" t="s">
        <v>52</v>
      </c>
      <c r="B30" s="10">
        <f t="shared" si="0"/>
        <v>29</v>
      </c>
      <c r="C30" s="10">
        <v>1</v>
      </c>
      <c r="D30" s="10">
        <v>2024</v>
      </c>
      <c r="E30" s="4">
        <v>29070.187096774196</v>
      </c>
      <c r="F30" s="11">
        <v>0.2</v>
      </c>
      <c r="G30" s="4">
        <v>2369.6348387096773</v>
      </c>
      <c r="H30" s="11">
        <v>1.6300000217809523</v>
      </c>
      <c r="I30" s="4">
        <v>285.38709677419354</v>
      </c>
      <c r="J30" s="11">
        <v>7.84</v>
      </c>
      <c r="K30" s="4">
        <f>'Occupied &amp; No. of Guest'!B31</f>
        <v>467</v>
      </c>
      <c r="L30" s="4">
        <f>'Occupied &amp; No. of Guest'!C31</f>
        <v>740</v>
      </c>
    </row>
    <row r="31" spans="1:12" x14ac:dyDescent="0.25">
      <c r="A31" s="9" t="s">
        <v>52</v>
      </c>
      <c r="B31" s="10">
        <f t="shared" si="0"/>
        <v>30</v>
      </c>
      <c r="C31" s="10">
        <v>1</v>
      </c>
      <c r="D31" s="10">
        <v>2024</v>
      </c>
      <c r="E31" s="4">
        <v>29070.187096774196</v>
      </c>
      <c r="F31" s="11">
        <v>0.2</v>
      </c>
      <c r="G31" s="4">
        <v>2369.6348387096773</v>
      </c>
      <c r="H31" s="11">
        <v>1.6300000217809523</v>
      </c>
      <c r="I31" s="4">
        <v>285.38709677419354</v>
      </c>
      <c r="J31" s="11">
        <v>7.84</v>
      </c>
      <c r="K31" s="4">
        <f>'Occupied &amp; No. of Guest'!B32</f>
        <v>473</v>
      </c>
      <c r="L31" s="4">
        <f>'Occupied &amp; No. of Guest'!C32</f>
        <v>751</v>
      </c>
    </row>
    <row r="32" spans="1:12" x14ac:dyDescent="0.25">
      <c r="A32" s="9" t="s">
        <v>52</v>
      </c>
      <c r="B32" s="10">
        <f t="shared" si="0"/>
        <v>31</v>
      </c>
      <c r="C32" s="10">
        <v>1</v>
      </c>
      <c r="D32" s="10">
        <v>2024</v>
      </c>
      <c r="E32" s="4">
        <v>29070.187096774196</v>
      </c>
      <c r="F32" s="11">
        <v>0.2</v>
      </c>
      <c r="G32" s="4">
        <v>2369.6348387096773</v>
      </c>
      <c r="H32" s="11">
        <v>1.6300000217809523</v>
      </c>
      <c r="I32" s="4">
        <v>285.38709677419354</v>
      </c>
      <c r="J32" s="11">
        <v>7.84</v>
      </c>
      <c r="K32" s="4">
        <f>'Occupied &amp; No. of Guest'!B33</f>
        <v>454</v>
      </c>
      <c r="L32" s="4">
        <f>'Occupied &amp; No. of Guest'!C33</f>
        <v>725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3"/>
  <sheetViews>
    <sheetView zoomScale="115" zoomScaleNormal="115" zoomScaleSheetLayoutView="85" workbookViewId="0">
      <pane xSplit="4" ySplit="4" topLeftCell="E15" activePane="bottomRight" state="frozen"/>
      <selection pane="topRight" activeCell="E1" sqref="E1"/>
      <selection pane="bottomLeft" activeCell="A5" sqref="A5"/>
      <selection pane="bottomRight" activeCell="E23" sqref="E23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8" t="s">
        <v>85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0">
        <v>1</v>
      </c>
      <c r="B5" s="20" t="s">
        <v>14</v>
      </c>
      <c r="C5" s="82" t="s">
        <v>15</v>
      </c>
      <c r="D5" s="21">
        <v>6819153</v>
      </c>
      <c r="E5" s="21">
        <v>6839735</v>
      </c>
      <c r="F5" s="21">
        <v>6860046</v>
      </c>
      <c r="G5" s="21">
        <v>6880825</v>
      </c>
      <c r="H5" s="21">
        <v>6902510</v>
      </c>
      <c r="I5" s="21">
        <v>6924184</v>
      </c>
      <c r="J5" s="21">
        <v>6946294</v>
      </c>
      <c r="K5" s="21">
        <v>6967650</v>
      </c>
      <c r="L5" s="21">
        <v>6989323</v>
      </c>
      <c r="M5" s="21">
        <v>7010566</v>
      </c>
      <c r="N5" s="21">
        <v>7031419</v>
      </c>
      <c r="O5" s="21">
        <v>7052548</v>
      </c>
      <c r="P5" s="21">
        <v>7071973</v>
      </c>
      <c r="Q5" s="21">
        <v>7092861</v>
      </c>
      <c r="R5" s="21">
        <v>7113754</v>
      </c>
      <c r="S5" s="21">
        <v>7134339</v>
      </c>
      <c r="T5" s="21">
        <v>7155217</v>
      </c>
      <c r="U5" s="21">
        <v>7177341</v>
      </c>
      <c r="V5" s="21">
        <v>7200128</v>
      </c>
      <c r="W5" s="21">
        <v>7221982</v>
      </c>
      <c r="X5" s="21">
        <v>7243485</v>
      </c>
      <c r="Y5" s="21">
        <v>7264410</v>
      </c>
      <c r="Z5" s="21">
        <v>7285775</v>
      </c>
      <c r="AA5" s="21">
        <v>7306760</v>
      </c>
      <c r="AB5" s="21">
        <v>7327397</v>
      </c>
      <c r="AC5" s="21">
        <v>7348574</v>
      </c>
      <c r="AD5" s="21">
        <v>7369187</v>
      </c>
      <c r="AE5" s="21">
        <v>7390397</v>
      </c>
      <c r="AF5" s="21">
        <v>7411691</v>
      </c>
      <c r="AG5" s="21">
        <v>7432753</v>
      </c>
      <c r="AH5" s="21">
        <v>7453630</v>
      </c>
      <c r="AI5" s="21">
        <v>7475347</v>
      </c>
    </row>
    <row r="6" spans="1:67" s="24" customFormat="1" ht="21.75" customHeight="1" thickBot="1" x14ac:dyDescent="0.25">
      <c r="A6" s="81"/>
      <c r="B6" s="22"/>
      <c r="C6" s="83"/>
      <c r="D6" s="23"/>
      <c r="E6" s="23">
        <f t="shared" ref="E6:AI6" si="0">E5-D5</f>
        <v>20582</v>
      </c>
      <c r="F6" s="23">
        <f t="shared" si="0"/>
        <v>20311</v>
      </c>
      <c r="G6" s="23">
        <f t="shared" si="0"/>
        <v>20779</v>
      </c>
      <c r="H6" s="23">
        <f t="shared" si="0"/>
        <v>21685</v>
      </c>
      <c r="I6" s="23">
        <f t="shared" si="0"/>
        <v>21674</v>
      </c>
      <c r="J6" s="23">
        <f t="shared" si="0"/>
        <v>22110</v>
      </c>
      <c r="K6" s="23">
        <f>K5-J5</f>
        <v>21356</v>
      </c>
      <c r="L6" s="23">
        <f t="shared" si="0"/>
        <v>21673</v>
      </c>
      <c r="M6" s="23">
        <f t="shared" si="0"/>
        <v>21243</v>
      </c>
      <c r="N6" s="23">
        <f t="shared" si="0"/>
        <v>20853</v>
      </c>
      <c r="O6" s="23">
        <f t="shared" si="0"/>
        <v>21129</v>
      </c>
      <c r="P6" s="23">
        <f t="shared" si="0"/>
        <v>19425</v>
      </c>
      <c r="Q6" s="23">
        <f t="shared" si="0"/>
        <v>20888</v>
      </c>
      <c r="R6" s="23">
        <f t="shared" si="0"/>
        <v>20893</v>
      </c>
      <c r="S6" s="23">
        <f t="shared" si="0"/>
        <v>20585</v>
      </c>
      <c r="T6" s="23">
        <f t="shared" si="0"/>
        <v>20878</v>
      </c>
      <c r="U6" s="23">
        <f t="shared" si="0"/>
        <v>22124</v>
      </c>
      <c r="V6" s="23">
        <f t="shared" si="0"/>
        <v>22787</v>
      </c>
      <c r="W6" s="23">
        <f t="shared" si="0"/>
        <v>21854</v>
      </c>
      <c r="X6" s="23">
        <f t="shared" si="0"/>
        <v>21503</v>
      </c>
      <c r="Y6" s="23">
        <f t="shared" si="0"/>
        <v>20925</v>
      </c>
      <c r="Z6" s="23">
        <f t="shared" si="0"/>
        <v>21365</v>
      </c>
      <c r="AA6" s="23">
        <f t="shared" si="0"/>
        <v>20985</v>
      </c>
      <c r="AB6" s="23">
        <f t="shared" si="0"/>
        <v>20637</v>
      </c>
      <c r="AC6" s="23">
        <f t="shared" si="0"/>
        <v>21177</v>
      </c>
      <c r="AD6" s="23">
        <f>AD5-AC5</f>
        <v>20613</v>
      </c>
      <c r="AE6" s="23">
        <f t="shared" si="0"/>
        <v>21210</v>
      </c>
      <c r="AF6" s="23">
        <f t="shared" si="0"/>
        <v>21294</v>
      </c>
      <c r="AG6" s="23">
        <f t="shared" si="0"/>
        <v>21062</v>
      </c>
      <c r="AH6" s="23">
        <f t="shared" si="0"/>
        <v>20877</v>
      </c>
      <c r="AI6" s="23">
        <f t="shared" si="0"/>
        <v>21717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4">
        <v>2</v>
      </c>
      <c r="B7" s="25" t="s">
        <v>16</v>
      </c>
      <c r="C7" s="86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85"/>
      <c r="B8" s="22"/>
      <c r="C8" s="83"/>
      <c r="D8" s="23"/>
      <c r="E8" s="23">
        <f t="shared" ref="E8:AB8" si="1">E7-D7</f>
        <v>0</v>
      </c>
      <c r="F8" s="23">
        <v>620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v>0</v>
      </c>
      <c r="AD8" s="23">
        <f>AD7-AC7</f>
        <v>0</v>
      </c>
      <c r="AE8" s="23">
        <f t="shared" ref="AE8:AI8" si="2">AE7-AD7</f>
        <v>0</v>
      </c>
      <c r="AF8" s="23">
        <f t="shared" si="2"/>
        <v>0</v>
      </c>
      <c r="AG8" s="23">
        <f t="shared" si="2"/>
        <v>0</v>
      </c>
      <c r="AH8" s="23">
        <f t="shared" si="2"/>
        <v>0</v>
      </c>
      <c r="AI8" s="23">
        <f t="shared" si="2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6">
        <v>3</v>
      </c>
      <c r="B9" s="36" t="s">
        <v>53</v>
      </c>
      <c r="C9" s="77" t="s">
        <v>54</v>
      </c>
      <c r="D9" s="21">
        <v>8560566</v>
      </c>
      <c r="E9" s="21">
        <v>8574767</v>
      </c>
      <c r="F9" s="21">
        <v>8586016</v>
      </c>
      <c r="G9" s="21">
        <v>8603190</v>
      </c>
      <c r="H9" s="21">
        <v>8620657</v>
      </c>
      <c r="I9" s="21">
        <v>8638563</v>
      </c>
      <c r="J9" s="21">
        <v>8657503</v>
      </c>
      <c r="K9" s="21">
        <v>8674708</v>
      </c>
      <c r="L9" s="21">
        <v>8690306</v>
      </c>
      <c r="M9" s="21">
        <v>8697485</v>
      </c>
      <c r="N9" s="21">
        <v>8708473</v>
      </c>
      <c r="O9" s="21">
        <v>8715292</v>
      </c>
      <c r="P9" s="21">
        <v>8729441</v>
      </c>
      <c r="Q9" s="21">
        <v>8742374</v>
      </c>
      <c r="R9" s="21">
        <v>8753741</v>
      </c>
      <c r="S9" s="21">
        <v>8770933</v>
      </c>
      <c r="T9" s="21">
        <v>8789293</v>
      </c>
      <c r="U9" s="21">
        <v>8799514</v>
      </c>
      <c r="V9" s="21">
        <v>8818723</v>
      </c>
      <c r="W9" s="21">
        <v>8836687</v>
      </c>
      <c r="X9" s="21">
        <v>8854022</v>
      </c>
      <c r="Y9" s="21">
        <v>8870609</v>
      </c>
      <c r="Z9" s="21">
        <v>8879788</v>
      </c>
      <c r="AA9" s="21">
        <v>8883054</v>
      </c>
      <c r="AB9" s="21">
        <v>8886259</v>
      </c>
      <c r="AC9" s="21">
        <v>8893316</v>
      </c>
      <c r="AD9" s="21">
        <v>8911799</v>
      </c>
      <c r="AE9" s="21">
        <v>8927053</v>
      </c>
      <c r="AF9" s="21">
        <v>8942822</v>
      </c>
      <c r="AG9" s="21">
        <v>8957293</v>
      </c>
      <c r="AH9" s="21">
        <v>8974121</v>
      </c>
      <c r="AI9" s="21">
        <v>8991675</v>
      </c>
    </row>
    <row r="10" spans="1:67" s="24" customFormat="1" ht="21.75" customHeight="1" thickBot="1" x14ac:dyDescent="0.25">
      <c r="A10" s="72"/>
      <c r="B10" s="37"/>
      <c r="C10" s="75"/>
      <c r="D10" s="23"/>
      <c r="E10" s="23">
        <f t="shared" ref="E10:AC10" si="3">E9-D9</f>
        <v>14201</v>
      </c>
      <c r="F10" s="23">
        <f t="shared" si="3"/>
        <v>11249</v>
      </c>
      <c r="G10" s="23">
        <f t="shared" si="3"/>
        <v>17174</v>
      </c>
      <c r="H10" s="23">
        <f t="shared" si="3"/>
        <v>17467</v>
      </c>
      <c r="I10" s="23">
        <f t="shared" si="3"/>
        <v>17906</v>
      </c>
      <c r="J10" s="23">
        <f t="shared" si="3"/>
        <v>18940</v>
      </c>
      <c r="K10" s="23">
        <f t="shared" si="3"/>
        <v>17205</v>
      </c>
      <c r="L10" s="23">
        <f t="shared" si="3"/>
        <v>15598</v>
      </c>
      <c r="M10" s="23">
        <f t="shared" si="3"/>
        <v>7179</v>
      </c>
      <c r="N10" s="23">
        <f t="shared" si="3"/>
        <v>10988</v>
      </c>
      <c r="O10" s="23">
        <f t="shared" si="3"/>
        <v>6819</v>
      </c>
      <c r="P10" s="23">
        <f t="shared" si="3"/>
        <v>14149</v>
      </c>
      <c r="Q10" s="23">
        <f t="shared" si="3"/>
        <v>12933</v>
      </c>
      <c r="R10" s="23">
        <f t="shared" si="3"/>
        <v>11367</v>
      </c>
      <c r="S10" s="23">
        <f t="shared" si="3"/>
        <v>17192</v>
      </c>
      <c r="T10" s="23">
        <f t="shared" si="3"/>
        <v>18360</v>
      </c>
      <c r="U10" s="23">
        <f t="shared" si="3"/>
        <v>10221</v>
      </c>
      <c r="V10" s="23">
        <f t="shared" si="3"/>
        <v>19209</v>
      </c>
      <c r="W10" s="23">
        <f t="shared" si="3"/>
        <v>17964</v>
      </c>
      <c r="X10" s="23">
        <f t="shared" si="3"/>
        <v>17335</v>
      </c>
      <c r="Y10" s="23">
        <f t="shared" si="3"/>
        <v>16587</v>
      </c>
      <c r="Z10" s="23">
        <f t="shared" si="3"/>
        <v>9179</v>
      </c>
      <c r="AA10" s="23">
        <f t="shared" si="3"/>
        <v>3266</v>
      </c>
      <c r="AB10" s="23">
        <f t="shared" si="3"/>
        <v>3205</v>
      </c>
      <c r="AC10" s="23">
        <f t="shared" si="3"/>
        <v>7057</v>
      </c>
      <c r="AD10" s="23">
        <f>AD9-AC9</f>
        <v>18483</v>
      </c>
      <c r="AE10" s="23">
        <f t="shared" ref="AE10:AI10" si="4">AE9-AD9</f>
        <v>15254</v>
      </c>
      <c r="AF10" s="23">
        <f t="shared" si="4"/>
        <v>15769</v>
      </c>
      <c r="AG10" s="23">
        <f t="shared" si="4"/>
        <v>14471</v>
      </c>
      <c r="AH10" s="23">
        <f t="shared" si="4"/>
        <v>16828</v>
      </c>
      <c r="AI10" s="23">
        <f t="shared" si="4"/>
        <v>17554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7">
        <v>4</v>
      </c>
      <c r="B11" s="36" t="s">
        <v>55</v>
      </c>
      <c r="C11" s="77" t="s">
        <v>56</v>
      </c>
      <c r="D11" s="21">
        <v>4127991</v>
      </c>
      <c r="E11" s="21">
        <v>4140017</v>
      </c>
      <c r="F11" s="21">
        <v>4153317</v>
      </c>
      <c r="G11" s="21">
        <v>4160960</v>
      </c>
      <c r="H11" s="21">
        <v>4167059</v>
      </c>
      <c r="I11" s="21">
        <v>4170141</v>
      </c>
      <c r="J11" s="21">
        <v>4173192</v>
      </c>
      <c r="K11" s="21">
        <v>4177917</v>
      </c>
      <c r="L11" s="21">
        <v>4184120</v>
      </c>
      <c r="M11" s="21">
        <v>4196151</v>
      </c>
      <c r="N11" s="21">
        <v>4204643</v>
      </c>
      <c r="O11" s="21">
        <v>4217212</v>
      </c>
      <c r="P11" s="21">
        <v>4219157</v>
      </c>
      <c r="Q11" s="21">
        <v>4221152</v>
      </c>
      <c r="R11" s="21">
        <v>4227675</v>
      </c>
      <c r="S11" s="21">
        <v>4228747</v>
      </c>
      <c r="T11" s="21">
        <v>4230480</v>
      </c>
      <c r="U11" s="21">
        <v>4234201</v>
      </c>
      <c r="V11" s="21">
        <v>4238010</v>
      </c>
      <c r="W11" s="21">
        <v>4239794</v>
      </c>
      <c r="X11" s="21">
        <v>4240991</v>
      </c>
      <c r="Y11" s="21">
        <v>4242142</v>
      </c>
      <c r="Z11" s="21">
        <v>4251247</v>
      </c>
      <c r="AA11" s="21">
        <v>4266479</v>
      </c>
      <c r="AB11" s="21">
        <v>4281303</v>
      </c>
      <c r="AC11" s="21">
        <v>4286121</v>
      </c>
      <c r="AD11" s="21">
        <v>4289575</v>
      </c>
      <c r="AE11" s="21">
        <v>4293196</v>
      </c>
      <c r="AF11" s="21">
        <v>4296815</v>
      </c>
      <c r="AG11" s="21">
        <v>4300282</v>
      </c>
      <c r="AH11" s="21">
        <v>4303157</v>
      </c>
      <c r="AI11" s="21">
        <v>4305534</v>
      </c>
    </row>
    <row r="12" spans="1:67" s="38" customFormat="1" ht="21.75" customHeight="1" thickBot="1" x14ac:dyDescent="0.25">
      <c r="A12" s="74"/>
      <c r="B12" s="37"/>
      <c r="C12" s="75"/>
      <c r="D12" s="23"/>
      <c r="E12" s="23">
        <f t="shared" ref="E12:AC12" si="5">E11-D11</f>
        <v>12026</v>
      </c>
      <c r="F12" s="23">
        <f t="shared" si="5"/>
        <v>13300</v>
      </c>
      <c r="G12" s="23">
        <f t="shared" si="5"/>
        <v>7643</v>
      </c>
      <c r="H12" s="23">
        <f t="shared" si="5"/>
        <v>6099</v>
      </c>
      <c r="I12" s="23">
        <f t="shared" si="5"/>
        <v>3082</v>
      </c>
      <c r="J12" s="23">
        <f t="shared" si="5"/>
        <v>3051</v>
      </c>
      <c r="K12" s="23">
        <f t="shared" si="5"/>
        <v>4725</v>
      </c>
      <c r="L12" s="23">
        <f t="shared" si="5"/>
        <v>6203</v>
      </c>
      <c r="M12" s="23">
        <f t="shared" si="5"/>
        <v>12031</v>
      </c>
      <c r="N12" s="23">
        <f t="shared" si="5"/>
        <v>8492</v>
      </c>
      <c r="O12" s="23">
        <f t="shared" si="5"/>
        <v>12569</v>
      </c>
      <c r="P12" s="23">
        <f t="shared" si="5"/>
        <v>1945</v>
      </c>
      <c r="Q12" s="23">
        <f t="shared" si="5"/>
        <v>1995</v>
      </c>
      <c r="R12" s="23">
        <f t="shared" si="5"/>
        <v>6523</v>
      </c>
      <c r="S12" s="23">
        <f t="shared" si="5"/>
        <v>1072</v>
      </c>
      <c r="T12" s="23">
        <f t="shared" si="5"/>
        <v>1733</v>
      </c>
      <c r="U12" s="23">
        <f t="shared" si="5"/>
        <v>3721</v>
      </c>
      <c r="V12" s="23">
        <f t="shared" si="5"/>
        <v>3809</v>
      </c>
      <c r="W12" s="23">
        <f t="shared" si="5"/>
        <v>1784</v>
      </c>
      <c r="X12" s="23">
        <f t="shared" si="5"/>
        <v>1197</v>
      </c>
      <c r="Y12" s="23">
        <f t="shared" si="5"/>
        <v>1151</v>
      </c>
      <c r="Z12" s="23">
        <f t="shared" si="5"/>
        <v>9105</v>
      </c>
      <c r="AA12" s="23">
        <f t="shared" si="5"/>
        <v>15232</v>
      </c>
      <c r="AB12" s="23">
        <f t="shared" si="5"/>
        <v>14824</v>
      </c>
      <c r="AC12" s="23">
        <f t="shared" si="5"/>
        <v>4818</v>
      </c>
      <c r="AD12" s="23">
        <f>AD11-AC11</f>
        <v>3454</v>
      </c>
      <c r="AE12" s="23">
        <f t="shared" ref="AE12:AI12" si="6">AE11-AD11</f>
        <v>3621</v>
      </c>
      <c r="AF12" s="23">
        <f t="shared" si="6"/>
        <v>3619</v>
      </c>
      <c r="AG12" s="23">
        <f t="shared" si="6"/>
        <v>3467</v>
      </c>
      <c r="AH12" s="23">
        <f t="shared" si="6"/>
        <v>2875</v>
      </c>
      <c r="AI12" s="23">
        <f t="shared" si="6"/>
        <v>2377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6">
        <v>7</v>
      </c>
      <c r="B13" s="39" t="s">
        <v>57</v>
      </c>
      <c r="C13" s="69" t="s">
        <v>58</v>
      </c>
      <c r="D13" s="40">
        <v>3188</v>
      </c>
      <c r="E13" s="40">
        <v>3188</v>
      </c>
      <c r="F13" s="40">
        <v>3188</v>
      </c>
      <c r="G13" s="40">
        <v>3188</v>
      </c>
      <c r="H13" s="40">
        <v>3192</v>
      </c>
      <c r="I13" s="40">
        <v>3192</v>
      </c>
      <c r="J13" s="40">
        <v>3192</v>
      </c>
      <c r="K13" s="40">
        <v>3192</v>
      </c>
      <c r="L13" s="40">
        <v>3192</v>
      </c>
      <c r="M13" s="40">
        <v>3192</v>
      </c>
      <c r="N13" s="40">
        <v>3192</v>
      </c>
      <c r="O13" s="40">
        <v>3202</v>
      </c>
      <c r="P13" s="40">
        <v>3202</v>
      </c>
      <c r="Q13" s="40">
        <v>3202</v>
      </c>
      <c r="R13" s="40">
        <v>3202</v>
      </c>
      <c r="S13" s="40">
        <v>3202</v>
      </c>
      <c r="T13" s="40">
        <v>3202</v>
      </c>
      <c r="U13" s="40">
        <v>3210</v>
      </c>
      <c r="V13" s="40">
        <v>3210</v>
      </c>
      <c r="W13" s="40">
        <v>3210</v>
      </c>
      <c r="X13" s="40">
        <v>3213</v>
      </c>
      <c r="Y13" s="40">
        <v>3213</v>
      </c>
      <c r="Z13" s="40">
        <v>3213</v>
      </c>
      <c r="AA13" s="40">
        <v>3213</v>
      </c>
      <c r="AB13" s="40">
        <v>3213</v>
      </c>
      <c r="AC13" s="40">
        <v>3213</v>
      </c>
      <c r="AD13" s="40">
        <v>3213</v>
      </c>
      <c r="AE13" s="40">
        <v>3213</v>
      </c>
      <c r="AF13" s="40">
        <v>3213</v>
      </c>
      <c r="AG13" s="40">
        <v>3213</v>
      </c>
      <c r="AH13" s="40">
        <v>3213</v>
      </c>
      <c r="AI13" s="40">
        <v>3213</v>
      </c>
    </row>
    <row r="14" spans="1:67" s="24" customFormat="1" ht="21.75" customHeight="1" thickBot="1" x14ac:dyDescent="0.25">
      <c r="A14" s="72"/>
      <c r="B14" s="41"/>
      <c r="C14" s="75"/>
      <c r="D14" s="42"/>
      <c r="E14" s="42">
        <f t="shared" ref="E14:AI14" si="7">E13-D13</f>
        <v>0</v>
      </c>
      <c r="F14" s="42">
        <f t="shared" si="7"/>
        <v>0</v>
      </c>
      <c r="G14" s="42">
        <v>0</v>
      </c>
      <c r="H14" s="42">
        <f t="shared" si="7"/>
        <v>4</v>
      </c>
      <c r="I14" s="42">
        <f t="shared" si="7"/>
        <v>0</v>
      </c>
      <c r="J14" s="42">
        <f t="shared" si="7"/>
        <v>0</v>
      </c>
      <c r="K14" s="42">
        <f t="shared" si="7"/>
        <v>0</v>
      </c>
      <c r="L14" s="42">
        <f t="shared" si="7"/>
        <v>0</v>
      </c>
      <c r="M14" s="42">
        <f t="shared" si="7"/>
        <v>0</v>
      </c>
      <c r="N14" s="42">
        <f t="shared" si="7"/>
        <v>0</v>
      </c>
      <c r="O14" s="42">
        <f t="shared" si="7"/>
        <v>10</v>
      </c>
      <c r="P14" s="42">
        <f t="shared" si="7"/>
        <v>0</v>
      </c>
      <c r="Q14" s="42">
        <f t="shared" si="7"/>
        <v>0</v>
      </c>
      <c r="R14" s="42">
        <f t="shared" si="7"/>
        <v>0</v>
      </c>
      <c r="S14" s="42">
        <f t="shared" si="7"/>
        <v>0</v>
      </c>
      <c r="T14" s="42">
        <f t="shared" si="7"/>
        <v>0</v>
      </c>
      <c r="U14" s="42">
        <f t="shared" si="7"/>
        <v>8</v>
      </c>
      <c r="V14" s="42">
        <f t="shared" si="7"/>
        <v>0</v>
      </c>
      <c r="W14" s="42">
        <f t="shared" si="7"/>
        <v>0</v>
      </c>
      <c r="X14" s="42">
        <f t="shared" si="7"/>
        <v>3</v>
      </c>
      <c r="Y14" s="42">
        <f t="shared" si="7"/>
        <v>0</v>
      </c>
      <c r="Z14" s="42">
        <f t="shared" si="7"/>
        <v>0</v>
      </c>
      <c r="AA14" s="42">
        <f t="shared" si="7"/>
        <v>0</v>
      </c>
      <c r="AB14" s="42">
        <f t="shared" si="7"/>
        <v>0</v>
      </c>
      <c r="AC14" s="42">
        <f t="shared" si="7"/>
        <v>0</v>
      </c>
      <c r="AD14" s="42">
        <f t="shared" si="7"/>
        <v>0</v>
      </c>
      <c r="AE14" s="42">
        <f t="shared" si="7"/>
        <v>0</v>
      </c>
      <c r="AF14" s="42">
        <f t="shared" si="7"/>
        <v>0</v>
      </c>
      <c r="AG14" s="42">
        <f t="shared" si="7"/>
        <v>0</v>
      </c>
      <c r="AH14" s="42">
        <f t="shared" si="7"/>
        <v>0</v>
      </c>
      <c r="AI14" s="42">
        <f t="shared" si="7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7">
        <v>8</v>
      </c>
      <c r="B15" s="39" t="s">
        <v>59</v>
      </c>
      <c r="C15" s="69" t="s">
        <v>60</v>
      </c>
      <c r="D15" s="40">
        <v>436</v>
      </c>
      <c r="E15" s="40">
        <v>437</v>
      </c>
      <c r="F15" s="40">
        <v>437</v>
      </c>
      <c r="G15" s="40">
        <v>437</v>
      </c>
      <c r="H15" s="40">
        <v>437</v>
      </c>
      <c r="I15" s="40">
        <v>437</v>
      </c>
      <c r="J15" s="40">
        <v>437</v>
      </c>
      <c r="K15" s="40">
        <v>437</v>
      </c>
      <c r="L15" s="40">
        <v>437</v>
      </c>
      <c r="M15" s="40">
        <v>437</v>
      </c>
      <c r="N15" s="40">
        <v>438</v>
      </c>
      <c r="O15" s="40">
        <v>444</v>
      </c>
      <c r="P15" s="40">
        <v>444</v>
      </c>
      <c r="Q15" s="40">
        <v>444</v>
      </c>
      <c r="R15" s="40">
        <v>444</v>
      </c>
      <c r="S15" s="40">
        <v>444</v>
      </c>
      <c r="T15" s="40">
        <v>444</v>
      </c>
      <c r="U15" s="40">
        <v>444</v>
      </c>
      <c r="V15" s="40">
        <v>444</v>
      </c>
      <c r="W15" s="40">
        <v>444</v>
      </c>
      <c r="X15" s="40">
        <v>444</v>
      </c>
      <c r="Y15" s="40">
        <v>444</v>
      </c>
      <c r="Z15" s="40">
        <v>444</v>
      </c>
      <c r="AA15" s="40">
        <v>444</v>
      </c>
      <c r="AB15" s="40">
        <v>445</v>
      </c>
      <c r="AC15" s="40">
        <v>445</v>
      </c>
      <c r="AD15" s="40">
        <v>445</v>
      </c>
      <c r="AE15" s="40">
        <v>445</v>
      </c>
      <c r="AF15" s="40">
        <v>445</v>
      </c>
      <c r="AG15" s="40">
        <v>445</v>
      </c>
      <c r="AH15" s="40">
        <v>445</v>
      </c>
      <c r="AI15" s="40">
        <v>445</v>
      </c>
    </row>
    <row r="16" spans="1:67" s="24" customFormat="1" ht="21.75" customHeight="1" thickBot="1" x14ac:dyDescent="0.25">
      <c r="A16" s="74"/>
      <c r="B16" s="41"/>
      <c r="C16" s="75"/>
      <c r="D16" s="42"/>
      <c r="E16" s="42">
        <f t="shared" ref="E16:AI16" si="8">E15-D15</f>
        <v>1</v>
      </c>
      <c r="F16" s="42">
        <f t="shared" si="8"/>
        <v>0</v>
      </c>
      <c r="G16" s="42">
        <f t="shared" si="8"/>
        <v>0</v>
      </c>
      <c r="H16" s="42">
        <f t="shared" si="8"/>
        <v>0</v>
      </c>
      <c r="I16" s="42">
        <f t="shared" si="8"/>
        <v>0</v>
      </c>
      <c r="J16" s="42">
        <f t="shared" si="8"/>
        <v>0</v>
      </c>
      <c r="K16" s="42">
        <f t="shared" si="8"/>
        <v>0</v>
      </c>
      <c r="L16" s="42">
        <f t="shared" si="8"/>
        <v>0</v>
      </c>
      <c r="M16" s="42">
        <f t="shared" si="8"/>
        <v>0</v>
      </c>
      <c r="N16" s="42">
        <f t="shared" si="8"/>
        <v>1</v>
      </c>
      <c r="O16" s="42">
        <f t="shared" si="8"/>
        <v>6</v>
      </c>
      <c r="P16" s="42">
        <f t="shared" si="8"/>
        <v>0</v>
      </c>
      <c r="Q16" s="42">
        <f t="shared" si="8"/>
        <v>0</v>
      </c>
      <c r="R16" s="42">
        <f t="shared" si="8"/>
        <v>0</v>
      </c>
      <c r="S16" s="42">
        <f t="shared" si="8"/>
        <v>0</v>
      </c>
      <c r="T16" s="42">
        <f t="shared" si="8"/>
        <v>0</v>
      </c>
      <c r="U16" s="42">
        <f t="shared" si="8"/>
        <v>0</v>
      </c>
      <c r="V16" s="42">
        <f t="shared" si="8"/>
        <v>0</v>
      </c>
      <c r="W16" s="42">
        <f t="shared" si="8"/>
        <v>0</v>
      </c>
      <c r="X16" s="42">
        <f t="shared" si="8"/>
        <v>0</v>
      </c>
      <c r="Y16" s="42">
        <f t="shared" si="8"/>
        <v>0</v>
      </c>
      <c r="Z16" s="42">
        <f t="shared" si="8"/>
        <v>0</v>
      </c>
      <c r="AA16" s="42">
        <f t="shared" si="8"/>
        <v>0</v>
      </c>
      <c r="AB16" s="42">
        <f t="shared" si="8"/>
        <v>1</v>
      </c>
      <c r="AC16" s="42">
        <f t="shared" si="8"/>
        <v>0</v>
      </c>
      <c r="AD16" s="42">
        <f t="shared" si="8"/>
        <v>0</v>
      </c>
      <c r="AE16" s="42">
        <f t="shared" si="8"/>
        <v>0</v>
      </c>
      <c r="AF16" s="42">
        <f t="shared" si="8"/>
        <v>0</v>
      </c>
      <c r="AG16" s="42">
        <f t="shared" si="8"/>
        <v>0</v>
      </c>
      <c r="AH16" s="42">
        <f t="shared" si="8"/>
        <v>0</v>
      </c>
      <c r="AI16" s="42">
        <f t="shared" si="8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7">
        <v>13</v>
      </c>
      <c r="B17" s="39" t="s">
        <v>61</v>
      </c>
      <c r="C17" s="69" t="s">
        <v>62</v>
      </c>
      <c r="D17" s="40">
        <v>1367840</v>
      </c>
      <c r="E17" s="40">
        <v>1368126</v>
      </c>
      <c r="F17" s="40">
        <v>1368408</v>
      </c>
      <c r="G17" s="40">
        <v>1368678</v>
      </c>
      <c r="H17" s="40">
        <v>1368994</v>
      </c>
      <c r="I17" s="40">
        <v>1369282</v>
      </c>
      <c r="J17" s="40">
        <v>1369652</v>
      </c>
      <c r="K17" s="40">
        <v>1369853</v>
      </c>
      <c r="L17" s="40">
        <v>1370145</v>
      </c>
      <c r="M17" s="40">
        <v>1370464</v>
      </c>
      <c r="N17" s="40">
        <v>1370769</v>
      </c>
      <c r="O17" s="40">
        <v>1371040</v>
      </c>
      <c r="P17" s="40">
        <v>1371333</v>
      </c>
      <c r="Q17" s="40">
        <v>1371592</v>
      </c>
      <c r="R17" s="40">
        <v>1371874</v>
      </c>
      <c r="S17" s="40">
        <v>1372153</v>
      </c>
      <c r="T17" s="40">
        <v>1372436</v>
      </c>
      <c r="U17" s="40">
        <v>1372713</v>
      </c>
      <c r="V17" s="40">
        <v>1372998</v>
      </c>
      <c r="W17" s="40">
        <v>1373312</v>
      </c>
      <c r="X17" s="40">
        <v>1373583</v>
      </c>
      <c r="Y17" s="40">
        <v>1373920</v>
      </c>
      <c r="Z17" s="40">
        <v>1374207</v>
      </c>
      <c r="AA17" s="40">
        <v>1374495</v>
      </c>
      <c r="AB17" s="40">
        <v>1374785</v>
      </c>
      <c r="AC17" s="40">
        <v>1375060</v>
      </c>
      <c r="AD17" s="40">
        <v>1375339</v>
      </c>
      <c r="AE17" s="40">
        <v>1375630</v>
      </c>
      <c r="AF17" s="40">
        <v>1375929</v>
      </c>
      <c r="AG17" s="40">
        <v>1376217</v>
      </c>
      <c r="AH17" s="40">
        <v>1376508</v>
      </c>
      <c r="AI17" s="40">
        <v>1376789</v>
      </c>
    </row>
    <row r="18" spans="1:35" ht="21.75" customHeight="1" thickBot="1" x14ac:dyDescent="0.25">
      <c r="A18" s="68"/>
      <c r="B18" s="43"/>
      <c r="C18" s="70"/>
      <c r="D18" s="42"/>
      <c r="E18" s="42">
        <f t="shared" ref="E18:AC18" si="9">E17-D17</f>
        <v>286</v>
      </c>
      <c r="F18" s="42">
        <f t="shared" si="9"/>
        <v>282</v>
      </c>
      <c r="G18" s="42">
        <f t="shared" si="9"/>
        <v>270</v>
      </c>
      <c r="H18" s="42">
        <f t="shared" si="9"/>
        <v>316</v>
      </c>
      <c r="I18" s="42">
        <f t="shared" si="9"/>
        <v>288</v>
      </c>
      <c r="J18" s="42">
        <f t="shared" si="9"/>
        <v>370</v>
      </c>
      <c r="K18" s="42">
        <f t="shared" si="9"/>
        <v>201</v>
      </c>
      <c r="L18" s="42">
        <f t="shared" si="9"/>
        <v>292</v>
      </c>
      <c r="M18" s="42">
        <f t="shared" si="9"/>
        <v>319</v>
      </c>
      <c r="N18" s="42">
        <f t="shared" si="9"/>
        <v>305</v>
      </c>
      <c r="O18" s="42">
        <f t="shared" si="9"/>
        <v>271</v>
      </c>
      <c r="P18" s="42">
        <f t="shared" si="9"/>
        <v>293</v>
      </c>
      <c r="Q18" s="42">
        <f t="shared" si="9"/>
        <v>259</v>
      </c>
      <c r="R18" s="42">
        <f t="shared" si="9"/>
        <v>282</v>
      </c>
      <c r="S18" s="42">
        <f t="shared" si="9"/>
        <v>279</v>
      </c>
      <c r="T18" s="42">
        <f t="shared" si="9"/>
        <v>283</v>
      </c>
      <c r="U18" s="42">
        <f t="shared" si="9"/>
        <v>277</v>
      </c>
      <c r="V18" s="42">
        <f t="shared" si="9"/>
        <v>285</v>
      </c>
      <c r="W18" s="42">
        <f t="shared" si="9"/>
        <v>314</v>
      </c>
      <c r="X18" s="42">
        <f t="shared" si="9"/>
        <v>271</v>
      </c>
      <c r="Y18" s="42">
        <f t="shared" si="9"/>
        <v>337</v>
      </c>
      <c r="Z18" s="42">
        <f t="shared" si="9"/>
        <v>287</v>
      </c>
      <c r="AA18" s="42">
        <f t="shared" si="9"/>
        <v>288</v>
      </c>
      <c r="AB18" s="42">
        <f t="shared" si="9"/>
        <v>290</v>
      </c>
      <c r="AC18" s="42">
        <f t="shared" si="9"/>
        <v>275</v>
      </c>
      <c r="AD18" s="42">
        <f>AD17-AC17</f>
        <v>279</v>
      </c>
      <c r="AE18" s="42">
        <f t="shared" ref="AE18:AI18" si="10">AE17-AD17</f>
        <v>291</v>
      </c>
      <c r="AF18" s="42">
        <f t="shared" si="10"/>
        <v>299</v>
      </c>
      <c r="AG18" s="42">
        <f t="shared" si="10"/>
        <v>288</v>
      </c>
      <c r="AH18" s="42">
        <f t="shared" si="10"/>
        <v>291</v>
      </c>
      <c r="AI18" s="42">
        <f t="shared" si="10"/>
        <v>281</v>
      </c>
    </row>
    <row r="19" spans="1:35" ht="21.75" customHeight="1" x14ac:dyDescent="0.2">
      <c r="A19" s="71">
        <v>14</v>
      </c>
      <c r="B19" s="39" t="s">
        <v>63</v>
      </c>
      <c r="C19" s="69" t="s">
        <v>64</v>
      </c>
      <c r="D19" s="40">
        <v>370199</v>
      </c>
      <c r="E19" s="40">
        <v>370245</v>
      </c>
      <c r="F19" s="40">
        <v>370292</v>
      </c>
      <c r="G19" s="40">
        <v>370341</v>
      </c>
      <c r="H19" s="40">
        <v>370388</v>
      </c>
      <c r="I19" s="40">
        <v>370435</v>
      </c>
      <c r="J19" s="40">
        <v>370484</v>
      </c>
      <c r="K19" s="40">
        <v>370530</v>
      </c>
      <c r="L19" s="40">
        <v>370580</v>
      </c>
      <c r="M19" s="40">
        <v>370629</v>
      </c>
      <c r="N19" s="40">
        <v>370678</v>
      </c>
      <c r="O19" s="40">
        <v>370724</v>
      </c>
      <c r="P19" s="40">
        <v>370775</v>
      </c>
      <c r="Q19" s="40">
        <v>370820</v>
      </c>
      <c r="R19" s="40">
        <v>370868</v>
      </c>
      <c r="S19" s="40">
        <v>370915</v>
      </c>
      <c r="T19" s="40">
        <v>370964</v>
      </c>
      <c r="U19" s="40">
        <v>371017</v>
      </c>
      <c r="V19" s="40">
        <v>371064</v>
      </c>
      <c r="W19" s="40">
        <v>371113</v>
      </c>
      <c r="X19" s="40">
        <v>371163</v>
      </c>
      <c r="Y19" s="40">
        <v>371211</v>
      </c>
      <c r="Z19" s="40">
        <v>371259</v>
      </c>
      <c r="AA19" s="40">
        <v>371308</v>
      </c>
      <c r="AB19" s="40">
        <v>371356</v>
      </c>
      <c r="AC19" s="40">
        <v>371402</v>
      </c>
      <c r="AD19" s="40">
        <v>371450</v>
      </c>
      <c r="AE19" s="40">
        <v>371492</v>
      </c>
      <c r="AF19" s="40">
        <v>371535</v>
      </c>
      <c r="AG19" s="40">
        <v>371579</v>
      </c>
      <c r="AH19" s="40">
        <v>371627</v>
      </c>
      <c r="AI19" s="40">
        <v>371674</v>
      </c>
    </row>
    <row r="20" spans="1:35" ht="21.75" customHeight="1" thickBot="1" x14ac:dyDescent="0.25">
      <c r="A20" s="72"/>
      <c r="B20" s="43"/>
      <c r="C20" s="70"/>
      <c r="D20" s="42"/>
      <c r="E20" s="42">
        <f t="shared" ref="E20:AC20" si="11">E19-D19</f>
        <v>46</v>
      </c>
      <c r="F20" s="42">
        <f t="shared" si="11"/>
        <v>47</v>
      </c>
      <c r="G20" s="42">
        <f t="shared" si="11"/>
        <v>49</v>
      </c>
      <c r="H20" s="42">
        <f t="shared" si="11"/>
        <v>47</v>
      </c>
      <c r="I20" s="42">
        <f>I19-H19</f>
        <v>47</v>
      </c>
      <c r="J20" s="42">
        <f t="shared" si="11"/>
        <v>49</v>
      </c>
      <c r="K20" s="42">
        <f t="shared" si="11"/>
        <v>46</v>
      </c>
      <c r="L20" s="42">
        <f t="shared" si="11"/>
        <v>50</v>
      </c>
      <c r="M20" s="42">
        <f t="shared" si="11"/>
        <v>49</v>
      </c>
      <c r="N20" s="42">
        <f t="shared" si="11"/>
        <v>49</v>
      </c>
      <c r="O20" s="42">
        <f t="shared" si="11"/>
        <v>46</v>
      </c>
      <c r="P20" s="42">
        <f t="shared" si="11"/>
        <v>51</v>
      </c>
      <c r="Q20" s="42">
        <f t="shared" si="11"/>
        <v>45</v>
      </c>
      <c r="R20" s="42">
        <f t="shared" si="11"/>
        <v>48</v>
      </c>
      <c r="S20" s="42">
        <f t="shared" si="11"/>
        <v>47</v>
      </c>
      <c r="T20" s="42">
        <f t="shared" si="11"/>
        <v>49</v>
      </c>
      <c r="U20" s="42">
        <f t="shared" si="11"/>
        <v>53</v>
      </c>
      <c r="V20" s="42">
        <f t="shared" si="11"/>
        <v>47</v>
      </c>
      <c r="W20" s="42">
        <f t="shared" si="11"/>
        <v>49</v>
      </c>
      <c r="X20" s="42">
        <f t="shared" si="11"/>
        <v>50</v>
      </c>
      <c r="Y20" s="42">
        <f t="shared" si="11"/>
        <v>48</v>
      </c>
      <c r="Z20" s="42">
        <f t="shared" si="11"/>
        <v>48</v>
      </c>
      <c r="AA20" s="42">
        <f t="shared" si="11"/>
        <v>49</v>
      </c>
      <c r="AB20" s="42">
        <f t="shared" si="11"/>
        <v>48</v>
      </c>
      <c r="AC20" s="42">
        <f t="shared" si="11"/>
        <v>46</v>
      </c>
      <c r="AD20" s="42">
        <f>AD19-AC19</f>
        <v>48</v>
      </c>
      <c r="AE20" s="42">
        <f t="shared" ref="AE20:AI20" si="12">AE19-AD19</f>
        <v>42</v>
      </c>
      <c r="AF20" s="42">
        <f t="shared" si="12"/>
        <v>43</v>
      </c>
      <c r="AG20" s="42">
        <f t="shared" si="12"/>
        <v>44</v>
      </c>
      <c r="AH20" s="42">
        <f t="shared" si="12"/>
        <v>48</v>
      </c>
      <c r="AI20" s="42">
        <f t="shared" si="12"/>
        <v>47</v>
      </c>
    </row>
    <row r="21" spans="1:35" ht="27" customHeight="1" x14ac:dyDescent="0.3">
      <c r="B21" s="73" t="s">
        <v>65</v>
      </c>
      <c r="C21" s="73"/>
      <c r="D21" s="44"/>
      <c r="E21" s="59">
        <f>((E6+E8)+((E10+E12)*40%)+(E14+E16+E18+E20))</f>
        <v>31405.800000000003</v>
      </c>
      <c r="F21" s="59">
        <f t="shared" ref="F21:AI21" si="13">((F6+F8)+((F10+F12)*40%)+(F14+F16+F18+F20))</f>
        <v>31079.599999999999</v>
      </c>
      <c r="G21" s="59">
        <f t="shared" si="13"/>
        <v>31024.800000000003</v>
      </c>
      <c r="H21" s="59">
        <f t="shared" si="13"/>
        <v>31478.400000000001</v>
      </c>
      <c r="I21" s="59">
        <f t="shared" si="13"/>
        <v>30404.2</v>
      </c>
      <c r="J21" s="59">
        <f t="shared" si="13"/>
        <v>31325.4</v>
      </c>
      <c r="K21" s="59">
        <f t="shared" si="13"/>
        <v>30375</v>
      </c>
      <c r="L21" s="59">
        <f t="shared" si="13"/>
        <v>30735.4</v>
      </c>
      <c r="M21" s="59">
        <f t="shared" si="13"/>
        <v>29295</v>
      </c>
      <c r="N21" s="59">
        <f t="shared" si="13"/>
        <v>29000</v>
      </c>
      <c r="O21" s="59">
        <f t="shared" si="13"/>
        <v>29217.200000000001</v>
      </c>
      <c r="P21" s="59">
        <f t="shared" si="13"/>
        <v>26206.6</v>
      </c>
      <c r="Q21" s="59">
        <f t="shared" si="13"/>
        <v>27163.200000000001</v>
      </c>
      <c r="R21" s="59">
        <f t="shared" si="13"/>
        <v>28379</v>
      </c>
      <c r="S21" s="59">
        <f t="shared" si="13"/>
        <v>28216.6</v>
      </c>
      <c r="T21" s="59">
        <f t="shared" si="13"/>
        <v>29247.200000000001</v>
      </c>
      <c r="U21" s="59">
        <f t="shared" si="13"/>
        <v>28038.799999999999</v>
      </c>
      <c r="V21" s="59">
        <f t="shared" si="13"/>
        <v>32326.2</v>
      </c>
      <c r="W21" s="59">
        <f t="shared" si="13"/>
        <v>30116.2</v>
      </c>
      <c r="X21" s="59">
        <f t="shared" si="13"/>
        <v>29239.8</v>
      </c>
      <c r="Y21" s="59">
        <f t="shared" si="13"/>
        <v>28405.200000000001</v>
      </c>
      <c r="Z21" s="59">
        <f t="shared" si="13"/>
        <v>29013.599999999999</v>
      </c>
      <c r="AA21" s="59">
        <f t="shared" si="13"/>
        <v>28721.200000000001</v>
      </c>
      <c r="AB21" s="59">
        <f t="shared" si="13"/>
        <v>28187.599999999999</v>
      </c>
      <c r="AC21" s="59">
        <f t="shared" si="13"/>
        <v>26248</v>
      </c>
      <c r="AD21" s="59">
        <f t="shared" si="13"/>
        <v>29714.800000000003</v>
      </c>
      <c r="AE21" s="59">
        <f t="shared" si="13"/>
        <v>29093</v>
      </c>
      <c r="AF21" s="59">
        <f t="shared" si="13"/>
        <v>29391.200000000001</v>
      </c>
      <c r="AG21" s="59">
        <f t="shared" si="13"/>
        <v>28569.200000000001</v>
      </c>
      <c r="AH21" s="59">
        <f t="shared" si="13"/>
        <v>29097.200000000001</v>
      </c>
      <c r="AI21" s="59">
        <f t="shared" si="13"/>
        <v>30017.4</v>
      </c>
    </row>
    <row r="22" spans="1:35" ht="27" customHeight="1" x14ac:dyDescent="0.3">
      <c r="B22" s="66" t="s">
        <v>66</v>
      </c>
      <c r="C22" s="66"/>
      <c r="D22" s="44"/>
      <c r="E22" s="59">
        <f>SUM(E21:AI21)</f>
        <v>910732.7999999997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ht="27" customHeight="1" x14ac:dyDescent="0.2">
      <c r="B23" s="26" t="s">
        <v>88</v>
      </c>
      <c r="E23" s="14">
        <v>901175.8</v>
      </c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7" sqref="E17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9" t="s">
        <v>77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78</v>
      </c>
      <c r="AH4" s="29" t="s">
        <v>79</v>
      </c>
      <c r="AI4" s="29" t="s">
        <v>80</v>
      </c>
    </row>
    <row r="5" spans="1:42" s="8" customFormat="1" ht="40.5" customHeight="1" thickBot="1" x14ac:dyDescent="0.3">
      <c r="A5" s="92" t="s">
        <v>20</v>
      </c>
      <c r="B5" s="27" t="s">
        <v>48</v>
      </c>
      <c r="C5" s="94" t="s">
        <v>49</v>
      </c>
      <c r="D5" s="31">
        <v>75364</v>
      </c>
      <c r="E5" s="31">
        <v>75626</v>
      </c>
      <c r="F5" s="31">
        <v>75875</v>
      </c>
      <c r="G5" s="31">
        <v>76094</v>
      </c>
      <c r="H5" s="31">
        <v>76303</v>
      </c>
      <c r="I5" s="31">
        <v>76543</v>
      </c>
      <c r="J5" s="31">
        <v>76715</v>
      </c>
      <c r="K5" s="31">
        <v>76950</v>
      </c>
      <c r="L5" s="31">
        <v>77152</v>
      </c>
      <c r="M5" s="31">
        <v>77356</v>
      </c>
      <c r="N5" s="31">
        <v>77562</v>
      </c>
      <c r="O5" s="31">
        <v>77777</v>
      </c>
      <c r="P5" s="31">
        <v>78000</v>
      </c>
      <c r="Q5" s="31">
        <v>78213</v>
      </c>
      <c r="R5" s="31">
        <v>78415</v>
      </c>
      <c r="S5" s="31">
        <v>78604</v>
      </c>
      <c r="T5" s="31">
        <v>78815</v>
      </c>
      <c r="U5" s="31">
        <v>79042</v>
      </c>
      <c r="V5" s="31">
        <v>79265</v>
      </c>
      <c r="W5" s="31">
        <v>79513</v>
      </c>
      <c r="X5" s="31">
        <v>79754</v>
      </c>
      <c r="Y5" s="31">
        <v>79978</v>
      </c>
      <c r="Z5" s="31">
        <v>80214</v>
      </c>
      <c r="AA5" s="31">
        <v>80452</v>
      </c>
      <c r="AB5" s="31">
        <v>80722</v>
      </c>
      <c r="AC5" s="31">
        <v>80990</v>
      </c>
      <c r="AD5" s="31">
        <v>81265</v>
      </c>
      <c r="AE5" s="31">
        <v>81558</v>
      </c>
      <c r="AF5" s="31">
        <v>81832</v>
      </c>
      <c r="AG5" s="31">
        <v>82120</v>
      </c>
      <c r="AH5" s="31">
        <v>82393</v>
      </c>
      <c r="AI5" s="31">
        <v>82662</v>
      </c>
    </row>
    <row r="6" spans="1:42" s="34" customFormat="1" ht="25.7" customHeight="1" thickBot="1" x14ac:dyDescent="0.3">
      <c r="A6" s="93"/>
      <c r="B6" s="32"/>
      <c r="C6" s="94"/>
      <c r="D6" s="33"/>
      <c r="E6" s="33">
        <f>E5-D5</f>
        <v>262</v>
      </c>
      <c r="F6" s="33">
        <f t="shared" ref="F6:AI6" si="0">F5-E5</f>
        <v>249</v>
      </c>
      <c r="G6" s="33">
        <f t="shared" si="0"/>
        <v>219</v>
      </c>
      <c r="H6" s="33">
        <f t="shared" si="0"/>
        <v>209</v>
      </c>
      <c r="I6" s="33">
        <f t="shared" si="0"/>
        <v>240</v>
      </c>
      <c r="J6" s="33">
        <f t="shared" si="0"/>
        <v>172</v>
      </c>
      <c r="K6" s="33">
        <f t="shared" si="0"/>
        <v>235</v>
      </c>
      <c r="L6" s="33">
        <f t="shared" si="0"/>
        <v>202</v>
      </c>
      <c r="M6" s="33">
        <f t="shared" si="0"/>
        <v>204</v>
      </c>
      <c r="N6" s="33">
        <f t="shared" si="0"/>
        <v>206</v>
      </c>
      <c r="O6" s="33">
        <f t="shared" si="0"/>
        <v>215</v>
      </c>
      <c r="P6" s="33">
        <f t="shared" si="0"/>
        <v>223</v>
      </c>
      <c r="Q6" s="33">
        <f t="shared" si="0"/>
        <v>213</v>
      </c>
      <c r="R6" s="33">
        <f t="shared" si="0"/>
        <v>202</v>
      </c>
      <c r="S6" s="33">
        <f t="shared" si="0"/>
        <v>189</v>
      </c>
      <c r="T6" s="33">
        <f t="shared" si="0"/>
        <v>211</v>
      </c>
      <c r="U6" s="33">
        <f>U5-T5</f>
        <v>227</v>
      </c>
      <c r="V6" s="33">
        <f t="shared" si="0"/>
        <v>223</v>
      </c>
      <c r="W6" s="33">
        <f t="shared" si="0"/>
        <v>248</v>
      </c>
      <c r="X6" s="33">
        <f t="shared" si="0"/>
        <v>241</v>
      </c>
      <c r="Y6" s="33">
        <f t="shared" si="0"/>
        <v>224</v>
      </c>
      <c r="Z6" s="33">
        <f t="shared" si="0"/>
        <v>236</v>
      </c>
      <c r="AA6" s="33">
        <f t="shared" si="0"/>
        <v>238</v>
      </c>
      <c r="AB6" s="33">
        <f t="shared" si="0"/>
        <v>270</v>
      </c>
      <c r="AC6" s="33">
        <f t="shared" si="0"/>
        <v>268</v>
      </c>
      <c r="AD6" s="33">
        <f t="shared" si="0"/>
        <v>275</v>
      </c>
      <c r="AE6" s="33">
        <f t="shared" si="0"/>
        <v>293</v>
      </c>
      <c r="AF6" s="33">
        <f t="shared" si="0"/>
        <v>274</v>
      </c>
      <c r="AG6" s="33">
        <f t="shared" si="0"/>
        <v>288</v>
      </c>
      <c r="AH6" s="33">
        <f t="shared" si="0"/>
        <v>273</v>
      </c>
      <c r="AI6" s="33">
        <f t="shared" si="0"/>
        <v>269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2" t="s">
        <v>22</v>
      </c>
      <c r="B7" s="49" t="s">
        <v>69</v>
      </c>
      <c r="C7" s="94" t="s">
        <v>70</v>
      </c>
      <c r="D7" s="31">
        <v>399734.1</v>
      </c>
      <c r="E7" s="31">
        <v>399750.2</v>
      </c>
      <c r="F7" s="31">
        <v>399768.1</v>
      </c>
      <c r="G7" s="31">
        <v>399780.2</v>
      </c>
      <c r="H7" s="31">
        <v>399798.2</v>
      </c>
      <c r="I7" s="31">
        <v>399816.7</v>
      </c>
      <c r="J7" s="31">
        <v>399831.6</v>
      </c>
      <c r="K7" s="31">
        <v>399847.2</v>
      </c>
      <c r="L7" s="31">
        <v>399862.2</v>
      </c>
      <c r="M7" s="31">
        <v>399878.1</v>
      </c>
      <c r="N7" s="31">
        <v>399899.1</v>
      </c>
      <c r="O7" s="31">
        <v>399903.3</v>
      </c>
      <c r="P7" s="31">
        <v>399922.6</v>
      </c>
      <c r="Q7" s="31">
        <v>399935.2</v>
      </c>
      <c r="R7" s="31">
        <v>399952.1</v>
      </c>
      <c r="S7" s="31">
        <v>399964</v>
      </c>
      <c r="T7" s="31">
        <v>399984.1</v>
      </c>
      <c r="U7" s="31">
        <v>400003.2</v>
      </c>
      <c r="V7" s="31">
        <v>400024.1</v>
      </c>
      <c r="W7" s="31">
        <v>400045.2</v>
      </c>
      <c r="X7" s="31">
        <v>400058</v>
      </c>
      <c r="Y7" s="31">
        <v>400073.1</v>
      </c>
      <c r="Z7" s="31">
        <v>400087</v>
      </c>
      <c r="AA7" s="31">
        <v>400101.5</v>
      </c>
      <c r="AB7" s="31">
        <v>400109.5</v>
      </c>
      <c r="AC7" s="31">
        <v>400121.3</v>
      </c>
      <c r="AD7" s="31">
        <v>400135.4</v>
      </c>
      <c r="AE7" s="31">
        <v>400146.2</v>
      </c>
      <c r="AF7" s="31">
        <v>400164.3</v>
      </c>
      <c r="AG7" s="31">
        <v>400175.1</v>
      </c>
      <c r="AH7" s="31">
        <v>400187.6</v>
      </c>
      <c r="AI7" s="31">
        <v>400202.8</v>
      </c>
    </row>
    <row r="8" spans="1:42" s="34" customFormat="1" ht="25.7" customHeight="1" thickBot="1" x14ac:dyDescent="0.3">
      <c r="A8" s="93"/>
      <c r="B8" s="47"/>
      <c r="C8" s="94"/>
      <c r="D8" s="33"/>
      <c r="E8" s="33">
        <f>E7-D7</f>
        <v>16.100000000034925</v>
      </c>
      <c r="F8" s="33">
        <f t="shared" ref="F8:AI8" si="1">F7-E7</f>
        <v>17.899999999965075</v>
      </c>
      <c r="G8" s="33">
        <f t="shared" si="1"/>
        <v>12.100000000034925</v>
      </c>
      <c r="H8" s="33">
        <f t="shared" si="1"/>
        <v>18</v>
      </c>
      <c r="I8" s="33">
        <f t="shared" si="1"/>
        <v>18.5</v>
      </c>
      <c r="J8" s="33">
        <f t="shared" si="1"/>
        <v>14.899999999965075</v>
      </c>
      <c r="K8" s="33">
        <f t="shared" si="1"/>
        <v>15.600000000034925</v>
      </c>
      <c r="L8" s="33">
        <f t="shared" si="1"/>
        <v>15</v>
      </c>
      <c r="M8" s="33">
        <f t="shared" si="1"/>
        <v>15.899999999965075</v>
      </c>
      <c r="N8" s="33">
        <f t="shared" si="1"/>
        <v>21</v>
      </c>
      <c r="O8" s="33">
        <f t="shared" si="1"/>
        <v>4.2000000000116415</v>
      </c>
      <c r="P8" s="33">
        <f>P7-O7</f>
        <v>19.299999999988358</v>
      </c>
      <c r="Q8" s="33">
        <f t="shared" si="1"/>
        <v>12.600000000034925</v>
      </c>
      <c r="R8" s="33">
        <f t="shared" si="1"/>
        <v>16.899999999965075</v>
      </c>
      <c r="S8" s="33">
        <f t="shared" si="1"/>
        <v>11.900000000023283</v>
      </c>
      <c r="T8" s="33">
        <f t="shared" si="1"/>
        <v>20.099999999976717</v>
      </c>
      <c r="U8" s="33">
        <f t="shared" si="1"/>
        <v>19.100000000034925</v>
      </c>
      <c r="V8" s="33">
        <f t="shared" si="1"/>
        <v>20.899999999965075</v>
      </c>
      <c r="W8" s="33">
        <f t="shared" si="1"/>
        <v>21.100000000034925</v>
      </c>
      <c r="X8" s="33">
        <f t="shared" si="1"/>
        <v>12.799999999988358</v>
      </c>
      <c r="Y8" s="33">
        <f t="shared" si="1"/>
        <v>15.099999999976717</v>
      </c>
      <c r="Z8" s="33">
        <f t="shared" si="1"/>
        <v>13.900000000023283</v>
      </c>
      <c r="AA8" s="33">
        <f t="shared" si="1"/>
        <v>14.5</v>
      </c>
      <c r="AB8" s="33">
        <f t="shared" si="1"/>
        <v>8</v>
      </c>
      <c r="AC8" s="33">
        <f t="shared" si="1"/>
        <v>11.799999999988358</v>
      </c>
      <c r="AD8" s="33">
        <f>AD7-AC7</f>
        <v>14.100000000034925</v>
      </c>
      <c r="AE8" s="33">
        <f t="shared" si="1"/>
        <v>10.799999999988358</v>
      </c>
      <c r="AF8" s="33">
        <f t="shared" si="1"/>
        <v>18.099999999976717</v>
      </c>
      <c r="AG8" s="33">
        <f t="shared" si="1"/>
        <v>10.799999999988358</v>
      </c>
      <c r="AH8" s="33">
        <f t="shared" si="1"/>
        <v>12.5</v>
      </c>
      <c r="AI8" s="33">
        <f t="shared" si="1"/>
        <v>15.200000000011642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2">
        <v>4</v>
      </c>
      <c r="B9" s="46" t="s">
        <v>67</v>
      </c>
      <c r="C9" s="94" t="s">
        <v>68</v>
      </c>
      <c r="D9" s="31">
        <v>71874</v>
      </c>
      <c r="E9" s="31">
        <v>71874</v>
      </c>
      <c r="F9" s="31">
        <v>71885</v>
      </c>
      <c r="G9" s="31">
        <v>71885</v>
      </c>
      <c r="H9" s="31">
        <v>71898</v>
      </c>
      <c r="I9" s="31">
        <v>71918</v>
      </c>
      <c r="J9" s="31">
        <v>71918</v>
      </c>
      <c r="K9" s="31">
        <v>71922</v>
      </c>
      <c r="L9" s="31">
        <v>71922</v>
      </c>
      <c r="M9" s="31">
        <v>71928</v>
      </c>
      <c r="N9" s="31">
        <v>71928</v>
      </c>
      <c r="O9" s="31">
        <v>71928</v>
      </c>
      <c r="P9" s="31">
        <v>71952</v>
      </c>
      <c r="Q9" s="31">
        <v>71952</v>
      </c>
      <c r="R9" s="31">
        <v>71988</v>
      </c>
      <c r="S9" s="31">
        <v>71988</v>
      </c>
      <c r="T9" s="31">
        <v>72037</v>
      </c>
      <c r="U9" s="31">
        <v>72037</v>
      </c>
      <c r="V9" s="31">
        <v>72039</v>
      </c>
      <c r="W9" s="31">
        <v>72039</v>
      </c>
      <c r="X9" s="31">
        <v>72039</v>
      </c>
      <c r="Y9" s="31">
        <v>72039</v>
      </c>
      <c r="Z9" s="31">
        <v>72039</v>
      </c>
      <c r="AA9" s="64">
        <v>72039</v>
      </c>
      <c r="AB9" s="31">
        <v>72039</v>
      </c>
      <c r="AC9" s="31">
        <v>72039</v>
      </c>
      <c r="AD9" s="31">
        <v>72039</v>
      </c>
      <c r="AE9" s="31">
        <v>72040</v>
      </c>
      <c r="AF9" s="31">
        <v>72043</v>
      </c>
      <c r="AG9" s="31">
        <v>72043</v>
      </c>
      <c r="AH9" s="31">
        <v>72043</v>
      </c>
      <c r="AI9" s="31">
        <v>72043</v>
      </c>
    </row>
    <row r="10" spans="1:42" s="34" customFormat="1" ht="25.7" customHeight="1" thickBot="1" x14ac:dyDescent="0.3">
      <c r="A10" s="93"/>
      <c r="B10" s="47"/>
      <c r="C10" s="94"/>
      <c r="D10" s="33"/>
      <c r="E10" s="33">
        <f>E9-D9</f>
        <v>0</v>
      </c>
      <c r="F10" s="33">
        <f t="shared" ref="F10:AI10" si="2">F9-E9</f>
        <v>11</v>
      </c>
      <c r="G10" s="33">
        <f t="shared" si="2"/>
        <v>0</v>
      </c>
      <c r="H10" s="33">
        <f t="shared" si="2"/>
        <v>13</v>
      </c>
      <c r="I10" s="33">
        <f t="shared" si="2"/>
        <v>20</v>
      </c>
      <c r="J10" s="33">
        <f t="shared" si="2"/>
        <v>0</v>
      </c>
      <c r="K10" s="33">
        <f t="shared" si="2"/>
        <v>4</v>
      </c>
      <c r="L10" s="33">
        <f t="shared" si="2"/>
        <v>0</v>
      </c>
      <c r="M10" s="33">
        <f t="shared" si="2"/>
        <v>6</v>
      </c>
      <c r="N10" s="33">
        <f t="shared" si="2"/>
        <v>0</v>
      </c>
      <c r="O10" s="33">
        <f t="shared" si="2"/>
        <v>0</v>
      </c>
      <c r="P10" s="33">
        <f>P9-O9</f>
        <v>24</v>
      </c>
      <c r="Q10" s="33">
        <f t="shared" si="2"/>
        <v>0</v>
      </c>
      <c r="R10" s="33">
        <f t="shared" si="2"/>
        <v>36</v>
      </c>
      <c r="S10" s="33">
        <f t="shared" si="2"/>
        <v>0</v>
      </c>
      <c r="T10" s="33">
        <f t="shared" si="2"/>
        <v>49</v>
      </c>
      <c r="U10" s="33">
        <f t="shared" si="2"/>
        <v>0</v>
      </c>
      <c r="V10" s="65">
        <f t="shared" si="2"/>
        <v>2</v>
      </c>
      <c r="W10" s="65">
        <f t="shared" si="2"/>
        <v>0</v>
      </c>
      <c r="X10" s="65">
        <f t="shared" si="2"/>
        <v>0</v>
      </c>
      <c r="Y10" s="65">
        <f t="shared" si="2"/>
        <v>0</v>
      </c>
      <c r="Z10" s="65">
        <f t="shared" si="2"/>
        <v>0</v>
      </c>
      <c r="AA10" s="33">
        <f t="shared" si="2"/>
        <v>0</v>
      </c>
      <c r="AB10" s="33">
        <f t="shared" si="2"/>
        <v>0</v>
      </c>
      <c r="AC10" s="33">
        <f t="shared" si="2"/>
        <v>0</v>
      </c>
      <c r="AD10" s="33">
        <f>AD9-AC9</f>
        <v>0</v>
      </c>
      <c r="AE10" s="33">
        <f t="shared" si="2"/>
        <v>1</v>
      </c>
      <c r="AF10" s="33">
        <f t="shared" si="2"/>
        <v>3</v>
      </c>
      <c r="AG10" s="33">
        <f t="shared" si="2"/>
        <v>0</v>
      </c>
      <c r="AH10" s="33">
        <f t="shared" si="2"/>
        <v>0</v>
      </c>
      <c r="AI10" s="33">
        <f t="shared" si="2"/>
        <v>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5">
        <v>5</v>
      </c>
      <c r="B11" s="27">
        <v>68864837</v>
      </c>
      <c r="C11" s="94" t="s">
        <v>74</v>
      </c>
      <c r="D11" s="31">
        <v>1725.337</v>
      </c>
      <c r="E11" s="31">
        <v>1726.6310000000001</v>
      </c>
      <c r="F11" s="31">
        <v>1728.21</v>
      </c>
      <c r="G11" s="31">
        <v>1729.375</v>
      </c>
      <c r="H11" s="31">
        <v>1731.0820000000001</v>
      </c>
      <c r="I11" s="31">
        <v>1732.8620000000001</v>
      </c>
      <c r="J11" s="31">
        <v>1734.5419999999999</v>
      </c>
      <c r="K11" s="31">
        <v>1735.9780000000001</v>
      </c>
      <c r="L11" s="31">
        <v>1737.7070000000001</v>
      </c>
      <c r="M11" s="31">
        <v>1739.626</v>
      </c>
      <c r="N11" s="31">
        <v>1742.8530000000001</v>
      </c>
      <c r="O11" s="31">
        <v>1745.164</v>
      </c>
      <c r="P11" s="31">
        <v>1747.203</v>
      </c>
      <c r="Q11" s="31">
        <v>1749.2539999999999</v>
      </c>
      <c r="R11" s="31">
        <v>1750.9670000000001</v>
      </c>
      <c r="S11" s="31">
        <v>1752.49</v>
      </c>
      <c r="T11" s="31">
        <v>1753.2449999999999</v>
      </c>
      <c r="U11" s="31">
        <v>1754.471</v>
      </c>
      <c r="V11" s="31">
        <v>1755.5219999999999</v>
      </c>
      <c r="W11" s="31">
        <v>1757.105</v>
      </c>
      <c r="X11" s="31">
        <v>1758.404</v>
      </c>
      <c r="Y11" s="31">
        <v>1759.894</v>
      </c>
      <c r="Z11" s="31">
        <v>1760.943</v>
      </c>
      <c r="AA11" s="31">
        <v>1762.2550000000001</v>
      </c>
      <c r="AB11" s="31">
        <v>1763.377</v>
      </c>
      <c r="AC11" s="31">
        <v>1765.5509999999999</v>
      </c>
      <c r="AD11" s="31">
        <v>1767.423</v>
      </c>
      <c r="AE11" s="31">
        <v>1770.2670000000001</v>
      </c>
      <c r="AF11" s="31">
        <v>1770.989</v>
      </c>
      <c r="AG11" s="31">
        <v>1772.1279999999999</v>
      </c>
      <c r="AH11" s="31">
        <v>1772.991</v>
      </c>
      <c r="AI11" s="31">
        <v>1774.2260000000001</v>
      </c>
    </row>
    <row r="12" spans="1:42" s="8" customFormat="1" ht="25.7" customHeight="1" thickBot="1" x14ac:dyDescent="0.3">
      <c r="A12" s="96"/>
      <c r="B12" s="48"/>
      <c r="C12" s="94"/>
      <c r="D12" s="33"/>
      <c r="E12" s="33">
        <f>E11-D11</f>
        <v>1.2940000000000964</v>
      </c>
      <c r="F12" s="33">
        <f t="shared" ref="F12:AI14" si="3">F11-E11</f>
        <v>1.5789999999999509</v>
      </c>
      <c r="G12" s="33">
        <f t="shared" si="3"/>
        <v>1.1649999999999636</v>
      </c>
      <c r="H12" s="33">
        <f t="shared" si="3"/>
        <v>1.7070000000001073</v>
      </c>
      <c r="I12" s="33">
        <f t="shared" si="3"/>
        <v>1.7799999999999727</v>
      </c>
      <c r="J12" s="33">
        <f t="shared" si="3"/>
        <v>1.6799999999998363</v>
      </c>
      <c r="K12" s="33">
        <f t="shared" si="3"/>
        <v>1.4360000000001492</v>
      </c>
      <c r="L12" s="33">
        <f t="shared" si="3"/>
        <v>1.7290000000000418</v>
      </c>
      <c r="M12" s="33">
        <f t="shared" si="3"/>
        <v>1.918999999999869</v>
      </c>
      <c r="N12" s="33">
        <f t="shared" si="3"/>
        <v>3.2270000000000891</v>
      </c>
      <c r="O12" s="33">
        <f t="shared" si="3"/>
        <v>2.3109999999999218</v>
      </c>
      <c r="P12" s="33">
        <f>P11-O11</f>
        <v>2.0389999999999873</v>
      </c>
      <c r="Q12" s="33">
        <f t="shared" si="3"/>
        <v>2.0509999999999309</v>
      </c>
      <c r="R12" s="33">
        <f t="shared" si="3"/>
        <v>1.7130000000001928</v>
      </c>
      <c r="S12" s="33">
        <f t="shared" si="3"/>
        <v>1.5229999999999109</v>
      </c>
      <c r="T12" s="33">
        <f t="shared" si="3"/>
        <v>0.75499999999988177</v>
      </c>
      <c r="U12" s="33">
        <f t="shared" si="3"/>
        <v>1.2260000000001128</v>
      </c>
      <c r="V12" s="33">
        <f t="shared" si="3"/>
        <v>1.0509999999999309</v>
      </c>
      <c r="W12" s="33">
        <f t="shared" si="3"/>
        <v>1.5830000000000837</v>
      </c>
      <c r="X12" s="33">
        <f t="shared" si="3"/>
        <v>1.2989999999999782</v>
      </c>
      <c r="Y12" s="33">
        <f t="shared" si="3"/>
        <v>1.4900000000000091</v>
      </c>
      <c r="Z12" s="33">
        <f t="shared" si="3"/>
        <v>1.0489999999999782</v>
      </c>
      <c r="AA12" s="33">
        <f t="shared" si="3"/>
        <v>1.3120000000001255</v>
      </c>
      <c r="AB12" s="33">
        <f t="shared" si="3"/>
        <v>1.1219999999998436</v>
      </c>
      <c r="AC12" s="33">
        <f t="shared" si="3"/>
        <v>2.1739999999999782</v>
      </c>
      <c r="AD12" s="33">
        <f>AD11-AC11</f>
        <v>1.8720000000000709</v>
      </c>
      <c r="AE12" s="33">
        <f t="shared" si="3"/>
        <v>2.8440000000000509</v>
      </c>
      <c r="AF12" s="33">
        <f t="shared" si="3"/>
        <v>0.72199999999997999</v>
      </c>
      <c r="AG12" s="33">
        <f t="shared" si="3"/>
        <v>1.1389999999998963</v>
      </c>
      <c r="AH12" s="33">
        <f t="shared" si="3"/>
        <v>0.86300000000005639</v>
      </c>
      <c r="AI12" s="33">
        <f t="shared" si="3"/>
        <v>1.2350000000001273</v>
      </c>
    </row>
    <row r="13" spans="1:42" s="8" customFormat="1" ht="25.7" customHeight="1" thickBot="1" x14ac:dyDescent="0.3">
      <c r="A13" s="95">
        <v>6</v>
      </c>
      <c r="B13" s="27">
        <v>65296485</v>
      </c>
      <c r="C13" s="94" t="s">
        <v>73</v>
      </c>
      <c r="D13" s="31">
        <v>2099.0129999999999</v>
      </c>
      <c r="E13" s="31">
        <v>2100.3470000000002</v>
      </c>
      <c r="F13" s="31">
        <v>2102.357</v>
      </c>
      <c r="G13" s="31">
        <v>2105.7689999999998</v>
      </c>
      <c r="H13" s="31">
        <v>2105.7689999999998</v>
      </c>
      <c r="I13" s="31">
        <v>2108.5949999999998</v>
      </c>
      <c r="J13" s="31">
        <v>2109.2649999999999</v>
      </c>
      <c r="K13" s="31">
        <v>2111.1350000000002</v>
      </c>
      <c r="L13" s="31">
        <v>2111.7710000000002</v>
      </c>
      <c r="M13" s="31">
        <v>2112.808</v>
      </c>
      <c r="N13" s="31">
        <v>2114.011</v>
      </c>
      <c r="O13" s="31">
        <v>2114.8519999999999</v>
      </c>
      <c r="P13" s="31">
        <v>2115.989</v>
      </c>
      <c r="Q13" s="31">
        <v>2121.067</v>
      </c>
      <c r="R13" s="31">
        <v>2123.6260000000002</v>
      </c>
      <c r="S13" s="31">
        <v>2124.6149999999998</v>
      </c>
      <c r="T13" s="31">
        <v>2127.1</v>
      </c>
      <c r="U13" s="31">
        <v>2128.1439999999998</v>
      </c>
      <c r="V13" s="31">
        <v>2129.3040000000001</v>
      </c>
      <c r="W13" s="31">
        <v>2132.125</v>
      </c>
      <c r="X13" s="31">
        <v>2133.1860000000001</v>
      </c>
      <c r="Y13" s="31">
        <v>2134.0920000000001</v>
      </c>
      <c r="Z13" s="31">
        <v>2137.8290000000002</v>
      </c>
      <c r="AA13" s="31">
        <v>2139.806</v>
      </c>
      <c r="AB13" s="31">
        <v>2140.6590000000001</v>
      </c>
      <c r="AC13" s="31">
        <v>2143.44</v>
      </c>
      <c r="AD13" s="31">
        <v>2145.2359999999999</v>
      </c>
      <c r="AE13" s="31">
        <v>2146.5059999999999</v>
      </c>
      <c r="AF13" s="31">
        <v>2147.8510000000001</v>
      </c>
      <c r="AG13" s="31">
        <v>2149.7159999999999</v>
      </c>
      <c r="AH13" s="31">
        <v>2151.9349999999999</v>
      </c>
      <c r="AI13" s="31">
        <v>2155.2730000000001</v>
      </c>
    </row>
    <row r="14" spans="1:42" s="8" customFormat="1" ht="25.7" customHeight="1" thickBot="1" x14ac:dyDescent="0.3">
      <c r="A14" s="96"/>
      <c r="B14" s="48"/>
      <c r="C14" s="94"/>
      <c r="D14" s="33"/>
      <c r="E14" s="33">
        <f>E13-D13</f>
        <v>1.3340000000002874</v>
      </c>
      <c r="F14" s="33">
        <f t="shared" ref="F14:AH14" si="4">F13-E13</f>
        <v>2.0099999999997635</v>
      </c>
      <c r="G14" s="33">
        <f t="shared" si="4"/>
        <v>3.4119999999998072</v>
      </c>
      <c r="H14" s="33">
        <f t="shared" si="4"/>
        <v>0</v>
      </c>
      <c r="I14" s="33">
        <f t="shared" si="4"/>
        <v>2.8260000000000218</v>
      </c>
      <c r="J14" s="33">
        <f t="shared" si="4"/>
        <v>0.67000000000007276</v>
      </c>
      <c r="K14" s="33">
        <f t="shared" si="4"/>
        <v>1.8700000000003456</v>
      </c>
      <c r="L14" s="33">
        <f t="shared" si="4"/>
        <v>0.63599999999996726</v>
      </c>
      <c r="M14" s="33">
        <f t="shared" si="4"/>
        <v>1.0369999999998072</v>
      </c>
      <c r="N14" s="33">
        <f t="shared" si="4"/>
        <v>1.2029999999999745</v>
      </c>
      <c r="O14" s="33">
        <f t="shared" si="4"/>
        <v>0.8409999999998945</v>
      </c>
      <c r="P14" s="33">
        <f>P13-O13</f>
        <v>1.137000000000171</v>
      </c>
      <c r="Q14" s="33">
        <f t="shared" si="4"/>
        <v>5.0779999999999745</v>
      </c>
      <c r="R14" s="33">
        <f t="shared" si="4"/>
        <v>2.5590000000001965</v>
      </c>
      <c r="S14" s="33">
        <f t="shared" si="4"/>
        <v>0.98899999999957799</v>
      </c>
      <c r="T14" s="33">
        <f t="shared" si="4"/>
        <v>2.4850000000001273</v>
      </c>
      <c r="U14" s="33">
        <f t="shared" si="4"/>
        <v>1.043999999999869</v>
      </c>
      <c r="V14" s="33">
        <f t="shared" si="4"/>
        <v>1.1600000000003092</v>
      </c>
      <c r="W14" s="33">
        <f t="shared" si="4"/>
        <v>2.8209999999999127</v>
      </c>
      <c r="X14" s="33">
        <f t="shared" si="4"/>
        <v>1.0610000000001492</v>
      </c>
      <c r="Y14" s="33">
        <f t="shared" si="4"/>
        <v>0.90599999999994907</v>
      </c>
      <c r="Z14" s="33">
        <f t="shared" si="4"/>
        <v>3.73700000000008</v>
      </c>
      <c r="AA14" s="33">
        <f t="shared" si="4"/>
        <v>1.9769999999998618</v>
      </c>
      <c r="AB14" s="33">
        <f t="shared" si="4"/>
        <v>0.85300000000006548</v>
      </c>
      <c r="AC14" s="33">
        <f t="shared" si="4"/>
        <v>2.7809999999999491</v>
      </c>
      <c r="AD14" s="33">
        <f>AD13-AC13</f>
        <v>1.7959999999998217</v>
      </c>
      <c r="AE14" s="33">
        <f t="shared" si="4"/>
        <v>1.2699999999999818</v>
      </c>
      <c r="AF14" s="33">
        <f t="shared" si="4"/>
        <v>1.3450000000002547</v>
      </c>
      <c r="AG14" s="33">
        <f t="shared" si="4"/>
        <v>1.8649999999997817</v>
      </c>
      <c r="AH14" s="33">
        <f t="shared" si="4"/>
        <v>2.2190000000000509</v>
      </c>
      <c r="AI14" s="33">
        <f t="shared" si="3"/>
        <v>3.3380000000001928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8" t="s">
        <v>71</v>
      </c>
      <c r="C15" s="88"/>
      <c r="D15" s="50"/>
      <c r="E15" s="58">
        <f>E6+((E8*45%)+(E10*45%)+(E12+E14))</f>
        <v>271.87300000001608</v>
      </c>
      <c r="F15" s="58">
        <f t="shared" ref="F15:AI15" si="5">F6+((F8*45%)+(F10*45%)+(F12+F14))</f>
        <v>265.59399999998402</v>
      </c>
      <c r="G15" s="58">
        <f t="shared" si="5"/>
        <v>229.02200000001548</v>
      </c>
      <c r="H15" s="58">
        <f t="shared" si="5"/>
        <v>224.6570000000001</v>
      </c>
      <c r="I15" s="58">
        <f t="shared" si="5"/>
        <v>261.93099999999998</v>
      </c>
      <c r="J15" s="58">
        <f t="shared" si="5"/>
        <v>181.0549999999842</v>
      </c>
      <c r="K15" s="58">
        <f t="shared" si="5"/>
        <v>247.12600000001621</v>
      </c>
      <c r="L15" s="58">
        <f t="shared" si="5"/>
        <v>211.11500000000001</v>
      </c>
      <c r="M15" s="58">
        <f t="shared" si="5"/>
        <v>216.81099999998395</v>
      </c>
      <c r="N15" s="58">
        <f t="shared" si="5"/>
        <v>219.88000000000005</v>
      </c>
      <c r="O15" s="58">
        <f t="shared" si="5"/>
        <v>220.04200000000506</v>
      </c>
      <c r="P15" s="58">
        <f t="shared" si="5"/>
        <v>245.66099999999491</v>
      </c>
      <c r="Q15" s="58">
        <f t="shared" si="5"/>
        <v>225.79900000001561</v>
      </c>
      <c r="R15" s="58">
        <f t="shared" si="5"/>
        <v>230.07699999998468</v>
      </c>
      <c r="S15" s="58">
        <f t="shared" si="5"/>
        <v>196.86700000000997</v>
      </c>
      <c r="T15" s="58">
        <f t="shared" si="5"/>
        <v>245.33499999998952</v>
      </c>
      <c r="U15" s="58">
        <f t="shared" si="5"/>
        <v>237.8650000000157</v>
      </c>
      <c r="V15" s="58">
        <f t="shared" si="5"/>
        <v>235.51599999998453</v>
      </c>
      <c r="W15" s="58">
        <f t="shared" si="5"/>
        <v>261.89900000001569</v>
      </c>
      <c r="X15" s="58">
        <f t="shared" si="5"/>
        <v>249.11999999999489</v>
      </c>
      <c r="Y15" s="58">
        <f t="shared" si="5"/>
        <v>233.19099999998949</v>
      </c>
      <c r="Z15" s="58">
        <f t="shared" si="5"/>
        <v>247.04100000001054</v>
      </c>
      <c r="AA15" s="58">
        <f t="shared" si="5"/>
        <v>247.81399999999999</v>
      </c>
      <c r="AB15" s="58">
        <f t="shared" si="5"/>
        <v>275.57499999999993</v>
      </c>
      <c r="AC15" s="58">
        <f t="shared" si="5"/>
        <v>278.2649999999947</v>
      </c>
      <c r="AD15" s="58">
        <f t="shared" si="5"/>
        <v>285.01300000001561</v>
      </c>
      <c r="AE15" s="58">
        <f t="shared" si="5"/>
        <v>302.42399999999481</v>
      </c>
      <c r="AF15" s="58">
        <f t="shared" si="5"/>
        <v>285.56199999998978</v>
      </c>
      <c r="AG15" s="58">
        <f t="shared" si="5"/>
        <v>295.86399999999446</v>
      </c>
      <c r="AH15" s="58">
        <f t="shared" si="5"/>
        <v>281.70700000000011</v>
      </c>
      <c r="AI15" s="58">
        <f t="shared" si="5"/>
        <v>280.41300000000558</v>
      </c>
    </row>
    <row r="16" spans="1:42" ht="33" customHeight="1" x14ac:dyDescent="0.25">
      <c r="B16" s="87" t="s">
        <v>72</v>
      </c>
      <c r="C16" s="87"/>
      <c r="D16" s="50"/>
      <c r="E16" s="58">
        <f>SUM(E15:AI15)</f>
        <v>7690.114000000005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5" ht="70.5" customHeight="1" x14ac:dyDescent="0.25">
      <c r="B17" s="8" t="s">
        <v>88</v>
      </c>
      <c r="E17" s="8">
        <v>8847</v>
      </c>
    </row>
    <row r="21" spans="2:5" s="2" customFormat="1" ht="70.5" customHeight="1" x14ac:dyDescent="0.25"/>
    <row r="22" spans="2:5" s="2" customFormat="1" ht="70.5" customHeight="1" x14ac:dyDescent="0.25"/>
    <row r="23" spans="2:5" s="2" customFormat="1" ht="70.5" customHeight="1" x14ac:dyDescent="0.25"/>
    <row r="24" spans="2:5" s="2" customFormat="1" ht="70.5" customHeight="1" x14ac:dyDescent="0.25"/>
    <row r="25" spans="2:5" s="2" customFormat="1" ht="70.5" customHeight="1" x14ac:dyDescent="0.25"/>
    <row r="26" spans="2:5" s="2" customFormat="1" ht="70.5" customHeight="1" x14ac:dyDescent="0.25"/>
    <row r="27" spans="2:5" s="2" customFormat="1" ht="70.5" customHeight="1" x14ac:dyDescent="0.25"/>
    <row r="28" spans="2:5" s="2" customFormat="1" ht="70.5" customHeight="1" x14ac:dyDescent="0.25"/>
    <row r="29" spans="2:5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6"/>
  <sheetViews>
    <sheetView zoomScaleNormal="100" workbookViewId="0">
      <pane ySplit="3" topLeftCell="A24" activePane="bottomLeft" state="frozen"/>
      <selection pane="bottomLeft" activeCell="C36" sqref="C36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98" t="s">
        <v>86</v>
      </c>
      <c r="B1" s="98"/>
      <c r="C1" s="98"/>
    </row>
    <row r="3" spans="1:7" ht="48" x14ac:dyDescent="0.25">
      <c r="A3" s="51" t="s">
        <v>19</v>
      </c>
      <c r="B3" s="52">
        <v>73459</v>
      </c>
      <c r="C3" s="53"/>
    </row>
    <row r="4" spans="1:7" ht="28.5" customHeight="1" x14ac:dyDescent="0.25">
      <c r="A4" s="54">
        <v>1</v>
      </c>
      <c r="B4" s="52"/>
      <c r="C4" s="53">
        <v>2370</v>
      </c>
    </row>
    <row r="5" spans="1:7" ht="28.5" customHeight="1" x14ac:dyDescent="0.25">
      <c r="A5" s="54">
        <v>2</v>
      </c>
      <c r="B5" s="52"/>
      <c r="C5" s="53">
        <v>2369</v>
      </c>
    </row>
    <row r="6" spans="1:7" ht="28.5" customHeight="1" x14ac:dyDescent="0.25">
      <c r="A6" s="55">
        <v>3</v>
      </c>
      <c r="B6" s="52"/>
      <c r="C6" s="53">
        <v>2369</v>
      </c>
    </row>
    <row r="7" spans="1:7" ht="28.5" customHeight="1" x14ac:dyDescent="0.25">
      <c r="A7" s="54">
        <v>4</v>
      </c>
      <c r="B7" s="52"/>
      <c r="C7" s="53">
        <v>2369</v>
      </c>
    </row>
    <row r="8" spans="1:7" ht="28.5" customHeight="1" x14ac:dyDescent="0.25">
      <c r="A8" s="54">
        <v>5</v>
      </c>
      <c r="B8" s="52"/>
      <c r="C8" s="53">
        <v>2369</v>
      </c>
    </row>
    <row r="9" spans="1:7" ht="28.5" customHeight="1" x14ac:dyDescent="0.25">
      <c r="A9" s="54">
        <v>6</v>
      </c>
      <c r="B9" s="52"/>
      <c r="C9" s="53">
        <v>2369</v>
      </c>
      <c r="G9" t="s">
        <v>75</v>
      </c>
    </row>
    <row r="10" spans="1:7" ht="28.5" customHeight="1" x14ac:dyDescent="0.25">
      <c r="A10" s="54">
        <v>7</v>
      </c>
      <c r="B10" s="52"/>
      <c r="C10" s="53">
        <v>2369</v>
      </c>
    </row>
    <row r="11" spans="1:7" ht="28.5" customHeight="1" x14ac:dyDescent="0.25">
      <c r="A11" s="54">
        <v>8</v>
      </c>
      <c r="B11" s="52"/>
      <c r="C11" s="53">
        <v>2369</v>
      </c>
    </row>
    <row r="12" spans="1:7" ht="28.5" customHeight="1" x14ac:dyDescent="0.25">
      <c r="A12" s="54">
        <v>9</v>
      </c>
      <c r="B12" s="52"/>
      <c r="C12" s="53">
        <v>2369</v>
      </c>
    </row>
    <row r="13" spans="1:7" ht="28.5" customHeight="1" x14ac:dyDescent="0.25">
      <c r="A13" s="54">
        <v>10</v>
      </c>
      <c r="B13" s="52"/>
      <c r="C13" s="53">
        <v>2369</v>
      </c>
    </row>
    <row r="14" spans="1:7" ht="28.5" customHeight="1" x14ac:dyDescent="0.25">
      <c r="A14" s="54">
        <v>11</v>
      </c>
      <c r="B14" s="52"/>
      <c r="C14" s="53">
        <v>2370</v>
      </c>
    </row>
    <row r="15" spans="1:7" ht="28.5" customHeight="1" x14ac:dyDescent="0.25">
      <c r="A15" s="54">
        <v>12</v>
      </c>
      <c r="B15" s="52"/>
      <c r="C15" s="53">
        <v>2370</v>
      </c>
    </row>
    <row r="16" spans="1:7" ht="28.5" customHeight="1" x14ac:dyDescent="0.25">
      <c r="A16" s="54">
        <v>13</v>
      </c>
      <c r="B16" s="52"/>
      <c r="C16" s="53">
        <v>2370</v>
      </c>
    </row>
    <row r="17" spans="1:4" ht="28.5" customHeight="1" x14ac:dyDescent="0.25">
      <c r="A17" s="54">
        <v>14</v>
      </c>
      <c r="B17" s="52"/>
      <c r="C17" s="53">
        <v>2370</v>
      </c>
    </row>
    <row r="18" spans="1:4" ht="28.5" customHeight="1" x14ac:dyDescent="0.25">
      <c r="A18" s="54">
        <v>15</v>
      </c>
      <c r="B18" s="52"/>
      <c r="C18" s="53">
        <v>2370</v>
      </c>
    </row>
    <row r="19" spans="1:4" ht="28.5" customHeight="1" x14ac:dyDescent="0.25">
      <c r="A19" s="54">
        <v>16</v>
      </c>
      <c r="B19" s="52"/>
      <c r="C19" s="53">
        <v>2370</v>
      </c>
    </row>
    <row r="20" spans="1:4" ht="28.5" customHeight="1" x14ac:dyDescent="0.25">
      <c r="A20" s="54">
        <v>17</v>
      </c>
      <c r="B20" s="52"/>
      <c r="C20" s="53">
        <v>2370</v>
      </c>
    </row>
    <row r="21" spans="1:4" ht="28.5" customHeight="1" x14ac:dyDescent="0.25">
      <c r="A21" s="54">
        <v>18</v>
      </c>
      <c r="B21" s="52"/>
      <c r="C21" s="53">
        <v>2370</v>
      </c>
    </row>
    <row r="22" spans="1:4" ht="28.5" customHeight="1" x14ac:dyDescent="0.25">
      <c r="A22" s="54">
        <v>19</v>
      </c>
      <c r="B22" s="52"/>
      <c r="C22" s="53">
        <v>2370</v>
      </c>
    </row>
    <row r="23" spans="1:4" ht="28.5" customHeight="1" x14ac:dyDescent="0.25">
      <c r="A23" s="54">
        <v>20</v>
      </c>
      <c r="B23" s="52"/>
      <c r="C23" s="53">
        <v>2370</v>
      </c>
    </row>
    <row r="24" spans="1:4" ht="28.5" customHeight="1" x14ac:dyDescent="0.25">
      <c r="A24" s="54">
        <v>21</v>
      </c>
      <c r="B24" s="52"/>
      <c r="C24" s="53">
        <v>2370</v>
      </c>
    </row>
    <row r="25" spans="1:4" ht="28.5" customHeight="1" x14ac:dyDescent="0.25">
      <c r="A25" s="54">
        <v>22</v>
      </c>
      <c r="B25" s="52"/>
      <c r="C25" s="53">
        <v>2370</v>
      </c>
    </row>
    <row r="26" spans="1:4" ht="28.5" customHeight="1" x14ac:dyDescent="0.25">
      <c r="A26" s="54">
        <v>23</v>
      </c>
      <c r="B26" s="52"/>
      <c r="C26" s="53">
        <v>2370</v>
      </c>
    </row>
    <row r="27" spans="1:4" ht="28.5" customHeight="1" x14ac:dyDescent="0.25">
      <c r="A27" s="54">
        <v>24</v>
      </c>
      <c r="B27" s="52"/>
      <c r="C27" s="53">
        <v>2370</v>
      </c>
    </row>
    <row r="28" spans="1:4" ht="28.5" customHeight="1" x14ac:dyDescent="0.25">
      <c r="A28" s="54">
        <v>25</v>
      </c>
      <c r="B28" s="52"/>
      <c r="C28" s="53">
        <v>2370</v>
      </c>
      <c r="D28" s="56"/>
    </row>
    <row r="29" spans="1:4" ht="28.5" customHeight="1" x14ac:dyDescent="0.25">
      <c r="A29" s="54">
        <v>26</v>
      </c>
      <c r="B29" s="52"/>
      <c r="C29" s="53">
        <v>2370</v>
      </c>
      <c r="D29" s="56"/>
    </row>
    <row r="30" spans="1:4" ht="28.5" customHeight="1" x14ac:dyDescent="0.25">
      <c r="A30" s="54">
        <v>27</v>
      </c>
      <c r="B30" s="52"/>
      <c r="C30" s="53">
        <v>2370</v>
      </c>
    </row>
    <row r="31" spans="1:4" ht="28.5" customHeight="1" x14ac:dyDescent="0.25">
      <c r="A31" s="54">
        <v>28</v>
      </c>
      <c r="B31" s="52"/>
      <c r="C31" s="53">
        <v>2370</v>
      </c>
    </row>
    <row r="32" spans="1:4" ht="28.5" customHeight="1" x14ac:dyDescent="0.25">
      <c r="A32" s="54">
        <v>29</v>
      </c>
      <c r="B32" s="52"/>
      <c r="C32" s="53">
        <v>2369</v>
      </c>
    </row>
    <row r="33" spans="1:3" ht="28.5" customHeight="1" x14ac:dyDescent="0.25">
      <c r="A33" s="54">
        <v>30</v>
      </c>
      <c r="B33" s="52"/>
      <c r="C33" s="53">
        <v>2369</v>
      </c>
    </row>
    <row r="34" spans="1:3" ht="28.5" customHeight="1" x14ac:dyDescent="0.25">
      <c r="A34" s="54">
        <v>31</v>
      </c>
      <c r="B34" s="52"/>
      <c r="C34" s="53">
        <v>2370</v>
      </c>
    </row>
    <row r="35" spans="1:3" x14ac:dyDescent="0.25">
      <c r="A35" s="97" t="s">
        <v>76</v>
      </c>
      <c r="B35" s="97"/>
      <c r="C35" s="57">
        <f>SUM(C4:C34)</f>
        <v>73459</v>
      </c>
    </row>
    <row r="36" spans="1:3" x14ac:dyDescent="0.25">
      <c r="A36" t="s">
        <v>88</v>
      </c>
      <c r="C36">
        <v>73458.679999999993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20" workbookViewId="0">
      <selection activeCell="B19" sqref="B19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9" t="s">
        <v>87</v>
      </c>
      <c r="B1" s="99"/>
      <c r="C1" s="99"/>
    </row>
    <row r="2" spans="1:3" ht="24.95" customHeight="1" x14ac:dyDescent="0.25">
      <c r="A2" s="60" t="s">
        <v>83</v>
      </c>
      <c r="B2" s="60" t="s">
        <v>81</v>
      </c>
      <c r="C2" s="60" t="s">
        <v>82</v>
      </c>
    </row>
    <row r="3" spans="1:3" ht="24.95" customHeight="1" x14ac:dyDescent="0.25">
      <c r="A3" s="61">
        <v>45292</v>
      </c>
      <c r="B3" s="62">
        <v>349</v>
      </c>
      <c r="C3" s="62">
        <v>657</v>
      </c>
    </row>
    <row r="4" spans="1:3" ht="24.95" customHeight="1" x14ac:dyDescent="0.25">
      <c r="A4" s="61">
        <v>45293</v>
      </c>
      <c r="B4" s="62">
        <v>367</v>
      </c>
      <c r="C4" s="62">
        <v>668</v>
      </c>
    </row>
    <row r="5" spans="1:3" ht="24.95" customHeight="1" x14ac:dyDescent="0.25">
      <c r="A5" s="61">
        <v>45294</v>
      </c>
      <c r="B5" s="62">
        <v>337</v>
      </c>
      <c r="C5" s="62">
        <v>601</v>
      </c>
    </row>
    <row r="6" spans="1:3" ht="24.95" customHeight="1" x14ac:dyDescent="0.25">
      <c r="A6" s="61">
        <v>45295</v>
      </c>
      <c r="B6" s="62">
        <v>330</v>
      </c>
      <c r="C6" s="62">
        <v>570</v>
      </c>
    </row>
    <row r="7" spans="1:3" ht="24.95" customHeight="1" x14ac:dyDescent="0.25">
      <c r="A7" s="61">
        <v>45296</v>
      </c>
      <c r="B7" s="62">
        <v>312</v>
      </c>
      <c r="C7" s="62">
        <v>556</v>
      </c>
    </row>
    <row r="8" spans="1:3" ht="24.95" customHeight="1" x14ac:dyDescent="0.25">
      <c r="A8" s="61">
        <v>45297</v>
      </c>
      <c r="B8" s="62">
        <v>304</v>
      </c>
      <c r="C8" s="62">
        <v>548</v>
      </c>
    </row>
    <row r="9" spans="1:3" ht="24.95" customHeight="1" x14ac:dyDescent="0.25">
      <c r="A9" s="61">
        <v>45298</v>
      </c>
      <c r="B9" s="62">
        <v>322</v>
      </c>
      <c r="C9" s="62">
        <v>508</v>
      </c>
    </row>
    <row r="10" spans="1:3" ht="24.95" customHeight="1" x14ac:dyDescent="0.25">
      <c r="A10" s="61">
        <v>45299</v>
      </c>
      <c r="B10" s="62">
        <v>348</v>
      </c>
      <c r="C10" s="62">
        <v>527</v>
      </c>
    </row>
    <row r="11" spans="1:3" ht="24.95" customHeight="1" x14ac:dyDescent="0.25">
      <c r="A11" s="61">
        <v>45300</v>
      </c>
      <c r="B11" s="62">
        <v>389</v>
      </c>
      <c r="C11" s="62">
        <v>605</v>
      </c>
    </row>
    <row r="12" spans="1:3" ht="24.95" customHeight="1" x14ac:dyDescent="0.25">
      <c r="A12" s="61">
        <v>45301</v>
      </c>
      <c r="B12" s="62">
        <v>372</v>
      </c>
      <c r="C12" s="62">
        <v>585</v>
      </c>
    </row>
    <row r="13" spans="1:3" ht="24.95" customHeight="1" x14ac:dyDescent="0.25">
      <c r="A13" s="61">
        <v>45302</v>
      </c>
      <c r="B13" s="62">
        <v>424</v>
      </c>
      <c r="C13" s="62">
        <v>709</v>
      </c>
    </row>
    <row r="14" spans="1:3" ht="24.95" customHeight="1" x14ac:dyDescent="0.25">
      <c r="A14" s="61">
        <v>45303</v>
      </c>
      <c r="B14" s="62">
        <v>323</v>
      </c>
      <c r="C14" s="62">
        <v>526</v>
      </c>
    </row>
    <row r="15" spans="1:3" ht="24.95" customHeight="1" x14ac:dyDescent="0.25">
      <c r="A15" s="61">
        <v>45304</v>
      </c>
      <c r="B15" s="62">
        <v>310</v>
      </c>
      <c r="C15" s="62">
        <v>478</v>
      </c>
    </row>
    <row r="16" spans="1:3" ht="24.95" customHeight="1" x14ac:dyDescent="0.25">
      <c r="A16" s="61">
        <v>45305</v>
      </c>
      <c r="B16" s="62">
        <v>320</v>
      </c>
      <c r="C16" s="62">
        <v>449</v>
      </c>
    </row>
    <row r="17" spans="1:3" ht="24.95" customHeight="1" x14ac:dyDescent="0.25">
      <c r="A17" s="61">
        <v>45306</v>
      </c>
      <c r="B17" s="62">
        <v>357</v>
      </c>
      <c r="C17" s="62">
        <v>501</v>
      </c>
    </row>
    <row r="18" spans="1:3" ht="24.95" customHeight="1" x14ac:dyDescent="0.25">
      <c r="A18" s="61">
        <v>45307</v>
      </c>
      <c r="B18" s="62">
        <v>412</v>
      </c>
      <c r="C18" s="62">
        <v>606</v>
      </c>
    </row>
    <row r="19" spans="1:3" ht="24.95" customHeight="1" x14ac:dyDescent="0.25">
      <c r="A19" s="61">
        <v>45308</v>
      </c>
      <c r="B19" s="62">
        <v>422</v>
      </c>
      <c r="C19" s="62">
        <v>622</v>
      </c>
    </row>
    <row r="20" spans="1:3" ht="24.95" customHeight="1" x14ac:dyDescent="0.25">
      <c r="A20" s="61">
        <v>45309</v>
      </c>
      <c r="B20" s="62">
        <v>407</v>
      </c>
      <c r="C20" s="62">
        <v>633</v>
      </c>
    </row>
    <row r="21" spans="1:3" ht="24.95" customHeight="1" x14ac:dyDescent="0.25">
      <c r="A21" s="61">
        <v>45310</v>
      </c>
      <c r="B21" s="62">
        <v>436</v>
      </c>
      <c r="C21" s="62">
        <v>715</v>
      </c>
    </row>
    <row r="22" spans="1:3" ht="24.95" customHeight="1" x14ac:dyDescent="0.25">
      <c r="A22" s="61">
        <v>45311</v>
      </c>
      <c r="B22" s="62">
        <v>406</v>
      </c>
      <c r="C22" s="62">
        <v>631</v>
      </c>
    </row>
    <row r="23" spans="1:3" ht="24.95" customHeight="1" x14ac:dyDescent="0.25">
      <c r="A23" s="61">
        <v>45312</v>
      </c>
      <c r="B23" s="62">
        <v>423</v>
      </c>
      <c r="C23" s="62">
        <v>638</v>
      </c>
    </row>
    <row r="24" spans="1:3" ht="24.95" customHeight="1" x14ac:dyDescent="0.25">
      <c r="A24" s="61">
        <v>45313</v>
      </c>
      <c r="B24" s="62">
        <v>481</v>
      </c>
      <c r="C24" s="62">
        <v>723</v>
      </c>
    </row>
    <row r="25" spans="1:3" ht="24.95" customHeight="1" x14ac:dyDescent="0.25">
      <c r="A25" s="61">
        <v>45314</v>
      </c>
      <c r="B25" s="62">
        <v>486</v>
      </c>
      <c r="C25" s="62">
        <v>704</v>
      </c>
    </row>
    <row r="26" spans="1:3" ht="24.95" customHeight="1" x14ac:dyDescent="0.25">
      <c r="A26" s="61">
        <v>45315</v>
      </c>
      <c r="B26" s="62">
        <v>484</v>
      </c>
      <c r="C26" s="62">
        <v>704</v>
      </c>
    </row>
    <row r="27" spans="1:3" ht="24.95" customHeight="1" x14ac:dyDescent="0.25">
      <c r="A27" s="61">
        <v>45316</v>
      </c>
      <c r="B27" s="62">
        <v>482</v>
      </c>
      <c r="C27" s="62">
        <v>718</v>
      </c>
    </row>
    <row r="28" spans="1:3" ht="24.95" customHeight="1" x14ac:dyDescent="0.25">
      <c r="A28" s="61">
        <v>45317</v>
      </c>
      <c r="B28" s="62">
        <v>475</v>
      </c>
      <c r="C28" s="62">
        <v>749</v>
      </c>
    </row>
    <row r="29" spans="1:3" ht="24.95" customHeight="1" x14ac:dyDescent="0.25">
      <c r="A29" s="61">
        <v>45318</v>
      </c>
      <c r="B29" s="62">
        <v>420</v>
      </c>
      <c r="C29" s="62">
        <v>667</v>
      </c>
    </row>
    <row r="30" spans="1:3" ht="24.95" customHeight="1" x14ac:dyDescent="0.25">
      <c r="A30" s="61">
        <v>45319</v>
      </c>
      <c r="B30" s="62">
        <v>470</v>
      </c>
      <c r="C30" s="62">
        <v>761</v>
      </c>
    </row>
    <row r="31" spans="1:3" ht="24.95" customHeight="1" x14ac:dyDescent="0.25">
      <c r="A31" s="61">
        <v>45320</v>
      </c>
      <c r="B31" s="62">
        <v>467</v>
      </c>
      <c r="C31" s="62">
        <v>740</v>
      </c>
    </row>
    <row r="32" spans="1:3" ht="24.95" customHeight="1" x14ac:dyDescent="0.25">
      <c r="A32" s="61">
        <v>45321</v>
      </c>
      <c r="B32" s="62">
        <v>473</v>
      </c>
      <c r="C32" s="62">
        <v>751</v>
      </c>
    </row>
    <row r="33" spans="1:3" ht="24.95" customHeight="1" x14ac:dyDescent="0.25">
      <c r="A33" s="61">
        <v>45322</v>
      </c>
      <c r="B33" s="62">
        <v>454</v>
      </c>
      <c r="C33" s="62">
        <v>725</v>
      </c>
    </row>
    <row r="34" spans="1:3" ht="30.75" customHeight="1" x14ac:dyDescent="0.25">
      <c r="A34" s="60" t="s">
        <v>84</v>
      </c>
      <c r="B34" s="63">
        <f>SUM(B3:B33)</f>
        <v>12362</v>
      </c>
      <c r="C34" s="63">
        <f>SUM(C3:C33)</f>
        <v>19575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2025-06-23T11:36:41Z</dcterms:modified>
</cp:coreProperties>
</file>