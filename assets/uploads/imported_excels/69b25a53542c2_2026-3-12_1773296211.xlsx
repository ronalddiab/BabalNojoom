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Desktop/HEP 2025 - Liwa &amp; Mugheria/LIWA/HEP Daily Bateen Liwa 2026/"/>
    </mc:Choice>
  </mc:AlternateContent>
  <xr:revisionPtr revIDLastSave="252" documentId="13_ncr:1_{B58BA514-7E63-407F-96A2-90D76B401778}" xr6:coauthVersionLast="47" xr6:coauthVersionMax="47" xr10:uidLastSave="{54B667E5-C586-4FDC-91FF-FD075FE91B81}"/>
  <bookViews>
    <workbookView xWindow="-120" yWindow="-120" windowWidth="29040" windowHeight="15720" tabRatio="783" activeTab="1" xr2:uid="{00000000-000D-0000-FFFF-FFFF00000000}"/>
  </bookViews>
  <sheets>
    <sheet name="Total" sheetId="15" r:id="rId1"/>
    <sheet name="BAN-L Electrical &amp; Water " sheetId="14" r:id="rId2"/>
  </sheets>
  <definedNames>
    <definedName name="_xlnm.Print_Area" localSheetId="1">'BAN-L Electrical &amp; Water '!$C$1:$U$34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5" l="1"/>
  <c r="M30" i="15"/>
  <c r="D35" i="14"/>
  <c r="F35" i="14"/>
  <c r="H35" i="14"/>
  <c r="J35" i="14"/>
  <c r="L35" i="14"/>
  <c r="N35" i="14"/>
  <c r="P35" i="14"/>
  <c r="R35" i="14"/>
  <c r="T35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7" i="14"/>
  <c r="D7" i="14" l="1"/>
  <c r="F7" i="14"/>
  <c r="H7" i="14"/>
  <c r="J7" i="14"/>
  <c r="D8" i="14"/>
  <c r="F8" i="14"/>
  <c r="H8" i="14"/>
  <c r="J8" i="14"/>
  <c r="D9" i="14"/>
  <c r="F9" i="14"/>
  <c r="H9" i="14"/>
  <c r="J9" i="14"/>
  <c r="D10" i="14"/>
  <c r="F10" i="14"/>
  <c r="H10" i="14"/>
  <c r="J10" i="14"/>
  <c r="D11" i="14"/>
  <c r="F11" i="14"/>
  <c r="H11" i="14"/>
  <c r="J11" i="14"/>
  <c r="D12" i="14"/>
  <c r="F12" i="14"/>
  <c r="H12" i="14"/>
  <c r="J12" i="14"/>
  <c r="D13" i="14"/>
  <c r="F13" i="14"/>
  <c r="H13" i="14"/>
  <c r="J13" i="14"/>
  <c r="D14" i="14"/>
  <c r="F14" i="14"/>
  <c r="H14" i="14"/>
  <c r="J14" i="14"/>
  <c r="D15" i="14"/>
  <c r="F15" i="14"/>
  <c r="H15" i="14"/>
  <c r="J15" i="14"/>
  <c r="D16" i="14"/>
  <c r="F16" i="14"/>
  <c r="H16" i="14"/>
  <c r="J16" i="14"/>
  <c r="D17" i="14"/>
  <c r="F17" i="14"/>
  <c r="H17" i="14"/>
  <c r="J17" i="14"/>
  <c r="D18" i="14"/>
  <c r="F18" i="14"/>
  <c r="H18" i="14"/>
  <c r="J18" i="14"/>
  <c r="D19" i="14"/>
  <c r="F19" i="14"/>
  <c r="H19" i="14"/>
  <c r="J19" i="14"/>
  <c r="D20" i="14"/>
  <c r="F20" i="14"/>
  <c r="H20" i="14"/>
  <c r="J20" i="14"/>
  <c r="D21" i="14"/>
  <c r="F21" i="14"/>
  <c r="H21" i="14"/>
  <c r="J21" i="14"/>
  <c r="D22" i="14"/>
  <c r="F22" i="14"/>
  <c r="H22" i="14"/>
  <c r="J22" i="14"/>
  <c r="D23" i="14"/>
  <c r="F23" i="14"/>
  <c r="H23" i="14"/>
  <c r="J23" i="14"/>
  <c r="D24" i="14"/>
  <c r="F24" i="14"/>
  <c r="H24" i="14"/>
  <c r="J24" i="14"/>
  <c r="D25" i="14"/>
  <c r="F25" i="14"/>
  <c r="H25" i="14"/>
  <c r="J25" i="14"/>
  <c r="D26" i="14"/>
  <c r="F26" i="14"/>
  <c r="H26" i="14"/>
  <c r="J26" i="14"/>
  <c r="D27" i="14"/>
  <c r="F27" i="14"/>
  <c r="H27" i="14"/>
  <c r="J27" i="14"/>
  <c r="D28" i="14"/>
  <c r="F28" i="14"/>
  <c r="H28" i="14"/>
  <c r="J28" i="14"/>
  <c r="D29" i="14"/>
  <c r="F29" i="14"/>
  <c r="H29" i="14"/>
  <c r="J29" i="14"/>
  <c r="D30" i="14"/>
  <c r="F30" i="14"/>
  <c r="H30" i="14"/>
  <c r="J30" i="14"/>
  <c r="D31" i="14"/>
  <c r="F31" i="14"/>
  <c r="H31" i="14"/>
  <c r="J31" i="14"/>
  <c r="D32" i="14"/>
  <c r="F32" i="14"/>
  <c r="H32" i="14"/>
  <c r="J32" i="14"/>
  <c r="D33" i="14"/>
  <c r="F33" i="14"/>
  <c r="H33" i="14"/>
  <c r="J33" i="14"/>
  <c r="D34" i="14"/>
  <c r="F34" i="14"/>
  <c r="H34" i="14"/>
  <c r="J34" i="14"/>
  <c r="L7" i="14"/>
  <c r="N7" i="14"/>
  <c r="R7" i="14"/>
  <c r="T7" i="14"/>
  <c r="L8" i="14"/>
  <c r="N8" i="14"/>
  <c r="R8" i="14"/>
  <c r="T8" i="14"/>
  <c r="L9" i="14"/>
  <c r="N9" i="14"/>
  <c r="R9" i="14"/>
  <c r="T9" i="14"/>
  <c r="L10" i="14"/>
  <c r="N10" i="14"/>
  <c r="R10" i="14"/>
  <c r="T10" i="14"/>
  <c r="L11" i="14"/>
  <c r="N11" i="14"/>
  <c r="R11" i="14"/>
  <c r="T11" i="14"/>
  <c r="L12" i="14"/>
  <c r="N12" i="14"/>
  <c r="R12" i="14"/>
  <c r="T12" i="14"/>
  <c r="L13" i="14"/>
  <c r="N13" i="14"/>
  <c r="R13" i="14"/>
  <c r="T13" i="14"/>
  <c r="L14" i="14"/>
  <c r="N14" i="14"/>
  <c r="R14" i="14"/>
  <c r="T14" i="14"/>
  <c r="R24" i="14"/>
  <c r="R25" i="14"/>
  <c r="R26" i="14"/>
  <c r="R27" i="14"/>
  <c r="R28" i="14"/>
  <c r="R29" i="14"/>
  <c r="R30" i="14"/>
  <c r="N29" i="14"/>
  <c r="N28" i="14"/>
  <c r="N27" i="14"/>
  <c r="N26" i="14"/>
  <c r="N25" i="14"/>
  <c r="N24" i="14"/>
  <c r="L24" i="14"/>
  <c r="L25" i="14"/>
  <c r="L26" i="14"/>
  <c r="L27" i="14"/>
  <c r="L28" i="14"/>
  <c r="L29" i="14"/>
  <c r="L30" i="14"/>
  <c r="L31" i="14"/>
  <c r="R15" i="14"/>
  <c r="R16" i="14"/>
  <c r="R17" i="14"/>
  <c r="R18" i="14"/>
  <c r="R19" i="14"/>
  <c r="R20" i="14"/>
  <c r="R21" i="14"/>
  <c r="R22" i="14"/>
  <c r="R23" i="14"/>
  <c r="R31" i="14"/>
  <c r="R32" i="14"/>
  <c r="R33" i="14"/>
  <c r="R34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N34" i="14"/>
  <c r="L34" i="14"/>
  <c r="N33" i="14"/>
  <c r="L33" i="14"/>
  <c r="N32" i="14"/>
  <c r="L32" i="14"/>
  <c r="N31" i="14"/>
  <c r="N30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E28" i="15" l="1"/>
  <c r="E27" i="15"/>
  <c r="E25" i="15"/>
  <c r="E24" i="15"/>
  <c r="E23" i="15"/>
  <c r="E22" i="15"/>
  <c r="E21" i="15"/>
  <c r="E20" i="15"/>
  <c r="E19" i="15"/>
  <c r="E15" i="15"/>
  <c r="E13" i="15"/>
  <c r="E12" i="15"/>
  <c r="E10" i="15"/>
  <c r="E9" i="15"/>
  <c r="E8" i="15"/>
  <c r="E6" i="15"/>
  <c r="E3" i="15"/>
  <c r="E2" i="15"/>
  <c r="E29" i="15" l="1"/>
  <c r="E16" i="15"/>
  <c r="E18" i="15"/>
  <c r="E14" i="15"/>
  <c r="E11" i="15"/>
  <c r="E17" i="15"/>
  <c r="E26" i="15"/>
  <c r="E7" i="15"/>
  <c r="E4" i="15"/>
  <c r="E5" i="15"/>
  <c r="I2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</calcChain>
</file>

<file path=xl/sharedStrings.xml><?xml version="1.0" encoding="utf-8"?>
<sst xmlns="http://schemas.openxmlformats.org/spreadsheetml/2006/main" count="89" uniqueCount="40">
  <si>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</si>
  <si>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</si>
  <si>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</si>
  <si>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</si>
  <si>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</si>
  <si>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</si>
  <si>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</si>
  <si>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</si>
  <si>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(USG) USG</t>
  </si>
  <si>
    <t>Water Utility Supply (USG) $/USG</t>
  </si>
  <si>
    <t>Irrigation Water (USG) USG</t>
  </si>
  <si>
    <t>Irrigation water  $/USG</t>
  </si>
  <si>
    <t xml:space="preserve">Room Nights </t>
  </si>
  <si>
    <t xml:space="preserve">Total Guests </t>
  </si>
  <si>
    <t>Bateen Liwa</t>
  </si>
  <si>
    <t xml:space="preserve">BAN- Bateen Liwa Utility Readings </t>
  </si>
  <si>
    <t>TYPE</t>
  </si>
  <si>
    <t>Time</t>
  </si>
  <si>
    <t xml:space="preserve">BAN- Bateen Liwa Block 01 </t>
  </si>
  <si>
    <t xml:space="preserve">Daily Consumptions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</si>
  <si>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</si>
  <si>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</si>
  <si>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</si>
  <si>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</si>
  <si>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</si>
  <si>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</si>
  <si>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</si>
  <si>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</si>
  <si>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 xml:space="preserve">Remarks </t>
  </si>
  <si>
    <t>Meter</t>
  </si>
  <si>
    <t>AC No 15T20D000097</t>
  </si>
  <si>
    <t>AC N0 15T20D000022</t>
  </si>
  <si>
    <t>AC No 15T20D000062</t>
  </si>
  <si>
    <t>AC No 15T20D000064</t>
  </si>
  <si>
    <t>AC No 15T20D000174</t>
  </si>
  <si>
    <t>AC N0 15T20D000177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</si>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</sst>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1"/>
      <color rgb="FF000000"/>
      <name val="Calibri"/>
      <family val="2"/>
    </font>
    <font>
      <b/>
      <sz val="1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1" fillId="0" borderId="0" xfId="1" applyFont="1"/>
    <xf numFmtId="0" fontId="9" fillId="0" borderId="0" xfId="1"/>
    <xf numFmtId="0" fontId="13" fillId="7" borderId="5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'!$D$6:$D$34</c:f>
              <c:numCache>
                <c:formatCode>General</c:formatCode>
                <c:ptCount val="29"/>
                <c:pt idx="0">
                  <c:v>0</c:v>
                </c:pt>
                <c:pt idx="1">
                  <c:v>806</c:v>
                </c:pt>
                <c:pt idx="2">
                  <c:v>940</c:v>
                </c:pt>
                <c:pt idx="3">
                  <c:v>945</c:v>
                </c:pt>
                <c:pt idx="4">
                  <c:v>918</c:v>
                </c:pt>
                <c:pt idx="5">
                  <c:v>866</c:v>
                </c:pt>
                <c:pt idx="6">
                  <c:v>923</c:v>
                </c:pt>
                <c:pt idx="7">
                  <c:v>1082</c:v>
                </c:pt>
                <c:pt idx="8">
                  <c:v>1090</c:v>
                </c:pt>
                <c:pt idx="9">
                  <c:v>1140</c:v>
                </c:pt>
                <c:pt idx="10">
                  <c:v>1040</c:v>
                </c:pt>
                <c:pt idx="11">
                  <c:v>970</c:v>
                </c:pt>
                <c:pt idx="12">
                  <c:v>1072</c:v>
                </c:pt>
                <c:pt idx="13">
                  <c:v>1134</c:v>
                </c:pt>
                <c:pt idx="14">
                  <c:v>1208</c:v>
                </c:pt>
                <c:pt idx="15">
                  <c:v>1199</c:v>
                </c:pt>
                <c:pt idx="16">
                  <c:v>1274</c:v>
                </c:pt>
                <c:pt idx="17">
                  <c:v>1213</c:v>
                </c:pt>
                <c:pt idx="18">
                  <c:v>1165</c:v>
                </c:pt>
                <c:pt idx="19">
                  <c:v>1170</c:v>
                </c:pt>
                <c:pt idx="20">
                  <c:v>1272</c:v>
                </c:pt>
                <c:pt idx="21">
                  <c:v>1155</c:v>
                </c:pt>
                <c:pt idx="22">
                  <c:v>1211</c:v>
                </c:pt>
                <c:pt idx="23">
                  <c:v>1160</c:v>
                </c:pt>
                <c:pt idx="24">
                  <c:v>1132</c:v>
                </c:pt>
                <c:pt idx="25">
                  <c:v>1086</c:v>
                </c:pt>
                <c:pt idx="26">
                  <c:v>1230</c:v>
                </c:pt>
                <c:pt idx="27">
                  <c:v>1038</c:v>
                </c:pt>
                <c:pt idx="28">
                  <c:v>951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'!$P$6:$P$34</c:f>
              <c:numCache>
                <c:formatCode>General</c:formatCode>
                <c:ptCount val="29"/>
                <c:pt idx="0">
                  <c:v>0</c:v>
                </c:pt>
                <c:pt idx="1">
                  <c:v>98</c:v>
                </c:pt>
                <c:pt idx="2">
                  <c:v>35</c:v>
                </c:pt>
                <c:pt idx="3">
                  <c:v>93</c:v>
                </c:pt>
                <c:pt idx="4">
                  <c:v>99</c:v>
                </c:pt>
                <c:pt idx="5">
                  <c:v>84</c:v>
                </c:pt>
                <c:pt idx="6">
                  <c:v>156</c:v>
                </c:pt>
                <c:pt idx="7">
                  <c:v>159</c:v>
                </c:pt>
                <c:pt idx="8">
                  <c:v>115</c:v>
                </c:pt>
                <c:pt idx="9">
                  <c:v>135</c:v>
                </c:pt>
                <c:pt idx="10">
                  <c:v>152</c:v>
                </c:pt>
                <c:pt idx="11">
                  <c:v>144</c:v>
                </c:pt>
                <c:pt idx="12">
                  <c:v>150</c:v>
                </c:pt>
                <c:pt idx="13">
                  <c:v>146</c:v>
                </c:pt>
                <c:pt idx="14">
                  <c:v>98</c:v>
                </c:pt>
                <c:pt idx="15">
                  <c:v>135</c:v>
                </c:pt>
                <c:pt idx="16">
                  <c:v>147</c:v>
                </c:pt>
                <c:pt idx="17">
                  <c:v>111</c:v>
                </c:pt>
                <c:pt idx="18">
                  <c:v>132</c:v>
                </c:pt>
                <c:pt idx="19">
                  <c:v>31</c:v>
                </c:pt>
                <c:pt idx="20">
                  <c:v>161</c:v>
                </c:pt>
                <c:pt idx="21">
                  <c:v>86</c:v>
                </c:pt>
                <c:pt idx="22">
                  <c:v>114</c:v>
                </c:pt>
                <c:pt idx="23">
                  <c:v>102</c:v>
                </c:pt>
                <c:pt idx="24">
                  <c:v>120</c:v>
                </c:pt>
                <c:pt idx="25">
                  <c:v>88</c:v>
                </c:pt>
                <c:pt idx="26">
                  <c:v>132</c:v>
                </c:pt>
                <c:pt idx="27">
                  <c:v>134</c:v>
                </c:pt>
                <c:pt idx="28">
                  <c:v>147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  <a:ext uri="{147F2762-F138-4A5C-976F-8EAC2B608ADB}">
              <a16:predDERef xmlns:a16="http://schemas.microsoft.com/office/drawing/2014/main" pre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  <a:ext uri="{147F2762-F138-4A5C-976F-8EAC2B608ADB}">
              <a16:predDERef xmlns:a16="http://schemas.microsoft.com/office/drawing/2014/main" pre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124240</xdr:rowOff>
    </xdr:from>
    <xdr:to>
      <xdr:col>20</xdr:col>
      <xdr:colOff>2470978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3"/>
  <sheetViews>
    <sheetView workbookViewId="0">
      <selection activeCell="N31" sqref="N31"/>
    </sheetView>
  </sheetViews>
  <sheetFormatPr defaultColWidth="11.5703125" defaultRowHeight="15" x14ac:dyDescent="0.25"/>
  <cols>
    <col min="1" max="1" width="29.140625" style="28" bestFit="1" customWidth="1"/>
    <col min="2" max="3" width="11.5703125" style="23"/>
    <col min="4" max="4" width="13.42578125" style="23" customWidth="1"/>
    <col min="5" max="5" width="12.5703125" style="26" customWidth="1"/>
    <col min="6" max="6" width="12.5703125" style="25" customWidth="1"/>
    <col min="7" max="7" width="11.5703125" style="26"/>
    <col min="8" max="8" width="11.5703125" style="25"/>
    <col min="9" max="9" width="11.5703125" style="26"/>
    <col min="10" max="10" width="11.5703125" style="27"/>
    <col min="11" max="11" width="11.5703125" style="26"/>
    <col min="12" max="12" width="11.5703125" style="27"/>
    <col min="13" max="26" width="11.5703125" style="26"/>
    <col min="27" max="16384" width="11.5703125" style="29"/>
  </cols>
  <sheetData>
    <row r="1" spans="1:14" s="21" customFormat="1" ht="75" x14ac:dyDescent="0.2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8" t="s">
        <v>6</v>
      </c>
      <c r="H1" s="19" t="s">
        <v>7</v>
      </c>
      <c r="I1" s="18" t="s">
        <v>8</v>
      </c>
      <c r="J1" s="20" t="s">
        <v>9</v>
      </c>
      <c r="K1" s="18" t="s">
        <v>10</v>
      </c>
      <c r="L1" s="20" t="s">
        <v>11</v>
      </c>
      <c r="M1" s="18" t="s">
        <v>12</v>
      </c>
      <c r="N1" s="18" t="s">
        <v>13</v>
      </c>
    </row>
    <row r="2" spans="1:14" x14ac:dyDescent="0.25">
      <c r="A2" s="22" t="s">
        <v>14</v>
      </c>
      <c r="B2" s="23">
        <v>1</v>
      </c>
      <c r="C2" s="23">
        <v>2</v>
      </c>
      <c r="D2" s="23">
        <v>2026</v>
      </c>
      <c r="E2" s="24">
        <f>IF('BAN-L Electrical &amp; Water '!D7+'BAN-L Electrical &amp; Water '!F7+'BAN-L Electrical &amp; Water '!H7+'BAN-L Electrical &amp; Water '!J7+'BAN-L Electrical &amp; Water '!L7+'BAN-L Electrical &amp; Water '!N7&gt;0,'BAN-L Electrical &amp; Water '!D7+'BAN-L Electrical &amp; Water '!F7+'BAN-L Electrical &amp; Water '!H7+'BAN-L Electrical &amp; Water '!J7+'BAN-L Electrical &amp; Water '!L7+'BAN-L Electrical &amp; Water '!N7,0)</f>
        <v>9365</v>
      </c>
      <c r="F2" s="25">
        <v>0.2</v>
      </c>
      <c r="G2" s="24"/>
      <c r="H2" s="25">
        <v>5.42</v>
      </c>
      <c r="I2" s="24">
        <f>IF('BAN-L Electrical &amp; Water '!P7+'BAN-L Electrical &amp; Water '!R7+'BAN-L Electrical &amp; Water '!T7&gt;0,'BAN-L Electrical &amp; Water '!P7+'BAN-L Electrical &amp; Water '!R7+'BAN-L Electrical &amp; Water '!T7,0)</f>
        <v>216</v>
      </c>
      <c r="J2" s="25">
        <v>7.84</v>
      </c>
      <c r="K2" s="24"/>
      <c r="L2" s="25">
        <v>7.84</v>
      </c>
      <c r="M2" s="32">
        <v>19</v>
      </c>
      <c r="N2" s="32">
        <v>53</v>
      </c>
    </row>
    <row r="3" spans="1:14" x14ac:dyDescent="0.25">
      <c r="A3" s="22" t="s">
        <v>14</v>
      </c>
      <c r="B3" s="23">
        <f>B2+1</f>
        <v>2</v>
      </c>
      <c r="C3" s="23">
        <v>2</v>
      </c>
      <c r="D3" s="23">
        <v>2026</v>
      </c>
      <c r="E3" s="24">
        <f>IF('BAN-L Electrical &amp; Water '!D8+'BAN-L Electrical &amp; Water '!F8+'BAN-L Electrical &amp; Water '!H8+'BAN-L Electrical &amp; Water '!J8+'BAN-L Electrical &amp; Water '!L8+'BAN-L Electrical &amp; Water '!N8&gt;0,'BAN-L Electrical &amp; Water '!D8+'BAN-L Electrical &amp; Water '!F8+'BAN-L Electrical &amp; Water '!H8+'BAN-L Electrical &amp; Water '!J8+'BAN-L Electrical &amp; Water '!L8+'BAN-L Electrical &amp; Water '!N8,0)</f>
        <v>9378</v>
      </c>
      <c r="F3" s="25">
        <v>0.2</v>
      </c>
      <c r="G3" s="24"/>
      <c r="H3" s="25">
        <v>5.42</v>
      </c>
      <c r="I3" s="24">
        <f>IF('BAN-L Electrical &amp; Water '!P8+'BAN-L Electrical &amp; Water '!R8+'BAN-L Electrical &amp; Water '!T8&gt;0,'BAN-L Electrical &amp; Water '!P8+'BAN-L Electrical &amp; Water '!R8+'BAN-L Electrical &amp; Water '!T8,0)</f>
        <v>139</v>
      </c>
      <c r="J3" s="25">
        <v>7.84</v>
      </c>
      <c r="K3" s="24"/>
      <c r="L3" s="25">
        <v>7.84</v>
      </c>
      <c r="M3" s="32">
        <v>22</v>
      </c>
      <c r="N3" s="32">
        <v>58</v>
      </c>
    </row>
    <row r="4" spans="1:14" x14ac:dyDescent="0.25">
      <c r="A4" s="22" t="s">
        <v>14</v>
      </c>
      <c r="B4" s="23">
        <f t="shared" ref="B4:B29" si="0">B3+1</f>
        <v>3</v>
      </c>
      <c r="C4" s="23">
        <v>2</v>
      </c>
      <c r="D4" s="23">
        <v>2026</v>
      </c>
      <c r="E4" s="24">
        <f>IF('BAN-L Electrical &amp; Water '!D9+'BAN-L Electrical &amp; Water '!F9+'BAN-L Electrical &amp; Water '!H9+'BAN-L Electrical &amp; Water '!J9+'BAN-L Electrical &amp; Water '!L9+'BAN-L Electrical &amp; Water '!N9&gt;0,'BAN-L Electrical &amp; Water '!D9+'BAN-L Electrical &amp; Water '!F9+'BAN-L Electrical &amp; Water '!H9+'BAN-L Electrical &amp; Water '!J9+'BAN-L Electrical &amp; Water '!L9+'BAN-L Electrical &amp; Water '!N9,0)</f>
        <v>9351</v>
      </c>
      <c r="F4" s="25">
        <v>0.2</v>
      </c>
      <c r="G4" s="24"/>
      <c r="H4" s="25">
        <v>5.42</v>
      </c>
      <c r="I4" s="24">
        <f>IF('BAN-L Electrical &amp; Water '!P9+'BAN-L Electrical &amp; Water '!R9+'BAN-L Electrical &amp; Water '!T9&gt;0,'BAN-L Electrical &amp; Water '!P9+'BAN-L Electrical &amp; Water '!R9+'BAN-L Electrical &amp; Water '!T9,0)</f>
        <v>181</v>
      </c>
      <c r="J4" s="25">
        <v>7.84</v>
      </c>
      <c r="K4" s="24"/>
      <c r="L4" s="25">
        <v>7.84</v>
      </c>
      <c r="M4" s="32">
        <v>31</v>
      </c>
      <c r="N4" s="32">
        <v>82</v>
      </c>
    </row>
    <row r="5" spans="1:14" x14ac:dyDescent="0.25">
      <c r="A5" s="22" t="s">
        <v>14</v>
      </c>
      <c r="B5" s="23">
        <f t="shared" si="0"/>
        <v>4</v>
      </c>
      <c r="C5" s="23">
        <v>2</v>
      </c>
      <c r="D5" s="23">
        <v>2026</v>
      </c>
      <c r="E5" s="24">
        <f>IF('BAN-L Electrical &amp; Water '!D10+'BAN-L Electrical &amp; Water '!F10+'BAN-L Electrical &amp; Water '!H10+'BAN-L Electrical &amp; Water '!J10+'BAN-L Electrical &amp; Water '!L10+'BAN-L Electrical &amp; Water '!N10&gt;0,'BAN-L Electrical &amp; Water '!D10+'BAN-L Electrical &amp; Water '!F10+'BAN-L Electrical &amp; Water '!H10+'BAN-L Electrical &amp; Water '!J10+'BAN-L Electrical &amp; Water '!L10+'BAN-L Electrical &amp; Water '!N10,0)</f>
        <v>9488</v>
      </c>
      <c r="F5" s="25">
        <v>0.2</v>
      </c>
      <c r="G5" s="24"/>
      <c r="H5" s="25">
        <v>5.42</v>
      </c>
      <c r="I5" s="24">
        <f>IF('BAN-L Electrical &amp; Water '!P10+'BAN-L Electrical &amp; Water '!R10+'BAN-L Electrical &amp; Water '!T10&gt;0,'BAN-L Electrical &amp; Water '!P10+'BAN-L Electrical &amp; Water '!R10+'BAN-L Electrical &amp; Water '!T10,0)</f>
        <v>219</v>
      </c>
      <c r="J5" s="25">
        <v>7.84</v>
      </c>
      <c r="K5" s="24"/>
      <c r="L5" s="25">
        <v>7.84</v>
      </c>
      <c r="M5" s="32">
        <v>28</v>
      </c>
      <c r="N5" s="32">
        <v>69</v>
      </c>
    </row>
    <row r="6" spans="1:14" x14ac:dyDescent="0.25">
      <c r="A6" s="22" t="s">
        <v>14</v>
      </c>
      <c r="B6" s="23">
        <f t="shared" si="0"/>
        <v>5</v>
      </c>
      <c r="C6" s="23">
        <v>2</v>
      </c>
      <c r="D6" s="23">
        <v>2026</v>
      </c>
      <c r="E6" s="24">
        <f>IF('BAN-L Electrical &amp; Water '!D11+'BAN-L Electrical &amp; Water '!F11+'BAN-L Electrical &amp; Water '!H11+'BAN-L Electrical &amp; Water '!J11+'BAN-L Electrical &amp; Water '!L11+'BAN-L Electrical &amp; Water '!N11&gt;0,'BAN-L Electrical &amp; Water '!D11+'BAN-L Electrical &amp; Water '!F11+'BAN-L Electrical &amp; Water '!H11+'BAN-L Electrical &amp; Water '!J11+'BAN-L Electrical &amp; Water '!L11+'BAN-L Electrical &amp; Water '!N11,0)</f>
        <v>9905</v>
      </c>
      <c r="F6" s="25">
        <v>0.2</v>
      </c>
      <c r="G6" s="24"/>
      <c r="H6" s="25">
        <v>5.42</v>
      </c>
      <c r="I6" s="24">
        <f>IF('BAN-L Electrical &amp; Water '!P11+'BAN-L Electrical &amp; Water '!R11+'BAN-L Electrical &amp; Water '!T11&gt;0,'BAN-L Electrical &amp; Water '!P11+'BAN-L Electrical &amp; Water '!R11+'BAN-L Electrical &amp; Water '!T11,0)</f>
        <v>182</v>
      </c>
      <c r="J6" s="25">
        <v>7.84</v>
      </c>
      <c r="K6" s="24"/>
      <c r="L6" s="25">
        <v>7.84</v>
      </c>
      <c r="M6" s="32">
        <v>38</v>
      </c>
      <c r="N6" s="32">
        <v>97</v>
      </c>
    </row>
    <row r="7" spans="1:14" x14ac:dyDescent="0.25">
      <c r="A7" s="22" t="s">
        <v>14</v>
      </c>
      <c r="B7" s="23">
        <f t="shared" si="0"/>
        <v>6</v>
      </c>
      <c r="C7" s="23">
        <v>2</v>
      </c>
      <c r="D7" s="23">
        <v>2026</v>
      </c>
      <c r="E7" s="24">
        <f>IF('BAN-L Electrical &amp; Water '!D12+'BAN-L Electrical &amp; Water '!F12+'BAN-L Electrical &amp; Water '!H12+'BAN-L Electrical &amp; Water '!J12+'BAN-L Electrical &amp; Water '!L12+'BAN-L Electrical &amp; Water '!N12&gt;0,'BAN-L Electrical &amp; Water '!D12+'BAN-L Electrical &amp; Water '!F12+'BAN-L Electrical &amp; Water '!H12+'BAN-L Electrical &amp; Water '!J12+'BAN-L Electrical &amp; Water '!L12+'BAN-L Electrical &amp; Water '!N12,0)</f>
        <v>9457</v>
      </c>
      <c r="F7" s="25">
        <v>0.2</v>
      </c>
      <c r="G7" s="24"/>
      <c r="H7" s="25">
        <v>5.42</v>
      </c>
      <c r="I7" s="24">
        <f>IF('BAN-L Electrical &amp; Water '!P12+'BAN-L Electrical &amp; Water '!R12+'BAN-L Electrical &amp; Water '!T12&gt;0,'BAN-L Electrical &amp; Water '!P12+'BAN-L Electrical &amp; Water '!R12+'BAN-L Electrical &amp; Water '!T12,0)</f>
        <v>275</v>
      </c>
      <c r="J7" s="25">
        <v>7.84</v>
      </c>
      <c r="K7" s="24"/>
      <c r="L7" s="25">
        <v>7.84</v>
      </c>
      <c r="M7" s="32">
        <v>49</v>
      </c>
      <c r="N7" s="32">
        <v>151</v>
      </c>
    </row>
    <row r="8" spans="1:14" x14ac:dyDescent="0.25">
      <c r="A8" s="22" t="s">
        <v>14</v>
      </c>
      <c r="B8" s="23">
        <f t="shared" si="0"/>
        <v>7</v>
      </c>
      <c r="C8" s="23">
        <v>2</v>
      </c>
      <c r="D8" s="23">
        <v>2026</v>
      </c>
      <c r="E8" s="24">
        <f>IF('BAN-L Electrical &amp; Water '!D13+'BAN-L Electrical &amp; Water '!F13+'BAN-L Electrical &amp; Water '!H13+'BAN-L Electrical &amp; Water '!J13+'BAN-L Electrical &amp; Water '!L13+'BAN-L Electrical &amp; Water '!N13&gt;0,'BAN-L Electrical &amp; Water '!D13+'BAN-L Electrical &amp; Water '!F13+'BAN-L Electrical &amp; Water '!H13+'BAN-L Electrical &amp; Water '!J13+'BAN-L Electrical &amp; Water '!L13+'BAN-L Electrical &amp; Water '!N13,0)</f>
        <v>9742</v>
      </c>
      <c r="F8" s="25">
        <v>0.2</v>
      </c>
      <c r="G8" s="24"/>
      <c r="H8" s="25">
        <v>5.42</v>
      </c>
      <c r="I8" s="24">
        <f>IF('BAN-L Electrical &amp; Water '!P13+'BAN-L Electrical &amp; Water '!R13+'BAN-L Electrical &amp; Water '!T13&gt;0,'BAN-L Electrical &amp; Water '!P13+'BAN-L Electrical &amp; Water '!R13+'BAN-L Electrical &amp; Water '!T13,0)</f>
        <v>267</v>
      </c>
      <c r="J8" s="25">
        <v>7.84</v>
      </c>
      <c r="K8" s="24"/>
      <c r="L8" s="25">
        <v>7.84</v>
      </c>
      <c r="M8" s="32">
        <v>45</v>
      </c>
      <c r="N8" s="32">
        <v>137</v>
      </c>
    </row>
    <row r="9" spans="1:14" x14ac:dyDescent="0.25">
      <c r="A9" s="22" t="s">
        <v>14</v>
      </c>
      <c r="B9" s="23">
        <f t="shared" si="0"/>
        <v>8</v>
      </c>
      <c r="C9" s="23">
        <v>2</v>
      </c>
      <c r="D9" s="23">
        <v>2026</v>
      </c>
      <c r="E9" s="24">
        <f>IF('BAN-L Electrical &amp; Water '!D14+'BAN-L Electrical &amp; Water '!F14+'BAN-L Electrical &amp; Water '!H14+'BAN-L Electrical &amp; Water '!J14+'BAN-L Electrical &amp; Water '!L14+'BAN-L Electrical &amp; Water '!N14&gt;0,'BAN-L Electrical &amp; Water '!D14+'BAN-L Electrical &amp; Water '!F14+'BAN-L Electrical &amp; Water '!H14+'BAN-L Electrical &amp; Water '!J14+'BAN-L Electrical &amp; Water '!L14+'BAN-L Electrical &amp; Water '!N14,0)</f>
        <v>9764</v>
      </c>
      <c r="F9" s="25">
        <v>0.2</v>
      </c>
      <c r="G9" s="24"/>
      <c r="H9" s="25">
        <v>5.42</v>
      </c>
      <c r="I9" s="24">
        <f>IF('BAN-L Electrical &amp; Water '!P14+'BAN-L Electrical &amp; Water '!R14+'BAN-L Electrical &amp; Water '!T14&gt;0,'BAN-L Electrical &amp; Water '!P14+'BAN-L Electrical &amp; Water '!R14+'BAN-L Electrical &amp; Water '!T14,0)</f>
        <v>251</v>
      </c>
      <c r="J9" s="25">
        <v>7.84</v>
      </c>
      <c r="K9" s="24"/>
      <c r="L9" s="25">
        <v>7.84</v>
      </c>
      <c r="M9" s="32">
        <v>16</v>
      </c>
      <c r="N9" s="32">
        <v>44</v>
      </c>
    </row>
    <row r="10" spans="1:14" x14ac:dyDescent="0.25">
      <c r="A10" s="22" t="s">
        <v>14</v>
      </c>
      <c r="B10" s="23">
        <f t="shared" si="0"/>
        <v>9</v>
      </c>
      <c r="C10" s="23">
        <v>2</v>
      </c>
      <c r="D10" s="23">
        <v>2026</v>
      </c>
      <c r="E10" s="24">
        <f>IF('BAN-L Electrical &amp; Water '!D15+'BAN-L Electrical &amp; Water '!F15+'BAN-L Electrical &amp; Water '!H15+'BAN-L Electrical &amp; Water '!J15+'BAN-L Electrical &amp; Water '!L15+'BAN-L Electrical &amp; Water '!N15&gt;0,'BAN-L Electrical &amp; Water '!D15+'BAN-L Electrical &amp; Water '!F15+'BAN-L Electrical &amp; Water '!H15+'BAN-L Electrical &amp; Water '!J15+'BAN-L Electrical &amp; Water '!L15+'BAN-L Electrical &amp; Water '!N15,0)</f>
        <v>10356</v>
      </c>
      <c r="F10" s="25">
        <v>0.2</v>
      </c>
      <c r="G10" s="24"/>
      <c r="H10" s="25">
        <v>5.42</v>
      </c>
      <c r="I10" s="24">
        <f>IF('BAN-L Electrical &amp; Water '!P15+'BAN-L Electrical &amp; Water '!R15+'BAN-L Electrical &amp; Water '!T15&gt;0,'BAN-L Electrical &amp; Water '!P15+'BAN-L Electrical &amp; Water '!R15+'BAN-L Electrical &amp; Water '!T15,0)</f>
        <v>264</v>
      </c>
      <c r="J10" s="25">
        <v>7.84</v>
      </c>
      <c r="K10" s="24"/>
      <c r="L10" s="25">
        <v>7.84</v>
      </c>
      <c r="M10" s="32">
        <v>22</v>
      </c>
      <c r="N10" s="32">
        <v>52</v>
      </c>
    </row>
    <row r="11" spans="1:14" x14ac:dyDescent="0.25">
      <c r="A11" s="22" t="s">
        <v>14</v>
      </c>
      <c r="B11" s="23">
        <f t="shared" si="0"/>
        <v>10</v>
      </c>
      <c r="C11" s="23">
        <v>2</v>
      </c>
      <c r="D11" s="23">
        <v>2026</v>
      </c>
      <c r="E11" s="24">
        <f>IF('BAN-L Electrical &amp; Water '!D16+'BAN-L Electrical &amp; Water '!F16+'BAN-L Electrical &amp; Water '!H16+'BAN-L Electrical &amp; Water '!J16+'BAN-L Electrical &amp; Water '!L16+'BAN-L Electrical &amp; Water '!N16&gt;0,'BAN-L Electrical &amp; Water '!D16+'BAN-L Electrical &amp; Water '!F16+'BAN-L Electrical &amp; Water '!H16+'BAN-L Electrical &amp; Water '!J16+'BAN-L Electrical &amp; Water '!L16+'BAN-L Electrical &amp; Water '!N16,0)</f>
        <v>9998</v>
      </c>
      <c r="F11" s="25">
        <v>0.2</v>
      </c>
      <c r="G11" s="24"/>
      <c r="H11" s="25">
        <v>5.42</v>
      </c>
      <c r="I11" s="24">
        <f>IF('BAN-L Electrical &amp; Water '!P16+'BAN-L Electrical &amp; Water '!R16+'BAN-L Electrical &amp; Water '!T16&gt;0,'BAN-L Electrical &amp; Water '!P16+'BAN-L Electrical &amp; Water '!R16+'BAN-L Electrical &amp; Water '!T16,0)</f>
        <v>248</v>
      </c>
      <c r="J11" s="25">
        <v>7.84</v>
      </c>
      <c r="K11" s="24"/>
      <c r="L11" s="25">
        <v>7.84</v>
      </c>
      <c r="M11" s="32">
        <v>23</v>
      </c>
      <c r="N11" s="32">
        <v>58</v>
      </c>
    </row>
    <row r="12" spans="1:14" x14ac:dyDescent="0.25">
      <c r="A12" s="22" t="s">
        <v>14</v>
      </c>
      <c r="B12" s="23">
        <f t="shared" si="0"/>
        <v>11</v>
      </c>
      <c r="C12" s="23">
        <v>2</v>
      </c>
      <c r="D12" s="23">
        <v>2026</v>
      </c>
      <c r="E12" s="24">
        <f>IF('BAN-L Electrical &amp; Water '!D17+'BAN-L Electrical &amp; Water '!F17+'BAN-L Electrical &amp; Water '!H17+'BAN-L Electrical &amp; Water '!J17+'BAN-L Electrical &amp; Water '!L17+'BAN-L Electrical &amp; Water '!N17&gt;0,'BAN-L Electrical &amp; Water '!D17+'BAN-L Electrical &amp; Water '!F17+'BAN-L Electrical &amp; Water '!H17+'BAN-L Electrical &amp; Water '!J17+'BAN-L Electrical &amp; Water '!L17+'BAN-L Electrical &amp; Water '!N17,0)</f>
        <v>9764</v>
      </c>
      <c r="F12" s="25">
        <v>0.2</v>
      </c>
      <c r="G12" s="24"/>
      <c r="H12" s="25">
        <v>5.42</v>
      </c>
      <c r="I12" s="24">
        <f>IF('BAN-L Electrical &amp; Water '!P17+'BAN-L Electrical &amp; Water '!R17+'BAN-L Electrical &amp; Water '!T17&gt;0,'BAN-L Electrical &amp; Water '!P17+'BAN-L Electrical &amp; Water '!R17+'BAN-L Electrical &amp; Water '!T17,0)</f>
        <v>254</v>
      </c>
      <c r="J12" s="25">
        <v>7.84</v>
      </c>
      <c r="K12" s="24"/>
      <c r="L12" s="25">
        <v>7.84</v>
      </c>
      <c r="M12" s="32">
        <v>39</v>
      </c>
      <c r="N12" s="32">
        <v>101</v>
      </c>
    </row>
    <row r="13" spans="1:14" x14ac:dyDescent="0.25">
      <c r="A13" s="22" t="s">
        <v>14</v>
      </c>
      <c r="B13" s="23">
        <f t="shared" si="0"/>
        <v>12</v>
      </c>
      <c r="C13" s="23">
        <v>2</v>
      </c>
      <c r="D13" s="23">
        <v>2026</v>
      </c>
      <c r="E13" s="24">
        <f>IF('BAN-L Electrical &amp; Water '!D18+'BAN-L Electrical &amp; Water '!F18+'BAN-L Electrical &amp; Water '!H18+'BAN-L Electrical &amp; Water '!J18+'BAN-L Electrical &amp; Water '!L18+'BAN-L Electrical &amp; Water '!N18&gt;0,'BAN-L Electrical &amp; Water '!D18+'BAN-L Electrical &amp; Water '!F18+'BAN-L Electrical &amp; Water '!H18+'BAN-L Electrical &amp; Water '!J18+'BAN-L Electrical &amp; Water '!L18+'BAN-L Electrical &amp; Water '!N18,0)</f>
        <v>10014</v>
      </c>
      <c r="F13" s="25">
        <v>0.2</v>
      </c>
      <c r="G13" s="24"/>
      <c r="H13" s="25">
        <v>5.42</v>
      </c>
      <c r="I13" s="24">
        <f>IF('BAN-L Electrical &amp; Water '!P18+'BAN-L Electrical &amp; Water '!R18+'BAN-L Electrical &amp; Water '!T18&gt;0,'BAN-L Electrical &amp; Water '!P18+'BAN-L Electrical &amp; Water '!R18+'BAN-L Electrical &amp; Water '!T18,0)</f>
        <v>270</v>
      </c>
      <c r="J13" s="25">
        <v>7.84</v>
      </c>
      <c r="K13" s="24"/>
      <c r="L13" s="25">
        <v>7.84</v>
      </c>
      <c r="M13" s="32">
        <v>37</v>
      </c>
      <c r="N13" s="32">
        <v>107</v>
      </c>
    </row>
    <row r="14" spans="1:14" x14ac:dyDescent="0.25">
      <c r="A14" s="22" t="s">
        <v>14</v>
      </c>
      <c r="B14" s="23">
        <f t="shared" si="0"/>
        <v>13</v>
      </c>
      <c r="C14" s="23">
        <v>2</v>
      </c>
      <c r="D14" s="23">
        <v>2026</v>
      </c>
      <c r="E14" s="24">
        <f>IF('BAN-L Electrical &amp; Water '!D19+'BAN-L Electrical &amp; Water '!F19+'BAN-L Electrical &amp; Water '!H19+'BAN-L Electrical &amp; Water '!J19+'BAN-L Electrical &amp; Water '!L19+'BAN-L Electrical &amp; Water '!N19&gt;0,'BAN-L Electrical &amp; Water '!D19+'BAN-L Electrical &amp; Water '!F19+'BAN-L Electrical &amp; Water '!H19+'BAN-L Electrical &amp; Water '!J19+'BAN-L Electrical &amp; Water '!L19+'BAN-L Electrical &amp; Water '!N19,0)</f>
        <v>10353</v>
      </c>
      <c r="F14" s="25">
        <v>0.2</v>
      </c>
      <c r="G14" s="24"/>
      <c r="H14" s="25">
        <v>5.42</v>
      </c>
      <c r="I14" s="24">
        <f>IF('BAN-L Electrical &amp; Water '!P19+'BAN-L Electrical &amp; Water '!R19+'BAN-L Electrical &amp; Water '!T19&gt;0,'BAN-L Electrical &amp; Water '!P19+'BAN-L Electrical &amp; Water '!R19+'BAN-L Electrical &amp; Water '!T19,0)</f>
        <v>287</v>
      </c>
      <c r="J14" s="25">
        <v>7.84</v>
      </c>
      <c r="K14" s="24"/>
      <c r="L14" s="25">
        <v>7.84</v>
      </c>
      <c r="M14" s="32">
        <v>45</v>
      </c>
      <c r="N14" s="32">
        <v>127</v>
      </c>
    </row>
    <row r="15" spans="1:14" x14ac:dyDescent="0.25">
      <c r="A15" s="22" t="s">
        <v>14</v>
      </c>
      <c r="B15" s="23">
        <f t="shared" si="0"/>
        <v>14</v>
      </c>
      <c r="C15" s="23">
        <v>2</v>
      </c>
      <c r="D15" s="23">
        <v>2026</v>
      </c>
      <c r="E15" s="24">
        <f>IF('BAN-L Electrical &amp; Water '!D20+'BAN-L Electrical &amp; Water '!F20+'BAN-L Electrical &amp; Water '!H20+'BAN-L Electrical &amp; Water '!J20+'BAN-L Electrical &amp; Water '!L20+'BAN-L Electrical &amp; Water '!N20&gt;0,'BAN-L Electrical &amp; Water '!D20+'BAN-L Electrical &amp; Water '!F20+'BAN-L Electrical &amp; Water '!H20+'BAN-L Electrical &amp; Water '!J20+'BAN-L Electrical &amp; Water '!L20+'BAN-L Electrical &amp; Water '!N20,0)</f>
        <v>10540</v>
      </c>
      <c r="F15" s="25">
        <v>0.2</v>
      </c>
      <c r="G15" s="24"/>
      <c r="H15" s="25">
        <v>5.42</v>
      </c>
      <c r="I15" s="24">
        <f>IF('BAN-L Electrical &amp; Water '!P20+'BAN-L Electrical &amp; Water '!R20+'BAN-L Electrical &amp; Water '!T20&gt;0,'BAN-L Electrical &amp; Water '!P20+'BAN-L Electrical &amp; Water '!R20+'BAN-L Electrical &amp; Water '!T20,0)</f>
        <v>216</v>
      </c>
      <c r="J15" s="25">
        <v>7.84</v>
      </c>
      <c r="K15" s="24"/>
      <c r="L15" s="25">
        <v>7.84</v>
      </c>
      <c r="M15" s="32">
        <v>51</v>
      </c>
      <c r="N15" s="32">
        <v>155</v>
      </c>
    </row>
    <row r="16" spans="1:14" x14ac:dyDescent="0.25">
      <c r="A16" s="22" t="s">
        <v>14</v>
      </c>
      <c r="B16" s="23">
        <f t="shared" si="0"/>
        <v>15</v>
      </c>
      <c r="C16" s="23">
        <v>2</v>
      </c>
      <c r="D16" s="23">
        <v>2026</v>
      </c>
      <c r="E16" s="24">
        <f>IF('BAN-L Electrical &amp; Water '!D21+'BAN-L Electrical &amp; Water '!F21+'BAN-L Electrical &amp; Water '!H21+'BAN-L Electrical &amp; Water '!J21+'BAN-L Electrical &amp; Water '!L21+'BAN-L Electrical &amp; Water '!N21&gt;0,'BAN-L Electrical &amp; Water '!D21+'BAN-L Electrical &amp; Water '!F21+'BAN-L Electrical &amp; Water '!H21+'BAN-L Electrical &amp; Water '!J21+'BAN-L Electrical &amp; Water '!L21+'BAN-L Electrical &amp; Water '!N21,0)</f>
        <v>10661</v>
      </c>
      <c r="F16" s="25">
        <v>0.2</v>
      </c>
      <c r="G16" s="24"/>
      <c r="H16" s="25">
        <v>5.42</v>
      </c>
      <c r="I16" s="24">
        <f>IF('BAN-L Electrical &amp; Water '!P21+'BAN-L Electrical &amp; Water '!R21+'BAN-L Electrical &amp; Water '!T21&gt;0,'BAN-L Electrical &amp; Water '!P21+'BAN-L Electrical &amp; Water '!R21+'BAN-L Electrical &amp; Water '!T21,0)</f>
        <v>314</v>
      </c>
      <c r="J16" s="25">
        <v>7.84</v>
      </c>
      <c r="K16" s="24"/>
      <c r="L16" s="25">
        <v>7.84</v>
      </c>
      <c r="M16" s="32">
        <v>51</v>
      </c>
      <c r="N16" s="32">
        <v>157</v>
      </c>
    </row>
    <row r="17" spans="1:14" x14ac:dyDescent="0.25">
      <c r="A17" s="22" t="s">
        <v>14</v>
      </c>
      <c r="B17" s="23">
        <f t="shared" si="0"/>
        <v>16</v>
      </c>
      <c r="C17" s="23">
        <v>2</v>
      </c>
      <c r="D17" s="23">
        <v>2026</v>
      </c>
      <c r="E17" s="24">
        <f>IF('BAN-L Electrical &amp; Water '!D22+'BAN-L Electrical &amp; Water '!F22+'BAN-L Electrical &amp; Water '!H22+'BAN-L Electrical &amp; Water '!J22+'BAN-L Electrical &amp; Water '!L22+'BAN-L Electrical &amp; Water '!N22&gt;0,'BAN-L Electrical &amp; Water '!D22+'BAN-L Electrical &amp; Water '!F22+'BAN-L Electrical &amp; Water '!H22+'BAN-L Electrical &amp; Water '!J22+'BAN-L Electrical &amp; Water '!L22+'BAN-L Electrical &amp; Water '!N22,0)</f>
        <v>10922</v>
      </c>
      <c r="F17" s="25">
        <v>0.2</v>
      </c>
      <c r="G17" s="24"/>
      <c r="H17" s="25">
        <v>5.42</v>
      </c>
      <c r="I17" s="24">
        <f>IF('BAN-L Electrical &amp; Water '!P22+'BAN-L Electrical &amp; Water '!R22+'BAN-L Electrical &amp; Water '!T22&gt;0,'BAN-L Electrical &amp; Water '!P22+'BAN-L Electrical &amp; Water '!R22+'BAN-L Electrical &amp; Water '!T22,0)</f>
        <v>258</v>
      </c>
      <c r="J17" s="25">
        <v>7.84</v>
      </c>
      <c r="K17" s="24"/>
      <c r="L17" s="25">
        <v>7.84</v>
      </c>
      <c r="M17" s="32">
        <v>42</v>
      </c>
      <c r="N17" s="32">
        <v>119</v>
      </c>
    </row>
    <row r="18" spans="1:14" x14ac:dyDescent="0.25">
      <c r="A18" s="22" t="s">
        <v>14</v>
      </c>
      <c r="B18" s="23">
        <f t="shared" si="0"/>
        <v>17</v>
      </c>
      <c r="C18" s="23">
        <v>2</v>
      </c>
      <c r="D18" s="23">
        <v>2026</v>
      </c>
      <c r="E18" s="24">
        <f>IF('BAN-L Electrical &amp; Water '!D23+'BAN-L Electrical &amp; Water '!F23+'BAN-L Electrical &amp; Water '!H23+'BAN-L Electrical &amp; Water '!J23+'BAN-L Electrical &amp; Water '!L23+'BAN-L Electrical &amp; Water '!N23&gt;0,'BAN-L Electrical &amp; Water '!D23+'BAN-L Electrical &amp; Water '!F23+'BAN-L Electrical &amp; Water '!H23+'BAN-L Electrical &amp; Water '!J23+'BAN-L Electrical &amp; Water '!L23+'BAN-L Electrical &amp; Water '!N23,0)</f>
        <v>9666</v>
      </c>
      <c r="F18" s="25">
        <v>0.2</v>
      </c>
      <c r="G18" s="24"/>
      <c r="H18" s="25">
        <v>5.42</v>
      </c>
      <c r="I18" s="24">
        <f>IF('BAN-L Electrical &amp; Water '!P23+'BAN-L Electrical &amp; Water '!R23+'BAN-L Electrical &amp; Water '!T23&gt;0,'BAN-L Electrical &amp; Water '!P23+'BAN-L Electrical &amp; Water '!R23+'BAN-L Electrical &amp; Water '!T23,0)</f>
        <v>281</v>
      </c>
      <c r="J18" s="25">
        <v>7.84</v>
      </c>
      <c r="K18" s="24"/>
      <c r="L18" s="25">
        <v>7.84</v>
      </c>
      <c r="M18" s="32">
        <v>47</v>
      </c>
      <c r="N18" s="32">
        <v>141</v>
      </c>
    </row>
    <row r="19" spans="1:14" x14ac:dyDescent="0.25">
      <c r="A19" s="22" t="s">
        <v>14</v>
      </c>
      <c r="B19" s="23">
        <f t="shared" si="0"/>
        <v>18</v>
      </c>
      <c r="C19" s="23">
        <v>2</v>
      </c>
      <c r="D19" s="23">
        <v>2026</v>
      </c>
      <c r="E19" s="24">
        <f>IF('BAN-L Electrical &amp; Water '!D24+'BAN-L Electrical &amp; Water '!F24+'BAN-L Electrical &amp; Water '!H24+'BAN-L Electrical &amp; Water '!J24+'BAN-L Electrical &amp; Water '!L24+'BAN-L Electrical &amp; Water '!N24&gt;0,'BAN-L Electrical &amp; Water '!D24+'BAN-L Electrical &amp; Water '!F24+'BAN-L Electrical &amp; Water '!H24+'BAN-L Electrical &amp; Water '!J24+'BAN-L Electrical &amp; Water '!L24+'BAN-L Electrical &amp; Water '!N24,0)</f>
        <v>10099</v>
      </c>
      <c r="F19" s="25">
        <v>0.2</v>
      </c>
      <c r="G19" s="24"/>
      <c r="H19" s="25">
        <v>5.42</v>
      </c>
      <c r="I19" s="24">
        <f>IF('BAN-L Electrical &amp; Water '!P24+'BAN-L Electrical &amp; Water '!R24+'BAN-L Electrical &amp; Water '!T24&gt;0,'BAN-L Electrical &amp; Water '!P24+'BAN-L Electrical &amp; Water '!R24+'BAN-L Electrical &amp; Water '!T24,0)</f>
        <v>280</v>
      </c>
      <c r="J19" s="25">
        <v>7.84</v>
      </c>
      <c r="K19" s="24"/>
      <c r="L19" s="25">
        <v>7.84</v>
      </c>
      <c r="M19" s="32">
        <v>53</v>
      </c>
      <c r="N19" s="32">
        <v>157</v>
      </c>
    </row>
    <row r="20" spans="1:14" x14ac:dyDescent="0.25">
      <c r="A20" s="22" t="s">
        <v>14</v>
      </c>
      <c r="B20" s="23">
        <f t="shared" si="0"/>
        <v>19</v>
      </c>
      <c r="C20" s="23">
        <v>2</v>
      </c>
      <c r="D20" s="23">
        <v>2026</v>
      </c>
      <c r="E20" s="24">
        <f>IF('BAN-L Electrical &amp; Water '!D25+'BAN-L Electrical &amp; Water '!F25+'BAN-L Electrical &amp; Water '!H25+'BAN-L Electrical &amp; Water '!J25+'BAN-L Electrical &amp; Water '!L25+'BAN-L Electrical &amp; Water '!N25&gt;0,'BAN-L Electrical &amp; Water '!D25+'BAN-L Electrical &amp; Water '!F25+'BAN-L Electrical &amp; Water '!H25+'BAN-L Electrical &amp; Water '!J25+'BAN-L Electrical &amp; Water '!L25+'BAN-L Electrical &amp; Water '!N25,0)</f>
        <v>9865</v>
      </c>
      <c r="F20" s="25">
        <v>0.2</v>
      </c>
      <c r="G20" s="24"/>
      <c r="H20" s="25">
        <v>5.42</v>
      </c>
      <c r="I20" s="24">
        <f>IF('BAN-L Electrical &amp; Water '!P25+'BAN-L Electrical &amp; Water '!R25+'BAN-L Electrical &amp; Water '!T25&gt;0,'BAN-L Electrical &amp; Water '!P25+'BAN-L Electrical &amp; Water '!R25+'BAN-L Electrical &amp; Water '!T25,0)</f>
        <v>88</v>
      </c>
      <c r="J20" s="25">
        <v>7.84</v>
      </c>
      <c r="K20" s="24"/>
      <c r="L20" s="25">
        <v>7.84</v>
      </c>
      <c r="M20" s="32">
        <v>45</v>
      </c>
      <c r="N20" s="32">
        <v>136</v>
      </c>
    </row>
    <row r="21" spans="1:14" x14ac:dyDescent="0.25">
      <c r="A21" s="22" t="s">
        <v>14</v>
      </c>
      <c r="B21" s="23">
        <f t="shared" si="0"/>
        <v>20</v>
      </c>
      <c r="C21" s="23">
        <v>2</v>
      </c>
      <c r="D21" s="23">
        <v>2026</v>
      </c>
      <c r="E21" s="24">
        <f>IF('BAN-L Electrical &amp; Water '!D26+'BAN-L Electrical &amp; Water '!F26+'BAN-L Electrical &amp; Water '!H26+'BAN-L Electrical &amp; Water '!J26+'BAN-L Electrical &amp; Water '!L26+'BAN-L Electrical &amp; Water '!N26&gt;0,'BAN-L Electrical &amp; Water '!D26+'BAN-L Electrical &amp; Water '!F26+'BAN-L Electrical &amp; Water '!H26+'BAN-L Electrical &amp; Water '!J26+'BAN-L Electrical &amp; Water '!L26+'BAN-L Electrical &amp; Water '!N26,0)</f>
        <v>10972</v>
      </c>
      <c r="F21" s="25">
        <v>0.2</v>
      </c>
      <c r="G21" s="24"/>
      <c r="H21" s="25">
        <v>5.42</v>
      </c>
      <c r="I21" s="24">
        <f>IF('BAN-L Electrical &amp; Water '!P26+'BAN-L Electrical &amp; Water '!R26+'BAN-L Electrical &amp; Water '!T26&gt;0,'BAN-L Electrical &amp; Water '!P26+'BAN-L Electrical &amp; Water '!R26+'BAN-L Electrical &amp; Water '!T26,0)</f>
        <v>342</v>
      </c>
      <c r="J21" s="25">
        <v>7.84</v>
      </c>
      <c r="K21" s="24"/>
      <c r="L21" s="25">
        <v>7.84</v>
      </c>
      <c r="M21" s="32">
        <v>45</v>
      </c>
      <c r="N21" s="32">
        <v>130</v>
      </c>
    </row>
    <row r="22" spans="1:14" x14ac:dyDescent="0.25">
      <c r="A22" s="22" t="s">
        <v>14</v>
      </c>
      <c r="B22" s="23">
        <f t="shared" si="0"/>
        <v>21</v>
      </c>
      <c r="C22" s="23">
        <v>2</v>
      </c>
      <c r="D22" s="23">
        <v>2026</v>
      </c>
      <c r="E22" s="24">
        <f>IF('BAN-L Electrical &amp; Water '!D27+'BAN-L Electrical &amp; Water '!F27+'BAN-L Electrical &amp; Water '!H27+'BAN-L Electrical &amp; Water '!J27+'BAN-L Electrical &amp; Water '!L27+'BAN-L Electrical &amp; Water '!N27&gt;0,'BAN-L Electrical &amp; Water '!D27+'BAN-L Electrical &amp; Water '!F27+'BAN-L Electrical &amp; Water '!H27+'BAN-L Electrical &amp; Water '!J27+'BAN-L Electrical &amp; Water '!L27+'BAN-L Electrical &amp; Water '!N27,0)</f>
        <v>10232</v>
      </c>
      <c r="F22" s="25">
        <v>0.2</v>
      </c>
      <c r="G22" s="24"/>
      <c r="H22" s="25">
        <v>5.42</v>
      </c>
      <c r="I22" s="24">
        <f>IF('BAN-L Electrical &amp; Water '!P27+'BAN-L Electrical &amp; Water '!R27+'BAN-L Electrical &amp; Water '!T27&gt;0,'BAN-L Electrical &amp; Water '!P27+'BAN-L Electrical &amp; Water '!R27+'BAN-L Electrical &amp; Water '!T27,0)</f>
        <v>183</v>
      </c>
      <c r="J22" s="25">
        <v>7.84</v>
      </c>
      <c r="K22" s="24"/>
      <c r="L22" s="25">
        <v>7.84</v>
      </c>
      <c r="M22" s="32">
        <v>43</v>
      </c>
      <c r="N22" s="32">
        <v>122</v>
      </c>
    </row>
    <row r="23" spans="1:14" x14ac:dyDescent="0.25">
      <c r="A23" s="22" t="s">
        <v>14</v>
      </c>
      <c r="B23" s="23">
        <f t="shared" si="0"/>
        <v>22</v>
      </c>
      <c r="C23" s="23">
        <v>2</v>
      </c>
      <c r="D23" s="23">
        <v>2026</v>
      </c>
      <c r="E23" s="24">
        <f>IF('BAN-L Electrical &amp; Water '!D28+'BAN-L Electrical &amp; Water '!F28+'BAN-L Electrical &amp; Water '!H28+'BAN-L Electrical &amp; Water '!J28+'BAN-L Electrical &amp; Water '!L28+'BAN-L Electrical &amp; Water '!N28&gt;0,'BAN-L Electrical &amp; Water '!D28+'BAN-L Electrical &amp; Water '!F28+'BAN-L Electrical &amp; Water '!H28+'BAN-L Electrical &amp; Water '!J28+'BAN-L Electrical &amp; Water '!L28+'BAN-L Electrical &amp; Water '!N28,0)</f>
        <v>10684</v>
      </c>
      <c r="F23" s="25">
        <v>0.2</v>
      </c>
      <c r="G23" s="24"/>
      <c r="H23" s="25">
        <v>5.42</v>
      </c>
      <c r="I23" s="24">
        <f>IF('BAN-L Electrical &amp; Water '!P28+'BAN-L Electrical &amp; Water '!R28+'BAN-L Electrical &amp; Water '!T28&gt;0,'BAN-L Electrical &amp; Water '!P28+'BAN-L Electrical &amp; Water '!R28+'BAN-L Electrical &amp; Water '!T28,0)</f>
        <v>249</v>
      </c>
      <c r="J23" s="25">
        <v>7.84</v>
      </c>
      <c r="K23" s="24"/>
      <c r="L23" s="25">
        <v>7.84</v>
      </c>
      <c r="M23" s="32">
        <v>42</v>
      </c>
      <c r="N23" s="32">
        <v>128</v>
      </c>
    </row>
    <row r="24" spans="1:14" x14ac:dyDescent="0.25">
      <c r="A24" s="22" t="s">
        <v>14</v>
      </c>
      <c r="B24" s="23">
        <f t="shared" si="0"/>
        <v>23</v>
      </c>
      <c r="C24" s="23">
        <v>2</v>
      </c>
      <c r="D24" s="23">
        <v>2026</v>
      </c>
      <c r="E24" s="24">
        <f>IF('BAN-L Electrical &amp; Water '!D29+'BAN-L Electrical &amp; Water '!F29+'BAN-L Electrical &amp; Water '!H29+'BAN-L Electrical &amp; Water '!J29+'BAN-L Electrical &amp; Water '!L29+'BAN-L Electrical &amp; Water '!N29&gt;0,'BAN-L Electrical &amp; Water '!D29+'BAN-L Electrical &amp; Water '!F29+'BAN-L Electrical &amp; Water '!H29+'BAN-L Electrical &amp; Water '!J29+'BAN-L Electrical &amp; Water '!L29+'BAN-L Electrical &amp; Water '!N29,0)</f>
        <v>10640</v>
      </c>
      <c r="F24" s="25">
        <v>0.2</v>
      </c>
      <c r="G24" s="24"/>
      <c r="H24" s="25">
        <v>5.42</v>
      </c>
      <c r="I24" s="24">
        <f>IF('BAN-L Electrical &amp; Water '!P29+'BAN-L Electrical &amp; Water '!R29+'BAN-L Electrical &amp; Water '!T29&gt;0,'BAN-L Electrical &amp; Water '!P29+'BAN-L Electrical &amp; Water '!R29+'BAN-L Electrical &amp; Water '!T29,0)</f>
        <v>223</v>
      </c>
      <c r="J24" s="25">
        <v>7.84</v>
      </c>
      <c r="K24" s="24"/>
      <c r="L24" s="25">
        <v>7.84</v>
      </c>
      <c r="M24" s="32">
        <v>39</v>
      </c>
      <c r="N24" s="32">
        <v>119</v>
      </c>
    </row>
    <row r="25" spans="1:14" x14ac:dyDescent="0.25">
      <c r="A25" s="22" t="s">
        <v>14</v>
      </c>
      <c r="B25" s="23">
        <f t="shared" si="0"/>
        <v>24</v>
      </c>
      <c r="C25" s="23">
        <v>2</v>
      </c>
      <c r="D25" s="23">
        <v>2026</v>
      </c>
      <c r="E25" s="24">
        <f>IF('BAN-L Electrical &amp; Water '!D30+'BAN-L Electrical &amp; Water '!F30+'BAN-L Electrical &amp; Water '!H30+'BAN-L Electrical &amp; Water '!J30+'BAN-L Electrical &amp; Water '!L30+'BAN-L Electrical &amp; Water '!N30&gt;0,'BAN-L Electrical &amp; Water '!D30+'BAN-L Electrical &amp; Water '!F30+'BAN-L Electrical &amp; Water '!H30+'BAN-L Electrical &amp; Water '!J30+'BAN-L Electrical &amp; Water '!L30+'BAN-L Electrical &amp; Water '!N30,0)</f>
        <v>10265</v>
      </c>
      <c r="F25" s="25">
        <v>0.2</v>
      </c>
      <c r="G25" s="24"/>
      <c r="H25" s="25">
        <v>5.42</v>
      </c>
      <c r="I25" s="24">
        <f>IF('BAN-L Electrical &amp; Water '!P30+'BAN-L Electrical &amp; Water '!R30+'BAN-L Electrical &amp; Water '!T30&gt;0,'BAN-L Electrical &amp; Water '!P30+'BAN-L Electrical &amp; Water '!R30+'BAN-L Electrical &amp; Water '!T30,0)</f>
        <v>257</v>
      </c>
      <c r="J25" s="25">
        <v>7.84</v>
      </c>
      <c r="K25" s="24"/>
      <c r="L25" s="25">
        <v>7.84</v>
      </c>
      <c r="M25" s="32">
        <v>37</v>
      </c>
      <c r="N25" s="32">
        <v>102</v>
      </c>
    </row>
    <row r="26" spans="1:14" x14ac:dyDescent="0.25">
      <c r="A26" s="22" t="s">
        <v>14</v>
      </c>
      <c r="B26" s="23">
        <f>B25+1</f>
        <v>25</v>
      </c>
      <c r="C26" s="23">
        <v>2</v>
      </c>
      <c r="D26" s="23">
        <v>2026</v>
      </c>
      <c r="E26" s="24">
        <f>IF('BAN-L Electrical &amp; Water '!D31+'BAN-L Electrical &amp; Water '!F31+'BAN-L Electrical &amp; Water '!H31+'BAN-L Electrical &amp; Water '!J31+'BAN-L Electrical &amp; Water '!L31+'BAN-L Electrical &amp; Water '!N31&gt;0,'BAN-L Electrical &amp; Water '!D31+'BAN-L Electrical &amp; Water '!F31+'BAN-L Electrical &amp; Water '!H31+'BAN-L Electrical &amp; Water '!J31+'BAN-L Electrical &amp; Water '!L31+'BAN-L Electrical &amp; Water '!N31,0)</f>
        <v>10204</v>
      </c>
      <c r="F26" s="25">
        <v>0.2</v>
      </c>
      <c r="G26" s="24"/>
      <c r="H26" s="25">
        <v>5.42</v>
      </c>
      <c r="I26" s="24">
        <f>IF('BAN-L Electrical &amp; Water '!P31+'BAN-L Electrical &amp; Water '!R31+'BAN-L Electrical &amp; Water '!T31&gt;0,'BAN-L Electrical &amp; Water '!P31+'BAN-L Electrical &amp; Water '!R31+'BAN-L Electrical &amp; Water '!T31,0)</f>
        <v>221</v>
      </c>
      <c r="J26" s="25">
        <v>7.84</v>
      </c>
      <c r="K26" s="24"/>
      <c r="L26" s="25">
        <v>7.84</v>
      </c>
      <c r="M26" s="32">
        <v>26</v>
      </c>
      <c r="N26" s="32">
        <v>68</v>
      </c>
    </row>
    <row r="27" spans="1:14" x14ac:dyDescent="0.25">
      <c r="A27" s="22" t="s">
        <v>14</v>
      </c>
      <c r="B27" s="23">
        <f t="shared" si="0"/>
        <v>26</v>
      </c>
      <c r="C27" s="23">
        <v>2</v>
      </c>
      <c r="D27" s="23">
        <v>2026</v>
      </c>
      <c r="E27" s="24">
        <f>IF('BAN-L Electrical &amp; Water '!D32+'BAN-L Electrical &amp; Water '!F32+'BAN-L Electrical &amp; Water '!H32+'BAN-L Electrical &amp; Water '!J32+'BAN-L Electrical &amp; Water '!L32+'BAN-L Electrical &amp; Water '!N32&gt;0,'BAN-L Electrical &amp; Water '!D32+'BAN-L Electrical &amp; Water '!F32+'BAN-L Electrical &amp; Water '!H32+'BAN-L Electrical &amp; Water '!J32+'BAN-L Electrical &amp; Water '!L32+'BAN-L Electrical &amp; Water '!N32,0)</f>
        <v>10914</v>
      </c>
      <c r="F27" s="25">
        <v>0.2</v>
      </c>
      <c r="G27" s="24"/>
      <c r="H27" s="25">
        <v>5.42</v>
      </c>
      <c r="I27" s="24">
        <f>IF('BAN-L Electrical &amp; Water '!P32+'BAN-L Electrical &amp; Water '!R32+'BAN-L Electrical &amp; Water '!T32&gt;0,'BAN-L Electrical &amp; Water '!P32+'BAN-L Electrical &amp; Water '!R32+'BAN-L Electrical &amp; Water '!T32,0)</f>
        <v>269</v>
      </c>
      <c r="J27" s="25">
        <v>7.84</v>
      </c>
      <c r="K27" s="24"/>
      <c r="L27" s="25">
        <v>7.84</v>
      </c>
      <c r="M27" s="32">
        <v>19</v>
      </c>
      <c r="N27" s="32">
        <v>52</v>
      </c>
    </row>
    <row r="28" spans="1:14" x14ac:dyDescent="0.25">
      <c r="A28" s="22" t="s">
        <v>14</v>
      </c>
      <c r="B28" s="23">
        <f t="shared" si="0"/>
        <v>27</v>
      </c>
      <c r="C28" s="23">
        <v>2</v>
      </c>
      <c r="D28" s="23">
        <v>2026</v>
      </c>
      <c r="E28" s="24">
        <f>IF('BAN-L Electrical &amp; Water '!D33+'BAN-L Electrical &amp; Water '!F33+'BAN-L Electrical &amp; Water '!H33+'BAN-L Electrical &amp; Water '!J33+'BAN-L Electrical &amp; Water '!L33+'BAN-L Electrical &amp; Water '!N33&gt;0,'BAN-L Electrical &amp; Water '!D33+'BAN-L Electrical &amp; Water '!F33+'BAN-L Electrical &amp; Water '!H33+'BAN-L Electrical &amp; Water '!J33+'BAN-L Electrical &amp; Water '!L33+'BAN-L Electrical &amp; Water '!N33,0)</f>
        <v>9754</v>
      </c>
      <c r="F28" s="25">
        <v>0.2</v>
      </c>
      <c r="G28" s="24"/>
      <c r="H28" s="25">
        <v>5.42</v>
      </c>
      <c r="I28" s="24">
        <f>IF('BAN-L Electrical &amp; Water '!P33+'BAN-L Electrical &amp; Water '!R33+'BAN-L Electrical &amp; Water '!T33&gt;0,'BAN-L Electrical &amp; Water '!P33+'BAN-L Electrical &amp; Water '!R33+'BAN-L Electrical &amp; Water '!T33,0)</f>
        <v>272</v>
      </c>
      <c r="J28" s="25">
        <v>7.84</v>
      </c>
      <c r="K28" s="24"/>
      <c r="L28" s="25">
        <v>7.84</v>
      </c>
      <c r="M28" s="32">
        <v>35</v>
      </c>
      <c r="N28" s="32">
        <v>101</v>
      </c>
    </row>
    <row r="29" spans="1:14" x14ac:dyDescent="0.25">
      <c r="A29" s="22" t="s">
        <v>14</v>
      </c>
      <c r="B29" s="23">
        <f t="shared" si="0"/>
        <v>28</v>
      </c>
      <c r="C29" s="23">
        <v>2</v>
      </c>
      <c r="D29" s="23">
        <v>2026</v>
      </c>
      <c r="E29" s="24">
        <f>IF('BAN-L Electrical &amp; Water '!D34+'BAN-L Electrical &amp; Water '!F34+'BAN-L Electrical &amp; Water '!H34+'BAN-L Electrical &amp; Water '!J34+'BAN-L Electrical &amp; Water '!L34+'BAN-L Electrical &amp; Water '!N34&gt;0,'BAN-L Electrical &amp; Water '!D34+'BAN-L Electrical &amp; Water '!F34+'BAN-L Electrical &amp; Water '!H34+'BAN-L Electrical &amp; Water '!J34+'BAN-L Electrical &amp; Water '!L34+'BAN-L Electrical &amp; Water '!N34,0)</f>
        <v>10009</v>
      </c>
      <c r="F29" s="25">
        <v>0.2</v>
      </c>
      <c r="G29" s="24"/>
      <c r="H29" s="25">
        <v>5.42</v>
      </c>
      <c r="I29" s="24">
        <f>IF('BAN-L Electrical &amp; Water '!P34+'BAN-L Electrical &amp; Water '!R34+'BAN-L Electrical &amp; Water '!T34&gt;0,'BAN-L Electrical &amp; Water '!P34+'BAN-L Electrical &amp; Water '!R34+'BAN-L Electrical &amp; Water '!T34,0)</f>
        <v>292</v>
      </c>
      <c r="J29" s="25">
        <v>7.84</v>
      </c>
      <c r="K29" s="24"/>
      <c r="L29" s="25">
        <v>7.84</v>
      </c>
      <c r="M29" s="32">
        <v>53</v>
      </c>
      <c r="N29" s="32">
        <v>147</v>
      </c>
    </row>
    <row r="30" spans="1:14" x14ac:dyDescent="0.25">
      <c r="A30" s="22"/>
      <c r="E30" s="24"/>
      <c r="G30" s="24"/>
      <c r="I30" s="24"/>
      <c r="J30" s="25"/>
      <c r="K30" s="24"/>
      <c r="L30" s="25"/>
      <c r="M30" s="32">
        <f>SUM(M2:M29)</f>
        <v>1042</v>
      </c>
      <c r="N30" s="32">
        <f>SUM(N2:N29)</f>
        <v>2970</v>
      </c>
    </row>
    <row r="31" spans="1:14" x14ac:dyDescent="0.25">
      <c r="A31" s="22"/>
      <c r="E31" s="24"/>
      <c r="G31" s="24"/>
      <c r="I31" s="24"/>
      <c r="J31" s="25"/>
      <c r="K31" s="24"/>
      <c r="L31" s="25"/>
      <c r="M31" s="32"/>
      <c r="N31" s="32"/>
    </row>
    <row r="32" spans="1:14" x14ac:dyDescent="0.25">
      <c r="A32" s="22"/>
      <c r="E32" s="24"/>
      <c r="G32" s="24"/>
      <c r="I32" s="24"/>
      <c r="J32" s="25"/>
      <c r="K32" s="24"/>
      <c r="L32" s="25"/>
      <c r="M32" s="32"/>
      <c r="N32" s="32"/>
    </row>
    <row r="33" spans="7:9" x14ac:dyDescent="0.25">
      <c r="G33" s="24"/>
      <c r="I33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35"/>
  <sheetViews>
    <sheetView tabSelected="1" topLeftCell="H14" zoomScale="60" zoomScaleNormal="60" zoomScaleSheetLayoutView="90" zoomScalePageLayoutView="52" workbookViewId="0">
      <selection activeCell="D36" sqref="D36"/>
    </sheetView>
  </sheetViews>
  <sheetFormatPr defaultRowHeight="15" x14ac:dyDescent="0.25"/>
  <cols>
    <col min="1" max="2" width="21.42578125" customWidth="1"/>
    <col min="3" max="3" width="30.42578125" style="1" bestFit="1" customWidth="1"/>
    <col min="4" max="4" width="31.140625" style="1" customWidth="1"/>
    <col min="5" max="5" width="33.28515625" style="1" customWidth="1"/>
    <col min="6" max="6" width="31.140625" style="1" customWidth="1"/>
    <col min="7" max="7" width="30.42578125" style="1" bestFit="1" customWidth="1"/>
    <col min="8" max="8" width="31.140625" style="1" customWidth="1"/>
    <col min="9" max="9" width="30.42578125" style="1" bestFit="1" customWidth="1"/>
    <col min="10" max="10" width="31.140625" style="1" customWidth="1"/>
    <col min="11" max="11" width="30.42578125" style="1" bestFit="1" customWidth="1"/>
    <col min="12" max="12" width="31.140625" style="1" customWidth="1"/>
    <col min="13" max="13" width="33.28515625" style="1" customWidth="1"/>
    <col min="14" max="14" width="31.140625" style="1" customWidth="1"/>
    <col min="15" max="15" width="30.85546875" style="5" customWidth="1"/>
    <col min="16" max="16" width="30.42578125" style="5" customWidth="1"/>
    <col min="17" max="17" width="30.85546875" style="5" customWidth="1"/>
    <col min="18" max="18" width="30.42578125" style="5" customWidth="1"/>
    <col min="19" max="19" width="30.85546875" style="5" customWidth="1"/>
    <col min="20" max="20" width="30.42578125" style="5" customWidth="1"/>
    <col min="21" max="21" width="55.7109375" style="1" bestFit="1" customWidth="1"/>
  </cols>
  <sheetData>
    <row r="1" spans="1:24" ht="95.1" customHeight="1" thickBot="1" x14ac:dyDescent="0.3">
      <c r="C1" s="38" t="s">
        <v>15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X1" s="2"/>
    </row>
    <row r="2" spans="1:24" s="1" customFormat="1" ht="54.75" customHeight="1" thickBot="1" x14ac:dyDescent="0.3">
      <c r="A2" s="8" t="s">
        <v>16</v>
      </c>
      <c r="B2" s="37" t="s">
        <v>17</v>
      </c>
      <c r="C2" s="11" t="s">
        <v>18</v>
      </c>
      <c r="D2" s="36" t="s">
        <v>19</v>
      </c>
      <c r="E2" s="11" t="s">
        <v>20</v>
      </c>
      <c r="F2" s="36" t="s">
        <v>19</v>
      </c>
      <c r="G2" s="11" t="s">
        <v>21</v>
      </c>
      <c r="H2" s="36" t="s">
        <v>19</v>
      </c>
      <c r="I2" s="11" t="s">
        <v>22</v>
      </c>
      <c r="J2" s="36" t="s">
        <v>19</v>
      </c>
      <c r="K2" s="11" t="s">
        <v>23</v>
      </c>
      <c r="L2" s="36" t="s">
        <v>19</v>
      </c>
      <c r="M2" s="11" t="s">
        <v>24</v>
      </c>
      <c r="N2" s="36" t="s">
        <v>19</v>
      </c>
      <c r="O2" s="35" t="s">
        <v>25</v>
      </c>
      <c r="P2" s="35" t="s">
        <v>19</v>
      </c>
      <c r="Q2" s="35" t="s">
        <v>26</v>
      </c>
      <c r="R2" s="35" t="s">
        <v>19</v>
      </c>
      <c r="S2" s="35" t="s">
        <v>27</v>
      </c>
      <c r="T2" s="35" t="s">
        <v>19</v>
      </c>
      <c r="U2" s="40" t="s">
        <v>28</v>
      </c>
    </row>
    <row r="3" spans="1:24" ht="60" customHeight="1" thickBot="1" x14ac:dyDescent="0.3">
      <c r="A3" s="8" t="s">
        <v>29</v>
      </c>
      <c r="B3" s="37"/>
      <c r="C3" s="14" t="s">
        <v>30</v>
      </c>
      <c r="D3" s="36"/>
      <c r="E3" s="14" t="s">
        <v>31</v>
      </c>
      <c r="F3" s="36"/>
      <c r="G3" s="14" t="s">
        <v>32</v>
      </c>
      <c r="H3" s="36"/>
      <c r="I3" s="14" t="s">
        <v>33</v>
      </c>
      <c r="J3" s="36"/>
      <c r="K3" s="14" t="s">
        <v>34</v>
      </c>
      <c r="L3" s="36"/>
      <c r="M3" s="14" t="s">
        <v>35</v>
      </c>
      <c r="N3" s="36"/>
      <c r="O3" s="35"/>
      <c r="P3" s="35"/>
      <c r="Q3" s="35"/>
      <c r="R3" s="35"/>
      <c r="S3" s="35"/>
      <c r="T3" s="35"/>
      <c r="U3" s="40"/>
    </row>
    <row r="4" spans="1:24" ht="46.5" customHeight="1" thickBot="1" x14ac:dyDescent="0.3">
      <c r="A4" s="37" t="s">
        <v>36</v>
      </c>
      <c r="B4" s="37"/>
      <c r="C4" s="36" t="s">
        <v>37</v>
      </c>
      <c r="D4" s="36"/>
      <c r="E4" s="36" t="s">
        <v>37</v>
      </c>
      <c r="F4" s="36"/>
      <c r="G4" s="36" t="s">
        <v>37</v>
      </c>
      <c r="H4" s="36"/>
      <c r="I4" s="36" t="s">
        <v>37</v>
      </c>
      <c r="J4" s="36"/>
      <c r="K4" s="36" t="s">
        <v>37</v>
      </c>
      <c r="L4" s="36"/>
      <c r="M4" s="36" t="s">
        <v>37</v>
      </c>
      <c r="N4" s="36"/>
      <c r="O4" s="35"/>
      <c r="P4" s="35"/>
      <c r="Q4" s="35"/>
      <c r="R4" s="35"/>
      <c r="S4" s="35"/>
      <c r="T4" s="35"/>
      <c r="U4" s="40"/>
    </row>
    <row r="5" spans="1:24" ht="24.95" customHeight="1" thickBot="1" x14ac:dyDescent="0.3">
      <c r="A5" s="37"/>
      <c r="B5" s="37"/>
      <c r="C5" s="36"/>
      <c r="D5" s="12" t="s">
        <v>38</v>
      </c>
      <c r="E5" s="36"/>
      <c r="F5" s="12" t="s">
        <v>38</v>
      </c>
      <c r="G5" s="36"/>
      <c r="H5" s="12" t="s">
        <v>38</v>
      </c>
      <c r="I5" s="36"/>
      <c r="J5" s="12" t="s">
        <v>38</v>
      </c>
      <c r="K5" s="36"/>
      <c r="L5" s="12" t="s">
        <v>38</v>
      </c>
      <c r="M5" s="36"/>
      <c r="N5" s="12">
        <v>0</v>
      </c>
      <c r="O5" s="13" t="s">
        <v>39</v>
      </c>
      <c r="P5" s="13" t="s">
        <v>39</v>
      </c>
      <c r="Q5" s="13" t="s">
        <v>39</v>
      </c>
      <c r="R5" s="13" t="s">
        <v>39</v>
      </c>
      <c r="S5" s="13" t="s">
        <v>39</v>
      </c>
      <c r="T5" s="13" t="s">
        <v>39</v>
      </c>
      <c r="U5" s="40"/>
    </row>
    <row r="6" spans="1:24" ht="39" customHeight="1" x14ac:dyDescent="0.3">
      <c r="A6" s="6">
        <v>46053</v>
      </c>
      <c r="B6" s="15">
        <v>0.375</v>
      </c>
      <c r="C6" s="33">
        <v>1567469</v>
      </c>
      <c r="D6" s="30">
        <v>0</v>
      </c>
      <c r="E6" s="33">
        <v>1378554</v>
      </c>
      <c r="F6" s="30">
        <v>0</v>
      </c>
      <c r="G6" s="33">
        <v>1819721</v>
      </c>
      <c r="H6" s="30">
        <v>0</v>
      </c>
      <c r="I6" s="33">
        <v>2199529</v>
      </c>
      <c r="J6" s="30">
        <v>0</v>
      </c>
      <c r="K6" s="33">
        <v>2380794</v>
      </c>
      <c r="L6" s="30">
        <v>0</v>
      </c>
      <c r="M6" s="33">
        <v>5196622</v>
      </c>
      <c r="N6" s="30">
        <v>6633</v>
      </c>
      <c r="O6" s="34">
        <v>20081</v>
      </c>
      <c r="P6" s="31">
        <v>0</v>
      </c>
      <c r="Q6" s="34">
        <v>8742</v>
      </c>
      <c r="R6" s="31">
        <v>0</v>
      </c>
      <c r="S6" s="34">
        <v>13601</v>
      </c>
      <c r="T6" s="9">
        <v>0</v>
      </c>
      <c r="U6" s="7"/>
    </row>
    <row r="7" spans="1:24" ht="39" customHeight="1" x14ac:dyDescent="0.3">
      <c r="A7" s="6">
        <v>46054</v>
      </c>
      <c r="B7" s="16">
        <v>0.22916666666666666</v>
      </c>
      <c r="C7" s="33">
        <v>1568275</v>
      </c>
      <c r="D7" s="4">
        <f t="shared" ref="D7:D34" si="0">C7-C6</f>
        <v>806</v>
      </c>
      <c r="E7" s="33">
        <v>1379608</v>
      </c>
      <c r="F7" s="4">
        <f>E7-E6</f>
        <v>1054</v>
      </c>
      <c r="G7" s="33">
        <v>1820934</v>
      </c>
      <c r="H7" s="4">
        <f>G7-G6</f>
        <v>1213</v>
      </c>
      <c r="I7" s="33">
        <v>2200787</v>
      </c>
      <c r="J7" s="4">
        <f>I7-I6</f>
        <v>1258</v>
      </c>
      <c r="K7" s="33">
        <v>2382042</v>
      </c>
      <c r="L7" s="4">
        <f>K7-K6</f>
        <v>1248</v>
      </c>
      <c r="M7" s="33">
        <v>5200408</v>
      </c>
      <c r="N7" s="4">
        <f>M7-M6</f>
        <v>3786</v>
      </c>
      <c r="O7" s="34">
        <v>20179</v>
      </c>
      <c r="P7" s="10">
        <f>O7-O6</f>
        <v>98</v>
      </c>
      <c r="Q7" s="34">
        <v>8776</v>
      </c>
      <c r="R7" s="10">
        <f>Q7-Q6</f>
        <v>34</v>
      </c>
      <c r="S7" s="34">
        <v>13685</v>
      </c>
      <c r="T7" s="10">
        <f>S7-S6</f>
        <v>84</v>
      </c>
      <c r="U7" s="3"/>
    </row>
    <row r="8" spans="1:24" ht="39" customHeight="1" x14ac:dyDescent="0.3">
      <c r="A8" s="6">
        <v>46055</v>
      </c>
      <c r="B8" s="16">
        <v>0.2638888888888889</v>
      </c>
      <c r="C8" s="33">
        <v>1569215</v>
      </c>
      <c r="D8" s="4">
        <f t="shared" si="0"/>
        <v>940</v>
      </c>
      <c r="E8" s="33">
        <v>1380611</v>
      </c>
      <c r="F8" s="4">
        <f t="shared" ref="F8:F34" si="1">E8-E7</f>
        <v>1003</v>
      </c>
      <c r="G8" s="33">
        <v>1821991</v>
      </c>
      <c r="H8" s="4">
        <f t="shared" ref="H8:H34" si="2">G8-G7</f>
        <v>1057</v>
      </c>
      <c r="I8" s="33">
        <v>2202013</v>
      </c>
      <c r="J8" s="4">
        <f t="shared" ref="J8:J34" si="3">I8-I7</f>
        <v>1226</v>
      </c>
      <c r="K8" s="33">
        <v>2383323</v>
      </c>
      <c r="L8" s="4">
        <f t="shared" ref="L8:L31" si="4">K8-K7</f>
        <v>1281</v>
      </c>
      <c r="M8" s="33">
        <v>5204279</v>
      </c>
      <c r="N8" s="4">
        <f t="shared" ref="N8:N34" si="5">M8-M7</f>
        <v>3871</v>
      </c>
      <c r="O8" s="34">
        <v>20214</v>
      </c>
      <c r="P8" s="10">
        <f t="shared" ref="P8:P34" si="6">O8-O7</f>
        <v>35</v>
      </c>
      <c r="Q8" s="34">
        <v>8823</v>
      </c>
      <c r="R8" s="10">
        <f t="shared" ref="R8:R34" si="7">Q8-Q7</f>
        <v>47</v>
      </c>
      <c r="S8" s="34">
        <v>13742</v>
      </c>
      <c r="T8" s="10">
        <f>S8-S7</f>
        <v>57</v>
      </c>
      <c r="U8" s="3"/>
    </row>
    <row r="9" spans="1:24" ht="39" customHeight="1" x14ac:dyDescent="0.3">
      <c r="A9" s="6">
        <v>46056</v>
      </c>
      <c r="B9" s="16">
        <v>0.21527777777777779</v>
      </c>
      <c r="C9" s="33">
        <v>1570160</v>
      </c>
      <c r="D9" s="4">
        <f t="shared" si="0"/>
        <v>945</v>
      </c>
      <c r="E9" s="33">
        <v>1381627</v>
      </c>
      <c r="F9" s="4">
        <f t="shared" si="1"/>
        <v>1016</v>
      </c>
      <c r="G9" s="33">
        <v>1823031</v>
      </c>
      <c r="H9" s="4">
        <f t="shared" si="2"/>
        <v>1040</v>
      </c>
      <c r="I9" s="33">
        <v>2203267</v>
      </c>
      <c r="J9" s="4">
        <f t="shared" si="3"/>
        <v>1254</v>
      </c>
      <c r="K9" s="33">
        <v>2384664</v>
      </c>
      <c r="L9" s="4">
        <f t="shared" si="4"/>
        <v>1341</v>
      </c>
      <c r="M9" s="33">
        <v>5208034</v>
      </c>
      <c r="N9" s="4">
        <f t="shared" si="5"/>
        <v>3755</v>
      </c>
      <c r="O9" s="34">
        <v>20307</v>
      </c>
      <c r="P9" s="10">
        <f t="shared" si="6"/>
        <v>93</v>
      </c>
      <c r="Q9" s="34">
        <v>8858</v>
      </c>
      <c r="R9" s="10">
        <f t="shared" si="7"/>
        <v>35</v>
      </c>
      <c r="S9" s="34">
        <v>13795</v>
      </c>
      <c r="T9" s="10">
        <f t="shared" ref="T9:T34" si="8">S9-S8</f>
        <v>53</v>
      </c>
      <c r="U9" s="3"/>
    </row>
    <row r="10" spans="1:24" ht="39" customHeight="1" x14ac:dyDescent="0.3">
      <c r="A10" s="6">
        <v>46057</v>
      </c>
      <c r="B10" s="16">
        <v>0.22222222222222221</v>
      </c>
      <c r="C10" s="33">
        <v>1571078</v>
      </c>
      <c r="D10" s="4">
        <f t="shared" si="0"/>
        <v>918</v>
      </c>
      <c r="E10" s="33">
        <v>1382646</v>
      </c>
      <c r="F10" s="4">
        <f t="shared" si="1"/>
        <v>1019</v>
      </c>
      <c r="G10" s="33">
        <v>1824143</v>
      </c>
      <c r="H10" s="4">
        <f t="shared" si="2"/>
        <v>1112</v>
      </c>
      <c r="I10" s="33">
        <v>2204552</v>
      </c>
      <c r="J10" s="4">
        <f t="shared" si="3"/>
        <v>1285</v>
      </c>
      <c r="K10" s="33">
        <v>2386095</v>
      </c>
      <c r="L10" s="4">
        <f t="shared" si="4"/>
        <v>1431</v>
      </c>
      <c r="M10" s="33">
        <v>5211757</v>
      </c>
      <c r="N10" s="4">
        <f t="shared" si="5"/>
        <v>3723</v>
      </c>
      <c r="O10" s="34">
        <v>20406</v>
      </c>
      <c r="P10" s="10">
        <f t="shared" si="6"/>
        <v>99</v>
      </c>
      <c r="Q10" s="34">
        <v>8892</v>
      </c>
      <c r="R10" s="10">
        <f t="shared" si="7"/>
        <v>34</v>
      </c>
      <c r="S10" s="34">
        <v>13881</v>
      </c>
      <c r="T10" s="10">
        <f t="shared" si="8"/>
        <v>86</v>
      </c>
      <c r="U10" s="3"/>
    </row>
    <row r="11" spans="1:24" ht="39" customHeight="1" x14ac:dyDescent="0.3">
      <c r="A11" s="6">
        <v>46058</v>
      </c>
      <c r="B11" s="16">
        <v>0.23611111111111113</v>
      </c>
      <c r="C11" s="33">
        <v>1571944</v>
      </c>
      <c r="D11" s="4">
        <f t="shared" si="0"/>
        <v>866</v>
      </c>
      <c r="E11" s="33">
        <v>1383757</v>
      </c>
      <c r="F11" s="4">
        <f t="shared" si="1"/>
        <v>1111</v>
      </c>
      <c r="G11" s="33">
        <v>1825289</v>
      </c>
      <c r="H11" s="4">
        <f t="shared" si="2"/>
        <v>1146</v>
      </c>
      <c r="I11" s="33">
        <v>2205925</v>
      </c>
      <c r="J11" s="4">
        <f t="shared" si="3"/>
        <v>1373</v>
      </c>
      <c r="K11" s="33">
        <v>2387527</v>
      </c>
      <c r="L11" s="4">
        <f t="shared" si="4"/>
        <v>1432</v>
      </c>
      <c r="M11" s="33">
        <v>5215734</v>
      </c>
      <c r="N11" s="4">
        <f t="shared" si="5"/>
        <v>3977</v>
      </c>
      <c r="O11" s="34">
        <v>20490</v>
      </c>
      <c r="P11" s="10">
        <f t="shared" si="6"/>
        <v>84</v>
      </c>
      <c r="Q11" s="34">
        <v>8937</v>
      </c>
      <c r="R11" s="10">
        <f t="shared" si="7"/>
        <v>45</v>
      </c>
      <c r="S11" s="34">
        <v>13934</v>
      </c>
      <c r="T11" s="10">
        <f t="shared" si="8"/>
        <v>53</v>
      </c>
      <c r="U11" s="3"/>
    </row>
    <row r="12" spans="1:24" ht="39" customHeight="1" x14ac:dyDescent="0.3">
      <c r="A12" s="6">
        <v>46059</v>
      </c>
      <c r="B12" s="16">
        <v>0.22916666666666666</v>
      </c>
      <c r="C12" s="33">
        <v>1572867</v>
      </c>
      <c r="D12" s="4">
        <f t="shared" si="0"/>
        <v>923</v>
      </c>
      <c r="E12" s="33">
        <v>1384853</v>
      </c>
      <c r="F12" s="4">
        <f t="shared" si="1"/>
        <v>1096</v>
      </c>
      <c r="G12" s="33">
        <v>1826498</v>
      </c>
      <c r="H12" s="4">
        <f t="shared" si="2"/>
        <v>1209</v>
      </c>
      <c r="I12" s="33">
        <v>2207285</v>
      </c>
      <c r="J12" s="4">
        <f t="shared" si="3"/>
        <v>1360</v>
      </c>
      <c r="K12" s="33">
        <v>2388946</v>
      </c>
      <c r="L12" s="4">
        <f t="shared" si="4"/>
        <v>1419</v>
      </c>
      <c r="M12" s="33">
        <v>5219184</v>
      </c>
      <c r="N12" s="4">
        <f t="shared" si="5"/>
        <v>3450</v>
      </c>
      <c r="O12" s="34">
        <v>20646</v>
      </c>
      <c r="P12" s="10">
        <f t="shared" si="6"/>
        <v>156</v>
      </c>
      <c r="Q12" s="34">
        <v>8981</v>
      </c>
      <c r="R12" s="10">
        <f t="shared" si="7"/>
        <v>44</v>
      </c>
      <c r="S12" s="34">
        <v>14009</v>
      </c>
      <c r="T12" s="10">
        <f t="shared" si="8"/>
        <v>75</v>
      </c>
      <c r="U12" s="3"/>
    </row>
    <row r="13" spans="1:24" ht="39" customHeight="1" x14ac:dyDescent="0.3">
      <c r="A13" s="6">
        <v>46060</v>
      </c>
      <c r="B13" s="16">
        <v>0.24305555555555555</v>
      </c>
      <c r="C13" s="33">
        <v>1573949</v>
      </c>
      <c r="D13" s="4">
        <f t="shared" si="0"/>
        <v>1082</v>
      </c>
      <c r="E13" s="33">
        <v>1385910</v>
      </c>
      <c r="F13" s="4">
        <f t="shared" si="1"/>
        <v>1057</v>
      </c>
      <c r="G13" s="33">
        <v>1827767</v>
      </c>
      <c r="H13" s="4">
        <f t="shared" si="2"/>
        <v>1269</v>
      </c>
      <c r="I13" s="33">
        <v>2208669</v>
      </c>
      <c r="J13" s="4">
        <f t="shared" si="3"/>
        <v>1384</v>
      </c>
      <c r="K13" s="33">
        <v>2390432</v>
      </c>
      <c r="L13" s="4">
        <f t="shared" si="4"/>
        <v>1486</v>
      </c>
      <c r="M13" s="33">
        <v>5222648</v>
      </c>
      <c r="N13" s="4">
        <f t="shared" si="5"/>
        <v>3464</v>
      </c>
      <c r="O13" s="34">
        <v>20805</v>
      </c>
      <c r="P13" s="10">
        <f t="shared" si="6"/>
        <v>159</v>
      </c>
      <c r="Q13" s="34">
        <v>9027</v>
      </c>
      <c r="R13" s="10">
        <f t="shared" si="7"/>
        <v>46</v>
      </c>
      <c r="S13" s="34">
        <v>14071</v>
      </c>
      <c r="T13" s="10">
        <f t="shared" si="8"/>
        <v>62</v>
      </c>
      <c r="U13" s="3"/>
    </row>
    <row r="14" spans="1:24" ht="39" customHeight="1" x14ac:dyDescent="0.3">
      <c r="A14" s="6">
        <v>46061</v>
      </c>
      <c r="B14" s="16">
        <v>0.22222222222222221</v>
      </c>
      <c r="C14" s="33">
        <v>1575039</v>
      </c>
      <c r="D14" s="4">
        <f t="shared" si="0"/>
        <v>1090</v>
      </c>
      <c r="E14" s="33">
        <v>1386944</v>
      </c>
      <c r="F14" s="4">
        <f t="shared" si="1"/>
        <v>1034</v>
      </c>
      <c r="G14" s="33">
        <v>1829000</v>
      </c>
      <c r="H14" s="4">
        <f t="shared" si="2"/>
        <v>1233</v>
      </c>
      <c r="I14" s="33">
        <v>2210053</v>
      </c>
      <c r="J14" s="4">
        <f t="shared" si="3"/>
        <v>1384</v>
      </c>
      <c r="K14" s="33">
        <v>2391949</v>
      </c>
      <c r="L14" s="4">
        <f t="shared" si="4"/>
        <v>1517</v>
      </c>
      <c r="M14" s="33">
        <v>5226154</v>
      </c>
      <c r="N14" s="4">
        <f t="shared" si="5"/>
        <v>3506</v>
      </c>
      <c r="O14" s="34">
        <v>20920</v>
      </c>
      <c r="P14" s="10">
        <f t="shared" si="6"/>
        <v>115</v>
      </c>
      <c r="Q14" s="34">
        <v>9081</v>
      </c>
      <c r="R14" s="10">
        <f t="shared" si="7"/>
        <v>54</v>
      </c>
      <c r="S14" s="34">
        <v>14153</v>
      </c>
      <c r="T14" s="10">
        <f t="shared" si="8"/>
        <v>82</v>
      </c>
      <c r="U14" s="3"/>
    </row>
    <row r="15" spans="1:24" ht="39" customHeight="1" x14ac:dyDescent="0.3">
      <c r="A15" s="6">
        <v>46062</v>
      </c>
      <c r="B15" s="16">
        <v>0.21875</v>
      </c>
      <c r="C15" s="33">
        <v>1576179</v>
      </c>
      <c r="D15" s="4">
        <f t="shared" si="0"/>
        <v>1140</v>
      </c>
      <c r="E15" s="33">
        <v>1388010</v>
      </c>
      <c r="F15" s="4">
        <f t="shared" si="1"/>
        <v>1066</v>
      </c>
      <c r="G15" s="33">
        <v>1830287</v>
      </c>
      <c r="H15" s="4">
        <f t="shared" si="2"/>
        <v>1287</v>
      </c>
      <c r="I15" s="33">
        <v>2211403</v>
      </c>
      <c r="J15" s="4">
        <f>I15-I14</f>
        <v>1350</v>
      </c>
      <c r="K15" s="33">
        <v>2393525</v>
      </c>
      <c r="L15" s="4">
        <f t="shared" si="4"/>
        <v>1576</v>
      </c>
      <c r="M15" s="33">
        <v>5230091</v>
      </c>
      <c r="N15" s="4">
        <f t="shared" si="5"/>
        <v>3937</v>
      </c>
      <c r="O15" s="34">
        <v>21055</v>
      </c>
      <c r="P15" s="10">
        <f t="shared" si="6"/>
        <v>135</v>
      </c>
      <c r="Q15" s="34">
        <v>9135</v>
      </c>
      <c r="R15" s="10">
        <f t="shared" si="7"/>
        <v>54</v>
      </c>
      <c r="S15" s="34">
        <v>14228</v>
      </c>
      <c r="T15" s="10">
        <f t="shared" si="8"/>
        <v>75</v>
      </c>
      <c r="U15" s="3"/>
    </row>
    <row r="16" spans="1:24" ht="39" customHeight="1" x14ac:dyDescent="0.3">
      <c r="A16" s="6">
        <v>46063</v>
      </c>
      <c r="B16" s="16">
        <v>0.22916666666666666</v>
      </c>
      <c r="C16" s="33">
        <v>1577219</v>
      </c>
      <c r="D16" s="4">
        <f t="shared" si="0"/>
        <v>1040</v>
      </c>
      <c r="E16" s="33">
        <v>1389039</v>
      </c>
      <c r="F16" s="4">
        <f t="shared" si="1"/>
        <v>1029</v>
      </c>
      <c r="G16" s="33">
        <v>1831587</v>
      </c>
      <c r="H16" s="4">
        <f t="shared" si="2"/>
        <v>1300</v>
      </c>
      <c r="I16" s="33">
        <v>2212732</v>
      </c>
      <c r="J16" s="4">
        <f t="shared" si="3"/>
        <v>1329</v>
      </c>
      <c r="K16" s="33">
        <v>2395027</v>
      </c>
      <c r="L16" s="4">
        <f t="shared" si="4"/>
        <v>1502</v>
      </c>
      <c r="M16" s="33">
        <v>5233889</v>
      </c>
      <c r="N16" s="4">
        <f t="shared" si="5"/>
        <v>3798</v>
      </c>
      <c r="O16" s="34">
        <v>21207</v>
      </c>
      <c r="P16" s="10">
        <f t="shared" si="6"/>
        <v>152</v>
      </c>
      <c r="Q16" s="34">
        <v>9189</v>
      </c>
      <c r="R16" s="10">
        <f t="shared" si="7"/>
        <v>54</v>
      </c>
      <c r="S16" s="34">
        <v>14270</v>
      </c>
      <c r="T16" s="10">
        <f t="shared" si="8"/>
        <v>42</v>
      </c>
      <c r="U16" s="3"/>
    </row>
    <row r="17" spans="1:21" ht="39" customHeight="1" x14ac:dyDescent="0.3">
      <c r="A17" s="6">
        <v>46064</v>
      </c>
      <c r="B17" s="16">
        <v>0.23611111111111113</v>
      </c>
      <c r="C17" s="33">
        <v>1578189</v>
      </c>
      <c r="D17" s="4">
        <f t="shared" si="0"/>
        <v>970</v>
      </c>
      <c r="E17" s="33">
        <v>1390106</v>
      </c>
      <c r="F17" s="4">
        <f t="shared" si="1"/>
        <v>1067</v>
      </c>
      <c r="G17" s="33">
        <v>1832742</v>
      </c>
      <c r="H17" s="4">
        <f t="shared" si="2"/>
        <v>1155</v>
      </c>
      <c r="I17" s="33">
        <v>2214129</v>
      </c>
      <c r="J17" s="4">
        <f t="shared" si="3"/>
        <v>1397</v>
      </c>
      <c r="K17" s="33">
        <v>2396558</v>
      </c>
      <c r="L17" s="4">
        <f t="shared" si="4"/>
        <v>1531</v>
      </c>
      <c r="M17" s="33">
        <v>5237533</v>
      </c>
      <c r="N17" s="4">
        <f t="shared" si="5"/>
        <v>3644</v>
      </c>
      <c r="O17" s="34">
        <v>21351</v>
      </c>
      <c r="P17" s="10">
        <f t="shared" si="6"/>
        <v>144</v>
      </c>
      <c r="Q17" s="34">
        <v>9231</v>
      </c>
      <c r="R17" s="10">
        <f t="shared" si="7"/>
        <v>42</v>
      </c>
      <c r="S17" s="34">
        <v>14338</v>
      </c>
      <c r="T17" s="10">
        <f t="shared" si="8"/>
        <v>68</v>
      </c>
      <c r="U17" s="3"/>
    </row>
    <row r="18" spans="1:21" ht="39" customHeight="1" x14ac:dyDescent="0.3">
      <c r="A18" s="6">
        <v>46065</v>
      </c>
      <c r="B18" s="16">
        <v>0.27083333333333331</v>
      </c>
      <c r="C18" s="33">
        <v>1579261</v>
      </c>
      <c r="D18" s="4">
        <f t="shared" si="0"/>
        <v>1072</v>
      </c>
      <c r="E18" s="33">
        <v>1391183</v>
      </c>
      <c r="F18" s="4">
        <f t="shared" si="1"/>
        <v>1077</v>
      </c>
      <c r="G18" s="33">
        <v>1833925</v>
      </c>
      <c r="H18" s="4">
        <f t="shared" si="2"/>
        <v>1183</v>
      </c>
      <c r="I18" s="33">
        <v>2215533</v>
      </c>
      <c r="J18" s="4">
        <f t="shared" si="3"/>
        <v>1404</v>
      </c>
      <c r="K18" s="33">
        <v>2398052</v>
      </c>
      <c r="L18" s="4">
        <f t="shared" si="4"/>
        <v>1494</v>
      </c>
      <c r="M18" s="33">
        <v>5241317</v>
      </c>
      <c r="N18" s="4">
        <f t="shared" si="5"/>
        <v>3784</v>
      </c>
      <c r="O18" s="34">
        <v>21501</v>
      </c>
      <c r="P18" s="10">
        <f t="shared" si="6"/>
        <v>150</v>
      </c>
      <c r="Q18" s="34">
        <v>9274</v>
      </c>
      <c r="R18" s="10">
        <f t="shared" si="7"/>
        <v>43</v>
      </c>
      <c r="S18" s="34">
        <v>14415</v>
      </c>
      <c r="T18" s="10">
        <f t="shared" si="8"/>
        <v>77</v>
      </c>
      <c r="U18" s="3"/>
    </row>
    <row r="19" spans="1:21" ht="39" customHeight="1" x14ac:dyDescent="0.3">
      <c r="A19" s="6">
        <v>46066</v>
      </c>
      <c r="B19" s="16">
        <v>0.22916666666666666</v>
      </c>
      <c r="C19" s="33">
        <v>1580395</v>
      </c>
      <c r="D19" s="4">
        <f t="shared" si="0"/>
        <v>1134</v>
      </c>
      <c r="E19" s="33">
        <v>1392290</v>
      </c>
      <c r="F19" s="4">
        <f t="shared" si="1"/>
        <v>1107</v>
      </c>
      <c r="G19" s="33">
        <v>1835225</v>
      </c>
      <c r="H19" s="4">
        <f t="shared" si="2"/>
        <v>1300</v>
      </c>
      <c r="I19" s="33">
        <v>2217074</v>
      </c>
      <c r="J19" s="4">
        <f t="shared" si="3"/>
        <v>1541</v>
      </c>
      <c r="K19" s="33">
        <v>2399567</v>
      </c>
      <c r="L19" s="4">
        <f t="shared" si="4"/>
        <v>1515</v>
      </c>
      <c r="M19" s="33">
        <v>5245073</v>
      </c>
      <c r="N19" s="4">
        <f t="shared" si="5"/>
        <v>3756</v>
      </c>
      <c r="O19" s="34">
        <v>21647</v>
      </c>
      <c r="P19" s="10">
        <f t="shared" si="6"/>
        <v>146</v>
      </c>
      <c r="Q19" s="34">
        <v>9323</v>
      </c>
      <c r="R19" s="10">
        <f t="shared" si="7"/>
        <v>49</v>
      </c>
      <c r="S19" s="34">
        <v>14507</v>
      </c>
      <c r="T19" s="10">
        <f t="shared" si="8"/>
        <v>92</v>
      </c>
      <c r="U19" s="3"/>
    </row>
    <row r="20" spans="1:21" ht="39" customHeight="1" x14ac:dyDescent="0.3">
      <c r="A20" s="6">
        <v>46067</v>
      </c>
      <c r="B20" s="16">
        <v>0.21875</v>
      </c>
      <c r="C20" s="33">
        <v>1581603</v>
      </c>
      <c r="D20" s="4">
        <f t="shared" si="0"/>
        <v>1208</v>
      </c>
      <c r="E20" s="33">
        <v>1393414</v>
      </c>
      <c r="F20" s="4">
        <f t="shared" si="1"/>
        <v>1124</v>
      </c>
      <c r="G20" s="33">
        <v>1836500</v>
      </c>
      <c r="H20" s="4">
        <f t="shared" si="2"/>
        <v>1275</v>
      </c>
      <c r="I20" s="33">
        <v>2218569</v>
      </c>
      <c r="J20" s="4">
        <f t="shared" si="3"/>
        <v>1495</v>
      </c>
      <c r="K20" s="33">
        <v>2401175</v>
      </c>
      <c r="L20" s="4">
        <f t="shared" si="4"/>
        <v>1608</v>
      </c>
      <c r="M20" s="33">
        <v>5248903</v>
      </c>
      <c r="N20" s="4">
        <f t="shared" si="5"/>
        <v>3830</v>
      </c>
      <c r="O20" s="34">
        <v>21745</v>
      </c>
      <c r="P20" s="10">
        <f t="shared" si="6"/>
        <v>98</v>
      </c>
      <c r="Q20" s="34">
        <v>9345</v>
      </c>
      <c r="R20" s="10">
        <f t="shared" si="7"/>
        <v>22</v>
      </c>
      <c r="S20" s="34">
        <v>14603</v>
      </c>
      <c r="T20" s="10">
        <f t="shared" si="8"/>
        <v>96</v>
      </c>
      <c r="U20" s="3"/>
    </row>
    <row r="21" spans="1:21" ht="39" customHeight="1" x14ac:dyDescent="0.3">
      <c r="A21" s="6">
        <v>46068</v>
      </c>
      <c r="B21" s="16">
        <v>0.20833333333333334</v>
      </c>
      <c r="C21" s="33">
        <v>1582802</v>
      </c>
      <c r="D21" s="4">
        <f t="shared" si="0"/>
        <v>1199</v>
      </c>
      <c r="E21" s="33">
        <v>1394526</v>
      </c>
      <c r="F21" s="4">
        <f t="shared" si="1"/>
        <v>1112</v>
      </c>
      <c r="G21" s="33">
        <v>1837781</v>
      </c>
      <c r="H21" s="4">
        <f t="shared" si="2"/>
        <v>1281</v>
      </c>
      <c r="I21" s="33">
        <v>2220059</v>
      </c>
      <c r="J21" s="4">
        <f t="shared" si="3"/>
        <v>1490</v>
      </c>
      <c r="K21" s="33">
        <v>2402778</v>
      </c>
      <c r="L21" s="4">
        <f t="shared" si="4"/>
        <v>1603</v>
      </c>
      <c r="M21" s="33">
        <v>5252879</v>
      </c>
      <c r="N21" s="4">
        <f t="shared" si="5"/>
        <v>3976</v>
      </c>
      <c r="O21" s="34">
        <v>21880</v>
      </c>
      <c r="P21" s="10">
        <f t="shared" si="6"/>
        <v>135</v>
      </c>
      <c r="Q21" s="34">
        <v>9437</v>
      </c>
      <c r="R21" s="10">
        <f t="shared" si="7"/>
        <v>92</v>
      </c>
      <c r="S21" s="34">
        <v>14690</v>
      </c>
      <c r="T21" s="10">
        <f t="shared" si="8"/>
        <v>87</v>
      </c>
      <c r="U21" s="3"/>
    </row>
    <row r="22" spans="1:21" ht="39" customHeight="1" x14ac:dyDescent="0.3">
      <c r="A22" s="6">
        <v>46069</v>
      </c>
      <c r="B22" s="16">
        <v>0.20138888888888887</v>
      </c>
      <c r="C22" s="33">
        <v>1584076</v>
      </c>
      <c r="D22" s="4">
        <f t="shared" si="0"/>
        <v>1274</v>
      </c>
      <c r="E22" s="33">
        <v>1395743</v>
      </c>
      <c r="F22" s="4">
        <f t="shared" si="1"/>
        <v>1217</v>
      </c>
      <c r="G22" s="33">
        <v>1839246</v>
      </c>
      <c r="H22" s="4">
        <f t="shared" si="2"/>
        <v>1465</v>
      </c>
      <c r="I22" s="33">
        <v>2221619</v>
      </c>
      <c r="J22" s="4">
        <f t="shared" si="3"/>
        <v>1560</v>
      </c>
      <c r="K22" s="33">
        <v>2404338</v>
      </c>
      <c r="L22" s="4">
        <f t="shared" si="4"/>
        <v>1560</v>
      </c>
      <c r="M22" s="33">
        <v>5256725</v>
      </c>
      <c r="N22" s="4">
        <f t="shared" si="5"/>
        <v>3846</v>
      </c>
      <c r="O22" s="34">
        <v>22027</v>
      </c>
      <c r="P22" s="10">
        <f t="shared" si="6"/>
        <v>147</v>
      </c>
      <c r="Q22" s="34">
        <v>9501</v>
      </c>
      <c r="R22" s="10">
        <f t="shared" si="7"/>
        <v>64</v>
      </c>
      <c r="S22" s="34">
        <v>14737</v>
      </c>
      <c r="T22" s="10">
        <f t="shared" si="8"/>
        <v>47</v>
      </c>
      <c r="U22" s="3"/>
    </row>
    <row r="23" spans="1:21" ht="39" customHeight="1" x14ac:dyDescent="0.3">
      <c r="A23" s="6">
        <v>46070</v>
      </c>
      <c r="B23" s="16">
        <v>0.21527777777777779</v>
      </c>
      <c r="C23" s="33">
        <v>1585289</v>
      </c>
      <c r="D23" s="4">
        <f t="shared" si="0"/>
        <v>1213</v>
      </c>
      <c r="E23" s="33">
        <v>1396899</v>
      </c>
      <c r="F23" s="4">
        <f t="shared" si="1"/>
        <v>1156</v>
      </c>
      <c r="G23" s="33">
        <v>1840660</v>
      </c>
      <c r="H23" s="4">
        <f t="shared" si="2"/>
        <v>1414</v>
      </c>
      <c r="I23" s="33">
        <v>2223218</v>
      </c>
      <c r="J23" s="4">
        <f t="shared" si="3"/>
        <v>1599</v>
      </c>
      <c r="K23" s="33">
        <v>2405730</v>
      </c>
      <c r="L23" s="4">
        <f t="shared" si="4"/>
        <v>1392</v>
      </c>
      <c r="M23" s="33">
        <v>5259617</v>
      </c>
      <c r="N23" s="4">
        <f t="shared" si="5"/>
        <v>2892</v>
      </c>
      <c r="O23" s="34">
        <v>22138</v>
      </c>
      <c r="P23" s="10">
        <f t="shared" si="6"/>
        <v>111</v>
      </c>
      <c r="Q23" s="34">
        <v>9552</v>
      </c>
      <c r="R23" s="10">
        <f t="shared" si="7"/>
        <v>51</v>
      </c>
      <c r="S23" s="34">
        <v>14856</v>
      </c>
      <c r="T23" s="10">
        <f t="shared" si="8"/>
        <v>119</v>
      </c>
      <c r="U23" s="3"/>
    </row>
    <row r="24" spans="1:21" ht="39" customHeight="1" x14ac:dyDescent="0.3">
      <c r="A24" s="6">
        <v>46071</v>
      </c>
      <c r="B24" s="16">
        <v>0.22916666666666666</v>
      </c>
      <c r="C24" s="33">
        <v>1586454</v>
      </c>
      <c r="D24" s="4">
        <f t="shared" si="0"/>
        <v>1165</v>
      </c>
      <c r="E24" s="33">
        <v>1398001</v>
      </c>
      <c r="F24" s="4">
        <f t="shared" si="1"/>
        <v>1102</v>
      </c>
      <c r="G24" s="33">
        <v>1841911</v>
      </c>
      <c r="H24" s="4">
        <f t="shared" si="2"/>
        <v>1251</v>
      </c>
      <c r="I24" s="33">
        <v>2224628</v>
      </c>
      <c r="J24" s="4">
        <f t="shared" si="3"/>
        <v>1410</v>
      </c>
      <c r="K24" s="33">
        <v>2407175</v>
      </c>
      <c r="L24" s="4">
        <f t="shared" si="4"/>
        <v>1445</v>
      </c>
      <c r="M24" s="33">
        <v>5263343</v>
      </c>
      <c r="N24" s="4">
        <f t="shared" si="5"/>
        <v>3726</v>
      </c>
      <c r="O24" s="34">
        <v>22270</v>
      </c>
      <c r="P24" s="10">
        <f t="shared" si="6"/>
        <v>132</v>
      </c>
      <c r="Q24" s="34">
        <v>9583</v>
      </c>
      <c r="R24" s="10">
        <f t="shared" si="7"/>
        <v>31</v>
      </c>
      <c r="S24" s="34">
        <v>14973</v>
      </c>
      <c r="T24" s="10">
        <f t="shared" si="8"/>
        <v>117</v>
      </c>
      <c r="U24" s="3"/>
    </row>
    <row r="25" spans="1:21" ht="39" customHeight="1" x14ac:dyDescent="0.3">
      <c r="A25" s="6">
        <v>46072</v>
      </c>
      <c r="B25" s="16">
        <v>0.23958333333333334</v>
      </c>
      <c r="C25" s="33">
        <v>1587624</v>
      </c>
      <c r="D25" s="4">
        <f t="shared" si="0"/>
        <v>1170</v>
      </c>
      <c r="E25" s="33">
        <v>1399067</v>
      </c>
      <c r="F25" s="4">
        <f t="shared" si="1"/>
        <v>1066</v>
      </c>
      <c r="G25" s="33">
        <v>1843101</v>
      </c>
      <c r="H25" s="4">
        <f t="shared" si="2"/>
        <v>1190</v>
      </c>
      <c r="I25" s="33">
        <v>2225974</v>
      </c>
      <c r="J25" s="4">
        <f t="shared" si="3"/>
        <v>1346</v>
      </c>
      <c r="K25" s="33">
        <v>2408574</v>
      </c>
      <c r="L25" s="4">
        <f t="shared" si="4"/>
        <v>1399</v>
      </c>
      <c r="M25" s="33">
        <v>5267037</v>
      </c>
      <c r="N25" s="4">
        <f t="shared" si="5"/>
        <v>3694</v>
      </c>
      <c r="O25" s="34">
        <v>22301</v>
      </c>
      <c r="P25" s="10">
        <f t="shared" si="6"/>
        <v>31</v>
      </c>
      <c r="Q25" s="34">
        <v>9602</v>
      </c>
      <c r="R25" s="10">
        <f t="shared" si="7"/>
        <v>19</v>
      </c>
      <c r="S25" s="34">
        <v>15011</v>
      </c>
      <c r="T25" s="10">
        <f t="shared" si="8"/>
        <v>38</v>
      </c>
      <c r="U25" s="3"/>
    </row>
    <row r="26" spans="1:21" ht="39" customHeight="1" x14ac:dyDescent="0.3">
      <c r="A26" s="6">
        <v>46073</v>
      </c>
      <c r="B26" s="16">
        <v>0.24652777777777779</v>
      </c>
      <c r="C26" s="33">
        <v>1588896</v>
      </c>
      <c r="D26" s="4">
        <f t="shared" si="0"/>
        <v>1272</v>
      </c>
      <c r="E26" s="33">
        <v>1400101</v>
      </c>
      <c r="F26" s="4">
        <f t="shared" si="1"/>
        <v>1034</v>
      </c>
      <c r="G26" s="33">
        <v>1844524</v>
      </c>
      <c r="H26" s="4">
        <f t="shared" si="2"/>
        <v>1423</v>
      </c>
      <c r="I26" s="33">
        <v>2227493</v>
      </c>
      <c r="J26" s="4">
        <f t="shared" si="3"/>
        <v>1519</v>
      </c>
      <c r="K26" s="33">
        <v>2410010</v>
      </c>
      <c r="L26" s="4">
        <f t="shared" si="4"/>
        <v>1436</v>
      </c>
      <c r="M26" s="33">
        <v>5271325</v>
      </c>
      <c r="N26" s="4">
        <f t="shared" si="5"/>
        <v>4288</v>
      </c>
      <c r="O26" s="34">
        <v>22462</v>
      </c>
      <c r="P26" s="10">
        <f t="shared" si="6"/>
        <v>161</v>
      </c>
      <c r="Q26" s="34">
        <v>9660</v>
      </c>
      <c r="R26" s="10">
        <f t="shared" si="7"/>
        <v>58</v>
      </c>
      <c r="S26" s="34">
        <v>15134</v>
      </c>
      <c r="T26" s="10">
        <f t="shared" si="8"/>
        <v>123</v>
      </c>
      <c r="U26" s="3"/>
    </row>
    <row r="27" spans="1:21" ht="39" customHeight="1" x14ac:dyDescent="0.3">
      <c r="A27" s="6">
        <v>46074</v>
      </c>
      <c r="B27" s="16">
        <v>0.20833333333333334</v>
      </c>
      <c r="C27" s="33">
        <v>1590051</v>
      </c>
      <c r="D27" s="4">
        <f t="shared" si="0"/>
        <v>1155</v>
      </c>
      <c r="E27" s="33">
        <v>1401165</v>
      </c>
      <c r="F27" s="4">
        <f t="shared" si="1"/>
        <v>1064</v>
      </c>
      <c r="G27" s="33">
        <v>1845792</v>
      </c>
      <c r="H27" s="4">
        <f t="shared" si="2"/>
        <v>1268</v>
      </c>
      <c r="I27" s="33">
        <v>2228855</v>
      </c>
      <c r="J27" s="4">
        <f t="shared" si="3"/>
        <v>1362</v>
      </c>
      <c r="K27" s="33">
        <v>2411707</v>
      </c>
      <c r="L27" s="4">
        <f t="shared" si="4"/>
        <v>1697</v>
      </c>
      <c r="M27" s="33">
        <v>5275011</v>
      </c>
      <c r="N27" s="4">
        <f t="shared" si="5"/>
        <v>3686</v>
      </c>
      <c r="O27" s="34">
        <v>22548</v>
      </c>
      <c r="P27" s="10">
        <f t="shared" si="6"/>
        <v>86</v>
      </c>
      <c r="Q27" s="34">
        <v>9707</v>
      </c>
      <c r="R27" s="10">
        <f t="shared" si="7"/>
        <v>47</v>
      </c>
      <c r="S27" s="34">
        <v>15184</v>
      </c>
      <c r="T27" s="10">
        <f t="shared" si="8"/>
        <v>50</v>
      </c>
      <c r="U27" s="3"/>
    </row>
    <row r="28" spans="1:21" ht="39" customHeight="1" x14ac:dyDescent="0.3">
      <c r="A28" s="6">
        <v>46075</v>
      </c>
      <c r="B28" s="16">
        <v>0.27083333333333331</v>
      </c>
      <c r="C28" s="33">
        <v>1591262</v>
      </c>
      <c r="D28" s="4">
        <f t="shared" si="0"/>
        <v>1211</v>
      </c>
      <c r="E28" s="33">
        <v>1402236</v>
      </c>
      <c r="F28" s="4">
        <f t="shared" si="1"/>
        <v>1071</v>
      </c>
      <c r="G28" s="33">
        <v>1847278</v>
      </c>
      <c r="H28" s="4">
        <f t="shared" si="2"/>
        <v>1486</v>
      </c>
      <c r="I28" s="33">
        <v>2230310</v>
      </c>
      <c r="J28" s="4">
        <f t="shared" si="3"/>
        <v>1455</v>
      </c>
      <c r="K28" s="33">
        <v>2413321</v>
      </c>
      <c r="L28" s="4">
        <f t="shared" si="4"/>
        <v>1614</v>
      </c>
      <c r="M28" s="33">
        <v>5278858</v>
      </c>
      <c r="N28" s="4">
        <f t="shared" si="5"/>
        <v>3847</v>
      </c>
      <c r="O28" s="34">
        <v>22662</v>
      </c>
      <c r="P28" s="10">
        <f t="shared" si="6"/>
        <v>114</v>
      </c>
      <c r="Q28" s="34">
        <v>9755</v>
      </c>
      <c r="R28" s="10">
        <f t="shared" si="7"/>
        <v>48</v>
      </c>
      <c r="S28" s="34">
        <v>15271</v>
      </c>
      <c r="T28" s="10">
        <f t="shared" si="8"/>
        <v>87</v>
      </c>
      <c r="U28" s="3"/>
    </row>
    <row r="29" spans="1:21" ht="39" customHeight="1" x14ac:dyDescent="0.3">
      <c r="A29" s="6">
        <v>46076</v>
      </c>
      <c r="B29" s="16">
        <v>0.20833333333333334</v>
      </c>
      <c r="C29" s="33">
        <v>1592422</v>
      </c>
      <c r="D29" s="4">
        <f t="shared" si="0"/>
        <v>1160</v>
      </c>
      <c r="E29" s="33">
        <v>1403285</v>
      </c>
      <c r="F29" s="4">
        <f t="shared" si="1"/>
        <v>1049</v>
      </c>
      <c r="G29" s="33">
        <v>1848631</v>
      </c>
      <c r="H29" s="4">
        <f t="shared" si="2"/>
        <v>1353</v>
      </c>
      <c r="I29" s="33">
        <v>2231965</v>
      </c>
      <c r="J29" s="4">
        <f t="shared" si="3"/>
        <v>1655</v>
      </c>
      <c r="K29" s="33">
        <v>2414900</v>
      </c>
      <c r="L29" s="4">
        <f t="shared" si="4"/>
        <v>1579</v>
      </c>
      <c r="M29" s="33">
        <v>5282702</v>
      </c>
      <c r="N29" s="4">
        <f t="shared" si="5"/>
        <v>3844</v>
      </c>
      <c r="O29" s="34">
        <v>22764</v>
      </c>
      <c r="P29" s="10">
        <f t="shared" si="6"/>
        <v>102</v>
      </c>
      <c r="Q29" s="34">
        <v>9799</v>
      </c>
      <c r="R29" s="10">
        <f t="shared" si="7"/>
        <v>44</v>
      </c>
      <c r="S29" s="34">
        <v>15348</v>
      </c>
      <c r="T29" s="10">
        <f t="shared" si="8"/>
        <v>77</v>
      </c>
      <c r="U29" s="3"/>
    </row>
    <row r="30" spans="1:21" ht="39" customHeight="1" x14ac:dyDescent="0.3">
      <c r="A30" s="6">
        <v>46077</v>
      </c>
      <c r="B30" s="16">
        <v>0.1875</v>
      </c>
      <c r="C30" s="33">
        <v>1593554</v>
      </c>
      <c r="D30" s="4">
        <f t="shared" si="0"/>
        <v>1132</v>
      </c>
      <c r="E30" s="33">
        <v>1404366</v>
      </c>
      <c r="F30" s="4">
        <f t="shared" si="1"/>
        <v>1081</v>
      </c>
      <c r="G30" s="33">
        <v>1849926</v>
      </c>
      <c r="H30" s="4">
        <f t="shared" si="2"/>
        <v>1295</v>
      </c>
      <c r="I30" s="33">
        <v>2233405</v>
      </c>
      <c r="J30" s="4">
        <f t="shared" si="3"/>
        <v>1440</v>
      </c>
      <c r="K30" s="33">
        <v>2416521</v>
      </c>
      <c r="L30" s="4">
        <f t="shared" si="4"/>
        <v>1621</v>
      </c>
      <c r="M30" s="33">
        <v>5286398</v>
      </c>
      <c r="N30" s="4">
        <f t="shared" si="5"/>
        <v>3696</v>
      </c>
      <c r="O30" s="34">
        <v>22884</v>
      </c>
      <c r="P30" s="10">
        <f t="shared" si="6"/>
        <v>120</v>
      </c>
      <c r="Q30" s="34">
        <v>9851</v>
      </c>
      <c r="R30" s="10">
        <f t="shared" si="7"/>
        <v>52</v>
      </c>
      <c r="S30" s="34">
        <v>15433</v>
      </c>
      <c r="T30" s="10">
        <f t="shared" si="8"/>
        <v>85</v>
      </c>
      <c r="U30" s="3"/>
    </row>
    <row r="31" spans="1:21" ht="39" customHeight="1" x14ac:dyDescent="0.3">
      <c r="A31" s="6">
        <v>46078</v>
      </c>
      <c r="B31" s="16">
        <v>0.27083333333333331</v>
      </c>
      <c r="C31" s="33">
        <v>1594640</v>
      </c>
      <c r="D31" s="4">
        <f t="shared" si="0"/>
        <v>1086</v>
      </c>
      <c r="E31" s="33">
        <v>1405461</v>
      </c>
      <c r="F31" s="4">
        <f t="shared" si="1"/>
        <v>1095</v>
      </c>
      <c r="G31" s="33">
        <v>1851238</v>
      </c>
      <c r="H31" s="4">
        <f t="shared" si="2"/>
        <v>1312</v>
      </c>
      <c r="I31" s="33">
        <v>2234800</v>
      </c>
      <c r="J31" s="4">
        <f t="shared" si="3"/>
        <v>1395</v>
      </c>
      <c r="K31" s="33">
        <v>2418158</v>
      </c>
      <c r="L31" s="4">
        <f t="shared" si="4"/>
        <v>1637</v>
      </c>
      <c r="M31" s="33">
        <v>5290077</v>
      </c>
      <c r="N31" s="4">
        <f t="shared" si="5"/>
        <v>3679</v>
      </c>
      <c r="O31" s="34">
        <v>22972</v>
      </c>
      <c r="P31" s="10">
        <f t="shared" si="6"/>
        <v>88</v>
      </c>
      <c r="Q31" s="34">
        <v>9905</v>
      </c>
      <c r="R31" s="10">
        <f t="shared" si="7"/>
        <v>54</v>
      </c>
      <c r="S31" s="34">
        <v>15512</v>
      </c>
      <c r="T31" s="10">
        <f t="shared" si="8"/>
        <v>79</v>
      </c>
      <c r="U31" s="3"/>
    </row>
    <row r="32" spans="1:21" ht="39" customHeight="1" x14ac:dyDescent="0.3">
      <c r="A32" s="6">
        <v>46079</v>
      </c>
      <c r="B32" s="16">
        <v>0.25</v>
      </c>
      <c r="C32" s="33">
        <v>1595870</v>
      </c>
      <c r="D32" s="4">
        <f t="shared" si="0"/>
        <v>1230</v>
      </c>
      <c r="E32" s="33">
        <v>1406545</v>
      </c>
      <c r="F32" s="4">
        <f t="shared" si="1"/>
        <v>1084</v>
      </c>
      <c r="G32" s="33">
        <v>1852627</v>
      </c>
      <c r="H32" s="4">
        <f t="shared" si="2"/>
        <v>1389</v>
      </c>
      <c r="I32" s="33">
        <v>2236337</v>
      </c>
      <c r="J32" s="4">
        <f t="shared" si="3"/>
        <v>1537</v>
      </c>
      <c r="K32" s="33">
        <v>2419893</v>
      </c>
      <c r="L32" s="4">
        <f t="shared" ref="L32:L34" si="9">K32-K31</f>
        <v>1735</v>
      </c>
      <c r="M32" s="33">
        <v>5294016</v>
      </c>
      <c r="N32" s="4">
        <f t="shared" si="5"/>
        <v>3939</v>
      </c>
      <c r="O32" s="34">
        <v>23104</v>
      </c>
      <c r="P32" s="10">
        <f t="shared" si="6"/>
        <v>132</v>
      </c>
      <c r="Q32" s="34">
        <v>9962</v>
      </c>
      <c r="R32" s="10">
        <f t="shared" si="7"/>
        <v>57</v>
      </c>
      <c r="S32" s="34">
        <v>15592</v>
      </c>
      <c r="T32" s="10">
        <f t="shared" si="8"/>
        <v>80</v>
      </c>
      <c r="U32" s="3"/>
    </row>
    <row r="33" spans="1:21" ht="39" customHeight="1" x14ac:dyDescent="0.3">
      <c r="A33" s="6">
        <v>46080</v>
      </c>
      <c r="B33" s="16">
        <v>0.25694444444444448</v>
      </c>
      <c r="C33" s="33">
        <v>1596908</v>
      </c>
      <c r="D33" s="4">
        <f t="shared" si="0"/>
        <v>1038</v>
      </c>
      <c r="E33" s="33">
        <v>1407638</v>
      </c>
      <c r="F33" s="4">
        <f t="shared" si="1"/>
        <v>1093</v>
      </c>
      <c r="G33" s="33">
        <v>1853814</v>
      </c>
      <c r="H33" s="4">
        <f t="shared" si="2"/>
        <v>1187</v>
      </c>
      <c r="I33" s="33">
        <v>2237572</v>
      </c>
      <c r="J33" s="4">
        <f t="shared" si="3"/>
        <v>1235</v>
      </c>
      <c r="K33" s="33">
        <v>2421488</v>
      </c>
      <c r="L33" s="4">
        <f t="shared" si="9"/>
        <v>1595</v>
      </c>
      <c r="M33" s="33">
        <v>5297622</v>
      </c>
      <c r="N33" s="4">
        <f t="shared" si="5"/>
        <v>3606</v>
      </c>
      <c r="O33" s="34">
        <v>23238</v>
      </c>
      <c r="P33" s="10">
        <f t="shared" si="6"/>
        <v>134</v>
      </c>
      <c r="Q33" s="34">
        <v>10022</v>
      </c>
      <c r="R33" s="10">
        <f t="shared" si="7"/>
        <v>60</v>
      </c>
      <c r="S33" s="34">
        <v>15670</v>
      </c>
      <c r="T33" s="10">
        <f t="shared" si="8"/>
        <v>78</v>
      </c>
      <c r="U33" s="3"/>
    </row>
    <row r="34" spans="1:21" ht="39" customHeight="1" x14ac:dyDescent="0.3">
      <c r="A34" s="6">
        <v>46081</v>
      </c>
      <c r="B34" s="16">
        <v>0.2638888888888889</v>
      </c>
      <c r="C34" s="33">
        <v>1597859</v>
      </c>
      <c r="D34" s="4">
        <f t="shared" si="0"/>
        <v>951</v>
      </c>
      <c r="E34" s="33">
        <v>1408676</v>
      </c>
      <c r="F34" s="4">
        <f t="shared" si="1"/>
        <v>1038</v>
      </c>
      <c r="G34" s="33">
        <v>1855069</v>
      </c>
      <c r="H34" s="4">
        <f t="shared" si="2"/>
        <v>1255</v>
      </c>
      <c r="I34" s="33">
        <v>2238866</v>
      </c>
      <c r="J34" s="4">
        <f t="shared" si="3"/>
        <v>1294</v>
      </c>
      <c r="K34" s="33">
        <v>2423075</v>
      </c>
      <c r="L34" s="4">
        <f t="shared" si="9"/>
        <v>1587</v>
      </c>
      <c r="M34" s="33">
        <v>5301506</v>
      </c>
      <c r="N34" s="4">
        <f t="shared" si="5"/>
        <v>3884</v>
      </c>
      <c r="O34" s="34">
        <v>23385</v>
      </c>
      <c r="P34" s="10">
        <f t="shared" si="6"/>
        <v>147</v>
      </c>
      <c r="Q34" s="34">
        <v>10090</v>
      </c>
      <c r="R34" s="10">
        <f t="shared" si="7"/>
        <v>68</v>
      </c>
      <c r="S34" s="34">
        <v>15747</v>
      </c>
      <c r="T34" s="10">
        <f t="shared" si="8"/>
        <v>77</v>
      </c>
      <c r="U34" s="3"/>
    </row>
    <row r="35" spans="1:21" x14ac:dyDescent="0.25">
      <c r="D35" s="1">
        <f>SUM(D6:D34)</f>
        <v>30390</v>
      </c>
      <c r="F35" s="1">
        <f>SUM(F6:F34)</f>
        <v>30122</v>
      </c>
      <c r="H35" s="1">
        <f>SUM(H6:H34)</f>
        <v>35348</v>
      </c>
      <c r="J35" s="1">
        <f>SUM(J6:J34)</f>
        <v>39337</v>
      </c>
      <c r="L35" s="1">
        <f>SUM(L6:L34)</f>
        <v>42281</v>
      </c>
      <c r="N35" s="1">
        <f>SUM(N5:N34)</f>
        <v>111517</v>
      </c>
      <c r="P35" s="1">
        <f>SUM(P6:P34)</f>
        <v>3304</v>
      </c>
      <c r="R35" s="1">
        <f>SUM(R6:R34)</f>
        <v>1348</v>
      </c>
      <c r="T35" s="1">
        <f>SUM(T6:T34)</f>
        <v>2146</v>
      </c>
    </row>
  </sheetData>
  <mergeCells count="22"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  <mergeCell ref="T2:T4"/>
    <mergeCell ref="L2:L4"/>
    <mergeCell ref="N2:N4"/>
    <mergeCell ref="K4:K5"/>
    <mergeCell ref="M4:M5"/>
    <mergeCell ref="R2:R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EE0889-3C7D-4A1D-8F6C-CBC732B80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c2669-c29b-4eee-91c8-439ba055a508"/>
    <ds:schemaRef ds:uri="8ab914d0-83cb-4256-bfab-90cf24478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688C7A-5E58-4F59-8DB0-1F93F20E5B17}">
  <ds:schemaRefs>
    <ds:schemaRef ds:uri="http://schemas.microsoft.com/office/2006/metadata/properties"/>
    <ds:schemaRef ds:uri="http://schemas.microsoft.com/office/infopath/2007/PartnerControls"/>
    <ds:schemaRef ds:uri="bdac2669-c29b-4eee-91c8-439ba055a508"/>
  </ds:schemaRefs>
</ds:datastoreItem>
</file>

<file path=customXml/itemProps3.xml><?xml version="1.0" encoding="utf-8"?>
<ds:datastoreItem xmlns:ds="http://schemas.openxmlformats.org/officeDocument/2006/customXml" ds:itemID="{F1509642-2593-4443-9081-B746EEEC7E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BAN-L Electrical &amp; Water </vt:lpstr>
      <vt:lpstr>'BAN-L Electrical &amp; Water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2026-03-12T06:15:21Z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