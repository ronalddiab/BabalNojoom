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24226"/>
  <xr:revisionPtr revIDLastSave="6" documentId="8_{FDD68CE5-1646-44F5-8423-64E92B91BE3F}" xr6:coauthVersionLast="47" xr6:coauthVersionMax="47" xr10:uidLastSave="{B1C5504C-BB7B-4294-A5D5-E07E2701FACD}"/>
  <bookViews>
    <workbookView xWindow="-98" yWindow="-98" windowWidth="19396" windowHeight="10276" activeTab="1" xr2:uid="{00000000-000D-0000-FFFF-FFFF00000000}"/>
  </bookViews>
  <sheets>
    <sheet name="Total" sheetId="4" r:id="rId1"/>
    <sheet name="Submetering" sheetId="5" r:id="rId2"/>
    <sheet name="may 23" sheetId="3" r:id="rId3"/>
  </sheets>
  <definedNames>
    <definedName name="_xlnm.Print_Area" localSheetId="2">'may 23'!$A$1:$AC$44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8" i="3" l="1"/>
  <c r="L58" i="3" s="1"/>
  <c r="B58" i="3"/>
  <c r="B57" i="3"/>
  <c r="G57" i="3" s="1"/>
  <c r="L57" i="3" s="1"/>
  <c r="G56" i="3"/>
  <c r="L56" i="3" s="1"/>
  <c r="B56" i="3"/>
  <c r="B55" i="3"/>
  <c r="G55" i="3" s="1"/>
  <c r="L55" i="3" s="1"/>
  <c r="B50" i="3"/>
  <c r="G50" i="3" s="1"/>
  <c r="R50" i="3" s="1"/>
  <c r="B49" i="3"/>
  <c r="G49" i="3" s="1"/>
  <c r="R49" i="3" s="1"/>
  <c r="B48" i="3"/>
  <c r="G48" i="3" s="1"/>
  <c r="R48" i="3" s="1"/>
  <c r="AG47" i="3"/>
  <c r="AG44" i="3" s="1"/>
  <c r="Z44" i="3" s="1"/>
  <c r="B47" i="3"/>
  <c r="AG46" i="3"/>
  <c r="AG43" i="3" s="1"/>
  <c r="Z43" i="3" s="1"/>
  <c r="I45" i="3"/>
  <c r="V44" i="3"/>
  <c r="T44" i="3"/>
  <c r="O44" i="3"/>
  <c r="M44" i="3"/>
  <c r="J44" i="3"/>
  <c r="G44" i="3"/>
  <c r="V43" i="3"/>
  <c r="T43" i="3"/>
  <c r="O43" i="3"/>
  <c r="M43" i="3"/>
  <c r="J43" i="3"/>
  <c r="G43" i="3"/>
  <c r="V42" i="3"/>
  <c r="O42" i="3"/>
  <c r="J42" i="3"/>
  <c r="AG41" i="3"/>
  <c r="Z41" i="3" s="1"/>
  <c r="V41" i="3"/>
  <c r="T41" i="3"/>
  <c r="O41" i="3"/>
  <c r="M41" i="3"/>
  <c r="J41" i="3"/>
  <c r="G41" i="3"/>
  <c r="AG40" i="3"/>
  <c r="Z40" i="3"/>
  <c r="V40" i="3"/>
  <c r="T40" i="3"/>
  <c r="O40" i="3"/>
  <c r="M40" i="3"/>
  <c r="J40" i="3"/>
  <c r="G40" i="3"/>
  <c r="V39" i="3"/>
  <c r="O39" i="3"/>
  <c r="J39" i="3"/>
  <c r="AE36" i="3"/>
  <c r="AD36" i="3"/>
  <c r="E36" i="3"/>
  <c r="AC35" i="3"/>
  <c r="Z35" i="3"/>
  <c r="W35" i="3"/>
  <c r="X35" i="3" s="1"/>
  <c r="Y35" i="3" s="1"/>
  <c r="AA35" i="3" s="1"/>
  <c r="S35" i="3"/>
  <c r="T35" i="3" s="1"/>
  <c r="U35" i="3" s="1"/>
  <c r="P35" i="3"/>
  <c r="Q35" i="3" s="1"/>
  <c r="N35" i="3"/>
  <c r="L35" i="3"/>
  <c r="K35" i="3"/>
  <c r="H35" i="3"/>
  <c r="I35" i="3" s="1"/>
  <c r="G35" i="3"/>
  <c r="E35" i="3"/>
  <c r="C35" i="3"/>
  <c r="AC34" i="3"/>
  <c r="Z34" i="3"/>
  <c r="W34" i="3"/>
  <c r="X34" i="3" s="1"/>
  <c r="Y34" i="3" s="1"/>
  <c r="AA34" i="3" s="1"/>
  <c r="S34" i="3"/>
  <c r="T34" i="3" s="1"/>
  <c r="U34" i="3" s="1"/>
  <c r="P34" i="3"/>
  <c r="Q34" i="3" s="1"/>
  <c r="N34" i="3"/>
  <c r="K34" i="3"/>
  <c r="L34" i="3" s="1"/>
  <c r="H34" i="3"/>
  <c r="I34" i="3" s="1"/>
  <c r="G34" i="3"/>
  <c r="E34" i="3"/>
  <c r="AC33" i="3"/>
  <c r="Z33" i="3"/>
  <c r="X33" i="3"/>
  <c r="Y33" i="3" s="1"/>
  <c r="AA33" i="3" s="1"/>
  <c r="W33" i="3"/>
  <c r="S33" i="3"/>
  <c r="T33" i="3" s="1"/>
  <c r="U33" i="3" s="1"/>
  <c r="Q33" i="3"/>
  <c r="P33" i="3"/>
  <c r="N33" i="3"/>
  <c r="K33" i="3"/>
  <c r="L33" i="3" s="1"/>
  <c r="G33" i="3"/>
  <c r="H33" i="3" s="1"/>
  <c r="I33" i="3" s="1"/>
  <c r="E33" i="3"/>
  <c r="C33" i="3"/>
  <c r="AC32" i="3"/>
  <c r="Z32" i="3"/>
  <c r="X32" i="3"/>
  <c r="Y32" i="3" s="1"/>
  <c r="AA32" i="3" s="1"/>
  <c r="W32" i="3"/>
  <c r="S32" i="3"/>
  <c r="T32" i="3" s="1"/>
  <c r="U32" i="3" s="1"/>
  <c r="Q32" i="3"/>
  <c r="P32" i="3"/>
  <c r="N32" i="3"/>
  <c r="K32" i="3"/>
  <c r="L32" i="3" s="1"/>
  <c r="G32" i="3"/>
  <c r="E32" i="3"/>
  <c r="C32" i="3"/>
  <c r="H32" i="3" s="1"/>
  <c r="I32" i="3" s="1"/>
  <c r="AC31" i="3"/>
  <c r="AA31" i="3"/>
  <c r="Z31" i="3"/>
  <c r="W31" i="3"/>
  <c r="X31" i="3" s="1"/>
  <c r="Y31" i="3" s="1"/>
  <c r="T31" i="3"/>
  <c r="U31" i="3" s="1"/>
  <c r="S31" i="3"/>
  <c r="P31" i="3"/>
  <c r="N31" i="3"/>
  <c r="Q31" i="3" s="1"/>
  <c r="K31" i="3"/>
  <c r="L31" i="3" s="1"/>
  <c r="I31" i="3"/>
  <c r="G31" i="3"/>
  <c r="E31" i="3"/>
  <c r="C31" i="3"/>
  <c r="H31" i="3" s="1"/>
  <c r="AC30" i="3"/>
  <c r="Z30" i="3"/>
  <c r="W30" i="3"/>
  <c r="X30" i="3" s="1"/>
  <c r="Y30" i="3" s="1"/>
  <c r="AA30" i="3" s="1"/>
  <c r="T30" i="3"/>
  <c r="U30" i="3" s="1"/>
  <c r="S30" i="3"/>
  <c r="P30" i="3"/>
  <c r="N30" i="3"/>
  <c r="Q30" i="3" s="1"/>
  <c r="L30" i="3"/>
  <c r="K30" i="3"/>
  <c r="G30" i="3"/>
  <c r="E30" i="3"/>
  <c r="C30" i="3"/>
  <c r="H30" i="3" s="1"/>
  <c r="I30" i="3" s="1"/>
  <c r="AC29" i="3"/>
  <c r="Z29" i="3"/>
  <c r="W29" i="3"/>
  <c r="X29" i="3" s="1"/>
  <c r="Y29" i="3" s="1"/>
  <c r="AA29" i="3" s="1"/>
  <c r="T29" i="3"/>
  <c r="U29" i="3" s="1"/>
  <c r="S29" i="3"/>
  <c r="P29" i="3"/>
  <c r="N29" i="3"/>
  <c r="Q29" i="3" s="1"/>
  <c r="L29" i="3"/>
  <c r="K29" i="3"/>
  <c r="G29" i="3"/>
  <c r="E29" i="3"/>
  <c r="H29" i="3" s="1"/>
  <c r="I29" i="3" s="1"/>
  <c r="C29" i="3"/>
  <c r="AC28" i="3"/>
  <c r="Z28" i="3"/>
  <c r="W28" i="3"/>
  <c r="X28" i="3" s="1"/>
  <c r="Y28" i="3" s="1"/>
  <c r="AA28" i="3" s="1"/>
  <c r="S28" i="3"/>
  <c r="T28" i="3" s="1"/>
  <c r="U28" i="3" s="1"/>
  <c r="P28" i="3"/>
  <c r="Q28" i="3" s="1"/>
  <c r="N28" i="3"/>
  <c r="L28" i="3"/>
  <c r="K28" i="3"/>
  <c r="G28" i="3"/>
  <c r="E28" i="3"/>
  <c r="H28" i="3" s="1"/>
  <c r="I28" i="3" s="1"/>
  <c r="C28" i="3"/>
  <c r="AC27" i="3"/>
  <c r="Z27" i="3"/>
  <c r="W27" i="3"/>
  <c r="X27" i="3" s="1"/>
  <c r="Y27" i="3" s="1"/>
  <c r="AA27" i="3" s="1"/>
  <c r="S27" i="3"/>
  <c r="T27" i="3" s="1"/>
  <c r="U27" i="3" s="1"/>
  <c r="Q27" i="3"/>
  <c r="P27" i="3"/>
  <c r="N27" i="3"/>
  <c r="K27" i="3"/>
  <c r="L27" i="3" s="1"/>
  <c r="H27" i="3"/>
  <c r="I27" i="3" s="1"/>
  <c r="G27" i="3"/>
  <c r="E27" i="3"/>
  <c r="C27" i="3"/>
  <c r="AC26" i="3"/>
  <c r="Z26" i="3"/>
  <c r="Y26" i="3"/>
  <c r="AA26" i="3" s="1"/>
  <c r="W26" i="3"/>
  <c r="X26" i="3" s="1"/>
  <c r="S26" i="3"/>
  <c r="T26" i="3" s="1"/>
  <c r="U26" i="3" s="1"/>
  <c r="P26" i="3"/>
  <c r="N26" i="3"/>
  <c r="Q26" i="3" s="1"/>
  <c r="K26" i="3"/>
  <c r="L26" i="3" s="1"/>
  <c r="H26" i="3"/>
  <c r="I26" i="3" s="1"/>
  <c r="G26" i="3"/>
  <c r="E26" i="3"/>
  <c r="C26" i="3"/>
  <c r="AC25" i="3"/>
  <c r="Z25" i="3"/>
  <c r="W25" i="3"/>
  <c r="X25" i="3" s="1"/>
  <c r="Y25" i="3" s="1"/>
  <c r="AA25" i="3" s="1"/>
  <c r="S25" i="3"/>
  <c r="T25" i="3" s="1"/>
  <c r="U25" i="3" s="1"/>
  <c r="P25" i="3"/>
  <c r="N25" i="3"/>
  <c r="Q25" i="3" s="1"/>
  <c r="K25" i="3"/>
  <c r="L25" i="3" s="1"/>
  <c r="G25" i="3"/>
  <c r="E25" i="3"/>
  <c r="C25" i="3"/>
  <c r="H25" i="3" s="1"/>
  <c r="I25" i="3" s="1"/>
  <c r="AC24" i="3"/>
  <c r="Z24" i="3"/>
  <c r="W24" i="3"/>
  <c r="X24" i="3" s="1"/>
  <c r="Y24" i="3" s="1"/>
  <c r="AA24" i="3" s="1"/>
  <c r="S24" i="3"/>
  <c r="T24" i="3" s="1"/>
  <c r="U24" i="3" s="1"/>
  <c r="P24" i="3"/>
  <c r="N24" i="3"/>
  <c r="Q24" i="3" s="1"/>
  <c r="K24" i="3"/>
  <c r="L24" i="3" s="1"/>
  <c r="E24" i="3"/>
  <c r="C24" i="3"/>
  <c r="H24" i="3" s="1"/>
  <c r="I24" i="3" s="1"/>
  <c r="AC23" i="3"/>
  <c r="Z23" i="3"/>
  <c r="W23" i="3"/>
  <c r="X23" i="3" s="1"/>
  <c r="Y23" i="3" s="1"/>
  <c r="AA23" i="3" s="1"/>
  <c r="T23" i="3"/>
  <c r="U23" i="3" s="1"/>
  <c r="S23" i="3"/>
  <c r="P23" i="3"/>
  <c r="N23" i="3"/>
  <c r="Q23" i="3" s="1"/>
  <c r="L23" i="3"/>
  <c r="K23" i="3"/>
  <c r="G23" i="3"/>
  <c r="E23" i="3"/>
  <c r="C23" i="3"/>
  <c r="H23" i="3" s="1"/>
  <c r="I23" i="3" s="1"/>
  <c r="AC22" i="3"/>
  <c r="Z22" i="3"/>
  <c r="W22" i="3"/>
  <c r="X22" i="3" s="1"/>
  <c r="Y22" i="3" s="1"/>
  <c r="AA22" i="3" s="1"/>
  <c r="T22" i="3"/>
  <c r="U22" i="3" s="1"/>
  <c r="S22" i="3"/>
  <c r="P22" i="3"/>
  <c r="N22" i="3"/>
  <c r="Q22" i="3" s="1"/>
  <c r="L22" i="3"/>
  <c r="K22" i="3"/>
  <c r="E22" i="3"/>
  <c r="C22" i="3"/>
  <c r="H22" i="3" s="1"/>
  <c r="I22" i="3" s="1"/>
  <c r="Z21" i="3"/>
  <c r="W21" i="3"/>
  <c r="X21" i="3" s="1"/>
  <c r="Y21" i="3" s="1"/>
  <c r="AA21" i="3" s="1"/>
  <c r="T21" i="3"/>
  <c r="U21" i="3" s="1"/>
  <c r="S21" i="3"/>
  <c r="P21" i="3"/>
  <c r="N21" i="3"/>
  <c r="Q21" i="3" s="1"/>
  <c r="L21" i="3"/>
  <c r="K21" i="3"/>
  <c r="G21" i="3"/>
  <c r="E21" i="3"/>
  <c r="C21" i="3"/>
  <c r="H21" i="3" s="1"/>
  <c r="I21" i="3" s="1"/>
  <c r="AC20" i="3"/>
  <c r="Z20" i="3"/>
  <c r="W20" i="3"/>
  <c r="X20" i="3" s="1"/>
  <c r="Y20" i="3" s="1"/>
  <c r="AA20" i="3" s="1"/>
  <c r="T20" i="3"/>
  <c r="U20" i="3" s="1"/>
  <c r="S20" i="3"/>
  <c r="Q20" i="3"/>
  <c r="P20" i="3"/>
  <c r="N20" i="3"/>
  <c r="L20" i="3"/>
  <c r="K20" i="3"/>
  <c r="G20" i="3"/>
  <c r="E20" i="3"/>
  <c r="H20" i="3" s="1"/>
  <c r="I20" i="3" s="1"/>
  <c r="C20" i="3"/>
  <c r="AC19" i="3"/>
  <c r="Z19" i="3"/>
  <c r="W19" i="3"/>
  <c r="X19" i="3" s="1"/>
  <c r="Y19" i="3" s="1"/>
  <c r="AA19" i="3" s="1"/>
  <c r="S19" i="3"/>
  <c r="T19" i="3" s="1"/>
  <c r="U19" i="3" s="1"/>
  <c r="P19" i="3"/>
  <c r="Q19" i="3" s="1"/>
  <c r="N19" i="3"/>
  <c r="L19" i="3"/>
  <c r="K19" i="3"/>
  <c r="G19" i="3"/>
  <c r="E19" i="3"/>
  <c r="H19" i="3" s="1"/>
  <c r="I19" i="3" s="1"/>
  <c r="C19" i="3"/>
  <c r="AC18" i="3"/>
  <c r="Z18" i="3"/>
  <c r="W18" i="3"/>
  <c r="X18" i="3" s="1"/>
  <c r="Y18" i="3" s="1"/>
  <c r="AA18" i="3" s="1"/>
  <c r="S18" i="3"/>
  <c r="T18" i="3" s="1"/>
  <c r="U18" i="3" s="1"/>
  <c r="P18" i="3"/>
  <c r="Q18" i="3" s="1"/>
  <c r="N18" i="3"/>
  <c r="K18" i="3"/>
  <c r="L18" i="3" s="1"/>
  <c r="H18" i="3"/>
  <c r="I18" i="3" s="1"/>
  <c r="G18" i="3"/>
  <c r="E18" i="3"/>
  <c r="C18" i="3"/>
  <c r="AC17" i="3"/>
  <c r="Z17" i="3"/>
  <c r="W17" i="3"/>
  <c r="X17" i="3" s="1"/>
  <c r="Y17" i="3" s="1"/>
  <c r="AA17" i="3" s="1"/>
  <c r="S17" i="3"/>
  <c r="T17" i="3" s="1"/>
  <c r="U17" i="3" s="1"/>
  <c r="P17" i="3"/>
  <c r="N17" i="3"/>
  <c r="Q17" i="3" s="1"/>
  <c r="K17" i="3"/>
  <c r="L17" i="3" s="1"/>
  <c r="G17" i="3"/>
  <c r="E17" i="3"/>
  <c r="C17" i="3"/>
  <c r="H17" i="3" s="1"/>
  <c r="I17" i="3" s="1"/>
  <c r="AC16" i="3"/>
  <c r="Z16" i="3"/>
  <c r="W16" i="3"/>
  <c r="X16" i="3" s="1"/>
  <c r="Y16" i="3" s="1"/>
  <c r="AA16" i="3" s="1"/>
  <c r="S16" i="3"/>
  <c r="T16" i="3" s="1"/>
  <c r="U16" i="3" s="1"/>
  <c r="P16" i="3"/>
  <c r="N16" i="3"/>
  <c r="Q16" i="3" s="1"/>
  <c r="K16" i="3"/>
  <c r="L16" i="3" s="1"/>
  <c r="G16" i="3"/>
  <c r="E16" i="3"/>
  <c r="C16" i="3"/>
  <c r="H16" i="3" s="1"/>
  <c r="I16" i="3" s="1"/>
  <c r="AC15" i="3"/>
  <c r="Z15" i="3"/>
  <c r="W15" i="3"/>
  <c r="X15" i="3" s="1"/>
  <c r="Y15" i="3" s="1"/>
  <c r="AA15" i="3" s="1"/>
  <c r="S15" i="3"/>
  <c r="T15" i="3" s="1"/>
  <c r="U15" i="3" s="1"/>
  <c r="P15" i="3"/>
  <c r="N15" i="3"/>
  <c r="Q15" i="3" s="1"/>
  <c r="K15" i="3"/>
  <c r="L15" i="3" s="1"/>
  <c r="G15" i="3"/>
  <c r="E15" i="3"/>
  <c r="C15" i="3"/>
  <c r="H15" i="3" s="1"/>
  <c r="I15" i="3" s="1"/>
  <c r="AC14" i="3"/>
  <c r="Z14" i="3"/>
  <c r="W14" i="3"/>
  <c r="X14" i="3" s="1"/>
  <c r="Y14" i="3" s="1"/>
  <c r="AA14" i="3" s="1"/>
  <c r="S14" i="3"/>
  <c r="T14" i="3" s="1"/>
  <c r="U14" i="3" s="1"/>
  <c r="P14" i="3"/>
  <c r="N14" i="3"/>
  <c r="Q14" i="3" s="1"/>
  <c r="K14" i="3"/>
  <c r="L14" i="3" s="1"/>
  <c r="H14" i="3"/>
  <c r="I14" i="3" s="1"/>
  <c r="G14" i="3"/>
  <c r="E14" i="3"/>
  <c r="C14" i="3"/>
  <c r="AC13" i="3"/>
  <c r="Z13" i="3"/>
  <c r="X13" i="3"/>
  <c r="Y13" i="3" s="1"/>
  <c r="AA13" i="3" s="1"/>
  <c r="W13" i="3"/>
  <c r="S13" i="3"/>
  <c r="T13" i="3" s="1"/>
  <c r="U13" i="3" s="1"/>
  <c r="P13" i="3"/>
  <c r="N13" i="3"/>
  <c r="Q13" i="3" s="1"/>
  <c r="K13" i="3"/>
  <c r="L13" i="3" s="1"/>
  <c r="G13" i="3"/>
  <c r="H13" i="3" s="1"/>
  <c r="I13" i="3" s="1"/>
  <c r="E13" i="3"/>
  <c r="C13" i="3"/>
  <c r="AC12" i="3"/>
  <c r="Z12" i="3"/>
  <c r="X12" i="3"/>
  <c r="Y12" i="3" s="1"/>
  <c r="AA12" i="3" s="1"/>
  <c r="W12" i="3"/>
  <c r="S12" i="3"/>
  <c r="T12" i="3" s="1"/>
  <c r="U12" i="3" s="1"/>
  <c r="Q12" i="3"/>
  <c r="P12" i="3"/>
  <c r="N12" i="3"/>
  <c r="K12" i="3"/>
  <c r="L12" i="3" s="1"/>
  <c r="G12" i="3"/>
  <c r="H12" i="3" s="1"/>
  <c r="I12" i="3" s="1"/>
  <c r="E12" i="3"/>
  <c r="C12" i="3"/>
  <c r="AC11" i="3"/>
  <c r="Z11" i="3"/>
  <c r="X11" i="3"/>
  <c r="Y11" i="3" s="1"/>
  <c r="AA11" i="3" s="1"/>
  <c r="W11" i="3"/>
  <c r="S11" i="3"/>
  <c r="T11" i="3" s="1"/>
  <c r="U11" i="3" s="1"/>
  <c r="Q11" i="3"/>
  <c r="P11" i="3"/>
  <c r="N11" i="3"/>
  <c r="K11" i="3"/>
  <c r="L11" i="3" s="1"/>
  <c r="G11" i="3"/>
  <c r="E11" i="3"/>
  <c r="C11" i="3"/>
  <c r="H11" i="3" s="1"/>
  <c r="I11" i="3" s="1"/>
  <c r="AC10" i="3"/>
  <c r="Z10" i="3"/>
  <c r="W10" i="3"/>
  <c r="X10" i="3" s="1"/>
  <c r="Y10" i="3" s="1"/>
  <c r="AA10" i="3" s="1"/>
  <c r="T10" i="3"/>
  <c r="U10" i="3" s="1"/>
  <c r="S10" i="3"/>
  <c r="P10" i="3"/>
  <c r="N10" i="3"/>
  <c r="Q10" i="3" s="1"/>
  <c r="K10" i="3"/>
  <c r="L10" i="3" s="1"/>
  <c r="G10" i="3"/>
  <c r="E10" i="3"/>
  <c r="C10" i="3"/>
  <c r="H10" i="3" s="1"/>
  <c r="I10" i="3" s="1"/>
  <c r="AC9" i="3"/>
  <c r="Z9" i="3"/>
  <c r="W9" i="3"/>
  <c r="X9" i="3" s="1"/>
  <c r="Y9" i="3" s="1"/>
  <c r="AA9" i="3" s="1"/>
  <c r="U9" i="3"/>
  <c r="T9" i="3"/>
  <c r="S9" i="3"/>
  <c r="P9" i="3"/>
  <c r="N9" i="3"/>
  <c r="Q9" i="3" s="1"/>
  <c r="L9" i="3"/>
  <c r="K9" i="3"/>
  <c r="G9" i="3"/>
  <c r="E9" i="3"/>
  <c r="C9" i="3"/>
  <c r="H9" i="3" s="1"/>
  <c r="I9" i="3" s="1"/>
  <c r="AC8" i="3"/>
  <c r="AC36" i="3" s="1"/>
  <c r="AD39" i="3" s="1"/>
  <c r="Z8" i="3"/>
  <c r="W8" i="3"/>
  <c r="X8" i="3" s="1"/>
  <c r="Y8" i="3" s="1"/>
  <c r="AA8" i="3" s="1"/>
  <c r="T8" i="3"/>
  <c r="U8" i="3" s="1"/>
  <c r="S8" i="3"/>
  <c r="P8" i="3"/>
  <c r="N8" i="3"/>
  <c r="Q8" i="3" s="1"/>
  <c r="L8" i="3"/>
  <c r="K8" i="3"/>
  <c r="G8" i="3"/>
  <c r="H8" i="3" s="1"/>
  <c r="I8" i="3" s="1"/>
  <c r="E8" i="3"/>
  <c r="C8" i="3"/>
  <c r="AC7" i="3"/>
  <c r="Z7" i="3"/>
  <c r="W7" i="3"/>
  <c r="X7" i="3" s="1"/>
  <c r="Y7" i="3" s="1"/>
  <c r="AA7" i="3" s="1"/>
  <c r="S7" i="3"/>
  <c r="T7" i="3" s="1"/>
  <c r="U7" i="3" s="1"/>
  <c r="P7" i="3"/>
  <c r="Q7" i="3" s="1"/>
  <c r="N7" i="3"/>
  <c r="L7" i="3"/>
  <c r="K7" i="3"/>
  <c r="G7" i="3"/>
  <c r="E7" i="3"/>
  <c r="H7" i="3" s="1"/>
  <c r="I7" i="3" s="1"/>
  <c r="C7" i="3"/>
  <c r="AC6" i="3"/>
  <c r="Z6" i="3"/>
  <c r="W6" i="3"/>
  <c r="X6" i="3" s="1"/>
  <c r="T6" i="3"/>
  <c r="U6" i="3" s="1"/>
  <c r="S6" i="3"/>
  <c r="P6" i="3"/>
  <c r="Q6" i="3" s="1"/>
  <c r="N6" i="3"/>
  <c r="K6" i="3"/>
  <c r="G6" i="3"/>
  <c r="E6" i="3"/>
  <c r="H6" i="3" s="1"/>
  <c r="C6" i="3"/>
  <c r="Z5" i="3"/>
  <c r="Z36" i="3" s="1"/>
  <c r="X5" i="3"/>
  <c r="Y5" i="3" s="1"/>
  <c r="T5" i="3"/>
  <c r="Q5" i="3"/>
  <c r="L5" i="3"/>
  <c r="I5" i="3"/>
  <c r="H5" i="3"/>
  <c r="AA5" i="3" l="1"/>
  <c r="H36" i="3"/>
  <c r="I36" i="3" s="1"/>
  <c r="I6" i="3"/>
  <c r="X36" i="3"/>
  <c r="Z39" i="3" s="1"/>
  <c r="AE39" i="3"/>
  <c r="G36" i="3"/>
  <c r="Y6" i="3"/>
  <c r="AA6" i="3" s="1"/>
  <c r="N36" i="3"/>
  <c r="W36" i="3"/>
  <c r="B51" i="3"/>
  <c r="G47" i="3"/>
  <c r="R47" i="3" s="1"/>
  <c r="K36" i="3"/>
  <c r="L6" i="3"/>
  <c r="Q36" i="3"/>
  <c r="T36" i="3"/>
  <c r="T39" i="3" s="1"/>
  <c r="L59" i="3"/>
  <c r="S36" i="3"/>
  <c r="P36" i="3"/>
  <c r="C36" i="3"/>
  <c r="B59" i="3"/>
  <c r="U5" i="3"/>
  <c r="U36" i="3" s="1"/>
  <c r="M39" i="3" l="1"/>
  <c r="L36" i="3"/>
  <c r="R51" i="3"/>
  <c r="Y47" i="3"/>
  <c r="L49" i="3"/>
  <c r="Z57" i="3" s="1"/>
  <c r="R39" i="3"/>
  <c r="R42" i="3" s="1"/>
  <c r="T42" i="3" s="1"/>
  <c r="W49" i="3"/>
  <c r="W47" i="3"/>
  <c r="L47" i="3"/>
  <c r="Z55" i="3" s="1"/>
  <c r="D39" i="3"/>
  <c r="AA36" i="3"/>
  <c r="Y36" i="3"/>
  <c r="AD57" i="3" l="1"/>
  <c r="AA57" i="3"/>
  <c r="AE57" i="3" s="1"/>
  <c r="L50" i="3"/>
  <c r="Z58" i="3" s="1"/>
  <c r="W50" i="3"/>
  <c r="X39" i="3"/>
  <c r="X42" i="3" s="1"/>
  <c r="AG42" i="3" s="1"/>
  <c r="Z42" i="3" s="1"/>
  <c r="G39" i="3"/>
  <c r="D42" i="3"/>
  <c r="G42" i="3" s="1"/>
  <c r="AD55" i="3"/>
  <c r="AA55" i="3"/>
  <c r="R55" i="3"/>
  <c r="R57" i="3"/>
  <c r="W57" i="3" s="1"/>
  <c r="Y49" i="3"/>
  <c r="L39" i="3"/>
  <c r="L42" i="3" s="1"/>
  <c r="M42" i="3" s="1"/>
  <c r="L48" i="3"/>
  <c r="Z56" i="3" s="1"/>
  <c r="W48" i="3"/>
  <c r="R56" i="3" l="1"/>
  <c r="W56" i="3" s="1"/>
  <c r="Y48" i="3"/>
  <c r="AD56" i="3"/>
  <c r="AA56" i="3"/>
  <c r="AE56" i="3" s="1"/>
  <c r="R58" i="3"/>
  <c r="W58" i="3" s="1"/>
  <c r="Y50" i="3"/>
  <c r="AA58" i="3"/>
  <c r="AE58" i="3" s="1"/>
  <c r="AD58" i="3"/>
  <c r="W55" i="3"/>
  <c r="W51" i="3"/>
  <c r="Z59" i="3"/>
  <c r="AE55" i="3"/>
  <c r="AD59" i="3"/>
  <c r="AA59" i="3" l="1"/>
  <c r="AE59" i="3"/>
  <c r="X52" i="3"/>
  <c r="B52" i="3" s="1"/>
  <c r="Y51" i="3"/>
  <c r="W59" i="3"/>
  <c r="R59" i="3"/>
  <c r="X60" i="3" s="1"/>
  <c r="B60" i="3" s="1"/>
  <c r="J31" i="5" l="1"/>
  <c r="J26" i="5"/>
  <c r="I22" i="5"/>
  <c r="J19" i="5"/>
  <c r="I17" i="5"/>
  <c r="J14" i="5"/>
  <c r="I9" i="5"/>
  <c r="J7" i="5"/>
  <c r="J5" i="5"/>
  <c r="I5" i="5"/>
  <c r="J3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6" i="5"/>
  <c r="J8" i="5"/>
  <c r="J9" i="5"/>
  <c r="J10" i="5"/>
  <c r="J11" i="5"/>
  <c r="J12" i="5"/>
  <c r="J13" i="5"/>
  <c r="J15" i="5"/>
  <c r="J16" i="5"/>
  <c r="J17" i="5"/>
  <c r="J18" i="5"/>
  <c r="J21" i="5"/>
  <c r="J22" i="5"/>
  <c r="J23" i="5"/>
  <c r="J24" i="5"/>
  <c r="J25" i="5"/>
  <c r="J27" i="5"/>
  <c r="J28" i="5"/>
  <c r="J29" i="5"/>
  <c r="J30" i="5"/>
  <c r="J32" i="5"/>
  <c r="J2" i="5"/>
  <c r="I3" i="5"/>
  <c r="I4" i="5"/>
  <c r="I6" i="5"/>
  <c r="I7" i="5"/>
  <c r="I8" i="5"/>
  <c r="I12" i="5"/>
  <c r="I13" i="5"/>
  <c r="I16" i="5"/>
  <c r="I18" i="5"/>
  <c r="I19" i="5"/>
  <c r="I20" i="5"/>
  <c r="I21" i="5"/>
  <c r="I24" i="5"/>
  <c r="I25" i="5"/>
  <c r="I28" i="5"/>
  <c r="I29" i="5"/>
  <c r="I30" i="5"/>
  <c r="I31" i="5"/>
  <c r="G31" i="4" s="1"/>
  <c r="I32" i="5"/>
  <c r="I2" i="5"/>
  <c r="J20" i="5" l="1"/>
  <c r="J4" i="5"/>
  <c r="G32" i="4"/>
  <c r="I15" i="5"/>
  <c r="G15" i="4" s="1"/>
  <c r="I10" i="5"/>
  <c r="I14" i="5"/>
  <c r="G14" i="4" s="1"/>
  <c r="I26" i="5"/>
  <c r="G26" i="4" s="1"/>
  <c r="I27" i="5"/>
  <c r="G27" i="4" s="1"/>
  <c r="I23" i="5"/>
  <c r="G23" i="4" s="1"/>
  <c r="I11" i="5"/>
  <c r="G11" i="4" s="1"/>
  <c r="E3" i="4"/>
  <c r="E10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3" i="4" s="1"/>
  <c r="K4" i="5"/>
  <c r="K4" i="4" s="1"/>
  <c r="K5" i="5"/>
  <c r="K5" i="4" s="1"/>
  <c r="K6" i="5"/>
  <c r="K6" i="4" s="1"/>
  <c r="K7" i="5"/>
  <c r="K7" i="4" s="1"/>
  <c r="K8" i="5"/>
  <c r="K8" i="4" s="1"/>
  <c r="K9" i="5"/>
  <c r="K9" i="4" s="1"/>
  <c r="K10" i="5"/>
  <c r="K10" i="4" s="1"/>
  <c r="K11" i="5"/>
  <c r="K11" i="4" s="1"/>
  <c r="K12" i="5"/>
  <c r="K12" i="4" s="1"/>
  <c r="K13" i="5"/>
  <c r="K13" i="4" s="1"/>
  <c r="K14" i="5"/>
  <c r="K14" i="4" s="1"/>
  <c r="K15" i="5"/>
  <c r="K15" i="4" s="1"/>
  <c r="K16" i="5"/>
  <c r="K16" i="4" s="1"/>
  <c r="K17" i="5"/>
  <c r="K17" i="4" s="1"/>
  <c r="K18" i="5"/>
  <c r="K18" i="4" s="1"/>
  <c r="K19" i="5"/>
  <c r="K19" i="4" s="1"/>
  <c r="K20" i="5"/>
  <c r="K20" i="4" s="1"/>
  <c r="K21" i="5"/>
  <c r="K21" i="4" s="1"/>
  <c r="K22" i="5"/>
  <c r="K22" i="4" s="1"/>
  <c r="K23" i="5"/>
  <c r="K23" i="4" s="1"/>
  <c r="K24" i="5"/>
  <c r="K24" i="4" s="1"/>
  <c r="K25" i="5"/>
  <c r="K25" i="4" s="1"/>
  <c r="K26" i="5"/>
  <c r="K26" i="4" s="1"/>
  <c r="K27" i="5"/>
  <c r="K27" i="4" s="1"/>
  <c r="K28" i="5"/>
  <c r="K28" i="4" s="1"/>
  <c r="K29" i="5"/>
  <c r="K29" i="4" s="1"/>
  <c r="K30" i="5"/>
  <c r="K30" i="4" s="1"/>
  <c r="K31" i="5"/>
  <c r="K31" i="4" s="1"/>
  <c r="K32" i="5"/>
  <c r="K32" i="4" s="1"/>
  <c r="K2" i="5"/>
  <c r="K2" i="4" s="1"/>
  <c r="H3" i="5"/>
  <c r="I3" i="4" s="1"/>
  <c r="H4" i="5"/>
  <c r="I4" i="4" s="1"/>
  <c r="H5" i="5"/>
  <c r="I5" i="4" s="1"/>
  <c r="H6" i="5"/>
  <c r="I6" i="4" s="1"/>
  <c r="H7" i="5"/>
  <c r="I7" i="4" s="1"/>
  <c r="H8" i="5"/>
  <c r="I8" i="4" s="1"/>
  <c r="H9" i="5"/>
  <c r="I9" i="4" s="1"/>
  <c r="H10" i="5"/>
  <c r="I10" i="4" s="1"/>
  <c r="H11" i="5"/>
  <c r="I11" i="4" s="1"/>
  <c r="H12" i="5"/>
  <c r="I12" i="4" s="1"/>
  <c r="H13" i="5"/>
  <c r="I13" i="4" s="1"/>
  <c r="H14" i="5"/>
  <c r="I14" i="4" s="1"/>
  <c r="H15" i="5"/>
  <c r="I15" i="4" s="1"/>
  <c r="H16" i="5"/>
  <c r="I16" i="4" s="1"/>
  <c r="H17" i="5"/>
  <c r="I17" i="4" s="1"/>
  <c r="H18" i="5"/>
  <c r="I18" i="4" s="1"/>
  <c r="H19" i="5"/>
  <c r="I19" i="4" s="1"/>
  <c r="H20" i="5"/>
  <c r="I20" i="4" s="1"/>
  <c r="H21" i="5"/>
  <c r="I21" i="4" s="1"/>
  <c r="H22" i="5"/>
  <c r="I22" i="4" s="1"/>
  <c r="H23" i="5"/>
  <c r="I23" i="4" s="1"/>
  <c r="H24" i="5"/>
  <c r="I24" i="4" s="1"/>
  <c r="H25" i="5"/>
  <c r="I25" i="4" s="1"/>
  <c r="H26" i="5"/>
  <c r="I26" i="4" s="1"/>
  <c r="H27" i="5"/>
  <c r="I27" i="4" s="1"/>
  <c r="H28" i="5"/>
  <c r="I28" i="4" s="1"/>
  <c r="H29" i="5"/>
  <c r="I29" i="4" s="1"/>
  <c r="H30" i="5"/>
  <c r="I30" i="4" s="1"/>
  <c r="H31" i="5"/>
  <c r="I31" i="4" s="1"/>
  <c r="H32" i="5"/>
  <c r="I32" i="4" s="1"/>
  <c r="H2" i="5"/>
  <c r="I2" i="4" s="1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8" i="5"/>
  <c r="F8" i="5"/>
  <c r="G8" i="5"/>
  <c r="E9" i="5"/>
  <c r="F9" i="5"/>
  <c r="G9" i="5"/>
  <c r="E10" i="5"/>
  <c r="F10" i="5"/>
  <c r="G10" i="5"/>
  <c r="E11" i="5"/>
  <c r="F11" i="5"/>
  <c r="G11" i="5"/>
  <c r="E12" i="5"/>
  <c r="F12" i="5"/>
  <c r="G12" i="5"/>
  <c r="E13" i="5"/>
  <c r="F13" i="5"/>
  <c r="G13" i="5"/>
  <c r="E14" i="5"/>
  <c r="E14" i="4" s="1"/>
  <c r="F14" i="5"/>
  <c r="G14" i="5"/>
  <c r="E15" i="5"/>
  <c r="E15" i="4" s="1"/>
  <c r="F15" i="5"/>
  <c r="G15" i="5"/>
  <c r="E16" i="5"/>
  <c r="F16" i="5"/>
  <c r="G16" i="5"/>
  <c r="E17" i="5"/>
  <c r="F17" i="5"/>
  <c r="G17" i="5"/>
  <c r="E18" i="5"/>
  <c r="F18" i="5"/>
  <c r="G18" i="5"/>
  <c r="E19" i="5"/>
  <c r="F19" i="5"/>
  <c r="G19" i="5"/>
  <c r="E20" i="5"/>
  <c r="F20" i="5"/>
  <c r="G20" i="5"/>
  <c r="E21" i="5"/>
  <c r="F21" i="5"/>
  <c r="G21" i="5"/>
  <c r="E22" i="5"/>
  <c r="E22" i="4" s="1"/>
  <c r="F22" i="5"/>
  <c r="G22" i="5"/>
  <c r="E23" i="5"/>
  <c r="F23" i="5"/>
  <c r="G23" i="5"/>
  <c r="E24" i="5"/>
  <c r="F24" i="5"/>
  <c r="G24" i="5"/>
  <c r="E25" i="5"/>
  <c r="F25" i="5"/>
  <c r="G25" i="5"/>
  <c r="E26" i="5"/>
  <c r="F26" i="5"/>
  <c r="G26" i="5"/>
  <c r="E26" i="4" s="1"/>
  <c r="E27" i="5"/>
  <c r="E27" i="4" s="1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5" i="4"/>
  <c r="G24" i="4"/>
  <c r="G22" i="4"/>
  <c r="G21" i="4"/>
  <c r="G20" i="4"/>
  <c r="G19" i="4"/>
  <c r="G18" i="4"/>
  <c r="G17" i="4"/>
  <c r="G16" i="4"/>
  <c r="G13" i="4"/>
  <c r="G12" i="4"/>
  <c r="G10" i="4"/>
  <c r="G9" i="4"/>
  <c r="G8" i="4"/>
  <c r="G7" i="4"/>
  <c r="G6" i="4"/>
  <c r="G5" i="4"/>
  <c r="B5" i="5"/>
  <c r="B6" i="5" s="1"/>
  <c r="B7" i="5" s="1"/>
  <c r="G4" i="4"/>
  <c r="B4" i="5"/>
  <c r="G3" i="4"/>
  <c r="B3" i="5"/>
  <c r="G2" i="4"/>
  <c r="E13" i="4" l="1"/>
  <c r="E32" i="4"/>
  <c r="E20" i="4"/>
  <c r="E8" i="4"/>
  <c r="E11" i="4"/>
  <c r="E18" i="4"/>
  <c r="E6" i="4"/>
  <c r="E29" i="4"/>
  <c r="E17" i="4"/>
  <c r="E5" i="4"/>
  <c r="E28" i="4"/>
  <c r="E16" i="4"/>
  <c r="E4" i="4"/>
  <c r="E19" i="4"/>
  <c r="E25" i="4"/>
  <c r="E21" i="4"/>
  <c r="E9" i="4"/>
  <c r="E24" i="4"/>
  <c r="E12" i="4"/>
  <c r="E23" i="4"/>
  <c r="E7" i="4"/>
  <c r="E30" i="4"/>
  <c r="E2" i="4"/>
  <c r="E31" i="4"/>
</calcChain>
</file>

<file path=xl/sharedStrings.xml><?xml version="1.0" encoding="utf-8"?>
<sst xmlns="http://schemas.openxmlformats.org/spreadsheetml/2006/main" count="270" uniqueCount="90">
  <si>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</si>
  <si>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</si>
  <si>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</si>
  <si>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</si>
  <si>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</si>
  <si>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</si>
  <si>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</si>
  <si>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</si>
  <si>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</si>
  <si>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</si>
  <si>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</si>
  <si>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</si>
  <si>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</si>
  <si>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</si>
  <si>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</si>
  <si>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</si>
  <si>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</si>
  <si>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</si>
  <si>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</si>
  <si>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</si>
  <si>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</si>
  <si>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</si>
  <si>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</si>
  <si>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</si>
  <si>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</si>
  <si>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</si>
  <si>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</si>
  <si>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</si>
  <si>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</si>
  <si>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</si>
  <si>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</si>
  <si>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</si>
  <si>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</si>
  <si>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</si>
  <si>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</si>
  <si>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</si>
  <si>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</si>
  <si>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</si>
  <si>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</si>
  <si>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</si>
  <si>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</si>
  <si>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</si>
  <si>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</si>
  <si>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</si>
  <si>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</si>
  <si>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</si>
  <si>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</si>
  <si>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</si>
  <si>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</si>
  <si>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</si>
  <si>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</si>
  <si>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</si>
  <si>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</si>
  <si>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</si>
  <si>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</si>
  <si>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</si>
  <si>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</si>
  <si>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</si>
  <si>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</si>
  <si>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 xml:space="preserve"> 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</si>
  <si>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</si>
  <si>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</si>
  <si>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</si>
  <si>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</si>
  <si>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</si>
  <si>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</si>
  <si>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</si>
  <si>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</si>
  <si>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</si>
  <si>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</si>
  <si>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</si>
  <si>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</si>
  <si>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</si>
  <si>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</si>
  <si>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</si>
  <si>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</si>
  <si>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</si>
  <si>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</si>
  <si>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</si>
  <si>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</si>
  <si>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</si>
  <si>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</si>
  <si>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</si>
  <si>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Hotel Occupancy %</t>
  </si>
  <si>
    <t>Budget YTD 2023</t>
  </si>
  <si>
    <t>Actual YTD 2022</t>
  </si>
  <si>
    <t>PEARL ROTANA CAPITAL CENTRE UTILITIES CONSUMPTION MAY 2023</t>
  </si>
  <si>
    <t>Actual May 2023</t>
  </si>
  <si>
    <t>Budget May 2023</t>
  </si>
  <si>
    <t>Actual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</si>
</sst>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.000"/>
    <numFmt numFmtId="168" formatCode="#,##0.00000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Border="0"/>
  </cellStyleXfs>
  <cellXfs count="26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164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164" fontId="19" fillId="0" borderId="0" xfId="0" applyNumberFormat="1" applyFont="1"/>
    <xf numFmtId="166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5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8" fillId="0" borderId="41" xfId="18" applyFont="1" applyBorder="1" applyAlignment="1">
      <alignment vertical="center"/>
    </xf>
    <xf numFmtId="164" fontId="20" fillId="0" borderId="39" xfId="18" applyFont="1" applyBorder="1" applyAlignment="1">
      <alignment horizontal="center" vertical="center"/>
    </xf>
    <xf numFmtId="166" fontId="20" fillId="0" borderId="39" xfId="20" applyNumberFormat="1" applyFont="1" applyBorder="1" applyAlignment="1">
      <alignment horizontal="center" vertical="center"/>
    </xf>
    <xf numFmtId="166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43" fontId="19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6" fontId="20" fillId="0" borderId="39" xfId="20" applyNumberFormat="1" applyFont="1" applyBorder="1" applyAlignment="1">
      <alignment horizontal="right" vertical="center"/>
    </xf>
    <xf numFmtId="166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20" fillId="0" borderId="41" xfId="18" applyFont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7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7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9" fontId="0" fillId="0" borderId="65" xfId="1" applyFon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9" fontId="27" fillId="0" borderId="25" xfId="0" applyNumberFormat="1" applyFont="1" applyBorder="1" applyAlignment="1">
      <alignment horizontal="center" vertical="center"/>
    </xf>
    <xf numFmtId="9" fontId="0" fillId="6" borderId="25" xfId="0" applyNumberForma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4" fontId="2" fillId="0" borderId="70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0" fontId="0" fillId="0" borderId="62" xfId="0" applyBorder="1"/>
    <xf numFmtId="168" fontId="8" fillId="0" borderId="62" xfId="0" applyNumberFormat="1" applyFont="1" applyBorder="1"/>
    <xf numFmtId="0" fontId="8" fillId="6" borderId="62" xfId="0" applyFont="1" applyFill="1" applyBorder="1"/>
    <xf numFmtId="0" fontId="0" fillId="0" borderId="62" xfId="0" applyBorder="1" applyAlignment="1">
      <alignment horizontal="center"/>
    </xf>
    <xf numFmtId="43" fontId="19" fillId="0" borderId="64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164" fontId="18" fillId="0" borderId="26" xfId="18" applyFont="1" applyBorder="1" applyAlignment="1">
      <alignment horizontal="center" vertical="center"/>
    </xf>
    <xf numFmtId="164" fontId="18" fillId="0" borderId="39" xfId="18" applyFont="1" applyBorder="1" applyAlignment="1">
      <alignment horizontal="center" vertical="center"/>
    </xf>
    <xf numFmtId="164" fontId="18" fillId="0" borderId="43" xfId="18" applyFont="1" applyBorder="1" applyAlignment="1">
      <alignment horizontal="center" vertical="center"/>
    </xf>
    <xf numFmtId="164" fontId="18" fillId="0" borderId="41" xfId="18" applyFont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3" fillId="6" borderId="26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14" fontId="29" fillId="6" borderId="21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164" fontId="20" fillId="0" borderId="31" xfId="18" applyFont="1" applyBorder="1" applyAlignment="1">
      <alignment horizontal="center" vertical="center"/>
    </xf>
    <xf numFmtId="164" fontId="20" fillId="0" borderId="48" xfId="18" applyFont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164" fontId="20" fillId="0" borderId="56" xfId="18" applyFont="1" applyBorder="1" applyAlignment="1">
      <alignment horizontal="center" vertical="center"/>
    </xf>
    <xf numFmtId="164" fontId="20" fillId="0" borderId="57" xfId="18" applyFont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4" fillId="4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 wrapText="1"/>
    </xf>
    <xf numFmtId="164" fontId="20" fillId="0" borderId="26" xfId="18" applyFont="1" applyBorder="1" applyAlignment="1">
      <alignment horizontal="center" vertical="center"/>
    </xf>
    <xf numFmtId="164" fontId="20" fillId="0" borderId="39" xfId="18" applyFont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0" fillId="0" borderId="43" xfId="18" applyFont="1" applyBorder="1" applyAlignment="1">
      <alignment horizontal="center" vertical="center"/>
    </xf>
    <xf numFmtId="164" fontId="20" fillId="0" borderId="41" xfId="18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N32"/>
  <sheetViews>
    <sheetView topLeftCell="A3" workbookViewId="0">
      <selection activeCell="D11" sqref="D11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7" width="11.59765625" style="2"/>
    <col min="8" max="8" width="11.59765625" style="119"/>
    <col min="9" max="9" width="11.59765625" style="2"/>
    <col min="10" max="10" width="11.59765625" style="116"/>
    <col min="11" max="11" width="11.59765625" style="118"/>
    <col min="12" max="12" width="11.59765625" style="116"/>
    <col min="13" max="13" width="11.59765625" style="9"/>
    <col min="14" max="16384" width="11.59765625" style="2"/>
  </cols>
  <sheetData>
    <row r="1" spans="1:14" s="114" customFormat="1" ht="57.4" thickBot="1" x14ac:dyDescent="0.5">
      <c r="A1" s="152" t="s">
        <v>60</v>
      </c>
      <c r="B1" s="152" t="s">
        <v>61</v>
      </c>
      <c r="C1" s="153" t="s">
        <v>62</v>
      </c>
      <c r="D1" s="152" t="s">
        <v>63</v>
      </c>
      <c r="E1" s="126" t="s">
        <v>64</v>
      </c>
      <c r="F1" s="127" t="s">
        <v>65</v>
      </c>
      <c r="G1" s="126" t="s">
        <v>81</v>
      </c>
      <c r="H1" s="127" t="s">
        <v>82</v>
      </c>
      <c r="I1" s="128" t="s">
        <v>79</v>
      </c>
      <c r="J1" s="129" t="s">
        <v>80</v>
      </c>
      <c r="K1" s="130" t="s">
        <v>66</v>
      </c>
      <c r="L1" s="131" t="s">
        <v>67</v>
      </c>
      <c r="M1" s="132" t="s">
        <v>68</v>
      </c>
      <c r="N1" s="126" t="s">
        <v>69</v>
      </c>
    </row>
    <row r="2" spans="1:14" x14ac:dyDescent="0.45">
      <c r="A2" s="125" t="s">
        <v>70</v>
      </c>
      <c r="B2" s="2">
        <v>1</v>
      </c>
      <c r="C2" s="115">
        <v>5</v>
      </c>
      <c r="D2" s="2">
        <v>2023</v>
      </c>
      <c r="E2" s="9">
        <f>Submetering!E2+Submetering!F2+Submetering!G2</f>
        <v>14863</v>
      </c>
      <c r="F2" s="116">
        <v>0.2</v>
      </c>
      <c r="G2" s="9">
        <f>Submetering!I2+Submetering!J2</f>
        <v>28</v>
      </c>
      <c r="H2" s="117">
        <v>12.61</v>
      </c>
      <c r="I2" s="9">
        <f>Submetering!H2</f>
        <v>80</v>
      </c>
      <c r="J2" s="116">
        <v>7.84</v>
      </c>
      <c r="K2" s="118">
        <f>Submetering!K2</f>
        <v>7108.6250000000009</v>
      </c>
      <c r="L2" s="116">
        <v>1.1399999999999999</v>
      </c>
      <c r="M2" s="9">
        <f>'may 23'!AD5*315</f>
        <v>222.012</v>
      </c>
      <c r="N2" s="2" t="s">
        <v>59</v>
      </c>
    </row>
    <row r="3" spans="1:14" x14ac:dyDescent="0.45">
      <c r="A3" s="125" t="s">
        <v>70</v>
      </c>
      <c r="B3" s="2">
        <f t="shared" ref="B3:B32" si="0">B2+1</f>
        <v>2</v>
      </c>
      <c r="C3" s="115">
        <v>5</v>
      </c>
      <c r="D3" s="2">
        <v>2023</v>
      </c>
      <c r="E3" s="9">
        <f>Submetering!E3+Submetering!F3+Submetering!G3</f>
        <v>14969</v>
      </c>
      <c r="F3" s="116">
        <v>0.2</v>
      </c>
      <c r="G3" s="9">
        <f>Submetering!I3+Submetering!J3</f>
        <v>26</v>
      </c>
      <c r="H3" s="117">
        <v>12.61</v>
      </c>
      <c r="I3" s="9">
        <f>Submetering!H3</f>
        <v>94</v>
      </c>
      <c r="J3" s="116">
        <v>7.84</v>
      </c>
      <c r="K3" s="118">
        <f>Submetering!K3</f>
        <v>7961.6600000000008</v>
      </c>
      <c r="L3" s="116">
        <v>1.1399999999999999</v>
      </c>
      <c r="M3" s="9">
        <f>'may 23'!AD6*315</f>
        <v>234.01349999999999</v>
      </c>
      <c r="N3" s="2" t="s">
        <v>59</v>
      </c>
    </row>
    <row r="4" spans="1:14" x14ac:dyDescent="0.45">
      <c r="A4" s="125" t="s">
        <v>70</v>
      </c>
      <c r="B4" s="2">
        <f t="shared" si="0"/>
        <v>3</v>
      </c>
      <c r="C4" s="115">
        <v>5</v>
      </c>
      <c r="D4" s="2">
        <v>2023</v>
      </c>
      <c r="E4" s="9">
        <f>Submetering!E4+Submetering!F4+Submetering!G4</f>
        <v>16164</v>
      </c>
      <c r="F4" s="116">
        <v>0.2</v>
      </c>
      <c r="G4" s="9">
        <f>Submetering!I4+Submetering!J4</f>
        <v>30</v>
      </c>
      <c r="H4" s="117">
        <v>12.61</v>
      </c>
      <c r="I4" s="9">
        <f>Submetering!H4</f>
        <v>101</v>
      </c>
      <c r="J4" s="116">
        <v>7.84</v>
      </c>
      <c r="K4" s="118">
        <f>Submetering!K4</f>
        <v>7961.6600000000008</v>
      </c>
      <c r="L4" s="116">
        <v>1.1399999999999999</v>
      </c>
      <c r="M4" s="9">
        <f>'may 23'!AD7*315</f>
        <v>226.989</v>
      </c>
      <c r="N4" s="2" t="s">
        <v>59</v>
      </c>
    </row>
    <row r="5" spans="1:14" x14ac:dyDescent="0.45">
      <c r="A5" s="125" t="s">
        <v>70</v>
      </c>
      <c r="B5" s="2">
        <f t="shared" si="0"/>
        <v>4</v>
      </c>
      <c r="C5" s="115">
        <v>5</v>
      </c>
      <c r="D5" s="2">
        <v>2023</v>
      </c>
      <c r="E5" s="9">
        <f>Submetering!E5+Submetering!F5+Submetering!G5</f>
        <v>15629</v>
      </c>
      <c r="F5" s="116">
        <v>0.2</v>
      </c>
      <c r="G5" s="9">
        <f>Submetering!I5+Submetering!J5</f>
        <v>29</v>
      </c>
      <c r="H5" s="117">
        <v>12.61</v>
      </c>
      <c r="I5" s="9">
        <f>Submetering!H5</f>
        <v>109</v>
      </c>
      <c r="J5" s="116">
        <v>7.84</v>
      </c>
      <c r="K5" s="118">
        <f>Submetering!K5</f>
        <v>6255.59</v>
      </c>
      <c r="L5" s="116">
        <v>1.1399999999999999</v>
      </c>
      <c r="M5" s="9">
        <f>'may 23'!AD8*315</f>
        <v>206.98650000000001</v>
      </c>
      <c r="N5" s="2" t="s">
        <v>59</v>
      </c>
    </row>
    <row r="6" spans="1:14" x14ac:dyDescent="0.45">
      <c r="A6" s="125" t="s">
        <v>70</v>
      </c>
      <c r="B6" s="2">
        <f t="shared" si="0"/>
        <v>5</v>
      </c>
      <c r="C6" s="115">
        <v>5</v>
      </c>
      <c r="D6" s="2">
        <v>2023</v>
      </c>
      <c r="E6" s="9">
        <f>Submetering!E6+Submetering!F6+Submetering!G6</f>
        <v>16692</v>
      </c>
      <c r="F6" s="116">
        <v>0.2</v>
      </c>
      <c r="G6" s="9">
        <f>Submetering!I6+Submetering!J6</f>
        <v>31</v>
      </c>
      <c r="H6" s="117">
        <v>12.61</v>
      </c>
      <c r="I6" s="9">
        <f>Submetering!H6</f>
        <v>148</v>
      </c>
      <c r="J6" s="116">
        <v>7.84</v>
      </c>
      <c r="K6" s="118">
        <f>Submetering!K6</f>
        <v>9099.0400000000009</v>
      </c>
      <c r="L6" s="116">
        <v>1.1399999999999999</v>
      </c>
      <c r="M6" s="9">
        <f>'may 23'!AD9*315</f>
        <v>182.00700000000001</v>
      </c>
      <c r="N6" s="2" t="s">
        <v>59</v>
      </c>
    </row>
    <row r="7" spans="1:14" x14ac:dyDescent="0.45">
      <c r="A7" s="125" t="s">
        <v>70</v>
      </c>
      <c r="B7" s="2">
        <f t="shared" si="0"/>
        <v>6</v>
      </c>
      <c r="C7" s="115">
        <v>5</v>
      </c>
      <c r="D7" s="2">
        <v>2023</v>
      </c>
      <c r="E7" s="9">
        <f>Submetering!E7+Submetering!F7+Submetering!G7</f>
        <v>15545</v>
      </c>
      <c r="F7" s="116">
        <v>0.2</v>
      </c>
      <c r="G7" s="9">
        <f>Submetering!I7+Submetering!J7</f>
        <v>29</v>
      </c>
      <c r="H7" s="117">
        <v>12.61</v>
      </c>
      <c r="I7" s="9">
        <f>Submetering!H7</f>
        <v>97</v>
      </c>
      <c r="J7" s="116">
        <v>7.84</v>
      </c>
      <c r="K7" s="118">
        <f>Submetering!K7</f>
        <v>7677.3150000000005</v>
      </c>
      <c r="L7" s="116">
        <v>1.1399999999999999</v>
      </c>
      <c r="M7" s="9">
        <f>'may 23'!AD10*315</f>
        <v>215.964</v>
      </c>
      <c r="N7" s="2" t="s">
        <v>59</v>
      </c>
    </row>
    <row r="8" spans="1:14" x14ac:dyDescent="0.45">
      <c r="A8" s="125" t="s">
        <v>70</v>
      </c>
      <c r="B8" s="2">
        <f t="shared" si="0"/>
        <v>7</v>
      </c>
      <c r="C8" s="115">
        <v>5</v>
      </c>
      <c r="D8" s="2">
        <v>2023</v>
      </c>
      <c r="E8" s="9">
        <f>Submetering!E8+Submetering!F8+Submetering!G8</f>
        <v>15410</v>
      </c>
      <c r="F8" s="116">
        <v>0.2</v>
      </c>
      <c r="G8" s="9">
        <f>Submetering!I8+Submetering!J8</f>
        <v>28</v>
      </c>
      <c r="H8" s="117">
        <v>12.61</v>
      </c>
      <c r="I8" s="9">
        <f>Submetering!H8</f>
        <v>109</v>
      </c>
      <c r="J8" s="116">
        <v>7.84</v>
      </c>
      <c r="K8" s="118">
        <f>Submetering!K8</f>
        <v>7961.6600000000008</v>
      </c>
      <c r="L8" s="116">
        <v>1.1399999999999999</v>
      </c>
      <c r="M8" s="9">
        <f>'may 23'!AD11*315</f>
        <v>273.01050000000004</v>
      </c>
      <c r="N8" s="2" t="s">
        <v>59</v>
      </c>
    </row>
    <row r="9" spans="1:14" x14ac:dyDescent="0.45">
      <c r="A9" s="125" t="s">
        <v>70</v>
      </c>
      <c r="B9" s="2">
        <f t="shared" si="0"/>
        <v>8</v>
      </c>
      <c r="C9" s="115">
        <v>5</v>
      </c>
      <c r="D9" s="2">
        <v>2023</v>
      </c>
      <c r="E9" s="9">
        <f>Submetering!E9+Submetering!F9+Submetering!G9</f>
        <v>15764</v>
      </c>
      <c r="F9" s="116">
        <v>0.2</v>
      </c>
      <c r="G9" s="9">
        <f>Submetering!I9+Submetering!J9</f>
        <v>30</v>
      </c>
      <c r="H9" s="117">
        <v>12.61</v>
      </c>
      <c r="I9" s="9">
        <f>Submetering!H9</f>
        <v>94</v>
      </c>
      <c r="J9" s="116">
        <v>7.84</v>
      </c>
      <c r="K9" s="118">
        <f>Submetering!K9</f>
        <v>7677.3150000000005</v>
      </c>
      <c r="L9" s="116">
        <v>1.1399999999999999</v>
      </c>
      <c r="M9" s="9">
        <f>'may 23'!AD12*315</f>
        <v>315</v>
      </c>
      <c r="N9" s="2" t="s">
        <v>59</v>
      </c>
    </row>
    <row r="10" spans="1:14" x14ac:dyDescent="0.45">
      <c r="A10" s="125" t="s">
        <v>70</v>
      </c>
      <c r="B10" s="2">
        <f t="shared" si="0"/>
        <v>9</v>
      </c>
      <c r="C10" s="115">
        <v>5</v>
      </c>
      <c r="D10" s="2">
        <v>2023</v>
      </c>
      <c r="E10" s="9">
        <f>Submetering!E10+Submetering!F10+Submetering!G10</f>
        <v>15629</v>
      </c>
      <c r="F10" s="116">
        <v>0.2</v>
      </c>
      <c r="G10" s="9">
        <f>Submetering!I10+Submetering!J10</f>
        <v>31</v>
      </c>
      <c r="H10" s="117">
        <v>12.61</v>
      </c>
      <c r="I10" s="9">
        <f>Submetering!H10</f>
        <v>101</v>
      </c>
      <c r="J10" s="116">
        <v>7.84</v>
      </c>
      <c r="K10" s="118">
        <f>Submetering!K10</f>
        <v>7677.3150000000005</v>
      </c>
      <c r="L10" s="116">
        <v>1.1399999999999999</v>
      </c>
      <c r="M10" s="9">
        <f>'may 23'!AD13*315</f>
        <v>315</v>
      </c>
      <c r="N10" s="2" t="s">
        <v>59</v>
      </c>
    </row>
    <row r="11" spans="1:14" x14ac:dyDescent="0.45">
      <c r="A11" s="125" t="s">
        <v>70</v>
      </c>
      <c r="B11" s="2">
        <f t="shared" si="0"/>
        <v>10</v>
      </c>
      <c r="C11" s="115">
        <v>5</v>
      </c>
      <c r="D11" s="2">
        <v>2023</v>
      </c>
      <c r="E11" s="9">
        <f>Submetering!E11+Submetering!F11+Submetering!G11</f>
        <v>15700</v>
      </c>
      <c r="F11" s="116">
        <v>0.2</v>
      </c>
      <c r="G11" s="9">
        <f>Submetering!I11+Submetering!J11</f>
        <v>30</v>
      </c>
      <c r="H11" s="117">
        <v>12.61</v>
      </c>
      <c r="I11" s="9">
        <f>Submetering!H11</f>
        <v>87</v>
      </c>
      <c r="J11" s="116">
        <v>7.84</v>
      </c>
      <c r="K11" s="118">
        <f>Submetering!K11</f>
        <v>7961.6600000000008</v>
      </c>
      <c r="L11" s="116">
        <v>1.1399999999999999</v>
      </c>
      <c r="M11" s="9">
        <f>'may 23'!AD14*315</f>
        <v>218.988</v>
      </c>
      <c r="N11" s="2" t="s">
        <v>59</v>
      </c>
    </row>
    <row r="12" spans="1:14" x14ac:dyDescent="0.45">
      <c r="A12" s="125" t="s">
        <v>70</v>
      </c>
      <c r="B12" s="2">
        <f t="shared" si="0"/>
        <v>11</v>
      </c>
      <c r="C12" s="115">
        <v>5</v>
      </c>
      <c r="D12" s="2">
        <v>2023</v>
      </c>
      <c r="E12" s="9">
        <f>Submetering!E12+Submetering!F12+Submetering!G12</f>
        <v>15562</v>
      </c>
      <c r="F12" s="116">
        <v>0.2</v>
      </c>
      <c r="G12" s="9">
        <f>Submetering!I12+Submetering!J12</f>
        <v>33</v>
      </c>
      <c r="H12" s="117">
        <v>12.61</v>
      </c>
      <c r="I12" s="9">
        <f>Submetering!H12</f>
        <v>91</v>
      </c>
      <c r="J12" s="116">
        <v>7.84</v>
      </c>
      <c r="K12" s="118">
        <f>Submetering!K12</f>
        <v>7392.9700000000012</v>
      </c>
      <c r="L12" s="116">
        <v>1.1399999999999999</v>
      </c>
      <c r="M12" s="9">
        <f>'may 23'!AD15*315</f>
        <v>163.80000000000001</v>
      </c>
      <c r="N12" s="2" t="s">
        <v>59</v>
      </c>
    </row>
    <row r="13" spans="1:14" x14ac:dyDescent="0.45">
      <c r="A13" s="125" t="s">
        <v>70</v>
      </c>
      <c r="B13" s="2">
        <f t="shared" si="0"/>
        <v>12</v>
      </c>
      <c r="C13" s="115">
        <v>5</v>
      </c>
      <c r="D13" s="2">
        <v>2023</v>
      </c>
      <c r="E13" s="9">
        <f>Submetering!E13+Submetering!F13+Submetering!G13</f>
        <v>15031</v>
      </c>
      <c r="F13" s="116">
        <v>0.2</v>
      </c>
      <c r="G13" s="9">
        <f>Submetering!I13+Submetering!J13</f>
        <v>32</v>
      </c>
      <c r="H13" s="117">
        <v>12.61</v>
      </c>
      <c r="I13" s="9">
        <f>Submetering!H13</f>
        <v>81</v>
      </c>
      <c r="J13" s="116">
        <v>7.84</v>
      </c>
      <c r="K13" s="118">
        <f>Submetering!K13</f>
        <v>7961.6600000000008</v>
      </c>
      <c r="L13" s="116">
        <v>1.1399999999999999</v>
      </c>
      <c r="M13" s="9">
        <f>'may 23'!AD16*315</f>
        <v>140.994</v>
      </c>
      <c r="N13" s="2" t="s">
        <v>59</v>
      </c>
    </row>
    <row r="14" spans="1:14" x14ac:dyDescent="0.45">
      <c r="A14" s="125" t="s">
        <v>70</v>
      </c>
      <c r="B14" s="2">
        <f t="shared" si="0"/>
        <v>13</v>
      </c>
      <c r="C14" s="115">
        <v>5</v>
      </c>
      <c r="D14" s="2">
        <v>2023</v>
      </c>
      <c r="E14" s="9">
        <f>Submetering!E14+Submetering!F14+Submetering!G14</f>
        <v>14772</v>
      </c>
      <c r="F14" s="116">
        <v>0.2</v>
      </c>
      <c r="G14" s="9">
        <f>Submetering!I14+Submetering!J14</f>
        <v>29</v>
      </c>
      <c r="H14" s="117">
        <v>12.61</v>
      </c>
      <c r="I14" s="9">
        <f>Submetering!H14</f>
        <v>70</v>
      </c>
      <c r="J14" s="116">
        <v>7.84</v>
      </c>
      <c r="K14" s="118">
        <f>Submetering!K14</f>
        <v>8530.35</v>
      </c>
      <c r="L14" s="116">
        <v>1.1399999999999999</v>
      </c>
      <c r="M14" s="9">
        <f>'may 23'!AD17*315</f>
        <v>144.99449999999999</v>
      </c>
      <c r="N14" s="2" t="s">
        <v>59</v>
      </c>
    </row>
    <row r="15" spans="1:14" x14ac:dyDescent="0.45">
      <c r="A15" s="125" t="s">
        <v>70</v>
      </c>
      <c r="B15" s="2">
        <f t="shared" si="0"/>
        <v>14</v>
      </c>
      <c r="C15" s="115">
        <v>5</v>
      </c>
      <c r="D15" s="2">
        <v>2023</v>
      </c>
      <c r="E15" s="9">
        <f>Submetering!E15+Submetering!F15+Submetering!G15</f>
        <v>15005</v>
      </c>
      <c r="F15" s="116">
        <v>0.2</v>
      </c>
      <c r="G15" s="9">
        <f>Submetering!I15+Submetering!J15</f>
        <v>29</v>
      </c>
      <c r="H15" s="117">
        <v>12.61</v>
      </c>
      <c r="I15" s="9">
        <f>Submetering!H15</f>
        <v>76</v>
      </c>
      <c r="J15" s="116">
        <v>7.84</v>
      </c>
      <c r="K15" s="118">
        <f>Submetering!K15</f>
        <v>7961.6600000000008</v>
      </c>
      <c r="L15" s="116">
        <v>1.1399999999999999</v>
      </c>
      <c r="M15" s="9">
        <f>'may 23'!AD18*315</f>
        <v>230.98949999999999</v>
      </c>
      <c r="N15" s="2" t="s">
        <v>59</v>
      </c>
    </row>
    <row r="16" spans="1:14" x14ac:dyDescent="0.45">
      <c r="A16" s="125" t="s">
        <v>70</v>
      </c>
      <c r="B16" s="2">
        <f t="shared" si="0"/>
        <v>15</v>
      </c>
      <c r="C16" s="115">
        <v>5</v>
      </c>
      <c r="D16" s="2">
        <v>2023</v>
      </c>
      <c r="E16" s="9">
        <f>Submetering!E16+Submetering!F16+Submetering!G16</f>
        <v>15607</v>
      </c>
      <c r="F16" s="116">
        <v>0.2</v>
      </c>
      <c r="G16" s="9">
        <f>Submetering!I16+Submetering!J16</f>
        <v>33</v>
      </c>
      <c r="H16" s="117">
        <v>12.61</v>
      </c>
      <c r="I16" s="9">
        <f>Submetering!H16</f>
        <v>92</v>
      </c>
      <c r="J16" s="116">
        <v>7.84</v>
      </c>
      <c r="K16" s="118">
        <f>Submetering!K16</f>
        <v>8814.6950000000015</v>
      </c>
      <c r="L16" s="116">
        <v>1.1399999999999999</v>
      </c>
      <c r="M16" s="9">
        <f>'may 23'!AD19*315</f>
        <v>315</v>
      </c>
      <c r="N16" s="2" t="s">
        <v>59</v>
      </c>
    </row>
    <row r="17" spans="1:14" x14ac:dyDescent="0.45">
      <c r="A17" s="125" t="s">
        <v>70</v>
      </c>
      <c r="B17" s="2">
        <f t="shared" si="0"/>
        <v>16</v>
      </c>
      <c r="C17" s="115">
        <v>5</v>
      </c>
      <c r="D17" s="2">
        <v>2023</v>
      </c>
      <c r="E17" s="9">
        <f>Submetering!E17+Submetering!F17+Submetering!G17</f>
        <v>15930</v>
      </c>
      <c r="F17" s="116">
        <v>0.2</v>
      </c>
      <c r="G17" s="9">
        <f>Submetering!I17+Submetering!J17</f>
        <v>34</v>
      </c>
      <c r="H17" s="117">
        <v>12.61</v>
      </c>
      <c r="I17" s="9">
        <f>Submetering!H17</f>
        <v>84</v>
      </c>
      <c r="J17" s="116">
        <v>7.84</v>
      </c>
      <c r="K17" s="118">
        <f>Submetering!K17</f>
        <v>8814.6950000000015</v>
      </c>
      <c r="L17" s="116">
        <v>1.1399999999999999</v>
      </c>
      <c r="M17" s="9">
        <f>'may 23'!AD20*315</f>
        <v>277.01099999999997</v>
      </c>
      <c r="N17" s="2" t="s">
        <v>59</v>
      </c>
    </row>
    <row r="18" spans="1:14" x14ac:dyDescent="0.45">
      <c r="A18" s="125" t="s">
        <v>70</v>
      </c>
      <c r="B18" s="2">
        <f t="shared" si="0"/>
        <v>17</v>
      </c>
      <c r="C18" s="115">
        <v>5</v>
      </c>
      <c r="D18" s="2">
        <v>2023</v>
      </c>
      <c r="E18" s="9">
        <f>Submetering!E18+Submetering!F18+Submetering!G18</f>
        <v>15519</v>
      </c>
      <c r="F18" s="116">
        <v>0.2</v>
      </c>
      <c r="G18" s="9">
        <f>Submetering!I18+Submetering!J18</f>
        <v>34</v>
      </c>
      <c r="H18" s="117">
        <v>12.61</v>
      </c>
      <c r="I18" s="9">
        <f>Submetering!H18</f>
        <v>96</v>
      </c>
      <c r="J18" s="116">
        <v>7.84</v>
      </c>
      <c r="K18" s="118">
        <f>Submetering!K18</f>
        <v>8530.35</v>
      </c>
      <c r="L18" s="116">
        <v>1.1399999999999999</v>
      </c>
      <c r="M18" s="9">
        <f>'may 23'!AD21*315</f>
        <v>245.00700000000001</v>
      </c>
      <c r="N18" s="2" t="s">
        <v>59</v>
      </c>
    </row>
    <row r="19" spans="1:14" x14ac:dyDescent="0.45">
      <c r="A19" s="125" t="s">
        <v>70</v>
      </c>
      <c r="B19" s="2">
        <f t="shared" si="0"/>
        <v>18</v>
      </c>
      <c r="C19" s="115">
        <v>5</v>
      </c>
      <c r="D19" s="2">
        <v>2023</v>
      </c>
      <c r="E19" s="9">
        <f>Submetering!E19+Submetering!F19+Submetering!G19</f>
        <v>15626</v>
      </c>
      <c r="F19" s="116">
        <v>0.2</v>
      </c>
      <c r="G19" s="9">
        <f>Submetering!I19+Submetering!J19</f>
        <v>32</v>
      </c>
      <c r="H19" s="117">
        <v>12.61</v>
      </c>
      <c r="I19" s="9">
        <f>Submetering!H19</f>
        <v>83</v>
      </c>
      <c r="J19" s="116">
        <v>7.84</v>
      </c>
      <c r="K19" s="118">
        <f>Submetering!K19</f>
        <v>8530.35</v>
      </c>
      <c r="L19" s="116">
        <v>1.1399999999999999</v>
      </c>
      <c r="M19" s="9">
        <f>'may 23'!AD22*315</f>
        <v>245.00700000000001</v>
      </c>
      <c r="N19" s="2" t="s">
        <v>59</v>
      </c>
    </row>
    <row r="20" spans="1:14" x14ac:dyDescent="0.45">
      <c r="A20" s="125" t="s">
        <v>70</v>
      </c>
      <c r="B20" s="2">
        <f t="shared" si="0"/>
        <v>19</v>
      </c>
      <c r="C20" s="115">
        <v>5</v>
      </c>
      <c r="D20" s="2">
        <v>2023</v>
      </c>
      <c r="E20" s="9">
        <f>Submetering!E20+Submetering!F20+Submetering!G20</f>
        <v>15211</v>
      </c>
      <c r="F20" s="116">
        <v>0.2</v>
      </c>
      <c r="G20" s="9">
        <f>Submetering!I20+Submetering!J20</f>
        <v>30</v>
      </c>
      <c r="H20" s="117">
        <v>12.61</v>
      </c>
      <c r="I20" s="9">
        <f>Submetering!H20</f>
        <v>83</v>
      </c>
      <c r="J20" s="116">
        <v>7.84</v>
      </c>
      <c r="K20" s="118">
        <f>Submetering!K20</f>
        <v>8530.35</v>
      </c>
      <c r="L20" s="116">
        <v>1.1399999999999999</v>
      </c>
      <c r="M20" s="9">
        <f>'may 23'!AD23*315</f>
        <v>162.00450000000001</v>
      </c>
      <c r="N20" s="2" t="s">
        <v>59</v>
      </c>
    </row>
    <row r="21" spans="1:14" x14ac:dyDescent="0.45">
      <c r="A21" s="125" t="s">
        <v>70</v>
      </c>
      <c r="B21" s="2">
        <f t="shared" si="0"/>
        <v>20</v>
      </c>
      <c r="C21" s="115">
        <v>5</v>
      </c>
      <c r="D21" s="2">
        <v>2023</v>
      </c>
      <c r="E21" s="9">
        <f>Submetering!E21+Submetering!F21+Submetering!G21</f>
        <v>15720</v>
      </c>
      <c r="F21" s="116">
        <v>0.2</v>
      </c>
      <c r="G21" s="9">
        <f>Submetering!I21+Submetering!J21</f>
        <v>28</v>
      </c>
      <c r="H21" s="117">
        <v>12.61</v>
      </c>
      <c r="I21" s="9">
        <f>Submetering!H21</f>
        <v>81</v>
      </c>
      <c r="J21" s="116">
        <v>7.84</v>
      </c>
      <c r="K21" s="118">
        <f>Submetering!K21</f>
        <v>9099.0400000000009</v>
      </c>
      <c r="L21" s="116">
        <v>1.1399999999999999</v>
      </c>
      <c r="M21" s="9">
        <f>'may 23'!AD24*315</f>
        <v>174.006</v>
      </c>
      <c r="N21" s="2" t="s">
        <v>59</v>
      </c>
    </row>
    <row r="22" spans="1:14" x14ac:dyDescent="0.45">
      <c r="A22" s="125" t="s">
        <v>70</v>
      </c>
      <c r="B22" s="2">
        <f t="shared" si="0"/>
        <v>21</v>
      </c>
      <c r="C22" s="115">
        <v>5</v>
      </c>
      <c r="D22" s="2">
        <v>2023</v>
      </c>
      <c r="E22" s="9">
        <f>Submetering!E22+Submetering!F22+Submetering!G22</f>
        <v>15601</v>
      </c>
      <c r="F22" s="116">
        <v>0.2</v>
      </c>
      <c r="G22" s="9">
        <f>Submetering!I22+Submetering!J22</f>
        <v>29</v>
      </c>
      <c r="H22" s="117">
        <v>12.61</v>
      </c>
      <c r="I22" s="9">
        <f>Submetering!H22</f>
        <v>89</v>
      </c>
      <c r="J22" s="116">
        <v>7.84</v>
      </c>
      <c r="K22" s="118">
        <f>Submetering!K22</f>
        <v>8530.35</v>
      </c>
      <c r="L22" s="116">
        <v>1.1399999999999999</v>
      </c>
      <c r="M22" s="9">
        <f>'may 23'!AD25*315</f>
        <v>222.012</v>
      </c>
      <c r="N22" s="2" t="s">
        <v>59</v>
      </c>
    </row>
    <row r="23" spans="1:14" x14ac:dyDescent="0.45">
      <c r="A23" s="125" t="s">
        <v>70</v>
      </c>
      <c r="B23" s="2">
        <f t="shared" si="0"/>
        <v>22</v>
      </c>
      <c r="C23" s="115">
        <v>5</v>
      </c>
      <c r="D23" s="2">
        <v>2023</v>
      </c>
      <c r="E23" s="9">
        <f>Submetering!E23+Submetering!F23+Submetering!G23</f>
        <v>15697</v>
      </c>
      <c r="F23" s="116">
        <v>0.2</v>
      </c>
      <c r="G23" s="9">
        <f>Submetering!I23+Submetering!J23</f>
        <v>30</v>
      </c>
      <c r="H23" s="117">
        <v>12.61</v>
      </c>
      <c r="I23" s="9">
        <f>Submetering!H23</f>
        <v>71</v>
      </c>
      <c r="J23" s="116">
        <v>7.84</v>
      </c>
      <c r="K23" s="118">
        <f>Submetering!K23</f>
        <v>9099.0400000000009</v>
      </c>
      <c r="L23" s="116">
        <v>1.1399999999999999</v>
      </c>
      <c r="M23" s="9">
        <f>'may 23'!AD26*315</f>
        <v>261.00900000000001</v>
      </c>
      <c r="N23" s="2" t="s">
        <v>59</v>
      </c>
    </row>
    <row r="24" spans="1:14" x14ac:dyDescent="0.45">
      <c r="A24" s="125" t="s">
        <v>70</v>
      </c>
      <c r="B24" s="2">
        <f t="shared" si="0"/>
        <v>23</v>
      </c>
      <c r="C24" s="115">
        <v>5</v>
      </c>
      <c r="D24" s="2">
        <v>2023</v>
      </c>
      <c r="E24" s="9">
        <f>Submetering!E24+Submetering!F24+Submetering!G24</f>
        <v>15813</v>
      </c>
      <c r="F24" s="116">
        <v>0.2</v>
      </c>
      <c r="G24" s="9">
        <f>Submetering!I24+Submetering!J24</f>
        <v>33</v>
      </c>
      <c r="H24" s="117">
        <v>12.61</v>
      </c>
      <c r="I24" s="9">
        <f>Submetering!H24</f>
        <v>89</v>
      </c>
      <c r="J24" s="116">
        <v>7.84</v>
      </c>
      <c r="K24" s="118">
        <f>Submetering!K24</f>
        <v>9099.0400000000009</v>
      </c>
      <c r="L24" s="116">
        <v>1.1399999999999999</v>
      </c>
      <c r="M24" s="9">
        <f>'may 23'!AD27*315</f>
        <v>301.01400000000001</v>
      </c>
      <c r="N24" s="2" t="s">
        <v>59</v>
      </c>
    </row>
    <row r="25" spans="1:14" x14ac:dyDescent="0.45">
      <c r="A25" s="125" t="s">
        <v>70</v>
      </c>
      <c r="B25" s="2">
        <f t="shared" si="0"/>
        <v>24</v>
      </c>
      <c r="C25" s="115">
        <v>5</v>
      </c>
      <c r="D25" s="2">
        <v>2023</v>
      </c>
      <c r="E25" s="9">
        <f>Submetering!E25+Submetering!F25+Submetering!G25</f>
        <v>15802</v>
      </c>
      <c r="F25" s="116">
        <v>0.2</v>
      </c>
      <c r="G25" s="9">
        <f>Submetering!I25+Submetering!J25</f>
        <v>36</v>
      </c>
      <c r="H25" s="117">
        <v>12.61</v>
      </c>
      <c r="I25" s="9">
        <f>Submetering!H25</f>
        <v>97</v>
      </c>
      <c r="J25" s="116">
        <v>7.84</v>
      </c>
      <c r="K25" s="118">
        <f>Submetering!K25</f>
        <v>8814.6950000000015</v>
      </c>
      <c r="L25" s="116">
        <v>1.1399999999999999</v>
      </c>
      <c r="M25" s="9">
        <f>'may 23'!AD28*315</f>
        <v>297.99</v>
      </c>
      <c r="N25" s="2" t="s">
        <v>59</v>
      </c>
    </row>
    <row r="26" spans="1:14" x14ac:dyDescent="0.45">
      <c r="A26" s="125" t="s">
        <v>70</v>
      </c>
      <c r="B26" s="2">
        <f t="shared" si="0"/>
        <v>25</v>
      </c>
      <c r="C26" s="115">
        <v>5</v>
      </c>
      <c r="D26" s="2">
        <v>2023</v>
      </c>
      <c r="E26" s="9">
        <f>Submetering!E26+Submetering!F26+Submetering!G26</f>
        <v>16356</v>
      </c>
      <c r="F26" s="116">
        <v>0.2</v>
      </c>
      <c r="G26" s="9">
        <f>Submetering!I26+Submetering!J26</f>
        <v>32</v>
      </c>
      <c r="H26" s="117">
        <v>12.61</v>
      </c>
      <c r="I26" s="9">
        <f>Submetering!H26</f>
        <v>105</v>
      </c>
      <c r="J26" s="116">
        <v>7.84</v>
      </c>
      <c r="K26" s="118">
        <f>Submetering!K26</f>
        <v>9099.0400000000009</v>
      </c>
      <c r="L26" s="116">
        <v>1.1399999999999999</v>
      </c>
      <c r="M26" s="9">
        <f>'may 23'!AD29*315</f>
        <v>308.00700000000001</v>
      </c>
      <c r="N26" s="2" t="s">
        <v>59</v>
      </c>
    </row>
    <row r="27" spans="1:14" x14ac:dyDescent="0.45">
      <c r="A27" s="125" t="s">
        <v>70</v>
      </c>
      <c r="B27" s="2">
        <f t="shared" si="0"/>
        <v>26</v>
      </c>
      <c r="C27" s="115">
        <v>5</v>
      </c>
      <c r="D27" s="2">
        <v>2023</v>
      </c>
      <c r="E27" s="9">
        <f>Submetering!E27+Submetering!F27+Submetering!G27</f>
        <v>15990</v>
      </c>
      <c r="F27" s="116">
        <v>0.2</v>
      </c>
      <c r="G27" s="9">
        <f>Submetering!I27+Submetering!J27</f>
        <v>33</v>
      </c>
      <c r="H27" s="117">
        <v>12.61</v>
      </c>
      <c r="I27" s="9">
        <f>Submetering!H27</f>
        <v>99</v>
      </c>
      <c r="J27" s="116">
        <v>7.84</v>
      </c>
      <c r="K27" s="118">
        <f>Submetering!K27</f>
        <v>9383.3850000000002</v>
      </c>
      <c r="L27" s="116">
        <v>1.1399999999999999</v>
      </c>
      <c r="M27" s="9">
        <f>'may 23'!AD30*315</f>
        <v>252</v>
      </c>
      <c r="N27" s="2" t="s">
        <v>59</v>
      </c>
    </row>
    <row r="28" spans="1:14" x14ac:dyDescent="0.45">
      <c r="A28" s="125" t="s">
        <v>70</v>
      </c>
      <c r="B28" s="2">
        <f t="shared" si="0"/>
        <v>27</v>
      </c>
      <c r="C28" s="115">
        <v>5</v>
      </c>
      <c r="D28" s="2">
        <v>2023</v>
      </c>
      <c r="E28" s="9">
        <f>Submetering!E28+Submetering!F28+Submetering!G28</f>
        <v>16127</v>
      </c>
      <c r="F28" s="116">
        <v>0.2</v>
      </c>
      <c r="G28" s="9">
        <f>Submetering!I28+Submetering!J28</f>
        <v>33</v>
      </c>
      <c r="H28" s="117">
        <v>12.61</v>
      </c>
      <c r="I28" s="9">
        <f>Submetering!H28</f>
        <v>102</v>
      </c>
      <c r="J28" s="116">
        <v>7.84</v>
      </c>
      <c r="K28" s="118">
        <f>Submetering!K28</f>
        <v>9383.3850000000002</v>
      </c>
      <c r="L28" s="116">
        <v>1.1399999999999999</v>
      </c>
      <c r="M28" s="9">
        <f>'may 23'!AD31*315</f>
        <v>271.089</v>
      </c>
      <c r="N28" s="2" t="s">
        <v>59</v>
      </c>
    </row>
    <row r="29" spans="1:14" x14ac:dyDescent="0.45">
      <c r="A29" s="125" t="s">
        <v>70</v>
      </c>
      <c r="B29" s="2">
        <f t="shared" si="0"/>
        <v>28</v>
      </c>
      <c r="C29" s="115">
        <v>5</v>
      </c>
      <c r="D29" s="2">
        <v>2023</v>
      </c>
      <c r="E29" s="9">
        <f>Submetering!E29+Submetering!F29+Submetering!G29</f>
        <v>15788</v>
      </c>
      <c r="F29" s="116">
        <v>0.2</v>
      </c>
      <c r="G29" s="9">
        <f>Submetering!I29+Submetering!J29</f>
        <v>31</v>
      </c>
      <c r="H29" s="117">
        <v>12.61</v>
      </c>
      <c r="I29" s="9">
        <f>Submetering!H29</f>
        <v>100</v>
      </c>
      <c r="J29" s="116">
        <v>7.84</v>
      </c>
      <c r="K29" s="118">
        <f>Submetering!K29</f>
        <v>9667.7300000000014</v>
      </c>
      <c r="L29" s="116">
        <v>1.1399999999999999</v>
      </c>
      <c r="M29" s="9">
        <f>'may 23'!AD32*315</f>
        <v>257.98499999999996</v>
      </c>
      <c r="N29" s="2" t="s">
        <v>59</v>
      </c>
    </row>
    <row r="30" spans="1:14" x14ac:dyDescent="0.45">
      <c r="A30" s="125" t="s">
        <v>70</v>
      </c>
      <c r="B30" s="2">
        <f t="shared" si="0"/>
        <v>29</v>
      </c>
      <c r="C30" s="115">
        <v>5</v>
      </c>
      <c r="D30" s="2">
        <v>2023</v>
      </c>
      <c r="E30" s="9">
        <f>Submetering!E30+Submetering!F30+Submetering!G30</f>
        <v>16015</v>
      </c>
      <c r="F30" s="116">
        <v>0.2</v>
      </c>
      <c r="G30" s="9">
        <f>Submetering!I30+Submetering!J30</f>
        <v>32</v>
      </c>
      <c r="H30" s="117">
        <v>12.61</v>
      </c>
      <c r="I30" s="9">
        <f>Submetering!H30</f>
        <v>94</v>
      </c>
      <c r="J30" s="116">
        <v>7.84</v>
      </c>
      <c r="K30" s="118">
        <f>Submetering!K30</f>
        <v>8814.6950000000015</v>
      </c>
      <c r="L30" s="116">
        <v>1.1399999999999999</v>
      </c>
      <c r="M30" s="9">
        <f>'may 23'!AD33*315</f>
        <v>235.99799999999999</v>
      </c>
      <c r="N30" s="2" t="s">
        <v>59</v>
      </c>
    </row>
    <row r="31" spans="1:14" x14ac:dyDescent="0.45">
      <c r="A31" s="125" t="s">
        <v>70</v>
      </c>
      <c r="B31" s="2">
        <f t="shared" si="0"/>
        <v>30</v>
      </c>
      <c r="C31" s="115">
        <v>5</v>
      </c>
      <c r="D31" s="2">
        <v>2023</v>
      </c>
      <c r="E31" s="9">
        <f>Submetering!E31+Submetering!F31+Submetering!G31</f>
        <v>15849</v>
      </c>
      <c r="F31" s="116">
        <v>1.2</v>
      </c>
      <c r="G31" s="9">
        <f>Submetering!I31+Submetering!J31</f>
        <v>31</v>
      </c>
      <c r="H31" s="117">
        <v>12.61</v>
      </c>
      <c r="I31" s="9">
        <f>Submetering!H31</f>
        <v>88</v>
      </c>
      <c r="J31" s="116">
        <v>7.84</v>
      </c>
      <c r="K31" s="118">
        <f>Submetering!K31</f>
        <v>10805.11</v>
      </c>
      <c r="L31" s="116">
        <v>1.1399999999999999</v>
      </c>
      <c r="M31" s="9">
        <f>'may 23'!AD34*315</f>
        <v>246.01500000000001</v>
      </c>
    </row>
    <row r="32" spans="1:14" x14ac:dyDescent="0.45">
      <c r="A32" s="125" t="s">
        <v>70</v>
      </c>
      <c r="B32" s="2">
        <f t="shared" si="0"/>
        <v>31</v>
      </c>
      <c r="C32" s="115">
        <v>5</v>
      </c>
      <c r="D32" s="2">
        <v>2023</v>
      </c>
      <c r="E32" s="9">
        <f>Submetering!E32+Submetering!F32+Submetering!G32</f>
        <v>15988</v>
      </c>
      <c r="F32" s="116">
        <v>2.2000000000000002</v>
      </c>
      <c r="G32" s="9">
        <f>Submetering!I32+Submetering!J32</f>
        <v>28</v>
      </c>
      <c r="H32" s="117">
        <v>12.61</v>
      </c>
      <c r="I32" s="9">
        <f>Submetering!H32</f>
        <v>95</v>
      </c>
      <c r="J32" s="116">
        <v>7.84</v>
      </c>
      <c r="K32" s="118">
        <f>Submetering!K32</f>
        <v>10805.11</v>
      </c>
      <c r="L32" s="116">
        <v>1.1399999999999999</v>
      </c>
      <c r="M32" s="9">
        <f>'may 23'!AD35*315</f>
        <v>198.9855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abSelected="1" topLeftCell="C1" workbookViewId="0">
      <selection activeCell="I10" sqref="I10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8" width="11.59765625" style="2"/>
    <col min="9" max="9" width="11.59765625" style="119"/>
    <col min="10" max="13" width="11.59765625" style="2"/>
    <col min="14" max="14" width="11.59765625" style="9"/>
    <col min="15" max="15" width="11.59765625" style="2"/>
  </cols>
  <sheetData>
    <row r="1" spans="1:15" s="124" customFormat="1" ht="42.75" x14ac:dyDescent="0.45">
      <c r="A1" s="114" t="s">
        <v>60</v>
      </c>
      <c r="B1" s="114" t="s">
        <v>61</v>
      </c>
      <c r="C1" s="120" t="s">
        <v>62</v>
      </c>
      <c r="D1" s="114" t="s">
        <v>63</v>
      </c>
      <c r="E1" s="121" t="s">
        <v>71</v>
      </c>
      <c r="F1" s="122" t="s">
        <v>72</v>
      </c>
      <c r="G1" s="121" t="s">
        <v>73</v>
      </c>
      <c r="H1" s="121" t="s">
        <v>74</v>
      </c>
      <c r="I1" s="122" t="s">
        <v>75</v>
      </c>
      <c r="J1" s="122" t="s">
        <v>76</v>
      </c>
      <c r="K1" s="123" t="s">
        <v>2</v>
      </c>
      <c r="L1" s="123" t="s">
        <v>77</v>
      </c>
      <c r="M1" s="121" t="s">
        <v>78</v>
      </c>
      <c r="N1" s="123" t="s">
        <v>68</v>
      </c>
      <c r="O1" s="121" t="s">
        <v>69</v>
      </c>
    </row>
    <row r="2" spans="1:15" x14ac:dyDescent="0.45">
      <c r="A2" s="125" t="s">
        <v>70</v>
      </c>
      <c r="B2" s="2">
        <v>1</v>
      </c>
      <c r="C2" s="115">
        <v>5</v>
      </c>
      <c r="D2" s="2">
        <v>2023</v>
      </c>
      <c r="E2" s="9">
        <f>'may 23'!C5</f>
        <v>7674</v>
      </c>
      <c r="F2" s="9">
        <f>'may 23'!E5</f>
        <v>7077</v>
      </c>
      <c r="G2" s="9">
        <f>'may 23'!G5</f>
        <v>112</v>
      </c>
      <c r="H2" s="9">
        <f>'may 23'!K5</f>
        <v>80</v>
      </c>
      <c r="I2" s="9">
        <f>'may 23'!N5</f>
        <v>16</v>
      </c>
      <c r="J2" s="9">
        <f>'may 23'!P5</f>
        <v>12</v>
      </c>
      <c r="K2" s="9">
        <f>'may 23'!X5</f>
        <v>7108.6250000000009</v>
      </c>
      <c r="L2" s="9">
        <f>'may 23'!AC5</f>
        <v>8038</v>
      </c>
      <c r="M2" s="9">
        <f>'may 23'!AP5</f>
        <v>0</v>
      </c>
      <c r="N2" s="9">
        <f>'may 23'!AD5*315</f>
        <v>222.012</v>
      </c>
      <c r="O2" s="2" t="s">
        <v>59</v>
      </c>
    </row>
    <row r="3" spans="1:15" x14ac:dyDescent="0.45">
      <c r="A3" s="125" t="s">
        <v>70</v>
      </c>
      <c r="B3" s="2">
        <f t="shared" ref="B3:B32" si="0">B2+1</f>
        <v>2</v>
      </c>
      <c r="C3" s="115">
        <v>5</v>
      </c>
      <c r="D3" s="2">
        <v>2023</v>
      </c>
      <c r="E3" s="9">
        <f>'may 23'!C6</f>
        <v>7803</v>
      </c>
      <c r="F3" s="9">
        <f>'may 23'!E6</f>
        <v>7055</v>
      </c>
      <c r="G3" s="9">
        <f>'may 23'!G6</f>
        <v>111</v>
      </c>
      <c r="H3" s="9">
        <f>'may 23'!K6</f>
        <v>94</v>
      </c>
      <c r="I3" s="9">
        <f>'may 23'!N6</f>
        <v>17</v>
      </c>
      <c r="J3" s="9">
        <f>'may 23'!P6</f>
        <v>9</v>
      </c>
      <c r="K3" s="9">
        <f>'may 23'!X6</f>
        <v>7961.6600000000008</v>
      </c>
      <c r="L3" s="9">
        <f>'may 23'!AC6</f>
        <v>8850</v>
      </c>
      <c r="M3" s="9">
        <f>'may 23'!AP6</f>
        <v>0</v>
      </c>
      <c r="N3" s="9">
        <f>'may 23'!AD6*315</f>
        <v>234.01349999999999</v>
      </c>
      <c r="O3" s="2" t="s">
        <v>59</v>
      </c>
    </row>
    <row r="4" spans="1:15" x14ac:dyDescent="0.45">
      <c r="A4" s="125" t="s">
        <v>70</v>
      </c>
      <c r="B4" s="2">
        <f t="shared" si="0"/>
        <v>3</v>
      </c>
      <c r="C4" s="115">
        <v>5</v>
      </c>
      <c r="D4" s="2">
        <v>2023</v>
      </c>
      <c r="E4" s="9">
        <f>'may 23'!C7</f>
        <v>8540</v>
      </c>
      <c r="F4" s="9">
        <f>'may 23'!E7</f>
        <v>7515</v>
      </c>
      <c r="G4" s="9">
        <f>'may 23'!G7</f>
        <v>109</v>
      </c>
      <c r="H4" s="9">
        <f>'may 23'!K7</f>
        <v>101</v>
      </c>
      <c r="I4" s="9">
        <f>'may 23'!N7</f>
        <v>18</v>
      </c>
      <c r="J4" s="9">
        <f>'may 23'!P7</f>
        <v>12</v>
      </c>
      <c r="K4" s="9">
        <f>'may 23'!X7</f>
        <v>7961.6600000000008</v>
      </c>
      <c r="L4" s="9">
        <f>'may 23'!AC7</f>
        <v>8621</v>
      </c>
      <c r="M4" s="9">
        <f>'may 23'!AP7</f>
        <v>0</v>
      </c>
      <c r="N4" s="9">
        <f>'may 23'!AD7*315</f>
        <v>226.989</v>
      </c>
      <c r="O4" s="2" t="s">
        <v>59</v>
      </c>
    </row>
    <row r="5" spans="1:15" x14ac:dyDescent="0.45">
      <c r="A5" s="125" t="s">
        <v>70</v>
      </c>
      <c r="B5" s="2">
        <f t="shared" si="0"/>
        <v>4</v>
      </c>
      <c r="C5" s="115">
        <v>5</v>
      </c>
      <c r="D5" s="2">
        <v>2023</v>
      </c>
      <c r="E5" s="9">
        <f>'may 23'!C8</f>
        <v>8127</v>
      </c>
      <c r="F5" s="9">
        <f>'may 23'!E8</f>
        <v>7374</v>
      </c>
      <c r="G5" s="9">
        <f>'may 23'!G8</f>
        <v>128</v>
      </c>
      <c r="H5" s="9">
        <f>'may 23'!K8</f>
        <v>109</v>
      </c>
      <c r="I5" s="9">
        <f>'may 23'!N8</f>
        <v>18</v>
      </c>
      <c r="J5" s="9">
        <f>'may 23'!P8</f>
        <v>11</v>
      </c>
      <c r="K5" s="9">
        <f>'may 23'!X8</f>
        <v>6255.59</v>
      </c>
      <c r="L5" s="9">
        <f>'may 23'!AC8</f>
        <v>8424</v>
      </c>
      <c r="M5" s="9">
        <f>'may 23'!AP8</f>
        <v>0</v>
      </c>
      <c r="N5" s="9">
        <f>'may 23'!AD8*315</f>
        <v>206.98650000000001</v>
      </c>
      <c r="O5" s="2" t="s">
        <v>59</v>
      </c>
    </row>
    <row r="6" spans="1:15" x14ac:dyDescent="0.45">
      <c r="A6" s="125" t="s">
        <v>70</v>
      </c>
      <c r="B6" s="2">
        <f t="shared" si="0"/>
        <v>5</v>
      </c>
      <c r="C6" s="115">
        <v>5</v>
      </c>
      <c r="D6" s="2">
        <v>2023</v>
      </c>
      <c r="E6" s="9">
        <f>'may 23'!C9</f>
        <v>8888</v>
      </c>
      <c r="F6" s="9">
        <f>'may 23'!E9</f>
        <v>7711</v>
      </c>
      <c r="G6" s="9">
        <f>'may 23'!G9</f>
        <v>93</v>
      </c>
      <c r="H6" s="9">
        <f>'may 23'!K9</f>
        <v>148</v>
      </c>
      <c r="I6" s="9">
        <f>'may 23'!N9</f>
        <v>18</v>
      </c>
      <c r="J6" s="9">
        <f>'may 23'!P9</f>
        <v>13</v>
      </c>
      <c r="K6" s="9">
        <f>'may 23'!X9</f>
        <v>9099.0400000000009</v>
      </c>
      <c r="L6" s="9">
        <f>'may 23'!AC9</f>
        <v>8500</v>
      </c>
      <c r="M6" s="9">
        <f>'may 23'!AP9</f>
        <v>0</v>
      </c>
      <c r="N6" s="9">
        <f>'may 23'!AD9*315</f>
        <v>182.00700000000001</v>
      </c>
      <c r="O6" s="2" t="s">
        <v>59</v>
      </c>
    </row>
    <row r="7" spans="1:15" x14ac:dyDescent="0.45">
      <c r="A7" s="125" t="s">
        <v>70</v>
      </c>
      <c r="B7" s="2">
        <f t="shared" si="0"/>
        <v>6</v>
      </c>
      <c r="C7" s="115">
        <v>5</v>
      </c>
      <c r="D7" s="2">
        <v>2023</v>
      </c>
      <c r="E7" s="9">
        <f>'may 23'!C10</f>
        <v>8197</v>
      </c>
      <c r="F7" s="9">
        <f>'may 23'!E10</f>
        <v>7239</v>
      </c>
      <c r="G7" s="9">
        <f>'may 23'!G10</f>
        <v>109</v>
      </c>
      <c r="H7" s="9">
        <f>'may 23'!K10</f>
        <v>97</v>
      </c>
      <c r="I7" s="9">
        <f>'may 23'!N10</f>
        <v>18</v>
      </c>
      <c r="J7" s="9">
        <f>'may 23'!P10</f>
        <v>11</v>
      </c>
      <c r="K7" s="9">
        <f>'may 23'!X10</f>
        <v>7677.3150000000005</v>
      </c>
      <c r="L7" s="9">
        <f>'may 23'!AC10</f>
        <v>8166</v>
      </c>
      <c r="M7" s="9">
        <f>'may 23'!AP10</f>
        <v>0</v>
      </c>
      <c r="N7" s="9">
        <f>'may 23'!AD10*315</f>
        <v>215.964</v>
      </c>
      <c r="O7" s="2" t="s">
        <v>59</v>
      </c>
    </row>
    <row r="8" spans="1:15" x14ac:dyDescent="0.45">
      <c r="A8" s="125" t="s">
        <v>70</v>
      </c>
      <c r="B8" s="2">
        <f t="shared" si="0"/>
        <v>7</v>
      </c>
      <c r="C8" s="115">
        <v>5</v>
      </c>
      <c r="D8" s="2">
        <v>2023</v>
      </c>
      <c r="E8" s="9">
        <f>'may 23'!C11</f>
        <v>7984</v>
      </c>
      <c r="F8" s="9">
        <f>'may 23'!E11</f>
        <v>7317</v>
      </c>
      <c r="G8" s="9">
        <f>'may 23'!G11</f>
        <v>109</v>
      </c>
      <c r="H8" s="9">
        <f>'may 23'!K11</f>
        <v>109</v>
      </c>
      <c r="I8" s="9">
        <f>'may 23'!N11</f>
        <v>18</v>
      </c>
      <c r="J8" s="9">
        <f>'may 23'!P11</f>
        <v>10</v>
      </c>
      <c r="K8" s="9">
        <f>'may 23'!X11</f>
        <v>7961.6600000000008</v>
      </c>
      <c r="L8" s="9">
        <f>'may 23'!AC11</f>
        <v>8571</v>
      </c>
      <c r="M8" s="9">
        <f>'may 23'!AP11</f>
        <v>0</v>
      </c>
      <c r="N8" s="9">
        <f>'may 23'!AD11*315</f>
        <v>273.01050000000004</v>
      </c>
      <c r="O8" s="2" t="s">
        <v>59</v>
      </c>
    </row>
    <row r="9" spans="1:15" x14ac:dyDescent="0.45">
      <c r="A9" s="125" t="s">
        <v>70</v>
      </c>
      <c r="B9" s="2">
        <f t="shared" si="0"/>
        <v>8</v>
      </c>
      <c r="C9" s="115">
        <v>5</v>
      </c>
      <c r="D9" s="2">
        <v>2023</v>
      </c>
      <c r="E9" s="9">
        <f>'may 23'!C12</f>
        <v>8304</v>
      </c>
      <c r="F9" s="9">
        <f>'may 23'!E12</f>
        <v>7346</v>
      </c>
      <c r="G9" s="9">
        <f>'may 23'!G12</f>
        <v>114</v>
      </c>
      <c r="H9" s="9">
        <f>'may 23'!K12</f>
        <v>94</v>
      </c>
      <c r="I9" s="9">
        <f>'may 23'!N12</f>
        <v>19</v>
      </c>
      <c r="J9" s="9">
        <f>'may 23'!P12</f>
        <v>11</v>
      </c>
      <c r="K9" s="9">
        <f>'may 23'!X12</f>
        <v>7677.3150000000005</v>
      </c>
      <c r="L9" s="9">
        <f>'may 23'!AC12</f>
        <v>8705</v>
      </c>
      <c r="M9" s="9">
        <f>'may 23'!AP12</f>
        <v>0</v>
      </c>
      <c r="N9" s="9">
        <f>'may 23'!AD12*315</f>
        <v>315</v>
      </c>
      <c r="O9" s="2" t="s">
        <v>59</v>
      </c>
    </row>
    <row r="10" spans="1:15" x14ac:dyDescent="0.45">
      <c r="A10" s="125" t="s">
        <v>70</v>
      </c>
      <c r="B10" s="2">
        <f t="shared" si="0"/>
        <v>9</v>
      </c>
      <c r="C10" s="115">
        <v>5</v>
      </c>
      <c r="D10" s="2">
        <v>2023</v>
      </c>
      <c r="E10" s="9">
        <f>'may 23'!C13</f>
        <v>8166</v>
      </c>
      <c r="F10" s="9">
        <f>'may 23'!E13</f>
        <v>7348</v>
      </c>
      <c r="G10" s="9">
        <f>'may 23'!G13</f>
        <v>115</v>
      </c>
      <c r="H10" s="9">
        <f>'may 23'!K13</f>
        <v>101</v>
      </c>
      <c r="I10" s="9">
        <f>'may 23'!N13</f>
        <v>18</v>
      </c>
      <c r="J10" s="9">
        <f>'may 23'!P13</f>
        <v>13</v>
      </c>
      <c r="K10" s="9">
        <f>'may 23'!X13</f>
        <v>7677.3150000000005</v>
      </c>
      <c r="L10" s="9">
        <f>'may 23'!AC13</f>
        <v>8746</v>
      </c>
      <c r="M10" s="9">
        <f>'may 23'!AP13</f>
        <v>0</v>
      </c>
      <c r="N10" s="9">
        <f>'may 23'!AD13*315</f>
        <v>315</v>
      </c>
      <c r="O10" s="2" t="s">
        <v>59</v>
      </c>
    </row>
    <row r="11" spans="1:15" x14ac:dyDescent="0.45">
      <c r="A11" s="125" t="s">
        <v>70</v>
      </c>
      <c r="B11" s="2">
        <f t="shared" si="0"/>
        <v>10</v>
      </c>
      <c r="C11" s="115">
        <v>5</v>
      </c>
      <c r="D11" s="2">
        <v>2023</v>
      </c>
      <c r="E11" s="9">
        <f>'may 23'!C14</f>
        <v>8113</v>
      </c>
      <c r="F11" s="9">
        <f>'may 23'!E14</f>
        <v>7474</v>
      </c>
      <c r="G11" s="9">
        <f>'may 23'!G14</f>
        <v>113</v>
      </c>
      <c r="H11" s="9">
        <f>'may 23'!K14</f>
        <v>87</v>
      </c>
      <c r="I11" s="9">
        <f>'may 23'!N14</f>
        <v>19</v>
      </c>
      <c r="J11" s="9">
        <f>'may 23'!P14</f>
        <v>11</v>
      </c>
      <c r="K11" s="9">
        <f>'may 23'!X14</f>
        <v>7961.6600000000008</v>
      </c>
      <c r="L11" s="9">
        <f>'may 23'!AC14</f>
        <v>9010</v>
      </c>
      <c r="M11" s="9">
        <f>'may 23'!AP14</f>
        <v>0</v>
      </c>
      <c r="N11" s="9">
        <f>'may 23'!AD14*315</f>
        <v>218.988</v>
      </c>
      <c r="O11" s="2" t="s">
        <v>59</v>
      </c>
    </row>
    <row r="12" spans="1:15" x14ac:dyDescent="0.45">
      <c r="A12" s="125" t="s">
        <v>70</v>
      </c>
      <c r="B12" s="2">
        <f t="shared" si="0"/>
        <v>11</v>
      </c>
      <c r="C12" s="115">
        <v>5</v>
      </c>
      <c r="D12" s="2">
        <v>2023</v>
      </c>
      <c r="E12" s="9">
        <f>'may 23'!C15</f>
        <v>8099</v>
      </c>
      <c r="F12" s="9">
        <f>'may 23'!E15</f>
        <v>7349</v>
      </c>
      <c r="G12" s="9">
        <f>'may 23'!G15</f>
        <v>114</v>
      </c>
      <c r="H12" s="9">
        <f>'may 23'!K15</f>
        <v>91</v>
      </c>
      <c r="I12" s="9">
        <f>'may 23'!N15</f>
        <v>18</v>
      </c>
      <c r="J12" s="9">
        <f>'may 23'!P15</f>
        <v>15</v>
      </c>
      <c r="K12" s="9">
        <f>'may 23'!X15</f>
        <v>7392.9700000000012</v>
      </c>
      <c r="L12" s="9">
        <f>'may 23'!AC15</f>
        <v>8520</v>
      </c>
      <c r="M12" s="9">
        <f>'may 23'!AP15</f>
        <v>0</v>
      </c>
      <c r="N12" s="9">
        <f>'may 23'!AD15*315</f>
        <v>163.80000000000001</v>
      </c>
      <c r="O12" s="2" t="s">
        <v>59</v>
      </c>
    </row>
    <row r="13" spans="1:15" x14ac:dyDescent="0.45">
      <c r="A13" s="125" t="s">
        <v>70</v>
      </c>
      <c r="B13" s="2">
        <f t="shared" si="0"/>
        <v>12</v>
      </c>
      <c r="C13" s="115">
        <v>5</v>
      </c>
      <c r="D13" s="2">
        <v>2023</v>
      </c>
      <c r="E13" s="9">
        <f>'may 23'!C16</f>
        <v>7923</v>
      </c>
      <c r="F13" s="9">
        <f>'may 23'!E16</f>
        <v>6993</v>
      </c>
      <c r="G13" s="9">
        <f>'may 23'!G16</f>
        <v>115</v>
      </c>
      <c r="H13" s="9">
        <f>'may 23'!K16</f>
        <v>81</v>
      </c>
      <c r="I13" s="9">
        <f>'may 23'!N16</f>
        <v>20</v>
      </c>
      <c r="J13" s="9">
        <f>'may 23'!P16</f>
        <v>12</v>
      </c>
      <c r="K13" s="9">
        <f>'may 23'!X16</f>
        <v>7961.6600000000008</v>
      </c>
      <c r="L13" s="9">
        <f>'may 23'!AC16</f>
        <v>8809</v>
      </c>
      <c r="M13" s="9">
        <f>'may 23'!AP16</f>
        <v>0</v>
      </c>
      <c r="N13" s="9">
        <f>'may 23'!AD16*315</f>
        <v>140.994</v>
      </c>
      <c r="O13" s="2" t="s">
        <v>59</v>
      </c>
    </row>
    <row r="14" spans="1:15" x14ac:dyDescent="0.45">
      <c r="A14" s="125" t="s">
        <v>70</v>
      </c>
      <c r="B14" s="2">
        <f t="shared" si="0"/>
        <v>13</v>
      </c>
      <c r="C14" s="115">
        <v>5</v>
      </c>
      <c r="D14" s="2">
        <v>2023</v>
      </c>
      <c r="E14" s="9">
        <f>'may 23'!C17</f>
        <v>7781</v>
      </c>
      <c r="F14" s="9">
        <f>'may 23'!E17</f>
        <v>6877</v>
      </c>
      <c r="G14" s="9">
        <f>'may 23'!G17</f>
        <v>114</v>
      </c>
      <c r="H14" s="9">
        <f>'may 23'!K17</f>
        <v>70</v>
      </c>
      <c r="I14" s="9">
        <f>'may 23'!N17</f>
        <v>19</v>
      </c>
      <c r="J14" s="9">
        <f>'may 23'!P17</f>
        <v>10</v>
      </c>
      <c r="K14" s="9">
        <f>'may 23'!X17</f>
        <v>8530.35</v>
      </c>
      <c r="L14" s="9">
        <f>'may 23'!AC17</f>
        <v>9300</v>
      </c>
      <c r="M14" s="9">
        <f>'may 23'!AP17</f>
        <v>0</v>
      </c>
      <c r="N14" s="9">
        <f>'may 23'!AD17*315</f>
        <v>144.99449999999999</v>
      </c>
      <c r="O14" s="2" t="s">
        <v>59</v>
      </c>
    </row>
    <row r="15" spans="1:15" x14ac:dyDescent="0.45">
      <c r="A15" s="125" t="s">
        <v>70</v>
      </c>
      <c r="B15" s="2">
        <f t="shared" si="0"/>
        <v>14</v>
      </c>
      <c r="C15" s="115">
        <v>5</v>
      </c>
      <c r="D15" s="2">
        <v>2023</v>
      </c>
      <c r="E15" s="9">
        <f>'may 23'!C18</f>
        <v>7890</v>
      </c>
      <c r="F15" s="9">
        <f>'may 23'!E18</f>
        <v>7001</v>
      </c>
      <c r="G15" s="9">
        <f>'may 23'!G18</f>
        <v>114</v>
      </c>
      <c r="H15" s="9">
        <f>'may 23'!K18</f>
        <v>76</v>
      </c>
      <c r="I15" s="9">
        <f>'may 23'!N18</f>
        <v>20</v>
      </c>
      <c r="J15" s="9">
        <f>'may 23'!P18</f>
        <v>9</v>
      </c>
      <c r="K15" s="9">
        <f>'may 23'!X18</f>
        <v>7961.6600000000008</v>
      </c>
      <c r="L15" s="9">
        <f>'may 23'!AC18</f>
        <v>8939</v>
      </c>
      <c r="M15" s="9">
        <f>'may 23'!AP18</f>
        <v>0</v>
      </c>
      <c r="N15" s="9">
        <f>'may 23'!AD18*315</f>
        <v>230.98949999999999</v>
      </c>
      <c r="O15" s="2" t="s">
        <v>59</v>
      </c>
    </row>
    <row r="16" spans="1:15" x14ac:dyDescent="0.45">
      <c r="A16" s="125" t="s">
        <v>70</v>
      </c>
      <c r="B16" s="2">
        <f t="shared" si="0"/>
        <v>15</v>
      </c>
      <c r="C16" s="115">
        <v>5</v>
      </c>
      <c r="D16" s="2">
        <v>2023</v>
      </c>
      <c r="E16" s="9">
        <f>'may 23'!C19</f>
        <v>8104</v>
      </c>
      <c r="F16" s="9">
        <f>'may 23'!E19</f>
        <v>7391</v>
      </c>
      <c r="G16" s="9">
        <f>'may 23'!G19</f>
        <v>112</v>
      </c>
      <c r="H16" s="9">
        <f>'may 23'!K19</f>
        <v>92</v>
      </c>
      <c r="I16" s="9">
        <f>'may 23'!N19</f>
        <v>18</v>
      </c>
      <c r="J16" s="9">
        <f>'may 23'!P19</f>
        <v>15</v>
      </c>
      <c r="K16" s="9">
        <f>'may 23'!X19</f>
        <v>8814.6950000000015</v>
      </c>
      <c r="L16" s="9">
        <f>'may 23'!AC19</f>
        <v>9942</v>
      </c>
      <c r="M16" s="9">
        <f>'may 23'!AP19</f>
        <v>0</v>
      </c>
      <c r="N16" s="9">
        <f>'may 23'!AD19*315</f>
        <v>315</v>
      </c>
      <c r="O16" s="2" t="s">
        <v>59</v>
      </c>
    </row>
    <row r="17" spans="1:15" x14ac:dyDescent="0.45">
      <c r="A17" s="125" t="s">
        <v>70</v>
      </c>
      <c r="B17" s="2">
        <f t="shared" si="0"/>
        <v>16</v>
      </c>
      <c r="C17" s="115">
        <v>5</v>
      </c>
      <c r="D17" s="2">
        <v>2023</v>
      </c>
      <c r="E17" s="9">
        <f>'may 23'!C20</f>
        <v>8393</v>
      </c>
      <c r="F17" s="9">
        <f>'may 23'!E20</f>
        <v>7422</v>
      </c>
      <c r="G17" s="9">
        <f>'may 23'!G20</f>
        <v>115</v>
      </c>
      <c r="H17" s="9">
        <f>'may 23'!K20</f>
        <v>84</v>
      </c>
      <c r="I17" s="9">
        <f>'may 23'!N20</f>
        <v>19</v>
      </c>
      <c r="J17" s="9">
        <f>'may 23'!P20</f>
        <v>15</v>
      </c>
      <c r="K17" s="9">
        <f>'may 23'!X20</f>
        <v>8814.6950000000015</v>
      </c>
      <c r="L17" s="9">
        <f>'may 23'!AC20</f>
        <v>9798</v>
      </c>
      <c r="M17" s="9">
        <f>'may 23'!AP20</f>
        <v>0</v>
      </c>
      <c r="N17" s="9">
        <f>'may 23'!AD20*315</f>
        <v>277.01099999999997</v>
      </c>
      <c r="O17" s="2" t="s">
        <v>59</v>
      </c>
    </row>
    <row r="18" spans="1:15" x14ac:dyDescent="0.45">
      <c r="A18" s="125" t="s">
        <v>70</v>
      </c>
      <c r="B18" s="2">
        <f t="shared" si="0"/>
        <v>17</v>
      </c>
      <c r="C18" s="115">
        <v>5</v>
      </c>
      <c r="D18" s="2">
        <v>2023</v>
      </c>
      <c r="E18" s="9">
        <f>'may 23'!C21</f>
        <v>8137</v>
      </c>
      <c r="F18" s="9">
        <f>'may 23'!E21</f>
        <v>7266</v>
      </c>
      <c r="G18" s="9">
        <f>'may 23'!G21</f>
        <v>116</v>
      </c>
      <c r="H18" s="9">
        <f>'may 23'!K21</f>
        <v>96</v>
      </c>
      <c r="I18" s="9">
        <f>'may 23'!N21</f>
        <v>17</v>
      </c>
      <c r="J18" s="9">
        <f>'may 23'!P21</f>
        <v>17</v>
      </c>
      <c r="K18" s="9">
        <f>'may 23'!X21</f>
        <v>8530.35</v>
      </c>
      <c r="L18" s="9">
        <f>'may 23'!AC21</f>
        <v>10202</v>
      </c>
      <c r="M18" s="9">
        <f>'may 23'!AP21</f>
        <v>0</v>
      </c>
      <c r="N18" s="9">
        <f>'may 23'!AD21*315</f>
        <v>245.00700000000001</v>
      </c>
      <c r="O18" s="2" t="s">
        <v>59</v>
      </c>
    </row>
    <row r="19" spans="1:15" x14ac:dyDescent="0.45">
      <c r="A19" s="125" t="s">
        <v>70</v>
      </c>
      <c r="B19" s="2">
        <f t="shared" si="0"/>
        <v>18</v>
      </c>
      <c r="C19" s="115">
        <v>5</v>
      </c>
      <c r="D19" s="2">
        <v>2023</v>
      </c>
      <c r="E19" s="9">
        <f>'may 23'!C22</f>
        <v>8057</v>
      </c>
      <c r="F19" s="9">
        <f>'may 23'!E22</f>
        <v>7457</v>
      </c>
      <c r="G19" s="9">
        <f>'may 23'!G22</f>
        <v>112</v>
      </c>
      <c r="H19" s="9">
        <f>'may 23'!K22</f>
        <v>83</v>
      </c>
      <c r="I19" s="9">
        <f>'may 23'!N22</f>
        <v>18</v>
      </c>
      <c r="J19" s="9">
        <f>'may 23'!P22</f>
        <v>14</v>
      </c>
      <c r="K19" s="9">
        <f>'may 23'!X22</f>
        <v>8530.35</v>
      </c>
      <c r="L19" s="9">
        <f>'may 23'!AC22</f>
        <v>9119</v>
      </c>
      <c r="M19" s="9">
        <f>'may 23'!AP22</f>
        <v>0</v>
      </c>
      <c r="N19" s="9">
        <f>'may 23'!AD22*315</f>
        <v>245.00700000000001</v>
      </c>
      <c r="O19" s="2" t="s">
        <v>59</v>
      </c>
    </row>
    <row r="20" spans="1:15" x14ac:dyDescent="0.45">
      <c r="A20" s="125" t="s">
        <v>70</v>
      </c>
      <c r="B20" s="2">
        <f t="shared" si="0"/>
        <v>19</v>
      </c>
      <c r="C20" s="115">
        <v>5</v>
      </c>
      <c r="D20" s="2">
        <v>2023</v>
      </c>
      <c r="E20" s="9">
        <f>'may 23'!C23</f>
        <v>7884</v>
      </c>
      <c r="F20" s="9">
        <f>'may 23'!E23</f>
        <v>7215</v>
      </c>
      <c r="G20" s="9">
        <f>'may 23'!G23</f>
        <v>112</v>
      </c>
      <c r="H20" s="9">
        <f>'may 23'!K23</f>
        <v>83</v>
      </c>
      <c r="I20" s="9">
        <f>'may 23'!N23</f>
        <v>18</v>
      </c>
      <c r="J20" s="9">
        <f>'may 23'!P23</f>
        <v>12</v>
      </c>
      <c r="K20" s="9">
        <f>'may 23'!X23</f>
        <v>8530.35</v>
      </c>
      <c r="L20" s="9">
        <f>'may 23'!AC23</f>
        <v>9755</v>
      </c>
      <c r="M20" s="9">
        <f>'may 23'!AP23</f>
        <v>0</v>
      </c>
      <c r="N20" s="9">
        <f>'may 23'!AD23*315</f>
        <v>162.00450000000001</v>
      </c>
      <c r="O20" s="2" t="s">
        <v>59</v>
      </c>
    </row>
    <row r="21" spans="1:15" x14ac:dyDescent="0.45">
      <c r="A21" s="125" t="s">
        <v>70</v>
      </c>
      <c r="B21" s="2">
        <f t="shared" si="0"/>
        <v>20</v>
      </c>
      <c r="C21" s="115">
        <v>5</v>
      </c>
      <c r="D21" s="2">
        <v>2023</v>
      </c>
      <c r="E21" s="9">
        <f>'may 23'!C24</f>
        <v>8164</v>
      </c>
      <c r="F21" s="9">
        <f>'may 23'!E24</f>
        <v>7448</v>
      </c>
      <c r="G21" s="9">
        <f>'may 23'!G24</f>
        <v>108</v>
      </c>
      <c r="H21" s="9">
        <f>'may 23'!K24</f>
        <v>81</v>
      </c>
      <c r="I21" s="9">
        <f>'may 23'!N24</f>
        <v>18</v>
      </c>
      <c r="J21" s="9">
        <f>'may 23'!P24</f>
        <v>10</v>
      </c>
      <c r="K21" s="9">
        <f>'may 23'!X24</f>
        <v>9099.0400000000009</v>
      </c>
      <c r="L21" s="9">
        <f>'may 23'!AC24</f>
        <v>9670</v>
      </c>
      <c r="M21" s="9">
        <f>'may 23'!AP24</f>
        <v>0</v>
      </c>
      <c r="N21" s="9">
        <f>'may 23'!AD24*315</f>
        <v>174.006</v>
      </c>
      <c r="O21" s="2" t="s">
        <v>59</v>
      </c>
    </row>
    <row r="22" spans="1:15" x14ac:dyDescent="0.45">
      <c r="A22" s="125" t="s">
        <v>70</v>
      </c>
      <c r="B22" s="2">
        <f t="shared" si="0"/>
        <v>21</v>
      </c>
      <c r="C22" s="115">
        <v>5</v>
      </c>
      <c r="D22" s="2">
        <v>2023</v>
      </c>
      <c r="E22" s="9">
        <f>'may 23'!C25</f>
        <v>7996</v>
      </c>
      <c r="F22" s="9">
        <f>'may 23'!E25</f>
        <v>7494</v>
      </c>
      <c r="G22" s="9">
        <f>'may 23'!G25</f>
        <v>111</v>
      </c>
      <c r="H22" s="9">
        <f>'may 23'!K25</f>
        <v>89</v>
      </c>
      <c r="I22" s="9">
        <f>'may 23'!N25</f>
        <v>16</v>
      </c>
      <c r="J22" s="9">
        <f>'may 23'!P25</f>
        <v>13</v>
      </c>
      <c r="K22" s="9">
        <f>'may 23'!X25</f>
        <v>8530.35</v>
      </c>
      <c r="L22" s="9">
        <f>'may 23'!AC25</f>
        <v>9699</v>
      </c>
      <c r="M22" s="9">
        <f>'may 23'!AP25</f>
        <v>0</v>
      </c>
      <c r="N22" s="9">
        <f>'may 23'!AD25*315</f>
        <v>222.012</v>
      </c>
      <c r="O22" s="2" t="s">
        <v>59</v>
      </c>
    </row>
    <row r="23" spans="1:15" x14ac:dyDescent="0.45">
      <c r="A23" s="125" t="s">
        <v>70</v>
      </c>
      <c r="B23" s="2">
        <f t="shared" si="0"/>
        <v>22</v>
      </c>
      <c r="C23" s="115">
        <v>5</v>
      </c>
      <c r="D23" s="2">
        <v>2023</v>
      </c>
      <c r="E23" s="9">
        <f>'may 23'!C26</f>
        <v>7991</v>
      </c>
      <c r="F23" s="9">
        <f>'may 23'!E26</f>
        <v>7593</v>
      </c>
      <c r="G23" s="9">
        <f>'may 23'!G26</f>
        <v>113</v>
      </c>
      <c r="H23" s="9">
        <f>'may 23'!K26</f>
        <v>71</v>
      </c>
      <c r="I23" s="9">
        <f>'may 23'!N26</f>
        <v>17</v>
      </c>
      <c r="J23" s="9">
        <f>'may 23'!P26</f>
        <v>13</v>
      </c>
      <c r="K23" s="9">
        <f>'may 23'!X26</f>
        <v>9099.0400000000009</v>
      </c>
      <c r="L23" s="9">
        <f>'may 23'!AC26</f>
        <v>10393</v>
      </c>
      <c r="M23" s="9">
        <f>'may 23'!AP26</f>
        <v>0</v>
      </c>
      <c r="N23" s="9">
        <f>'may 23'!AD26*315</f>
        <v>261.00900000000001</v>
      </c>
      <c r="O23" s="2" t="s">
        <v>59</v>
      </c>
    </row>
    <row r="24" spans="1:15" x14ac:dyDescent="0.45">
      <c r="A24" s="125" t="s">
        <v>70</v>
      </c>
      <c r="B24" s="2">
        <f t="shared" si="0"/>
        <v>23</v>
      </c>
      <c r="C24" s="115">
        <v>5</v>
      </c>
      <c r="D24" s="2">
        <v>2023</v>
      </c>
      <c r="E24" s="9">
        <f>'may 23'!C27</f>
        <v>8118</v>
      </c>
      <c r="F24" s="9">
        <f>'may 23'!E27</f>
        <v>7581</v>
      </c>
      <c r="G24" s="9">
        <f>'may 23'!G27</f>
        <v>114</v>
      </c>
      <c r="H24" s="9">
        <f>'may 23'!K27</f>
        <v>89</v>
      </c>
      <c r="I24" s="9">
        <f>'may 23'!N27</f>
        <v>18</v>
      </c>
      <c r="J24" s="9">
        <f>'may 23'!P27</f>
        <v>15</v>
      </c>
      <c r="K24" s="9">
        <f>'may 23'!X27</f>
        <v>9099.0400000000009</v>
      </c>
      <c r="L24" s="9">
        <f>'may 23'!AC27</f>
        <v>10554</v>
      </c>
      <c r="M24" s="9">
        <f>'may 23'!AP27</f>
        <v>0</v>
      </c>
      <c r="N24" s="9">
        <f>'may 23'!AD27*315</f>
        <v>301.01400000000001</v>
      </c>
      <c r="O24" s="2" t="s">
        <v>59</v>
      </c>
    </row>
    <row r="25" spans="1:15" x14ac:dyDescent="0.45">
      <c r="A25" s="125" t="s">
        <v>70</v>
      </c>
      <c r="B25" s="2">
        <f t="shared" si="0"/>
        <v>24</v>
      </c>
      <c r="C25" s="115">
        <v>5</v>
      </c>
      <c r="D25" s="2">
        <v>2023</v>
      </c>
      <c r="E25" s="9">
        <f>'may 23'!C28</f>
        <v>8073</v>
      </c>
      <c r="F25" s="9">
        <f>'may 23'!E28</f>
        <v>7616</v>
      </c>
      <c r="G25" s="9">
        <f>'may 23'!G28</f>
        <v>113</v>
      </c>
      <c r="H25" s="9">
        <f>'may 23'!K28</f>
        <v>97</v>
      </c>
      <c r="I25" s="9">
        <f>'may 23'!N28</f>
        <v>18</v>
      </c>
      <c r="J25" s="9">
        <f>'may 23'!P28</f>
        <v>18</v>
      </c>
      <c r="K25" s="9">
        <f>'may 23'!X28</f>
        <v>8814.6950000000015</v>
      </c>
      <c r="L25" s="9">
        <f>'may 23'!AC28</f>
        <v>10232</v>
      </c>
      <c r="M25" s="9">
        <f>'may 23'!AP28</f>
        <v>0</v>
      </c>
      <c r="N25" s="9">
        <f>'may 23'!AD28*315</f>
        <v>297.99</v>
      </c>
      <c r="O25" s="2" t="s">
        <v>59</v>
      </c>
    </row>
    <row r="26" spans="1:15" x14ac:dyDescent="0.45">
      <c r="A26" s="125" t="s">
        <v>70</v>
      </c>
      <c r="B26" s="2">
        <f t="shared" si="0"/>
        <v>25</v>
      </c>
      <c r="C26" s="115">
        <v>5</v>
      </c>
      <c r="D26" s="2">
        <v>2023</v>
      </c>
      <c r="E26" s="9">
        <f>'may 23'!C29</f>
        <v>8360</v>
      </c>
      <c r="F26" s="9">
        <f>'may 23'!E29</f>
        <v>7883</v>
      </c>
      <c r="G26" s="9">
        <f>'may 23'!G29</f>
        <v>113</v>
      </c>
      <c r="H26" s="9">
        <f>'may 23'!K29</f>
        <v>105</v>
      </c>
      <c r="I26" s="9">
        <f>'may 23'!N29</f>
        <v>18</v>
      </c>
      <c r="J26" s="9">
        <f>'may 23'!P29</f>
        <v>14</v>
      </c>
      <c r="K26" s="9">
        <f>'may 23'!X29</f>
        <v>9099.0400000000009</v>
      </c>
      <c r="L26" s="9">
        <f>'may 23'!AC29</f>
        <v>10564</v>
      </c>
      <c r="M26" s="9">
        <f>'may 23'!AP29</f>
        <v>0</v>
      </c>
      <c r="N26" s="9">
        <f>'may 23'!AD29*315</f>
        <v>308.00700000000001</v>
      </c>
      <c r="O26" s="2" t="s">
        <v>59</v>
      </c>
    </row>
    <row r="27" spans="1:15" x14ac:dyDescent="0.45">
      <c r="A27" s="125" t="s">
        <v>70</v>
      </c>
      <c r="B27" s="2">
        <f t="shared" si="0"/>
        <v>26</v>
      </c>
      <c r="C27" s="115">
        <v>5</v>
      </c>
      <c r="D27" s="2">
        <v>2023</v>
      </c>
      <c r="E27" s="9">
        <f>'may 23'!C30</f>
        <v>8200</v>
      </c>
      <c r="F27" s="9">
        <f>'may 23'!E30</f>
        <v>7676</v>
      </c>
      <c r="G27" s="9">
        <f>'may 23'!G30</f>
        <v>114</v>
      </c>
      <c r="H27" s="9">
        <f>'may 23'!K30</f>
        <v>99</v>
      </c>
      <c r="I27" s="9">
        <f>'may 23'!N30</f>
        <v>19</v>
      </c>
      <c r="J27" s="9">
        <f>'may 23'!P30</f>
        <v>14</v>
      </c>
      <c r="K27" s="9">
        <f>'may 23'!X30</f>
        <v>9383.3850000000002</v>
      </c>
      <c r="L27" s="9">
        <f>'may 23'!AC30</f>
        <v>10354</v>
      </c>
      <c r="M27" s="9">
        <f>'may 23'!AP30</f>
        <v>0</v>
      </c>
      <c r="N27" s="9">
        <f>'may 23'!AD30*315</f>
        <v>252</v>
      </c>
      <c r="O27" s="2" t="s">
        <v>59</v>
      </c>
    </row>
    <row r="28" spans="1:15" x14ac:dyDescent="0.45">
      <c r="A28" s="125" t="s">
        <v>70</v>
      </c>
      <c r="B28" s="2">
        <f t="shared" si="0"/>
        <v>27</v>
      </c>
      <c r="C28" s="115">
        <v>5</v>
      </c>
      <c r="D28" s="2">
        <v>2023</v>
      </c>
      <c r="E28" s="9">
        <f>'may 23'!C31</f>
        <v>8261</v>
      </c>
      <c r="F28" s="9">
        <f>'may 23'!E31</f>
        <v>7749</v>
      </c>
      <c r="G28" s="9">
        <f>'may 23'!G31</f>
        <v>117</v>
      </c>
      <c r="H28" s="9">
        <f>'may 23'!K31</f>
        <v>102</v>
      </c>
      <c r="I28" s="9">
        <f>'may 23'!N31</f>
        <v>18</v>
      </c>
      <c r="J28" s="9">
        <f>'may 23'!P31</f>
        <v>15</v>
      </c>
      <c r="K28" s="9">
        <f>'may 23'!X31</f>
        <v>9383.3850000000002</v>
      </c>
      <c r="L28" s="9">
        <f>'may 23'!AC31</f>
        <v>10462</v>
      </c>
      <c r="M28" s="9">
        <f>'may 23'!AP31</f>
        <v>0</v>
      </c>
      <c r="N28" s="9">
        <f>'may 23'!AD31*315</f>
        <v>271.089</v>
      </c>
      <c r="O28" s="2" t="s">
        <v>59</v>
      </c>
    </row>
    <row r="29" spans="1:15" x14ac:dyDescent="0.45">
      <c r="A29" s="125" t="s">
        <v>70</v>
      </c>
      <c r="B29" s="2">
        <f t="shared" si="0"/>
        <v>28</v>
      </c>
      <c r="C29" s="115">
        <v>5</v>
      </c>
      <c r="D29" s="2">
        <v>2023</v>
      </c>
      <c r="E29" s="9">
        <f>'may 23'!C32</f>
        <v>8114</v>
      </c>
      <c r="F29" s="9">
        <f>'may 23'!E32</f>
        <v>7567</v>
      </c>
      <c r="G29" s="9">
        <f>'may 23'!G32</f>
        <v>107</v>
      </c>
      <c r="H29" s="9">
        <f>'may 23'!K32</f>
        <v>100</v>
      </c>
      <c r="I29" s="9">
        <f>'may 23'!N32</f>
        <v>18</v>
      </c>
      <c r="J29" s="9">
        <f>'may 23'!P32</f>
        <v>13</v>
      </c>
      <c r="K29" s="9">
        <f>'may 23'!X32</f>
        <v>9667.7300000000014</v>
      </c>
      <c r="L29" s="9">
        <f>'may 23'!AC32</f>
        <v>9966</v>
      </c>
      <c r="M29" s="9">
        <f>'may 23'!AP32</f>
        <v>0</v>
      </c>
      <c r="N29" s="9">
        <f>'may 23'!AD32*315</f>
        <v>257.98499999999996</v>
      </c>
      <c r="O29" s="2" t="s">
        <v>59</v>
      </c>
    </row>
    <row r="30" spans="1:15" x14ac:dyDescent="0.45">
      <c r="A30" s="125" t="s">
        <v>70</v>
      </c>
      <c r="B30" s="2">
        <f t="shared" si="0"/>
        <v>29</v>
      </c>
      <c r="C30" s="115">
        <v>5</v>
      </c>
      <c r="D30" s="2">
        <v>2023</v>
      </c>
      <c r="E30" s="9">
        <f>'may 23'!C33</f>
        <v>8187</v>
      </c>
      <c r="F30" s="9">
        <f>'may 23'!E33</f>
        <v>7721</v>
      </c>
      <c r="G30" s="9">
        <f>'may 23'!G33</f>
        <v>107</v>
      </c>
      <c r="H30" s="9">
        <f>'may 23'!K33</f>
        <v>94</v>
      </c>
      <c r="I30" s="9">
        <f>'may 23'!N33</f>
        <v>19</v>
      </c>
      <c r="J30" s="9">
        <f>'may 23'!P33</f>
        <v>13</v>
      </c>
      <c r="K30" s="9">
        <f>'may 23'!X33</f>
        <v>8814.6950000000015</v>
      </c>
      <c r="L30" s="9">
        <f>'may 23'!AC33</f>
        <v>11000</v>
      </c>
      <c r="M30" s="9">
        <f>'may 23'!AP33</f>
        <v>0</v>
      </c>
      <c r="N30" s="9">
        <f>'may 23'!AD33*315</f>
        <v>235.99799999999999</v>
      </c>
      <c r="O30" s="2" t="s">
        <v>59</v>
      </c>
    </row>
    <row r="31" spans="1:15" x14ac:dyDescent="0.45">
      <c r="A31" s="125" t="s">
        <v>70</v>
      </c>
      <c r="B31" s="2">
        <f t="shared" si="0"/>
        <v>30</v>
      </c>
      <c r="C31" s="115">
        <v>5</v>
      </c>
      <c r="D31" s="2">
        <v>2023</v>
      </c>
      <c r="E31" s="9">
        <f>'may 23'!C34</f>
        <v>8170</v>
      </c>
      <c r="F31" s="9">
        <f>'may 23'!E34</f>
        <v>7572</v>
      </c>
      <c r="G31" s="9">
        <f>'may 23'!G34</f>
        <v>107</v>
      </c>
      <c r="H31" s="9">
        <f>'may 23'!K34</f>
        <v>88</v>
      </c>
      <c r="I31" s="9">
        <f>'may 23'!N34</f>
        <v>18</v>
      </c>
      <c r="J31" s="9">
        <f>'may 23'!P34</f>
        <v>13</v>
      </c>
      <c r="K31" s="9">
        <f>'may 23'!X34</f>
        <v>10805.11</v>
      </c>
      <c r="L31" s="9">
        <f>'may 23'!AC34</f>
        <v>12229</v>
      </c>
      <c r="M31" s="9">
        <f>'may 23'!AP34</f>
        <v>0</v>
      </c>
      <c r="N31" s="9">
        <f>'may 23'!AD34*315</f>
        <v>246.01500000000001</v>
      </c>
    </row>
    <row r="32" spans="1:15" x14ac:dyDescent="0.45">
      <c r="A32" s="125" t="s">
        <v>70</v>
      </c>
      <c r="B32" s="2">
        <f t="shared" si="0"/>
        <v>31</v>
      </c>
      <c r="C32" s="115">
        <v>5</v>
      </c>
      <c r="D32" s="2">
        <v>2023</v>
      </c>
      <c r="E32" s="9">
        <f>'may 23'!C35</f>
        <v>8214</v>
      </c>
      <c r="F32" s="9">
        <f>'may 23'!E35</f>
        <v>7670</v>
      </c>
      <c r="G32" s="9">
        <f>'may 23'!G35</f>
        <v>104</v>
      </c>
      <c r="H32" s="9">
        <f>'may 23'!K35</f>
        <v>95</v>
      </c>
      <c r="I32" s="9">
        <f>'may 23'!N35</f>
        <v>18</v>
      </c>
      <c r="J32" s="9">
        <f>'may 23'!P35</f>
        <v>10</v>
      </c>
      <c r="K32" s="9">
        <f>'may 23'!X35</f>
        <v>10805.11</v>
      </c>
      <c r="L32" s="9">
        <f>'may 23'!AC35</f>
        <v>12284</v>
      </c>
      <c r="M32" s="9">
        <f>'may 23'!AP35</f>
        <v>0</v>
      </c>
      <c r="N32" s="9">
        <f>'may 23'!AD35*315</f>
        <v>198.9855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EA77"/>
  <sheetViews>
    <sheetView zoomScale="80" zoomScaleNormal="80" zoomScaleSheetLayoutView="80" workbookViewId="0">
      <pane ySplit="4" topLeftCell="A5" activePane="bottomLeft" state="frozen"/>
      <selection pane="bottomLeft" activeCell="D9" sqref="D9"/>
    </sheetView>
  </sheetViews>
  <sheetFormatPr defaultColWidth="9.1328125" defaultRowHeight="14.25" x14ac:dyDescent="0.45"/>
  <cols>
    <col min="1" max="1" width="12.73046875" customWidth="1"/>
    <col min="2" max="2" width="15.265625" customWidth="1"/>
    <col min="3" max="3" width="9.1328125" customWidth="1"/>
    <col min="4" max="4" width="12.73046875" customWidth="1"/>
    <col min="5" max="5" width="8.59765625" customWidth="1"/>
    <col min="6" max="6" width="11" customWidth="1"/>
    <col min="7" max="7" width="14" style="1" customWidth="1"/>
    <col min="8" max="8" width="11.3984375" style="1" customWidth="1"/>
    <col min="9" max="9" width="13.73046875" style="1" customWidth="1"/>
    <col min="10" max="10" width="11.3984375" style="1" bestFit="1" customWidth="1"/>
    <col min="11" max="11" width="12.73046875" style="1" customWidth="1"/>
    <col min="12" max="12" width="15" style="1" bestFit="1" customWidth="1"/>
    <col min="13" max="13" width="8.3984375" style="1" bestFit="1" customWidth="1"/>
    <col min="14" max="14" width="6.73046875" style="1" customWidth="1"/>
    <col min="15" max="15" width="8.1328125" style="1" bestFit="1" customWidth="1"/>
    <col min="16" max="16" width="8.1328125" style="1" customWidth="1"/>
    <col min="17" max="17" width="9.265625" style="1" customWidth="1"/>
    <col min="18" max="18" width="10" style="1" customWidth="1"/>
    <col min="19" max="19" width="8.1328125" style="1" customWidth="1"/>
    <col min="20" max="20" width="8.86328125" style="1" customWidth="1"/>
    <col min="21" max="21" width="12.1328125" style="1" customWidth="1"/>
    <col min="22" max="22" width="16" style="1" bestFit="1" customWidth="1"/>
    <col min="23" max="23" width="9" style="1" customWidth="1"/>
    <col min="24" max="24" width="11" style="1" customWidth="1"/>
    <col min="25" max="25" width="12.3984375" style="1" customWidth="1"/>
    <col min="26" max="26" width="13.59765625" style="2" bestFit="1" customWidth="1"/>
    <col min="27" max="27" width="13" style="2" customWidth="1"/>
    <col min="28" max="29" width="16.73046875" style="2" customWidth="1"/>
    <col min="30" max="30" width="13.265625" style="2" customWidth="1"/>
    <col min="31" max="31" width="12.73046875" style="2" bestFit="1" customWidth="1"/>
    <col min="32" max="32" width="19.73046875" style="2" customWidth="1"/>
    <col min="33" max="33" width="24.86328125" style="2" customWidth="1"/>
    <col min="34" max="34" width="12.3984375" style="2" customWidth="1"/>
    <col min="35" max="35" width="13.73046875" customWidth="1"/>
    <col min="36" max="36" width="10.73046875" customWidth="1"/>
    <col min="37" max="37" width="14.86328125" customWidth="1"/>
    <col min="38" max="38" width="13.86328125" bestFit="1" customWidth="1"/>
    <col min="39" max="39" width="12.59765625" bestFit="1" customWidth="1"/>
    <col min="40" max="40" width="11.86328125" customWidth="1"/>
    <col min="41" max="41" width="12.265625" customWidth="1"/>
    <col min="42" max="42" width="13.3984375" customWidth="1"/>
    <col min="43" max="43" width="12.73046875" customWidth="1"/>
    <col min="44" max="44" width="12.59765625" customWidth="1"/>
    <col min="45" max="46" width="9.1328125" customWidth="1"/>
    <col min="47" max="47" width="16.1328125" customWidth="1"/>
    <col min="48" max="144" width="9.1328125" customWidth="1"/>
  </cols>
  <sheetData>
    <row r="1" spans="1:31" s="4" customFormat="1" ht="24.95" customHeight="1" thickBot="1" x14ac:dyDescent="0.5">
      <c r="A1" s="159" t="s">
        <v>86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</row>
    <row r="2" spans="1:31" s="6" customFormat="1" ht="24.95" customHeight="1" thickBot="1" x14ac:dyDescent="0.6">
      <c r="A2" s="191" t="s">
        <v>0</v>
      </c>
      <c r="B2" s="177" t="s">
        <v>3</v>
      </c>
      <c r="C2" s="178"/>
      <c r="D2" s="178"/>
      <c r="E2" s="178"/>
      <c r="F2" s="178"/>
      <c r="G2" s="178"/>
      <c r="H2" s="178"/>
      <c r="I2" s="178"/>
      <c r="J2" s="194" t="s">
        <v>4</v>
      </c>
      <c r="K2" s="195"/>
      <c r="L2" s="195"/>
      <c r="M2" s="196" t="s">
        <v>50</v>
      </c>
      <c r="N2" s="197"/>
      <c r="O2" s="197"/>
      <c r="P2" s="197"/>
      <c r="Q2" s="197"/>
      <c r="R2" s="197"/>
      <c r="S2" s="197"/>
      <c r="T2" s="197"/>
      <c r="U2" s="198"/>
      <c r="V2" s="154" t="s">
        <v>2</v>
      </c>
      <c r="W2" s="155"/>
      <c r="X2" s="155"/>
      <c r="Y2" s="155"/>
      <c r="Z2" s="155"/>
      <c r="AA2" s="155"/>
      <c r="AB2" s="156"/>
      <c r="AC2" s="113"/>
      <c r="AD2" s="157" t="s">
        <v>17</v>
      </c>
      <c r="AE2" s="158"/>
    </row>
    <row r="3" spans="1:31" s="5" customFormat="1" ht="36.75" customHeight="1" x14ac:dyDescent="0.45">
      <c r="A3" s="192"/>
      <c r="B3" s="206" t="s">
        <v>37</v>
      </c>
      <c r="C3" s="207"/>
      <c r="D3" s="179" t="s">
        <v>38</v>
      </c>
      <c r="E3" s="180"/>
      <c r="F3" s="179" t="s">
        <v>39</v>
      </c>
      <c r="G3" s="180"/>
      <c r="H3" s="207" t="s">
        <v>20</v>
      </c>
      <c r="I3" s="181" t="s">
        <v>7</v>
      </c>
      <c r="J3" s="183" t="s">
        <v>21</v>
      </c>
      <c r="K3" s="209" t="s">
        <v>22</v>
      </c>
      <c r="L3" s="203" t="s">
        <v>6</v>
      </c>
      <c r="M3" s="205" t="s">
        <v>35</v>
      </c>
      <c r="N3" s="199"/>
      <c r="O3" s="199" t="s">
        <v>36</v>
      </c>
      <c r="P3" s="199"/>
      <c r="Q3" s="199" t="s">
        <v>40</v>
      </c>
      <c r="R3" s="199" t="s">
        <v>33</v>
      </c>
      <c r="S3" s="199" t="s">
        <v>34</v>
      </c>
      <c r="T3" s="201" t="s">
        <v>18</v>
      </c>
      <c r="U3" s="238" t="s">
        <v>31</v>
      </c>
      <c r="V3" s="240" t="s">
        <v>23</v>
      </c>
      <c r="W3" s="242" t="s">
        <v>8</v>
      </c>
      <c r="X3" s="242" t="s">
        <v>9</v>
      </c>
      <c r="Y3" s="242" t="s">
        <v>10</v>
      </c>
      <c r="Z3" s="242" t="s">
        <v>11</v>
      </c>
      <c r="AA3" s="242" t="s">
        <v>12</v>
      </c>
      <c r="AB3" s="251" t="s">
        <v>32</v>
      </c>
      <c r="AC3" s="133"/>
      <c r="AD3" s="234" t="s">
        <v>83</v>
      </c>
      <c r="AE3" s="236" t="s">
        <v>19</v>
      </c>
    </row>
    <row r="4" spans="1:31" s="5" customFormat="1" ht="36.75" customHeight="1" thickBot="1" x14ac:dyDescent="0.5">
      <c r="A4" s="193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56"/>
      <c r="I4" s="182"/>
      <c r="J4" s="184"/>
      <c r="K4" s="210"/>
      <c r="L4" s="204"/>
      <c r="M4" s="85" t="s">
        <v>1</v>
      </c>
      <c r="N4" s="86" t="s">
        <v>5</v>
      </c>
      <c r="O4" s="86" t="s">
        <v>1</v>
      </c>
      <c r="P4" s="86" t="s">
        <v>5</v>
      </c>
      <c r="Q4" s="200"/>
      <c r="R4" s="200"/>
      <c r="S4" s="200"/>
      <c r="T4" s="202"/>
      <c r="U4" s="239"/>
      <c r="V4" s="241"/>
      <c r="W4" s="243"/>
      <c r="X4" s="243"/>
      <c r="Y4" s="243"/>
      <c r="Z4" s="243"/>
      <c r="AA4" s="243"/>
      <c r="AB4" s="252"/>
      <c r="AC4" s="134"/>
      <c r="AD4" s="235"/>
      <c r="AE4" s="237"/>
    </row>
    <row r="5" spans="1:31" s="3" customFormat="1" ht="27.95" customHeight="1" x14ac:dyDescent="0.45">
      <c r="A5" s="77">
        <v>45047</v>
      </c>
      <c r="B5" s="67">
        <v>16273359</v>
      </c>
      <c r="C5" s="75">
        <v>7674</v>
      </c>
      <c r="D5" s="65">
        <v>17470804</v>
      </c>
      <c r="E5" s="75">
        <v>7077</v>
      </c>
      <c r="F5" s="65">
        <v>410787</v>
      </c>
      <c r="G5" s="75">
        <v>112</v>
      </c>
      <c r="H5" s="78">
        <f t="shared" ref="H5:H35" si="0">C5+E5+G5</f>
        <v>14863</v>
      </c>
      <c r="I5" s="79">
        <f t="shared" ref="I5:I35" si="1">H5*0.2</f>
        <v>2972.6000000000004</v>
      </c>
      <c r="J5" s="67">
        <v>45167</v>
      </c>
      <c r="K5" s="75">
        <v>80</v>
      </c>
      <c r="L5" s="80">
        <f t="shared" ref="L5:L35" si="2">K5*7.84</f>
        <v>627.20000000000005</v>
      </c>
      <c r="M5" s="64">
        <v>28926</v>
      </c>
      <c r="N5" s="75">
        <v>16</v>
      </c>
      <c r="O5" s="65">
        <v>15867</v>
      </c>
      <c r="P5" s="81">
        <v>12</v>
      </c>
      <c r="Q5" s="81">
        <f>N5+P5</f>
        <v>28</v>
      </c>
      <c r="R5" s="69">
        <v>41101</v>
      </c>
      <c r="S5" s="81">
        <v>29</v>
      </c>
      <c r="T5" s="81">
        <f>S5*1.0557</f>
        <v>30.615300000000001</v>
      </c>
      <c r="U5" s="79">
        <f>IF(ISBLANK(M5),"0",T5*11.05+209.6774)</f>
        <v>547.97646500000008</v>
      </c>
      <c r="V5" s="110">
        <v>57069</v>
      </c>
      <c r="W5" s="75">
        <v>25</v>
      </c>
      <c r="X5" s="111">
        <f>IF(ISBLANK(V5),"0 ",W5*284.345)</f>
        <v>7108.6250000000009</v>
      </c>
      <c r="Y5" s="70">
        <f t="shared" ref="Y5:Y11" si="3">X5*0.3435</f>
        <v>2441.8126875000007</v>
      </c>
      <c r="Z5" s="111">
        <f>IF(ISBLANK(V5),"0",1570*1487.37/12/31*0.65)</f>
        <v>4080.2717338709676</v>
      </c>
      <c r="AA5" s="112">
        <f>Y5+Z5</f>
        <v>6522.0844213709679</v>
      </c>
      <c r="AB5" s="135">
        <v>2680415</v>
      </c>
      <c r="AC5" s="136">
        <v>8038</v>
      </c>
      <c r="AD5" s="137">
        <v>0.70479999999999998</v>
      </c>
      <c r="AE5" s="82">
        <v>285</v>
      </c>
    </row>
    <row r="6" spans="1:31" s="3" customFormat="1" ht="27.95" customHeight="1" x14ac:dyDescent="0.45">
      <c r="A6" s="77">
        <v>45048</v>
      </c>
      <c r="B6" s="67">
        <v>16281162</v>
      </c>
      <c r="C6" s="65">
        <f>IF(ISBLANK(B6),"0",B6-B5)</f>
        <v>7803</v>
      </c>
      <c r="D6" s="65">
        <v>17477859</v>
      </c>
      <c r="E6" s="65">
        <f>IF(ISBLANK(D6),"0",D6-D5)</f>
        <v>7055</v>
      </c>
      <c r="F6" s="65">
        <v>410898</v>
      </c>
      <c r="G6" s="65">
        <f>IF(ISBLANK(F6),"0",F6-F5)</f>
        <v>111</v>
      </c>
      <c r="H6" s="66">
        <f t="shared" si="0"/>
        <v>14969</v>
      </c>
      <c r="I6" s="89">
        <f t="shared" si="1"/>
        <v>2993.8</v>
      </c>
      <c r="J6" s="67">
        <v>45261</v>
      </c>
      <c r="K6" s="65">
        <f>IF(ISBLANK(J6),"0",J6-J5)</f>
        <v>94</v>
      </c>
      <c r="L6" s="45">
        <f t="shared" si="2"/>
        <v>736.96</v>
      </c>
      <c r="M6" s="64">
        <v>28943</v>
      </c>
      <c r="N6" s="65">
        <f>IF(ISBLANK(M6),"0",M6-M5)</f>
        <v>17</v>
      </c>
      <c r="O6" s="65">
        <v>15876</v>
      </c>
      <c r="P6" s="68">
        <f>IF(ISBLANK(O6),"0",O6-O5)</f>
        <v>9</v>
      </c>
      <c r="Q6" s="68">
        <f t="shared" ref="Q6:Q35" si="4">N6+P6</f>
        <v>26</v>
      </c>
      <c r="R6" s="69">
        <v>41126</v>
      </c>
      <c r="S6" s="68">
        <f>IF(ISBLANK(R6),"0",R6-R5)</f>
        <v>25</v>
      </c>
      <c r="T6" s="81">
        <f t="shared" ref="T6:T35" si="5">S6*1.0557</f>
        <v>26.392500000000002</v>
      </c>
      <c r="U6" s="79">
        <f t="shared" ref="U6:U35" si="6">IF(ISBLANK(M6),"0",T6*11.05+209.6774)</f>
        <v>501.314525</v>
      </c>
      <c r="V6" s="67">
        <v>57097</v>
      </c>
      <c r="W6" s="65">
        <f>IF(ISBLANK(V6)," ",V6-V5)</f>
        <v>28</v>
      </c>
      <c r="X6" s="70">
        <f>IF(ISBLANK(V6),"0 ",W6*284.345)</f>
        <v>7961.6600000000008</v>
      </c>
      <c r="Y6" s="70">
        <f t="shared" si="3"/>
        <v>2734.8302100000005</v>
      </c>
      <c r="Z6" s="111">
        <f t="shared" ref="Z6:Z35" si="7">IF(ISBLANK(V6),"0",1570*1487.37/12/31*0.65)</f>
        <v>4080.2717338709676</v>
      </c>
      <c r="AA6" s="43">
        <f t="shared" ref="AA6:AA35" si="8">Y6+Z6</f>
        <v>6815.1019438709682</v>
      </c>
      <c r="AB6" s="135">
        <v>2689265</v>
      </c>
      <c r="AC6" s="65">
        <f t="shared" ref="AC6:AC35" si="9">IF(ISBLANK(AB6)," ",AB6-AB5)</f>
        <v>8850</v>
      </c>
      <c r="AD6" s="138">
        <v>0.7429</v>
      </c>
      <c r="AE6" s="71">
        <v>283</v>
      </c>
    </row>
    <row r="7" spans="1:31" s="3" customFormat="1" ht="27.95" customHeight="1" x14ac:dyDescent="0.45">
      <c r="A7" s="77">
        <v>45049</v>
      </c>
      <c r="B7" s="67">
        <v>16289702</v>
      </c>
      <c r="C7" s="65">
        <f t="shared" ref="C7:C35" si="10">IF(ISBLANK(B7),"0",B7-B6)</f>
        <v>8540</v>
      </c>
      <c r="D7" s="65">
        <v>17485374</v>
      </c>
      <c r="E7" s="65">
        <f t="shared" ref="E7:E35" si="11">IF(ISBLANK(D7),"0",D7-D6)</f>
        <v>7515</v>
      </c>
      <c r="F7" s="65">
        <v>411007</v>
      </c>
      <c r="G7" s="65">
        <f t="shared" ref="G7:G35" si="12">IF(ISBLANK(F7),"0",F7-F6)</f>
        <v>109</v>
      </c>
      <c r="H7" s="66">
        <f t="shared" si="0"/>
        <v>16164</v>
      </c>
      <c r="I7" s="89">
        <f t="shared" si="1"/>
        <v>3232.8</v>
      </c>
      <c r="J7" s="67">
        <v>45362</v>
      </c>
      <c r="K7" s="65">
        <f t="shared" ref="K7:K35" si="13">IF(ISBLANK(J7),"0",J7-J6)</f>
        <v>101</v>
      </c>
      <c r="L7" s="45">
        <f t="shared" si="2"/>
        <v>791.84</v>
      </c>
      <c r="M7" s="64">
        <v>28961</v>
      </c>
      <c r="N7" s="65">
        <f t="shared" ref="N7:N35" si="14">IF(ISBLANK(M7),"0",M7-M6)</f>
        <v>18</v>
      </c>
      <c r="O7" s="65">
        <v>15888</v>
      </c>
      <c r="P7" s="68">
        <f t="shared" ref="P7:P35" si="15">IF(ISBLANK(O7),"0",O7-O6)</f>
        <v>12</v>
      </c>
      <c r="Q7" s="68">
        <f t="shared" si="4"/>
        <v>30</v>
      </c>
      <c r="R7" s="69">
        <v>41155</v>
      </c>
      <c r="S7" s="68">
        <f t="shared" ref="S7:S35" si="16">IF(ISBLANK(R7),"0",R7-R6)</f>
        <v>29</v>
      </c>
      <c r="T7" s="81">
        <f t="shared" si="5"/>
        <v>30.615300000000001</v>
      </c>
      <c r="U7" s="79">
        <f t="shared" si="6"/>
        <v>547.97646500000008</v>
      </c>
      <c r="V7" s="67">
        <v>57125</v>
      </c>
      <c r="W7" s="65">
        <f t="shared" ref="W7:W22" si="17">IF(ISBLANK(V7)," ",V7-V6)</f>
        <v>28</v>
      </c>
      <c r="X7" s="70">
        <f>IF(ISBLANK(V7),"0 ",W7*284.345)</f>
        <v>7961.6600000000008</v>
      </c>
      <c r="Y7" s="70">
        <f t="shared" si="3"/>
        <v>2734.8302100000005</v>
      </c>
      <c r="Z7" s="111">
        <f t="shared" si="7"/>
        <v>4080.2717338709676</v>
      </c>
      <c r="AA7" s="43">
        <f t="shared" si="8"/>
        <v>6815.1019438709682</v>
      </c>
      <c r="AB7" s="135">
        <v>2697886</v>
      </c>
      <c r="AC7" s="65">
        <f t="shared" si="9"/>
        <v>8621</v>
      </c>
      <c r="AD7" s="138">
        <v>0.72060000000000002</v>
      </c>
      <c r="AE7" s="71">
        <v>283</v>
      </c>
    </row>
    <row r="8" spans="1:31" s="3" customFormat="1" ht="27.95" customHeight="1" x14ac:dyDescent="0.45">
      <c r="A8" s="77">
        <v>45050</v>
      </c>
      <c r="B8" s="67">
        <v>16297829</v>
      </c>
      <c r="C8" s="65">
        <f t="shared" si="10"/>
        <v>8127</v>
      </c>
      <c r="D8" s="65">
        <v>17492748</v>
      </c>
      <c r="E8" s="65">
        <f t="shared" si="11"/>
        <v>7374</v>
      </c>
      <c r="F8" s="65">
        <v>411135</v>
      </c>
      <c r="G8" s="65">
        <f t="shared" si="12"/>
        <v>128</v>
      </c>
      <c r="H8" s="66">
        <f t="shared" si="0"/>
        <v>15629</v>
      </c>
      <c r="I8" s="89">
        <f t="shared" si="1"/>
        <v>3125.8</v>
      </c>
      <c r="J8" s="67">
        <v>45471</v>
      </c>
      <c r="K8" s="65">
        <f t="shared" si="13"/>
        <v>109</v>
      </c>
      <c r="L8" s="45">
        <f t="shared" si="2"/>
        <v>854.56</v>
      </c>
      <c r="M8" s="64">
        <v>28979</v>
      </c>
      <c r="N8" s="65">
        <f t="shared" si="14"/>
        <v>18</v>
      </c>
      <c r="O8" s="65">
        <v>15899</v>
      </c>
      <c r="P8" s="68">
        <f t="shared" si="15"/>
        <v>11</v>
      </c>
      <c r="Q8" s="68">
        <f t="shared" si="4"/>
        <v>29</v>
      </c>
      <c r="R8" s="69">
        <v>41184</v>
      </c>
      <c r="S8" s="68">
        <f t="shared" si="16"/>
        <v>29</v>
      </c>
      <c r="T8" s="81">
        <f t="shared" si="5"/>
        <v>30.615300000000001</v>
      </c>
      <c r="U8" s="79">
        <f t="shared" si="6"/>
        <v>547.97646500000008</v>
      </c>
      <c r="V8" s="67">
        <v>57147</v>
      </c>
      <c r="W8" s="65">
        <f t="shared" si="17"/>
        <v>22</v>
      </c>
      <c r="X8" s="70">
        <f t="shared" ref="X8:X35" si="18">IF(ISBLANK(V8),"0 ",W8*284.345)</f>
        <v>6255.59</v>
      </c>
      <c r="Y8" s="70">
        <f t="shared" si="3"/>
        <v>2148.795165</v>
      </c>
      <c r="Z8" s="111">
        <f t="shared" si="7"/>
        <v>4080.2717338709676</v>
      </c>
      <c r="AA8" s="43">
        <f t="shared" si="8"/>
        <v>6229.0668988709676</v>
      </c>
      <c r="AB8" s="135">
        <v>2706310</v>
      </c>
      <c r="AC8" s="65">
        <f t="shared" si="9"/>
        <v>8424</v>
      </c>
      <c r="AD8" s="139">
        <v>0.65710000000000002</v>
      </c>
      <c r="AE8" s="71">
        <v>271</v>
      </c>
    </row>
    <row r="9" spans="1:31" s="3" customFormat="1" ht="27.95" customHeight="1" x14ac:dyDescent="0.45">
      <c r="A9" s="77">
        <v>45051</v>
      </c>
      <c r="B9" s="67">
        <v>16306717</v>
      </c>
      <c r="C9" s="65">
        <f t="shared" si="10"/>
        <v>8888</v>
      </c>
      <c r="D9" s="65">
        <v>17500459</v>
      </c>
      <c r="E9" s="65">
        <f t="shared" si="11"/>
        <v>7711</v>
      </c>
      <c r="F9" s="65">
        <v>411228</v>
      </c>
      <c r="G9" s="65">
        <f t="shared" si="12"/>
        <v>93</v>
      </c>
      <c r="H9" s="66">
        <f t="shared" si="0"/>
        <v>16692</v>
      </c>
      <c r="I9" s="89">
        <f t="shared" si="1"/>
        <v>3338.4</v>
      </c>
      <c r="J9" s="67">
        <v>45619</v>
      </c>
      <c r="K9" s="65">
        <f t="shared" si="13"/>
        <v>148</v>
      </c>
      <c r="L9" s="45">
        <f t="shared" si="2"/>
        <v>1160.32</v>
      </c>
      <c r="M9" s="64">
        <v>28997</v>
      </c>
      <c r="N9" s="65">
        <f t="shared" si="14"/>
        <v>18</v>
      </c>
      <c r="O9" s="65">
        <v>15912</v>
      </c>
      <c r="P9" s="68">
        <f t="shared" si="15"/>
        <v>13</v>
      </c>
      <c r="Q9" s="68">
        <f t="shared" si="4"/>
        <v>31</v>
      </c>
      <c r="R9" s="69">
        <v>41214</v>
      </c>
      <c r="S9" s="68">
        <f t="shared" si="16"/>
        <v>30</v>
      </c>
      <c r="T9" s="81">
        <f t="shared" si="5"/>
        <v>31.671000000000003</v>
      </c>
      <c r="U9" s="79">
        <f t="shared" si="6"/>
        <v>559.64195000000007</v>
      </c>
      <c r="V9" s="67">
        <v>57179</v>
      </c>
      <c r="W9" s="65">
        <f t="shared" si="17"/>
        <v>32</v>
      </c>
      <c r="X9" s="70">
        <f t="shared" si="18"/>
        <v>9099.0400000000009</v>
      </c>
      <c r="Y9" s="70">
        <f t="shared" si="3"/>
        <v>3125.5202400000007</v>
      </c>
      <c r="Z9" s="111">
        <f t="shared" si="7"/>
        <v>4080.2717338709676</v>
      </c>
      <c r="AA9" s="43">
        <f t="shared" si="8"/>
        <v>7205.7919738709679</v>
      </c>
      <c r="AB9" s="135">
        <v>2714810</v>
      </c>
      <c r="AC9" s="65">
        <f t="shared" si="9"/>
        <v>8500</v>
      </c>
      <c r="AD9" s="138">
        <v>0.57779999999999998</v>
      </c>
      <c r="AE9" s="71">
        <v>178</v>
      </c>
    </row>
    <row r="10" spans="1:31" s="3" customFormat="1" ht="27.95" customHeight="1" x14ac:dyDescent="0.45">
      <c r="A10" s="77">
        <v>45052</v>
      </c>
      <c r="B10" s="67">
        <v>16314914</v>
      </c>
      <c r="C10" s="65">
        <f t="shared" si="10"/>
        <v>8197</v>
      </c>
      <c r="D10" s="65">
        <v>17507698</v>
      </c>
      <c r="E10" s="65">
        <f>IF(ISBLANK(D10),"0",D10-D9)</f>
        <v>7239</v>
      </c>
      <c r="F10" s="65">
        <v>411337</v>
      </c>
      <c r="G10" s="65">
        <f>IF(ISBLANK(F10),"0",F10-F9)</f>
        <v>109</v>
      </c>
      <c r="H10" s="66">
        <f t="shared" si="0"/>
        <v>15545</v>
      </c>
      <c r="I10" s="89">
        <f t="shared" si="1"/>
        <v>3109</v>
      </c>
      <c r="J10" s="67">
        <v>45716</v>
      </c>
      <c r="K10" s="65">
        <f t="shared" si="13"/>
        <v>97</v>
      </c>
      <c r="L10" s="45">
        <f t="shared" si="2"/>
        <v>760.48</v>
      </c>
      <c r="M10" s="64">
        <v>29015</v>
      </c>
      <c r="N10" s="65">
        <f>IF(ISBLANK(M10),"0",M10-M9)</f>
        <v>18</v>
      </c>
      <c r="O10" s="65">
        <v>15923</v>
      </c>
      <c r="P10" s="68">
        <f t="shared" si="15"/>
        <v>11</v>
      </c>
      <c r="Q10" s="68">
        <f t="shared" si="4"/>
        <v>29</v>
      </c>
      <c r="R10" s="69">
        <v>41242</v>
      </c>
      <c r="S10" s="68">
        <f t="shared" si="16"/>
        <v>28</v>
      </c>
      <c r="T10" s="81">
        <f t="shared" si="5"/>
        <v>29.559600000000003</v>
      </c>
      <c r="U10" s="79">
        <f t="shared" si="6"/>
        <v>536.31098000000009</v>
      </c>
      <c r="V10" s="67">
        <v>57206</v>
      </c>
      <c r="W10" s="65">
        <f t="shared" si="17"/>
        <v>27</v>
      </c>
      <c r="X10" s="70">
        <f t="shared" si="18"/>
        <v>7677.3150000000005</v>
      </c>
      <c r="Y10" s="70">
        <f t="shared" si="3"/>
        <v>2637.1577025000006</v>
      </c>
      <c r="Z10" s="111">
        <f t="shared" si="7"/>
        <v>4080.2717338709676</v>
      </c>
      <c r="AA10" s="43">
        <f t="shared" si="8"/>
        <v>6717.4294363709687</v>
      </c>
      <c r="AB10" s="135">
        <v>2722976</v>
      </c>
      <c r="AC10" s="65">
        <f t="shared" si="9"/>
        <v>8166</v>
      </c>
      <c r="AD10" s="138">
        <v>0.68559999999999999</v>
      </c>
      <c r="AE10" s="71">
        <v>281</v>
      </c>
    </row>
    <row r="11" spans="1:31" s="3" customFormat="1" ht="27.95" customHeight="1" x14ac:dyDescent="0.45">
      <c r="A11" s="77">
        <v>45053</v>
      </c>
      <c r="B11" s="67">
        <v>16322898</v>
      </c>
      <c r="C11" s="65">
        <f t="shared" si="10"/>
        <v>7984</v>
      </c>
      <c r="D11" s="65">
        <v>17515015</v>
      </c>
      <c r="E11" s="65">
        <f t="shared" si="11"/>
        <v>7317</v>
      </c>
      <c r="F11" s="65">
        <v>411446</v>
      </c>
      <c r="G11" s="65">
        <f t="shared" si="12"/>
        <v>109</v>
      </c>
      <c r="H11" s="66">
        <f t="shared" si="0"/>
        <v>15410</v>
      </c>
      <c r="I11" s="89">
        <f t="shared" si="1"/>
        <v>3082</v>
      </c>
      <c r="J11" s="67">
        <v>45825</v>
      </c>
      <c r="K11" s="65">
        <f t="shared" si="13"/>
        <v>109</v>
      </c>
      <c r="L11" s="45">
        <f t="shared" si="2"/>
        <v>854.56</v>
      </c>
      <c r="M11" s="64">
        <v>29033</v>
      </c>
      <c r="N11" s="65">
        <f t="shared" si="14"/>
        <v>18</v>
      </c>
      <c r="O11" s="65">
        <v>15933</v>
      </c>
      <c r="P11" s="68">
        <f t="shared" si="15"/>
        <v>10</v>
      </c>
      <c r="Q11" s="68">
        <f t="shared" si="4"/>
        <v>28</v>
      </c>
      <c r="R11" s="69">
        <v>41270</v>
      </c>
      <c r="S11" s="68">
        <f t="shared" si="16"/>
        <v>28</v>
      </c>
      <c r="T11" s="81">
        <f t="shared" si="5"/>
        <v>29.559600000000003</v>
      </c>
      <c r="U11" s="79">
        <f t="shared" si="6"/>
        <v>536.31098000000009</v>
      </c>
      <c r="V11" s="67">
        <v>57234</v>
      </c>
      <c r="W11" s="65">
        <f t="shared" si="17"/>
        <v>28</v>
      </c>
      <c r="X11" s="70">
        <f t="shared" si="18"/>
        <v>7961.6600000000008</v>
      </c>
      <c r="Y11" s="70">
        <f t="shared" si="3"/>
        <v>2734.8302100000005</v>
      </c>
      <c r="Z11" s="111">
        <f t="shared" si="7"/>
        <v>4080.2717338709676</v>
      </c>
      <c r="AA11" s="43">
        <f t="shared" si="8"/>
        <v>6815.1019438709682</v>
      </c>
      <c r="AB11" s="135">
        <v>2731547</v>
      </c>
      <c r="AC11" s="65">
        <f t="shared" si="9"/>
        <v>8571</v>
      </c>
      <c r="AD11" s="138">
        <v>0.86670000000000003</v>
      </c>
      <c r="AE11" s="71">
        <v>315</v>
      </c>
    </row>
    <row r="12" spans="1:31" s="3" customFormat="1" ht="27.95" customHeight="1" x14ac:dyDescent="0.45">
      <c r="A12" s="77">
        <v>45054</v>
      </c>
      <c r="B12" s="67">
        <v>16331202</v>
      </c>
      <c r="C12" s="65">
        <f t="shared" si="10"/>
        <v>8304</v>
      </c>
      <c r="D12" s="65">
        <v>17522361</v>
      </c>
      <c r="E12" s="65">
        <f t="shared" si="11"/>
        <v>7346</v>
      </c>
      <c r="F12" s="65">
        <v>411560</v>
      </c>
      <c r="G12" s="65">
        <f t="shared" si="12"/>
        <v>114</v>
      </c>
      <c r="H12" s="66">
        <f t="shared" si="0"/>
        <v>15764</v>
      </c>
      <c r="I12" s="89">
        <f>H12*0.2</f>
        <v>3152.8</v>
      </c>
      <c r="J12" s="67">
        <v>45919</v>
      </c>
      <c r="K12" s="65">
        <f t="shared" si="13"/>
        <v>94</v>
      </c>
      <c r="L12" s="45">
        <f t="shared" si="2"/>
        <v>736.96</v>
      </c>
      <c r="M12" s="64">
        <v>29052</v>
      </c>
      <c r="N12" s="65">
        <f t="shared" si="14"/>
        <v>19</v>
      </c>
      <c r="O12" s="65">
        <v>15944</v>
      </c>
      <c r="P12" s="68">
        <f t="shared" si="15"/>
        <v>11</v>
      </c>
      <c r="Q12" s="68">
        <f t="shared" si="4"/>
        <v>30</v>
      </c>
      <c r="R12" s="69">
        <v>41300</v>
      </c>
      <c r="S12" s="68">
        <f t="shared" si="16"/>
        <v>30</v>
      </c>
      <c r="T12" s="81">
        <f t="shared" si="5"/>
        <v>31.671000000000003</v>
      </c>
      <c r="U12" s="79">
        <f t="shared" si="6"/>
        <v>559.64195000000007</v>
      </c>
      <c r="V12" s="67">
        <v>57261</v>
      </c>
      <c r="W12" s="65">
        <f t="shared" si="17"/>
        <v>27</v>
      </c>
      <c r="X12" s="70">
        <f t="shared" si="18"/>
        <v>7677.3150000000005</v>
      </c>
      <c r="Y12" s="70">
        <f>X12*0.3435</f>
        <v>2637.1577025000006</v>
      </c>
      <c r="Z12" s="111">
        <f t="shared" si="7"/>
        <v>4080.2717338709676</v>
      </c>
      <c r="AA12" s="43">
        <f t="shared" si="8"/>
        <v>6717.4294363709687</v>
      </c>
      <c r="AB12" s="135">
        <v>2740252</v>
      </c>
      <c r="AC12" s="65">
        <f t="shared" si="9"/>
        <v>8705</v>
      </c>
      <c r="AD12" s="140">
        <v>1</v>
      </c>
      <c r="AE12" s="71">
        <v>354</v>
      </c>
    </row>
    <row r="13" spans="1:31" s="3" customFormat="1" ht="27.95" customHeight="1" x14ac:dyDescent="0.45">
      <c r="A13" s="77">
        <v>45055</v>
      </c>
      <c r="B13" s="67">
        <v>16339368</v>
      </c>
      <c r="C13" s="65">
        <f t="shared" si="10"/>
        <v>8166</v>
      </c>
      <c r="D13" s="65">
        <v>17529709</v>
      </c>
      <c r="E13" s="65">
        <f t="shared" si="11"/>
        <v>7348</v>
      </c>
      <c r="F13" s="65">
        <v>411675</v>
      </c>
      <c r="G13" s="65">
        <f t="shared" si="12"/>
        <v>115</v>
      </c>
      <c r="H13" s="66">
        <f t="shared" si="0"/>
        <v>15629</v>
      </c>
      <c r="I13" s="89">
        <f t="shared" si="1"/>
        <v>3125.8</v>
      </c>
      <c r="J13" s="67">
        <v>46020</v>
      </c>
      <c r="K13" s="65">
        <f t="shared" si="13"/>
        <v>101</v>
      </c>
      <c r="L13" s="45">
        <f t="shared" si="2"/>
        <v>791.84</v>
      </c>
      <c r="M13" s="64">
        <v>29070</v>
      </c>
      <c r="N13" s="65">
        <f t="shared" si="14"/>
        <v>18</v>
      </c>
      <c r="O13" s="65">
        <v>15957</v>
      </c>
      <c r="P13" s="68">
        <f t="shared" si="15"/>
        <v>13</v>
      </c>
      <c r="Q13" s="68">
        <f t="shared" si="4"/>
        <v>31</v>
      </c>
      <c r="R13" s="69">
        <v>41331</v>
      </c>
      <c r="S13" s="68">
        <f t="shared" si="16"/>
        <v>31</v>
      </c>
      <c r="T13" s="81">
        <f t="shared" si="5"/>
        <v>32.726700000000001</v>
      </c>
      <c r="U13" s="79">
        <f t="shared" si="6"/>
        <v>571.30743500000005</v>
      </c>
      <c r="V13" s="67">
        <v>57288</v>
      </c>
      <c r="W13" s="65">
        <f t="shared" si="17"/>
        <v>27</v>
      </c>
      <c r="X13" s="70">
        <f t="shared" si="18"/>
        <v>7677.3150000000005</v>
      </c>
      <c r="Y13" s="70">
        <f t="shared" ref="Y13:Y35" si="19">X13*0.3435</f>
        <v>2637.1577025000006</v>
      </c>
      <c r="Z13" s="111">
        <f t="shared" si="7"/>
        <v>4080.2717338709676</v>
      </c>
      <c r="AA13" s="43">
        <f t="shared" si="8"/>
        <v>6717.4294363709687</v>
      </c>
      <c r="AB13" s="135">
        <v>2748998</v>
      </c>
      <c r="AC13" s="65">
        <f t="shared" si="9"/>
        <v>8746</v>
      </c>
      <c r="AD13" s="138">
        <v>1</v>
      </c>
      <c r="AE13" s="71">
        <v>357</v>
      </c>
    </row>
    <row r="14" spans="1:31" s="3" customFormat="1" ht="27.95" customHeight="1" x14ac:dyDescent="0.45">
      <c r="A14" s="77">
        <v>45056</v>
      </c>
      <c r="B14" s="67">
        <v>16347481</v>
      </c>
      <c r="C14" s="65">
        <f t="shared" si="10"/>
        <v>8113</v>
      </c>
      <c r="D14" s="65">
        <v>17537183</v>
      </c>
      <c r="E14" s="65">
        <f t="shared" si="11"/>
        <v>7474</v>
      </c>
      <c r="F14" s="65">
        <v>411788</v>
      </c>
      <c r="G14" s="65">
        <f t="shared" si="12"/>
        <v>113</v>
      </c>
      <c r="H14" s="66">
        <f t="shared" si="0"/>
        <v>15700</v>
      </c>
      <c r="I14" s="89">
        <f t="shared" si="1"/>
        <v>3140</v>
      </c>
      <c r="J14" s="67">
        <v>46107</v>
      </c>
      <c r="K14" s="65">
        <f t="shared" si="13"/>
        <v>87</v>
      </c>
      <c r="L14" s="45">
        <f t="shared" si="2"/>
        <v>682.08</v>
      </c>
      <c r="M14" s="64">
        <v>29089</v>
      </c>
      <c r="N14" s="65">
        <f t="shared" si="14"/>
        <v>19</v>
      </c>
      <c r="O14" s="65">
        <v>15968</v>
      </c>
      <c r="P14" s="68">
        <f t="shared" si="15"/>
        <v>11</v>
      </c>
      <c r="Q14" s="68">
        <f t="shared" si="4"/>
        <v>30</v>
      </c>
      <c r="R14" s="69">
        <v>41360</v>
      </c>
      <c r="S14" s="68">
        <f t="shared" si="16"/>
        <v>29</v>
      </c>
      <c r="T14" s="81">
        <f t="shared" si="5"/>
        <v>30.615300000000001</v>
      </c>
      <c r="U14" s="79">
        <f t="shared" si="6"/>
        <v>547.97646500000008</v>
      </c>
      <c r="V14" s="67">
        <v>57316</v>
      </c>
      <c r="W14" s="65">
        <f t="shared" si="17"/>
        <v>28</v>
      </c>
      <c r="X14" s="70">
        <f t="shared" si="18"/>
        <v>7961.6600000000008</v>
      </c>
      <c r="Y14" s="70">
        <f t="shared" si="19"/>
        <v>2734.8302100000005</v>
      </c>
      <c r="Z14" s="111">
        <f t="shared" si="7"/>
        <v>4080.2717338709676</v>
      </c>
      <c r="AA14" s="43">
        <f t="shared" si="8"/>
        <v>6815.1019438709682</v>
      </c>
      <c r="AB14" s="135">
        <v>2758008</v>
      </c>
      <c r="AC14" s="65">
        <f t="shared" si="9"/>
        <v>9010</v>
      </c>
      <c r="AD14" s="138">
        <v>0.69520000000000004</v>
      </c>
      <c r="AE14" s="71">
        <v>248</v>
      </c>
    </row>
    <row r="15" spans="1:31" s="3" customFormat="1" ht="27.95" customHeight="1" x14ac:dyDescent="0.45">
      <c r="A15" s="77">
        <v>45057</v>
      </c>
      <c r="B15" s="67">
        <v>16355580</v>
      </c>
      <c r="C15" s="65">
        <f t="shared" si="10"/>
        <v>8099</v>
      </c>
      <c r="D15" s="65">
        <v>17544532</v>
      </c>
      <c r="E15" s="65">
        <f t="shared" si="11"/>
        <v>7349</v>
      </c>
      <c r="F15" s="65">
        <v>411902</v>
      </c>
      <c r="G15" s="65">
        <f t="shared" si="12"/>
        <v>114</v>
      </c>
      <c r="H15" s="66">
        <f t="shared" si="0"/>
        <v>15562</v>
      </c>
      <c r="I15" s="89">
        <f t="shared" si="1"/>
        <v>3112.4</v>
      </c>
      <c r="J15" s="67">
        <v>46198</v>
      </c>
      <c r="K15" s="65">
        <f t="shared" si="13"/>
        <v>91</v>
      </c>
      <c r="L15" s="45">
        <f t="shared" si="2"/>
        <v>713.43999999999994</v>
      </c>
      <c r="M15" s="64">
        <v>29107</v>
      </c>
      <c r="N15" s="65">
        <f t="shared" si="14"/>
        <v>18</v>
      </c>
      <c r="O15" s="65">
        <v>15983</v>
      </c>
      <c r="P15" s="68">
        <f t="shared" si="15"/>
        <v>15</v>
      </c>
      <c r="Q15" s="68">
        <f t="shared" si="4"/>
        <v>33</v>
      </c>
      <c r="R15" s="69">
        <v>41393</v>
      </c>
      <c r="S15" s="68">
        <f t="shared" si="16"/>
        <v>33</v>
      </c>
      <c r="T15" s="81">
        <f t="shared" si="5"/>
        <v>34.838100000000004</v>
      </c>
      <c r="U15" s="79">
        <f t="shared" si="6"/>
        <v>594.63840500000003</v>
      </c>
      <c r="V15" s="67">
        <v>57342</v>
      </c>
      <c r="W15" s="65">
        <f t="shared" si="17"/>
        <v>26</v>
      </c>
      <c r="X15" s="70">
        <f t="shared" si="18"/>
        <v>7392.9700000000012</v>
      </c>
      <c r="Y15" s="70">
        <f t="shared" si="19"/>
        <v>2539.4851950000007</v>
      </c>
      <c r="Z15" s="111">
        <f t="shared" si="7"/>
        <v>4080.2717338709676</v>
      </c>
      <c r="AA15" s="43">
        <f t="shared" si="8"/>
        <v>6619.7569288709683</v>
      </c>
      <c r="AB15" s="135">
        <v>2766528</v>
      </c>
      <c r="AC15" s="65">
        <f t="shared" si="9"/>
        <v>8520</v>
      </c>
      <c r="AD15" s="138">
        <v>0.52</v>
      </c>
      <c r="AE15" s="71">
        <v>199</v>
      </c>
    </row>
    <row r="16" spans="1:31" s="3" customFormat="1" ht="27.95" customHeight="1" x14ac:dyDescent="0.45">
      <c r="A16" s="77">
        <v>45058</v>
      </c>
      <c r="B16" s="67">
        <v>16363503</v>
      </c>
      <c r="C16" s="65">
        <f t="shared" si="10"/>
        <v>7923</v>
      </c>
      <c r="D16" s="65">
        <v>17551525</v>
      </c>
      <c r="E16" s="65">
        <f t="shared" si="11"/>
        <v>6993</v>
      </c>
      <c r="F16" s="65">
        <v>412017</v>
      </c>
      <c r="G16" s="65">
        <f t="shared" si="12"/>
        <v>115</v>
      </c>
      <c r="H16" s="66">
        <f t="shared" si="0"/>
        <v>15031</v>
      </c>
      <c r="I16" s="89">
        <f t="shared" si="1"/>
        <v>3006.2000000000003</v>
      </c>
      <c r="J16" s="67">
        <v>46279</v>
      </c>
      <c r="K16" s="65">
        <f t="shared" si="13"/>
        <v>81</v>
      </c>
      <c r="L16" s="45">
        <f t="shared" si="2"/>
        <v>635.04</v>
      </c>
      <c r="M16" s="64">
        <v>29127</v>
      </c>
      <c r="N16" s="65">
        <f t="shared" si="14"/>
        <v>20</v>
      </c>
      <c r="O16" s="65">
        <v>15995</v>
      </c>
      <c r="P16" s="68">
        <f t="shared" si="15"/>
        <v>12</v>
      </c>
      <c r="Q16" s="68">
        <f t="shared" si="4"/>
        <v>32</v>
      </c>
      <c r="R16" s="69">
        <v>41425</v>
      </c>
      <c r="S16" s="68">
        <f t="shared" si="16"/>
        <v>32</v>
      </c>
      <c r="T16" s="81">
        <f t="shared" si="5"/>
        <v>33.782400000000003</v>
      </c>
      <c r="U16" s="79">
        <f t="shared" si="6"/>
        <v>582.97292000000004</v>
      </c>
      <c r="V16" s="67">
        <v>57370</v>
      </c>
      <c r="W16" s="65">
        <f t="shared" si="17"/>
        <v>28</v>
      </c>
      <c r="X16" s="70">
        <f t="shared" si="18"/>
        <v>7961.6600000000008</v>
      </c>
      <c r="Y16" s="70">
        <f t="shared" si="19"/>
        <v>2734.8302100000005</v>
      </c>
      <c r="Z16" s="111">
        <f t="shared" si="7"/>
        <v>4080.2717338709676</v>
      </c>
      <c r="AA16" s="43">
        <f t="shared" si="8"/>
        <v>6815.1019438709682</v>
      </c>
      <c r="AB16" s="135">
        <v>2775337</v>
      </c>
      <c r="AC16" s="65">
        <f t="shared" si="9"/>
        <v>8809</v>
      </c>
      <c r="AD16" s="138">
        <v>0.4476</v>
      </c>
      <c r="AE16" s="71">
        <v>184</v>
      </c>
    </row>
    <row r="17" spans="1:31" s="3" customFormat="1" ht="27.95" customHeight="1" x14ac:dyDescent="0.45">
      <c r="A17" s="77">
        <v>45059</v>
      </c>
      <c r="B17" s="67">
        <v>16371284</v>
      </c>
      <c r="C17" s="65">
        <f t="shared" si="10"/>
        <v>7781</v>
      </c>
      <c r="D17" s="65">
        <v>17558402</v>
      </c>
      <c r="E17" s="65">
        <f t="shared" si="11"/>
        <v>6877</v>
      </c>
      <c r="F17" s="65">
        <v>412131</v>
      </c>
      <c r="G17" s="65">
        <f t="shared" si="12"/>
        <v>114</v>
      </c>
      <c r="H17" s="66">
        <f t="shared" si="0"/>
        <v>14772</v>
      </c>
      <c r="I17" s="89">
        <f t="shared" si="1"/>
        <v>2954.4</v>
      </c>
      <c r="J17" s="67">
        <v>46349</v>
      </c>
      <c r="K17" s="65">
        <f t="shared" si="13"/>
        <v>70</v>
      </c>
      <c r="L17" s="45">
        <f t="shared" si="2"/>
        <v>548.79999999999995</v>
      </c>
      <c r="M17" s="64">
        <v>29146</v>
      </c>
      <c r="N17" s="65">
        <f t="shared" si="14"/>
        <v>19</v>
      </c>
      <c r="O17" s="65">
        <v>16005</v>
      </c>
      <c r="P17" s="68">
        <f t="shared" si="15"/>
        <v>10</v>
      </c>
      <c r="Q17" s="68">
        <f t="shared" si="4"/>
        <v>29</v>
      </c>
      <c r="R17" s="69">
        <v>41454</v>
      </c>
      <c r="S17" s="68">
        <f t="shared" si="16"/>
        <v>29</v>
      </c>
      <c r="T17" s="81">
        <f t="shared" si="5"/>
        <v>30.615300000000001</v>
      </c>
      <c r="U17" s="79">
        <f t="shared" si="6"/>
        <v>547.97646500000008</v>
      </c>
      <c r="V17" s="67">
        <v>57400</v>
      </c>
      <c r="W17" s="65">
        <f t="shared" si="17"/>
        <v>30</v>
      </c>
      <c r="X17" s="70">
        <f t="shared" si="18"/>
        <v>8530.35</v>
      </c>
      <c r="Y17" s="70">
        <f t="shared" si="19"/>
        <v>2930.1752250000004</v>
      </c>
      <c r="Z17" s="111">
        <f t="shared" si="7"/>
        <v>4080.2717338709676</v>
      </c>
      <c r="AA17" s="43">
        <f t="shared" si="8"/>
        <v>7010.446958870968</v>
      </c>
      <c r="AB17" s="135">
        <v>2784637</v>
      </c>
      <c r="AC17" s="65">
        <f t="shared" si="9"/>
        <v>9300</v>
      </c>
      <c r="AD17" s="138">
        <v>0.46029999999999999</v>
      </c>
      <c r="AE17" s="71">
        <v>180</v>
      </c>
    </row>
    <row r="18" spans="1:31" s="3" customFormat="1" ht="27.95" customHeight="1" x14ac:dyDescent="0.45">
      <c r="A18" s="77">
        <v>45060</v>
      </c>
      <c r="B18" s="67">
        <v>16379174</v>
      </c>
      <c r="C18" s="65">
        <f t="shared" si="10"/>
        <v>7890</v>
      </c>
      <c r="D18" s="65">
        <v>17565403</v>
      </c>
      <c r="E18" s="65">
        <f t="shared" si="11"/>
        <v>7001</v>
      </c>
      <c r="F18" s="65">
        <v>412245</v>
      </c>
      <c r="G18" s="65">
        <f t="shared" si="12"/>
        <v>114</v>
      </c>
      <c r="H18" s="66">
        <f t="shared" si="0"/>
        <v>15005</v>
      </c>
      <c r="I18" s="89">
        <f t="shared" si="1"/>
        <v>3001</v>
      </c>
      <c r="J18" s="67">
        <v>46425</v>
      </c>
      <c r="K18" s="65">
        <f t="shared" si="13"/>
        <v>76</v>
      </c>
      <c r="L18" s="45">
        <f t="shared" si="2"/>
        <v>595.84</v>
      </c>
      <c r="M18" s="64">
        <v>29166</v>
      </c>
      <c r="N18" s="65">
        <f t="shared" si="14"/>
        <v>20</v>
      </c>
      <c r="O18" s="65">
        <v>16014</v>
      </c>
      <c r="P18" s="68">
        <f t="shared" si="15"/>
        <v>9</v>
      </c>
      <c r="Q18" s="68">
        <f t="shared" si="4"/>
        <v>29</v>
      </c>
      <c r="R18" s="69">
        <v>41483</v>
      </c>
      <c r="S18" s="68">
        <f t="shared" si="16"/>
        <v>29</v>
      </c>
      <c r="T18" s="81">
        <f t="shared" si="5"/>
        <v>30.615300000000001</v>
      </c>
      <c r="U18" s="79">
        <f t="shared" si="6"/>
        <v>547.97646500000008</v>
      </c>
      <c r="V18" s="67">
        <v>57428</v>
      </c>
      <c r="W18" s="65">
        <f t="shared" si="17"/>
        <v>28</v>
      </c>
      <c r="X18" s="70">
        <f t="shared" si="18"/>
        <v>7961.6600000000008</v>
      </c>
      <c r="Y18" s="70">
        <f t="shared" si="19"/>
        <v>2734.8302100000005</v>
      </c>
      <c r="Z18" s="111">
        <f t="shared" si="7"/>
        <v>4080.2717338709676</v>
      </c>
      <c r="AA18" s="43">
        <f t="shared" si="8"/>
        <v>6815.1019438709682</v>
      </c>
      <c r="AB18" s="135">
        <v>2793576</v>
      </c>
      <c r="AC18" s="65">
        <f t="shared" si="9"/>
        <v>8939</v>
      </c>
      <c r="AD18" s="138">
        <v>0.73329999999999995</v>
      </c>
      <c r="AE18" s="71">
        <v>242</v>
      </c>
    </row>
    <row r="19" spans="1:31" s="3" customFormat="1" ht="27.95" customHeight="1" x14ac:dyDescent="0.45">
      <c r="A19" s="77">
        <v>45061</v>
      </c>
      <c r="B19" s="67">
        <v>16387278</v>
      </c>
      <c r="C19" s="65">
        <f t="shared" si="10"/>
        <v>8104</v>
      </c>
      <c r="D19" s="65">
        <v>17572794</v>
      </c>
      <c r="E19" s="65">
        <f t="shared" si="11"/>
        <v>7391</v>
      </c>
      <c r="F19" s="65">
        <v>412357</v>
      </c>
      <c r="G19" s="65">
        <f t="shared" si="12"/>
        <v>112</v>
      </c>
      <c r="H19" s="66">
        <f t="shared" si="0"/>
        <v>15607</v>
      </c>
      <c r="I19" s="89">
        <f t="shared" si="1"/>
        <v>3121.4</v>
      </c>
      <c r="J19" s="67">
        <v>46517</v>
      </c>
      <c r="K19" s="65">
        <f t="shared" si="13"/>
        <v>92</v>
      </c>
      <c r="L19" s="45">
        <f t="shared" si="2"/>
        <v>721.28</v>
      </c>
      <c r="M19" s="64">
        <v>29184</v>
      </c>
      <c r="N19" s="65">
        <f t="shared" si="14"/>
        <v>18</v>
      </c>
      <c r="O19" s="65">
        <v>16029</v>
      </c>
      <c r="P19" s="68">
        <f t="shared" si="15"/>
        <v>15</v>
      </c>
      <c r="Q19" s="68">
        <f t="shared" si="4"/>
        <v>33</v>
      </c>
      <c r="R19" s="69">
        <v>41516</v>
      </c>
      <c r="S19" s="68">
        <f t="shared" si="16"/>
        <v>33</v>
      </c>
      <c r="T19" s="81">
        <f t="shared" si="5"/>
        <v>34.838100000000004</v>
      </c>
      <c r="U19" s="79">
        <f t="shared" si="6"/>
        <v>594.63840500000003</v>
      </c>
      <c r="V19" s="67">
        <v>57459</v>
      </c>
      <c r="W19" s="65">
        <f t="shared" si="17"/>
        <v>31</v>
      </c>
      <c r="X19" s="70">
        <f t="shared" si="18"/>
        <v>8814.6950000000015</v>
      </c>
      <c r="Y19" s="70">
        <f t="shared" si="19"/>
        <v>3027.8477325000008</v>
      </c>
      <c r="Z19" s="111">
        <f t="shared" si="7"/>
        <v>4080.2717338709676</v>
      </c>
      <c r="AA19" s="43">
        <f t="shared" si="8"/>
        <v>7108.1194663709684</v>
      </c>
      <c r="AB19" s="135">
        <v>2803518</v>
      </c>
      <c r="AC19" s="65">
        <f t="shared" si="9"/>
        <v>9942</v>
      </c>
      <c r="AD19" s="138">
        <v>1</v>
      </c>
      <c r="AE19" s="71">
        <v>331</v>
      </c>
    </row>
    <row r="20" spans="1:31" s="3" customFormat="1" ht="27.95" customHeight="1" x14ac:dyDescent="0.45">
      <c r="A20" s="77">
        <v>45062</v>
      </c>
      <c r="B20" s="67">
        <v>16395671</v>
      </c>
      <c r="C20" s="65">
        <f t="shared" si="10"/>
        <v>8393</v>
      </c>
      <c r="D20" s="65">
        <v>17580216</v>
      </c>
      <c r="E20" s="65">
        <f t="shared" si="11"/>
        <v>7422</v>
      </c>
      <c r="F20" s="65">
        <v>412472</v>
      </c>
      <c r="G20" s="65">
        <f t="shared" si="12"/>
        <v>115</v>
      </c>
      <c r="H20" s="66">
        <f t="shared" si="0"/>
        <v>15930</v>
      </c>
      <c r="I20" s="89">
        <f t="shared" si="1"/>
        <v>3186</v>
      </c>
      <c r="J20" s="67">
        <v>46601</v>
      </c>
      <c r="K20" s="65">
        <f t="shared" si="13"/>
        <v>84</v>
      </c>
      <c r="L20" s="45">
        <f t="shared" si="2"/>
        <v>658.56</v>
      </c>
      <c r="M20" s="64">
        <v>29203</v>
      </c>
      <c r="N20" s="65">
        <f t="shared" si="14"/>
        <v>19</v>
      </c>
      <c r="O20" s="65">
        <v>16044</v>
      </c>
      <c r="P20" s="68">
        <f t="shared" si="15"/>
        <v>15</v>
      </c>
      <c r="Q20" s="68">
        <f t="shared" si="4"/>
        <v>34</v>
      </c>
      <c r="R20" s="69">
        <v>41549</v>
      </c>
      <c r="S20" s="68">
        <f t="shared" si="16"/>
        <v>33</v>
      </c>
      <c r="T20" s="81">
        <f t="shared" si="5"/>
        <v>34.838100000000004</v>
      </c>
      <c r="U20" s="79">
        <f t="shared" si="6"/>
        <v>594.63840500000003</v>
      </c>
      <c r="V20" s="67">
        <v>57490</v>
      </c>
      <c r="W20" s="65">
        <f t="shared" si="17"/>
        <v>31</v>
      </c>
      <c r="X20" s="70">
        <f t="shared" si="18"/>
        <v>8814.6950000000015</v>
      </c>
      <c r="Y20" s="70">
        <f t="shared" si="19"/>
        <v>3027.8477325000008</v>
      </c>
      <c r="Z20" s="111">
        <f t="shared" si="7"/>
        <v>4080.2717338709676</v>
      </c>
      <c r="AA20" s="43">
        <f t="shared" si="8"/>
        <v>7108.1194663709684</v>
      </c>
      <c r="AB20" s="135">
        <v>2813316</v>
      </c>
      <c r="AC20" s="65">
        <f t="shared" si="9"/>
        <v>9798</v>
      </c>
      <c r="AD20" s="138">
        <v>0.87939999999999996</v>
      </c>
      <c r="AE20" s="71">
        <v>291</v>
      </c>
    </row>
    <row r="21" spans="1:31" s="3" customFormat="1" ht="27.95" customHeight="1" x14ac:dyDescent="0.45">
      <c r="A21" s="77">
        <v>45063</v>
      </c>
      <c r="B21" s="67">
        <v>16403808</v>
      </c>
      <c r="C21" s="65">
        <f t="shared" si="10"/>
        <v>8137</v>
      </c>
      <c r="D21" s="65">
        <v>17587482</v>
      </c>
      <c r="E21" s="65">
        <f t="shared" si="11"/>
        <v>7266</v>
      </c>
      <c r="F21" s="65">
        <v>412588</v>
      </c>
      <c r="G21" s="65">
        <f t="shared" si="12"/>
        <v>116</v>
      </c>
      <c r="H21" s="66">
        <f t="shared" si="0"/>
        <v>15519</v>
      </c>
      <c r="I21" s="89">
        <f t="shared" si="1"/>
        <v>3103.8</v>
      </c>
      <c r="J21" s="67">
        <v>46697</v>
      </c>
      <c r="K21" s="65">
        <f t="shared" si="13"/>
        <v>96</v>
      </c>
      <c r="L21" s="45">
        <f t="shared" si="2"/>
        <v>752.64</v>
      </c>
      <c r="M21" s="64">
        <v>29220</v>
      </c>
      <c r="N21" s="65">
        <f t="shared" si="14"/>
        <v>17</v>
      </c>
      <c r="O21" s="65">
        <v>16061</v>
      </c>
      <c r="P21" s="68">
        <f t="shared" si="15"/>
        <v>17</v>
      </c>
      <c r="Q21" s="68">
        <f t="shared" si="4"/>
        <v>34</v>
      </c>
      <c r="R21" s="69">
        <v>41583</v>
      </c>
      <c r="S21" s="68">
        <f t="shared" si="16"/>
        <v>34</v>
      </c>
      <c r="T21" s="81">
        <f t="shared" si="5"/>
        <v>35.893800000000006</v>
      </c>
      <c r="U21" s="79">
        <f t="shared" si="6"/>
        <v>606.30389000000014</v>
      </c>
      <c r="V21" s="67">
        <v>57520</v>
      </c>
      <c r="W21" s="65">
        <f t="shared" si="17"/>
        <v>30</v>
      </c>
      <c r="X21" s="70">
        <f t="shared" si="18"/>
        <v>8530.35</v>
      </c>
      <c r="Y21" s="70">
        <f t="shared" si="19"/>
        <v>2930.1752250000004</v>
      </c>
      <c r="Z21" s="111">
        <f t="shared" si="7"/>
        <v>4080.2717338709676</v>
      </c>
      <c r="AA21" s="43">
        <f t="shared" si="8"/>
        <v>7010.446958870968</v>
      </c>
      <c r="AB21" s="135">
        <v>2823518</v>
      </c>
      <c r="AC21" s="65">
        <v>10202</v>
      </c>
      <c r="AD21" s="138">
        <v>0.77780000000000005</v>
      </c>
      <c r="AE21" s="71">
        <v>260</v>
      </c>
    </row>
    <row r="22" spans="1:31" s="3" customFormat="1" ht="27.95" customHeight="1" x14ac:dyDescent="0.45">
      <c r="A22" s="77">
        <v>45064</v>
      </c>
      <c r="B22" s="67">
        <v>16411865</v>
      </c>
      <c r="C22" s="65">
        <f t="shared" si="10"/>
        <v>8057</v>
      </c>
      <c r="D22" s="65">
        <v>17594939</v>
      </c>
      <c r="E22" s="65">
        <f t="shared" si="11"/>
        <v>7457</v>
      </c>
      <c r="F22" s="65">
        <v>412700</v>
      </c>
      <c r="G22" s="65">
        <v>112</v>
      </c>
      <c r="H22" s="66">
        <f t="shared" si="0"/>
        <v>15626</v>
      </c>
      <c r="I22" s="89">
        <f t="shared" si="1"/>
        <v>3125.2000000000003</v>
      </c>
      <c r="J22" s="67">
        <v>46780</v>
      </c>
      <c r="K22" s="65">
        <f t="shared" si="13"/>
        <v>83</v>
      </c>
      <c r="L22" s="45">
        <f t="shared" si="2"/>
        <v>650.72</v>
      </c>
      <c r="M22" s="64">
        <v>29238</v>
      </c>
      <c r="N22" s="65">
        <f t="shared" si="14"/>
        <v>18</v>
      </c>
      <c r="O22" s="65">
        <v>16075</v>
      </c>
      <c r="P22" s="68">
        <f t="shared" si="15"/>
        <v>14</v>
      </c>
      <c r="Q22" s="68">
        <f t="shared" si="4"/>
        <v>32</v>
      </c>
      <c r="R22" s="69">
        <v>41615</v>
      </c>
      <c r="S22" s="68">
        <f t="shared" si="16"/>
        <v>32</v>
      </c>
      <c r="T22" s="81">
        <f t="shared" si="5"/>
        <v>33.782400000000003</v>
      </c>
      <c r="U22" s="79">
        <f t="shared" si="6"/>
        <v>582.97292000000004</v>
      </c>
      <c r="V22" s="67">
        <v>57550</v>
      </c>
      <c r="W22" s="65">
        <f t="shared" si="17"/>
        <v>30</v>
      </c>
      <c r="X22" s="70">
        <f t="shared" si="18"/>
        <v>8530.35</v>
      </c>
      <c r="Y22" s="70">
        <f t="shared" si="19"/>
        <v>2930.1752250000004</v>
      </c>
      <c r="Z22" s="111">
        <f t="shared" si="7"/>
        <v>4080.2717338709676</v>
      </c>
      <c r="AA22" s="43">
        <f t="shared" si="8"/>
        <v>7010.446958870968</v>
      </c>
      <c r="AB22" s="135">
        <v>2832637</v>
      </c>
      <c r="AC22" s="65">
        <f t="shared" si="9"/>
        <v>9119</v>
      </c>
      <c r="AD22" s="138">
        <v>0.77780000000000005</v>
      </c>
      <c r="AE22" s="71">
        <v>260</v>
      </c>
    </row>
    <row r="23" spans="1:31" s="3" customFormat="1" ht="27.95" customHeight="1" x14ac:dyDescent="0.45">
      <c r="A23" s="77">
        <v>45065</v>
      </c>
      <c r="B23" s="67">
        <v>16419749</v>
      </c>
      <c r="C23" s="65">
        <f t="shared" si="10"/>
        <v>7884</v>
      </c>
      <c r="D23" s="65">
        <v>17602154</v>
      </c>
      <c r="E23" s="65">
        <f t="shared" si="11"/>
        <v>7215</v>
      </c>
      <c r="F23" s="65">
        <v>412812</v>
      </c>
      <c r="G23" s="65">
        <f t="shared" si="12"/>
        <v>112</v>
      </c>
      <c r="H23" s="66">
        <f t="shared" si="0"/>
        <v>15211</v>
      </c>
      <c r="I23" s="89">
        <f t="shared" si="1"/>
        <v>3042.2000000000003</v>
      </c>
      <c r="J23" s="67">
        <v>46863</v>
      </c>
      <c r="K23" s="65">
        <f t="shared" si="13"/>
        <v>83</v>
      </c>
      <c r="L23" s="45">
        <f t="shared" si="2"/>
        <v>650.72</v>
      </c>
      <c r="M23" s="64">
        <v>29256</v>
      </c>
      <c r="N23" s="65">
        <f t="shared" si="14"/>
        <v>18</v>
      </c>
      <c r="O23" s="65">
        <v>16087</v>
      </c>
      <c r="P23" s="68">
        <f t="shared" si="15"/>
        <v>12</v>
      </c>
      <c r="Q23" s="68">
        <f t="shared" si="4"/>
        <v>30</v>
      </c>
      <c r="R23" s="69">
        <v>41645</v>
      </c>
      <c r="S23" s="68">
        <f t="shared" si="16"/>
        <v>30</v>
      </c>
      <c r="T23" s="81">
        <f t="shared" si="5"/>
        <v>31.671000000000003</v>
      </c>
      <c r="U23" s="79">
        <f t="shared" si="6"/>
        <v>559.64195000000007</v>
      </c>
      <c r="V23" s="67">
        <v>57580</v>
      </c>
      <c r="W23" s="65">
        <f>IF(ISBLANK(V23)," ",V23-V22)</f>
        <v>30</v>
      </c>
      <c r="X23" s="70">
        <f t="shared" si="18"/>
        <v>8530.35</v>
      </c>
      <c r="Y23" s="70">
        <f t="shared" si="19"/>
        <v>2930.1752250000004</v>
      </c>
      <c r="Z23" s="111">
        <f t="shared" si="7"/>
        <v>4080.2717338709676</v>
      </c>
      <c r="AA23" s="43">
        <f t="shared" si="8"/>
        <v>7010.446958870968</v>
      </c>
      <c r="AB23" s="135">
        <v>2842392</v>
      </c>
      <c r="AC23" s="65">
        <f t="shared" si="9"/>
        <v>9755</v>
      </c>
      <c r="AD23" s="138">
        <v>0.51429999999999998</v>
      </c>
      <c r="AE23" s="71">
        <v>204</v>
      </c>
    </row>
    <row r="24" spans="1:31" s="3" customFormat="1" ht="27.95" customHeight="1" x14ac:dyDescent="0.45">
      <c r="A24" s="77">
        <v>45066</v>
      </c>
      <c r="B24" s="67">
        <v>16427913</v>
      </c>
      <c r="C24" s="65">
        <f t="shared" si="10"/>
        <v>8164</v>
      </c>
      <c r="D24" s="65">
        <v>17609602</v>
      </c>
      <c r="E24" s="65">
        <f t="shared" si="11"/>
        <v>7448</v>
      </c>
      <c r="F24" s="65">
        <v>412920</v>
      </c>
      <c r="G24" s="65">
        <v>108</v>
      </c>
      <c r="H24" s="66">
        <f t="shared" si="0"/>
        <v>15720</v>
      </c>
      <c r="I24" s="89">
        <f t="shared" si="1"/>
        <v>3144</v>
      </c>
      <c r="J24" s="67">
        <v>46944</v>
      </c>
      <c r="K24" s="65">
        <f t="shared" si="13"/>
        <v>81</v>
      </c>
      <c r="L24" s="45">
        <f t="shared" si="2"/>
        <v>635.04</v>
      </c>
      <c r="M24" s="64">
        <v>29274</v>
      </c>
      <c r="N24" s="65">
        <f t="shared" si="14"/>
        <v>18</v>
      </c>
      <c r="O24" s="65">
        <v>16097</v>
      </c>
      <c r="P24" s="68">
        <f t="shared" si="15"/>
        <v>10</v>
      </c>
      <c r="Q24" s="68">
        <f t="shared" si="4"/>
        <v>28</v>
      </c>
      <c r="R24" s="69">
        <v>41674</v>
      </c>
      <c r="S24" s="68">
        <f t="shared" si="16"/>
        <v>29</v>
      </c>
      <c r="T24" s="81">
        <f t="shared" si="5"/>
        <v>30.615300000000001</v>
      </c>
      <c r="U24" s="79">
        <f t="shared" si="6"/>
        <v>547.97646500000008</v>
      </c>
      <c r="V24" s="67">
        <v>57612</v>
      </c>
      <c r="W24" s="65">
        <f t="shared" ref="W24:W35" si="20">IF(ISBLANK(V24)," ",V24-V23)</f>
        <v>32</v>
      </c>
      <c r="X24" s="70">
        <f t="shared" si="18"/>
        <v>9099.0400000000009</v>
      </c>
      <c r="Y24" s="70">
        <f t="shared" si="19"/>
        <v>3125.5202400000007</v>
      </c>
      <c r="Z24" s="111">
        <f t="shared" si="7"/>
        <v>4080.2717338709676</v>
      </c>
      <c r="AA24" s="43">
        <f t="shared" si="8"/>
        <v>7205.7919738709679</v>
      </c>
      <c r="AB24" s="135">
        <v>2852062</v>
      </c>
      <c r="AC24" s="65">
        <f t="shared" si="9"/>
        <v>9670</v>
      </c>
      <c r="AD24" s="138">
        <v>0.5524</v>
      </c>
      <c r="AE24" s="71">
        <v>224</v>
      </c>
    </row>
    <row r="25" spans="1:31" s="7" customFormat="1" ht="27.95" customHeight="1" x14ac:dyDescent="0.45">
      <c r="A25" s="77">
        <v>45067</v>
      </c>
      <c r="B25" s="67">
        <v>16435909</v>
      </c>
      <c r="C25" s="65">
        <f t="shared" si="10"/>
        <v>7996</v>
      </c>
      <c r="D25" s="65">
        <v>17617096</v>
      </c>
      <c r="E25" s="65">
        <f t="shared" si="11"/>
        <v>7494</v>
      </c>
      <c r="F25" s="65">
        <v>413031</v>
      </c>
      <c r="G25" s="65">
        <f t="shared" si="12"/>
        <v>111</v>
      </c>
      <c r="H25" s="66">
        <f t="shared" si="0"/>
        <v>15601</v>
      </c>
      <c r="I25" s="89">
        <f t="shared" si="1"/>
        <v>3120.2000000000003</v>
      </c>
      <c r="J25" s="67">
        <v>47033</v>
      </c>
      <c r="K25" s="65">
        <f t="shared" si="13"/>
        <v>89</v>
      </c>
      <c r="L25" s="45">
        <f t="shared" si="2"/>
        <v>697.76</v>
      </c>
      <c r="M25" s="64">
        <v>29290</v>
      </c>
      <c r="N25" s="65">
        <f t="shared" si="14"/>
        <v>16</v>
      </c>
      <c r="O25" s="65">
        <v>16110</v>
      </c>
      <c r="P25" s="68">
        <f t="shared" si="15"/>
        <v>13</v>
      </c>
      <c r="Q25" s="68">
        <f t="shared" si="4"/>
        <v>29</v>
      </c>
      <c r="R25" s="69">
        <v>41698</v>
      </c>
      <c r="S25" s="68">
        <f t="shared" si="16"/>
        <v>24</v>
      </c>
      <c r="T25" s="81">
        <f>S25*1.0557</f>
        <v>25.336800000000004</v>
      </c>
      <c r="U25" s="79">
        <f t="shared" si="6"/>
        <v>489.64904000000001</v>
      </c>
      <c r="V25" s="67">
        <v>57642</v>
      </c>
      <c r="W25" s="65">
        <f t="shared" si="20"/>
        <v>30</v>
      </c>
      <c r="X25" s="70">
        <f t="shared" si="18"/>
        <v>8530.35</v>
      </c>
      <c r="Y25" s="70">
        <f t="shared" si="19"/>
        <v>2930.1752250000004</v>
      </c>
      <c r="Z25" s="111">
        <f t="shared" si="7"/>
        <v>4080.2717338709676</v>
      </c>
      <c r="AA25" s="44">
        <f t="shared" si="8"/>
        <v>7010.446958870968</v>
      </c>
      <c r="AB25" s="135">
        <v>2861761</v>
      </c>
      <c r="AC25" s="65">
        <f t="shared" si="9"/>
        <v>9699</v>
      </c>
      <c r="AD25" s="141">
        <v>0.70479999999999998</v>
      </c>
      <c r="AE25" s="142">
        <v>251</v>
      </c>
    </row>
    <row r="26" spans="1:31" s="3" customFormat="1" ht="27.95" customHeight="1" x14ac:dyDescent="0.45">
      <c r="A26" s="77">
        <v>45068</v>
      </c>
      <c r="B26" s="67">
        <v>16443900</v>
      </c>
      <c r="C26" s="65">
        <f t="shared" si="10"/>
        <v>7991</v>
      </c>
      <c r="D26" s="65">
        <v>17624689</v>
      </c>
      <c r="E26" s="65">
        <f t="shared" si="11"/>
        <v>7593</v>
      </c>
      <c r="F26" s="65">
        <v>413144</v>
      </c>
      <c r="G26" s="65">
        <f t="shared" si="12"/>
        <v>113</v>
      </c>
      <c r="H26" s="66">
        <f t="shared" si="0"/>
        <v>15697</v>
      </c>
      <c r="I26" s="89">
        <f t="shared" si="1"/>
        <v>3139.4</v>
      </c>
      <c r="J26" s="67">
        <v>47104</v>
      </c>
      <c r="K26" s="65">
        <f t="shared" si="13"/>
        <v>71</v>
      </c>
      <c r="L26" s="45">
        <f t="shared" si="2"/>
        <v>556.64</v>
      </c>
      <c r="M26" s="64">
        <v>29307</v>
      </c>
      <c r="N26" s="65">
        <f t="shared" si="14"/>
        <v>17</v>
      </c>
      <c r="O26" s="65">
        <v>16123</v>
      </c>
      <c r="P26" s="68">
        <f t="shared" si="15"/>
        <v>13</v>
      </c>
      <c r="Q26" s="68">
        <f t="shared" si="4"/>
        <v>30</v>
      </c>
      <c r="R26" s="69">
        <v>41728</v>
      </c>
      <c r="S26" s="68">
        <f t="shared" si="16"/>
        <v>30</v>
      </c>
      <c r="T26" s="81">
        <f t="shared" si="5"/>
        <v>31.671000000000003</v>
      </c>
      <c r="U26" s="79">
        <f t="shared" si="6"/>
        <v>559.64195000000007</v>
      </c>
      <c r="V26" s="67">
        <v>57674</v>
      </c>
      <c r="W26" s="65">
        <f t="shared" si="20"/>
        <v>32</v>
      </c>
      <c r="X26" s="70">
        <f t="shared" si="18"/>
        <v>9099.0400000000009</v>
      </c>
      <c r="Y26" s="70">
        <f t="shared" si="19"/>
        <v>3125.5202400000007</v>
      </c>
      <c r="Z26" s="111">
        <f t="shared" si="7"/>
        <v>4080.2717338709676</v>
      </c>
      <c r="AA26" s="43">
        <f t="shared" si="8"/>
        <v>7205.7919738709679</v>
      </c>
      <c r="AB26" s="135">
        <v>2872154</v>
      </c>
      <c r="AC26" s="65">
        <f t="shared" si="9"/>
        <v>10393</v>
      </c>
      <c r="AD26" s="138">
        <v>0.8286</v>
      </c>
      <c r="AE26" s="71">
        <v>293</v>
      </c>
    </row>
    <row r="27" spans="1:31" s="3" customFormat="1" ht="27.95" customHeight="1" x14ac:dyDescent="0.45">
      <c r="A27" s="77">
        <v>45069</v>
      </c>
      <c r="B27" s="67">
        <v>16452018</v>
      </c>
      <c r="C27" s="65">
        <f t="shared" si="10"/>
        <v>8118</v>
      </c>
      <c r="D27" s="65">
        <v>17632270</v>
      </c>
      <c r="E27" s="65">
        <f t="shared" si="11"/>
        <v>7581</v>
      </c>
      <c r="F27" s="65">
        <v>413258</v>
      </c>
      <c r="G27" s="65">
        <f t="shared" si="12"/>
        <v>114</v>
      </c>
      <c r="H27" s="66">
        <f t="shared" si="0"/>
        <v>15813</v>
      </c>
      <c r="I27" s="89">
        <f t="shared" si="1"/>
        <v>3162.6000000000004</v>
      </c>
      <c r="J27" s="67">
        <v>47193</v>
      </c>
      <c r="K27" s="65">
        <f>IF(ISBLANK(J27),"0",J27-J26)</f>
        <v>89</v>
      </c>
      <c r="L27" s="45">
        <f t="shared" si="2"/>
        <v>697.76</v>
      </c>
      <c r="M27" s="64">
        <v>29325</v>
      </c>
      <c r="N27" s="65">
        <f t="shared" si="14"/>
        <v>18</v>
      </c>
      <c r="O27" s="65">
        <v>16138</v>
      </c>
      <c r="P27" s="68">
        <f t="shared" si="15"/>
        <v>15</v>
      </c>
      <c r="Q27" s="68">
        <f t="shared" si="4"/>
        <v>33</v>
      </c>
      <c r="R27" s="69">
        <v>41761</v>
      </c>
      <c r="S27" s="68">
        <f t="shared" si="16"/>
        <v>33</v>
      </c>
      <c r="T27" s="81">
        <f t="shared" si="5"/>
        <v>34.838100000000004</v>
      </c>
      <c r="U27" s="79">
        <f t="shared" si="6"/>
        <v>594.63840500000003</v>
      </c>
      <c r="V27" s="67">
        <v>57706</v>
      </c>
      <c r="W27" s="65">
        <f t="shared" si="20"/>
        <v>32</v>
      </c>
      <c r="X27" s="70">
        <f t="shared" si="18"/>
        <v>9099.0400000000009</v>
      </c>
      <c r="Y27" s="70">
        <f t="shared" si="19"/>
        <v>3125.5202400000007</v>
      </c>
      <c r="Z27" s="111">
        <f t="shared" si="7"/>
        <v>4080.2717338709676</v>
      </c>
      <c r="AA27" s="43">
        <f t="shared" si="8"/>
        <v>7205.7919738709679</v>
      </c>
      <c r="AB27" s="135">
        <v>2882708</v>
      </c>
      <c r="AC27" s="65">
        <f t="shared" si="9"/>
        <v>10554</v>
      </c>
      <c r="AD27" s="138">
        <v>0.9556</v>
      </c>
      <c r="AE27" s="71">
        <v>346</v>
      </c>
    </row>
    <row r="28" spans="1:31" s="3" customFormat="1" ht="27.95" customHeight="1" x14ac:dyDescent="0.45">
      <c r="A28" s="77">
        <v>45070</v>
      </c>
      <c r="B28" s="67">
        <v>16460091</v>
      </c>
      <c r="C28" s="65">
        <f t="shared" si="10"/>
        <v>8073</v>
      </c>
      <c r="D28" s="65">
        <v>17639886</v>
      </c>
      <c r="E28" s="65">
        <f t="shared" si="11"/>
        <v>7616</v>
      </c>
      <c r="F28" s="65">
        <v>413371</v>
      </c>
      <c r="G28" s="65">
        <f t="shared" si="12"/>
        <v>113</v>
      </c>
      <c r="H28" s="66">
        <f t="shared" si="0"/>
        <v>15802</v>
      </c>
      <c r="I28" s="89">
        <f t="shared" si="1"/>
        <v>3160.4</v>
      </c>
      <c r="J28" s="67">
        <v>47290</v>
      </c>
      <c r="K28" s="65">
        <f t="shared" si="13"/>
        <v>97</v>
      </c>
      <c r="L28" s="45">
        <f t="shared" si="2"/>
        <v>760.48</v>
      </c>
      <c r="M28" s="64">
        <v>29343</v>
      </c>
      <c r="N28" s="65">
        <f t="shared" si="14"/>
        <v>18</v>
      </c>
      <c r="O28" s="65">
        <v>16156</v>
      </c>
      <c r="P28" s="68">
        <f t="shared" si="15"/>
        <v>18</v>
      </c>
      <c r="Q28" s="68">
        <f t="shared" si="4"/>
        <v>36</v>
      </c>
      <c r="R28" s="69">
        <v>41796</v>
      </c>
      <c r="S28" s="68">
        <f t="shared" si="16"/>
        <v>35</v>
      </c>
      <c r="T28" s="81">
        <f t="shared" si="5"/>
        <v>36.9495</v>
      </c>
      <c r="U28" s="79">
        <f t="shared" si="6"/>
        <v>617.96937500000001</v>
      </c>
      <c r="V28" s="67">
        <v>57737</v>
      </c>
      <c r="W28" s="65">
        <f t="shared" si="20"/>
        <v>31</v>
      </c>
      <c r="X28" s="70">
        <f t="shared" si="18"/>
        <v>8814.6950000000015</v>
      </c>
      <c r="Y28" s="70">
        <f t="shared" si="19"/>
        <v>3027.8477325000008</v>
      </c>
      <c r="Z28" s="111">
        <f t="shared" si="7"/>
        <v>4080.2717338709676</v>
      </c>
      <c r="AA28" s="43">
        <f t="shared" si="8"/>
        <v>7108.1194663709684</v>
      </c>
      <c r="AB28" s="135">
        <v>2892940</v>
      </c>
      <c r="AC28" s="65">
        <f t="shared" si="9"/>
        <v>10232</v>
      </c>
      <c r="AD28" s="138">
        <v>0.94599999999999995</v>
      </c>
      <c r="AE28" s="71">
        <v>338</v>
      </c>
    </row>
    <row r="29" spans="1:31" s="3" customFormat="1" ht="27.95" customHeight="1" x14ac:dyDescent="0.45">
      <c r="A29" s="77">
        <v>45071</v>
      </c>
      <c r="B29" s="67">
        <v>16468451</v>
      </c>
      <c r="C29" s="65">
        <f t="shared" si="10"/>
        <v>8360</v>
      </c>
      <c r="D29" s="65">
        <v>17647769</v>
      </c>
      <c r="E29" s="65">
        <f t="shared" si="11"/>
        <v>7883</v>
      </c>
      <c r="F29" s="65">
        <v>413484</v>
      </c>
      <c r="G29" s="65">
        <f t="shared" si="12"/>
        <v>113</v>
      </c>
      <c r="H29" s="66">
        <f t="shared" si="0"/>
        <v>16356</v>
      </c>
      <c r="I29" s="89">
        <f t="shared" si="1"/>
        <v>3271.2000000000003</v>
      </c>
      <c r="J29" s="67">
        <v>47395</v>
      </c>
      <c r="K29" s="65">
        <f t="shared" si="13"/>
        <v>105</v>
      </c>
      <c r="L29" s="45">
        <f t="shared" si="2"/>
        <v>823.19999999999993</v>
      </c>
      <c r="M29" s="64">
        <v>29361</v>
      </c>
      <c r="N29" s="65">
        <f t="shared" si="14"/>
        <v>18</v>
      </c>
      <c r="O29" s="65">
        <v>16170</v>
      </c>
      <c r="P29" s="68">
        <f t="shared" si="15"/>
        <v>14</v>
      </c>
      <c r="Q29" s="68">
        <f t="shared" si="4"/>
        <v>32</v>
      </c>
      <c r="R29" s="69">
        <v>41828</v>
      </c>
      <c r="S29" s="68">
        <f t="shared" si="16"/>
        <v>32</v>
      </c>
      <c r="T29" s="81">
        <f t="shared" si="5"/>
        <v>33.782400000000003</v>
      </c>
      <c r="U29" s="79">
        <f t="shared" si="6"/>
        <v>582.97292000000004</v>
      </c>
      <c r="V29" s="67">
        <v>57769</v>
      </c>
      <c r="W29" s="65">
        <f t="shared" si="20"/>
        <v>32</v>
      </c>
      <c r="X29" s="70">
        <f t="shared" si="18"/>
        <v>9099.0400000000009</v>
      </c>
      <c r="Y29" s="70">
        <f t="shared" si="19"/>
        <v>3125.5202400000007</v>
      </c>
      <c r="Z29" s="111">
        <f t="shared" si="7"/>
        <v>4080.2717338709676</v>
      </c>
      <c r="AA29" s="43">
        <f t="shared" si="8"/>
        <v>7205.7919738709679</v>
      </c>
      <c r="AB29" s="135">
        <v>2903504</v>
      </c>
      <c r="AC29" s="65">
        <f t="shared" si="9"/>
        <v>10564</v>
      </c>
      <c r="AD29" s="138">
        <v>0.9778</v>
      </c>
      <c r="AE29" s="71">
        <v>354</v>
      </c>
    </row>
    <row r="30" spans="1:31" s="3" customFormat="1" ht="27.95" customHeight="1" x14ac:dyDescent="0.45">
      <c r="A30" s="77">
        <v>45072</v>
      </c>
      <c r="B30" s="67">
        <v>16476651</v>
      </c>
      <c r="C30" s="65">
        <f t="shared" si="10"/>
        <v>8200</v>
      </c>
      <c r="D30" s="65">
        <v>17655445</v>
      </c>
      <c r="E30" s="65">
        <f t="shared" si="11"/>
        <v>7676</v>
      </c>
      <c r="F30" s="65">
        <v>413598</v>
      </c>
      <c r="G30" s="65">
        <f t="shared" si="12"/>
        <v>114</v>
      </c>
      <c r="H30" s="66">
        <f t="shared" si="0"/>
        <v>15990</v>
      </c>
      <c r="I30" s="89">
        <f t="shared" si="1"/>
        <v>3198</v>
      </c>
      <c r="J30" s="67">
        <v>47494</v>
      </c>
      <c r="K30" s="65">
        <f t="shared" si="13"/>
        <v>99</v>
      </c>
      <c r="L30" s="45">
        <f t="shared" si="2"/>
        <v>776.16</v>
      </c>
      <c r="M30" s="64">
        <v>29380</v>
      </c>
      <c r="N30" s="65">
        <f t="shared" si="14"/>
        <v>19</v>
      </c>
      <c r="O30" s="65">
        <v>16184</v>
      </c>
      <c r="P30" s="68">
        <f t="shared" si="15"/>
        <v>14</v>
      </c>
      <c r="Q30" s="68">
        <f t="shared" si="4"/>
        <v>33</v>
      </c>
      <c r="R30" s="69">
        <v>41862</v>
      </c>
      <c r="S30" s="68">
        <f t="shared" si="16"/>
        <v>34</v>
      </c>
      <c r="T30" s="81">
        <f t="shared" si="5"/>
        <v>35.893800000000006</v>
      </c>
      <c r="U30" s="79">
        <f t="shared" si="6"/>
        <v>606.30389000000014</v>
      </c>
      <c r="V30" s="67">
        <v>57802</v>
      </c>
      <c r="W30" s="65">
        <f t="shared" si="20"/>
        <v>33</v>
      </c>
      <c r="X30" s="70">
        <f t="shared" si="18"/>
        <v>9383.3850000000002</v>
      </c>
      <c r="Y30" s="70">
        <f t="shared" si="19"/>
        <v>3223.1927475000002</v>
      </c>
      <c r="Z30" s="111">
        <f t="shared" si="7"/>
        <v>4080.2717338709676</v>
      </c>
      <c r="AA30" s="43">
        <f t="shared" si="8"/>
        <v>7303.4644813709674</v>
      </c>
      <c r="AB30" s="135">
        <v>2913858</v>
      </c>
      <c r="AC30" s="65">
        <f t="shared" si="9"/>
        <v>10354</v>
      </c>
      <c r="AD30" s="138">
        <v>0.8</v>
      </c>
      <c r="AE30" s="71">
        <v>215</v>
      </c>
    </row>
    <row r="31" spans="1:31" s="3" customFormat="1" ht="27.95" customHeight="1" x14ac:dyDescent="0.45">
      <c r="A31" s="77">
        <v>45073</v>
      </c>
      <c r="B31" s="67">
        <v>16484912</v>
      </c>
      <c r="C31" s="65">
        <f t="shared" si="10"/>
        <v>8261</v>
      </c>
      <c r="D31" s="65">
        <v>17663194</v>
      </c>
      <c r="E31" s="65">
        <f t="shared" si="11"/>
        <v>7749</v>
      </c>
      <c r="F31" s="65">
        <v>413715</v>
      </c>
      <c r="G31" s="65">
        <f t="shared" si="12"/>
        <v>117</v>
      </c>
      <c r="H31" s="66">
        <f t="shared" si="0"/>
        <v>16127</v>
      </c>
      <c r="I31" s="89">
        <f t="shared" si="1"/>
        <v>3225.4</v>
      </c>
      <c r="J31" s="67">
        <v>47596</v>
      </c>
      <c r="K31" s="65">
        <f t="shared" si="13"/>
        <v>102</v>
      </c>
      <c r="L31" s="45">
        <f t="shared" si="2"/>
        <v>799.68</v>
      </c>
      <c r="M31" s="64">
        <v>29398</v>
      </c>
      <c r="N31" s="65">
        <f t="shared" si="14"/>
        <v>18</v>
      </c>
      <c r="O31" s="65">
        <v>16199</v>
      </c>
      <c r="P31" s="68">
        <f t="shared" si="15"/>
        <v>15</v>
      </c>
      <c r="Q31" s="68">
        <f t="shared" si="4"/>
        <v>33</v>
      </c>
      <c r="R31" s="69">
        <v>41895</v>
      </c>
      <c r="S31" s="68">
        <f t="shared" si="16"/>
        <v>33</v>
      </c>
      <c r="T31" s="81">
        <f t="shared" si="5"/>
        <v>34.838100000000004</v>
      </c>
      <c r="U31" s="79">
        <f t="shared" si="6"/>
        <v>594.63840500000003</v>
      </c>
      <c r="V31" s="67">
        <v>57835</v>
      </c>
      <c r="W31" s="65">
        <f t="shared" si="20"/>
        <v>33</v>
      </c>
      <c r="X31" s="70">
        <f t="shared" si="18"/>
        <v>9383.3850000000002</v>
      </c>
      <c r="Y31" s="70">
        <f t="shared" si="19"/>
        <v>3223.1927475000002</v>
      </c>
      <c r="Z31" s="111">
        <f t="shared" si="7"/>
        <v>4080.2717338709676</v>
      </c>
      <c r="AA31" s="43">
        <f t="shared" si="8"/>
        <v>7303.4644813709674</v>
      </c>
      <c r="AB31" s="135">
        <v>2924320</v>
      </c>
      <c r="AC31" s="65">
        <f t="shared" si="9"/>
        <v>10462</v>
      </c>
      <c r="AD31" s="138">
        <v>0.86060000000000003</v>
      </c>
      <c r="AE31" s="71">
        <v>334</v>
      </c>
    </row>
    <row r="32" spans="1:31" s="3" customFormat="1" ht="27.95" customHeight="1" x14ac:dyDescent="0.45">
      <c r="A32" s="77">
        <v>45074</v>
      </c>
      <c r="B32" s="67">
        <v>16493026</v>
      </c>
      <c r="C32" s="65">
        <f t="shared" si="10"/>
        <v>8114</v>
      </c>
      <c r="D32" s="65">
        <v>17670761</v>
      </c>
      <c r="E32" s="65">
        <f t="shared" si="11"/>
        <v>7567</v>
      </c>
      <c r="F32" s="65">
        <v>413822</v>
      </c>
      <c r="G32" s="65">
        <f t="shared" si="12"/>
        <v>107</v>
      </c>
      <c r="H32" s="66">
        <f t="shared" si="0"/>
        <v>15788</v>
      </c>
      <c r="I32" s="89">
        <f t="shared" si="1"/>
        <v>3157.6000000000004</v>
      </c>
      <c r="J32" s="67">
        <v>47696</v>
      </c>
      <c r="K32" s="65">
        <f t="shared" si="13"/>
        <v>100</v>
      </c>
      <c r="L32" s="45">
        <f t="shared" si="2"/>
        <v>784</v>
      </c>
      <c r="M32" s="64">
        <v>29416</v>
      </c>
      <c r="N32" s="65">
        <f t="shared" si="14"/>
        <v>18</v>
      </c>
      <c r="O32" s="65">
        <v>16212</v>
      </c>
      <c r="P32" s="68">
        <f t="shared" si="15"/>
        <v>13</v>
      </c>
      <c r="Q32" s="68">
        <f t="shared" si="4"/>
        <v>31</v>
      </c>
      <c r="R32" s="69">
        <v>41925</v>
      </c>
      <c r="S32" s="68">
        <f t="shared" si="16"/>
        <v>30</v>
      </c>
      <c r="T32" s="81">
        <f t="shared" si="5"/>
        <v>31.671000000000003</v>
      </c>
      <c r="U32" s="79">
        <f t="shared" si="6"/>
        <v>559.64195000000007</v>
      </c>
      <c r="V32" s="67">
        <v>57869</v>
      </c>
      <c r="W32" s="65">
        <f t="shared" si="20"/>
        <v>34</v>
      </c>
      <c r="X32" s="70">
        <f t="shared" si="18"/>
        <v>9667.7300000000014</v>
      </c>
      <c r="Y32" s="70">
        <f t="shared" si="19"/>
        <v>3320.8652550000006</v>
      </c>
      <c r="Z32" s="111">
        <f t="shared" si="7"/>
        <v>4080.2717338709676</v>
      </c>
      <c r="AA32" s="43">
        <f t="shared" si="8"/>
        <v>7401.1369888709687</v>
      </c>
      <c r="AB32" s="135">
        <v>2934286</v>
      </c>
      <c r="AC32" s="65">
        <f t="shared" si="9"/>
        <v>9966</v>
      </c>
      <c r="AD32" s="138">
        <v>0.81899999999999995</v>
      </c>
      <c r="AE32" s="71">
        <v>323</v>
      </c>
    </row>
    <row r="33" spans="1:131" s="3" customFormat="1" ht="27.95" customHeight="1" x14ac:dyDescent="0.45">
      <c r="A33" s="77">
        <v>45075</v>
      </c>
      <c r="B33" s="67">
        <v>16501213</v>
      </c>
      <c r="C33" s="65">
        <f t="shared" si="10"/>
        <v>8187</v>
      </c>
      <c r="D33" s="65">
        <v>17678482</v>
      </c>
      <c r="E33" s="65">
        <f t="shared" si="11"/>
        <v>7721</v>
      </c>
      <c r="F33" s="65">
        <v>413929</v>
      </c>
      <c r="G33" s="65">
        <f t="shared" si="12"/>
        <v>107</v>
      </c>
      <c r="H33" s="66">
        <f t="shared" si="0"/>
        <v>16015</v>
      </c>
      <c r="I33" s="89">
        <f t="shared" si="1"/>
        <v>3203</v>
      </c>
      <c r="J33" s="67">
        <v>47790</v>
      </c>
      <c r="K33" s="65">
        <f t="shared" si="13"/>
        <v>94</v>
      </c>
      <c r="L33" s="45">
        <f t="shared" si="2"/>
        <v>736.96</v>
      </c>
      <c r="M33" s="64">
        <v>29435</v>
      </c>
      <c r="N33" s="65">
        <f t="shared" si="14"/>
        <v>19</v>
      </c>
      <c r="O33" s="65">
        <v>16225</v>
      </c>
      <c r="P33" s="68">
        <f t="shared" si="15"/>
        <v>13</v>
      </c>
      <c r="Q33" s="68">
        <f t="shared" si="4"/>
        <v>32</v>
      </c>
      <c r="R33" s="69">
        <v>41957</v>
      </c>
      <c r="S33" s="68">
        <f t="shared" si="16"/>
        <v>32</v>
      </c>
      <c r="T33" s="81">
        <f t="shared" si="5"/>
        <v>33.782400000000003</v>
      </c>
      <c r="U33" s="79">
        <f t="shared" si="6"/>
        <v>582.97292000000004</v>
      </c>
      <c r="V33" s="67">
        <v>57900</v>
      </c>
      <c r="W33" s="65">
        <f t="shared" si="20"/>
        <v>31</v>
      </c>
      <c r="X33" s="70">
        <f t="shared" si="18"/>
        <v>8814.6950000000015</v>
      </c>
      <c r="Y33" s="70">
        <f t="shared" si="19"/>
        <v>3027.8477325000008</v>
      </c>
      <c r="Z33" s="111">
        <f t="shared" si="7"/>
        <v>4080.2717338709676</v>
      </c>
      <c r="AA33" s="43">
        <f t="shared" si="8"/>
        <v>7108.1194663709684</v>
      </c>
      <c r="AB33" s="135">
        <v>2945286</v>
      </c>
      <c r="AC33" s="65">
        <f t="shared" si="9"/>
        <v>11000</v>
      </c>
      <c r="AD33" s="138">
        <v>0.74919999999999998</v>
      </c>
      <c r="AE33" s="71">
        <v>295</v>
      </c>
    </row>
    <row r="34" spans="1:131" s="3" customFormat="1" ht="27.95" customHeight="1" x14ac:dyDescent="0.45">
      <c r="A34" s="77">
        <v>45076</v>
      </c>
      <c r="B34" s="67">
        <v>16509383</v>
      </c>
      <c r="C34" s="65">
        <v>8170</v>
      </c>
      <c r="D34" s="65">
        <v>17686054</v>
      </c>
      <c r="E34" s="65">
        <f t="shared" si="11"/>
        <v>7572</v>
      </c>
      <c r="F34" s="65">
        <v>414036</v>
      </c>
      <c r="G34" s="65">
        <f t="shared" si="12"/>
        <v>107</v>
      </c>
      <c r="H34" s="66">
        <f t="shared" si="0"/>
        <v>15849</v>
      </c>
      <c r="I34" s="89">
        <f t="shared" si="1"/>
        <v>3169.8</v>
      </c>
      <c r="J34" s="67">
        <v>47878</v>
      </c>
      <c r="K34" s="65">
        <f t="shared" si="13"/>
        <v>88</v>
      </c>
      <c r="L34" s="45">
        <f t="shared" si="2"/>
        <v>689.92</v>
      </c>
      <c r="M34" s="64">
        <v>29453</v>
      </c>
      <c r="N34" s="65">
        <f t="shared" si="14"/>
        <v>18</v>
      </c>
      <c r="O34" s="65">
        <v>16238</v>
      </c>
      <c r="P34" s="68">
        <f t="shared" si="15"/>
        <v>13</v>
      </c>
      <c r="Q34" s="68">
        <f t="shared" si="4"/>
        <v>31</v>
      </c>
      <c r="R34" s="69">
        <v>41989</v>
      </c>
      <c r="S34" s="68">
        <f t="shared" si="16"/>
        <v>32</v>
      </c>
      <c r="T34" s="81">
        <f t="shared" si="5"/>
        <v>33.782400000000003</v>
      </c>
      <c r="U34" s="79">
        <f t="shared" si="6"/>
        <v>582.97292000000004</v>
      </c>
      <c r="V34" s="110">
        <v>57938</v>
      </c>
      <c r="W34" s="65">
        <f t="shared" si="20"/>
        <v>38</v>
      </c>
      <c r="X34" s="70">
        <f t="shared" si="18"/>
        <v>10805.11</v>
      </c>
      <c r="Y34" s="70">
        <f t="shared" si="19"/>
        <v>3711.5552850000004</v>
      </c>
      <c r="Z34" s="111">
        <f t="shared" si="7"/>
        <v>4080.2717338709676</v>
      </c>
      <c r="AA34" s="43">
        <f t="shared" si="8"/>
        <v>7791.8270188709685</v>
      </c>
      <c r="AB34" s="135">
        <v>2957515</v>
      </c>
      <c r="AC34" s="65">
        <f t="shared" si="9"/>
        <v>12229</v>
      </c>
      <c r="AD34" s="138">
        <v>0.78100000000000003</v>
      </c>
      <c r="AE34" s="71">
        <v>307</v>
      </c>
    </row>
    <row r="35" spans="1:131" s="3" customFormat="1" ht="27.95" customHeight="1" thickBot="1" x14ac:dyDescent="0.5">
      <c r="A35" s="77">
        <v>45077</v>
      </c>
      <c r="B35" s="67">
        <v>16517597</v>
      </c>
      <c r="C35" s="65">
        <f t="shared" si="10"/>
        <v>8214</v>
      </c>
      <c r="D35" s="65">
        <v>17693724</v>
      </c>
      <c r="E35" s="65">
        <f t="shared" si="11"/>
        <v>7670</v>
      </c>
      <c r="F35" s="65">
        <v>414140</v>
      </c>
      <c r="G35" s="65">
        <f t="shared" si="12"/>
        <v>104</v>
      </c>
      <c r="H35" s="66">
        <f t="shared" si="0"/>
        <v>15988</v>
      </c>
      <c r="I35" s="89">
        <f t="shared" si="1"/>
        <v>3197.6000000000004</v>
      </c>
      <c r="J35" s="67">
        <v>47973</v>
      </c>
      <c r="K35" s="65">
        <f t="shared" si="13"/>
        <v>95</v>
      </c>
      <c r="L35" s="45">
        <f t="shared" si="2"/>
        <v>744.8</v>
      </c>
      <c r="M35" s="64">
        <v>29471</v>
      </c>
      <c r="N35" s="65">
        <f t="shared" si="14"/>
        <v>18</v>
      </c>
      <c r="O35" s="65">
        <v>16248</v>
      </c>
      <c r="P35" s="68">
        <f t="shared" si="15"/>
        <v>10</v>
      </c>
      <c r="Q35" s="68">
        <f t="shared" si="4"/>
        <v>28</v>
      </c>
      <c r="R35" s="69">
        <v>42017</v>
      </c>
      <c r="S35" s="68">
        <f t="shared" si="16"/>
        <v>28</v>
      </c>
      <c r="T35" s="81">
        <f t="shared" si="5"/>
        <v>29.559600000000003</v>
      </c>
      <c r="U35" s="79">
        <f t="shared" si="6"/>
        <v>536.31098000000009</v>
      </c>
      <c r="V35" s="110">
        <v>57976</v>
      </c>
      <c r="W35" s="65">
        <f t="shared" si="20"/>
        <v>38</v>
      </c>
      <c r="X35" s="70">
        <f t="shared" si="18"/>
        <v>10805.11</v>
      </c>
      <c r="Y35" s="70">
        <f t="shared" si="19"/>
        <v>3711.5552850000004</v>
      </c>
      <c r="Z35" s="111">
        <f t="shared" si="7"/>
        <v>4080.2717338709676</v>
      </c>
      <c r="AA35" s="43">
        <f t="shared" si="8"/>
        <v>7791.8270188709685</v>
      </c>
      <c r="AB35" s="135">
        <v>2969799</v>
      </c>
      <c r="AC35" s="65">
        <f t="shared" si="9"/>
        <v>12284</v>
      </c>
      <c r="AD35" s="138">
        <v>0.63170000000000004</v>
      </c>
      <c r="AE35" s="71">
        <v>241</v>
      </c>
    </row>
    <row r="36" spans="1:131" s="145" customFormat="1" ht="27.95" customHeight="1" thickBot="1" x14ac:dyDescent="0.5">
      <c r="A36" s="143"/>
      <c r="B36" s="46"/>
      <c r="C36" s="47">
        <f>SUM(C5:C35)</f>
        <v>251912</v>
      </c>
      <c r="D36" s="47"/>
      <c r="E36" s="47">
        <f>SUM(E5:E35)</f>
        <v>229997</v>
      </c>
      <c r="F36" s="48"/>
      <c r="G36" s="47">
        <f>SUM(G5:G35)</f>
        <v>3465</v>
      </c>
      <c r="H36" s="49">
        <f>SUM(H5:H35)</f>
        <v>485374</v>
      </c>
      <c r="I36" s="63">
        <f>H36*0.2</f>
        <v>97074.8</v>
      </c>
      <c r="J36" s="46"/>
      <c r="K36" s="47">
        <f>SUM(K5:K35)</f>
        <v>2886</v>
      </c>
      <c r="L36" s="63">
        <f>K36*7.84</f>
        <v>22626.239999999998</v>
      </c>
      <c r="M36" s="46"/>
      <c r="N36" s="49">
        <f>SUM(N5:N35)</f>
        <v>561</v>
      </c>
      <c r="O36" s="50"/>
      <c r="P36" s="49">
        <f>SUM(P5:P35)</f>
        <v>393</v>
      </c>
      <c r="Q36" s="49">
        <f>SUM(Q5:Q35)</f>
        <v>954</v>
      </c>
      <c r="R36" s="50"/>
      <c r="S36" s="50">
        <f>SUM(S5:S35)</f>
        <v>945</v>
      </c>
      <c r="T36" s="88">
        <f>SUM(T5:T35)</f>
        <v>997.63650000000064</v>
      </c>
      <c r="U36" s="62">
        <f>SUM(U5:U35)</f>
        <v>17523.882724999996</v>
      </c>
      <c r="V36" s="46"/>
      <c r="W36" s="47">
        <f>SUM(W5:W35)</f>
        <v>932</v>
      </c>
      <c r="X36" s="51">
        <f>SUM(X5:X35)</f>
        <v>265009.5400000001</v>
      </c>
      <c r="Y36" s="52">
        <f>SUM(Y5:Y35)</f>
        <v>91030.776989999969</v>
      </c>
      <c r="Z36" s="52">
        <f>SUM(Z5:Z35)</f>
        <v>126488.42374999994</v>
      </c>
      <c r="AA36" s="62">
        <f>SUM(AA5:AA35)</f>
        <v>217519.20073999997</v>
      </c>
      <c r="AB36" s="53"/>
      <c r="AC36" s="92">
        <f>SUM(AC5:AC35)</f>
        <v>297422</v>
      </c>
      <c r="AD36" s="54">
        <f>AVERAGE(AD5:AD35)</f>
        <v>0.75380322580645154</v>
      </c>
      <c r="AE36" s="144">
        <f>SUM(AE5:AE35)</f>
        <v>8527</v>
      </c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</row>
    <row r="37" spans="1:131" s="8" customFormat="1" ht="22.5" customHeight="1" thickBot="1" x14ac:dyDescent="0.5">
      <c r="A37" s="188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90"/>
      <c r="V37" s="247" t="s">
        <v>24</v>
      </c>
      <c r="W37" s="248"/>
      <c r="X37" s="248"/>
      <c r="Y37" s="248"/>
      <c r="Z37" s="248"/>
      <c r="AA37" s="248"/>
      <c r="AB37" s="249"/>
      <c r="AC37" s="93"/>
      <c r="AD37" s="72"/>
      <c r="AE37" s="72"/>
    </row>
    <row r="38" spans="1:131" ht="27.95" customHeight="1" x14ac:dyDescent="0.45">
      <c r="A38" s="146"/>
      <c r="B38" s="244" t="s">
        <v>3</v>
      </c>
      <c r="C38" s="175"/>
      <c r="D38" s="175" t="s">
        <v>13</v>
      </c>
      <c r="E38" s="175"/>
      <c r="F38" s="175"/>
      <c r="G38" s="175" t="s">
        <v>14</v>
      </c>
      <c r="H38" s="175"/>
      <c r="I38" s="250"/>
      <c r="J38" s="208" t="s">
        <v>4</v>
      </c>
      <c r="K38" s="185"/>
      <c r="L38" s="74" t="s">
        <v>13</v>
      </c>
      <c r="M38" s="185" t="s">
        <v>49</v>
      </c>
      <c r="N38" s="186"/>
      <c r="O38" s="187" t="s">
        <v>25</v>
      </c>
      <c r="P38" s="166"/>
      <c r="Q38" s="166"/>
      <c r="R38" s="166" t="s">
        <v>13</v>
      </c>
      <c r="S38" s="166"/>
      <c r="T38" s="166" t="s">
        <v>49</v>
      </c>
      <c r="U38" s="167"/>
      <c r="V38" s="245" t="s">
        <v>15</v>
      </c>
      <c r="W38" s="246"/>
      <c r="X38" s="246" t="s">
        <v>13</v>
      </c>
      <c r="Y38" s="246"/>
      <c r="Z38" s="246" t="s">
        <v>16</v>
      </c>
      <c r="AA38" s="246"/>
      <c r="AB38" s="262"/>
      <c r="AC38" s="9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</row>
    <row r="39" spans="1:131" s="42" customFormat="1" ht="27.95" customHeight="1" x14ac:dyDescent="0.45">
      <c r="A39" s="73"/>
      <c r="B39" s="172" t="s">
        <v>87</v>
      </c>
      <c r="C39" s="173"/>
      <c r="D39" s="174">
        <f>I36</f>
        <v>97074.8</v>
      </c>
      <c r="E39" s="174"/>
      <c r="F39" s="174"/>
      <c r="G39" s="170">
        <f t="shared" ref="G39:G44" si="21">D39/0.2</f>
        <v>485374</v>
      </c>
      <c r="H39" s="170"/>
      <c r="I39" s="171"/>
      <c r="J39" s="172" t="str">
        <f>B39</f>
        <v>Actual May 2023</v>
      </c>
      <c r="K39" s="173"/>
      <c r="L39" s="102">
        <f>L36</f>
        <v>22626.239999999998</v>
      </c>
      <c r="M39" s="170">
        <f>K36</f>
        <v>2886</v>
      </c>
      <c r="N39" s="171"/>
      <c r="O39" s="172" t="str">
        <f t="shared" ref="O39:O41" si="22">B39</f>
        <v>Actual May 2023</v>
      </c>
      <c r="P39" s="173"/>
      <c r="Q39" s="173"/>
      <c r="R39" s="168">
        <f>U36</f>
        <v>17523.882724999996</v>
      </c>
      <c r="S39" s="168"/>
      <c r="T39" s="170">
        <f>T36</f>
        <v>997.63650000000064</v>
      </c>
      <c r="U39" s="171"/>
      <c r="V39" s="172" t="str">
        <f>B39</f>
        <v>Actual May 2023</v>
      </c>
      <c r="W39" s="173"/>
      <c r="X39" s="174">
        <f>AA36</f>
        <v>217519.20073999997</v>
      </c>
      <c r="Y39" s="174"/>
      <c r="Z39" s="170">
        <f>X36</f>
        <v>265009.5400000001</v>
      </c>
      <c r="AA39" s="170"/>
      <c r="AB39" s="171"/>
      <c r="AC39" s="94"/>
      <c r="AD39" s="97">
        <f>AC36</f>
        <v>297422</v>
      </c>
      <c r="AE39" s="98">
        <f>AD39-X36</f>
        <v>32412.459999999905</v>
      </c>
      <c r="AF39" s="97"/>
      <c r="AG39" s="97"/>
      <c r="AH39" s="97"/>
      <c r="AI39" s="97"/>
      <c r="AJ39" s="97"/>
      <c r="AK39" s="97"/>
      <c r="AL39" s="97"/>
      <c r="AM39" s="97"/>
      <c r="AN39" s="97"/>
      <c r="AO39" s="97"/>
    </row>
    <row r="40" spans="1:131" s="42" customFormat="1" ht="27.95" customHeight="1" x14ac:dyDescent="0.45">
      <c r="A40" s="73"/>
      <c r="B40" s="172" t="s">
        <v>88</v>
      </c>
      <c r="C40" s="173"/>
      <c r="D40" s="176">
        <v>97405.875</v>
      </c>
      <c r="E40" s="176"/>
      <c r="F40" s="176"/>
      <c r="G40" s="170">
        <f t="shared" si="21"/>
        <v>487029.375</v>
      </c>
      <c r="H40" s="170"/>
      <c r="I40" s="171"/>
      <c r="J40" s="172" t="str">
        <f t="shared" ref="J40:J41" si="23">B40</f>
        <v>Budget May 2023</v>
      </c>
      <c r="K40" s="173"/>
      <c r="L40" s="103">
        <v>22754.1299152022</v>
      </c>
      <c r="M40" s="170">
        <f>L40/7.84</f>
        <v>2902.3124891839543</v>
      </c>
      <c r="N40" s="171"/>
      <c r="O40" s="172" t="str">
        <f t="shared" si="22"/>
        <v>Budget May 2023</v>
      </c>
      <c r="P40" s="173"/>
      <c r="Q40" s="173"/>
      <c r="R40" s="169">
        <v>18049.5128223178</v>
      </c>
      <c r="S40" s="169"/>
      <c r="T40" s="170">
        <f>(R40-6500)/11.05</f>
        <v>1045.2047803002533</v>
      </c>
      <c r="U40" s="171"/>
      <c r="V40" s="172" t="str">
        <f t="shared" ref="V40:V41" si="24">B40</f>
        <v>Budget May 2023</v>
      </c>
      <c r="W40" s="173"/>
      <c r="X40" s="176">
        <v>208877.22055200001</v>
      </c>
      <c r="Y40" s="176"/>
      <c r="Z40" s="170">
        <f>AG40/0.3435</f>
        <v>239853.18937991271</v>
      </c>
      <c r="AA40" s="170"/>
      <c r="AB40" s="171"/>
      <c r="AC40" s="95"/>
      <c r="AD40" s="97"/>
      <c r="AE40" s="97"/>
      <c r="AF40" s="148"/>
      <c r="AG40" s="99">
        <f>X40-126487.65</f>
        <v>82389.570552000019</v>
      </c>
      <c r="AH40" s="97" t="s">
        <v>54</v>
      </c>
      <c r="AI40" s="97"/>
      <c r="AJ40" s="97"/>
      <c r="AK40" s="97"/>
      <c r="AL40" s="97"/>
      <c r="AM40" s="97"/>
      <c r="AN40" s="97"/>
      <c r="AO40" s="97"/>
    </row>
    <row r="41" spans="1:131" s="91" customFormat="1" ht="27.95" customHeight="1" x14ac:dyDescent="0.45">
      <c r="A41" s="90"/>
      <c r="B41" s="172" t="s">
        <v>89</v>
      </c>
      <c r="C41" s="173"/>
      <c r="D41" s="176">
        <v>96266</v>
      </c>
      <c r="E41" s="176"/>
      <c r="F41" s="176"/>
      <c r="G41" s="170">
        <f t="shared" si="21"/>
        <v>481330</v>
      </c>
      <c r="H41" s="170"/>
      <c r="I41" s="171"/>
      <c r="J41" s="172" t="str">
        <f t="shared" si="23"/>
        <v>Actual May 2022</v>
      </c>
      <c r="K41" s="173"/>
      <c r="L41" s="103">
        <v>21388</v>
      </c>
      <c r="M41" s="170">
        <f>L41/7.84</f>
        <v>2728.0612244897961</v>
      </c>
      <c r="N41" s="171"/>
      <c r="O41" s="172" t="str">
        <f t="shared" si="22"/>
        <v>Actual May 2022</v>
      </c>
      <c r="P41" s="173"/>
      <c r="Q41" s="173"/>
      <c r="R41" s="169">
        <v>17215.34</v>
      </c>
      <c r="S41" s="169"/>
      <c r="T41" s="170">
        <f>(R41-6500)/11.05</f>
        <v>969.71402714932117</v>
      </c>
      <c r="U41" s="171"/>
      <c r="V41" s="172" t="str">
        <f t="shared" si="24"/>
        <v>Actual May 2022</v>
      </c>
      <c r="W41" s="173"/>
      <c r="X41" s="176">
        <v>199844.26</v>
      </c>
      <c r="Y41" s="176"/>
      <c r="Z41" s="170">
        <f>AG41/0.3428</f>
        <v>228184.13068844809</v>
      </c>
      <c r="AA41" s="170"/>
      <c r="AB41" s="171"/>
      <c r="AC41" s="95"/>
      <c r="AD41" s="149"/>
      <c r="AE41" s="149"/>
      <c r="AF41" s="149"/>
      <c r="AG41" s="100">
        <f>X41-121622.74</f>
        <v>78221.52</v>
      </c>
      <c r="AH41" s="149" t="s">
        <v>55</v>
      </c>
      <c r="AI41" s="149"/>
      <c r="AJ41" s="149"/>
      <c r="AK41" s="149"/>
      <c r="AL41" s="149"/>
      <c r="AM41" s="149"/>
      <c r="AN41" s="149"/>
      <c r="AO41" s="149"/>
    </row>
    <row r="42" spans="1:131" s="42" customFormat="1" ht="27" customHeight="1" x14ac:dyDescent="0.45">
      <c r="A42" s="73"/>
      <c r="B42" s="172" t="s">
        <v>52</v>
      </c>
      <c r="C42" s="173"/>
      <c r="D42" s="174">
        <f>D39+369445.4</f>
        <v>466520.2</v>
      </c>
      <c r="E42" s="174"/>
      <c r="F42" s="174"/>
      <c r="G42" s="170">
        <f t="shared" si="21"/>
        <v>2332601</v>
      </c>
      <c r="H42" s="170"/>
      <c r="I42" s="171"/>
      <c r="J42" s="172" t="str">
        <f>B42</f>
        <v>Actual YTD 2023</v>
      </c>
      <c r="K42" s="173"/>
      <c r="L42" s="102">
        <f>L39+84875.84</f>
        <v>107502.07999999999</v>
      </c>
      <c r="M42" s="170">
        <f>L42/7.84</f>
        <v>13711.999999999998</v>
      </c>
      <c r="N42" s="171"/>
      <c r="O42" s="253" t="str">
        <f>B42</f>
        <v>Actual YTD 2023</v>
      </c>
      <c r="P42" s="254"/>
      <c r="Q42" s="255"/>
      <c r="R42" s="168">
        <f>R39+64267.32</f>
        <v>81791.202724999996</v>
      </c>
      <c r="S42" s="168"/>
      <c r="T42" s="170">
        <f>(R42-6500*5)/11.05</f>
        <v>4460.742328054298</v>
      </c>
      <c r="U42" s="171"/>
      <c r="V42" s="172" t="str">
        <f>B42</f>
        <v>Actual YTD 2023</v>
      </c>
      <c r="W42" s="173"/>
      <c r="X42" s="174">
        <f>X39+712572.77</f>
        <v>930091.97074000002</v>
      </c>
      <c r="Y42" s="174"/>
      <c r="Z42" s="170">
        <f>AG42/0.3435</f>
        <v>866531.93810771464</v>
      </c>
      <c r="AA42" s="170"/>
      <c r="AB42" s="171"/>
      <c r="AC42" s="95"/>
      <c r="AD42" s="97"/>
      <c r="AE42" s="97"/>
      <c r="AF42" s="97"/>
      <c r="AG42" s="99">
        <f>X42-AG46</f>
        <v>297653.72074000002</v>
      </c>
      <c r="AH42" s="97" t="s">
        <v>56</v>
      </c>
      <c r="AI42" s="97"/>
      <c r="AJ42" s="97"/>
      <c r="AK42" s="97"/>
      <c r="AL42" s="97"/>
      <c r="AM42" s="97"/>
      <c r="AN42" s="97"/>
      <c r="AO42" s="97"/>
    </row>
    <row r="43" spans="1:131" s="42" customFormat="1" ht="27.95" customHeight="1" x14ac:dyDescent="0.45">
      <c r="A43" s="73"/>
      <c r="B43" s="172" t="s">
        <v>84</v>
      </c>
      <c r="C43" s="173"/>
      <c r="D43" s="176">
        <v>474631</v>
      </c>
      <c r="E43" s="176"/>
      <c r="F43" s="176"/>
      <c r="G43" s="170">
        <f t="shared" si="21"/>
        <v>2373155</v>
      </c>
      <c r="H43" s="170"/>
      <c r="I43" s="171"/>
      <c r="J43" s="172" t="str">
        <f>B43</f>
        <v>Budget YTD 2023</v>
      </c>
      <c r="K43" s="173"/>
      <c r="L43" s="103">
        <v>103848</v>
      </c>
      <c r="M43" s="170">
        <f>L43/7.84</f>
        <v>13245.91836734694</v>
      </c>
      <c r="N43" s="171"/>
      <c r="O43" s="172" t="str">
        <f>B43</f>
        <v>Budget YTD 2023</v>
      </c>
      <c r="P43" s="173"/>
      <c r="Q43" s="173"/>
      <c r="R43" s="169">
        <v>84106</v>
      </c>
      <c r="S43" s="169"/>
      <c r="T43" s="170">
        <f>(R43-6500*5)/11.05</f>
        <v>4670.2262443438913</v>
      </c>
      <c r="U43" s="171"/>
      <c r="V43" s="172" t="str">
        <f>B43</f>
        <v>Budget YTD 2023</v>
      </c>
      <c r="W43" s="173"/>
      <c r="X43" s="176">
        <v>944583</v>
      </c>
      <c r="Y43" s="176"/>
      <c r="Z43" s="259">
        <f>AG43/0.3435</f>
        <v>908718.34061135363</v>
      </c>
      <c r="AA43" s="260"/>
      <c r="AB43" s="261"/>
      <c r="AC43" s="95"/>
      <c r="AD43" s="97"/>
      <c r="AE43" s="97"/>
      <c r="AF43" s="97"/>
      <c r="AG43" s="99">
        <f>X43-AG46</f>
        <v>312144.75</v>
      </c>
      <c r="AH43" s="97" t="s">
        <v>57</v>
      </c>
      <c r="AI43" s="97"/>
      <c r="AJ43" s="97"/>
      <c r="AK43" s="97"/>
      <c r="AL43" s="97"/>
      <c r="AM43" s="97"/>
      <c r="AN43" s="97"/>
      <c r="AO43" s="97"/>
    </row>
    <row r="44" spans="1:131" s="42" customFormat="1" ht="27.95" customHeight="1" thickBot="1" x14ac:dyDescent="0.5">
      <c r="A44" s="61"/>
      <c r="B44" s="226" t="s">
        <v>85</v>
      </c>
      <c r="C44" s="227"/>
      <c r="D44" s="229">
        <v>472794.4</v>
      </c>
      <c r="E44" s="229"/>
      <c r="F44" s="229"/>
      <c r="G44" s="224">
        <f t="shared" si="21"/>
        <v>2363972</v>
      </c>
      <c r="H44" s="224"/>
      <c r="I44" s="225"/>
      <c r="J44" s="226" t="str">
        <f>B44</f>
        <v>Actual YTD 2022</v>
      </c>
      <c r="K44" s="227"/>
      <c r="L44" s="104">
        <v>94801.64</v>
      </c>
      <c r="M44" s="224">
        <f>L44/7.84</f>
        <v>12092.045918367347</v>
      </c>
      <c r="N44" s="225"/>
      <c r="O44" s="226" t="str">
        <f>B44</f>
        <v>Actual YTD 2022</v>
      </c>
      <c r="P44" s="227"/>
      <c r="Q44" s="227"/>
      <c r="R44" s="228">
        <v>76092.850000000006</v>
      </c>
      <c r="S44" s="228"/>
      <c r="T44" s="224">
        <f>(R44-6500*5)/9.05</f>
        <v>4816.8895027624312</v>
      </c>
      <c r="U44" s="225"/>
      <c r="V44" s="226" t="str">
        <f>B44</f>
        <v>Actual YTD 2022</v>
      </c>
      <c r="W44" s="227"/>
      <c r="X44" s="229">
        <v>902905.26</v>
      </c>
      <c r="Y44" s="229"/>
      <c r="Z44" s="224">
        <f>AG44/0.3428</f>
        <v>859952.042007001</v>
      </c>
      <c r="AA44" s="224"/>
      <c r="AB44" s="225"/>
      <c r="AC44" s="95"/>
      <c r="AD44" s="97"/>
      <c r="AE44" s="97"/>
      <c r="AF44" s="97"/>
      <c r="AG44" s="101">
        <f>X44-AG47</f>
        <v>294791.55999999994</v>
      </c>
      <c r="AH44" s="97" t="s">
        <v>58</v>
      </c>
      <c r="AI44" s="97"/>
      <c r="AJ44" s="97"/>
      <c r="AK44" s="97"/>
      <c r="AL44" s="97"/>
      <c r="AM44" s="97"/>
      <c r="AN44" s="97"/>
      <c r="AO44" s="97"/>
    </row>
    <row r="45" spans="1:131" ht="27.95" customHeight="1" x14ac:dyDescent="0.45">
      <c r="G45" s="215">
        <v>45047</v>
      </c>
      <c r="H45" s="215"/>
      <c r="I45" s="56">
        <f ca="1">TODAY()</f>
        <v>45425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47"/>
      <c r="AE45" s="147"/>
      <c r="AF45" s="150"/>
      <c r="AG45" s="147"/>
      <c r="AH45" s="147"/>
      <c r="AI45" s="147"/>
      <c r="AJ45" s="147"/>
      <c r="AK45" s="147"/>
      <c r="AL45" s="147"/>
      <c r="AM45" s="147"/>
      <c r="AN45" s="147"/>
      <c r="AO45" s="147"/>
    </row>
    <row r="46" spans="1:131" ht="27.95" customHeight="1" x14ac:dyDescent="0.45">
      <c r="A46" s="216" t="s">
        <v>26</v>
      </c>
      <c r="B46" s="217"/>
      <c r="D46" s="218" t="s">
        <v>27</v>
      </c>
      <c r="E46" s="219"/>
      <c r="F46" s="219"/>
      <c r="G46" s="220"/>
      <c r="H46" s="11"/>
      <c r="I46" s="221" t="s">
        <v>28</v>
      </c>
      <c r="J46" s="222"/>
      <c r="K46" s="222"/>
      <c r="L46" s="223"/>
      <c r="M46" s="12"/>
      <c r="N46" s="218" t="s">
        <v>29</v>
      </c>
      <c r="O46" s="219"/>
      <c r="P46" s="219"/>
      <c r="Q46" s="219"/>
      <c r="R46" s="219"/>
      <c r="S46" s="220"/>
      <c r="T46" s="2"/>
      <c r="U46" s="218" t="s">
        <v>30</v>
      </c>
      <c r="V46" s="219"/>
      <c r="W46" s="219"/>
      <c r="X46" s="220"/>
      <c r="Y46"/>
      <c r="Z46"/>
      <c r="AA46"/>
      <c r="AB46"/>
      <c r="AC46"/>
      <c r="AD46" s="147"/>
      <c r="AE46" s="147"/>
      <c r="AF46" s="147"/>
      <c r="AG46" s="108">
        <f>126487.65*5</f>
        <v>632438.25</v>
      </c>
      <c r="AH46" s="147" t="s">
        <v>53</v>
      </c>
      <c r="AI46" s="147"/>
      <c r="AJ46" s="147"/>
      <c r="AK46" s="147"/>
      <c r="AL46" s="147"/>
      <c r="AM46" s="147"/>
      <c r="AN46" s="147"/>
      <c r="AO46" s="147"/>
    </row>
    <row r="47" spans="1:131" ht="27.95" customHeight="1" x14ac:dyDescent="0.45">
      <c r="A47" s="26" t="s">
        <v>3</v>
      </c>
      <c r="B47" s="27">
        <f>D40</f>
        <v>97405.875</v>
      </c>
      <c r="C47" s="13"/>
      <c r="D47" s="211" t="s">
        <v>3</v>
      </c>
      <c r="E47" s="212"/>
      <c r="F47" s="212"/>
      <c r="G47" s="30">
        <f>B47/31</f>
        <v>3142.125</v>
      </c>
      <c r="H47" s="14"/>
      <c r="I47" s="211" t="s">
        <v>3</v>
      </c>
      <c r="J47" s="212"/>
      <c r="K47" s="212"/>
      <c r="L47" s="105">
        <f>I36/J45</f>
        <v>3131.4451612903226</v>
      </c>
      <c r="M47" s="14"/>
      <c r="N47" s="211" t="s">
        <v>3</v>
      </c>
      <c r="O47" s="212"/>
      <c r="P47" s="212"/>
      <c r="Q47" s="212"/>
      <c r="R47" s="213">
        <f>G47*J45</f>
        <v>97405.875</v>
      </c>
      <c r="S47" s="214"/>
      <c r="T47" s="15"/>
      <c r="U47" s="211" t="s">
        <v>3</v>
      </c>
      <c r="V47" s="212"/>
      <c r="W47" s="161">
        <f>I36</f>
        <v>97074.8</v>
      </c>
      <c r="X47" s="162"/>
      <c r="Y47" s="16">
        <f>R47-W47</f>
        <v>331.07499999999709</v>
      </c>
      <c r="Z47"/>
      <c r="AA47"/>
      <c r="AB47"/>
      <c r="AC47"/>
      <c r="AD47" s="147"/>
      <c r="AE47" s="147"/>
      <c r="AF47" s="147"/>
      <c r="AG47" s="108">
        <f>121622.74*5</f>
        <v>608113.70000000007</v>
      </c>
      <c r="AH47" s="97" t="s">
        <v>51</v>
      </c>
      <c r="AI47" s="147"/>
      <c r="AJ47" s="147"/>
      <c r="AK47" s="147"/>
      <c r="AL47" s="147"/>
      <c r="AM47" s="147"/>
      <c r="AN47" s="147"/>
      <c r="AO47" s="147"/>
    </row>
    <row r="48" spans="1:131" ht="27.95" customHeight="1" x14ac:dyDescent="0.45">
      <c r="A48" s="26" t="s">
        <v>4</v>
      </c>
      <c r="B48" s="27">
        <f>L40</f>
        <v>22754.1299152022</v>
      </c>
      <c r="C48" s="13"/>
      <c r="D48" s="211" t="s">
        <v>4</v>
      </c>
      <c r="E48" s="212"/>
      <c r="F48" s="212"/>
      <c r="G48" s="30">
        <f t="shared" ref="G48:G50" si="25">B48/31</f>
        <v>734.00419081297423</v>
      </c>
      <c r="H48" s="14"/>
      <c r="I48" s="211" t="s">
        <v>4</v>
      </c>
      <c r="J48" s="212"/>
      <c r="K48" s="212"/>
      <c r="L48" s="106">
        <f>L36/J45</f>
        <v>729.87870967741924</v>
      </c>
      <c r="M48" s="14"/>
      <c r="N48" s="211" t="s">
        <v>4</v>
      </c>
      <c r="O48" s="212"/>
      <c r="P48" s="212"/>
      <c r="Q48" s="212"/>
      <c r="R48" s="213">
        <f>G48*J45</f>
        <v>22754.1299152022</v>
      </c>
      <c r="S48" s="214"/>
      <c r="T48" s="15"/>
      <c r="U48" s="211" t="s">
        <v>4</v>
      </c>
      <c r="V48" s="212"/>
      <c r="W48" s="161">
        <f>L36</f>
        <v>22626.239999999998</v>
      </c>
      <c r="X48" s="162"/>
      <c r="Y48" s="16">
        <f t="shared" ref="Y48:Y51" si="26">R48-W48</f>
        <v>127.88991520220225</v>
      </c>
      <c r="Z48"/>
      <c r="AA48"/>
      <c r="AB48"/>
      <c r="AC48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</row>
    <row r="49" spans="1:41" ht="27.95" customHeight="1" x14ac:dyDescent="0.45">
      <c r="A49" s="26" t="s">
        <v>25</v>
      </c>
      <c r="B49" s="27">
        <f>R40</f>
        <v>18049.5128223178</v>
      </c>
      <c r="C49" s="13"/>
      <c r="D49" s="211" t="s">
        <v>25</v>
      </c>
      <c r="E49" s="212"/>
      <c r="F49" s="212"/>
      <c r="G49" s="30">
        <f t="shared" si="25"/>
        <v>582.2423491070258</v>
      </c>
      <c r="H49" s="14"/>
      <c r="I49" s="211" t="s">
        <v>25</v>
      </c>
      <c r="J49" s="212"/>
      <c r="K49" s="212"/>
      <c r="L49" s="106">
        <f>U36/J45</f>
        <v>565.28653951612887</v>
      </c>
      <c r="M49" s="14"/>
      <c r="N49" s="211" t="s">
        <v>25</v>
      </c>
      <c r="O49" s="212"/>
      <c r="P49" s="212"/>
      <c r="Q49" s="212"/>
      <c r="R49" s="213">
        <f>G49*J45</f>
        <v>18049.5128223178</v>
      </c>
      <c r="S49" s="214"/>
      <c r="T49" s="15"/>
      <c r="U49" s="211" t="s">
        <v>25</v>
      </c>
      <c r="V49" s="212"/>
      <c r="W49" s="161">
        <f>U36</f>
        <v>17523.882724999996</v>
      </c>
      <c r="X49" s="162"/>
      <c r="Y49" s="16">
        <f t="shared" si="26"/>
        <v>525.63009731780403</v>
      </c>
      <c r="Z49"/>
      <c r="AA49"/>
      <c r="AB49"/>
      <c r="AC49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</row>
    <row r="50" spans="1:41" ht="27.95" customHeight="1" x14ac:dyDescent="0.45">
      <c r="A50" s="28" t="s">
        <v>15</v>
      </c>
      <c r="B50" s="29">
        <f>X40</f>
        <v>208877.22055200001</v>
      </c>
      <c r="C50" s="25"/>
      <c r="D50" s="230" t="s">
        <v>15</v>
      </c>
      <c r="E50" s="231"/>
      <c r="F50" s="231"/>
      <c r="G50" s="30">
        <f t="shared" si="25"/>
        <v>6737.9748565161299</v>
      </c>
      <c r="H50" s="17"/>
      <c r="I50" s="230" t="s">
        <v>15</v>
      </c>
      <c r="J50" s="231"/>
      <c r="K50" s="231"/>
      <c r="L50" s="107">
        <f>AA36/J45</f>
        <v>7016.7484109677407</v>
      </c>
      <c r="M50" s="17"/>
      <c r="N50" s="230" t="s">
        <v>15</v>
      </c>
      <c r="O50" s="231"/>
      <c r="P50" s="231"/>
      <c r="Q50" s="231"/>
      <c r="R50" s="232">
        <f>G50*J45</f>
        <v>208877.22055200001</v>
      </c>
      <c r="S50" s="233"/>
      <c r="T50" s="15"/>
      <c r="U50" s="230" t="s">
        <v>15</v>
      </c>
      <c r="V50" s="231"/>
      <c r="W50" s="163">
        <f>AA36</f>
        <v>217519.20073999997</v>
      </c>
      <c r="X50" s="164"/>
      <c r="Y50" s="16">
        <f t="shared" si="26"/>
        <v>-8641.9801879999577</v>
      </c>
      <c r="Z50"/>
      <c r="AA50"/>
      <c r="AB50"/>
      <c r="AC50"/>
      <c r="AD50"/>
      <c r="AE50"/>
      <c r="AF50"/>
      <c r="AG50"/>
      <c r="AH50"/>
    </row>
    <row r="51" spans="1:41" ht="27.95" customHeight="1" x14ac:dyDescent="0.45">
      <c r="B51" s="18">
        <f>SUM(B47:B50)</f>
        <v>347086.73828952003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165">
        <f>SUM(R47:S50)</f>
        <v>347086.73828952003</v>
      </c>
      <c r="S51" s="165"/>
      <c r="T51" s="20"/>
      <c r="U51" s="20"/>
      <c r="V51" s="20"/>
      <c r="W51" s="165">
        <f>SUM(W47:X50)</f>
        <v>354744.12346499995</v>
      </c>
      <c r="X51" s="165"/>
      <c r="Y51" s="16">
        <f t="shared" si="26"/>
        <v>-7657.3851754799252</v>
      </c>
      <c r="Z51"/>
      <c r="AA51"/>
      <c r="AB51"/>
      <c r="AC51"/>
      <c r="AD51"/>
      <c r="AE51"/>
      <c r="AF51"/>
      <c r="AG51"/>
      <c r="AH51"/>
    </row>
    <row r="52" spans="1:41" ht="27.95" customHeight="1" x14ac:dyDescent="0.45">
      <c r="B52" s="18">
        <f>B51*X52</f>
        <v>-7657.385175479907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>1-(W51/R51)</f>
        <v>-2.2061877711653022E-2</v>
      </c>
      <c r="Y52" s="23"/>
      <c r="Z52"/>
      <c r="AA52"/>
      <c r="AB52"/>
      <c r="AC52"/>
      <c r="AD52"/>
      <c r="AE52"/>
      <c r="AF52"/>
      <c r="AG52"/>
      <c r="AH52"/>
    </row>
    <row r="53" spans="1:41" ht="27.95" customHeight="1" x14ac:dyDescent="0.4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</row>
    <row r="54" spans="1:41" ht="27.95" customHeight="1" x14ac:dyDescent="0.45">
      <c r="A54" s="216" t="s">
        <v>41</v>
      </c>
      <c r="B54" s="217"/>
      <c r="D54" s="218" t="s">
        <v>42</v>
      </c>
      <c r="E54" s="219"/>
      <c r="F54" s="219"/>
      <c r="G54" s="220"/>
      <c r="H54" s="11"/>
      <c r="I54" s="221" t="s">
        <v>43</v>
      </c>
      <c r="J54" s="222"/>
      <c r="K54" s="222"/>
      <c r="L54" s="223"/>
      <c r="M54" s="12"/>
      <c r="N54" s="218" t="s">
        <v>30</v>
      </c>
      <c r="O54" s="219"/>
      <c r="P54" s="219"/>
      <c r="Q54" s="219"/>
      <c r="R54" s="219"/>
      <c r="S54" s="220"/>
      <c r="T54" s="2"/>
      <c r="U54" s="218" t="s">
        <v>44</v>
      </c>
      <c r="V54" s="219"/>
      <c r="W54" s="219"/>
      <c r="X54" s="220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/>
      <c r="AG54"/>
      <c r="AH54"/>
    </row>
    <row r="55" spans="1:41" ht="27.95" customHeight="1" x14ac:dyDescent="0.45">
      <c r="A55" s="26" t="s">
        <v>3</v>
      </c>
      <c r="B55" s="27">
        <f>D41</f>
        <v>96266</v>
      </c>
      <c r="C55" s="13"/>
      <c r="D55" s="211" t="s">
        <v>3</v>
      </c>
      <c r="E55" s="212"/>
      <c r="F55" s="212"/>
      <c r="G55" s="30">
        <f>B55/31</f>
        <v>3105.3548387096776</v>
      </c>
      <c r="H55" s="14"/>
      <c r="I55" s="211" t="s">
        <v>3</v>
      </c>
      <c r="J55" s="212"/>
      <c r="K55" s="212"/>
      <c r="L55" s="31">
        <f>G55*J45</f>
        <v>96266</v>
      </c>
      <c r="M55" s="14"/>
      <c r="N55" s="211" t="s">
        <v>3</v>
      </c>
      <c r="O55" s="212"/>
      <c r="P55" s="212"/>
      <c r="Q55" s="212"/>
      <c r="R55" s="257">
        <f>W47</f>
        <v>97074.8</v>
      </c>
      <c r="S55" s="258"/>
      <c r="T55" s="15"/>
      <c r="U55" s="211" t="s">
        <v>3</v>
      </c>
      <c r="V55" s="212"/>
      <c r="W55" s="161">
        <f>L55-R55</f>
        <v>-808.80000000000291</v>
      </c>
      <c r="X55" s="162"/>
      <c r="Y55" s="16"/>
      <c r="Z55" s="87">
        <f>L47*30</f>
        <v>93943.354838709682</v>
      </c>
      <c r="AA55" s="37">
        <f>Z55</f>
        <v>93943.354838709682</v>
      </c>
      <c r="AB55" s="13"/>
      <c r="AC55" s="13"/>
      <c r="AD55" s="33">
        <f>D41-Z55</f>
        <v>2322.6451612903184</v>
      </c>
      <c r="AE55" s="34">
        <f>D44-AA55</f>
        <v>378851.04516129033</v>
      </c>
      <c r="AF55"/>
      <c r="AG55"/>
      <c r="AH55"/>
    </row>
    <row r="56" spans="1:41" ht="27.95" customHeight="1" x14ac:dyDescent="0.45">
      <c r="A56" s="26" t="s">
        <v>4</v>
      </c>
      <c r="B56" s="27">
        <f>L41</f>
        <v>21388</v>
      </c>
      <c r="C56" s="13"/>
      <c r="D56" s="211" t="s">
        <v>4</v>
      </c>
      <c r="E56" s="212"/>
      <c r="F56" s="212"/>
      <c r="G56" s="30">
        <f>B56/31</f>
        <v>689.93548387096769</v>
      </c>
      <c r="H56" s="14"/>
      <c r="I56" s="211" t="s">
        <v>4</v>
      </c>
      <c r="J56" s="212"/>
      <c r="K56" s="212"/>
      <c r="L56" s="31">
        <f>G56*J45</f>
        <v>21388</v>
      </c>
      <c r="M56" s="14"/>
      <c r="N56" s="211" t="s">
        <v>4</v>
      </c>
      <c r="O56" s="212"/>
      <c r="P56" s="212"/>
      <c r="Q56" s="212"/>
      <c r="R56" s="257">
        <f>W48</f>
        <v>22626.239999999998</v>
      </c>
      <c r="S56" s="258"/>
      <c r="T56" s="15"/>
      <c r="U56" s="211" t="s">
        <v>4</v>
      </c>
      <c r="V56" s="212"/>
      <c r="W56" s="161">
        <f>L56-R56</f>
        <v>-1238.239999999998</v>
      </c>
      <c r="X56" s="162"/>
      <c r="Y56" s="16"/>
      <c r="Z56" s="87">
        <f>L48*30</f>
        <v>21896.361290322577</v>
      </c>
      <c r="AA56" s="34">
        <f>Z56</f>
        <v>21896.361290322577</v>
      </c>
      <c r="AB56" s="13"/>
      <c r="AC56" s="13"/>
      <c r="AD56" s="33">
        <f>L41-Z56</f>
        <v>-508.36129032257668</v>
      </c>
      <c r="AE56" s="34">
        <f>L44-AA56</f>
        <v>72905.278709677426</v>
      </c>
      <c r="AF56"/>
      <c r="AG56"/>
      <c r="AH56"/>
    </row>
    <row r="57" spans="1:41" ht="27.95" customHeight="1" x14ac:dyDescent="0.45">
      <c r="A57" s="26" t="s">
        <v>25</v>
      </c>
      <c r="B57" s="27">
        <f>R41</f>
        <v>17215.34</v>
      </c>
      <c r="C57" s="13"/>
      <c r="D57" s="211" t="s">
        <v>25</v>
      </c>
      <c r="E57" s="212"/>
      <c r="F57" s="212"/>
      <c r="G57" s="30">
        <f>B57/31</f>
        <v>555.33354838709681</v>
      </c>
      <c r="H57" s="14"/>
      <c r="I57" s="211" t="s">
        <v>25</v>
      </c>
      <c r="J57" s="212"/>
      <c r="K57" s="212"/>
      <c r="L57" s="31">
        <f>G57*J45</f>
        <v>17215.34</v>
      </c>
      <c r="M57" s="14"/>
      <c r="N57" s="211" t="s">
        <v>25</v>
      </c>
      <c r="O57" s="212"/>
      <c r="P57" s="212"/>
      <c r="Q57" s="212"/>
      <c r="R57" s="257">
        <f>W49</f>
        <v>17523.882724999996</v>
      </c>
      <c r="S57" s="258"/>
      <c r="T57" s="15"/>
      <c r="U57" s="211" t="s">
        <v>25</v>
      </c>
      <c r="V57" s="212"/>
      <c r="W57" s="161">
        <f>L57-R57</f>
        <v>-308.5427249999957</v>
      </c>
      <c r="X57" s="162"/>
      <c r="Y57" s="16"/>
      <c r="Z57" s="87">
        <f>L49*30</f>
        <v>16958.596185483868</v>
      </c>
      <c r="AA57" s="34">
        <f>Z57</f>
        <v>16958.596185483868</v>
      </c>
      <c r="AB57" s="13"/>
      <c r="AC57" s="13"/>
      <c r="AD57" s="33">
        <f>R41-Z57</f>
        <v>256.74381451613226</v>
      </c>
      <c r="AE57" s="34">
        <f>R44-AA57</f>
        <v>59134.253814516138</v>
      </c>
      <c r="AF57"/>
      <c r="AG57"/>
      <c r="AH57"/>
    </row>
    <row r="58" spans="1:41" ht="27.95" customHeight="1" x14ac:dyDescent="0.45">
      <c r="A58" s="28" t="s">
        <v>15</v>
      </c>
      <c r="B58" s="29">
        <f>X41</f>
        <v>199844.26</v>
      </c>
      <c r="C58" s="25"/>
      <c r="D58" s="230" t="s">
        <v>15</v>
      </c>
      <c r="E58" s="231"/>
      <c r="F58" s="231"/>
      <c r="G58" s="109">
        <f>B58/31</f>
        <v>6446.5890322580644</v>
      </c>
      <c r="H58" s="17"/>
      <c r="I58" s="230" t="s">
        <v>15</v>
      </c>
      <c r="J58" s="231"/>
      <c r="K58" s="231"/>
      <c r="L58" s="32">
        <f>G58*J45</f>
        <v>199844.26</v>
      </c>
      <c r="M58" s="17"/>
      <c r="N58" s="230" t="s">
        <v>15</v>
      </c>
      <c r="O58" s="231"/>
      <c r="P58" s="231"/>
      <c r="Q58" s="231"/>
      <c r="R58" s="265">
        <f>W50</f>
        <v>217519.20073999997</v>
      </c>
      <c r="S58" s="266"/>
      <c r="T58" s="15"/>
      <c r="U58" s="230" t="s">
        <v>15</v>
      </c>
      <c r="V58" s="231"/>
      <c r="W58" s="163">
        <f>L58-R58</f>
        <v>-17674.940739999962</v>
      </c>
      <c r="X58" s="164"/>
      <c r="Y58" s="16"/>
      <c r="Z58" s="87">
        <f>L50*30</f>
        <v>210502.45232903221</v>
      </c>
      <c r="AA58" s="34">
        <f>Z58</f>
        <v>210502.45232903221</v>
      </c>
      <c r="AB58" s="13"/>
      <c r="AC58" s="13"/>
      <c r="AD58" s="33">
        <f>X41-Z58</f>
        <v>-10658.192329032201</v>
      </c>
      <c r="AE58" s="34">
        <f>Z44-AA58</f>
        <v>649449.58967796876</v>
      </c>
      <c r="AF58"/>
      <c r="AG58"/>
      <c r="AH58"/>
    </row>
    <row r="59" spans="1:41" ht="27.95" customHeight="1" x14ac:dyDescent="0.45">
      <c r="A59" s="13"/>
      <c r="B59" s="18">
        <f>SUM(B55:B58)</f>
        <v>334713.59999999998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>SUM(L55:L58)</f>
        <v>334713.59999999998</v>
      </c>
      <c r="M59" s="17"/>
      <c r="N59" s="17"/>
      <c r="O59" s="17"/>
      <c r="P59" s="17"/>
      <c r="Q59" s="17"/>
      <c r="R59" s="165">
        <f>SUM(R55:S58)</f>
        <v>354744.12346499995</v>
      </c>
      <c r="S59" s="165"/>
      <c r="T59" s="20"/>
      <c r="U59" s="20"/>
      <c r="V59" s="20"/>
      <c r="W59" s="165">
        <f>SUM(W55:X58)</f>
        <v>-20030.523464999958</v>
      </c>
      <c r="X59" s="165"/>
      <c r="Y59" s="16"/>
      <c r="Z59" s="151">
        <f>SUM(Z55:Z58)</f>
        <v>343300.76464354829</v>
      </c>
      <c r="AA59" s="36">
        <f>SUM(AA55:AA58)</f>
        <v>343300.76464354829</v>
      </c>
      <c r="AB59" s="13"/>
      <c r="AC59" s="13"/>
      <c r="AD59" s="35">
        <f>SUM(AD55:AD58)</f>
        <v>-8587.1646435483271</v>
      </c>
      <c r="AE59" s="36">
        <f>SUM(AE55:AE58)</f>
        <v>1160340.1673634527</v>
      </c>
      <c r="AF59"/>
      <c r="AG59"/>
      <c r="AH59"/>
    </row>
    <row r="60" spans="1:41" ht="27.95" customHeight="1" x14ac:dyDescent="0.45">
      <c r="A60" s="13"/>
      <c r="B60" s="18">
        <f>B59*X60</f>
        <v>-20030.523464999951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>1-(R59/L59)</f>
        <v>-5.9843769315020223E-2</v>
      </c>
      <c r="Y60" s="23"/>
      <c r="Z60" s="13"/>
      <c r="AA60" s="13"/>
      <c r="AB60" s="13"/>
      <c r="AC60" s="13"/>
      <c r="AD60" s="13"/>
      <c r="AE60" s="13"/>
      <c r="AF60"/>
      <c r="AG60"/>
      <c r="AH60"/>
    </row>
    <row r="61" spans="1:41" ht="27.95" customHeight="1" x14ac:dyDescent="0.4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/>
      <c r="AG61"/>
      <c r="AH61"/>
    </row>
    <row r="62" spans="1:41" ht="27.95" customHeight="1" x14ac:dyDescent="0.45">
      <c r="A62" s="59"/>
      <c r="B62" s="263"/>
      <c r="C62" s="263"/>
      <c r="D62" s="263"/>
      <c r="E62" s="263"/>
      <c r="F62" s="263"/>
      <c r="G62" s="263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57"/>
      <c r="AA62" s="57"/>
      <c r="AB62" s="263"/>
      <c r="AC62" s="263"/>
      <c r="AD62" s="263"/>
      <c r="AE62" s="57"/>
      <c r="AF62"/>
      <c r="AG62"/>
      <c r="AH62"/>
    </row>
    <row r="63" spans="1:41" s="13" customFormat="1" ht="27.95" customHeight="1" x14ac:dyDescent="0.4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</row>
    <row r="64" spans="1:41" s="13" customFormat="1" ht="27.95" customHeight="1" x14ac:dyDescent="0.4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</row>
    <row r="65" spans="1:34" s="13" customFormat="1" ht="27.95" customHeight="1" x14ac:dyDescent="0.4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</row>
    <row r="66" spans="1:34" s="13" customFormat="1" ht="27.95" customHeight="1" x14ac:dyDescent="0.4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</row>
    <row r="67" spans="1:34" s="13" customFormat="1" ht="27.95" customHeight="1" x14ac:dyDescent="0.4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</row>
    <row r="68" spans="1:34" s="13" customFormat="1" ht="27.95" customHeight="1" x14ac:dyDescent="0.4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</row>
    <row r="69" spans="1:34" s="13" customFormat="1" ht="27.95" customHeight="1" x14ac:dyDescent="0.4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15"/>
      <c r="AG69" s="15"/>
      <c r="AH69" s="15"/>
    </row>
    <row r="70" spans="1:34" s="57" customFormat="1" ht="27.95" customHeight="1" x14ac:dyDescent="0.4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</row>
    <row r="71" spans="1:34" s="57" customFormat="1" ht="27.95" customHeight="1" x14ac:dyDescent="0.4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</row>
    <row r="72" spans="1:34" s="57" customFormat="1" ht="27.95" customHeight="1" x14ac:dyDescent="0.4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</row>
    <row r="73" spans="1:34" s="57" customFormat="1" ht="27.95" customHeight="1" x14ac:dyDescent="0.4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</row>
    <row r="74" spans="1:34" s="57" customFormat="1" ht="27.95" customHeight="1" x14ac:dyDescent="0.4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</row>
    <row r="75" spans="1:34" s="57" customFormat="1" ht="27.95" customHeight="1" x14ac:dyDescent="0.4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</row>
    <row r="76" spans="1:34" s="57" customFormat="1" ht="27.95" customHeight="1" x14ac:dyDescent="0.4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</row>
    <row r="77" spans="1:34" s="57" customFormat="1" x14ac:dyDescent="0.4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</row>
  </sheetData>
  <mergeCells count="186"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  <mergeCell ref="R59:S59"/>
    <mergeCell ref="W59:X59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R56:S56"/>
    <mergeCell ref="U56:V56"/>
    <mergeCell ref="W56:X56"/>
    <mergeCell ref="Z44:AB44"/>
    <mergeCell ref="Z43:AB43"/>
    <mergeCell ref="Z42:AB42"/>
    <mergeCell ref="Z41:AB41"/>
    <mergeCell ref="Z40:AB40"/>
    <mergeCell ref="Z39:AB39"/>
    <mergeCell ref="W47:X47"/>
    <mergeCell ref="R51:S51"/>
    <mergeCell ref="T41:U41"/>
    <mergeCell ref="R41:S41"/>
    <mergeCell ref="R47:S47"/>
    <mergeCell ref="X44:Y44"/>
    <mergeCell ref="X43:Y43"/>
    <mergeCell ref="X40:Y40"/>
    <mergeCell ref="B41:C41"/>
    <mergeCell ref="X41:Y41"/>
    <mergeCell ref="V41:W41"/>
    <mergeCell ref="H3:H4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G38:I38"/>
    <mergeCell ref="G39:I39"/>
    <mergeCell ref="G40:I40"/>
    <mergeCell ref="O41:Q41"/>
    <mergeCell ref="M41:N41"/>
    <mergeCell ref="J41:K41"/>
    <mergeCell ref="G41:I41"/>
    <mergeCell ref="AB3:AB4"/>
    <mergeCell ref="O42:Q42"/>
    <mergeCell ref="J42:K42"/>
    <mergeCell ref="Z38:AB38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A46:B46"/>
    <mergeCell ref="D46:G46"/>
    <mergeCell ref="I46:L46"/>
    <mergeCell ref="N46:S46"/>
    <mergeCell ref="U46:X46"/>
    <mergeCell ref="J40:K40"/>
    <mergeCell ref="M40:N40"/>
    <mergeCell ref="V40:W40"/>
    <mergeCell ref="M44:N44"/>
    <mergeCell ref="O44:Q44"/>
    <mergeCell ref="R44:S44"/>
    <mergeCell ref="T44:U44"/>
    <mergeCell ref="V44:W44"/>
    <mergeCell ref="G42:I42"/>
    <mergeCell ref="B40:C40"/>
    <mergeCell ref="B42:C42"/>
    <mergeCell ref="G43:I43"/>
    <mergeCell ref="B44:C44"/>
    <mergeCell ref="D44:F44"/>
    <mergeCell ref="G44:I44"/>
    <mergeCell ref="J44:K44"/>
    <mergeCell ref="D42:F42"/>
    <mergeCell ref="D43:F43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G45:H45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B39:C39"/>
    <mergeCell ref="K3:K4"/>
    <mergeCell ref="B38:C38"/>
    <mergeCell ref="V2:AB2"/>
    <mergeCell ref="AD2:AE2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B2:I2"/>
    <mergeCell ref="F3:G3"/>
  </mergeCells>
  <phoneticPr fontId="15" type="noConversion"/>
  <conditionalFormatting sqref="W47">
    <cfRule type="cellIs" dxfId="6" priority="5" operator="lessThan">
      <formula>#REF!</formula>
    </cfRule>
    <cfRule type="cellIs" dxfId="5" priority="7" operator="greaterThan">
      <formula>#REF!</formula>
    </cfRule>
  </conditionalFormatting>
  <conditionalFormatting sqref="W48">
    <cfRule type="cellIs" dxfId="4" priority="4" operator="lessThan">
      <formula>#REF!</formula>
    </cfRule>
  </conditionalFormatting>
  <conditionalFormatting sqref="W48:W50">
    <cfRule type="cellIs" dxfId="3" priority="6" operator="greaterThan">
      <formula>#REF!</formula>
    </cfRule>
  </conditionalFormatting>
  <conditionalFormatting sqref="W48:W58">
    <cfRule type="cellIs" dxfId="2" priority="1" operator="lessThan">
      <formula>#REF!</formula>
    </cfRule>
  </conditionalFormatting>
  <conditionalFormatting sqref="W55:W58">
    <cfRule type="cellIs" dxfId="1" priority="3" operator="greaterThan">
      <formula>#REF!</formula>
    </cfRule>
  </conditionalFormatting>
  <conditionalFormatting sqref="W56">
    <cfRule type="cellIs" dxfId="0" priority="2" operator="less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B0BF42D6-8E1F-437B-9AE4-C6609513BD2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may 23</vt:lpstr>
      <vt:lpstr>'may 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2024-05-13T12:24:39Z</dcterms:modified>
</cp:coreProperties>
</file>