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rotanahq-my.sharepoint.com/personal/bms_park_rotana_com/Documents/Engineering/29 HEP - Energy Portal/01 Daily/2024/"/>
    </mc:Choice>
  </mc:AlternateContent>
  <xr:revisionPtr revIDLastSave="607" documentId="8_{8847650D-614C-4264-8C87-30D8B5EB4252}" xr6:coauthVersionLast="47" xr6:coauthVersionMax="47" xr10:uidLastSave="{63B41793-607F-4A70-A585-2C6ADE6CECF9}"/>
  <bookViews>
    <workbookView xWindow="-120" yWindow="-120" windowWidth="29040" windowHeight="15720" xr2:uid="{00000000-000D-0000-FFFF-FFFF00000000}"/>
  </bookViews>
  <sheets>
    <sheet name="Total" sheetId="2" r:id="rId1"/>
    <sheet name="Electricity" sheetId="3" r:id="rId2"/>
    <sheet name="LPG" sheetId="6" r:id="rId3"/>
    <sheet name="Water" sheetId="5" r:id="rId4"/>
    <sheet name="Occupied &amp; No. of Guest" sheetId="7" r:id="rId5"/>
  </sheets>
  <definedNames>
    <definedName name="_xlnm._FilterDatabase" localSheetId="2" hidden="1">LPG!$A$3:$C$3</definedName>
    <definedName name="_xlnm.Print_Area" localSheetId="2">LPG!$A$1:$C$36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  <c r="C4" i="6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AF15" i="5" l="1"/>
  <c r="AH15" i="5"/>
  <c r="AG15" i="5"/>
  <c r="K3" i="2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L2" i="2"/>
  <c r="K2" i="2"/>
  <c r="C34" i="7"/>
  <c r="B34" i="7"/>
  <c r="AF21" i="3" l="1"/>
  <c r="AG21" i="3"/>
  <c r="AH21" i="3"/>
  <c r="C35" i="6" l="1"/>
  <c r="AI15" i="5" l="1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AI21" i="3"/>
  <c r="AE21" i="3"/>
  <c r="AD21" i="3"/>
  <c r="W21" i="3"/>
  <c r="V21" i="3"/>
  <c r="U21" i="3"/>
  <c r="T21" i="3"/>
  <c r="S21" i="3"/>
  <c r="R21" i="3"/>
  <c r="K21" i="3"/>
  <c r="J21" i="3"/>
  <c r="I21" i="3"/>
  <c r="H21" i="3"/>
  <c r="G21" i="3"/>
  <c r="F21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" i="2" l="1" a="1"/>
  <c r="I2" i="2" s="1"/>
  <c r="E16" i="5"/>
  <c r="X21" i="3"/>
  <c r="Y21" i="3"/>
  <c r="L21" i="3"/>
  <c r="M21" i="3"/>
  <c r="N21" i="3"/>
  <c r="Z21" i="3"/>
  <c r="O21" i="3"/>
  <c r="AA21" i="3"/>
  <c r="P21" i="3"/>
  <c r="AB21" i="3"/>
  <c r="E21" i="3"/>
  <c r="Q21" i="3"/>
  <c r="AC21" i="3"/>
  <c r="E2" i="2" l="1" a="1"/>
  <c r="E2" i="2" s="1"/>
  <c r="E2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C5" authorId="0" shapeId="0" xr:uid="{BF8AF5D1-25BF-4947-BDAD-F7F7A728BCF1}">
      <text>
        <r>
          <rPr>
            <b/>
            <sz val="9"/>
            <color indexed="81"/>
            <rFont val="Tahoma"/>
            <family val="2"/>
          </rPr>
          <t>New Meter for Incomer 1 and 2 Hotel and Arjaan replaced on March 1, 2023. Megawatt change to kilowatt</t>
        </r>
      </text>
    </comment>
    <comment ref="C9" authorId="0" shapeId="0" xr:uid="{5FE99E23-FAC4-4837-88FD-C11E450EC330}">
      <text>
        <r>
          <rPr>
            <b/>
            <sz val="9"/>
            <color indexed="81"/>
            <rFont val="Tahoma"/>
            <family val="2"/>
          </rPr>
          <t>New meter installed on March 1, 2023. Megawatt change to kilowatt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B5" authorId="0" shapeId="0" xr:uid="{A094905B-3145-4E91-B966-D3C7F85E3C96}">
      <text>
        <r>
          <rPr>
            <b/>
            <sz val="9"/>
            <color indexed="81"/>
            <rFont val="Tahoma"/>
            <family val="2"/>
          </rPr>
          <t>New water meter replaced on April 13, 2023</t>
        </r>
      </text>
    </comment>
    <comment ref="B9" authorId="0" shapeId="0" xr:uid="{CE22F3E7-64FB-40B2-8E39-2202A3B38411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New meter installed on 26--10-2021
</t>
        </r>
      </text>
    </comment>
    <comment ref="B11" authorId="0" shapeId="0" xr:uid="{BD763E3D-3444-4579-8973-D00AB9A06EE4}">
      <text>
        <r>
          <rPr>
            <b/>
            <sz val="9"/>
            <color indexed="81"/>
            <rFont val="Tahoma"/>
            <family val="2"/>
          </rPr>
          <t>New Meter as of July 8, 2020 by Mohammad Habdeel Hamid from ADDC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" authorId="0" shapeId="0" xr:uid="{E53EB796-BEFA-44EC-BFBB-E6DBBDAFCA14}">
      <text>
        <r>
          <rPr>
            <b/>
            <sz val="9"/>
            <color indexed="81"/>
            <rFont val="Tahoma"/>
            <family val="2"/>
          </rPr>
          <t>Replaced new water meter by ADDC on April 5, 2021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<sst xmlns="http://schemas.openxmlformats.org/spreadsheetml/2006/main" count="123" uniqueCount="88">
  <si>
    <t>Site Name</t>
  </si>
  <si>
    <t>Day</t>
  </si>
  <si>
    <t>Month</t>
  </si>
  <si>
    <t>Year</t>
  </si>
  <si>
    <t xml:space="preserve">Room Nights </t>
  </si>
  <si>
    <t xml:space="preserve">Total Guests </t>
  </si>
  <si>
    <t>Total Electricity Kwh</t>
  </si>
  <si>
    <t>Electricity Tariff ($/Kwh)</t>
  </si>
  <si>
    <t>Water Utility Supply (m3) m3</t>
  </si>
  <si>
    <t>Water Utility Supply (m3) $/m3</t>
  </si>
  <si>
    <t>S/N</t>
  </si>
  <si>
    <r>
      <t>METER NUMBER &amp;</t>
    </r>
    <r>
      <rPr>
        <b/>
        <sz val="9"/>
        <color rgb="FFFF0000"/>
        <rFont val="Arial Narrow"/>
        <family val="2"/>
      </rPr>
      <t>LOCATION</t>
    </r>
  </si>
  <si>
    <t>AREA SERVED</t>
  </si>
  <si>
    <t>Last Month Final Readings</t>
  </si>
  <si>
    <t>I5T18D002265/ No. 72039516</t>
  </si>
  <si>
    <t>Hotel &amp; Arjaan incomer 1 (Kilowatt)</t>
  </si>
  <si>
    <t>I5T18D002266/ No. 72039517</t>
  </si>
  <si>
    <t>Hotel &amp; Arjaan incomer 2 (Kilowatt)</t>
  </si>
  <si>
    <r>
      <t xml:space="preserve">METER NUMBER     &amp;                      </t>
    </r>
    <r>
      <rPr>
        <b/>
        <sz val="10"/>
        <color rgb="FFFF0000"/>
        <rFont val="Arial Narrow"/>
        <family val="2"/>
      </rPr>
      <t>LOCATION</t>
    </r>
  </si>
  <si>
    <t>LAST MONTH'S FINAL READING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</si>
  <si>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</si>
  <si>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</si>
  <si>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</si>
  <si>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</si>
  <si>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</si>
  <si>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</si>
  <si>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</si>
  <si>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</si>
  <si>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</si>
  <si>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</si>
  <si>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</si>
  <si>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</si>
  <si>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</si>
  <si>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</si>
  <si>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</si>
  <si>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</si>
  <si>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</si>
  <si>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</si>
  <si>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</si>
  <si>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</si>
  <si>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</si>
  <si>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</si>
  <si>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</si>
  <si>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</si>
  <si>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</si>
  <si>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</si>
  <si>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</si>
  <si>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</si>
  <si>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48242051 (Hotel &amp; Arjaan Main Meter)</t>
  </si>
  <si>
    <t>Hotel &amp; Arjaan / Raw Water Tank for Hotel,Arjaan,Kitchen,Laundry,Staff Locker,Hotel Swimming Pool</t>
  </si>
  <si>
    <t xml:space="preserve">LPG (Liters) </t>
  </si>
  <si>
    <t>LPG $/Liters</t>
  </si>
  <si>
    <t>Park Rotana and Park Arjaan Abu Dhabi</t>
  </si>
  <si>
    <t>I5T18D002318 / 72039569</t>
  </si>
  <si>
    <t>Chillers (SMDB CH 1) (Kilowatt)</t>
  </si>
  <si>
    <t>I5T18D002317 / 72039568</t>
  </si>
  <si>
    <t>Chillers (SMDB CH 2) (Kilowatt)</t>
  </si>
  <si>
    <t>E5T09D035490</t>
  </si>
  <si>
    <t>Fire Pump 2 S (Kwh)</t>
  </si>
  <si>
    <t>E5TO9D035489</t>
  </si>
  <si>
    <t>Fire Pump 1 S (Kwh)</t>
  </si>
  <si>
    <t>E5T09D034337</t>
  </si>
  <si>
    <t>SMDB Spa S (Kwh)</t>
  </si>
  <si>
    <t>E5T09D034327</t>
  </si>
  <si>
    <t>Hotel Gym S (Kwh)</t>
  </si>
  <si>
    <t>Total Daily Consumption (kw)</t>
  </si>
  <si>
    <t>Total Monthly Consumption (kw)</t>
  </si>
  <si>
    <t>2045000686(Sub Meter)</t>
  </si>
  <si>
    <t>Irrigation water Tank</t>
  </si>
  <si>
    <t>EMK17100DA17081056 (Cooling Tower Meter)</t>
  </si>
  <si>
    <t>Cooling Towers, Irrigation Tank,CHW Make up Line,Residence Pool, Cooling Tower Blow Down</t>
  </si>
  <si>
    <t>Total Daily Consumption (m3)</t>
  </si>
  <si>
    <t>Total Monthly Consumption (m3)</t>
  </si>
  <si>
    <t>Hotel  &amp; Arjaan Gym</t>
  </si>
  <si>
    <t>Hotel &amp; Arjaan Spa</t>
  </si>
  <si>
    <t xml:space="preserve">                                       </t>
  </si>
  <si>
    <t>TOTAL Consumption</t>
  </si>
  <si>
    <t>29</t>
  </si>
  <si>
    <t>30</t>
  </si>
  <si>
    <t>31</t>
  </si>
  <si>
    <t>Occupied</t>
  </si>
  <si>
    <t># Guest</t>
  </si>
  <si>
    <t>Date</t>
  </si>
  <si>
    <t>TOTAL MTD</t>
  </si>
  <si>
    <t>DAILY ELECTRICITY METER READINGS &amp; CONSUMPTION JULY 2024</t>
  </si>
  <si>
    <t>DAILY GAS METER READINGS &amp; CONSUMPTION (Liters) JULY 2024</t>
  </si>
  <si>
    <r>
      <t>DAILY WATER METER READINGS &amp; CONSUMPTION (m</t>
    </r>
    <r>
      <rPr>
        <b/>
        <vertAlign val="superscript"/>
        <sz val="20"/>
        <color rgb="FF000000"/>
        <rFont val="Calibri"/>
        <family val="2"/>
      </rPr>
      <t>3</t>
    </r>
    <r>
      <rPr>
        <b/>
        <sz val="20"/>
        <color rgb="FF000000"/>
        <rFont val="Calibri"/>
        <family val="2"/>
      </rPr>
      <t>) JULY  2024</t>
    </r>
  </si>
  <si>
    <t>Occupied Room &amp; Number of Guest
July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</si>
</sst>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00"/>
    <numFmt numFmtId="166" formatCode="#,##0.000"/>
    <numFmt numFmtId="167" formatCode="#,##0.0"/>
    <numFmt numFmtId="168" formatCode="0.0"/>
  </numFmts>
  <fonts count="3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 Narrow"/>
      <family val="2"/>
    </font>
    <font>
      <b/>
      <sz val="1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color rgb="FFFF0000"/>
      <name val="Arial Narrow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9"/>
      <color indexed="81"/>
      <name val="Tahoma"/>
      <family val="2"/>
    </font>
    <font>
      <b/>
      <sz val="20"/>
      <color rgb="FF000000"/>
      <name val="Calibri"/>
      <family val="2"/>
    </font>
    <font>
      <b/>
      <vertAlign val="superscript"/>
      <sz val="20"/>
      <color rgb="FF000000"/>
      <name val="Calibri"/>
      <family val="2"/>
    </font>
    <font>
      <b/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  <font>
      <sz val="9"/>
      <color indexed="81"/>
      <name val="Tahoma"/>
      <family val="2"/>
    </font>
    <font>
      <b/>
      <sz val="11"/>
      <name val="Arial Narrow"/>
      <family val="2"/>
    </font>
    <font>
      <sz val="10"/>
      <color rgb="FFFF0000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9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4" fontId="20" fillId="0" borderId="0" applyFont="0" applyFill="0" applyBorder="0" applyAlignment="0" applyProtection="0"/>
  </cellStyleXfs>
  <cellXfs count="10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165" fontId="7" fillId="7" borderId="10" xfId="0" applyNumberFormat="1" applyFont="1" applyFill="1" applyBorder="1" applyAlignment="1">
      <alignment horizontal="center" vertical="center"/>
    </xf>
    <xf numFmtId="0" fontId="5" fillId="6" borderId="0" xfId="0" applyFont="1" applyFill="1"/>
    <xf numFmtId="0" fontId="5" fillId="5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" fontId="5" fillId="9" borderId="2" xfId="0" quotePrefix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167" fontId="18" fillId="10" borderId="2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5" fillId="5" borderId="15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21" fillId="6" borderId="0" xfId="0" applyFont="1" applyFill="1"/>
    <xf numFmtId="0" fontId="5" fillId="2" borderId="15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 wrapText="1"/>
    </xf>
    <xf numFmtId="165" fontId="7" fillId="10" borderId="10" xfId="0" applyNumberFormat="1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 wrapText="1"/>
    </xf>
    <xf numFmtId="4" fontId="23" fillId="11" borderId="0" xfId="1" applyNumberFormat="1" applyFont="1" applyFill="1"/>
    <xf numFmtId="4" fontId="23" fillId="11" borderId="0" xfId="1" applyNumberFormat="1" applyFont="1" applyFill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24" fillId="6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4" fontId="16" fillId="11" borderId="0" xfId="0" applyNumberFormat="1" applyFont="1" applyFill="1" applyAlignment="1">
      <alignment horizontal="center" vertical="center"/>
    </xf>
    <xf numFmtId="0" fontId="19" fillId="3" borderId="10" xfId="0" applyFont="1" applyFill="1" applyBorder="1" applyAlignment="1">
      <alignment horizontal="center" vertical="center" wrapText="1"/>
    </xf>
    <xf numFmtId="3" fontId="9" fillId="0" borderId="10" xfId="0" applyNumberFormat="1" applyFont="1" applyBorder="1" applyAlignment="1">
      <alignment horizontal="center" vertical="center"/>
    </xf>
    <xf numFmtId="168" fontId="19" fillId="7" borderId="10" xfId="0" applyNumberFormat="1" applyFont="1" applyFill="1" applyBorder="1" applyAlignment="1">
      <alignment horizontal="center" vertical="center"/>
    </xf>
    <xf numFmtId="1" fontId="9" fillId="3" borderId="10" xfId="0" applyNumberFormat="1" applyFont="1" applyFill="1" applyBorder="1" applyAlignment="1">
      <alignment horizontal="center" vertical="center" wrapText="1"/>
    </xf>
    <xf numFmtId="1" fontId="9" fillId="4" borderId="10" xfId="0" applyNumberFormat="1" applyFont="1" applyFill="1" applyBorder="1" applyAlignment="1">
      <alignment horizontal="center" vertical="center" wrapText="1"/>
    </xf>
    <xf numFmtId="3" fontId="27" fillId="0" borderId="10" xfId="0" applyNumberFormat="1" applyFont="1" applyBorder="1" applyAlignment="1">
      <alignment horizontal="center" vertical="center"/>
    </xf>
    <xf numFmtId="0" fontId="0" fillId="6" borderId="0" xfId="0" applyFill="1"/>
    <xf numFmtId="165" fontId="2" fillId="0" borderId="0" xfId="0" applyNumberFormat="1" applyFont="1"/>
    <xf numFmtId="3" fontId="16" fillId="11" borderId="0" xfId="0" applyNumberFormat="1" applyFont="1" applyFill="1" applyAlignment="1">
      <alignment horizontal="center" vertical="center"/>
    </xf>
    <xf numFmtId="3" fontId="23" fillId="11" borderId="0" xfId="1" applyNumberFormat="1" applyFont="1" applyFill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3" fontId="29" fillId="0" borderId="10" xfId="0" applyNumberFormat="1" applyFont="1" applyBorder="1" applyAlignment="1">
      <alignment horizontal="center" vertical="center"/>
    </xf>
    <xf numFmtId="4" fontId="23" fillId="11" borderId="0" xfId="1" applyNumberFormat="1" applyFont="1" applyFill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4" fontId="23" fillId="11" borderId="13" xfId="1" applyNumberFormat="1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/>
    </xf>
    <xf numFmtId="0" fontId="26" fillId="0" borderId="0" xfId="0" applyFont="1" applyAlignment="1">
      <alignment horizontal="center" vertical="center"/>
    </xf>
    <xf numFmtId="4" fontId="16" fillId="11" borderId="0" xfId="0" applyNumberFormat="1" applyFont="1" applyFill="1" applyAlignment="1">
      <alignment horizontal="center" vertical="center"/>
    </xf>
    <xf numFmtId="4" fontId="25" fillId="11" borderId="13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6" fillId="6" borderId="12" xfId="0" quotePrefix="1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57154</xdr:rowOff>
    </xdr:from>
    <xdr:to>
      <xdr:col>2</xdr:col>
      <xdr:colOff>200025</xdr:colOff>
      <xdr:row>2</xdr:row>
      <xdr:rowOff>342900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9DDD8A2D-8435-4EE5-9251-D99B69BA006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422914"/>
          <a:ext cx="1758315" cy="6515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30</xdr:col>
      <xdr:colOff>137747</xdr:colOff>
      <xdr:row>1</xdr:row>
      <xdr:rowOff>54284</xdr:rowOff>
    </xdr:from>
    <xdr:ext cx="1838325" cy="590550"/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885EC474-E378-49DB-A752-BBCE02E657EE}"/>
            </a:ext>
            <a:ext uri="{147F2762-F138-4A5C-976F-8EAC2B608ADB}">
              <a16:predDERef xmlns:a16="http://schemas.microsoft.com/office/drawing/2014/main" pred="{9D40EFC6-BAA9-4AC4-9296-204E786A57BF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655847" y="420044"/>
          <a:ext cx="18383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57151</xdr:rowOff>
    </xdr:from>
    <xdr:to>
      <xdr:col>2</xdr:col>
      <xdr:colOff>0</xdr:colOff>
      <xdr:row>0</xdr:row>
      <xdr:rowOff>844826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B5DDD607-CB1B-47F0-81CD-B4BBCFAE84E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57151"/>
          <a:ext cx="1851660" cy="78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30</xdr:col>
      <xdr:colOff>170091</xdr:colOff>
      <xdr:row>0</xdr:row>
      <xdr:rowOff>49918</xdr:rowOff>
    </xdr:from>
    <xdr:to>
      <xdr:col>32</xdr:col>
      <xdr:colOff>614858</xdr:colOff>
      <xdr:row>0</xdr:row>
      <xdr:rowOff>836766</xdr:rowOff>
    </xdr:to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23C56294-5804-42BC-8869-E26CB2FDA511}"/>
            </a:ext>
            <a:ext uri="{147F2762-F138-4A5C-976F-8EAC2B608ADB}">
              <a16:predDERef xmlns:a16="http://schemas.microsoft.com/office/drawing/2014/main" pred="{650EFB77-1C68-4279-946F-FD273D2E21D6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359531" y="49918"/>
          <a:ext cx="1843534" cy="7868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tabSelected="1" workbookViewId="0">
      <selection activeCell="G2" sqref="G2:G32"/>
    </sheetView>
  </sheetViews>
  <sheetFormatPr defaultColWidth="11.5703125" defaultRowHeight="15" x14ac:dyDescent="0.25"/>
  <cols>
    <col min="1" max="1" width="29.140625" style="2" bestFit="1" customWidth="1"/>
    <col min="2" max="3" width="11.5703125" style="10"/>
    <col min="4" max="4" width="13.42578125" style="10" customWidth="1"/>
    <col min="5" max="5" width="12.5703125" style="3" customWidth="1"/>
    <col min="6" max="6" width="12.5703125" style="11" customWidth="1"/>
    <col min="7" max="7" width="11.5703125" style="3"/>
    <col min="8" max="8" width="11.5703125" style="11"/>
    <col min="9" max="9" width="11.5703125" style="3"/>
    <col min="10" max="10" width="11.5703125" style="12"/>
    <col min="11" max="24" width="11.5703125" style="3"/>
  </cols>
  <sheetData>
    <row r="1" spans="1:12" s="8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6</v>
      </c>
      <c r="F1" s="6" t="s">
        <v>7</v>
      </c>
      <c r="G1" s="5" t="s">
        <v>50</v>
      </c>
      <c r="H1" s="6" t="s">
        <v>51</v>
      </c>
      <c r="I1" s="5" t="s">
        <v>8</v>
      </c>
      <c r="J1" s="7" t="s">
        <v>9</v>
      </c>
      <c r="K1" s="5" t="s">
        <v>4</v>
      </c>
      <c r="L1" s="5" t="s">
        <v>5</v>
      </c>
    </row>
    <row r="2" spans="1:12" x14ac:dyDescent="0.25">
      <c r="A2" s="9" t="s">
        <v>52</v>
      </c>
      <c r="B2" s="10">
        <v>1</v>
      </c>
      <c r="C2" s="10">
        <v>7</v>
      </c>
      <c r="D2" s="10">
        <v>2024</v>
      </c>
      <c r="E2" s="4" cm="1">
        <f t="array" ref="E2:E32">TRANSPOSE(Electricity!E21:AI21)</f>
        <v>41794.600000000006</v>
      </c>
      <c r="F2" s="11">
        <v>0.2</v>
      </c>
      <c r="G2" s="4">
        <f>LPG!C4</f>
        <v>2048.9032258064517</v>
      </c>
      <c r="H2" s="11">
        <v>1.54</v>
      </c>
      <c r="I2" s="4" cm="1">
        <f t="array" ref="I2:I32">TRANSPOSE(Water!E15:AI15)</f>
        <v>318.71100000001559</v>
      </c>
      <c r="J2" s="11">
        <v>7.84</v>
      </c>
      <c r="K2" s="4">
        <f>'Occupied &amp; No. of Guest'!B3</f>
        <v>478</v>
      </c>
      <c r="L2" s="4">
        <f>'Occupied &amp; No. of Guest'!C3</f>
        <v>683</v>
      </c>
    </row>
    <row r="3" spans="1:12" x14ac:dyDescent="0.25">
      <c r="A3" s="9" t="s">
        <v>52</v>
      </c>
      <c r="B3" s="10">
        <f>B2+1</f>
        <v>2</v>
      </c>
      <c r="C3" s="10">
        <v>7</v>
      </c>
      <c r="D3" s="10">
        <v>2024</v>
      </c>
      <c r="E3" s="4">
        <v>41396</v>
      </c>
      <c r="F3" s="11">
        <v>0.2</v>
      </c>
      <c r="G3" s="4">
        <f>LPG!C5</f>
        <v>2048.9032258064517</v>
      </c>
      <c r="H3" s="11">
        <v>1.54</v>
      </c>
      <c r="I3" s="4">
        <v>393.12689999999509</v>
      </c>
      <c r="J3" s="11">
        <v>7.84</v>
      </c>
      <c r="K3" s="4">
        <f>'Occupied &amp; No. of Guest'!B4</f>
        <v>478</v>
      </c>
      <c r="L3" s="4">
        <f>'Occupied &amp; No. of Guest'!C4</f>
        <v>665</v>
      </c>
    </row>
    <row r="4" spans="1:12" x14ac:dyDescent="0.25">
      <c r="A4" s="9" t="s">
        <v>52</v>
      </c>
      <c r="B4" s="10">
        <f t="shared" ref="B4:B32" si="0">B3+1</f>
        <v>3</v>
      </c>
      <c r="C4" s="10">
        <v>7</v>
      </c>
      <c r="D4" s="10">
        <v>2024</v>
      </c>
      <c r="E4" s="4">
        <v>44721.8</v>
      </c>
      <c r="F4" s="11">
        <v>0.2</v>
      </c>
      <c r="G4" s="4">
        <f>LPG!C6</f>
        <v>2048.9032258064517</v>
      </c>
      <c r="H4" s="11">
        <v>1.54</v>
      </c>
      <c r="I4" s="4">
        <v>355.9451000000052</v>
      </c>
      <c r="J4" s="11">
        <v>7.84</v>
      </c>
      <c r="K4" s="4">
        <f>'Occupied &amp; No. of Guest'!B5</f>
        <v>480</v>
      </c>
      <c r="L4" s="4">
        <f>'Occupied &amp; No. of Guest'!C5</f>
        <v>668</v>
      </c>
    </row>
    <row r="5" spans="1:12" x14ac:dyDescent="0.25">
      <c r="A5" s="9" t="s">
        <v>52</v>
      </c>
      <c r="B5" s="10">
        <f t="shared" si="0"/>
        <v>4</v>
      </c>
      <c r="C5" s="10">
        <v>7</v>
      </c>
      <c r="D5" s="10">
        <v>2024</v>
      </c>
      <c r="E5" s="4">
        <v>42830.600000000006</v>
      </c>
      <c r="F5" s="11">
        <v>0.2</v>
      </c>
      <c r="G5" s="4">
        <f>LPG!C7</f>
        <v>2048.9032258064517</v>
      </c>
      <c r="H5" s="11">
        <v>1.54</v>
      </c>
      <c r="I5" s="4">
        <v>311.72500000000019</v>
      </c>
      <c r="J5" s="11">
        <v>7.84</v>
      </c>
      <c r="K5" s="4">
        <f>'Occupied &amp; No. of Guest'!B6</f>
        <v>479</v>
      </c>
      <c r="L5" s="4">
        <f>'Occupied &amp; No. of Guest'!C6</f>
        <v>658</v>
      </c>
    </row>
    <row r="6" spans="1:12" x14ac:dyDescent="0.25">
      <c r="A6" s="9" t="s">
        <v>52</v>
      </c>
      <c r="B6" s="10">
        <f t="shared" si="0"/>
        <v>5</v>
      </c>
      <c r="C6" s="10">
        <v>7</v>
      </c>
      <c r="D6" s="10">
        <v>2024</v>
      </c>
      <c r="E6" s="4">
        <v>43740</v>
      </c>
      <c r="F6" s="11">
        <v>0.2</v>
      </c>
      <c r="G6" s="4">
        <f>LPG!C8</f>
        <v>2048.9032258064517</v>
      </c>
      <c r="H6" s="11">
        <v>1.54</v>
      </c>
      <c r="I6" s="4">
        <v>370.44799999999475</v>
      </c>
      <c r="J6" s="11">
        <v>7.84</v>
      </c>
      <c r="K6" s="4">
        <f>'Occupied &amp; No. of Guest'!B7</f>
        <v>420</v>
      </c>
      <c r="L6" s="4">
        <f>'Occupied &amp; No. of Guest'!C7</f>
        <v>608</v>
      </c>
    </row>
    <row r="7" spans="1:12" x14ac:dyDescent="0.25">
      <c r="A7" s="9" t="s">
        <v>52</v>
      </c>
      <c r="B7" s="10">
        <f t="shared" si="0"/>
        <v>6</v>
      </c>
      <c r="C7" s="10">
        <v>7</v>
      </c>
      <c r="D7" s="10">
        <v>2024</v>
      </c>
      <c r="E7" s="4">
        <v>42386.600000000006</v>
      </c>
      <c r="F7" s="11">
        <v>0.2</v>
      </c>
      <c r="G7" s="4">
        <f>LPG!C9</f>
        <v>2048.9032258064517</v>
      </c>
      <c r="H7" s="11">
        <v>1.54</v>
      </c>
      <c r="I7" s="4">
        <v>272.91199999998906</v>
      </c>
      <c r="J7" s="11">
        <v>7.84</v>
      </c>
      <c r="K7" s="4">
        <f>'Occupied &amp; No. of Guest'!B8</f>
        <v>460</v>
      </c>
      <c r="L7" s="4">
        <f>'Occupied &amp; No. of Guest'!C8</f>
        <v>676</v>
      </c>
    </row>
    <row r="8" spans="1:12" x14ac:dyDescent="0.25">
      <c r="A8" s="9" t="s">
        <v>52</v>
      </c>
      <c r="B8" s="10">
        <f t="shared" si="0"/>
        <v>7</v>
      </c>
      <c r="C8" s="10">
        <v>7</v>
      </c>
      <c r="D8" s="10">
        <v>2024</v>
      </c>
      <c r="E8" s="4">
        <v>41409.800000000003</v>
      </c>
      <c r="F8" s="11">
        <v>0.2</v>
      </c>
      <c r="G8" s="4">
        <f>LPG!C10</f>
        <v>2048.9032258064517</v>
      </c>
      <c r="H8" s="11">
        <v>1.54</v>
      </c>
      <c r="I8" s="4">
        <v>334.64800000000042</v>
      </c>
      <c r="J8" s="11">
        <v>7.84</v>
      </c>
      <c r="K8" s="4">
        <f>'Occupied &amp; No. of Guest'!B9</f>
        <v>438</v>
      </c>
      <c r="L8" s="4">
        <f>'Occupied &amp; No. of Guest'!C9</f>
        <v>582</v>
      </c>
    </row>
    <row r="9" spans="1:12" x14ac:dyDescent="0.25">
      <c r="A9" s="9" t="s">
        <v>52</v>
      </c>
      <c r="B9" s="10">
        <f t="shared" si="0"/>
        <v>8</v>
      </c>
      <c r="C9" s="10">
        <v>7</v>
      </c>
      <c r="D9" s="10">
        <v>2024</v>
      </c>
      <c r="E9" s="4">
        <v>44224.600000000006</v>
      </c>
      <c r="F9" s="11">
        <v>0.2</v>
      </c>
      <c r="G9" s="4">
        <f>LPG!C11</f>
        <v>2048.9032258064517</v>
      </c>
      <c r="H9" s="11">
        <v>1.54</v>
      </c>
      <c r="I9" s="4">
        <v>397.57699999999977</v>
      </c>
      <c r="J9" s="11">
        <v>7.84</v>
      </c>
      <c r="K9" s="4">
        <f>'Occupied &amp; No. of Guest'!B10</f>
        <v>480</v>
      </c>
      <c r="L9" s="4">
        <f>'Occupied &amp; No. of Guest'!C10</f>
        <v>691</v>
      </c>
    </row>
    <row r="10" spans="1:12" x14ac:dyDescent="0.25">
      <c r="A10" s="9" t="s">
        <v>52</v>
      </c>
      <c r="B10" s="10">
        <f t="shared" si="0"/>
        <v>9</v>
      </c>
      <c r="C10" s="10">
        <v>7</v>
      </c>
      <c r="D10" s="10">
        <v>2024</v>
      </c>
      <c r="E10" s="4">
        <v>45937.600000000006</v>
      </c>
      <c r="F10" s="11">
        <v>0.2</v>
      </c>
      <c r="G10" s="4">
        <f>LPG!C12</f>
        <v>2048.9032258064517</v>
      </c>
      <c r="H10" s="11">
        <v>1.54</v>
      </c>
      <c r="I10" s="4">
        <v>354.2380000000104</v>
      </c>
      <c r="J10" s="11">
        <v>7.84</v>
      </c>
      <c r="K10" s="4">
        <f>'Occupied &amp; No. of Guest'!B11</f>
        <v>450</v>
      </c>
      <c r="L10" s="4">
        <f>'Occupied &amp; No. of Guest'!C11</f>
        <v>615</v>
      </c>
    </row>
    <row r="11" spans="1:12" x14ac:dyDescent="0.25">
      <c r="A11" s="9" t="s">
        <v>52</v>
      </c>
      <c r="B11" s="10">
        <f t="shared" si="0"/>
        <v>10</v>
      </c>
      <c r="C11" s="10">
        <v>7</v>
      </c>
      <c r="D11" s="10">
        <v>2024</v>
      </c>
      <c r="E11" s="4">
        <v>45433.8</v>
      </c>
      <c r="F11" s="11">
        <v>0.2</v>
      </c>
      <c r="G11" s="4">
        <f>LPG!C13</f>
        <v>2048.9032258064517</v>
      </c>
      <c r="H11" s="11">
        <v>1.54</v>
      </c>
      <c r="I11" s="4">
        <v>318.3549999999899</v>
      </c>
      <c r="J11" s="11">
        <v>7.84</v>
      </c>
      <c r="K11" s="4">
        <f>'Occupied &amp; No. of Guest'!B12</f>
        <v>470</v>
      </c>
      <c r="L11" s="4">
        <f>'Occupied &amp; No. of Guest'!C12</f>
        <v>644</v>
      </c>
    </row>
    <row r="12" spans="1:12" x14ac:dyDescent="0.25">
      <c r="A12" s="9" t="s">
        <v>52</v>
      </c>
      <c r="B12" s="10">
        <f t="shared" si="0"/>
        <v>11</v>
      </c>
      <c r="C12" s="10">
        <v>7</v>
      </c>
      <c r="D12" s="10">
        <v>2024</v>
      </c>
      <c r="E12" s="4">
        <v>45911.199999999997</v>
      </c>
      <c r="F12" s="11">
        <v>0.2</v>
      </c>
      <c r="G12" s="4">
        <f>LPG!C14</f>
        <v>2048.9032258064517</v>
      </c>
      <c r="H12" s="11">
        <v>1.54</v>
      </c>
      <c r="I12" s="4">
        <v>397.29400000002079</v>
      </c>
      <c r="J12" s="11">
        <v>7.84</v>
      </c>
      <c r="K12" s="4">
        <f>'Occupied &amp; No. of Guest'!B13</f>
        <v>478</v>
      </c>
      <c r="L12" s="4">
        <f>'Occupied &amp; No. of Guest'!C13</f>
        <v>665</v>
      </c>
    </row>
    <row r="13" spans="1:12" x14ac:dyDescent="0.25">
      <c r="A13" s="9" t="s">
        <v>52</v>
      </c>
      <c r="B13" s="10">
        <f t="shared" si="0"/>
        <v>12</v>
      </c>
      <c r="C13" s="10">
        <v>7</v>
      </c>
      <c r="D13" s="10">
        <v>2024</v>
      </c>
      <c r="E13" s="4">
        <v>46577.4</v>
      </c>
      <c r="F13" s="11">
        <v>0.2</v>
      </c>
      <c r="G13" s="4">
        <f>LPG!C15</f>
        <v>2048.9032258064517</v>
      </c>
      <c r="H13" s="11">
        <v>1.54</v>
      </c>
      <c r="I13" s="4">
        <v>317.15099999998949</v>
      </c>
      <c r="J13" s="11">
        <v>7.84</v>
      </c>
      <c r="K13" s="4">
        <f>'Occupied &amp; No. of Guest'!B14</f>
        <v>425</v>
      </c>
      <c r="L13" s="4">
        <f>'Occupied &amp; No. of Guest'!C14</f>
        <v>606</v>
      </c>
    </row>
    <row r="14" spans="1:12" x14ac:dyDescent="0.25">
      <c r="A14" s="9" t="s">
        <v>52</v>
      </c>
      <c r="B14" s="10">
        <f t="shared" si="0"/>
        <v>13</v>
      </c>
      <c r="C14" s="10">
        <v>7</v>
      </c>
      <c r="D14" s="10">
        <v>2024</v>
      </c>
      <c r="E14" s="4">
        <v>44312.4</v>
      </c>
      <c r="F14" s="11">
        <v>0.2</v>
      </c>
      <c r="G14" s="4">
        <f>LPG!C16</f>
        <v>2048.9032258064517</v>
      </c>
      <c r="H14" s="11">
        <v>1.54</v>
      </c>
      <c r="I14" s="4">
        <v>304.14800000000514</v>
      </c>
      <c r="J14" s="11">
        <v>7.84</v>
      </c>
      <c r="K14" s="4">
        <f>'Occupied &amp; No. of Guest'!B15</f>
        <v>444</v>
      </c>
      <c r="L14" s="4">
        <f>'Occupied &amp; No. of Guest'!C15</f>
        <v>638</v>
      </c>
    </row>
    <row r="15" spans="1:12" x14ac:dyDescent="0.25">
      <c r="A15" s="9" t="s">
        <v>52</v>
      </c>
      <c r="B15" s="10">
        <f t="shared" si="0"/>
        <v>14</v>
      </c>
      <c r="C15" s="10">
        <v>7</v>
      </c>
      <c r="D15" s="10">
        <v>2024</v>
      </c>
      <c r="E15" s="4">
        <v>43187.600000000006</v>
      </c>
      <c r="F15" s="11">
        <v>0.2</v>
      </c>
      <c r="G15" s="4">
        <f>LPG!C17</f>
        <v>2048.9032258064517</v>
      </c>
      <c r="H15" s="11">
        <v>1.54</v>
      </c>
      <c r="I15" s="4">
        <v>348.43999999999494</v>
      </c>
      <c r="J15" s="11">
        <v>7.84</v>
      </c>
      <c r="K15" s="4">
        <f>'Occupied &amp; No. of Guest'!B16</f>
        <v>461</v>
      </c>
      <c r="L15" s="4">
        <f>'Occupied &amp; No. of Guest'!C16</f>
        <v>646</v>
      </c>
    </row>
    <row r="16" spans="1:12" x14ac:dyDescent="0.25">
      <c r="A16" s="9" t="s">
        <v>52</v>
      </c>
      <c r="B16" s="10">
        <f t="shared" si="0"/>
        <v>15</v>
      </c>
      <c r="C16" s="10">
        <v>7</v>
      </c>
      <c r="D16" s="10">
        <v>2024</v>
      </c>
      <c r="E16" s="4">
        <v>45029.600000000006</v>
      </c>
      <c r="F16" s="11">
        <v>0.2</v>
      </c>
      <c r="G16" s="4">
        <f>LPG!C18</f>
        <v>2048.9032258064517</v>
      </c>
      <c r="H16" s="11">
        <v>1.54</v>
      </c>
      <c r="I16" s="4">
        <v>312.82499999998947</v>
      </c>
      <c r="J16" s="11">
        <v>7.84</v>
      </c>
      <c r="K16" s="4">
        <f>'Occupied &amp; No. of Guest'!B17</f>
        <v>486</v>
      </c>
      <c r="L16" s="4">
        <f>'Occupied &amp; No. of Guest'!C17</f>
        <v>684</v>
      </c>
    </row>
    <row r="17" spans="1:12" x14ac:dyDescent="0.25">
      <c r="A17" s="9" t="s">
        <v>52</v>
      </c>
      <c r="B17" s="10">
        <f t="shared" si="0"/>
        <v>16</v>
      </c>
      <c r="C17" s="10">
        <v>7</v>
      </c>
      <c r="D17" s="10">
        <v>2024</v>
      </c>
      <c r="E17" s="4">
        <v>45203.600000000006</v>
      </c>
      <c r="F17" s="11">
        <v>0.2</v>
      </c>
      <c r="G17" s="4">
        <f>LPG!C19</f>
        <v>2048.9032258064517</v>
      </c>
      <c r="H17" s="11">
        <v>1.54</v>
      </c>
      <c r="I17" s="4">
        <v>306.17199999999974</v>
      </c>
      <c r="J17" s="11">
        <v>7.84</v>
      </c>
      <c r="K17" s="4">
        <f>'Occupied &amp; No. of Guest'!B18</f>
        <v>487</v>
      </c>
      <c r="L17" s="4">
        <f>'Occupied &amp; No. of Guest'!C18</f>
        <v>673</v>
      </c>
    </row>
    <row r="18" spans="1:12" x14ac:dyDescent="0.25">
      <c r="A18" s="9" t="s">
        <v>52</v>
      </c>
      <c r="B18" s="10">
        <f t="shared" si="0"/>
        <v>17</v>
      </c>
      <c r="C18" s="10">
        <v>7</v>
      </c>
      <c r="D18" s="10">
        <v>2024</v>
      </c>
      <c r="E18" s="4">
        <v>45421.4</v>
      </c>
      <c r="F18" s="11">
        <v>0.2</v>
      </c>
      <c r="G18" s="4">
        <f>LPG!C20</f>
        <v>2048.9032258064517</v>
      </c>
      <c r="H18" s="11">
        <v>1.54</v>
      </c>
      <c r="I18" s="4">
        <v>517.25300000001096</v>
      </c>
      <c r="J18" s="11">
        <v>7.84</v>
      </c>
      <c r="K18" s="4">
        <f>'Occupied &amp; No. of Guest'!B19</f>
        <v>482</v>
      </c>
      <c r="L18" s="4">
        <f>'Occupied &amp; No. of Guest'!C19</f>
        <v>682</v>
      </c>
    </row>
    <row r="19" spans="1:12" x14ac:dyDescent="0.25">
      <c r="A19" s="9" t="s">
        <v>52</v>
      </c>
      <c r="B19" s="10">
        <f t="shared" si="0"/>
        <v>18</v>
      </c>
      <c r="C19" s="10">
        <v>7</v>
      </c>
      <c r="D19" s="10">
        <v>2024</v>
      </c>
      <c r="E19" s="4">
        <v>45804.4</v>
      </c>
      <c r="F19" s="11">
        <v>0.2</v>
      </c>
      <c r="G19" s="4">
        <f>LPG!C21</f>
        <v>2048.9032258064517</v>
      </c>
      <c r="H19" s="11">
        <v>1.54</v>
      </c>
      <c r="I19" s="4">
        <v>363.58999999999969</v>
      </c>
      <c r="J19" s="11">
        <v>7.84</v>
      </c>
      <c r="K19" s="4">
        <f>'Occupied &amp; No. of Guest'!B20</f>
        <v>474</v>
      </c>
      <c r="L19" s="4">
        <f>'Occupied &amp; No. of Guest'!C20</f>
        <v>675</v>
      </c>
    </row>
    <row r="20" spans="1:12" x14ac:dyDescent="0.25">
      <c r="A20" s="9" t="s">
        <v>52</v>
      </c>
      <c r="B20" s="10">
        <f t="shared" si="0"/>
        <v>19</v>
      </c>
      <c r="C20" s="10">
        <v>7</v>
      </c>
      <c r="D20" s="10">
        <v>2024</v>
      </c>
      <c r="E20" s="4">
        <v>47539.199999999997</v>
      </c>
      <c r="F20" s="11">
        <v>0.2</v>
      </c>
      <c r="G20" s="4">
        <f>LPG!C22</f>
        <v>2048.9032258064517</v>
      </c>
      <c r="H20" s="11">
        <v>1.54</v>
      </c>
      <c r="I20" s="4">
        <v>537.84600000000512</v>
      </c>
      <c r="J20" s="11">
        <v>7.84</v>
      </c>
      <c r="K20" s="4">
        <f>'Occupied &amp; No. of Guest'!B21</f>
        <v>439</v>
      </c>
      <c r="L20" s="4">
        <f>'Occupied &amp; No. of Guest'!C21</f>
        <v>642</v>
      </c>
    </row>
    <row r="21" spans="1:12" x14ac:dyDescent="0.25">
      <c r="A21" s="9" t="s">
        <v>52</v>
      </c>
      <c r="B21" s="10">
        <f t="shared" si="0"/>
        <v>20</v>
      </c>
      <c r="C21" s="10">
        <v>7</v>
      </c>
      <c r="D21" s="10">
        <v>2024</v>
      </c>
      <c r="E21" s="4">
        <v>45993.8</v>
      </c>
      <c r="F21" s="11">
        <v>0.2</v>
      </c>
      <c r="G21" s="4">
        <f>LPG!C23</f>
        <v>2048.9032258064517</v>
      </c>
      <c r="H21" s="11">
        <v>1.54</v>
      </c>
      <c r="I21" s="4">
        <v>311.05899999998439</v>
      </c>
      <c r="J21" s="11">
        <v>7.84</v>
      </c>
      <c r="K21" s="4">
        <f>'Occupied &amp; No. of Guest'!B22</f>
        <v>426</v>
      </c>
      <c r="L21" s="4">
        <f>'Occupied &amp; No. of Guest'!C22</f>
        <v>604</v>
      </c>
    </row>
    <row r="22" spans="1:12" x14ac:dyDescent="0.25">
      <c r="A22" s="9" t="s">
        <v>52</v>
      </c>
      <c r="B22" s="10">
        <f t="shared" si="0"/>
        <v>21</v>
      </c>
      <c r="C22" s="10">
        <v>7</v>
      </c>
      <c r="D22" s="10">
        <v>2024</v>
      </c>
      <c r="E22" s="4">
        <v>44545.2</v>
      </c>
      <c r="F22" s="11">
        <v>0.2</v>
      </c>
      <c r="G22" s="4">
        <f>LPG!C24</f>
        <v>2048.9032258064517</v>
      </c>
      <c r="H22" s="11">
        <v>1.54</v>
      </c>
      <c r="I22" s="4">
        <v>405.69100000001606</v>
      </c>
      <c r="J22" s="11">
        <v>7.84</v>
      </c>
      <c r="K22" s="4">
        <f>'Occupied &amp; No. of Guest'!B23</f>
        <v>433</v>
      </c>
      <c r="L22" s="4">
        <f>'Occupied &amp; No. of Guest'!C23</f>
        <v>588</v>
      </c>
    </row>
    <row r="23" spans="1:12" x14ac:dyDescent="0.25">
      <c r="A23" s="9" t="s">
        <v>52</v>
      </c>
      <c r="B23" s="10">
        <f t="shared" si="0"/>
        <v>22</v>
      </c>
      <c r="C23" s="10">
        <v>7</v>
      </c>
      <c r="D23" s="10">
        <v>2024</v>
      </c>
      <c r="E23" s="4">
        <v>47379</v>
      </c>
      <c r="F23" s="11">
        <v>0.2</v>
      </c>
      <c r="G23" s="4">
        <f>LPG!C25</f>
        <v>2048.9032258064517</v>
      </c>
      <c r="H23" s="11">
        <v>1.54</v>
      </c>
      <c r="I23" s="4">
        <v>345.77399999999489</v>
      </c>
      <c r="J23" s="11">
        <v>7.84</v>
      </c>
      <c r="K23" s="4">
        <f>'Occupied &amp; No. of Guest'!B24</f>
        <v>477</v>
      </c>
      <c r="L23" s="4">
        <f>'Occupied &amp; No. of Guest'!C24</f>
        <v>691</v>
      </c>
    </row>
    <row r="24" spans="1:12" x14ac:dyDescent="0.25">
      <c r="A24" s="9" t="s">
        <v>52</v>
      </c>
      <c r="B24" s="10">
        <f t="shared" si="0"/>
        <v>23</v>
      </c>
      <c r="C24" s="10">
        <v>7</v>
      </c>
      <c r="D24" s="10">
        <v>2024</v>
      </c>
      <c r="E24" s="4">
        <v>47911.4</v>
      </c>
      <c r="F24" s="11">
        <v>0.2</v>
      </c>
      <c r="G24" s="4">
        <f>LPG!C26</f>
        <v>2048.9032258064517</v>
      </c>
      <c r="H24" s="11">
        <v>1.54</v>
      </c>
      <c r="I24" s="4">
        <v>390.40899999998874</v>
      </c>
      <c r="J24" s="11">
        <v>7.84</v>
      </c>
      <c r="K24" s="4">
        <f>'Occupied &amp; No. of Guest'!B25</f>
        <v>477</v>
      </c>
      <c r="L24" s="4">
        <f>'Occupied &amp; No. of Guest'!C25</f>
        <v>655</v>
      </c>
    </row>
    <row r="25" spans="1:12" x14ac:dyDescent="0.25">
      <c r="A25" s="9" t="s">
        <v>52</v>
      </c>
      <c r="B25" s="10">
        <f t="shared" si="0"/>
        <v>24</v>
      </c>
      <c r="C25" s="10">
        <v>7</v>
      </c>
      <c r="D25" s="10">
        <v>2024</v>
      </c>
      <c r="E25" s="4">
        <v>46099.4</v>
      </c>
      <c r="F25" s="11">
        <v>0.2</v>
      </c>
      <c r="G25" s="4">
        <f>LPG!C27</f>
        <v>2048.9032258064517</v>
      </c>
      <c r="H25" s="11">
        <v>1.54</v>
      </c>
      <c r="I25" s="4">
        <v>355.09300000000559</v>
      </c>
      <c r="J25" s="11">
        <v>7.84</v>
      </c>
      <c r="K25" s="4">
        <f>'Occupied &amp; No. of Guest'!B26</f>
        <v>484</v>
      </c>
      <c r="L25" s="4">
        <f>'Occupied &amp; No. of Guest'!C26</f>
        <v>670</v>
      </c>
    </row>
    <row r="26" spans="1:12" x14ac:dyDescent="0.25">
      <c r="A26" s="9" t="s">
        <v>52</v>
      </c>
      <c r="B26" s="10">
        <f>B25+1</f>
        <v>25</v>
      </c>
      <c r="C26" s="10">
        <v>7</v>
      </c>
      <c r="D26" s="10">
        <v>2024</v>
      </c>
      <c r="E26" s="4">
        <v>46340.600000000006</v>
      </c>
      <c r="F26" s="11">
        <v>0.2</v>
      </c>
      <c r="G26" s="4">
        <f>LPG!C28</f>
        <v>2048.9032258064517</v>
      </c>
      <c r="H26" s="11">
        <v>1.54</v>
      </c>
      <c r="I26" s="4">
        <v>376.91499999999462</v>
      </c>
      <c r="J26" s="11">
        <v>7.84</v>
      </c>
      <c r="K26" s="4">
        <f>'Occupied &amp; No. of Guest'!B27</f>
        <v>473</v>
      </c>
      <c r="L26" s="4">
        <f>'Occupied &amp; No. of Guest'!C27</f>
        <v>646</v>
      </c>
    </row>
    <row r="27" spans="1:12" x14ac:dyDescent="0.25">
      <c r="A27" s="9" t="s">
        <v>52</v>
      </c>
      <c r="B27" s="10">
        <f t="shared" si="0"/>
        <v>26</v>
      </c>
      <c r="C27" s="10">
        <v>7</v>
      </c>
      <c r="D27" s="10">
        <v>2024</v>
      </c>
      <c r="E27" s="4">
        <v>44242.600000000006</v>
      </c>
      <c r="F27" s="11">
        <v>0.2</v>
      </c>
      <c r="G27" s="4">
        <f>LPG!C29</f>
        <v>2048.9032258064517</v>
      </c>
      <c r="H27" s="11">
        <v>1.54</v>
      </c>
      <c r="I27" s="4">
        <v>376.75500000001557</v>
      </c>
      <c r="J27" s="11">
        <v>7.84</v>
      </c>
      <c r="K27" s="4">
        <f>'Occupied &amp; No. of Guest'!B28</f>
        <v>440</v>
      </c>
      <c r="L27" s="4">
        <f>'Occupied &amp; No. of Guest'!C28</f>
        <v>607</v>
      </c>
    </row>
    <row r="28" spans="1:12" x14ac:dyDescent="0.25">
      <c r="A28" s="9" t="s">
        <v>52</v>
      </c>
      <c r="B28" s="10">
        <f t="shared" si="0"/>
        <v>27</v>
      </c>
      <c r="C28" s="10">
        <v>7</v>
      </c>
      <c r="D28" s="10">
        <v>2024</v>
      </c>
      <c r="E28" s="4">
        <v>44783.199999999997</v>
      </c>
      <c r="F28" s="11">
        <v>0.2</v>
      </c>
      <c r="G28" s="4">
        <f>LPG!C30</f>
        <v>2048.9032258064517</v>
      </c>
      <c r="H28" s="11">
        <v>1.54</v>
      </c>
      <c r="I28" s="4">
        <v>261.41299999998455</v>
      </c>
      <c r="J28" s="11">
        <v>7.84</v>
      </c>
      <c r="K28" s="4">
        <f>'Occupied &amp; No. of Guest'!B29</f>
        <v>482</v>
      </c>
      <c r="L28" s="4">
        <f>'Occupied &amp; No. of Guest'!C29</f>
        <v>704</v>
      </c>
    </row>
    <row r="29" spans="1:12" x14ac:dyDescent="0.25">
      <c r="A29" s="9" t="s">
        <v>52</v>
      </c>
      <c r="B29" s="10">
        <f t="shared" si="0"/>
        <v>28</v>
      </c>
      <c r="C29" s="10">
        <v>7</v>
      </c>
      <c r="D29" s="10">
        <v>2024</v>
      </c>
      <c r="E29" s="4">
        <v>45017.600000000006</v>
      </c>
      <c r="F29" s="11">
        <v>0.2</v>
      </c>
      <c r="G29" s="4">
        <f>LPG!C31</f>
        <v>2048.9032258064517</v>
      </c>
      <c r="H29" s="11">
        <v>1.54</v>
      </c>
      <c r="I29" s="4">
        <v>382.29200000000003</v>
      </c>
      <c r="J29" s="11">
        <v>7.84</v>
      </c>
      <c r="K29" s="4">
        <f>'Occupied &amp; No. of Guest'!B30</f>
        <v>445</v>
      </c>
      <c r="L29" s="4">
        <f>'Occupied &amp; No. of Guest'!C30</f>
        <v>639</v>
      </c>
    </row>
    <row r="30" spans="1:12" x14ac:dyDescent="0.25">
      <c r="A30" s="9" t="s">
        <v>52</v>
      </c>
      <c r="B30" s="10">
        <f t="shared" si="0"/>
        <v>29</v>
      </c>
      <c r="C30" s="10">
        <v>7</v>
      </c>
      <c r="D30" s="10">
        <v>2024</v>
      </c>
      <c r="E30" s="4">
        <v>47217.2</v>
      </c>
      <c r="F30" s="11">
        <v>0.2</v>
      </c>
      <c r="G30" s="4">
        <f>LPG!C32</f>
        <v>2048.9032258064517</v>
      </c>
      <c r="H30" s="11">
        <v>1.54</v>
      </c>
      <c r="I30" s="4">
        <v>313.79600000000005</v>
      </c>
      <c r="J30" s="11">
        <v>7.84</v>
      </c>
      <c r="K30" s="4">
        <f>'Occupied &amp; No. of Guest'!B31</f>
        <v>488</v>
      </c>
      <c r="L30" s="4">
        <f>'Occupied &amp; No. of Guest'!C31</f>
        <v>707</v>
      </c>
    </row>
    <row r="31" spans="1:12" x14ac:dyDescent="0.25">
      <c r="A31" s="9" t="s">
        <v>52</v>
      </c>
      <c r="B31" s="10">
        <f t="shared" si="0"/>
        <v>30</v>
      </c>
      <c r="C31" s="10">
        <v>7</v>
      </c>
      <c r="D31" s="10">
        <v>2024</v>
      </c>
      <c r="E31" s="4">
        <v>46796.800000000003</v>
      </c>
      <c r="F31" s="11">
        <v>0.2</v>
      </c>
      <c r="G31" s="4">
        <f>LPG!C33</f>
        <v>2048.9032258064517</v>
      </c>
      <c r="H31" s="11">
        <v>1.54</v>
      </c>
      <c r="I31" s="4">
        <v>453.05599999999993</v>
      </c>
      <c r="J31" s="11">
        <v>7.84</v>
      </c>
      <c r="K31" s="4">
        <f>'Occupied &amp; No. of Guest'!B32</f>
        <v>476</v>
      </c>
      <c r="L31" s="4">
        <f>'Occupied &amp; No. of Guest'!C32</f>
        <v>685</v>
      </c>
    </row>
    <row r="32" spans="1:12" x14ac:dyDescent="0.25">
      <c r="A32" s="9" t="s">
        <v>52</v>
      </c>
      <c r="B32" s="10">
        <f t="shared" si="0"/>
        <v>31</v>
      </c>
      <c r="C32" s="10">
        <v>7</v>
      </c>
      <c r="D32" s="10">
        <v>2024</v>
      </c>
      <c r="E32" s="4">
        <v>48622.8</v>
      </c>
      <c r="F32" s="11">
        <v>0.2</v>
      </c>
      <c r="G32" s="4">
        <f>LPG!C34</f>
        <v>2048.9032258064517</v>
      </c>
      <c r="H32" s="11">
        <v>1.54</v>
      </c>
      <c r="I32" s="4">
        <v>420.56200000001581</v>
      </c>
      <c r="J32" s="11">
        <v>7.84</v>
      </c>
      <c r="K32" s="4">
        <f>'Occupied &amp; No. of Guest'!B33</f>
        <v>476</v>
      </c>
      <c r="L32" s="4">
        <f>'Occupied &amp; No. of Guest'!C33</f>
        <v>709</v>
      </c>
    </row>
    <row r="33" spans="7:7" x14ac:dyDescent="0.25">
      <c r="G3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785D-AAE3-4932-B36D-B3428EA355C6}">
  <sheetPr>
    <pageSetUpPr fitToPage="1"/>
  </sheetPr>
  <dimension ref="A1:BO22"/>
  <sheetViews>
    <sheetView zoomScaleNormal="100" zoomScaleSheetLayoutView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D17" sqref="D17:AI20"/>
    </sheetView>
  </sheetViews>
  <sheetFormatPr defaultColWidth="9.140625" defaultRowHeight="27" customHeight="1" x14ac:dyDescent="0.2"/>
  <cols>
    <col min="1" max="1" width="5.7109375" style="13" customWidth="1"/>
    <col min="2" max="2" width="17.28515625" style="26" customWidth="1"/>
    <col min="3" max="3" width="21.42578125" style="26" customWidth="1"/>
    <col min="4" max="4" width="10.5703125" style="13" customWidth="1"/>
    <col min="5" max="6" width="15" style="14" customWidth="1"/>
    <col min="7" max="35" width="15" style="13" customWidth="1"/>
    <col min="36" max="16384" width="9.140625" style="13"/>
  </cols>
  <sheetData>
    <row r="1" spans="1:67" ht="29.25" customHeight="1" x14ac:dyDescent="0.2">
      <c r="B1" s="13"/>
      <c r="C1" s="14"/>
      <c r="D1" s="14"/>
      <c r="G1" s="14"/>
    </row>
    <row r="2" spans="1:67" s="14" customFormat="1" ht="29.25" customHeight="1" x14ac:dyDescent="0.25">
      <c r="A2" s="78" t="s">
        <v>84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</row>
    <row r="3" spans="1:67" s="14" customFormat="1" ht="29.25" customHeight="1" thickBot="1" x14ac:dyDescent="0.3"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</row>
    <row r="4" spans="1:67" ht="39" thickBot="1" x14ac:dyDescent="0.25">
      <c r="A4" s="15" t="s">
        <v>10</v>
      </c>
      <c r="B4" s="16" t="s">
        <v>11</v>
      </c>
      <c r="C4" s="17" t="s">
        <v>12</v>
      </c>
      <c r="D4" s="18" t="s">
        <v>13</v>
      </c>
      <c r="E4" s="18">
        <v>1</v>
      </c>
      <c r="F4" s="18">
        <v>2</v>
      </c>
      <c r="G4" s="19">
        <v>3</v>
      </c>
      <c r="H4" s="18">
        <v>4</v>
      </c>
      <c r="I4" s="18">
        <v>5</v>
      </c>
      <c r="J4" s="18">
        <v>6</v>
      </c>
      <c r="K4" s="18">
        <v>7</v>
      </c>
      <c r="L4" s="18">
        <v>8</v>
      </c>
      <c r="M4" s="18">
        <v>9</v>
      </c>
      <c r="N4" s="18">
        <v>10</v>
      </c>
      <c r="O4" s="18">
        <v>11</v>
      </c>
      <c r="P4" s="18">
        <v>12</v>
      </c>
      <c r="Q4" s="18">
        <v>13</v>
      </c>
      <c r="R4" s="18">
        <v>14</v>
      </c>
      <c r="S4" s="18">
        <v>15</v>
      </c>
      <c r="T4" s="18">
        <v>16</v>
      </c>
      <c r="U4" s="18">
        <v>17</v>
      </c>
      <c r="V4" s="18">
        <v>18</v>
      </c>
      <c r="W4" s="18">
        <v>19</v>
      </c>
      <c r="X4" s="18">
        <v>20</v>
      </c>
      <c r="Y4" s="18">
        <v>21</v>
      </c>
      <c r="Z4" s="18">
        <v>22</v>
      </c>
      <c r="AA4" s="18">
        <v>23</v>
      </c>
      <c r="AB4" s="18">
        <v>24</v>
      </c>
      <c r="AC4" s="18">
        <v>25</v>
      </c>
      <c r="AD4" s="18">
        <v>26</v>
      </c>
      <c r="AE4" s="18">
        <v>27</v>
      </c>
      <c r="AF4" s="18">
        <v>28</v>
      </c>
      <c r="AG4" s="18">
        <v>29</v>
      </c>
      <c r="AH4" s="18">
        <v>30</v>
      </c>
      <c r="AI4" s="18">
        <v>31</v>
      </c>
    </row>
    <row r="5" spans="1:67" ht="26.25" customHeight="1" x14ac:dyDescent="0.2">
      <c r="A5" s="80">
        <v>1</v>
      </c>
      <c r="B5" s="20" t="s">
        <v>14</v>
      </c>
      <c r="C5" s="82" t="s">
        <v>15</v>
      </c>
      <c r="D5" s="21">
        <v>10742168</v>
      </c>
      <c r="E5" s="21">
        <v>10763298</v>
      </c>
      <c r="F5" s="21">
        <v>10784826</v>
      </c>
      <c r="G5" s="21">
        <v>10805895</v>
      </c>
      <c r="H5" s="21">
        <v>10827563</v>
      </c>
      <c r="I5" s="21">
        <v>10849167</v>
      </c>
      <c r="J5" s="21">
        <v>10871335</v>
      </c>
      <c r="K5" s="21">
        <v>10893060</v>
      </c>
      <c r="L5" s="21">
        <v>10914955</v>
      </c>
      <c r="M5" s="21">
        <v>10936844</v>
      </c>
      <c r="N5" s="21">
        <v>10959136</v>
      </c>
      <c r="O5" s="21">
        <v>10980779</v>
      </c>
      <c r="P5" s="21">
        <v>11002823</v>
      </c>
      <c r="Q5" s="21">
        <v>11024957</v>
      </c>
      <c r="R5" s="21">
        <v>11045616</v>
      </c>
      <c r="S5" s="21">
        <v>11065980</v>
      </c>
      <c r="T5" s="21">
        <v>11086539</v>
      </c>
      <c r="U5" s="21">
        <v>11106922</v>
      </c>
      <c r="V5" s="21">
        <v>11127585</v>
      </c>
      <c r="W5" s="21">
        <v>11149460</v>
      </c>
      <c r="X5" s="21">
        <v>11170154</v>
      </c>
      <c r="Y5" s="21">
        <v>11189981</v>
      </c>
      <c r="Z5" s="21">
        <v>11211365</v>
      </c>
      <c r="AA5" s="21">
        <v>11233075</v>
      </c>
      <c r="AB5" s="21">
        <v>11254861</v>
      </c>
      <c r="AC5" s="21">
        <v>11276921</v>
      </c>
      <c r="AD5" s="21">
        <v>11298747</v>
      </c>
      <c r="AE5" s="21">
        <v>11320438</v>
      </c>
      <c r="AF5" s="21">
        <v>11341697</v>
      </c>
      <c r="AG5" s="21">
        <v>11363680</v>
      </c>
      <c r="AH5" s="21">
        <v>11384954</v>
      </c>
      <c r="AI5" s="21">
        <v>11407375</v>
      </c>
    </row>
    <row r="6" spans="1:67" s="24" customFormat="1" ht="21.75" customHeight="1" thickBot="1" x14ac:dyDescent="0.25">
      <c r="A6" s="81"/>
      <c r="B6" s="22"/>
      <c r="C6" s="83"/>
      <c r="D6" s="23"/>
      <c r="E6" s="23">
        <f t="shared" ref="E6:AI6" si="0">E5-D5</f>
        <v>21130</v>
      </c>
      <c r="F6" s="23">
        <f t="shared" si="0"/>
        <v>21528</v>
      </c>
      <c r="G6" s="23">
        <f t="shared" si="0"/>
        <v>21069</v>
      </c>
      <c r="H6" s="23">
        <f t="shared" si="0"/>
        <v>21668</v>
      </c>
      <c r="I6" s="23">
        <f t="shared" si="0"/>
        <v>21604</v>
      </c>
      <c r="J6" s="23">
        <f t="shared" si="0"/>
        <v>22168</v>
      </c>
      <c r="K6" s="23">
        <f>K5-J5</f>
        <v>21725</v>
      </c>
      <c r="L6" s="23">
        <f t="shared" si="0"/>
        <v>21895</v>
      </c>
      <c r="M6" s="23">
        <f t="shared" si="0"/>
        <v>21889</v>
      </c>
      <c r="N6" s="23">
        <f t="shared" si="0"/>
        <v>22292</v>
      </c>
      <c r="O6" s="23">
        <f t="shared" si="0"/>
        <v>21643</v>
      </c>
      <c r="P6" s="23">
        <f t="shared" si="0"/>
        <v>22044</v>
      </c>
      <c r="Q6" s="23">
        <f t="shared" si="0"/>
        <v>22134</v>
      </c>
      <c r="R6" s="23">
        <f t="shared" si="0"/>
        <v>20659</v>
      </c>
      <c r="S6" s="23">
        <f t="shared" si="0"/>
        <v>20364</v>
      </c>
      <c r="T6" s="23">
        <f t="shared" si="0"/>
        <v>20559</v>
      </c>
      <c r="U6" s="23">
        <f t="shared" si="0"/>
        <v>20383</v>
      </c>
      <c r="V6" s="23">
        <f t="shared" si="0"/>
        <v>20663</v>
      </c>
      <c r="W6" s="23">
        <f t="shared" si="0"/>
        <v>21875</v>
      </c>
      <c r="X6" s="23">
        <f t="shared" si="0"/>
        <v>20694</v>
      </c>
      <c r="Y6" s="23">
        <f t="shared" si="0"/>
        <v>19827</v>
      </c>
      <c r="Z6" s="23">
        <f t="shared" si="0"/>
        <v>21384</v>
      </c>
      <c r="AA6" s="23">
        <f t="shared" si="0"/>
        <v>21710</v>
      </c>
      <c r="AB6" s="23">
        <f t="shared" si="0"/>
        <v>21786</v>
      </c>
      <c r="AC6" s="23">
        <f t="shared" si="0"/>
        <v>22060</v>
      </c>
      <c r="AD6" s="23">
        <f t="shared" si="0"/>
        <v>21826</v>
      </c>
      <c r="AE6" s="23">
        <f t="shared" si="0"/>
        <v>21691</v>
      </c>
      <c r="AF6" s="23">
        <f t="shared" si="0"/>
        <v>21259</v>
      </c>
      <c r="AG6" s="23">
        <f t="shared" si="0"/>
        <v>21983</v>
      </c>
      <c r="AH6" s="23">
        <f t="shared" si="0"/>
        <v>21274</v>
      </c>
      <c r="AI6" s="23">
        <f t="shared" si="0"/>
        <v>22421</v>
      </c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</row>
    <row r="7" spans="1:67" ht="22.5" customHeight="1" x14ac:dyDescent="0.2">
      <c r="A7" s="84">
        <v>2</v>
      </c>
      <c r="B7" s="25" t="s">
        <v>16</v>
      </c>
      <c r="C7" s="86" t="s">
        <v>17</v>
      </c>
      <c r="D7" s="21">
        <v>620</v>
      </c>
      <c r="E7" s="21">
        <v>620</v>
      </c>
      <c r="F7" s="21">
        <v>620</v>
      </c>
      <c r="G7" s="21">
        <v>620</v>
      </c>
      <c r="H7" s="21">
        <v>620</v>
      </c>
      <c r="I7" s="21">
        <v>620</v>
      </c>
      <c r="J7" s="21">
        <v>620</v>
      </c>
      <c r="K7" s="21">
        <v>620</v>
      </c>
      <c r="L7" s="21">
        <v>620</v>
      </c>
      <c r="M7" s="21">
        <v>620</v>
      </c>
      <c r="N7" s="21">
        <v>620</v>
      </c>
      <c r="O7" s="21">
        <v>620</v>
      </c>
      <c r="P7" s="21">
        <v>620</v>
      </c>
      <c r="Q7" s="21">
        <v>620</v>
      </c>
      <c r="R7" s="21">
        <v>620</v>
      </c>
      <c r="S7" s="21">
        <v>620</v>
      </c>
      <c r="T7" s="21">
        <v>620</v>
      </c>
      <c r="U7" s="21">
        <v>620</v>
      </c>
      <c r="V7" s="21">
        <v>620</v>
      </c>
      <c r="W7" s="21">
        <v>620</v>
      </c>
      <c r="X7" s="21">
        <v>620</v>
      </c>
      <c r="Y7" s="21">
        <v>620</v>
      </c>
      <c r="Z7" s="21">
        <v>620</v>
      </c>
      <c r="AA7" s="21">
        <v>620</v>
      </c>
      <c r="AB7" s="21">
        <v>620</v>
      </c>
      <c r="AC7" s="21">
        <v>620</v>
      </c>
      <c r="AD7" s="21">
        <v>620</v>
      </c>
      <c r="AE7" s="21">
        <v>620</v>
      </c>
      <c r="AF7" s="21">
        <v>620</v>
      </c>
      <c r="AG7" s="21">
        <v>620</v>
      </c>
      <c r="AH7" s="21">
        <v>620</v>
      </c>
      <c r="AI7" s="21">
        <v>620</v>
      </c>
    </row>
    <row r="8" spans="1:67" s="24" customFormat="1" ht="21.75" customHeight="1" thickBot="1" x14ac:dyDescent="0.25">
      <c r="A8" s="85"/>
      <c r="B8" s="22"/>
      <c r="C8" s="83"/>
      <c r="D8" s="23"/>
      <c r="E8" s="23">
        <f t="shared" ref="E8:AI8" si="1">E7-D7</f>
        <v>0</v>
      </c>
      <c r="F8" s="23">
        <f t="shared" si="1"/>
        <v>0</v>
      </c>
      <c r="G8" s="23">
        <f t="shared" si="1"/>
        <v>0</v>
      </c>
      <c r="H8" s="23">
        <f t="shared" si="1"/>
        <v>0</v>
      </c>
      <c r="I8" s="23">
        <f t="shared" si="1"/>
        <v>0</v>
      </c>
      <c r="J8" s="23">
        <f t="shared" si="1"/>
        <v>0</v>
      </c>
      <c r="K8" s="23">
        <f t="shared" si="1"/>
        <v>0</v>
      </c>
      <c r="L8" s="23">
        <f t="shared" si="1"/>
        <v>0</v>
      </c>
      <c r="M8" s="23">
        <f t="shared" si="1"/>
        <v>0</v>
      </c>
      <c r="N8" s="23">
        <f t="shared" si="1"/>
        <v>0</v>
      </c>
      <c r="O8" s="23">
        <f t="shared" si="1"/>
        <v>0</v>
      </c>
      <c r="P8" s="23">
        <f t="shared" si="1"/>
        <v>0</v>
      </c>
      <c r="Q8" s="23">
        <f t="shared" si="1"/>
        <v>0</v>
      </c>
      <c r="R8" s="23">
        <f t="shared" si="1"/>
        <v>0</v>
      </c>
      <c r="S8" s="23">
        <f t="shared" si="1"/>
        <v>0</v>
      </c>
      <c r="T8" s="23">
        <f t="shared" si="1"/>
        <v>0</v>
      </c>
      <c r="U8" s="23">
        <f t="shared" si="1"/>
        <v>0</v>
      </c>
      <c r="V8" s="23">
        <f t="shared" si="1"/>
        <v>0</v>
      </c>
      <c r="W8" s="23">
        <f t="shared" si="1"/>
        <v>0</v>
      </c>
      <c r="X8" s="23">
        <f t="shared" si="1"/>
        <v>0</v>
      </c>
      <c r="Y8" s="23">
        <f t="shared" si="1"/>
        <v>0</v>
      </c>
      <c r="Z8" s="23">
        <f t="shared" si="1"/>
        <v>0</v>
      </c>
      <c r="AA8" s="23">
        <f t="shared" si="1"/>
        <v>0</v>
      </c>
      <c r="AB8" s="23">
        <f t="shared" si="1"/>
        <v>0</v>
      </c>
      <c r="AC8" s="23">
        <f t="shared" si="1"/>
        <v>0</v>
      </c>
      <c r="AD8" s="23">
        <f t="shared" si="1"/>
        <v>0</v>
      </c>
      <c r="AE8" s="23">
        <f t="shared" si="1"/>
        <v>0</v>
      </c>
      <c r="AF8" s="23">
        <f t="shared" si="1"/>
        <v>0</v>
      </c>
      <c r="AG8" s="23">
        <f t="shared" si="1"/>
        <v>0</v>
      </c>
      <c r="AH8" s="23">
        <f t="shared" si="1"/>
        <v>0</v>
      </c>
      <c r="AI8" s="23">
        <f t="shared" si="1"/>
        <v>0</v>
      </c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</row>
    <row r="9" spans="1:67" ht="21.75" customHeight="1" x14ac:dyDescent="0.2">
      <c r="A9" s="76">
        <v>3</v>
      </c>
      <c r="B9" s="36" t="s">
        <v>53</v>
      </c>
      <c r="C9" s="77" t="s">
        <v>54</v>
      </c>
      <c r="D9" s="21">
        <v>11253854</v>
      </c>
      <c r="E9" s="21">
        <v>11289408</v>
      </c>
      <c r="F9" s="21">
        <v>11325595</v>
      </c>
      <c r="G9" s="21">
        <v>11361213</v>
      </c>
      <c r="H9" s="21">
        <v>11396301</v>
      </c>
      <c r="I9" s="21">
        <v>11428530</v>
      </c>
      <c r="J9" s="21">
        <v>11455326</v>
      </c>
      <c r="K9" s="21">
        <v>11480464</v>
      </c>
      <c r="L9" s="21">
        <v>11513441</v>
      </c>
      <c r="M9" s="21">
        <v>11551096</v>
      </c>
      <c r="N9" s="21">
        <v>11587299</v>
      </c>
      <c r="O9" s="21">
        <v>11625227</v>
      </c>
      <c r="P9" s="21">
        <v>11663330</v>
      </c>
      <c r="Q9" s="21">
        <v>11698274</v>
      </c>
      <c r="R9" s="21">
        <v>11732766</v>
      </c>
      <c r="S9" s="21">
        <v>11771827</v>
      </c>
      <c r="T9" s="21">
        <v>11811007</v>
      </c>
      <c r="U9" s="21">
        <v>11850758</v>
      </c>
      <c r="V9" s="21">
        <v>11890362</v>
      </c>
      <c r="W9" s="21">
        <v>11930475</v>
      </c>
      <c r="X9" s="21">
        <v>11970131</v>
      </c>
      <c r="Y9" s="21">
        <v>12002227</v>
      </c>
      <c r="Z9" s="21">
        <v>12023998</v>
      </c>
      <c r="AA9" s="21">
        <v>12045071</v>
      </c>
      <c r="AB9" s="21">
        <v>12064477</v>
      </c>
      <c r="AC9" s="21">
        <v>12087187</v>
      </c>
      <c r="AD9" s="21">
        <v>12105442</v>
      </c>
      <c r="AE9" s="21">
        <v>12126413</v>
      </c>
      <c r="AF9" s="21">
        <v>12147716</v>
      </c>
      <c r="AG9" s="21">
        <v>12168003</v>
      </c>
      <c r="AH9" s="21">
        <v>12186654</v>
      </c>
      <c r="AI9" s="21">
        <v>12206854</v>
      </c>
    </row>
    <row r="10" spans="1:67" s="24" customFormat="1" ht="21.75" customHeight="1" thickBot="1" x14ac:dyDescent="0.25">
      <c r="A10" s="72"/>
      <c r="B10" s="37"/>
      <c r="C10" s="75"/>
      <c r="D10" s="23"/>
      <c r="E10" s="23">
        <f t="shared" ref="E10:AI10" si="2">E9-D9</f>
        <v>35554</v>
      </c>
      <c r="F10" s="23">
        <f t="shared" si="2"/>
        <v>36187</v>
      </c>
      <c r="G10" s="23">
        <f t="shared" si="2"/>
        <v>35618</v>
      </c>
      <c r="H10" s="23">
        <f t="shared" si="2"/>
        <v>35088</v>
      </c>
      <c r="I10" s="23">
        <f t="shared" si="2"/>
        <v>32229</v>
      </c>
      <c r="J10" s="23">
        <f>J9-I9</f>
        <v>26796</v>
      </c>
      <c r="K10" s="23">
        <f t="shared" si="2"/>
        <v>25138</v>
      </c>
      <c r="L10" s="23">
        <f t="shared" si="2"/>
        <v>32977</v>
      </c>
      <c r="M10" s="23">
        <f t="shared" si="2"/>
        <v>37655</v>
      </c>
      <c r="N10" s="23">
        <f t="shared" si="2"/>
        <v>36203</v>
      </c>
      <c r="O10" s="23">
        <f t="shared" si="2"/>
        <v>37928</v>
      </c>
      <c r="P10" s="23">
        <f t="shared" si="2"/>
        <v>38103</v>
      </c>
      <c r="Q10" s="23">
        <f t="shared" si="2"/>
        <v>34944</v>
      </c>
      <c r="R10" s="23">
        <f t="shared" si="2"/>
        <v>34492</v>
      </c>
      <c r="S10" s="23">
        <f t="shared" si="2"/>
        <v>39061</v>
      </c>
      <c r="T10" s="23">
        <f t="shared" si="2"/>
        <v>39180</v>
      </c>
      <c r="U10" s="23">
        <f t="shared" si="2"/>
        <v>39751</v>
      </c>
      <c r="V10" s="23">
        <f t="shared" si="2"/>
        <v>39604</v>
      </c>
      <c r="W10" s="23">
        <f t="shared" si="2"/>
        <v>40113</v>
      </c>
      <c r="X10" s="23">
        <f t="shared" si="2"/>
        <v>39656</v>
      </c>
      <c r="Y10" s="23">
        <f t="shared" si="2"/>
        <v>32096</v>
      </c>
      <c r="Z10" s="23">
        <f t="shared" si="2"/>
        <v>21771</v>
      </c>
      <c r="AA10" s="23">
        <f t="shared" si="2"/>
        <v>21073</v>
      </c>
      <c r="AB10" s="23">
        <f t="shared" si="2"/>
        <v>19406</v>
      </c>
      <c r="AC10" s="23">
        <f t="shared" si="2"/>
        <v>22710</v>
      </c>
      <c r="AD10" s="23">
        <f t="shared" si="2"/>
        <v>18255</v>
      </c>
      <c r="AE10" s="23">
        <f t="shared" si="2"/>
        <v>20971</v>
      </c>
      <c r="AF10" s="23">
        <f t="shared" si="2"/>
        <v>21303</v>
      </c>
      <c r="AG10" s="23">
        <f t="shared" si="2"/>
        <v>20287</v>
      </c>
      <c r="AH10" s="23">
        <f t="shared" si="2"/>
        <v>18651</v>
      </c>
      <c r="AI10" s="23">
        <f t="shared" si="2"/>
        <v>20200</v>
      </c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</row>
    <row r="11" spans="1:67" ht="21.75" customHeight="1" x14ac:dyDescent="0.2">
      <c r="A11" s="67">
        <v>4</v>
      </c>
      <c r="B11" s="36" t="s">
        <v>55</v>
      </c>
      <c r="C11" s="77" t="s">
        <v>56</v>
      </c>
      <c r="D11" s="21">
        <v>7132275</v>
      </c>
      <c r="E11" s="21">
        <v>7147625</v>
      </c>
      <c r="F11" s="21">
        <v>7160348</v>
      </c>
      <c r="G11" s="21">
        <v>7183102</v>
      </c>
      <c r="H11" s="21">
        <v>7200173</v>
      </c>
      <c r="I11" s="21">
        <v>7222494</v>
      </c>
      <c r="J11" s="21">
        <v>7245462</v>
      </c>
      <c r="K11" s="21">
        <v>7268791</v>
      </c>
      <c r="L11" s="21">
        <v>7290893</v>
      </c>
      <c r="M11" s="21">
        <v>7312607</v>
      </c>
      <c r="N11" s="21">
        <v>7333491</v>
      </c>
      <c r="O11" s="21">
        <v>7355461</v>
      </c>
      <c r="P11" s="21">
        <v>7377729</v>
      </c>
      <c r="Q11" s="21">
        <v>7397656</v>
      </c>
      <c r="R11" s="21">
        <v>7418753</v>
      </c>
      <c r="S11" s="21">
        <v>7440586</v>
      </c>
      <c r="T11" s="21">
        <v>7462325</v>
      </c>
      <c r="U11" s="21">
        <v>7484410</v>
      </c>
      <c r="V11" s="21">
        <v>7506922</v>
      </c>
      <c r="W11" s="21">
        <v>7530207</v>
      </c>
      <c r="X11" s="21">
        <v>7553043</v>
      </c>
      <c r="Y11" s="21">
        <v>7581985</v>
      </c>
      <c r="Z11" s="21">
        <v>7624459</v>
      </c>
      <c r="AA11" s="21">
        <v>7668137</v>
      </c>
      <c r="AB11" s="21">
        <v>7708752</v>
      </c>
      <c r="AC11" s="21">
        <v>7745971</v>
      </c>
      <c r="AD11" s="21">
        <v>7782955</v>
      </c>
      <c r="AE11" s="21">
        <v>7818882</v>
      </c>
      <c r="AF11" s="21">
        <v>7856128</v>
      </c>
      <c r="AG11" s="21">
        <v>7898224</v>
      </c>
      <c r="AH11" s="21">
        <v>7942650</v>
      </c>
      <c r="AI11" s="21">
        <v>7987232</v>
      </c>
    </row>
    <row r="12" spans="1:67" s="38" customFormat="1" ht="21.75" customHeight="1" thickBot="1" x14ac:dyDescent="0.25">
      <c r="A12" s="74"/>
      <c r="B12" s="37"/>
      <c r="C12" s="75"/>
      <c r="D12" s="23"/>
      <c r="E12" s="23">
        <f t="shared" ref="E12:AI12" si="3">E11-D11</f>
        <v>15350</v>
      </c>
      <c r="F12" s="23">
        <f t="shared" si="3"/>
        <v>12723</v>
      </c>
      <c r="G12" s="23">
        <f t="shared" si="3"/>
        <v>22754</v>
      </c>
      <c r="H12" s="23">
        <f t="shared" si="3"/>
        <v>17071</v>
      </c>
      <c r="I12" s="23">
        <f t="shared" si="3"/>
        <v>22321</v>
      </c>
      <c r="J12" s="23">
        <f>J11-I11</f>
        <v>22968</v>
      </c>
      <c r="K12" s="23">
        <f t="shared" si="3"/>
        <v>23329</v>
      </c>
      <c r="L12" s="23">
        <f t="shared" si="3"/>
        <v>22102</v>
      </c>
      <c r="M12" s="23">
        <f t="shared" si="3"/>
        <v>21714</v>
      </c>
      <c r="N12" s="23">
        <f t="shared" si="3"/>
        <v>20884</v>
      </c>
      <c r="O12" s="23">
        <f t="shared" si="3"/>
        <v>21970</v>
      </c>
      <c r="P12" s="23">
        <f t="shared" si="3"/>
        <v>22268</v>
      </c>
      <c r="Q12" s="23">
        <f t="shared" si="3"/>
        <v>19927</v>
      </c>
      <c r="R12" s="23">
        <f t="shared" si="3"/>
        <v>21097</v>
      </c>
      <c r="S12" s="23">
        <f t="shared" si="3"/>
        <v>21833</v>
      </c>
      <c r="T12" s="23">
        <f t="shared" si="3"/>
        <v>21739</v>
      </c>
      <c r="U12" s="23">
        <f t="shared" si="3"/>
        <v>22085</v>
      </c>
      <c r="V12" s="23">
        <f t="shared" si="3"/>
        <v>22512</v>
      </c>
      <c r="W12" s="23">
        <f t="shared" si="3"/>
        <v>23285</v>
      </c>
      <c r="X12" s="23">
        <f t="shared" si="3"/>
        <v>22836</v>
      </c>
      <c r="Y12" s="23">
        <f t="shared" si="3"/>
        <v>28942</v>
      </c>
      <c r="Z12" s="23">
        <f t="shared" si="3"/>
        <v>42474</v>
      </c>
      <c r="AA12" s="23">
        <f t="shared" si="3"/>
        <v>43678</v>
      </c>
      <c r="AB12" s="23">
        <f t="shared" si="3"/>
        <v>40615</v>
      </c>
      <c r="AC12" s="23">
        <f t="shared" si="3"/>
        <v>37219</v>
      </c>
      <c r="AD12" s="23">
        <f t="shared" si="3"/>
        <v>36984</v>
      </c>
      <c r="AE12" s="23">
        <f t="shared" si="3"/>
        <v>35927</v>
      </c>
      <c r="AF12" s="23">
        <f t="shared" si="3"/>
        <v>37246</v>
      </c>
      <c r="AG12" s="23">
        <f t="shared" si="3"/>
        <v>42096</v>
      </c>
      <c r="AH12" s="23">
        <f t="shared" si="3"/>
        <v>44426</v>
      </c>
      <c r="AI12" s="23">
        <f t="shared" si="3"/>
        <v>44582</v>
      </c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</row>
    <row r="13" spans="1:67" ht="21.75" customHeight="1" x14ac:dyDescent="0.2">
      <c r="A13" s="76">
        <v>7</v>
      </c>
      <c r="B13" s="39" t="s">
        <v>57</v>
      </c>
      <c r="C13" s="69" t="s">
        <v>58</v>
      </c>
      <c r="D13" s="40">
        <v>3253</v>
      </c>
      <c r="E13" s="40">
        <v>3253</v>
      </c>
      <c r="F13" s="40">
        <v>3253</v>
      </c>
      <c r="G13" s="40">
        <v>3253</v>
      </c>
      <c r="H13" s="40">
        <v>3253</v>
      </c>
      <c r="I13" s="40">
        <v>3253</v>
      </c>
      <c r="J13" s="40">
        <v>3257</v>
      </c>
      <c r="K13" s="40">
        <v>3257</v>
      </c>
      <c r="L13" s="40">
        <v>3266</v>
      </c>
      <c r="M13" s="40">
        <v>3266</v>
      </c>
      <c r="N13" s="40">
        <v>3266</v>
      </c>
      <c r="O13" s="40">
        <v>3269</v>
      </c>
      <c r="P13" s="40">
        <v>3269</v>
      </c>
      <c r="Q13" s="40">
        <v>3269</v>
      </c>
      <c r="R13" s="40">
        <v>3269</v>
      </c>
      <c r="S13" s="40">
        <v>3269</v>
      </c>
      <c r="T13" s="40">
        <v>3269</v>
      </c>
      <c r="U13" s="40">
        <v>3269</v>
      </c>
      <c r="V13" s="40">
        <v>3269</v>
      </c>
      <c r="W13" s="40">
        <v>3269</v>
      </c>
      <c r="X13" s="40">
        <v>3269</v>
      </c>
      <c r="Y13" s="40">
        <v>3269</v>
      </c>
      <c r="Z13" s="40">
        <v>3269</v>
      </c>
      <c r="AA13" s="40">
        <v>3269</v>
      </c>
      <c r="AB13" s="40">
        <v>3269</v>
      </c>
      <c r="AC13" s="40">
        <v>3269</v>
      </c>
      <c r="AD13" s="40">
        <v>3269</v>
      </c>
      <c r="AE13" s="40">
        <v>3269</v>
      </c>
      <c r="AF13" s="40">
        <v>3269</v>
      </c>
      <c r="AG13" s="40">
        <v>3269</v>
      </c>
      <c r="AH13" s="40">
        <v>3269</v>
      </c>
      <c r="AI13" s="40">
        <v>3269</v>
      </c>
    </row>
    <row r="14" spans="1:67" s="24" customFormat="1" ht="21.75" customHeight="1" thickBot="1" x14ac:dyDescent="0.25">
      <c r="A14" s="72"/>
      <c r="B14" s="41"/>
      <c r="C14" s="75"/>
      <c r="D14" s="42"/>
      <c r="E14" s="42">
        <f t="shared" ref="E14:AI14" si="4">E13-D13</f>
        <v>0</v>
      </c>
      <c r="F14" s="42">
        <f t="shared" si="4"/>
        <v>0</v>
      </c>
      <c r="G14" s="42">
        <f t="shared" si="4"/>
        <v>0</v>
      </c>
      <c r="H14" s="42">
        <f t="shared" si="4"/>
        <v>0</v>
      </c>
      <c r="I14" s="42">
        <f t="shared" si="4"/>
        <v>0</v>
      </c>
      <c r="J14" s="42">
        <f t="shared" si="4"/>
        <v>4</v>
      </c>
      <c r="K14" s="42">
        <f t="shared" si="4"/>
        <v>0</v>
      </c>
      <c r="L14" s="42">
        <f t="shared" si="4"/>
        <v>9</v>
      </c>
      <c r="M14" s="42">
        <f t="shared" si="4"/>
        <v>0</v>
      </c>
      <c r="N14" s="42">
        <f t="shared" si="4"/>
        <v>0</v>
      </c>
      <c r="O14" s="42">
        <f t="shared" si="4"/>
        <v>3</v>
      </c>
      <c r="P14" s="42">
        <f t="shared" si="4"/>
        <v>0</v>
      </c>
      <c r="Q14" s="42">
        <f t="shared" si="4"/>
        <v>0</v>
      </c>
      <c r="R14" s="42">
        <f t="shared" si="4"/>
        <v>0</v>
      </c>
      <c r="S14" s="42">
        <f t="shared" si="4"/>
        <v>0</v>
      </c>
      <c r="T14" s="42">
        <f t="shared" si="4"/>
        <v>0</v>
      </c>
      <c r="U14" s="42">
        <f t="shared" si="4"/>
        <v>0</v>
      </c>
      <c r="V14" s="42">
        <f t="shared" si="4"/>
        <v>0</v>
      </c>
      <c r="W14" s="42">
        <f t="shared" si="4"/>
        <v>0</v>
      </c>
      <c r="X14" s="42">
        <f t="shared" si="4"/>
        <v>0</v>
      </c>
      <c r="Y14" s="42">
        <f t="shared" si="4"/>
        <v>0</v>
      </c>
      <c r="Z14" s="42">
        <f t="shared" si="4"/>
        <v>0</v>
      </c>
      <c r="AA14" s="42">
        <f t="shared" si="4"/>
        <v>0</v>
      </c>
      <c r="AB14" s="42">
        <f t="shared" si="4"/>
        <v>0</v>
      </c>
      <c r="AC14" s="42">
        <f t="shared" si="4"/>
        <v>0</v>
      </c>
      <c r="AD14" s="42">
        <f t="shared" si="4"/>
        <v>0</v>
      </c>
      <c r="AE14" s="42">
        <f t="shared" si="4"/>
        <v>0</v>
      </c>
      <c r="AF14" s="42">
        <f t="shared" si="4"/>
        <v>0</v>
      </c>
      <c r="AG14" s="42">
        <f t="shared" si="4"/>
        <v>0</v>
      </c>
      <c r="AH14" s="42">
        <f t="shared" si="4"/>
        <v>0</v>
      </c>
      <c r="AI14" s="42">
        <f t="shared" si="4"/>
        <v>0</v>
      </c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21.75" customHeight="1" x14ac:dyDescent="0.2">
      <c r="A15" s="67">
        <v>8</v>
      </c>
      <c r="B15" s="39" t="s">
        <v>59</v>
      </c>
      <c r="C15" s="69" t="s">
        <v>60</v>
      </c>
      <c r="D15" s="40">
        <v>463</v>
      </c>
      <c r="E15" s="40">
        <v>463</v>
      </c>
      <c r="F15" s="40">
        <v>463</v>
      </c>
      <c r="G15" s="40">
        <v>463</v>
      </c>
      <c r="H15" s="40">
        <v>463</v>
      </c>
      <c r="I15" s="40">
        <v>463</v>
      </c>
      <c r="J15" s="40">
        <v>465</v>
      </c>
      <c r="K15" s="40">
        <v>465</v>
      </c>
      <c r="L15" s="40">
        <v>466</v>
      </c>
      <c r="M15" s="40">
        <v>466</v>
      </c>
      <c r="N15" s="40">
        <v>466</v>
      </c>
      <c r="O15" s="40">
        <v>467</v>
      </c>
      <c r="P15" s="40">
        <v>467</v>
      </c>
      <c r="Q15" s="40">
        <v>467</v>
      </c>
      <c r="R15" s="40">
        <v>467</v>
      </c>
      <c r="S15" s="40">
        <v>467</v>
      </c>
      <c r="T15" s="40">
        <v>467</v>
      </c>
      <c r="U15" s="40">
        <v>467</v>
      </c>
      <c r="V15" s="40">
        <v>467</v>
      </c>
      <c r="W15" s="40">
        <v>467</v>
      </c>
      <c r="X15" s="40">
        <v>467</v>
      </c>
      <c r="Y15" s="40">
        <v>467</v>
      </c>
      <c r="Z15" s="40">
        <v>467</v>
      </c>
      <c r="AA15" s="40">
        <v>468</v>
      </c>
      <c r="AB15" s="40">
        <v>468</v>
      </c>
      <c r="AC15" s="40">
        <v>468</v>
      </c>
      <c r="AD15" s="40">
        <v>468</v>
      </c>
      <c r="AE15" s="40">
        <v>468</v>
      </c>
      <c r="AF15" s="40">
        <v>468</v>
      </c>
      <c r="AG15" s="40">
        <v>468</v>
      </c>
      <c r="AH15" s="40">
        <v>468</v>
      </c>
      <c r="AI15" s="40">
        <v>468</v>
      </c>
    </row>
    <row r="16" spans="1:67" s="24" customFormat="1" ht="21.75" customHeight="1" thickBot="1" x14ac:dyDescent="0.25">
      <c r="A16" s="74"/>
      <c r="B16" s="41"/>
      <c r="C16" s="75"/>
      <c r="D16" s="42"/>
      <c r="E16" s="42">
        <f t="shared" ref="E16:AI16" si="5">E15-D15</f>
        <v>0</v>
      </c>
      <c r="F16" s="42">
        <f t="shared" si="5"/>
        <v>0</v>
      </c>
      <c r="G16" s="42">
        <f t="shared" si="5"/>
        <v>0</v>
      </c>
      <c r="H16" s="42">
        <f t="shared" si="5"/>
        <v>0</v>
      </c>
      <c r="I16" s="42">
        <f t="shared" si="5"/>
        <v>0</v>
      </c>
      <c r="J16" s="42">
        <f t="shared" si="5"/>
        <v>2</v>
      </c>
      <c r="K16" s="42">
        <f t="shared" si="5"/>
        <v>0</v>
      </c>
      <c r="L16" s="42">
        <f t="shared" si="5"/>
        <v>1</v>
      </c>
      <c r="M16" s="42">
        <f t="shared" si="5"/>
        <v>0</v>
      </c>
      <c r="N16" s="42">
        <f t="shared" si="5"/>
        <v>0</v>
      </c>
      <c r="O16" s="42">
        <f t="shared" si="5"/>
        <v>1</v>
      </c>
      <c r="P16" s="42">
        <f t="shared" si="5"/>
        <v>0</v>
      </c>
      <c r="Q16" s="42">
        <f t="shared" si="5"/>
        <v>0</v>
      </c>
      <c r="R16" s="42">
        <f t="shared" si="5"/>
        <v>0</v>
      </c>
      <c r="S16" s="42">
        <f t="shared" si="5"/>
        <v>0</v>
      </c>
      <c r="T16" s="42">
        <f t="shared" si="5"/>
        <v>0</v>
      </c>
      <c r="U16" s="42">
        <f t="shared" si="5"/>
        <v>0</v>
      </c>
      <c r="V16" s="42">
        <f t="shared" si="5"/>
        <v>0</v>
      </c>
      <c r="W16" s="42">
        <f t="shared" si="5"/>
        <v>0</v>
      </c>
      <c r="X16" s="42">
        <f t="shared" si="5"/>
        <v>0</v>
      </c>
      <c r="Y16" s="42">
        <f t="shared" si="5"/>
        <v>0</v>
      </c>
      <c r="Z16" s="42">
        <f t="shared" si="5"/>
        <v>0</v>
      </c>
      <c r="AA16" s="42">
        <f t="shared" si="5"/>
        <v>1</v>
      </c>
      <c r="AB16" s="42">
        <f t="shared" si="5"/>
        <v>0</v>
      </c>
      <c r="AC16" s="42">
        <f t="shared" si="5"/>
        <v>0</v>
      </c>
      <c r="AD16" s="42">
        <f t="shared" si="5"/>
        <v>0</v>
      </c>
      <c r="AE16" s="42">
        <f t="shared" si="5"/>
        <v>0</v>
      </c>
      <c r="AF16" s="42">
        <f t="shared" si="5"/>
        <v>0</v>
      </c>
      <c r="AG16" s="42">
        <f t="shared" si="5"/>
        <v>0</v>
      </c>
      <c r="AH16" s="42">
        <f t="shared" si="5"/>
        <v>0</v>
      </c>
      <c r="AI16" s="42">
        <f t="shared" si="5"/>
        <v>0</v>
      </c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35" ht="21.75" customHeight="1" x14ac:dyDescent="0.2">
      <c r="A17" s="67">
        <v>13</v>
      </c>
      <c r="B17" s="39" t="s">
        <v>61</v>
      </c>
      <c r="C17" s="69" t="s">
        <v>62</v>
      </c>
      <c r="D17" s="40">
        <v>1417786</v>
      </c>
      <c r="E17" s="40">
        <v>1418047</v>
      </c>
      <c r="F17" s="40">
        <v>1418307</v>
      </c>
      <c r="G17" s="40">
        <v>1418569</v>
      </c>
      <c r="H17" s="40">
        <v>1418822</v>
      </c>
      <c r="I17" s="40">
        <v>1419092</v>
      </c>
      <c r="J17" s="40">
        <v>1419357</v>
      </c>
      <c r="K17" s="40">
        <v>1419612</v>
      </c>
      <c r="L17" s="40">
        <v>1419857</v>
      </c>
      <c r="M17" s="40">
        <v>1420114</v>
      </c>
      <c r="N17" s="40">
        <v>1420376</v>
      </c>
      <c r="O17" s="40">
        <v>1420638</v>
      </c>
      <c r="P17" s="40">
        <v>1420980</v>
      </c>
      <c r="Q17" s="40">
        <v>1421167</v>
      </c>
      <c r="R17" s="40">
        <v>1421418</v>
      </c>
      <c r="S17" s="40">
        <v>1421674</v>
      </c>
      <c r="T17" s="40">
        <v>1421915</v>
      </c>
      <c r="U17" s="40">
        <v>1422169</v>
      </c>
      <c r="V17" s="40">
        <v>1422416</v>
      </c>
      <c r="W17" s="40">
        <v>1422672</v>
      </c>
      <c r="X17" s="40">
        <v>1422926</v>
      </c>
      <c r="Y17" s="40">
        <v>1423178</v>
      </c>
      <c r="Z17" s="40">
        <v>1423426</v>
      </c>
      <c r="AA17" s="40">
        <v>1423677</v>
      </c>
      <c r="AB17" s="40">
        <v>1423935</v>
      </c>
      <c r="AC17" s="40">
        <v>1424194</v>
      </c>
      <c r="AD17" s="40">
        <v>1424469</v>
      </c>
      <c r="AE17" s="40">
        <v>1424750</v>
      </c>
      <c r="AF17" s="40">
        <v>1425042</v>
      </c>
      <c r="AG17" s="40">
        <v>1425272</v>
      </c>
      <c r="AH17" s="40">
        <v>1425513</v>
      </c>
      <c r="AI17" s="40">
        <v>1425754</v>
      </c>
    </row>
    <row r="18" spans="1:35" ht="21.75" customHeight="1" thickBot="1" x14ac:dyDescent="0.25">
      <c r="A18" s="68"/>
      <c r="B18" s="43"/>
      <c r="C18" s="70"/>
      <c r="D18" s="42"/>
      <c r="E18" s="42">
        <f t="shared" ref="E18:AI18" si="6">E17-D17</f>
        <v>261</v>
      </c>
      <c r="F18" s="42">
        <f t="shared" si="6"/>
        <v>260</v>
      </c>
      <c r="G18" s="42">
        <f t="shared" si="6"/>
        <v>262</v>
      </c>
      <c r="H18" s="42">
        <f t="shared" si="6"/>
        <v>253</v>
      </c>
      <c r="I18" s="42">
        <f t="shared" si="6"/>
        <v>270</v>
      </c>
      <c r="J18" s="42">
        <f t="shared" si="6"/>
        <v>265</v>
      </c>
      <c r="K18" s="42">
        <f t="shared" si="6"/>
        <v>255</v>
      </c>
      <c r="L18" s="42">
        <f t="shared" si="6"/>
        <v>245</v>
      </c>
      <c r="M18" s="42">
        <f t="shared" si="6"/>
        <v>257</v>
      </c>
      <c r="N18" s="42">
        <f t="shared" si="6"/>
        <v>262</v>
      </c>
      <c r="O18" s="42">
        <f t="shared" si="6"/>
        <v>262</v>
      </c>
      <c r="P18" s="42">
        <f t="shared" si="6"/>
        <v>342</v>
      </c>
      <c r="Q18" s="42">
        <f t="shared" si="6"/>
        <v>187</v>
      </c>
      <c r="R18" s="42">
        <f t="shared" si="6"/>
        <v>251</v>
      </c>
      <c r="S18" s="42">
        <f t="shared" si="6"/>
        <v>256</v>
      </c>
      <c r="T18" s="42">
        <f t="shared" si="6"/>
        <v>241</v>
      </c>
      <c r="U18" s="42">
        <f t="shared" si="6"/>
        <v>254</v>
      </c>
      <c r="V18" s="42">
        <f t="shared" si="6"/>
        <v>247</v>
      </c>
      <c r="W18" s="42">
        <f t="shared" si="6"/>
        <v>256</v>
      </c>
      <c r="X18" s="42">
        <f t="shared" si="6"/>
        <v>254</v>
      </c>
      <c r="Y18" s="42">
        <f t="shared" si="6"/>
        <v>252</v>
      </c>
      <c r="Z18" s="42">
        <f t="shared" si="6"/>
        <v>248</v>
      </c>
      <c r="AA18" s="42">
        <f t="shared" si="6"/>
        <v>251</v>
      </c>
      <c r="AB18" s="42">
        <f t="shared" si="6"/>
        <v>258</v>
      </c>
      <c r="AC18" s="42">
        <f t="shared" si="6"/>
        <v>259</v>
      </c>
      <c r="AD18" s="42">
        <f t="shared" si="6"/>
        <v>275</v>
      </c>
      <c r="AE18" s="42">
        <f t="shared" si="6"/>
        <v>281</v>
      </c>
      <c r="AF18" s="42">
        <f t="shared" si="6"/>
        <v>292</v>
      </c>
      <c r="AG18" s="42">
        <f t="shared" si="6"/>
        <v>230</v>
      </c>
      <c r="AH18" s="42">
        <f t="shared" si="6"/>
        <v>241</v>
      </c>
      <c r="AI18" s="42">
        <f t="shared" si="6"/>
        <v>241</v>
      </c>
    </row>
    <row r="19" spans="1:35" ht="21.75" customHeight="1" x14ac:dyDescent="0.2">
      <c r="A19" s="71">
        <v>14</v>
      </c>
      <c r="B19" s="39" t="s">
        <v>63</v>
      </c>
      <c r="C19" s="69" t="s">
        <v>64</v>
      </c>
      <c r="D19" s="40">
        <v>378869</v>
      </c>
      <c r="E19" s="40">
        <v>378911</v>
      </c>
      <c r="F19" s="40">
        <v>378955</v>
      </c>
      <c r="G19" s="40">
        <v>378997</v>
      </c>
      <c r="H19" s="40">
        <v>379043</v>
      </c>
      <c r="I19" s="40">
        <v>379089</v>
      </c>
      <c r="J19" s="40">
        <v>379131</v>
      </c>
      <c r="K19" s="40">
        <v>379174</v>
      </c>
      <c r="L19" s="40">
        <v>379217</v>
      </c>
      <c r="M19" s="40">
        <v>379261</v>
      </c>
      <c r="N19" s="40">
        <v>379306</v>
      </c>
      <c r="O19" s="40">
        <v>379349</v>
      </c>
      <c r="P19" s="40">
        <v>379392</v>
      </c>
      <c r="Q19" s="40">
        <v>379435</v>
      </c>
      <c r="R19" s="40">
        <v>379477</v>
      </c>
      <c r="S19" s="40">
        <v>379529</v>
      </c>
      <c r="T19" s="40">
        <v>379565</v>
      </c>
      <c r="U19" s="40">
        <v>379615</v>
      </c>
      <c r="V19" s="40">
        <v>379663</v>
      </c>
      <c r="W19" s="40">
        <v>379712</v>
      </c>
      <c r="X19" s="40">
        <v>379761</v>
      </c>
      <c r="Y19" s="40">
        <v>379812</v>
      </c>
      <c r="Z19" s="40">
        <v>379861</v>
      </c>
      <c r="AA19" s="40">
        <v>379910</v>
      </c>
      <c r="AB19" s="40">
        <v>379957</v>
      </c>
      <c r="AC19" s="40">
        <v>380007</v>
      </c>
      <c r="AD19" s="40">
        <v>380053</v>
      </c>
      <c r="AE19" s="40">
        <v>380105</v>
      </c>
      <c r="AF19" s="40">
        <v>380152</v>
      </c>
      <c r="AG19" s="40">
        <v>380203</v>
      </c>
      <c r="AH19" s="40">
        <v>380254</v>
      </c>
      <c r="AI19" s="40">
        <v>380302</v>
      </c>
    </row>
    <row r="20" spans="1:35" ht="21.75" customHeight="1" thickBot="1" x14ac:dyDescent="0.25">
      <c r="A20" s="72"/>
      <c r="B20" s="43"/>
      <c r="C20" s="70"/>
      <c r="D20" s="42"/>
      <c r="E20" s="42">
        <f>E19-D19</f>
        <v>42</v>
      </c>
      <c r="F20" s="42">
        <f t="shared" ref="F20:AI20" si="7">F19-E19</f>
        <v>44</v>
      </c>
      <c r="G20" s="42">
        <f t="shared" si="7"/>
        <v>42</v>
      </c>
      <c r="H20" s="42">
        <f t="shared" si="7"/>
        <v>46</v>
      </c>
      <c r="I20" s="42">
        <f t="shared" si="7"/>
        <v>46</v>
      </c>
      <c r="J20" s="42">
        <f t="shared" si="7"/>
        <v>42</v>
      </c>
      <c r="K20" s="42">
        <f t="shared" si="7"/>
        <v>43</v>
      </c>
      <c r="L20" s="42">
        <f t="shared" si="7"/>
        <v>43</v>
      </c>
      <c r="M20" s="42">
        <f t="shared" si="7"/>
        <v>44</v>
      </c>
      <c r="N20" s="42">
        <f t="shared" si="7"/>
        <v>45</v>
      </c>
      <c r="O20" s="42">
        <f t="shared" si="7"/>
        <v>43</v>
      </c>
      <c r="P20" s="42">
        <f t="shared" si="7"/>
        <v>43</v>
      </c>
      <c r="Q20" s="42">
        <f t="shared" si="7"/>
        <v>43</v>
      </c>
      <c r="R20" s="42">
        <f t="shared" si="7"/>
        <v>42</v>
      </c>
      <c r="S20" s="42">
        <f t="shared" si="7"/>
        <v>52</v>
      </c>
      <c r="T20" s="42">
        <f t="shared" si="7"/>
        <v>36</v>
      </c>
      <c r="U20" s="42">
        <f t="shared" si="7"/>
        <v>50</v>
      </c>
      <c r="V20" s="42">
        <f t="shared" si="7"/>
        <v>48</v>
      </c>
      <c r="W20" s="42">
        <f t="shared" si="7"/>
        <v>49</v>
      </c>
      <c r="X20" s="42">
        <f t="shared" si="7"/>
        <v>49</v>
      </c>
      <c r="Y20" s="42">
        <f t="shared" si="7"/>
        <v>51</v>
      </c>
      <c r="Z20" s="42">
        <f t="shared" si="7"/>
        <v>49</v>
      </c>
      <c r="AA20" s="42">
        <f t="shared" si="7"/>
        <v>49</v>
      </c>
      <c r="AB20" s="42">
        <f t="shared" si="7"/>
        <v>47</v>
      </c>
      <c r="AC20" s="42">
        <f t="shared" si="7"/>
        <v>50</v>
      </c>
      <c r="AD20" s="42">
        <f t="shared" si="7"/>
        <v>46</v>
      </c>
      <c r="AE20" s="42">
        <f t="shared" si="7"/>
        <v>52</v>
      </c>
      <c r="AF20" s="42">
        <f t="shared" si="7"/>
        <v>47</v>
      </c>
      <c r="AG20" s="42">
        <f t="shared" si="7"/>
        <v>51</v>
      </c>
      <c r="AH20" s="42">
        <f t="shared" si="7"/>
        <v>51</v>
      </c>
      <c r="AI20" s="42">
        <f t="shared" si="7"/>
        <v>48</v>
      </c>
    </row>
    <row r="21" spans="1:35" ht="27" customHeight="1" x14ac:dyDescent="0.3">
      <c r="B21" s="73" t="s">
        <v>65</v>
      </c>
      <c r="C21" s="73"/>
      <c r="D21" s="44"/>
      <c r="E21" s="60">
        <f>((E6+E8)+((E10+E12)*40%)+(E14+E16+E18+E20))</f>
        <v>41794.600000000006</v>
      </c>
      <c r="F21" s="60">
        <f t="shared" ref="F21:AI21" si="8">((F6+F8)+((F10+F12)*40%)+(F14+F16+F18+F20))</f>
        <v>41396</v>
      </c>
      <c r="G21" s="60">
        <f t="shared" si="8"/>
        <v>44721.8</v>
      </c>
      <c r="H21" s="60">
        <f t="shared" si="8"/>
        <v>42830.600000000006</v>
      </c>
      <c r="I21" s="60">
        <f t="shared" si="8"/>
        <v>43740</v>
      </c>
      <c r="J21" s="60">
        <f t="shared" si="8"/>
        <v>42386.600000000006</v>
      </c>
      <c r="K21" s="60">
        <f t="shared" si="8"/>
        <v>41409.800000000003</v>
      </c>
      <c r="L21" s="60">
        <f t="shared" si="8"/>
        <v>44224.600000000006</v>
      </c>
      <c r="M21" s="60">
        <f t="shared" si="8"/>
        <v>45937.600000000006</v>
      </c>
      <c r="N21" s="60">
        <f t="shared" si="8"/>
        <v>45433.8</v>
      </c>
      <c r="O21" s="60">
        <f t="shared" si="8"/>
        <v>45911.199999999997</v>
      </c>
      <c r="P21" s="60">
        <f t="shared" si="8"/>
        <v>46577.4</v>
      </c>
      <c r="Q21" s="60">
        <f t="shared" si="8"/>
        <v>44312.4</v>
      </c>
      <c r="R21" s="60">
        <f t="shared" si="8"/>
        <v>43187.600000000006</v>
      </c>
      <c r="S21" s="60">
        <f t="shared" si="8"/>
        <v>45029.600000000006</v>
      </c>
      <c r="T21" s="60">
        <f t="shared" si="8"/>
        <v>45203.600000000006</v>
      </c>
      <c r="U21" s="60">
        <f t="shared" si="8"/>
        <v>45421.4</v>
      </c>
      <c r="V21" s="60">
        <f t="shared" si="8"/>
        <v>45804.4</v>
      </c>
      <c r="W21" s="60">
        <f t="shared" si="8"/>
        <v>47539.199999999997</v>
      </c>
      <c r="X21" s="60">
        <f t="shared" si="8"/>
        <v>45993.8</v>
      </c>
      <c r="Y21" s="60">
        <f t="shared" si="8"/>
        <v>44545.2</v>
      </c>
      <c r="Z21" s="60">
        <f t="shared" si="8"/>
        <v>47379</v>
      </c>
      <c r="AA21" s="60">
        <f t="shared" si="8"/>
        <v>47911.4</v>
      </c>
      <c r="AB21" s="60">
        <f t="shared" si="8"/>
        <v>46099.4</v>
      </c>
      <c r="AC21" s="60">
        <f t="shared" si="8"/>
        <v>46340.600000000006</v>
      </c>
      <c r="AD21" s="60">
        <f t="shared" si="8"/>
        <v>44242.600000000006</v>
      </c>
      <c r="AE21" s="60">
        <f t="shared" si="8"/>
        <v>44783.199999999997</v>
      </c>
      <c r="AF21" s="60">
        <f t="shared" si="8"/>
        <v>45017.600000000006</v>
      </c>
      <c r="AG21" s="60">
        <f t="shared" si="8"/>
        <v>47217.2</v>
      </c>
      <c r="AH21" s="60">
        <f t="shared" si="8"/>
        <v>46796.800000000003</v>
      </c>
      <c r="AI21" s="60">
        <f t="shared" si="8"/>
        <v>48622.8</v>
      </c>
    </row>
    <row r="22" spans="1:35" ht="27" customHeight="1" x14ac:dyDescent="0.3">
      <c r="B22" s="66" t="s">
        <v>66</v>
      </c>
      <c r="C22" s="66"/>
      <c r="D22" s="44"/>
      <c r="E22" s="60">
        <f>SUM(E21:AI21)</f>
        <v>1397811.8000000003</v>
      </c>
      <c r="F22" s="45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</row>
  </sheetData>
  <mergeCells count="20">
    <mergeCell ref="A2:AI2"/>
    <mergeCell ref="C3:AI3"/>
    <mergeCell ref="A5:A6"/>
    <mergeCell ref="C5:C6"/>
    <mergeCell ref="A7:A8"/>
    <mergeCell ref="C7:C8"/>
    <mergeCell ref="A15:A16"/>
    <mergeCell ref="C15:C16"/>
    <mergeCell ref="A9:A10"/>
    <mergeCell ref="C9:C10"/>
    <mergeCell ref="A11:A12"/>
    <mergeCell ref="C11:C12"/>
    <mergeCell ref="A13:A14"/>
    <mergeCell ref="C13:C14"/>
    <mergeCell ref="B22:C22"/>
    <mergeCell ref="A17:A18"/>
    <mergeCell ref="C17:C18"/>
    <mergeCell ref="A19:A20"/>
    <mergeCell ref="C19:C20"/>
    <mergeCell ref="B21:C21"/>
  </mergeCells>
  <pageMargins left="0.25" right="0.25" top="0.75" bottom="0.75" header="0.3" footer="0.3"/>
  <pageSetup scale="1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8519-3124-402A-B866-B6A3B7F5FCE4}">
  <sheetPr>
    <pageSetUpPr fitToPage="1"/>
  </sheetPr>
  <dimension ref="A1:G35"/>
  <sheetViews>
    <sheetView zoomScaleNormal="100" workbookViewId="0">
      <pane ySplit="3" topLeftCell="A4" activePane="bottomLeft" state="frozen"/>
      <selection pane="bottomLeft" activeCell="A37" sqref="A37:XFD40"/>
    </sheetView>
  </sheetViews>
  <sheetFormatPr defaultRowHeight="15" x14ac:dyDescent="0.25"/>
  <cols>
    <col min="1" max="1" width="9.7109375" customWidth="1"/>
    <col min="2" max="2" width="10.7109375" customWidth="1"/>
    <col min="3" max="3" width="12.28515625" bestFit="1" customWidth="1"/>
  </cols>
  <sheetData>
    <row r="1" spans="1:7" ht="50.25" customHeight="1" x14ac:dyDescent="0.25">
      <c r="A1" s="88" t="s">
        <v>85</v>
      </c>
      <c r="B1" s="88"/>
      <c r="C1" s="88"/>
    </row>
    <row r="3" spans="1:7" ht="48" x14ac:dyDescent="0.25">
      <c r="A3" s="51" t="s">
        <v>19</v>
      </c>
      <c r="B3" s="52">
        <v>63516</v>
      </c>
      <c r="C3" s="53"/>
    </row>
    <row r="4" spans="1:7" ht="28.5" customHeight="1" x14ac:dyDescent="0.25">
      <c r="A4" s="54">
        <v>1</v>
      </c>
      <c r="B4" s="52"/>
      <c r="C4" s="53">
        <f>B3/31</f>
        <v>2048.9032258064517</v>
      </c>
    </row>
    <row r="5" spans="1:7" ht="28.5" customHeight="1" x14ac:dyDescent="0.25">
      <c r="A5" s="54">
        <v>2</v>
      </c>
      <c r="B5" s="52"/>
      <c r="C5" s="53">
        <v>2048.9032258064517</v>
      </c>
    </row>
    <row r="6" spans="1:7" ht="28.5" customHeight="1" x14ac:dyDescent="0.25">
      <c r="A6" s="55">
        <v>3</v>
      </c>
      <c r="B6" s="52"/>
      <c r="C6" s="53">
        <v>2048.9032258064517</v>
      </c>
    </row>
    <row r="7" spans="1:7" ht="28.5" customHeight="1" x14ac:dyDescent="0.25">
      <c r="A7" s="54">
        <v>4</v>
      </c>
      <c r="B7" s="52"/>
      <c r="C7" s="53">
        <v>2048.9032258064517</v>
      </c>
    </row>
    <row r="8" spans="1:7" ht="28.5" customHeight="1" x14ac:dyDescent="0.25">
      <c r="A8" s="54">
        <v>5</v>
      </c>
      <c r="B8" s="52"/>
      <c r="C8" s="53">
        <v>2048.9032258064517</v>
      </c>
    </row>
    <row r="9" spans="1:7" ht="28.5" customHeight="1" x14ac:dyDescent="0.25">
      <c r="A9" s="54">
        <v>6</v>
      </c>
      <c r="B9" s="52"/>
      <c r="C9" s="53">
        <v>2048.9032258064517</v>
      </c>
      <c r="G9" t="s">
        <v>75</v>
      </c>
    </row>
    <row r="10" spans="1:7" ht="28.5" customHeight="1" x14ac:dyDescent="0.25">
      <c r="A10" s="54">
        <v>7</v>
      </c>
      <c r="B10" s="52"/>
      <c r="C10" s="53">
        <v>2048.9032258064517</v>
      </c>
    </row>
    <row r="11" spans="1:7" ht="28.5" customHeight="1" x14ac:dyDescent="0.25">
      <c r="A11" s="54">
        <v>8</v>
      </c>
      <c r="B11" s="52"/>
      <c r="C11" s="53">
        <v>2048.9032258064517</v>
      </c>
    </row>
    <row r="12" spans="1:7" ht="28.5" customHeight="1" x14ac:dyDescent="0.25">
      <c r="A12" s="54">
        <v>9</v>
      </c>
      <c r="B12" s="52"/>
      <c r="C12" s="53">
        <v>2048.9032258064517</v>
      </c>
    </row>
    <row r="13" spans="1:7" ht="28.5" customHeight="1" x14ac:dyDescent="0.25">
      <c r="A13" s="54">
        <v>10</v>
      </c>
      <c r="B13" s="52"/>
      <c r="C13" s="53">
        <v>2048.9032258064517</v>
      </c>
    </row>
    <row r="14" spans="1:7" ht="28.5" customHeight="1" x14ac:dyDescent="0.25">
      <c r="A14" s="54">
        <v>11</v>
      </c>
      <c r="B14" s="52"/>
      <c r="C14" s="53">
        <v>2048.9032258064517</v>
      </c>
    </row>
    <row r="15" spans="1:7" ht="28.5" customHeight="1" x14ac:dyDescent="0.25">
      <c r="A15" s="54">
        <v>12</v>
      </c>
      <c r="B15" s="52"/>
      <c r="C15" s="53">
        <v>2048.9032258064517</v>
      </c>
    </row>
    <row r="16" spans="1:7" ht="28.5" customHeight="1" x14ac:dyDescent="0.25">
      <c r="A16" s="54">
        <v>13</v>
      </c>
      <c r="B16" s="52"/>
      <c r="C16" s="53">
        <v>2048.9032258064517</v>
      </c>
    </row>
    <row r="17" spans="1:4" ht="28.5" customHeight="1" x14ac:dyDescent="0.25">
      <c r="A17" s="54">
        <v>14</v>
      </c>
      <c r="B17" s="52"/>
      <c r="C17" s="53">
        <v>2048.9032258064517</v>
      </c>
    </row>
    <row r="18" spans="1:4" ht="28.5" customHeight="1" x14ac:dyDescent="0.25">
      <c r="A18" s="54">
        <v>15</v>
      </c>
      <c r="B18" s="52"/>
      <c r="C18" s="53">
        <v>2048.9032258064517</v>
      </c>
    </row>
    <row r="19" spans="1:4" ht="28.5" customHeight="1" x14ac:dyDescent="0.25">
      <c r="A19" s="54">
        <v>16</v>
      </c>
      <c r="B19" s="52"/>
      <c r="C19" s="53">
        <v>2048.9032258064517</v>
      </c>
    </row>
    <row r="20" spans="1:4" ht="28.5" customHeight="1" x14ac:dyDescent="0.25">
      <c r="A20" s="54">
        <v>17</v>
      </c>
      <c r="B20" s="52"/>
      <c r="C20" s="53">
        <v>2048.9032258064517</v>
      </c>
    </row>
    <row r="21" spans="1:4" ht="28.5" customHeight="1" x14ac:dyDescent="0.25">
      <c r="A21" s="54">
        <v>18</v>
      </c>
      <c r="B21" s="52"/>
      <c r="C21" s="53">
        <v>2048.9032258064517</v>
      </c>
    </row>
    <row r="22" spans="1:4" ht="28.5" customHeight="1" x14ac:dyDescent="0.25">
      <c r="A22" s="54">
        <v>19</v>
      </c>
      <c r="B22" s="52"/>
      <c r="C22" s="53">
        <v>2048.9032258064517</v>
      </c>
    </row>
    <row r="23" spans="1:4" ht="28.5" customHeight="1" x14ac:dyDescent="0.25">
      <c r="A23" s="54">
        <v>20</v>
      </c>
      <c r="B23" s="52"/>
      <c r="C23" s="53">
        <v>2048.9032258064517</v>
      </c>
    </row>
    <row r="24" spans="1:4" ht="28.5" customHeight="1" x14ac:dyDescent="0.25">
      <c r="A24" s="54">
        <v>21</v>
      </c>
      <c r="B24" s="52"/>
      <c r="C24" s="53">
        <v>2048.9032258064517</v>
      </c>
    </row>
    <row r="25" spans="1:4" ht="28.5" customHeight="1" x14ac:dyDescent="0.25">
      <c r="A25" s="54">
        <v>22</v>
      </c>
      <c r="B25" s="52"/>
      <c r="C25" s="53">
        <v>2048.9032258064517</v>
      </c>
    </row>
    <row r="26" spans="1:4" ht="28.5" customHeight="1" x14ac:dyDescent="0.25">
      <c r="A26" s="54">
        <v>23</v>
      </c>
      <c r="B26" s="56"/>
      <c r="C26" s="53">
        <v>2048.9032258064517</v>
      </c>
    </row>
    <row r="27" spans="1:4" ht="28.5" customHeight="1" x14ac:dyDescent="0.25">
      <c r="A27" s="54">
        <v>24</v>
      </c>
      <c r="B27" s="52"/>
      <c r="C27" s="53">
        <v>2048.9032258064517</v>
      </c>
    </row>
    <row r="28" spans="1:4" ht="28.5" customHeight="1" x14ac:dyDescent="0.25">
      <c r="A28" s="54">
        <v>25</v>
      </c>
      <c r="B28" s="65"/>
      <c r="C28" s="53">
        <v>2048.9032258064517</v>
      </c>
      <c r="D28" s="57"/>
    </row>
    <row r="29" spans="1:4" ht="28.5" customHeight="1" x14ac:dyDescent="0.25">
      <c r="A29" s="54">
        <v>26</v>
      </c>
      <c r="B29" s="52"/>
      <c r="C29" s="53">
        <v>2048.9032258064517</v>
      </c>
      <c r="D29" s="57"/>
    </row>
    <row r="30" spans="1:4" ht="28.5" customHeight="1" x14ac:dyDescent="0.25">
      <c r="A30" s="54">
        <v>27</v>
      </c>
      <c r="B30" s="52"/>
      <c r="C30" s="53">
        <v>2048.9032258064517</v>
      </c>
    </row>
    <row r="31" spans="1:4" ht="28.5" customHeight="1" x14ac:dyDescent="0.25">
      <c r="A31" s="54">
        <v>28</v>
      </c>
      <c r="B31" s="52"/>
      <c r="C31" s="53">
        <v>2048.9032258064517</v>
      </c>
    </row>
    <row r="32" spans="1:4" ht="28.5" customHeight="1" x14ac:dyDescent="0.25">
      <c r="A32" s="54">
        <v>29</v>
      </c>
      <c r="B32" s="56"/>
      <c r="C32" s="53">
        <v>2048.9032258064517</v>
      </c>
    </row>
    <row r="33" spans="1:3" ht="28.5" customHeight="1" x14ac:dyDescent="0.25">
      <c r="A33" s="54">
        <v>30</v>
      </c>
      <c r="B33" s="52"/>
      <c r="C33" s="53">
        <v>2048.9032258064517</v>
      </c>
    </row>
    <row r="34" spans="1:3" ht="28.5" customHeight="1" x14ac:dyDescent="0.25">
      <c r="A34" s="54">
        <v>31</v>
      </c>
      <c r="B34" s="52"/>
      <c r="C34" s="53">
        <v>2048.9032258064517</v>
      </c>
    </row>
    <row r="35" spans="1:3" x14ac:dyDescent="0.25">
      <c r="A35" s="87" t="s">
        <v>76</v>
      </c>
      <c r="B35" s="87"/>
      <c r="C35" s="58">
        <f>SUM(C4:C34)</f>
        <v>63516.000000000036</v>
      </c>
    </row>
  </sheetData>
  <mergeCells count="2">
    <mergeCell ref="A1:C1"/>
    <mergeCell ref="A35:B35"/>
  </mergeCells>
  <printOptions horizontalCentered="1"/>
  <pageMargins left="0" right="0" top="0" bottom="0" header="0.3" footer="0.3"/>
  <pageSetup paperSize="9" scale="71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5EAA-47F4-4B4C-AF06-1BB06658B4C9}">
  <sheetPr>
    <pageSetUpPr fitToPage="1"/>
  </sheetPr>
  <dimension ref="A2:AP29"/>
  <sheetViews>
    <sheetView zoomScale="115" zoomScaleNormal="115" workbookViewId="0">
      <pane xSplit="3" ySplit="4" topLeftCell="D12" activePane="bottomRight" state="frozen"/>
      <selection pane="topRight" activeCell="D1" sqref="D1"/>
      <selection pane="bottomLeft" activeCell="A5" sqref="A5"/>
      <selection pane="bottomRight" activeCell="D7" sqref="D7:AI14"/>
    </sheetView>
  </sheetViews>
  <sheetFormatPr defaultColWidth="9.140625" defaultRowHeight="70.5" customHeight="1" x14ac:dyDescent="0.25"/>
  <cols>
    <col min="1" max="1" width="5.7109375" style="2" customWidth="1"/>
    <col min="2" max="2" width="21.85546875" style="8" customWidth="1"/>
    <col min="3" max="3" width="23" style="35" customWidth="1"/>
    <col min="4" max="6" width="10.140625" style="8" customWidth="1"/>
    <col min="7" max="35" width="10.140625" style="2" customWidth="1"/>
    <col min="36" max="16384" width="9.140625" style="2"/>
  </cols>
  <sheetData>
    <row r="2" spans="1:42" s="8" customFormat="1" ht="25.7" customHeight="1" x14ac:dyDescent="0.4">
      <c r="B2" s="91" t="s">
        <v>86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</row>
    <row r="3" spans="1:42" s="8" customFormat="1" ht="30" customHeight="1" thickBot="1" x14ac:dyDescent="0.3"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</row>
    <row r="4" spans="1:42" s="30" customFormat="1" ht="57.75" customHeight="1" thickBot="1" x14ac:dyDescent="0.3">
      <c r="A4" s="15" t="s">
        <v>10</v>
      </c>
      <c r="B4" s="27" t="s">
        <v>18</v>
      </c>
      <c r="C4" s="27" t="s">
        <v>12</v>
      </c>
      <c r="D4" s="28" t="s">
        <v>19</v>
      </c>
      <c r="E4" s="29" t="s">
        <v>20</v>
      </c>
      <c r="F4" s="29" t="s">
        <v>21</v>
      </c>
      <c r="G4" s="29" t="s">
        <v>22</v>
      </c>
      <c r="H4" s="29" t="s">
        <v>23</v>
      </c>
      <c r="I4" s="29" t="s">
        <v>24</v>
      </c>
      <c r="J4" s="29" t="s">
        <v>25</v>
      </c>
      <c r="K4" s="29" t="s">
        <v>26</v>
      </c>
      <c r="L4" s="29" t="s">
        <v>27</v>
      </c>
      <c r="M4" s="29" t="s">
        <v>28</v>
      </c>
      <c r="N4" s="29" t="s">
        <v>29</v>
      </c>
      <c r="O4" s="29" t="s">
        <v>30</v>
      </c>
      <c r="P4" s="29" t="s">
        <v>31</v>
      </c>
      <c r="Q4" s="29" t="s">
        <v>32</v>
      </c>
      <c r="R4" s="29" t="s">
        <v>33</v>
      </c>
      <c r="S4" s="29" t="s">
        <v>34</v>
      </c>
      <c r="T4" s="29" t="s">
        <v>35</v>
      </c>
      <c r="U4" s="29" t="s">
        <v>36</v>
      </c>
      <c r="V4" s="29" t="s">
        <v>37</v>
      </c>
      <c r="W4" s="29" t="s">
        <v>38</v>
      </c>
      <c r="X4" s="29" t="s">
        <v>39</v>
      </c>
      <c r="Y4" s="29" t="s">
        <v>40</v>
      </c>
      <c r="Z4" s="29" t="s">
        <v>41</v>
      </c>
      <c r="AA4" s="29" t="s">
        <v>42</v>
      </c>
      <c r="AB4" s="29" t="s">
        <v>43</v>
      </c>
      <c r="AC4" s="29" t="s">
        <v>44</v>
      </c>
      <c r="AD4" s="29" t="s">
        <v>45</v>
      </c>
      <c r="AE4" s="29" t="s">
        <v>46</v>
      </c>
      <c r="AF4" s="29" t="s">
        <v>47</v>
      </c>
      <c r="AG4" s="29" t="s">
        <v>77</v>
      </c>
      <c r="AH4" s="29" t="s">
        <v>78</v>
      </c>
      <c r="AI4" s="29" t="s">
        <v>79</v>
      </c>
    </row>
    <row r="5" spans="1:42" s="8" customFormat="1" ht="40.5" customHeight="1" thickBot="1" x14ac:dyDescent="0.3">
      <c r="A5" s="94" t="s">
        <v>20</v>
      </c>
      <c r="B5" s="27" t="s">
        <v>48</v>
      </c>
      <c r="C5" s="96" t="s">
        <v>49</v>
      </c>
      <c r="D5" s="31">
        <v>131209</v>
      </c>
      <c r="E5" s="31">
        <v>131399</v>
      </c>
      <c r="F5" s="31">
        <v>131675</v>
      </c>
      <c r="G5" s="31">
        <v>131925</v>
      </c>
      <c r="H5" s="31">
        <v>132141</v>
      </c>
      <c r="I5" s="31">
        <v>132422</v>
      </c>
      <c r="J5" s="31">
        <v>132656</v>
      </c>
      <c r="K5" s="31">
        <v>132901</v>
      </c>
      <c r="L5" s="31">
        <v>133191</v>
      </c>
      <c r="M5" s="31">
        <v>133464</v>
      </c>
      <c r="N5" s="31">
        <v>133675</v>
      </c>
      <c r="O5" s="31">
        <v>133944</v>
      </c>
      <c r="P5" s="31">
        <v>134169</v>
      </c>
      <c r="Q5" s="31">
        <v>134400</v>
      </c>
      <c r="R5" s="31">
        <v>134669</v>
      </c>
      <c r="S5" s="31">
        <v>134890</v>
      </c>
      <c r="T5" s="31">
        <v>135126</v>
      </c>
      <c r="U5" s="31">
        <v>135559</v>
      </c>
      <c r="V5" s="31">
        <v>135819</v>
      </c>
      <c r="W5" s="31">
        <v>136179</v>
      </c>
      <c r="X5" s="31">
        <v>136390</v>
      </c>
      <c r="Y5" s="31">
        <v>136651</v>
      </c>
      <c r="Z5" s="31">
        <v>136872</v>
      </c>
      <c r="AA5" s="31">
        <v>137136</v>
      </c>
      <c r="AB5" s="31">
        <v>137367</v>
      </c>
      <c r="AC5" s="31">
        <v>137608</v>
      </c>
      <c r="AD5" s="31">
        <v>137847</v>
      </c>
      <c r="AE5" s="31">
        <v>138071</v>
      </c>
      <c r="AF5" s="31">
        <v>138326</v>
      </c>
      <c r="AG5" s="31">
        <v>138488</v>
      </c>
      <c r="AH5" s="31">
        <v>138818</v>
      </c>
      <c r="AI5" s="31">
        <v>139108</v>
      </c>
    </row>
    <row r="6" spans="1:42" s="34" customFormat="1" ht="25.7" customHeight="1" thickBot="1" x14ac:dyDescent="0.3">
      <c r="A6" s="95"/>
      <c r="B6" s="32"/>
      <c r="C6" s="96"/>
      <c r="D6" s="33"/>
      <c r="E6" s="33">
        <f>E5-D5</f>
        <v>190</v>
      </c>
      <c r="F6" s="33">
        <f t="shared" ref="F6:AI6" si="0">F5-E5</f>
        <v>276</v>
      </c>
      <c r="G6" s="33">
        <f t="shared" si="0"/>
        <v>250</v>
      </c>
      <c r="H6" s="33">
        <f t="shared" si="0"/>
        <v>216</v>
      </c>
      <c r="I6" s="33">
        <f t="shared" si="0"/>
        <v>281</v>
      </c>
      <c r="J6" s="33">
        <f t="shared" si="0"/>
        <v>234</v>
      </c>
      <c r="K6" s="33">
        <f t="shared" si="0"/>
        <v>245</v>
      </c>
      <c r="L6" s="33">
        <f t="shared" si="0"/>
        <v>290</v>
      </c>
      <c r="M6" s="33">
        <f t="shared" si="0"/>
        <v>273</v>
      </c>
      <c r="N6" s="33">
        <f t="shared" si="0"/>
        <v>211</v>
      </c>
      <c r="O6" s="33">
        <f t="shared" si="0"/>
        <v>269</v>
      </c>
      <c r="P6" s="33">
        <f t="shared" si="0"/>
        <v>225</v>
      </c>
      <c r="Q6" s="33">
        <f t="shared" si="0"/>
        <v>231</v>
      </c>
      <c r="R6" s="33">
        <f t="shared" si="0"/>
        <v>269</v>
      </c>
      <c r="S6" s="33">
        <f t="shared" si="0"/>
        <v>221</v>
      </c>
      <c r="T6" s="33">
        <f t="shared" si="0"/>
        <v>236</v>
      </c>
      <c r="U6" s="33">
        <f t="shared" si="0"/>
        <v>433</v>
      </c>
      <c r="V6" s="33">
        <f t="shared" si="0"/>
        <v>260</v>
      </c>
      <c r="W6" s="33">
        <f t="shared" si="0"/>
        <v>360</v>
      </c>
      <c r="X6" s="33">
        <f t="shared" si="0"/>
        <v>211</v>
      </c>
      <c r="Y6" s="33">
        <f t="shared" si="0"/>
        <v>261</v>
      </c>
      <c r="Z6" s="33">
        <f t="shared" si="0"/>
        <v>221</v>
      </c>
      <c r="AA6" s="33">
        <f t="shared" si="0"/>
        <v>264</v>
      </c>
      <c r="AB6" s="33">
        <f t="shared" si="0"/>
        <v>231</v>
      </c>
      <c r="AC6" s="33">
        <f t="shared" si="0"/>
        <v>241</v>
      </c>
      <c r="AD6" s="33">
        <f t="shared" si="0"/>
        <v>239</v>
      </c>
      <c r="AE6" s="33">
        <f t="shared" si="0"/>
        <v>224</v>
      </c>
      <c r="AF6" s="33">
        <f t="shared" si="0"/>
        <v>255</v>
      </c>
      <c r="AG6" s="33">
        <f t="shared" si="0"/>
        <v>162</v>
      </c>
      <c r="AH6" s="33">
        <f t="shared" si="0"/>
        <v>330</v>
      </c>
      <c r="AI6" s="33">
        <f t="shared" si="0"/>
        <v>290</v>
      </c>
      <c r="AJ6" s="8"/>
      <c r="AK6" s="8"/>
      <c r="AL6" s="8"/>
      <c r="AM6" s="8"/>
      <c r="AN6" s="8"/>
      <c r="AO6" s="8"/>
      <c r="AP6" s="8"/>
    </row>
    <row r="7" spans="1:42" s="8" customFormat="1" ht="39.75" customHeight="1" thickBot="1" x14ac:dyDescent="0.3">
      <c r="A7" s="94" t="s">
        <v>22</v>
      </c>
      <c r="B7" s="49" t="s">
        <v>69</v>
      </c>
      <c r="C7" s="96" t="s">
        <v>70</v>
      </c>
      <c r="D7" s="31">
        <v>403623.1</v>
      </c>
      <c r="E7" s="31">
        <v>403659.2</v>
      </c>
      <c r="F7" s="31">
        <v>403692</v>
      </c>
      <c r="G7" s="31">
        <v>403730.7</v>
      </c>
      <c r="H7" s="31">
        <v>403764.2</v>
      </c>
      <c r="I7" s="31">
        <v>403777.5</v>
      </c>
      <c r="J7" s="31">
        <v>403826.1</v>
      </c>
      <c r="K7" s="31">
        <v>403857.1</v>
      </c>
      <c r="L7" s="31">
        <v>403894.1</v>
      </c>
      <c r="M7" s="31">
        <v>403933.5</v>
      </c>
      <c r="N7" s="31">
        <v>403975.6</v>
      </c>
      <c r="O7" s="31">
        <v>404021.9</v>
      </c>
      <c r="P7" s="31">
        <v>404064.5</v>
      </c>
      <c r="Q7" s="31">
        <v>404103.2</v>
      </c>
      <c r="R7" s="31">
        <v>404138.5</v>
      </c>
      <c r="S7" s="31">
        <v>404181.6</v>
      </c>
      <c r="T7" s="31">
        <v>404220.1</v>
      </c>
      <c r="U7" s="31">
        <v>404246.5</v>
      </c>
      <c r="V7" s="31">
        <v>404306.5</v>
      </c>
      <c r="W7" s="31">
        <v>404352.2</v>
      </c>
      <c r="X7" s="31">
        <v>404399.1</v>
      </c>
      <c r="Y7" s="31">
        <v>404447.2</v>
      </c>
      <c r="Z7" s="31">
        <v>404492.5</v>
      </c>
      <c r="AA7" s="31">
        <v>404537.1</v>
      </c>
      <c r="AB7" s="31">
        <v>404576.8</v>
      </c>
      <c r="AC7" s="31">
        <v>404615.1</v>
      </c>
      <c r="AD7" s="31">
        <v>404655.2</v>
      </c>
      <c r="AE7" s="31">
        <v>404681.1</v>
      </c>
      <c r="AF7" s="31">
        <v>404720.1</v>
      </c>
      <c r="AG7" s="31">
        <v>404759.1</v>
      </c>
      <c r="AH7" s="31">
        <v>404800.1</v>
      </c>
      <c r="AI7" s="31">
        <v>404845.7</v>
      </c>
    </row>
    <row r="8" spans="1:42" s="34" customFormat="1" ht="25.7" customHeight="1" thickBot="1" x14ac:dyDescent="0.3">
      <c r="A8" s="95"/>
      <c r="B8" s="47"/>
      <c r="C8" s="96"/>
      <c r="D8" s="33"/>
      <c r="E8" s="33">
        <f>E7-D7</f>
        <v>36.100000000034925</v>
      </c>
      <c r="F8" s="33">
        <f t="shared" ref="F8:AI8" si="1">F7-E7</f>
        <v>32.799999999988358</v>
      </c>
      <c r="G8" s="33">
        <f t="shared" si="1"/>
        <v>38.700000000011642</v>
      </c>
      <c r="H8" s="33">
        <f t="shared" si="1"/>
        <v>33.5</v>
      </c>
      <c r="I8" s="33">
        <f t="shared" si="1"/>
        <v>13.299999999988358</v>
      </c>
      <c r="J8" s="33">
        <f t="shared" si="1"/>
        <v>48.599999999976717</v>
      </c>
      <c r="K8" s="33">
        <f t="shared" si="1"/>
        <v>31</v>
      </c>
      <c r="L8" s="33">
        <f t="shared" si="1"/>
        <v>37</v>
      </c>
      <c r="M8" s="33">
        <f t="shared" si="1"/>
        <v>39.400000000023283</v>
      </c>
      <c r="N8" s="33">
        <f t="shared" si="1"/>
        <v>42.099999999976717</v>
      </c>
      <c r="O8" s="33">
        <f t="shared" si="1"/>
        <v>46.300000000046566</v>
      </c>
      <c r="P8" s="33">
        <f t="shared" si="1"/>
        <v>42.599999999976717</v>
      </c>
      <c r="Q8" s="33">
        <f t="shared" si="1"/>
        <v>38.700000000011642</v>
      </c>
      <c r="R8" s="33">
        <f t="shared" si="1"/>
        <v>35.299999999988358</v>
      </c>
      <c r="S8" s="33">
        <f t="shared" si="1"/>
        <v>43.099999999976717</v>
      </c>
      <c r="T8" s="33">
        <f t="shared" si="1"/>
        <v>38.5</v>
      </c>
      <c r="U8" s="33">
        <f t="shared" si="1"/>
        <v>26.400000000023283</v>
      </c>
      <c r="V8" s="33">
        <f t="shared" si="1"/>
        <v>60</v>
      </c>
      <c r="W8" s="33">
        <f t="shared" si="1"/>
        <v>45.700000000011642</v>
      </c>
      <c r="X8" s="33">
        <f t="shared" si="1"/>
        <v>46.899999999965075</v>
      </c>
      <c r="Y8" s="33">
        <f t="shared" si="1"/>
        <v>48.100000000034925</v>
      </c>
      <c r="Z8" s="33">
        <f t="shared" si="1"/>
        <v>45.299999999988358</v>
      </c>
      <c r="AA8" s="33">
        <f t="shared" si="1"/>
        <v>44.599999999976717</v>
      </c>
      <c r="AB8" s="33">
        <f t="shared" si="1"/>
        <v>39.700000000011642</v>
      </c>
      <c r="AC8" s="33">
        <f t="shared" si="1"/>
        <v>38.299999999988358</v>
      </c>
      <c r="AD8" s="33">
        <f t="shared" si="1"/>
        <v>40.100000000034925</v>
      </c>
      <c r="AE8" s="33">
        <f t="shared" si="1"/>
        <v>25.899999999965075</v>
      </c>
      <c r="AF8" s="33">
        <f t="shared" si="1"/>
        <v>39</v>
      </c>
      <c r="AG8" s="33">
        <f t="shared" si="1"/>
        <v>39</v>
      </c>
      <c r="AH8" s="33">
        <f t="shared" si="1"/>
        <v>41</v>
      </c>
      <c r="AI8" s="33">
        <f t="shared" si="1"/>
        <v>45.600000000034925</v>
      </c>
      <c r="AJ8" s="8"/>
      <c r="AK8" s="8"/>
      <c r="AL8" s="8"/>
      <c r="AM8" s="8"/>
      <c r="AN8" s="8"/>
      <c r="AO8" s="8"/>
      <c r="AP8" s="8"/>
    </row>
    <row r="9" spans="1:42" s="8" customFormat="1" ht="25.7" customHeight="1" thickBot="1" x14ac:dyDescent="0.3">
      <c r="A9" s="94">
        <v>4</v>
      </c>
      <c r="B9" s="46" t="s">
        <v>67</v>
      </c>
      <c r="C9" s="96" t="s">
        <v>68</v>
      </c>
      <c r="D9" s="31">
        <v>5589</v>
      </c>
      <c r="E9" s="31">
        <v>5814</v>
      </c>
      <c r="F9" s="31">
        <v>6031</v>
      </c>
      <c r="G9" s="31">
        <v>6216</v>
      </c>
      <c r="H9" s="31">
        <v>6389</v>
      </c>
      <c r="I9" s="31">
        <v>6568</v>
      </c>
      <c r="J9" s="31">
        <v>6586</v>
      </c>
      <c r="K9" s="31">
        <v>6749</v>
      </c>
      <c r="L9" s="31">
        <v>6932</v>
      </c>
      <c r="M9" s="31">
        <v>7070</v>
      </c>
      <c r="N9" s="31">
        <v>7258</v>
      </c>
      <c r="O9" s="31">
        <v>7493</v>
      </c>
      <c r="P9" s="31">
        <v>7639</v>
      </c>
      <c r="Q9" s="31">
        <v>7755</v>
      </c>
      <c r="R9" s="31">
        <v>7887</v>
      </c>
      <c r="S9" s="31">
        <v>8040</v>
      </c>
      <c r="T9" s="31">
        <v>8150</v>
      </c>
      <c r="U9" s="31">
        <v>8305</v>
      </c>
      <c r="V9" s="31">
        <v>8470</v>
      </c>
      <c r="W9" s="31">
        <v>8807</v>
      </c>
      <c r="X9" s="31">
        <v>8974</v>
      </c>
      <c r="Y9" s="31">
        <v>9237</v>
      </c>
      <c r="Z9" s="31">
        <v>9462</v>
      </c>
      <c r="AA9" s="31">
        <v>9693</v>
      </c>
      <c r="AB9" s="31">
        <v>9927</v>
      </c>
      <c r="AC9" s="31">
        <v>10167</v>
      </c>
      <c r="AD9" s="31">
        <v>10421</v>
      </c>
      <c r="AE9" s="31">
        <v>10471</v>
      </c>
      <c r="AF9" s="31">
        <v>10705</v>
      </c>
      <c r="AG9" s="31">
        <v>10987</v>
      </c>
      <c r="AH9" s="31">
        <v>11213</v>
      </c>
      <c r="AI9" s="31">
        <v>11449</v>
      </c>
    </row>
    <row r="10" spans="1:42" s="34" customFormat="1" ht="25.7" customHeight="1" thickBot="1" x14ac:dyDescent="0.3">
      <c r="A10" s="95"/>
      <c r="B10" s="47"/>
      <c r="C10" s="96"/>
      <c r="D10" s="33"/>
      <c r="E10" s="33">
        <f t="shared" ref="E10:AI10" si="2">E9-D9</f>
        <v>225</v>
      </c>
      <c r="F10" s="33">
        <f t="shared" si="2"/>
        <v>217</v>
      </c>
      <c r="G10" s="33">
        <f t="shared" si="2"/>
        <v>185</v>
      </c>
      <c r="H10" s="33">
        <f t="shared" si="2"/>
        <v>173</v>
      </c>
      <c r="I10" s="33">
        <f t="shared" si="2"/>
        <v>179</v>
      </c>
      <c r="J10" s="33">
        <f t="shared" si="2"/>
        <v>18</v>
      </c>
      <c r="K10" s="33">
        <f t="shared" si="2"/>
        <v>163</v>
      </c>
      <c r="L10" s="33">
        <f t="shared" si="2"/>
        <v>183</v>
      </c>
      <c r="M10" s="33">
        <f t="shared" si="2"/>
        <v>138</v>
      </c>
      <c r="N10" s="33">
        <f t="shared" si="2"/>
        <v>188</v>
      </c>
      <c r="O10" s="33">
        <f t="shared" si="2"/>
        <v>235</v>
      </c>
      <c r="P10" s="33">
        <f t="shared" si="2"/>
        <v>146</v>
      </c>
      <c r="Q10" s="33">
        <f t="shared" si="2"/>
        <v>116</v>
      </c>
      <c r="R10" s="33">
        <f t="shared" si="2"/>
        <v>132</v>
      </c>
      <c r="S10" s="33">
        <f t="shared" si="2"/>
        <v>153</v>
      </c>
      <c r="T10" s="33">
        <f t="shared" si="2"/>
        <v>110</v>
      </c>
      <c r="U10" s="33">
        <f t="shared" si="2"/>
        <v>155</v>
      </c>
      <c r="V10" s="33">
        <f t="shared" si="2"/>
        <v>165</v>
      </c>
      <c r="W10" s="33">
        <f t="shared" si="2"/>
        <v>337</v>
      </c>
      <c r="X10" s="33">
        <f t="shared" si="2"/>
        <v>167</v>
      </c>
      <c r="Y10" s="33">
        <f t="shared" si="2"/>
        <v>263</v>
      </c>
      <c r="Z10" s="33">
        <f t="shared" si="2"/>
        <v>225</v>
      </c>
      <c r="AA10" s="33">
        <f t="shared" si="2"/>
        <v>231</v>
      </c>
      <c r="AB10" s="33">
        <f t="shared" si="2"/>
        <v>234</v>
      </c>
      <c r="AC10" s="33">
        <f t="shared" si="2"/>
        <v>240</v>
      </c>
      <c r="AD10" s="33">
        <f t="shared" si="2"/>
        <v>254</v>
      </c>
      <c r="AE10" s="33">
        <f t="shared" si="2"/>
        <v>50</v>
      </c>
      <c r="AF10" s="33">
        <f t="shared" si="2"/>
        <v>234</v>
      </c>
      <c r="AG10" s="33">
        <f t="shared" si="2"/>
        <v>282</v>
      </c>
      <c r="AH10" s="33">
        <f t="shared" si="2"/>
        <v>226</v>
      </c>
      <c r="AI10" s="33">
        <f t="shared" si="2"/>
        <v>236</v>
      </c>
      <c r="AJ10" s="8"/>
      <c r="AK10" s="8"/>
      <c r="AL10" s="8"/>
      <c r="AM10" s="8"/>
      <c r="AN10" s="8"/>
      <c r="AO10" s="8"/>
      <c r="AP10" s="8"/>
    </row>
    <row r="11" spans="1:42" s="8" customFormat="1" ht="25.7" customHeight="1" thickBot="1" x14ac:dyDescent="0.3">
      <c r="A11" s="97">
        <v>5</v>
      </c>
      <c r="B11" s="27">
        <v>68864837</v>
      </c>
      <c r="C11" s="96" t="s">
        <v>74</v>
      </c>
      <c r="D11" s="31">
        <v>2050.8359999999998</v>
      </c>
      <c r="E11" s="31">
        <v>2052.0819999999999</v>
      </c>
      <c r="F11" s="31">
        <v>2053.7779</v>
      </c>
      <c r="G11" s="31">
        <v>2055.1129999999998</v>
      </c>
      <c r="H11" s="31">
        <v>2056.355</v>
      </c>
      <c r="I11" s="31">
        <v>2057.402</v>
      </c>
      <c r="J11" s="31">
        <v>2060.06</v>
      </c>
      <c r="K11" s="31">
        <v>2061.0500000000002</v>
      </c>
      <c r="L11" s="31">
        <v>2066.3919999999998</v>
      </c>
      <c r="M11" s="31">
        <v>2066.3919999999998</v>
      </c>
      <c r="N11" s="31">
        <v>2068.7510000000002</v>
      </c>
      <c r="O11" s="31">
        <v>2069.8910000000001</v>
      </c>
      <c r="P11" s="31">
        <v>2072.5450000000001</v>
      </c>
      <c r="Q11" s="31">
        <v>2074.3130000000001</v>
      </c>
      <c r="R11" s="31">
        <v>2076.7420000000002</v>
      </c>
      <c r="S11" s="31">
        <v>2077.7820000000002</v>
      </c>
      <c r="T11" s="31">
        <v>2079.12</v>
      </c>
      <c r="U11" s="31">
        <v>2080.9960000000001</v>
      </c>
      <c r="V11" s="31">
        <v>2081.9940000000001</v>
      </c>
      <c r="W11" s="31">
        <v>2083.0360000000001</v>
      </c>
      <c r="X11" s="31">
        <v>2085.337</v>
      </c>
      <c r="Y11" s="31">
        <v>2087.7620000000002</v>
      </c>
      <c r="Z11" s="31">
        <v>2088.7020000000002</v>
      </c>
      <c r="AA11" s="31">
        <v>2089.6689999999999</v>
      </c>
      <c r="AB11" s="31">
        <v>2090.12</v>
      </c>
      <c r="AC11" s="31">
        <v>2092.52</v>
      </c>
      <c r="AD11" s="31">
        <v>2093.9569999999999</v>
      </c>
      <c r="AE11" s="31">
        <v>2095.0039999999999</v>
      </c>
      <c r="AF11" s="31">
        <v>2095.9839999999999</v>
      </c>
      <c r="AG11" s="31">
        <v>2098.1669999999999</v>
      </c>
      <c r="AH11" s="31">
        <v>2099.13</v>
      </c>
      <c r="AI11" s="31">
        <v>2100.9180000000001</v>
      </c>
    </row>
    <row r="12" spans="1:42" s="8" customFormat="1" ht="25.7" customHeight="1" thickBot="1" x14ac:dyDescent="0.3">
      <c r="A12" s="98"/>
      <c r="B12" s="48"/>
      <c r="C12" s="96"/>
      <c r="D12" s="33"/>
      <c r="E12" s="33">
        <f>E11-D11</f>
        <v>1.2460000000000946</v>
      </c>
      <c r="F12" s="33">
        <f t="shared" ref="F12:AI12" si="3">F11-E11</f>
        <v>1.6959000000001652</v>
      </c>
      <c r="G12" s="33">
        <f t="shared" si="3"/>
        <v>1.3350999999997839</v>
      </c>
      <c r="H12" s="33">
        <f t="shared" si="3"/>
        <v>1.2420000000001892</v>
      </c>
      <c r="I12" s="33">
        <f t="shared" si="3"/>
        <v>1.0470000000000255</v>
      </c>
      <c r="J12" s="33">
        <f t="shared" si="3"/>
        <v>2.6579999999999018</v>
      </c>
      <c r="K12" s="33">
        <f t="shared" si="3"/>
        <v>0.99000000000023647</v>
      </c>
      <c r="L12" s="33">
        <f t="shared" si="3"/>
        <v>5.3419999999996435</v>
      </c>
      <c r="M12" s="33">
        <f t="shared" si="3"/>
        <v>0</v>
      </c>
      <c r="N12" s="33">
        <f t="shared" si="3"/>
        <v>2.3590000000003783</v>
      </c>
      <c r="O12" s="33">
        <f t="shared" si="3"/>
        <v>1.1399999999998727</v>
      </c>
      <c r="P12" s="33">
        <f t="shared" si="3"/>
        <v>2.6539999999999964</v>
      </c>
      <c r="Q12" s="33">
        <f t="shared" si="3"/>
        <v>1.7680000000000291</v>
      </c>
      <c r="R12" s="33">
        <f t="shared" si="3"/>
        <v>2.4290000000000873</v>
      </c>
      <c r="S12" s="33">
        <f t="shared" si="3"/>
        <v>1.0399999999999636</v>
      </c>
      <c r="T12" s="33">
        <f t="shared" si="3"/>
        <v>1.3379999999997381</v>
      </c>
      <c r="U12" s="33">
        <f t="shared" si="3"/>
        <v>1.8760000000002037</v>
      </c>
      <c r="V12" s="33">
        <f t="shared" si="3"/>
        <v>0.99800000000004729</v>
      </c>
      <c r="W12" s="33">
        <f t="shared" si="3"/>
        <v>1.0419999999999163</v>
      </c>
      <c r="X12" s="33">
        <f t="shared" si="3"/>
        <v>2.3009999999999309</v>
      </c>
      <c r="Y12" s="33">
        <f t="shared" si="3"/>
        <v>2.4250000000001819</v>
      </c>
      <c r="Z12" s="33">
        <f t="shared" si="3"/>
        <v>0.94000000000005457</v>
      </c>
      <c r="AA12" s="33">
        <f t="shared" si="3"/>
        <v>0.96699999999964348</v>
      </c>
      <c r="AB12" s="33">
        <f t="shared" si="3"/>
        <v>0.45100000000002183</v>
      </c>
      <c r="AC12" s="33">
        <f t="shared" si="3"/>
        <v>2.4000000000000909</v>
      </c>
      <c r="AD12" s="33">
        <f t="shared" si="3"/>
        <v>1.4369999999998981</v>
      </c>
      <c r="AE12" s="33">
        <f t="shared" si="3"/>
        <v>1.0470000000000255</v>
      </c>
      <c r="AF12" s="33">
        <f t="shared" si="3"/>
        <v>0.98000000000001819</v>
      </c>
      <c r="AG12" s="33">
        <f t="shared" si="3"/>
        <v>2.1829999999999927</v>
      </c>
      <c r="AH12" s="33">
        <f t="shared" si="3"/>
        <v>0.96300000000019281</v>
      </c>
      <c r="AI12" s="33">
        <f t="shared" si="3"/>
        <v>1.7880000000000109</v>
      </c>
    </row>
    <row r="13" spans="1:42" s="8" customFormat="1" ht="25.7" customHeight="1" thickBot="1" x14ac:dyDescent="0.3">
      <c r="A13" s="97">
        <v>6</v>
      </c>
      <c r="B13" s="27">
        <v>65296485</v>
      </c>
      <c r="C13" s="96" t="s">
        <v>73</v>
      </c>
      <c r="D13" s="31">
        <v>2573.518</v>
      </c>
      <c r="E13" s="31">
        <v>2583.4879999999998</v>
      </c>
      <c r="F13" s="31">
        <v>2586.509</v>
      </c>
      <c r="G13" s="31">
        <v>2590.4540000000002</v>
      </c>
      <c r="H13" s="31">
        <v>2592.0120000000002</v>
      </c>
      <c r="I13" s="31">
        <v>2593.8780000000002</v>
      </c>
      <c r="J13" s="31">
        <v>2600.1619999999998</v>
      </c>
      <c r="K13" s="31">
        <v>2601.52</v>
      </c>
      <c r="L13" s="31">
        <v>2604.7550000000001</v>
      </c>
      <c r="M13" s="31">
        <v>2606.163</v>
      </c>
      <c r="N13" s="31">
        <v>2607.614</v>
      </c>
      <c r="O13" s="31">
        <v>2608.183</v>
      </c>
      <c r="P13" s="31">
        <v>2612.81</v>
      </c>
      <c r="Q13" s="31">
        <v>2614.5749999999998</v>
      </c>
      <c r="R13" s="31">
        <v>2616.3009999999999</v>
      </c>
      <c r="S13" s="31">
        <v>2618.8409999999999</v>
      </c>
      <c r="T13" s="31">
        <v>2620.85</v>
      </c>
      <c r="U13" s="31">
        <v>2621.5970000000002</v>
      </c>
      <c r="V13" s="31">
        <v>2622.9389999999999</v>
      </c>
      <c r="W13" s="31">
        <v>2627.5279999999998</v>
      </c>
      <c r="X13" s="31">
        <v>2629.0309999999999</v>
      </c>
      <c r="Y13" s="31">
        <v>2631.3020000000001</v>
      </c>
      <c r="Z13" s="31">
        <v>2633.5010000000002</v>
      </c>
      <c r="AA13" s="31">
        <v>2634.9229999999998</v>
      </c>
      <c r="AB13" s="31">
        <v>2635.4</v>
      </c>
      <c r="AC13" s="31">
        <v>2643.68</v>
      </c>
      <c r="AD13" s="31">
        <v>2647.6529999999998</v>
      </c>
      <c r="AE13" s="31">
        <v>2649.864</v>
      </c>
      <c r="AF13" s="31">
        <v>2653.326</v>
      </c>
      <c r="AG13" s="31">
        <v>2658.489</v>
      </c>
      <c r="AH13" s="31">
        <v>2660.4319999999998</v>
      </c>
      <c r="AI13" s="31">
        <v>2662.4859999999999</v>
      </c>
    </row>
    <row r="14" spans="1:42" s="8" customFormat="1" ht="25.7" customHeight="1" thickBot="1" x14ac:dyDescent="0.3">
      <c r="A14" s="98"/>
      <c r="B14" s="48"/>
      <c r="C14" s="96"/>
      <c r="D14" s="33"/>
      <c r="E14" s="33">
        <f>E13-D13</f>
        <v>9.9699999999997999</v>
      </c>
      <c r="F14" s="33">
        <f t="shared" ref="F14:AI14" si="4">F13-E13</f>
        <v>3.0210000000001855</v>
      </c>
      <c r="G14" s="33">
        <f t="shared" si="4"/>
        <v>3.9450000000001637</v>
      </c>
      <c r="H14" s="33">
        <f t="shared" si="4"/>
        <v>1.5579999999999927</v>
      </c>
      <c r="I14" s="33">
        <f t="shared" si="4"/>
        <v>1.8659999999999854</v>
      </c>
      <c r="J14" s="33">
        <f t="shared" si="4"/>
        <v>6.2839999999996508</v>
      </c>
      <c r="K14" s="33">
        <f t="shared" si="4"/>
        <v>1.3580000000001746</v>
      </c>
      <c r="L14" s="33">
        <f t="shared" si="4"/>
        <v>3.2350000000001273</v>
      </c>
      <c r="M14" s="33">
        <f t="shared" si="4"/>
        <v>1.4079999999999018</v>
      </c>
      <c r="N14" s="33">
        <f t="shared" si="4"/>
        <v>1.4510000000000218</v>
      </c>
      <c r="O14" s="33">
        <f t="shared" si="4"/>
        <v>0.56899999999995998</v>
      </c>
      <c r="P14" s="33">
        <f t="shared" si="4"/>
        <v>4.6269999999999527</v>
      </c>
      <c r="Q14" s="33">
        <f t="shared" si="4"/>
        <v>1.7649999999998727</v>
      </c>
      <c r="R14" s="33">
        <f t="shared" si="4"/>
        <v>1.7260000000001128</v>
      </c>
      <c r="S14" s="33">
        <f t="shared" si="4"/>
        <v>2.5399999999999636</v>
      </c>
      <c r="T14" s="33">
        <f t="shared" si="4"/>
        <v>2.0090000000000146</v>
      </c>
      <c r="U14" s="33">
        <f t="shared" si="4"/>
        <v>0.74700000000029831</v>
      </c>
      <c r="V14" s="33">
        <f t="shared" si="4"/>
        <v>1.3419999999996435</v>
      </c>
      <c r="W14" s="33">
        <f t="shared" si="4"/>
        <v>4.5889999999999418</v>
      </c>
      <c r="X14" s="33">
        <f t="shared" si="4"/>
        <v>1.5030000000001564</v>
      </c>
      <c r="Y14" s="33">
        <f t="shared" si="4"/>
        <v>2.2710000000001855</v>
      </c>
      <c r="Z14" s="33">
        <f t="shared" si="4"/>
        <v>2.1990000000000691</v>
      </c>
      <c r="AA14" s="33">
        <f t="shared" si="4"/>
        <v>1.4219999999995707</v>
      </c>
      <c r="AB14" s="33">
        <f t="shared" si="4"/>
        <v>0.4770000000003165</v>
      </c>
      <c r="AC14" s="33">
        <f t="shared" si="4"/>
        <v>8.2799999999997453</v>
      </c>
      <c r="AD14" s="33">
        <f t="shared" si="4"/>
        <v>3.9729999999999563</v>
      </c>
      <c r="AE14" s="33">
        <f t="shared" si="4"/>
        <v>2.2110000000002401</v>
      </c>
      <c r="AF14" s="33">
        <f t="shared" si="4"/>
        <v>3.4619999999999891</v>
      </c>
      <c r="AG14" s="33">
        <f t="shared" si="4"/>
        <v>5.1630000000000109</v>
      </c>
      <c r="AH14" s="33">
        <f t="shared" si="4"/>
        <v>1.9429999999997563</v>
      </c>
      <c r="AI14" s="33">
        <f t="shared" si="4"/>
        <v>2.0540000000000873</v>
      </c>
      <c r="AJ14" s="2"/>
      <c r="AK14" s="2"/>
      <c r="AL14" s="2"/>
      <c r="AM14" s="2"/>
      <c r="AN14" s="2"/>
      <c r="AO14" s="2"/>
      <c r="AP14" s="2"/>
    </row>
    <row r="15" spans="1:42" ht="33" customHeight="1" x14ac:dyDescent="0.25">
      <c r="B15" s="90" t="s">
        <v>71</v>
      </c>
      <c r="C15" s="90"/>
      <c r="D15" s="50"/>
      <c r="E15" s="59">
        <f>E6+((E8*45%)+(E10*45%)+(E12+E14))</f>
        <v>318.71100000001559</v>
      </c>
      <c r="F15" s="59">
        <f t="shared" ref="F15:AI15" si="5">F6+((F8*45%)+(F10*45%)+(F12+F14))</f>
        <v>393.12689999999509</v>
      </c>
      <c r="G15" s="59">
        <f t="shared" si="5"/>
        <v>355.9451000000052</v>
      </c>
      <c r="H15" s="59">
        <f t="shared" si="5"/>
        <v>311.72500000000019</v>
      </c>
      <c r="I15" s="59">
        <f t="shared" si="5"/>
        <v>370.44799999999475</v>
      </c>
      <c r="J15" s="59">
        <f t="shared" si="5"/>
        <v>272.91199999998906</v>
      </c>
      <c r="K15" s="59">
        <f t="shared" si="5"/>
        <v>334.64800000000042</v>
      </c>
      <c r="L15" s="59">
        <f t="shared" si="5"/>
        <v>397.57699999999977</v>
      </c>
      <c r="M15" s="59">
        <f t="shared" si="5"/>
        <v>354.2380000000104</v>
      </c>
      <c r="N15" s="59">
        <f t="shared" si="5"/>
        <v>318.3549999999899</v>
      </c>
      <c r="O15" s="59">
        <f t="shared" si="5"/>
        <v>397.29400000002079</v>
      </c>
      <c r="P15" s="59">
        <f t="shared" si="5"/>
        <v>317.15099999998949</v>
      </c>
      <c r="Q15" s="59">
        <f t="shared" si="5"/>
        <v>304.14800000000514</v>
      </c>
      <c r="R15" s="59">
        <f t="shared" si="5"/>
        <v>348.43999999999494</v>
      </c>
      <c r="S15" s="59">
        <f t="shared" si="5"/>
        <v>312.82499999998947</v>
      </c>
      <c r="T15" s="59">
        <f t="shared" si="5"/>
        <v>306.17199999999974</v>
      </c>
      <c r="U15" s="59">
        <f t="shared" si="5"/>
        <v>517.25300000001096</v>
      </c>
      <c r="V15" s="59">
        <f t="shared" si="5"/>
        <v>363.58999999999969</v>
      </c>
      <c r="W15" s="59">
        <f t="shared" si="5"/>
        <v>537.84600000000512</v>
      </c>
      <c r="X15" s="59">
        <f t="shared" si="5"/>
        <v>311.05899999998439</v>
      </c>
      <c r="Y15" s="59">
        <f t="shared" si="5"/>
        <v>405.69100000001606</v>
      </c>
      <c r="Z15" s="59">
        <f t="shared" si="5"/>
        <v>345.77399999999489</v>
      </c>
      <c r="AA15" s="59">
        <f t="shared" si="5"/>
        <v>390.40899999998874</v>
      </c>
      <c r="AB15" s="59">
        <f t="shared" si="5"/>
        <v>355.09300000000559</v>
      </c>
      <c r="AC15" s="59">
        <f t="shared" si="5"/>
        <v>376.91499999999462</v>
      </c>
      <c r="AD15" s="59">
        <f t="shared" si="5"/>
        <v>376.75500000001557</v>
      </c>
      <c r="AE15" s="59">
        <f t="shared" si="5"/>
        <v>261.41299999998455</v>
      </c>
      <c r="AF15" s="59">
        <f t="shared" si="5"/>
        <v>382.29200000000003</v>
      </c>
      <c r="AG15" s="59">
        <f t="shared" si="5"/>
        <v>313.79600000000005</v>
      </c>
      <c r="AH15" s="59">
        <f t="shared" si="5"/>
        <v>453.05599999999993</v>
      </c>
      <c r="AI15" s="59">
        <f t="shared" si="5"/>
        <v>420.56200000001581</v>
      </c>
    </row>
    <row r="16" spans="1:42" ht="33" customHeight="1" x14ac:dyDescent="0.25">
      <c r="B16" s="89" t="s">
        <v>72</v>
      </c>
      <c r="C16" s="89"/>
      <c r="D16" s="50"/>
      <c r="E16" s="59">
        <f>SUM(E15:AI15)</f>
        <v>11225.220000000018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</row>
    <row r="21" s="2" customFormat="1" ht="70.5" customHeight="1" x14ac:dyDescent="0.25"/>
    <row r="22" s="2" customFormat="1" ht="70.5" customHeight="1" x14ac:dyDescent="0.25"/>
    <row r="23" s="2" customFormat="1" ht="70.5" customHeight="1" x14ac:dyDescent="0.25"/>
    <row r="24" s="2" customFormat="1" ht="70.5" customHeight="1" x14ac:dyDescent="0.25"/>
    <row r="25" s="2" customFormat="1" ht="70.5" customHeight="1" x14ac:dyDescent="0.25"/>
    <row r="26" s="2" customFormat="1" ht="70.5" customHeight="1" x14ac:dyDescent="0.25"/>
    <row r="27" s="2" customFormat="1" ht="70.5" customHeight="1" x14ac:dyDescent="0.25"/>
    <row r="28" s="2" customFormat="1" ht="70.5" customHeight="1" x14ac:dyDescent="0.25"/>
    <row r="29" s="2" customFormat="1" ht="70.5" customHeight="1" x14ac:dyDescent="0.25"/>
  </sheetData>
  <mergeCells count="14">
    <mergeCell ref="B16:C16"/>
    <mergeCell ref="B15:C15"/>
    <mergeCell ref="B2:AI2"/>
    <mergeCell ref="B3:AI3"/>
    <mergeCell ref="A5:A6"/>
    <mergeCell ref="C5:C6"/>
    <mergeCell ref="A9:A10"/>
    <mergeCell ref="C9:C10"/>
    <mergeCell ref="A11:A12"/>
    <mergeCell ref="C11:C12"/>
    <mergeCell ref="A13:A14"/>
    <mergeCell ref="C13:C14"/>
    <mergeCell ref="A7:A8"/>
    <mergeCell ref="C7:C8"/>
  </mergeCells>
  <phoneticPr fontId="28" type="noConversion"/>
  <printOptions horizontalCentered="1" verticalCentered="1"/>
  <pageMargins left="0.25" right="0.25" top="0.75" bottom="0.75" header="0.3" footer="0.3"/>
  <pageSetup paperSize="8" scale="49" orientation="landscape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5B19-7E3F-48ED-B7AD-3E9E86FFAF8F}">
  <dimension ref="A1:C34"/>
  <sheetViews>
    <sheetView topLeftCell="A16" zoomScaleNormal="100" workbookViewId="0">
      <selection activeCell="C33" sqref="C33"/>
    </sheetView>
  </sheetViews>
  <sheetFormatPr defaultRowHeight="15" x14ac:dyDescent="0.25"/>
  <cols>
    <col min="1" max="1" width="12.7109375" customWidth="1"/>
    <col min="2" max="2" width="17.42578125" customWidth="1"/>
    <col min="3" max="3" width="18" customWidth="1"/>
  </cols>
  <sheetData>
    <row r="1" spans="1:3" ht="35.25" customHeight="1" x14ac:dyDescent="0.25">
      <c r="A1" s="99" t="s">
        <v>87</v>
      </c>
      <c r="B1" s="99"/>
      <c r="C1" s="99"/>
    </row>
    <row r="2" spans="1:3" ht="24.95" customHeight="1" x14ac:dyDescent="0.25">
      <c r="A2" s="61" t="s">
        <v>82</v>
      </c>
      <c r="B2" s="61" t="s">
        <v>80</v>
      </c>
      <c r="C2" s="61" t="s">
        <v>81</v>
      </c>
    </row>
    <row r="3" spans="1:3" ht="24.95" customHeight="1" x14ac:dyDescent="0.25">
      <c r="A3" s="62">
        <v>45474</v>
      </c>
      <c r="B3" s="63">
        <v>478</v>
      </c>
      <c r="C3" s="63">
        <v>683</v>
      </c>
    </row>
    <row r="4" spans="1:3" ht="24.95" customHeight="1" x14ac:dyDescent="0.25">
      <c r="A4" s="62">
        <v>45475</v>
      </c>
      <c r="B4" s="63">
        <v>478</v>
      </c>
      <c r="C4" s="63">
        <v>665</v>
      </c>
    </row>
    <row r="5" spans="1:3" ht="24.95" customHeight="1" x14ac:dyDescent="0.25">
      <c r="A5" s="62">
        <v>45476</v>
      </c>
      <c r="B5" s="63">
        <v>480</v>
      </c>
      <c r="C5" s="63">
        <v>668</v>
      </c>
    </row>
    <row r="6" spans="1:3" ht="24.95" customHeight="1" x14ac:dyDescent="0.25">
      <c r="A6" s="62">
        <v>45477</v>
      </c>
      <c r="B6" s="63">
        <v>479</v>
      </c>
      <c r="C6" s="63">
        <v>658</v>
      </c>
    </row>
    <row r="7" spans="1:3" ht="24.95" customHeight="1" x14ac:dyDescent="0.25">
      <c r="A7" s="62">
        <v>45478</v>
      </c>
      <c r="B7" s="63">
        <v>420</v>
      </c>
      <c r="C7" s="63">
        <v>608</v>
      </c>
    </row>
    <row r="8" spans="1:3" ht="24.95" customHeight="1" x14ac:dyDescent="0.25">
      <c r="A8" s="62">
        <v>45479</v>
      </c>
      <c r="B8" s="63">
        <v>460</v>
      </c>
      <c r="C8" s="63">
        <v>676</v>
      </c>
    </row>
    <row r="9" spans="1:3" ht="24.95" customHeight="1" x14ac:dyDescent="0.25">
      <c r="A9" s="62">
        <v>45480</v>
      </c>
      <c r="B9" s="63">
        <v>438</v>
      </c>
      <c r="C9" s="63">
        <v>582</v>
      </c>
    </row>
    <row r="10" spans="1:3" ht="24.95" customHeight="1" x14ac:dyDescent="0.25">
      <c r="A10" s="62">
        <v>45481</v>
      </c>
      <c r="B10" s="63">
        <v>480</v>
      </c>
      <c r="C10" s="63">
        <v>691</v>
      </c>
    </row>
    <row r="11" spans="1:3" ht="24.95" customHeight="1" x14ac:dyDescent="0.25">
      <c r="A11" s="62">
        <v>45482</v>
      </c>
      <c r="B11" s="63">
        <v>450</v>
      </c>
      <c r="C11" s="63">
        <v>615</v>
      </c>
    </row>
    <row r="12" spans="1:3" ht="24.95" customHeight="1" x14ac:dyDescent="0.25">
      <c r="A12" s="62">
        <v>45483</v>
      </c>
      <c r="B12" s="63">
        <v>470</v>
      </c>
      <c r="C12" s="63">
        <v>644</v>
      </c>
    </row>
    <row r="13" spans="1:3" ht="24.95" customHeight="1" x14ac:dyDescent="0.25">
      <c r="A13" s="62">
        <v>45484</v>
      </c>
      <c r="B13" s="63">
        <v>478</v>
      </c>
      <c r="C13" s="63">
        <v>665</v>
      </c>
    </row>
    <row r="14" spans="1:3" ht="24.95" customHeight="1" x14ac:dyDescent="0.25">
      <c r="A14" s="62">
        <v>45485</v>
      </c>
      <c r="B14" s="63">
        <v>425</v>
      </c>
      <c r="C14" s="63">
        <v>606</v>
      </c>
    </row>
    <row r="15" spans="1:3" ht="24.95" customHeight="1" x14ac:dyDescent="0.25">
      <c r="A15" s="62">
        <v>45486</v>
      </c>
      <c r="B15" s="63">
        <v>444</v>
      </c>
      <c r="C15" s="63">
        <v>638</v>
      </c>
    </row>
    <row r="16" spans="1:3" ht="24.95" customHeight="1" x14ac:dyDescent="0.25">
      <c r="A16" s="62">
        <v>45487</v>
      </c>
      <c r="B16" s="63">
        <v>461</v>
      </c>
      <c r="C16" s="63">
        <v>646</v>
      </c>
    </row>
    <row r="17" spans="1:3" ht="24.95" customHeight="1" x14ac:dyDescent="0.25">
      <c r="A17" s="62">
        <v>45488</v>
      </c>
      <c r="B17" s="63">
        <v>486</v>
      </c>
      <c r="C17" s="63">
        <v>684</v>
      </c>
    </row>
    <row r="18" spans="1:3" ht="24.95" customHeight="1" x14ac:dyDescent="0.25">
      <c r="A18" s="62">
        <v>45489</v>
      </c>
      <c r="B18" s="63">
        <v>487</v>
      </c>
      <c r="C18" s="63">
        <v>673</v>
      </c>
    </row>
    <row r="19" spans="1:3" ht="24.95" customHeight="1" x14ac:dyDescent="0.25">
      <c r="A19" s="62">
        <v>45490</v>
      </c>
      <c r="B19" s="63">
        <v>482</v>
      </c>
      <c r="C19" s="63">
        <v>682</v>
      </c>
    </row>
    <row r="20" spans="1:3" ht="24.95" customHeight="1" x14ac:dyDescent="0.25">
      <c r="A20" s="62">
        <v>45491</v>
      </c>
      <c r="B20" s="63">
        <v>474</v>
      </c>
      <c r="C20" s="63">
        <v>675</v>
      </c>
    </row>
    <row r="21" spans="1:3" ht="24.95" customHeight="1" x14ac:dyDescent="0.25">
      <c r="A21" s="62">
        <v>45492</v>
      </c>
      <c r="B21" s="63">
        <v>439</v>
      </c>
      <c r="C21" s="63">
        <v>642</v>
      </c>
    </row>
    <row r="22" spans="1:3" ht="24.95" customHeight="1" x14ac:dyDescent="0.25">
      <c r="A22" s="62">
        <v>45493</v>
      </c>
      <c r="B22" s="63">
        <v>426</v>
      </c>
      <c r="C22" s="63">
        <v>604</v>
      </c>
    </row>
    <row r="23" spans="1:3" ht="24.95" customHeight="1" x14ac:dyDescent="0.25">
      <c r="A23" s="62">
        <v>45494</v>
      </c>
      <c r="B23" s="63">
        <v>433</v>
      </c>
      <c r="C23" s="63">
        <v>588</v>
      </c>
    </row>
    <row r="24" spans="1:3" ht="24.95" customHeight="1" x14ac:dyDescent="0.25">
      <c r="A24" s="62">
        <v>45495</v>
      </c>
      <c r="B24" s="63">
        <v>477</v>
      </c>
      <c r="C24" s="63">
        <v>691</v>
      </c>
    </row>
    <row r="25" spans="1:3" ht="24.95" customHeight="1" x14ac:dyDescent="0.25">
      <c r="A25" s="62">
        <v>45496</v>
      </c>
      <c r="B25" s="63">
        <v>477</v>
      </c>
      <c r="C25" s="63">
        <v>655</v>
      </c>
    </row>
    <row r="26" spans="1:3" ht="24.95" customHeight="1" x14ac:dyDescent="0.25">
      <c r="A26" s="62">
        <v>45497</v>
      </c>
      <c r="B26" s="63">
        <v>484</v>
      </c>
      <c r="C26" s="63">
        <v>670</v>
      </c>
    </row>
    <row r="27" spans="1:3" ht="24.95" customHeight="1" x14ac:dyDescent="0.25">
      <c r="A27" s="62">
        <v>45498</v>
      </c>
      <c r="B27" s="63">
        <v>473</v>
      </c>
      <c r="C27" s="63">
        <v>646</v>
      </c>
    </row>
    <row r="28" spans="1:3" ht="24.95" customHeight="1" x14ac:dyDescent="0.25">
      <c r="A28" s="62">
        <v>45499</v>
      </c>
      <c r="B28" s="63">
        <v>440</v>
      </c>
      <c r="C28" s="63">
        <v>607</v>
      </c>
    </row>
    <row r="29" spans="1:3" ht="24.95" customHeight="1" x14ac:dyDescent="0.25">
      <c r="A29" s="62">
        <v>45500</v>
      </c>
      <c r="B29" s="63">
        <v>482</v>
      </c>
      <c r="C29" s="63">
        <v>704</v>
      </c>
    </row>
    <row r="30" spans="1:3" ht="24.95" customHeight="1" x14ac:dyDescent="0.25">
      <c r="A30" s="62">
        <v>45501</v>
      </c>
      <c r="B30" s="63">
        <v>445</v>
      </c>
      <c r="C30" s="63">
        <v>639</v>
      </c>
    </row>
    <row r="31" spans="1:3" ht="24.95" customHeight="1" x14ac:dyDescent="0.25">
      <c r="A31" s="62">
        <v>45502</v>
      </c>
      <c r="B31" s="63">
        <v>488</v>
      </c>
      <c r="C31" s="63">
        <v>707</v>
      </c>
    </row>
    <row r="32" spans="1:3" ht="24.95" customHeight="1" x14ac:dyDescent="0.25">
      <c r="A32" s="62">
        <v>45503</v>
      </c>
      <c r="B32" s="63">
        <v>476</v>
      </c>
      <c r="C32" s="63">
        <v>685</v>
      </c>
    </row>
    <row r="33" spans="1:3" ht="24.95" customHeight="1" x14ac:dyDescent="0.25">
      <c r="A33" s="62">
        <v>45504</v>
      </c>
      <c r="B33" s="63">
        <v>476</v>
      </c>
      <c r="C33" s="63">
        <v>709</v>
      </c>
    </row>
    <row r="34" spans="1:3" ht="30.75" customHeight="1" x14ac:dyDescent="0.25">
      <c r="A34" s="61" t="s">
        <v>83</v>
      </c>
      <c r="B34" s="64">
        <f>SUM(B3:B33)</f>
        <v>14386</v>
      </c>
      <c r="C34" s="64">
        <f>SUM(C3:C33)</f>
        <v>20306</v>
      </c>
    </row>
  </sheetData>
  <mergeCells count="1">
    <mergeCell ref="A1: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6A05A5-D071-413B-9C5D-AB07D0B352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Total</vt:lpstr>
      <vt:lpstr>Electricity</vt:lpstr>
      <vt:lpstr>LPG</vt:lpstr>
      <vt:lpstr>Water</vt:lpstr>
      <vt:lpstr>Occupied &amp; No. of Guest</vt:lpstr>
      <vt:lpstr>LPG!Print_Area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Chitian</dc:creator>
  <cp:lastModifiedBy>Babu Alamkulath</cp:lastModifiedBy>
  <dcterms:created xsi:type="dcterms:W3CDTF">2019-05-13T11:08:30Z</dcterms:created>
  <dcterms:modified xsi:type="dcterms:W3CDTF">2025-03-14T13:52:10Z</dcterms:modified>
</cp:coreProperties>
</file>