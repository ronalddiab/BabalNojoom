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dmin\UTILITY\HEP 2025\CAMAD\"/>
    </mc:Choice>
  </mc:AlternateContent>
  <xr:revisionPtr revIDLastSave="0" documentId="13_ncr:1_{3EC320A5-765B-4740-A3C3-5F05DC2D2B7E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J37" i="1"/>
  <c r="F37" i="1"/>
  <c r="E32" i="2"/>
  <c r="I32" i="2"/>
  <c r="B32" i="2"/>
  <c r="J7" i="1"/>
  <c r="K7" i="1" s="1"/>
  <c r="F7" i="1"/>
  <c r="G7" i="1" s="1"/>
  <c r="K37" i="1" l="1"/>
  <c r="I2" i="2"/>
  <c r="J38" i="1"/>
  <c r="F38" i="1"/>
  <c r="J36" i="1"/>
  <c r="F36" i="1"/>
  <c r="J35" i="1"/>
  <c r="F35" i="1"/>
  <c r="G37" i="1" s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G18" i="1" l="1"/>
  <c r="G17" i="1"/>
  <c r="E11" i="2" s="1"/>
  <c r="K38" i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8" i="1"/>
  <c r="E31" i="2" s="1"/>
  <c r="K33" i="1"/>
  <c r="I27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G16" i="1"/>
  <c r="E10" i="2" s="1"/>
  <c r="E12" i="2"/>
  <c r="E13" i="2"/>
  <c r="G20" i="1"/>
  <c r="E14" i="2" s="1"/>
  <c r="G21" i="1"/>
  <c r="E15" i="2" s="1"/>
  <c r="G22" i="1"/>
  <c r="E16" i="2" s="1"/>
  <c r="G23" i="1"/>
  <c r="E17" i="2" s="1"/>
  <c r="G24" i="1"/>
  <c r="E18" i="2" s="1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<sst xmlns="http://schemas.openxmlformats.org/spreadsheetml/2006/main" count="65" uniqueCount="31">
  <si>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</si>
  <si>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</si>
  <si>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</si>
  <si>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</si>
  <si>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</si>
  <si>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</si>
  <si>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</si>
  <si>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</si>
  <si>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</si>
  <si>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</si>
  <si>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</si>
  <si>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</si>
  <si>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</si>
  <si>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</si>
  <si>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</si>
  <si>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</si>
  <si>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</si>
  <si>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</si>
  <si>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</si>
  <si>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</si>
  <si>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</si>
  <si>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</si>
  <si>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</si>
  <si>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</si>
  <si>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</si>
  <si>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</si>
  <si>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</si>
  <si>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</si>
  <si>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</si>
  <si>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</si>
  <si>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July-2025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</si>
</sst>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11" fillId="0" borderId="1" xfId="0" applyNumberFormat="1" applyFont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1" fillId="4" borderId="6" xfId="0" applyNumberFormat="1" applyFont="1" applyFill="1" applyBorder="1" applyAlignment="1">
      <alignment horizontal="center" vertical="center"/>
    </xf>
    <xf numFmtId="1" fontId="11" fillId="4" borderId="8" xfId="0" applyNumberFormat="1" applyFont="1" applyFill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 wrapText="1"/>
    </xf>
    <xf numFmtId="1" fontId="11" fillId="4" borderId="8" xfId="0" applyNumberFormat="1" applyFont="1" applyFill="1" applyBorder="1" applyAlignment="1">
      <alignment horizontal="center" vertical="center" wrapText="1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" fontId="11" fillId="4" borderId="6" xfId="0" applyNumberFormat="1" applyFont="1" applyFill="1" applyBorder="1" applyAlignment="1">
      <alignment horizontal="center" vertical="center" wrapText="1"/>
    </xf>
    <xf numFmtId="1" fontId="11" fillId="4" borderId="10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2"/>
  <sheetViews>
    <sheetView workbookViewId="0">
      <selection activeCell="L11" sqref="L11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7</v>
      </c>
      <c r="D2" s="12">
        <v>2025</v>
      </c>
      <c r="E2" s="13">
        <f>'Consum.'!G8</f>
        <v>15120</v>
      </c>
      <c r="F2" s="14">
        <v>0.2</v>
      </c>
      <c r="G2" s="13"/>
      <c r="I2" s="13">
        <f>'Consum.'!K8</f>
        <v>67</v>
      </c>
      <c r="J2" s="15">
        <v>7.84</v>
      </c>
      <c r="K2" s="13">
        <v>226</v>
      </c>
      <c r="L2" s="13">
        <v>246</v>
      </c>
    </row>
    <row r="3" spans="1:12">
      <c r="A3" s="11" t="s">
        <v>28</v>
      </c>
      <c r="B3" s="12">
        <f>B2+1</f>
        <v>2</v>
      </c>
      <c r="C3" s="12">
        <v>7</v>
      </c>
      <c r="D3" s="12">
        <v>2025</v>
      </c>
      <c r="E3" s="13">
        <f>'Consum.'!G9</f>
        <v>14878</v>
      </c>
      <c r="F3" s="14">
        <v>0.2</v>
      </c>
      <c r="G3" s="13"/>
      <c r="I3" s="13">
        <f>'Consum.'!K9</f>
        <v>46</v>
      </c>
      <c r="J3" s="15">
        <v>7.84</v>
      </c>
      <c r="K3" s="13">
        <v>222</v>
      </c>
      <c r="L3" s="13">
        <v>283</v>
      </c>
    </row>
    <row r="4" spans="1:12">
      <c r="A4" s="11" t="s">
        <v>28</v>
      </c>
      <c r="B4" s="12">
        <f t="shared" ref="B4:B32" si="0">B3+1</f>
        <v>3</v>
      </c>
      <c r="C4" s="12">
        <v>7</v>
      </c>
      <c r="D4" s="12">
        <v>2025</v>
      </c>
      <c r="E4" s="13">
        <f>'Consum.'!G10</f>
        <v>14378</v>
      </c>
      <c r="F4" s="14">
        <v>0.2</v>
      </c>
      <c r="G4" s="13"/>
      <c r="I4" s="13">
        <f>'Consum.'!K10</f>
        <v>70</v>
      </c>
      <c r="J4" s="15">
        <v>7.84</v>
      </c>
      <c r="K4" s="13">
        <v>210</v>
      </c>
      <c r="L4" s="13">
        <v>268</v>
      </c>
    </row>
    <row r="5" spans="1:12">
      <c r="A5" s="11" t="s">
        <v>28</v>
      </c>
      <c r="B5" s="12">
        <f t="shared" si="0"/>
        <v>4</v>
      </c>
      <c r="C5" s="12">
        <v>7</v>
      </c>
      <c r="D5" s="12">
        <v>2025</v>
      </c>
      <c r="E5" s="13">
        <f>'Consum.'!G11</f>
        <v>14888</v>
      </c>
      <c r="F5" s="14">
        <v>0.2</v>
      </c>
      <c r="G5" s="13"/>
      <c r="I5" s="13">
        <f>'Consum.'!K11</f>
        <v>54</v>
      </c>
      <c r="J5" s="15">
        <v>7.84</v>
      </c>
      <c r="K5" s="13">
        <v>210</v>
      </c>
      <c r="L5" s="13">
        <v>288</v>
      </c>
    </row>
    <row r="6" spans="1:12">
      <c r="A6" s="11" t="s">
        <v>28</v>
      </c>
      <c r="B6" s="12">
        <f t="shared" si="0"/>
        <v>5</v>
      </c>
      <c r="C6" s="12">
        <v>7</v>
      </c>
      <c r="D6" s="12">
        <v>2025</v>
      </c>
      <c r="E6" s="13">
        <f>'Consum.'!G12</f>
        <v>14267</v>
      </c>
      <c r="F6" s="14">
        <v>0.2</v>
      </c>
      <c r="G6" s="13"/>
      <c r="I6" s="13">
        <f>'Consum.'!K12</f>
        <v>34</v>
      </c>
      <c r="J6" s="15">
        <v>7.84</v>
      </c>
      <c r="K6" s="13">
        <v>202</v>
      </c>
      <c r="L6" s="13">
        <v>282</v>
      </c>
    </row>
    <row r="7" spans="1:12">
      <c r="A7" s="11" t="s">
        <v>28</v>
      </c>
      <c r="B7" s="12">
        <f t="shared" si="0"/>
        <v>6</v>
      </c>
      <c r="C7" s="12">
        <v>7</v>
      </c>
      <c r="D7" s="12">
        <v>2025</v>
      </c>
      <c r="E7" s="13">
        <f>'Consum.'!G13</f>
        <v>14033</v>
      </c>
      <c r="F7" s="14">
        <v>0.2</v>
      </c>
      <c r="G7" s="13"/>
      <c r="I7" s="13">
        <f>'Consum.'!K13</f>
        <v>72</v>
      </c>
      <c r="J7" s="15">
        <v>7.84</v>
      </c>
      <c r="K7" s="13">
        <v>185</v>
      </c>
      <c r="L7" s="13">
        <v>237</v>
      </c>
    </row>
    <row r="8" spans="1:12">
      <c r="A8" s="11" t="s">
        <v>28</v>
      </c>
      <c r="B8" s="12">
        <f t="shared" si="0"/>
        <v>7</v>
      </c>
      <c r="C8" s="12">
        <v>7</v>
      </c>
      <c r="D8" s="12">
        <v>2025</v>
      </c>
      <c r="E8" s="13">
        <f>'Consum.'!G14</f>
        <v>13600</v>
      </c>
      <c r="F8" s="14">
        <v>0.2</v>
      </c>
      <c r="G8" s="13"/>
      <c r="I8" s="13">
        <f>'Consum.'!K14</f>
        <v>51</v>
      </c>
      <c r="J8" s="15">
        <v>7.84</v>
      </c>
      <c r="K8" s="13">
        <v>215</v>
      </c>
      <c r="L8" s="13">
        <v>264</v>
      </c>
    </row>
    <row r="9" spans="1:12">
      <c r="A9" s="11" t="s">
        <v>28</v>
      </c>
      <c r="B9" s="12">
        <f t="shared" si="0"/>
        <v>8</v>
      </c>
      <c r="C9" s="12">
        <v>7</v>
      </c>
      <c r="D9" s="12">
        <v>2025</v>
      </c>
      <c r="E9" s="13">
        <f>'Consum.'!G15</f>
        <v>12970</v>
      </c>
      <c r="F9" s="14">
        <v>0.2</v>
      </c>
      <c r="G9" s="13"/>
      <c r="I9" s="13">
        <f>'Consum.'!K15</f>
        <v>62</v>
      </c>
      <c r="J9" s="15">
        <v>7.84</v>
      </c>
      <c r="K9" s="13">
        <v>206</v>
      </c>
      <c r="L9" s="13">
        <v>248</v>
      </c>
    </row>
    <row r="10" spans="1:12">
      <c r="A10" s="11" t="s">
        <v>28</v>
      </c>
      <c r="B10" s="12">
        <f t="shared" si="0"/>
        <v>9</v>
      </c>
      <c r="C10" s="12">
        <v>7</v>
      </c>
      <c r="D10" s="12">
        <v>2025</v>
      </c>
      <c r="E10" s="13">
        <f>'Consum.'!G16</f>
        <v>13781</v>
      </c>
      <c r="F10" s="14">
        <v>0.2</v>
      </c>
      <c r="G10" s="13"/>
      <c r="I10" s="13">
        <f>'Consum.'!K16</f>
        <v>62</v>
      </c>
      <c r="J10" s="15">
        <v>7.84</v>
      </c>
      <c r="K10" s="13">
        <v>208</v>
      </c>
      <c r="L10" s="13">
        <v>250</v>
      </c>
    </row>
    <row r="11" spans="1:12">
      <c r="A11" s="11" t="s">
        <v>28</v>
      </c>
      <c r="B11" s="12">
        <f t="shared" si="0"/>
        <v>10</v>
      </c>
      <c r="C11" s="12">
        <v>7</v>
      </c>
      <c r="D11" s="12">
        <v>2025</v>
      </c>
      <c r="E11" s="13">
        <f>'Consum.'!G17</f>
        <v>13737</v>
      </c>
      <c r="F11" s="14">
        <v>0.2</v>
      </c>
      <c r="G11" s="13"/>
      <c r="I11" s="13">
        <f>'Consum.'!K17</f>
        <v>24</v>
      </c>
      <c r="J11" s="15">
        <v>7.84</v>
      </c>
      <c r="K11" s="13">
        <v>173</v>
      </c>
      <c r="L11" s="13">
        <v>211</v>
      </c>
    </row>
    <row r="12" spans="1:12">
      <c r="A12" s="11" t="s">
        <v>28</v>
      </c>
      <c r="B12" s="12">
        <f t="shared" si="0"/>
        <v>11</v>
      </c>
      <c r="C12" s="12">
        <v>7</v>
      </c>
      <c r="D12" s="12">
        <v>2025</v>
      </c>
      <c r="E12" s="13">
        <f>'Consum.'!G18</f>
        <v>15199</v>
      </c>
      <c r="F12" s="14">
        <v>0.2</v>
      </c>
      <c r="G12" s="13"/>
      <c r="I12" s="13">
        <f>'Consum.'!K18</f>
        <v>68</v>
      </c>
      <c r="J12" s="15">
        <v>7.84</v>
      </c>
      <c r="K12" s="13"/>
      <c r="L12" s="13"/>
    </row>
    <row r="13" spans="1:12">
      <c r="A13" s="11" t="s">
        <v>28</v>
      </c>
      <c r="B13" s="12">
        <f t="shared" si="0"/>
        <v>12</v>
      </c>
      <c r="C13" s="12">
        <v>7</v>
      </c>
      <c r="D13" s="12">
        <v>2025</v>
      </c>
      <c r="E13" s="13">
        <f>'Consum.'!G19</f>
        <v>16352</v>
      </c>
      <c r="F13" s="14">
        <v>0.2</v>
      </c>
      <c r="G13" s="13"/>
      <c r="I13" s="13">
        <f>'Consum.'!K19</f>
        <v>33</v>
      </c>
      <c r="J13" s="15">
        <v>7.84</v>
      </c>
      <c r="K13" s="13"/>
      <c r="L13" s="13"/>
    </row>
    <row r="14" spans="1:12">
      <c r="A14" s="11" t="s">
        <v>28</v>
      </c>
      <c r="B14" s="12">
        <f t="shared" si="0"/>
        <v>13</v>
      </c>
      <c r="C14" s="12">
        <v>7</v>
      </c>
      <c r="D14" s="12">
        <v>2025</v>
      </c>
      <c r="E14" s="13">
        <f>'Consum.'!G20</f>
        <v>-29278793</v>
      </c>
      <c r="F14" s="14">
        <v>0.2</v>
      </c>
      <c r="G14" s="13"/>
      <c r="I14" s="13">
        <f>'Consum.'!K20</f>
        <v>-77487</v>
      </c>
      <c r="J14" s="15">
        <v>7.84</v>
      </c>
      <c r="K14" s="13"/>
      <c r="L14" s="13"/>
    </row>
    <row r="15" spans="1:12">
      <c r="A15" s="11" t="s">
        <v>28</v>
      </c>
      <c r="B15" s="12">
        <f t="shared" si="0"/>
        <v>14</v>
      </c>
      <c r="C15" s="12">
        <v>7</v>
      </c>
      <c r="D15" s="12">
        <v>2025</v>
      </c>
      <c r="E15" s="13">
        <f>'Consum.'!G21</f>
        <v>0</v>
      </c>
      <c r="F15" s="14">
        <v>0.2</v>
      </c>
      <c r="G15" s="13"/>
      <c r="I15" s="13">
        <f>'Consum.'!K21</f>
        <v>0</v>
      </c>
      <c r="J15" s="15">
        <v>7.84</v>
      </c>
      <c r="K15" s="13"/>
      <c r="L15" s="13"/>
    </row>
    <row r="16" spans="1:12">
      <c r="A16" s="11" t="s">
        <v>28</v>
      </c>
      <c r="B16" s="12">
        <f t="shared" si="0"/>
        <v>15</v>
      </c>
      <c r="C16" s="12">
        <v>7</v>
      </c>
      <c r="D16" s="12">
        <v>2025</v>
      </c>
      <c r="E16" s="13">
        <f>'Consum.'!G22</f>
        <v>0</v>
      </c>
      <c r="F16" s="14">
        <v>0.2</v>
      </c>
      <c r="G16" s="13"/>
      <c r="I16" s="13">
        <f>'Consum.'!K22</f>
        <v>0</v>
      </c>
      <c r="J16" s="15">
        <v>7.84</v>
      </c>
      <c r="K16" s="13"/>
      <c r="L16" s="13"/>
    </row>
    <row r="17" spans="1:12">
      <c r="A17" s="11" t="s">
        <v>28</v>
      </c>
      <c r="B17" s="12">
        <f t="shared" si="0"/>
        <v>16</v>
      </c>
      <c r="C17" s="12">
        <v>7</v>
      </c>
      <c r="D17" s="12">
        <v>2025</v>
      </c>
      <c r="E17" s="13">
        <f>'Consum.'!G23</f>
        <v>0</v>
      </c>
      <c r="F17" s="14">
        <v>0.2</v>
      </c>
      <c r="G17" s="13"/>
      <c r="I17" s="13">
        <f>'Consum.'!K23</f>
        <v>0</v>
      </c>
      <c r="J17" s="15">
        <v>7.84</v>
      </c>
      <c r="K17" s="13"/>
      <c r="L17" s="13"/>
    </row>
    <row r="18" spans="1:12">
      <c r="A18" s="11" t="s">
        <v>28</v>
      </c>
      <c r="B18" s="12">
        <f t="shared" si="0"/>
        <v>17</v>
      </c>
      <c r="C18" s="12">
        <v>7</v>
      </c>
      <c r="D18" s="12">
        <v>2025</v>
      </c>
      <c r="E18" s="13">
        <f>'Consum.'!G24</f>
        <v>0</v>
      </c>
      <c r="F18" s="14">
        <v>0.2</v>
      </c>
      <c r="G18" s="13"/>
      <c r="I18" s="13">
        <f>'Consum.'!K24</f>
        <v>0</v>
      </c>
      <c r="J18" s="15">
        <v>7.84</v>
      </c>
      <c r="K18" s="13"/>
      <c r="L18" s="13"/>
    </row>
    <row r="19" spans="1:12">
      <c r="A19" s="11" t="s">
        <v>28</v>
      </c>
      <c r="B19" s="12">
        <f t="shared" si="0"/>
        <v>18</v>
      </c>
      <c r="C19" s="12">
        <v>7</v>
      </c>
      <c r="D19" s="12">
        <v>2025</v>
      </c>
      <c r="E19" s="13">
        <f>'Consum.'!G25</f>
        <v>0</v>
      </c>
      <c r="F19" s="14">
        <v>0.2</v>
      </c>
      <c r="G19" s="13"/>
      <c r="I19" s="13">
        <f>'Consum.'!K25</f>
        <v>0</v>
      </c>
      <c r="J19" s="15">
        <v>7.84</v>
      </c>
      <c r="K19" s="13"/>
      <c r="L19" s="13"/>
    </row>
    <row r="20" spans="1:12">
      <c r="A20" s="11" t="s">
        <v>28</v>
      </c>
      <c r="B20" s="12">
        <f t="shared" si="0"/>
        <v>19</v>
      </c>
      <c r="C20" s="12">
        <v>7</v>
      </c>
      <c r="D20" s="12">
        <v>2025</v>
      </c>
      <c r="E20" s="13">
        <f>'Consum.'!G26</f>
        <v>0</v>
      </c>
      <c r="F20" s="14">
        <v>0.2</v>
      </c>
      <c r="G20" s="13"/>
      <c r="I20" s="13">
        <f>'Consum.'!K26</f>
        <v>0</v>
      </c>
      <c r="J20" s="15">
        <v>7.84</v>
      </c>
      <c r="K20" s="13"/>
      <c r="L20" s="13"/>
    </row>
    <row r="21" spans="1:12">
      <c r="A21" s="11" t="s">
        <v>28</v>
      </c>
      <c r="B21" s="12">
        <f t="shared" si="0"/>
        <v>20</v>
      </c>
      <c r="C21" s="12">
        <v>7</v>
      </c>
      <c r="D21" s="12">
        <v>2025</v>
      </c>
      <c r="E21" s="13">
        <f>'Consum.'!G27</f>
        <v>0</v>
      </c>
      <c r="F21" s="14">
        <v>0.2</v>
      </c>
      <c r="G21" s="13"/>
      <c r="I21" s="13">
        <f>'Consum.'!K27</f>
        <v>0</v>
      </c>
      <c r="J21" s="15">
        <v>7.84</v>
      </c>
      <c r="K21" s="13"/>
      <c r="L21" s="13"/>
    </row>
    <row r="22" spans="1:12">
      <c r="A22" s="11" t="s">
        <v>28</v>
      </c>
      <c r="B22" s="12">
        <f t="shared" si="0"/>
        <v>21</v>
      </c>
      <c r="C22" s="12">
        <v>7</v>
      </c>
      <c r="D22" s="12">
        <v>2025</v>
      </c>
      <c r="E22" s="13">
        <f>'Consum.'!G28</f>
        <v>0</v>
      </c>
      <c r="F22" s="14">
        <v>0.2</v>
      </c>
      <c r="G22" s="13"/>
      <c r="I22" s="13">
        <f>'Consum.'!K28</f>
        <v>0</v>
      </c>
      <c r="J22" s="15">
        <v>7.84</v>
      </c>
      <c r="K22" s="13"/>
      <c r="L22" s="13"/>
    </row>
    <row r="23" spans="1:12">
      <c r="A23" s="11" t="s">
        <v>28</v>
      </c>
      <c r="B23" s="12">
        <f t="shared" si="0"/>
        <v>22</v>
      </c>
      <c r="C23" s="12">
        <v>7</v>
      </c>
      <c r="D23" s="12">
        <v>2025</v>
      </c>
      <c r="E23" s="13">
        <f>'Consum.'!G29</f>
        <v>0</v>
      </c>
      <c r="F23" s="14">
        <v>0.2</v>
      </c>
      <c r="G23" s="13"/>
      <c r="I23" s="13">
        <f>'Consum.'!K29</f>
        <v>0</v>
      </c>
      <c r="J23" s="15">
        <v>7.84</v>
      </c>
      <c r="K23" s="13"/>
      <c r="L23" s="13"/>
    </row>
    <row r="24" spans="1:12">
      <c r="A24" s="11" t="s">
        <v>28</v>
      </c>
      <c r="B24" s="12">
        <f t="shared" si="0"/>
        <v>23</v>
      </c>
      <c r="C24" s="12">
        <v>7</v>
      </c>
      <c r="D24" s="12">
        <v>2025</v>
      </c>
      <c r="E24" s="13">
        <f>'Consum.'!G30</f>
        <v>0</v>
      </c>
      <c r="F24" s="14">
        <v>0.2</v>
      </c>
      <c r="G24" s="13"/>
      <c r="I24" s="13">
        <f>'Consum.'!K30</f>
        <v>0</v>
      </c>
      <c r="J24" s="15">
        <v>7.84</v>
      </c>
      <c r="K24" s="13"/>
      <c r="L24" s="13"/>
    </row>
    <row r="25" spans="1:12">
      <c r="A25" s="11" t="s">
        <v>28</v>
      </c>
      <c r="B25" s="12">
        <f t="shared" si="0"/>
        <v>24</v>
      </c>
      <c r="C25" s="12">
        <v>7</v>
      </c>
      <c r="D25" s="12">
        <v>2025</v>
      </c>
      <c r="E25" s="13">
        <f>'Consum.'!G31</f>
        <v>0</v>
      </c>
      <c r="F25" s="14">
        <v>0.2</v>
      </c>
      <c r="G25" s="13"/>
      <c r="I25" s="13">
        <f>'Consum.'!K31</f>
        <v>0</v>
      </c>
      <c r="J25" s="15">
        <v>7.84</v>
      </c>
      <c r="K25" s="13"/>
      <c r="L25" s="13"/>
    </row>
    <row r="26" spans="1:12">
      <c r="A26" s="11" t="s">
        <v>28</v>
      </c>
      <c r="B26" s="12">
        <f>B25+1</f>
        <v>25</v>
      </c>
      <c r="C26" s="12">
        <v>7</v>
      </c>
      <c r="D26" s="12">
        <v>2025</v>
      </c>
      <c r="E26" s="13">
        <f>'Consum.'!G32</f>
        <v>0</v>
      </c>
      <c r="F26" s="14">
        <v>0.2</v>
      </c>
      <c r="G26" s="13"/>
      <c r="I26" s="13">
        <f>'Consum.'!K32</f>
        <v>0</v>
      </c>
      <c r="J26" s="15">
        <v>7.84</v>
      </c>
      <c r="K26" s="13"/>
      <c r="L26" s="13"/>
    </row>
    <row r="27" spans="1:12">
      <c r="A27" s="11" t="s">
        <v>28</v>
      </c>
      <c r="B27" s="12">
        <f t="shared" si="0"/>
        <v>26</v>
      </c>
      <c r="C27" s="12">
        <v>7</v>
      </c>
      <c r="D27" s="12">
        <v>2025</v>
      </c>
      <c r="E27" s="13">
        <f>'Consum.'!G33</f>
        <v>0</v>
      </c>
      <c r="F27" s="14">
        <v>0.2</v>
      </c>
      <c r="G27" s="13"/>
      <c r="I27" s="13">
        <f>'Consum.'!K33</f>
        <v>0</v>
      </c>
      <c r="J27" s="15">
        <v>7.84</v>
      </c>
      <c r="K27" s="13"/>
      <c r="L27" s="13"/>
    </row>
    <row r="28" spans="1:12">
      <c r="A28" s="11" t="s">
        <v>28</v>
      </c>
      <c r="B28" s="12">
        <f t="shared" si="0"/>
        <v>27</v>
      </c>
      <c r="C28" s="12">
        <v>7</v>
      </c>
      <c r="D28" s="12">
        <v>2025</v>
      </c>
      <c r="E28" s="13">
        <f>'Consum.'!G34</f>
        <v>0</v>
      </c>
      <c r="F28" s="14">
        <v>0.2</v>
      </c>
      <c r="G28" s="13"/>
      <c r="I28" s="13">
        <f>'Consum.'!K34</f>
        <v>0</v>
      </c>
      <c r="J28" s="15">
        <v>7.84</v>
      </c>
      <c r="K28" s="13"/>
      <c r="L28" s="13"/>
    </row>
    <row r="29" spans="1:12">
      <c r="A29" s="11" t="s">
        <v>28</v>
      </c>
      <c r="B29" s="12">
        <f t="shared" si="0"/>
        <v>28</v>
      </c>
      <c r="C29" s="12">
        <v>7</v>
      </c>
      <c r="D29" s="12">
        <v>2025</v>
      </c>
      <c r="E29" s="13">
        <f>'Consum.'!G35</f>
        <v>0</v>
      </c>
      <c r="F29" s="14">
        <v>0.2</v>
      </c>
      <c r="G29" s="13"/>
      <c r="I29" s="13">
        <f>'Consum.'!K35</f>
        <v>0</v>
      </c>
      <c r="J29" s="15">
        <v>7.84</v>
      </c>
      <c r="K29" s="13"/>
      <c r="L29" s="13"/>
    </row>
    <row r="30" spans="1:12">
      <c r="A30" s="11" t="s">
        <v>28</v>
      </c>
      <c r="B30" s="12">
        <f t="shared" si="0"/>
        <v>29</v>
      </c>
      <c r="C30" s="12">
        <v>7</v>
      </c>
      <c r="D30" s="12">
        <v>2025</v>
      </c>
      <c r="E30" s="13">
        <f>'Consum.'!G36</f>
        <v>0</v>
      </c>
      <c r="F30" s="14">
        <v>0.2</v>
      </c>
      <c r="G30" s="13"/>
      <c r="I30" s="13">
        <f>'Consum.'!K36</f>
        <v>0</v>
      </c>
      <c r="J30" s="15">
        <v>7.84</v>
      </c>
      <c r="K30" s="13"/>
      <c r="L30" s="13"/>
    </row>
    <row r="31" spans="1:12">
      <c r="A31" s="11" t="s">
        <v>28</v>
      </c>
      <c r="B31" s="12">
        <f t="shared" si="0"/>
        <v>30</v>
      </c>
      <c r="C31" s="12">
        <v>7</v>
      </c>
      <c r="D31" s="12">
        <v>2025</v>
      </c>
      <c r="E31" s="13">
        <f>'Consum.'!G38</f>
        <v>0</v>
      </c>
      <c r="F31" s="14">
        <v>0.2</v>
      </c>
      <c r="G31" s="13"/>
      <c r="I31" s="13">
        <f>'Consum.'!K38</f>
        <v>0</v>
      </c>
      <c r="J31" s="15">
        <v>7.84</v>
      </c>
      <c r="K31" s="13"/>
      <c r="L31" s="13"/>
    </row>
    <row r="32" spans="1:12">
      <c r="A32" s="11" t="s">
        <v>28</v>
      </c>
      <c r="B32" s="12">
        <f t="shared" si="0"/>
        <v>31</v>
      </c>
      <c r="C32" s="12">
        <v>7</v>
      </c>
      <c r="D32" s="12">
        <v>2025</v>
      </c>
      <c r="E32" s="13">
        <f>'Consum.'!G39</f>
        <v>0</v>
      </c>
      <c r="F32" s="14">
        <v>0.2</v>
      </c>
      <c r="G32" s="13"/>
      <c r="I32" s="13">
        <f>'Consum.'!K39</f>
        <v>0</v>
      </c>
      <c r="J32" s="15">
        <v>7.84</v>
      </c>
      <c r="K32" s="13"/>
      <c r="L3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zoomScale="70" zoomScaleNormal="70" zoomScaleSheetLayoutView="100" workbookViewId="0">
      <selection activeCell="H23" sqref="H23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5" t="s">
        <v>15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</row>
    <row r="2" spans="1:14" ht="96.75" customHeight="1">
      <c r="A2" s="54" t="s">
        <v>30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</row>
    <row r="3" spans="1:14" s="5" customFormat="1" ht="15.2" customHeight="1">
      <c r="A3" s="20" t="s">
        <v>0</v>
      </c>
      <c r="B3" s="51" t="s">
        <v>1</v>
      </c>
      <c r="C3" s="51"/>
      <c r="D3" s="52" t="s">
        <v>3</v>
      </c>
      <c r="E3" s="52"/>
      <c r="F3" s="52"/>
      <c r="G3" s="52"/>
      <c r="H3" s="53" t="s">
        <v>11</v>
      </c>
      <c r="I3" s="53"/>
      <c r="J3" s="53"/>
      <c r="K3" s="53"/>
      <c r="L3" s="24" t="s">
        <v>5</v>
      </c>
      <c r="M3" s="24" t="s">
        <v>5</v>
      </c>
    </row>
    <row r="4" spans="1:14" s="5" customFormat="1" ht="15" customHeight="1">
      <c r="A4" s="20"/>
      <c r="B4" s="51"/>
      <c r="C4" s="51"/>
      <c r="D4" s="52"/>
      <c r="E4" s="52"/>
      <c r="F4" s="52"/>
      <c r="G4" s="52"/>
      <c r="H4" s="53"/>
      <c r="I4" s="53"/>
      <c r="J4" s="53"/>
      <c r="K4" s="53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8">
        <v>31</v>
      </c>
      <c r="B7" s="39"/>
      <c r="C7" s="40"/>
      <c r="D7" s="41">
        <v>22926146</v>
      </c>
      <c r="E7" s="42">
        <v>6179444</v>
      </c>
      <c r="F7" s="43">
        <f t="shared" ref="F7" si="0">(D7+E7)</f>
        <v>29105590</v>
      </c>
      <c r="G7" s="44">
        <f t="shared" ref="G7" si="1">(F7-F6)</f>
        <v>29105590</v>
      </c>
      <c r="H7" s="45">
        <v>28716</v>
      </c>
      <c r="I7" s="46">
        <v>48122</v>
      </c>
      <c r="J7" s="43">
        <f>H7+I7</f>
        <v>76838</v>
      </c>
      <c r="K7" s="47">
        <f t="shared" ref="K7" si="2">(J7-J6)</f>
        <v>76838</v>
      </c>
      <c r="L7" s="48"/>
      <c r="M7" s="32"/>
    </row>
    <row r="8" spans="1:14" ht="18.75" customHeight="1">
      <c r="A8" s="28">
        <v>1</v>
      </c>
      <c r="B8" s="29"/>
      <c r="C8" s="30">
        <f t="shared" ref="C8:C33" si="3">(229/100*B8)</f>
        <v>0</v>
      </c>
      <c r="D8" s="31">
        <v>22938522</v>
      </c>
      <c r="E8" s="31">
        <v>6182188</v>
      </c>
      <c r="F8" s="30">
        <f t="shared" ref="F8:F38" si="4">(D8+E8)</f>
        <v>29120710</v>
      </c>
      <c r="G8" s="30">
        <f t="shared" ref="G8:G36" si="5">(F8-F7)</f>
        <v>15120</v>
      </c>
      <c r="H8" s="33">
        <v>28759</v>
      </c>
      <c r="I8" s="33">
        <v>48152</v>
      </c>
      <c r="J8" s="30">
        <f>H8+I8</f>
        <v>76911</v>
      </c>
      <c r="K8" s="30">
        <v>67</v>
      </c>
      <c r="L8" s="31"/>
      <c r="M8" s="32"/>
      <c r="N8" s="4"/>
    </row>
    <row r="9" spans="1:14" ht="18" customHeight="1">
      <c r="A9" s="28">
        <v>2</v>
      </c>
      <c r="B9" s="29"/>
      <c r="C9" s="30">
        <f t="shared" si="3"/>
        <v>0</v>
      </c>
      <c r="D9" s="34">
        <v>22950800</v>
      </c>
      <c r="E9" s="34">
        <v>6184788</v>
      </c>
      <c r="F9" s="30">
        <f t="shared" si="4"/>
        <v>29135588</v>
      </c>
      <c r="G9" s="30">
        <f t="shared" si="5"/>
        <v>14878</v>
      </c>
      <c r="H9" s="31">
        <v>28784</v>
      </c>
      <c r="I9" s="31">
        <v>48173</v>
      </c>
      <c r="J9" s="30">
        <f t="shared" ref="J9:J36" si="6">H9+I9</f>
        <v>76957</v>
      </c>
      <c r="K9" s="30">
        <f t="shared" ref="K9:K36" si="7">(J9-J8)</f>
        <v>46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34">
        <v>22962566</v>
      </c>
      <c r="E10" s="31">
        <v>6187400</v>
      </c>
      <c r="F10" s="30">
        <f t="shared" si="4"/>
        <v>29149966</v>
      </c>
      <c r="G10" s="30">
        <f t="shared" si="5"/>
        <v>14378</v>
      </c>
      <c r="H10" s="31">
        <v>28823</v>
      </c>
      <c r="I10" s="31">
        <v>48204</v>
      </c>
      <c r="J10" s="30">
        <f t="shared" si="6"/>
        <v>77027</v>
      </c>
      <c r="K10" s="30">
        <f t="shared" si="7"/>
        <v>70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31">
        <v>22974799</v>
      </c>
      <c r="E11" s="31">
        <v>6190055</v>
      </c>
      <c r="F11" s="30">
        <f t="shared" si="4"/>
        <v>29164854</v>
      </c>
      <c r="G11" s="30">
        <f t="shared" si="5"/>
        <v>14888</v>
      </c>
      <c r="H11" s="31">
        <v>28853</v>
      </c>
      <c r="I11" s="31">
        <v>48228</v>
      </c>
      <c r="J11" s="30">
        <f t="shared" si="6"/>
        <v>77081</v>
      </c>
      <c r="K11" s="30">
        <f t="shared" si="7"/>
        <v>54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31">
        <v>22986466</v>
      </c>
      <c r="E12" s="31">
        <v>6192655</v>
      </c>
      <c r="F12" s="30">
        <f t="shared" si="4"/>
        <v>29179121</v>
      </c>
      <c r="G12" s="30">
        <f t="shared" si="5"/>
        <v>14267</v>
      </c>
      <c r="H12" s="31">
        <v>28872</v>
      </c>
      <c r="I12" s="31">
        <v>48243</v>
      </c>
      <c r="J12" s="30">
        <f t="shared" si="6"/>
        <v>77115</v>
      </c>
      <c r="K12" s="30">
        <f t="shared" si="7"/>
        <v>34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31">
        <v>22997899</v>
      </c>
      <c r="E13" s="31">
        <v>6195255</v>
      </c>
      <c r="F13" s="30">
        <f t="shared" si="4"/>
        <v>29193154</v>
      </c>
      <c r="G13" s="30">
        <f t="shared" si="5"/>
        <v>14033</v>
      </c>
      <c r="H13" s="31">
        <v>28912</v>
      </c>
      <c r="I13" s="31">
        <v>48275</v>
      </c>
      <c r="J13" s="30">
        <f t="shared" si="6"/>
        <v>77187</v>
      </c>
      <c r="K13" s="30">
        <f t="shared" si="7"/>
        <v>72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31">
        <v>23008882</v>
      </c>
      <c r="E14" s="31">
        <v>6197872</v>
      </c>
      <c r="F14" s="30">
        <f t="shared" si="4"/>
        <v>29206754</v>
      </c>
      <c r="G14" s="30">
        <f t="shared" si="5"/>
        <v>13600</v>
      </c>
      <c r="H14" s="31">
        <v>28941</v>
      </c>
      <c r="I14" s="31">
        <v>48297</v>
      </c>
      <c r="J14" s="30">
        <f t="shared" si="6"/>
        <v>77238</v>
      </c>
      <c r="K14" s="30">
        <f t="shared" si="7"/>
        <v>51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31">
        <v>23019214</v>
      </c>
      <c r="E15" s="31">
        <v>6200510</v>
      </c>
      <c r="F15" s="30">
        <f t="shared" si="4"/>
        <v>29219724</v>
      </c>
      <c r="G15" s="30">
        <f t="shared" si="5"/>
        <v>12970</v>
      </c>
      <c r="H15" s="31">
        <v>28975</v>
      </c>
      <c r="I15" s="31">
        <v>48325</v>
      </c>
      <c r="J15" s="30">
        <f t="shared" si="6"/>
        <v>77300</v>
      </c>
      <c r="K15" s="30">
        <f t="shared" si="7"/>
        <v>62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31">
        <v>23030380</v>
      </c>
      <c r="E16" s="31">
        <v>6203125</v>
      </c>
      <c r="F16" s="30">
        <f t="shared" si="4"/>
        <v>29233505</v>
      </c>
      <c r="G16" s="30">
        <f t="shared" si="5"/>
        <v>13781</v>
      </c>
      <c r="H16" s="31">
        <v>29010</v>
      </c>
      <c r="I16" s="31">
        <v>48352</v>
      </c>
      <c r="J16" s="30">
        <f t="shared" si="6"/>
        <v>77362</v>
      </c>
      <c r="K16" s="30">
        <f t="shared" si="7"/>
        <v>62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31">
        <v>23041518</v>
      </c>
      <c r="E17" s="31">
        <v>6205724</v>
      </c>
      <c r="F17" s="30">
        <f t="shared" si="4"/>
        <v>29247242</v>
      </c>
      <c r="G17" s="30">
        <f t="shared" si="5"/>
        <v>13737</v>
      </c>
      <c r="H17" s="31">
        <v>29023</v>
      </c>
      <c r="I17" s="31">
        <v>48363</v>
      </c>
      <c r="J17" s="30">
        <f t="shared" si="6"/>
        <v>77386</v>
      </c>
      <c r="K17" s="30">
        <f t="shared" si="7"/>
        <v>24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31">
        <v>23054076</v>
      </c>
      <c r="E18" s="31">
        <v>6208365</v>
      </c>
      <c r="F18" s="30">
        <f t="shared" si="4"/>
        <v>29262441</v>
      </c>
      <c r="G18" s="30">
        <f t="shared" si="5"/>
        <v>15199</v>
      </c>
      <c r="H18" s="31">
        <v>29061</v>
      </c>
      <c r="I18" s="31">
        <v>48393</v>
      </c>
      <c r="J18" s="30">
        <f t="shared" si="6"/>
        <v>77454</v>
      </c>
      <c r="K18" s="30">
        <f t="shared" si="7"/>
        <v>68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31">
        <v>23067804</v>
      </c>
      <c r="E19" s="31">
        <v>6210989</v>
      </c>
      <c r="F19" s="30">
        <f t="shared" si="4"/>
        <v>29278793</v>
      </c>
      <c r="G19" s="30">
        <f t="shared" si="5"/>
        <v>16352</v>
      </c>
      <c r="H19" s="31">
        <v>29079</v>
      </c>
      <c r="I19" s="31">
        <v>48408</v>
      </c>
      <c r="J19" s="30">
        <f t="shared" si="6"/>
        <v>77487</v>
      </c>
      <c r="K19" s="30">
        <f t="shared" si="7"/>
        <v>33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31"/>
      <c r="E20" s="31"/>
      <c r="F20" s="30">
        <f t="shared" si="4"/>
        <v>0</v>
      </c>
      <c r="G20" s="30">
        <f t="shared" si="5"/>
        <v>-29278793</v>
      </c>
      <c r="H20" s="31"/>
      <c r="I20" s="31"/>
      <c r="J20" s="30">
        <f t="shared" si="6"/>
        <v>0</v>
      </c>
      <c r="K20" s="30">
        <f t="shared" si="7"/>
        <v>-77487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31"/>
      <c r="E21" s="31"/>
      <c r="F21" s="30">
        <f t="shared" si="4"/>
        <v>0</v>
      </c>
      <c r="G21" s="30">
        <f t="shared" si="5"/>
        <v>0</v>
      </c>
      <c r="H21" s="31"/>
      <c r="I21" s="31"/>
      <c r="J21" s="30">
        <f t="shared" si="6"/>
        <v>0</v>
      </c>
      <c r="K21" s="30">
        <f t="shared" si="7"/>
        <v>0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31"/>
      <c r="E22" s="31"/>
      <c r="F22" s="30">
        <f t="shared" si="4"/>
        <v>0</v>
      </c>
      <c r="G22" s="30">
        <f t="shared" si="5"/>
        <v>0</v>
      </c>
      <c r="H22" s="31"/>
      <c r="I22" s="31"/>
      <c r="J22" s="30">
        <f t="shared" si="6"/>
        <v>0</v>
      </c>
      <c r="K22" s="30">
        <f t="shared" si="7"/>
        <v>0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31"/>
      <c r="E23" s="31"/>
      <c r="F23" s="30">
        <f t="shared" si="4"/>
        <v>0</v>
      </c>
      <c r="G23" s="30">
        <f t="shared" si="5"/>
        <v>0</v>
      </c>
      <c r="H23" s="31"/>
      <c r="I23" s="31"/>
      <c r="J23" s="30">
        <f t="shared" si="6"/>
        <v>0</v>
      </c>
      <c r="K23" s="30">
        <f t="shared" si="7"/>
        <v>0</v>
      </c>
      <c r="L23" s="35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31"/>
      <c r="E24" s="31"/>
      <c r="F24" s="30">
        <f t="shared" si="4"/>
        <v>0</v>
      </c>
      <c r="G24" s="30">
        <f t="shared" si="5"/>
        <v>0</v>
      </c>
      <c r="H24" s="31"/>
      <c r="I24" s="31"/>
      <c r="J24" s="30">
        <f t="shared" si="6"/>
        <v>0</v>
      </c>
      <c r="K24" s="30">
        <f t="shared" si="7"/>
        <v>0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31"/>
      <c r="E25" s="31"/>
      <c r="F25" s="30">
        <f t="shared" si="4"/>
        <v>0</v>
      </c>
      <c r="G25" s="30">
        <f t="shared" si="5"/>
        <v>0</v>
      </c>
      <c r="H25" s="31"/>
      <c r="I25" s="31"/>
      <c r="J25" s="30">
        <f t="shared" si="6"/>
        <v>0</v>
      </c>
      <c r="K25" s="30">
        <f t="shared" si="7"/>
        <v>0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31"/>
      <c r="E26" s="31"/>
      <c r="F26" s="30">
        <f t="shared" si="4"/>
        <v>0</v>
      </c>
      <c r="G26" s="30">
        <f t="shared" si="5"/>
        <v>0</v>
      </c>
      <c r="H26" s="31"/>
      <c r="I26" s="31"/>
      <c r="J26" s="30">
        <f t="shared" si="6"/>
        <v>0</v>
      </c>
      <c r="K26" s="30">
        <f t="shared" si="7"/>
        <v>0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31"/>
      <c r="E27" s="36"/>
      <c r="F27" s="30">
        <f t="shared" si="4"/>
        <v>0</v>
      </c>
      <c r="G27" s="30">
        <f t="shared" si="5"/>
        <v>0</v>
      </c>
      <c r="H27" s="31"/>
      <c r="I27" s="31"/>
      <c r="J27" s="30">
        <f t="shared" si="6"/>
        <v>0</v>
      </c>
      <c r="K27" s="30">
        <f t="shared" si="7"/>
        <v>0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36"/>
      <c r="E28" s="31"/>
      <c r="F28" s="30">
        <f t="shared" si="4"/>
        <v>0</v>
      </c>
      <c r="G28" s="30">
        <f t="shared" si="5"/>
        <v>0</v>
      </c>
      <c r="H28" s="31"/>
      <c r="I28" s="31"/>
      <c r="J28" s="30">
        <f t="shared" si="6"/>
        <v>0</v>
      </c>
      <c r="K28" s="30">
        <f t="shared" si="7"/>
        <v>0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31"/>
      <c r="E29" s="31"/>
      <c r="F29" s="30">
        <f t="shared" si="4"/>
        <v>0</v>
      </c>
      <c r="G29" s="30">
        <f t="shared" si="5"/>
        <v>0</v>
      </c>
      <c r="H29" s="31"/>
      <c r="I29" s="31"/>
      <c r="J29" s="30">
        <f t="shared" si="6"/>
        <v>0</v>
      </c>
      <c r="K29" s="30">
        <f t="shared" si="7"/>
        <v>0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31"/>
      <c r="E30" s="31"/>
      <c r="F30" s="30">
        <f t="shared" si="4"/>
        <v>0</v>
      </c>
      <c r="G30" s="30">
        <f t="shared" si="5"/>
        <v>0</v>
      </c>
      <c r="H30" s="31"/>
      <c r="I30" s="31"/>
      <c r="J30" s="30">
        <f t="shared" si="6"/>
        <v>0</v>
      </c>
      <c r="K30" s="30">
        <f>(J30-J29)</f>
        <v>0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31"/>
      <c r="E31" s="31"/>
      <c r="F31" s="30">
        <f t="shared" si="4"/>
        <v>0</v>
      </c>
      <c r="G31" s="30">
        <f t="shared" si="5"/>
        <v>0</v>
      </c>
      <c r="H31" s="31"/>
      <c r="I31" s="31"/>
      <c r="J31" s="30">
        <f t="shared" si="6"/>
        <v>0</v>
      </c>
      <c r="K31" s="30">
        <f t="shared" si="7"/>
        <v>0</v>
      </c>
      <c r="L31" s="31"/>
      <c r="M31" s="37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31"/>
      <c r="E32" s="31"/>
      <c r="F32" s="30">
        <f t="shared" si="4"/>
        <v>0</v>
      </c>
      <c r="G32" s="30">
        <f t="shared" si="5"/>
        <v>0</v>
      </c>
      <c r="H32" s="31"/>
      <c r="I32" s="31"/>
      <c r="J32" s="30">
        <f t="shared" si="6"/>
        <v>0</v>
      </c>
      <c r="K32" s="30">
        <f t="shared" si="7"/>
        <v>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49"/>
      <c r="E33" s="46"/>
      <c r="F33" s="30">
        <f t="shared" si="4"/>
        <v>0</v>
      </c>
      <c r="G33" s="30">
        <f t="shared" si="5"/>
        <v>0</v>
      </c>
      <c r="H33" s="49"/>
      <c r="I33" s="46"/>
      <c r="J33" s="30">
        <f t="shared" si="6"/>
        <v>0</v>
      </c>
      <c r="K33" s="30">
        <f t="shared" si="7"/>
        <v>0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49"/>
      <c r="E34" s="46"/>
      <c r="F34" s="30">
        <f t="shared" si="4"/>
        <v>0</v>
      </c>
      <c r="G34" s="30">
        <f t="shared" si="5"/>
        <v>0</v>
      </c>
      <c r="H34" s="49"/>
      <c r="I34" s="46"/>
      <c r="J34" s="30">
        <f t="shared" si="6"/>
        <v>0</v>
      </c>
      <c r="K34" s="30">
        <f t="shared" si="7"/>
        <v>0</v>
      </c>
      <c r="L34" s="31">
        <v>2000</v>
      </c>
      <c r="M34" s="32"/>
      <c r="N34" s="4"/>
    </row>
    <row r="35" spans="1:14" ht="17.100000000000001" customHeight="1">
      <c r="A35" s="28">
        <v>28</v>
      </c>
      <c r="B35" s="29"/>
      <c r="C35" s="30"/>
      <c r="D35" s="49"/>
      <c r="E35" s="46"/>
      <c r="F35" s="30">
        <f t="shared" si="4"/>
        <v>0</v>
      </c>
      <c r="G35" s="30">
        <f t="shared" si="5"/>
        <v>0</v>
      </c>
      <c r="H35" s="49"/>
      <c r="I35" s="46"/>
      <c r="J35" s="30">
        <f t="shared" si="6"/>
        <v>0</v>
      </c>
      <c r="K35" s="30">
        <f t="shared" si="7"/>
        <v>0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49"/>
      <c r="E36" s="46"/>
      <c r="F36" s="30">
        <f t="shared" si="4"/>
        <v>0</v>
      </c>
      <c r="G36" s="30">
        <f t="shared" si="5"/>
        <v>0</v>
      </c>
      <c r="H36" s="49"/>
      <c r="I36" s="50"/>
      <c r="J36" s="30">
        <f t="shared" si="6"/>
        <v>0</v>
      </c>
      <c r="K36" s="30">
        <f t="shared" si="7"/>
        <v>0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31"/>
      <c r="E37" s="31"/>
      <c r="F37" s="30">
        <f t="shared" ref="F37" si="8">(D37+E37)</f>
        <v>0</v>
      </c>
      <c r="G37" s="30">
        <f>(F37-F35)</f>
        <v>0</v>
      </c>
      <c r="H37" s="31"/>
      <c r="I37" s="31"/>
      <c r="J37" s="30">
        <f>H37+I37</f>
        <v>0</v>
      </c>
      <c r="K37" s="30">
        <f>(J37-J35)</f>
        <v>0</v>
      </c>
      <c r="L37" s="35"/>
      <c r="M37" s="32"/>
      <c r="N37" s="4"/>
    </row>
    <row r="38" spans="1:14" ht="15" customHeight="1">
      <c r="A38" s="28">
        <v>30</v>
      </c>
      <c r="B38" s="29"/>
      <c r="C38" s="30"/>
      <c r="D38" s="31"/>
      <c r="E38" s="31"/>
      <c r="F38" s="30">
        <f t="shared" si="4"/>
        <v>0</v>
      </c>
      <c r="G38" s="30">
        <f>(F38-F36)</f>
        <v>0</v>
      </c>
      <c r="H38" s="31"/>
      <c r="I38" s="31"/>
      <c r="J38" s="30">
        <f>H38+I38</f>
        <v>0</v>
      </c>
      <c r="K38" s="30">
        <f>(J38-J36)</f>
        <v>0</v>
      </c>
      <c r="L38" s="35"/>
      <c r="M38" s="32"/>
      <c r="N38" s="4"/>
    </row>
    <row r="39" spans="1:14">
      <c r="L39" s="1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2025-07-13T11:44:07Z</dcterms:modified>
</cp:coreProperties>
</file>