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"/>
    </mc:Choice>
  </mc:AlternateContent>
  <xr:revisionPtr revIDLastSave="166" documentId="8_{8847650D-614C-4264-8C87-30D8B5EB4252}" xr6:coauthVersionLast="47" xr6:coauthVersionMax="47" xr10:uidLastSave="{05CD02ED-D6EF-497F-B58E-91B8069B4490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</sheets>
  <definedNames>
    <definedName name="_xlnm._FilterDatabase" localSheetId="3" hidden="1">LPG!$A$5:$N$5</definedName>
    <definedName name="_xlnm.Print_Area" localSheetId="3">LPG!$A$1:$M$38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" l="1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9" i="6"/>
  <c r="N34" i="6"/>
  <c r="M33" i="6"/>
  <c r="K33" i="6"/>
  <c r="I33" i="6"/>
  <c r="G33" i="6"/>
  <c r="E33" i="6"/>
  <c r="C33" i="6"/>
  <c r="N33" i="6" s="1"/>
  <c r="M32" i="6"/>
  <c r="K32" i="6"/>
  <c r="I32" i="6"/>
  <c r="G32" i="6"/>
  <c r="E32" i="6"/>
  <c r="N32" i="6" s="1"/>
  <c r="C32" i="6"/>
  <c r="M31" i="6"/>
  <c r="K31" i="6"/>
  <c r="I31" i="6"/>
  <c r="G31" i="6"/>
  <c r="E31" i="6"/>
  <c r="C31" i="6"/>
  <c r="N31" i="6" s="1"/>
  <c r="M30" i="6"/>
  <c r="K30" i="6"/>
  <c r="I30" i="6"/>
  <c r="G30" i="6"/>
  <c r="E30" i="6"/>
  <c r="C30" i="6"/>
  <c r="N30" i="6" s="1"/>
  <c r="M29" i="6"/>
  <c r="K29" i="6"/>
  <c r="I29" i="6"/>
  <c r="G29" i="6"/>
  <c r="E29" i="6"/>
  <c r="C29" i="6"/>
  <c r="N29" i="6" s="1"/>
  <c r="M28" i="6"/>
  <c r="K28" i="6"/>
  <c r="I28" i="6"/>
  <c r="G28" i="6"/>
  <c r="N28" i="6" s="1"/>
  <c r="E28" i="6"/>
  <c r="C28" i="6"/>
  <c r="M27" i="6"/>
  <c r="K27" i="6"/>
  <c r="I27" i="6"/>
  <c r="G27" i="6"/>
  <c r="E27" i="6"/>
  <c r="N27" i="6" s="1"/>
  <c r="C27" i="6"/>
  <c r="M26" i="6"/>
  <c r="K26" i="6"/>
  <c r="I26" i="6"/>
  <c r="G26" i="6"/>
  <c r="E26" i="6"/>
  <c r="C26" i="6"/>
  <c r="N26" i="6" s="1"/>
  <c r="M25" i="6"/>
  <c r="K25" i="6"/>
  <c r="I25" i="6"/>
  <c r="G25" i="6"/>
  <c r="E25" i="6"/>
  <c r="C25" i="6"/>
  <c r="N25" i="6" s="1"/>
  <c r="N24" i="6"/>
  <c r="M24" i="6"/>
  <c r="K24" i="6"/>
  <c r="I24" i="6"/>
  <c r="G24" i="6"/>
  <c r="E24" i="6"/>
  <c r="C24" i="6"/>
  <c r="M23" i="6"/>
  <c r="K23" i="6"/>
  <c r="I23" i="6"/>
  <c r="G23" i="6"/>
  <c r="E23" i="6"/>
  <c r="N23" i="6" s="1"/>
  <c r="C23" i="6"/>
  <c r="M22" i="6"/>
  <c r="K22" i="6"/>
  <c r="I22" i="6"/>
  <c r="G22" i="6"/>
  <c r="E22" i="6"/>
  <c r="C22" i="6"/>
  <c r="N22" i="6" s="1"/>
  <c r="M21" i="6"/>
  <c r="K21" i="6"/>
  <c r="I21" i="6"/>
  <c r="G21" i="6"/>
  <c r="N21" i="6" s="1"/>
  <c r="E21" i="6"/>
  <c r="C21" i="6"/>
  <c r="M20" i="6"/>
  <c r="K20" i="6"/>
  <c r="I20" i="6"/>
  <c r="G20" i="6"/>
  <c r="E20" i="6"/>
  <c r="C20" i="6"/>
  <c r="N20" i="6" s="1"/>
  <c r="M19" i="6"/>
  <c r="N19" i="6" s="1"/>
  <c r="K19" i="6"/>
  <c r="I19" i="6"/>
  <c r="G19" i="6"/>
  <c r="E19" i="6"/>
  <c r="C19" i="6"/>
  <c r="M18" i="6"/>
  <c r="K18" i="6"/>
  <c r="I18" i="6"/>
  <c r="G18" i="6"/>
  <c r="E18" i="6"/>
  <c r="C18" i="6"/>
  <c r="N18" i="6" s="1"/>
  <c r="M17" i="6"/>
  <c r="K17" i="6"/>
  <c r="I17" i="6"/>
  <c r="G17" i="6"/>
  <c r="E17" i="6"/>
  <c r="C17" i="6"/>
  <c r="N17" i="6" s="1"/>
  <c r="M16" i="6"/>
  <c r="K16" i="6"/>
  <c r="I16" i="6"/>
  <c r="G16" i="6"/>
  <c r="N16" i="6" s="1"/>
  <c r="E16" i="6"/>
  <c r="C16" i="6"/>
  <c r="M15" i="6"/>
  <c r="K15" i="6"/>
  <c r="I15" i="6"/>
  <c r="G15" i="6"/>
  <c r="E15" i="6"/>
  <c r="C15" i="6"/>
  <c r="N15" i="6" s="1"/>
  <c r="M14" i="6"/>
  <c r="K14" i="6"/>
  <c r="N14" i="6" s="1"/>
  <c r="I14" i="6"/>
  <c r="G14" i="6"/>
  <c r="E14" i="6"/>
  <c r="C14" i="6"/>
  <c r="M13" i="6"/>
  <c r="K13" i="6"/>
  <c r="I13" i="6"/>
  <c r="G13" i="6"/>
  <c r="E13" i="6"/>
  <c r="C13" i="6"/>
  <c r="N13" i="6" s="1"/>
  <c r="N12" i="6"/>
  <c r="M12" i="6"/>
  <c r="K12" i="6"/>
  <c r="I12" i="6"/>
  <c r="G12" i="6"/>
  <c r="E12" i="6"/>
  <c r="C12" i="6"/>
  <c r="M11" i="6"/>
  <c r="K11" i="6"/>
  <c r="I11" i="6"/>
  <c r="G11" i="6"/>
  <c r="E11" i="6"/>
  <c r="N11" i="6" s="1"/>
  <c r="C11" i="6"/>
  <c r="M10" i="6"/>
  <c r="K10" i="6"/>
  <c r="I10" i="6"/>
  <c r="G10" i="6"/>
  <c r="E10" i="6"/>
  <c r="C10" i="6"/>
  <c r="N10" i="6" s="1"/>
  <c r="M9" i="6"/>
  <c r="K9" i="6"/>
  <c r="I9" i="6"/>
  <c r="G9" i="6"/>
  <c r="N9" i="6" s="1"/>
  <c r="E9" i="6"/>
  <c r="C9" i="6"/>
  <c r="M8" i="6"/>
  <c r="K8" i="6"/>
  <c r="I8" i="6"/>
  <c r="G8" i="6"/>
  <c r="E8" i="6"/>
  <c r="C8" i="6"/>
  <c r="N8" i="6" s="1"/>
  <c r="M7" i="6"/>
  <c r="N7" i="6" s="1"/>
  <c r="K7" i="6"/>
  <c r="I7" i="6"/>
  <c r="G7" i="6"/>
  <c r="E7" i="6"/>
  <c r="C7" i="6"/>
  <c r="M6" i="6"/>
  <c r="M35" i="6" s="1"/>
  <c r="K6" i="6"/>
  <c r="K35" i="6" s="1"/>
  <c r="I6" i="6"/>
  <c r="I35" i="6" s="1"/>
  <c r="G6" i="6"/>
  <c r="G35" i="6" s="1"/>
  <c r="E6" i="6"/>
  <c r="E35" i="6" s="1"/>
  <c r="C38" i="6" s="1"/>
  <c r="C6" i="6"/>
  <c r="N6" i="6" s="1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6" i="5" s="1"/>
  <c r="E15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35" i="6" l="1"/>
  <c r="C37" i="6" s="1"/>
  <c r="F10" i="3"/>
  <c r="F21" i="3"/>
  <c r="G21" i="3"/>
  <c r="H21" i="3"/>
  <c r="I21" i="3"/>
  <c r="J21" i="3"/>
  <c r="K21" i="3"/>
  <c r="L21" i="3"/>
  <c r="M21" i="3"/>
  <c r="E22" i="3" s="1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E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F14" i="3"/>
  <c r="E14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E10" i="3"/>
  <c r="AF6" i="5" l="1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<sst xmlns="http://schemas.openxmlformats.org/spreadsheetml/2006/main" count="127" uniqueCount="91">
  <si>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</si>
  <si>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</si>
  <si>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</si>
  <si>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</si>
  <si>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</si>
  <si>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</si>
  <si>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</si>
  <si>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</si>
  <si>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</si>
  <si>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</si>
  <si>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DAILY ELECTRICITY METER READINGS &amp; CONSUMPTION FEBRUARY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</si>
  <si>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</si>
  <si>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</si>
  <si>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</si>
  <si>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</si>
  <si>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</si>
  <si>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</si>
  <si>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</si>
  <si>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</si>
  <si>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FEBRUARY  2024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</si>
  <si>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</si>
  <si>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</si>
  <si>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</si>
  <si>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</si>
  <si>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</si>
  <si>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</si>
  <si>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</si>
  <si>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</si>
  <si>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</si>
  <si>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</si>
  <si>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</si>
  <si>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</si>
  <si>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</si>
  <si>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</si>
  <si>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</si>
  <si>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</si>
  <si>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</si>
  <si>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</si>
  <si>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</si>
  <si>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</si>
  <si>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</si>
  <si>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</si>
  <si>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</si>
  <si>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</si>
  <si>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</si>
  <si>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</si>
  <si>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</si>
  <si>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</si>
  <si>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</si>
  <si>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</si>
  <si>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</si>
  <si>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</si>
  <si>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</si>
  <si>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</si>
  <si>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</si>
  <si>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</si>
  <si>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</si>
  <si>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</si>
  <si>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</si>
  <si>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</si>
  <si>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</si>
  <si>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</si>
  <si>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</si>
  <si>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</si>
  <si>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</si>
  <si>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</si>
  <si>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</si>
  <si>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</si>
  <si>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</si>
  <si>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</si>
  <si>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</si>
  <si>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</si>
  <si>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</si>
  <si>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</si>
  <si>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</si>
  <si>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</si>
  <si>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</si>
  <si>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>DAILY GAS METER READINGS &amp; CONSUMPTION (Liters) February 2025</t>
  </si>
  <si>
    <t>BOILER 1 &amp; 2</t>
  </si>
  <si>
    <t>MAIN KITCHEN</t>
  </si>
  <si>
    <t>PASTRY KITCHEN</t>
  </si>
  <si>
    <t>GINGER KITCHEN</t>
  </si>
  <si>
    <t>TEATRO</t>
  </si>
  <si>
    <t>COOPER'S KITCHEN</t>
  </si>
  <si>
    <t>PRESSURE        (mBar)</t>
  </si>
  <si>
    <t xml:space="preserve">                                       </t>
  </si>
  <si>
    <t>TOTAL Consumption</t>
  </si>
  <si>
    <t>TOTAL BOILER</t>
  </si>
  <si>
    <t>TOTAL KITCHEN</t>
  </si>
  <si>
    <t>TOTAL Boiler &amp; Kitchen</t>
  </si>
  <si>
    <t>Daily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</si>
</sst>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#,##0.0"/>
    <numFmt numFmtId="168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5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7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5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8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5" fontId="2" fillId="0" borderId="0" xfId="0" applyNumberFormat="1" applyFont="1"/>
    <xf numFmtId="3" fontId="0" fillId="13" borderId="0" xfId="0" applyNumberFormat="1" applyFill="1" applyAlignment="1">
      <alignment horizontal="center" vertical="center" wrapText="1"/>
    </xf>
    <xf numFmtId="3" fontId="0" fillId="13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6" fontId="29" fillId="13" borderId="0" xfId="0" applyNumberFormat="1" applyFont="1" applyFill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5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33</xdr:col>
      <xdr:colOff>1945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C2" sqref="C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52</v>
      </c>
      <c r="H1" s="6" t="s">
        <v>53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54</v>
      </c>
      <c r="B2" s="10">
        <v>1</v>
      </c>
      <c r="C2" s="10">
        <v>2</v>
      </c>
      <c r="D2" s="10">
        <v>2025</v>
      </c>
      <c r="E2" s="4">
        <f>Electricity!E21</f>
        <v>28872.2</v>
      </c>
      <c r="F2" s="11">
        <v>0.2</v>
      </c>
      <c r="G2" s="4">
        <v>3919.2249999999954</v>
      </c>
      <c r="H2" s="11">
        <v>1.66</v>
      </c>
      <c r="I2" s="4">
        <f>Water!E15</f>
        <v>308.65000000000555</v>
      </c>
      <c r="J2" s="11">
        <v>7.84</v>
      </c>
      <c r="K2" s="4">
        <v>438</v>
      </c>
      <c r="L2" s="4">
        <v>693</v>
      </c>
    </row>
    <row r="3" spans="1:12" x14ac:dyDescent="0.25">
      <c r="A3" s="9" t="s">
        <v>54</v>
      </c>
      <c r="B3" s="10">
        <f>B2+1</f>
        <v>2</v>
      </c>
      <c r="C3" s="10">
        <v>2</v>
      </c>
      <c r="D3" s="10">
        <v>2025</v>
      </c>
      <c r="E3" s="4">
        <f>Electricity!F21</f>
        <v>30264</v>
      </c>
      <c r="F3" s="11">
        <v>0.2</v>
      </c>
      <c r="G3" s="4">
        <v>4038.9570000000122</v>
      </c>
      <c r="H3" s="11">
        <v>1.66</v>
      </c>
      <c r="I3" s="4">
        <f>Water!F15</f>
        <v>331.29700000001566</v>
      </c>
      <c r="J3" s="11">
        <v>7.84</v>
      </c>
      <c r="K3" s="4">
        <v>479</v>
      </c>
      <c r="L3" s="4">
        <v>683</v>
      </c>
    </row>
    <row r="4" spans="1:12" x14ac:dyDescent="0.25">
      <c r="A4" s="9" t="s">
        <v>54</v>
      </c>
      <c r="B4" s="10">
        <f t="shared" ref="B4:B32" si="0">B3+1</f>
        <v>3</v>
      </c>
      <c r="C4" s="10">
        <v>2</v>
      </c>
      <c r="D4" s="10">
        <v>2025</v>
      </c>
      <c r="E4" s="4">
        <f>Electricity!G21</f>
        <v>30593.4</v>
      </c>
      <c r="F4" s="11">
        <v>0.2</v>
      </c>
      <c r="G4" s="4">
        <v>4290.5570000000043</v>
      </c>
      <c r="H4" s="11">
        <v>1.66</v>
      </c>
      <c r="I4" s="4">
        <f>Water!G15</f>
        <v>363.08999999999452</v>
      </c>
      <c r="J4" s="11">
        <v>7.84</v>
      </c>
      <c r="K4" s="4">
        <v>478</v>
      </c>
      <c r="L4" s="4">
        <v>669</v>
      </c>
    </row>
    <row r="5" spans="1:12" x14ac:dyDescent="0.25">
      <c r="A5" s="9" t="s">
        <v>54</v>
      </c>
      <c r="B5" s="10">
        <f t="shared" si="0"/>
        <v>4</v>
      </c>
      <c r="C5" s="10">
        <v>2</v>
      </c>
      <c r="D5" s="10">
        <v>2025</v>
      </c>
      <c r="E5" s="4">
        <f>Electricity!H21</f>
        <v>29000.799999999999</v>
      </c>
      <c r="F5" s="11">
        <v>0.2</v>
      </c>
      <c r="G5" s="4">
        <v>3894.9160000000579</v>
      </c>
      <c r="H5" s="11">
        <v>1.66</v>
      </c>
      <c r="I5" s="4">
        <f>Water!H15</f>
        <v>335.78499999998456</v>
      </c>
      <c r="J5" s="11">
        <v>7.84</v>
      </c>
      <c r="K5" s="4">
        <v>486</v>
      </c>
      <c r="L5" s="4">
        <v>682</v>
      </c>
    </row>
    <row r="6" spans="1:12" x14ac:dyDescent="0.25">
      <c r="A6" s="9" t="s">
        <v>54</v>
      </c>
      <c r="B6" s="10">
        <f t="shared" si="0"/>
        <v>5</v>
      </c>
      <c r="C6" s="10">
        <v>2</v>
      </c>
      <c r="D6" s="10">
        <v>2025</v>
      </c>
      <c r="E6" s="4">
        <f>Electricity!I21</f>
        <v>28777.4</v>
      </c>
      <c r="F6" s="11">
        <v>0.2</v>
      </c>
      <c r="G6" s="4">
        <v>3584.3749999999427</v>
      </c>
      <c r="H6" s="11">
        <v>1.66</v>
      </c>
      <c r="I6" s="4">
        <f>Water!I15</f>
        <v>328.12199999999967</v>
      </c>
      <c r="J6" s="11">
        <v>7.84</v>
      </c>
      <c r="K6" s="4">
        <v>477</v>
      </c>
      <c r="L6" s="4">
        <v>692</v>
      </c>
    </row>
    <row r="7" spans="1:12" x14ac:dyDescent="0.25">
      <c r="A7" s="9" t="s">
        <v>54</v>
      </c>
      <c r="B7" s="10">
        <f t="shared" si="0"/>
        <v>6</v>
      </c>
      <c r="C7" s="10">
        <v>2</v>
      </c>
      <c r="D7" s="10">
        <v>2025</v>
      </c>
      <c r="E7" s="4">
        <f>Electricity!J21</f>
        <v>28981</v>
      </c>
      <c r="F7" s="11">
        <v>0.2</v>
      </c>
      <c r="G7" s="4">
        <v>4022.4550000000004</v>
      </c>
      <c r="H7" s="11">
        <v>1.66</v>
      </c>
      <c r="I7" s="4">
        <f>Water!J15</f>
        <v>319.68100000002084</v>
      </c>
      <c r="J7" s="11">
        <v>7.84</v>
      </c>
      <c r="K7" s="4">
        <v>453</v>
      </c>
      <c r="L7" s="4">
        <v>668</v>
      </c>
    </row>
    <row r="8" spans="1:12" x14ac:dyDescent="0.25">
      <c r="A8" s="9" t="s">
        <v>54</v>
      </c>
      <c r="B8" s="10">
        <f t="shared" si="0"/>
        <v>7</v>
      </c>
      <c r="C8" s="10">
        <v>2</v>
      </c>
      <c r="D8" s="10">
        <v>2025</v>
      </c>
      <c r="E8" s="4">
        <f>Electricity!K21</f>
        <v>30341.8</v>
      </c>
      <c r="F8" s="11">
        <v>0.2</v>
      </c>
      <c r="G8" s="4">
        <v>3697.4100000000303</v>
      </c>
      <c r="H8" s="11">
        <v>1.66</v>
      </c>
      <c r="I8" s="4">
        <f>Water!K15</f>
        <v>346.81699999998483</v>
      </c>
      <c r="J8" s="11">
        <v>7.84</v>
      </c>
      <c r="K8" s="4">
        <v>469</v>
      </c>
      <c r="L8" s="4">
        <v>708</v>
      </c>
    </row>
    <row r="9" spans="1:12" x14ac:dyDescent="0.25">
      <c r="A9" s="9" t="s">
        <v>54</v>
      </c>
      <c r="B9" s="10">
        <f t="shared" si="0"/>
        <v>8</v>
      </c>
      <c r="C9" s="10">
        <v>2</v>
      </c>
      <c r="D9" s="10">
        <v>2025</v>
      </c>
      <c r="E9" s="4">
        <f>Electricity!L21</f>
        <v>31065.8</v>
      </c>
      <c r="F9" s="11">
        <v>0.2</v>
      </c>
      <c r="G9" s="4">
        <v>3479.257999999908</v>
      </c>
      <c r="H9" s="11">
        <v>1.66</v>
      </c>
      <c r="I9" s="4">
        <f>Water!L15</f>
        <v>295.11400000001032</v>
      </c>
      <c r="J9" s="11">
        <v>7.84</v>
      </c>
      <c r="K9" s="4">
        <v>469</v>
      </c>
      <c r="L9" s="4">
        <v>660</v>
      </c>
    </row>
    <row r="10" spans="1:12" x14ac:dyDescent="0.25">
      <c r="A10" s="9" t="s">
        <v>54</v>
      </c>
      <c r="B10" s="10">
        <f t="shared" si="0"/>
        <v>9</v>
      </c>
      <c r="C10" s="10">
        <v>2</v>
      </c>
      <c r="D10" s="10">
        <v>2025</v>
      </c>
      <c r="E10" s="4">
        <f>Electricity!M21</f>
        <v>28989.4</v>
      </c>
      <c r="F10" s="11">
        <v>0.2</v>
      </c>
      <c r="G10" s="4">
        <v>3579.1580000001322</v>
      </c>
      <c r="H10" s="11">
        <v>1.66</v>
      </c>
      <c r="I10" s="4">
        <f>Water!M15</f>
        <v>316.55099999998419</v>
      </c>
      <c r="J10" s="11">
        <v>7.84</v>
      </c>
      <c r="K10" s="4">
        <v>371</v>
      </c>
      <c r="L10" s="4">
        <v>484</v>
      </c>
    </row>
    <row r="11" spans="1:12" x14ac:dyDescent="0.25">
      <c r="A11" s="9" t="s">
        <v>54</v>
      </c>
      <c r="B11" s="10">
        <f t="shared" si="0"/>
        <v>10</v>
      </c>
      <c r="C11" s="10">
        <v>2</v>
      </c>
      <c r="D11" s="10">
        <v>2025</v>
      </c>
      <c r="E11" s="4">
        <f>Electricity!N21</f>
        <v>29850.799999999999</v>
      </c>
      <c r="F11" s="11">
        <v>0.2</v>
      </c>
      <c r="G11" s="4">
        <v>3371.6989999999864</v>
      </c>
      <c r="H11" s="11">
        <v>1.66</v>
      </c>
      <c r="I11" s="4">
        <f>Water!N15</f>
        <v>245.67000000001553</v>
      </c>
      <c r="J11" s="11">
        <v>7.84</v>
      </c>
      <c r="K11" s="4">
        <v>420</v>
      </c>
      <c r="L11" s="4">
        <v>557</v>
      </c>
    </row>
    <row r="12" spans="1:12" x14ac:dyDescent="0.25">
      <c r="A12" s="9" t="s">
        <v>54</v>
      </c>
      <c r="B12" s="10">
        <f t="shared" si="0"/>
        <v>11</v>
      </c>
      <c r="C12" s="10">
        <v>2</v>
      </c>
      <c r="D12" s="10">
        <v>2025</v>
      </c>
      <c r="E12" s="4">
        <f>Electricity!O21</f>
        <v>29851.200000000001</v>
      </c>
      <c r="F12" s="11">
        <v>0.2</v>
      </c>
      <c r="G12" s="4">
        <v>3463.3479999999076</v>
      </c>
      <c r="H12" s="11">
        <v>1.66</v>
      </c>
      <c r="I12" s="4">
        <f>Water!O15</f>
        <v>315.56499999999494</v>
      </c>
      <c r="J12" s="11">
        <v>7.84</v>
      </c>
      <c r="K12" s="4">
        <v>457</v>
      </c>
      <c r="L12" s="4">
        <v>629</v>
      </c>
    </row>
    <row r="13" spans="1:12" x14ac:dyDescent="0.25">
      <c r="A13" s="9" t="s">
        <v>54</v>
      </c>
      <c r="B13" s="10">
        <f t="shared" si="0"/>
        <v>12</v>
      </c>
      <c r="C13" s="10">
        <v>2</v>
      </c>
      <c r="D13" s="10">
        <v>2025</v>
      </c>
      <c r="E13" s="4">
        <f>Electricity!P21</f>
        <v>30572.2</v>
      </c>
      <c r="F13" s="11">
        <v>0.2</v>
      </c>
      <c r="G13" s="4">
        <v>3558.6600000000362</v>
      </c>
      <c r="H13" s="11">
        <v>1.66</v>
      </c>
      <c r="I13" s="4">
        <f>Water!P15</f>
        <v>299.42800000000551</v>
      </c>
      <c r="J13" s="11">
        <v>7.84</v>
      </c>
      <c r="K13" s="4">
        <v>462</v>
      </c>
      <c r="L13" s="4">
        <v>643</v>
      </c>
    </row>
    <row r="14" spans="1:12" x14ac:dyDescent="0.25">
      <c r="A14" s="9" t="s">
        <v>54</v>
      </c>
      <c r="B14" s="10">
        <f t="shared" si="0"/>
        <v>13</v>
      </c>
      <c r="C14" s="10">
        <v>2</v>
      </c>
      <c r="D14" s="10">
        <v>2025</v>
      </c>
      <c r="E14" s="4">
        <f>Electricity!Q21</f>
        <v>31800.2</v>
      </c>
      <c r="F14" s="11">
        <v>0.2</v>
      </c>
      <c r="G14" s="4">
        <v>3600.3959999999556</v>
      </c>
      <c r="H14" s="11">
        <v>1.66</v>
      </c>
      <c r="I14" s="4">
        <f>Water!Q15</f>
        <v>348.55999999999966</v>
      </c>
      <c r="J14" s="11">
        <v>7.84</v>
      </c>
      <c r="K14" s="4">
        <v>466</v>
      </c>
      <c r="L14" s="4">
        <v>633</v>
      </c>
    </row>
    <row r="15" spans="1:12" x14ac:dyDescent="0.25">
      <c r="A15" s="9" t="s">
        <v>54</v>
      </c>
      <c r="B15" s="10">
        <f t="shared" si="0"/>
        <v>14</v>
      </c>
      <c r="C15" s="10">
        <v>2</v>
      </c>
      <c r="D15" s="10">
        <v>2025</v>
      </c>
      <c r="E15" s="4">
        <f>Electricity!R21</f>
        <v>31292.6</v>
      </c>
      <c r="F15" s="11">
        <v>0.2</v>
      </c>
      <c r="G15" s="4">
        <v>2730.6740000000113</v>
      </c>
      <c r="H15" s="11">
        <v>1.66</v>
      </c>
      <c r="I15" s="4">
        <f>Water!R15</f>
        <v>299.41399999998941</v>
      </c>
      <c r="J15" s="11">
        <v>7.84</v>
      </c>
      <c r="K15" s="4">
        <v>482</v>
      </c>
      <c r="L15" s="4">
        <v>764</v>
      </c>
    </row>
    <row r="16" spans="1:12" x14ac:dyDescent="0.25">
      <c r="A16" s="9" t="s">
        <v>54</v>
      </c>
      <c r="B16" s="10">
        <f t="shared" si="0"/>
        <v>15</v>
      </c>
      <c r="C16" s="10">
        <v>2</v>
      </c>
      <c r="D16" s="10">
        <v>2025</v>
      </c>
      <c r="E16" s="4">
        <f>Electricity!S21</f>
        <v>31440</v>
      </c>
      <c r="F16" s="11">
        <v>0.2</v>
      </c>
      <c r="G16" s="4">
        <v>3339.9900000000903</v>
      </c>
      <c r="H16" s="11">
        <v>1.66</v>
      </c>
      <c r="I16" s="4">
        <f>Water!S15</f>
        <v>305.05600000001562</v>
      </c>
      <c r="J16" s="11">
        <v>7.84</v>
      </c>
      <c r="K16" s="4">
        <v>480</v>
      </c>
      <c r="L16" s="4">
        <v>772</v>
      </c>
    </row>
    <row r="17" spans="1:12" x14ac:dyDescent="0.25">
      <c r="A17" s="9" t="s">
        <v>54</v>
      </c>
      <c r="B17" s="10">
        <f t="shared" si="0"/>
        <v>16</v>
      </c>
      <c r="C17" s="10">
        <v>2</v>
      </c>
      <c r="D17" s="10">
        <v>2025</v>
      </c>
      <c r="E17" s="4">
        <f>Electricity!T21</f>
        <v>31085</v>
      </c>
      <c r="F17" s="11">
        <v>0.2</v>
      </c>
      <c r="G17" s="4">
        <v>3211.6369999999874</v>
      </c>
      <c r="H17" s="11">
        <v>1.66</v>
      </c>
      <c r="I17" s="4">
        <f>Water!T15</f>
        <v>295.09700000000004</v>
      </c>
      <c r="J17" s="11">
        <v>7.84</v>
      </c>
      <c r="K17" s="4">
        <v>406</v>
      </c>
      <c r="L17" s="4">
        <v>536</v>
      </c>
    </row>
    <row r="18" spans="1:12" x14ac:dyDescent="0.25">
      <c r="A18" s="9" t="s">
        <v>54</v>
      </c>
      <c r="B18" s="10">
        <f t="shared" si="0"/>
        <v>17</v>
      </c>
      <c r="C18" s="10">
        <v>2</v>
      </c>
      <c r="D18" s="10">
        <v>2025</v>
      </c>
      <c r="E18" s="4">
        <f>Electricity!U21</f>
        <v>31026.400000000001</v>
      </c>
      <c r="F18" s="11">
        <v>0.2</v>
      </c>
      <c r="G18" s="4">
        <v>3471.6359999999972</v>
      </c>
      <c r="H18" s="11">
        <v>1.66</v>
      </c>
      <c r="I18" s="4">
        <f>Water!U15</f>
        <v>218.60699999999497</v>
      </c>
      <c r="J18" s="11">
        <v>7.84</v>
      </c>
      <c r="K18" s="4">
        <v>438</v>
      </c>
      <c r="L18" s="4">
        <v>543</v>
      </c>
    </row>
    <row r="19" spans="1:12" x14ac:dyDescent="0.25">
      <c r="A19" s="9" t="s">
        <v>54</v>
      </c>
      <c r="B19" s="10">
        <f t="shared" si="0"/>
        <v>18</v>
      </c>
      <c r="C19" s="10">
        <v>2</v>
      </c>
      <c r="D19" s="10">
        <v>2025</v>
      </c>
      <c r="E19" s="4">
        <f>Electricity!V21</f>
        <v>32371</v>
      </c>
      <c r="F19" s="11">
        <v>0.2</v>
      </c>
      <c r="G19" s="4">
        <v>3226.6960000000081</v>
      </c>
      <c r="H19" s="11">
        <v>1.66</v>
      </c>
      <c r="I19" s="4">
        <f>Water!V15</f>
        <v>269.77899999999482</v>
      </c>
      <c r="J19" s="11">
        <v>7.84</v>
      </c>
      <c r="K19" s="4">
        <v>474</v>
      </c>
      <c r="L19" s="4">
        <v>592</v>
      </c>
    </row>
    <row r="20" spans="1:12" x14ac:dyDescent="0.25">
      <c r="A20" s="9" t="s">
        <v>54</v>
      </c>
      <c r="B20" s="10">
        <f t="shared" si="0"/>
        <v>19</v>
      </c>
      <c r="C20" s="10">
        <v>2</v>
      </c>
      <c r="D20" s="10">
        <v>2025</v>
      </c>
      <c r="E20" s="4">
        <f>Electricity!W21</f>
        <v>31326.6</v>
      </c>
      <c r="F20" s="11">
        <v>0.2</v>
      </c>
      <c r="G20" s="4">
        <v>3208.7879999998836</v>
      </c>
      <c r="H20" s="11">
        <v>1.66</v>
      </c>
      <c r="I20" s="4">
        <f>Water!W15</f>
        <v>315.98900000000503</v>
      </c>
      <c r="J20" s="11">
        <v>7.84</v>
      </c>
      <c r="K20" s="4">
        <v>455</v>
      </c>
      <c r="L20" s="4">
        <v>584</v>
      </c>
    </row>
    <row r="21" spans="1:12" x14ac:dyDescent="0.25">
      <c r="A21" s="9" t="s">
        <v>54</v>
      </c>
      <c r="B21" s="10">
        <f t="shared" si="0"/>
        <v>20</v>
      </c>
      <c r="C21" s="10">
        <v>2</v>
      </c>
      <c r="D21" s="10">
        <v>2025</v>
      </c>
      <c r="E21" s="4">
        <f>Electricity!X21</f>
        <v>30816.6</v>
      </c>
      <c r="F21" s="11">
        <v>0.2</v>
      </c>
      <c r="G21" s="4">
        <v>3017.0910000000854</v>
      </c>
      <c r="H21" s="11">
        <v>1.66</v>
      </c>
      <c r="I21" s="4">
        <f>Water!X15</f>
        <v>278.76700000000511</v>
      </c>
      <c r="J21" s="11">
        <v>7.84</v>
      </c>
      <c r="K21" s="4">
        <v>401</v>
      </c>
      <c r="L21" s="4">
        <v>517</v>
      </c>
    </row>
    <row r="22" spans="1:12" x14ac:dyDescent="0.25">
      <c r="A22" s="9" t="s">
        <v>54</v>
      </c>
      <c r="B22" s="10">
        <f t="shared" si="0"/>
        <v>21</v>
      </c>
      <c r="C22" s="10">
        <v>2</v>
      </c>
      <c r="D22" s="10">
        <v>2025</v>
      </c>
      <c r="E22" s="4">
        <f>Electricity!Y21</f>
        <v>32415.599999999999</v>
      </c>
      <c r="F22" s="11">
        <v>0.2</v>
      </c>
      <c r="G22" s="4">
        <v>3034.2220000000034</v>
      </c>
      <c r="H22" s="11">
        <v>1.66</v>
      </c>
      <c r="I22" s="4">
        <f>Water!Y15</f>
        <v>271.21799999999513</v>
      </c>
      <c r="J22" s="11">
        <v>7.84</v>
      </c>
      <c r="K22" s="4">
        <v>341</v>
      </c>
      <c r="L22" s="4">
        <v>487</v>
      </c>
    </row>
    <row r="23" spans="1:12" x14ac:dyDescent="0.25">
      <c r="A23" s="9" t="s">
        <v>54</v>
      </c>
      <c r="B23" s="10">
        <f t="shared" si="0"/>
        <v>22</v>
      </c>
      <c r="C23" s="10">
        <v>2</v>
      </c>
      <c r="D23" s="10">
        <v>2025</v>
      </c>
      <c r="E23" s="4">
        <f>Electricity!Z21</f>
        <v>31600</v>
      </c>
      <c r="F23" s="11">
        <v>0.2</v>
      </c>
      <c r="G23" s="4">
        <v>3212.451000000025</v>
      </c>
      <c r="H23" s="11">
        <v>1.66</v>
      </c>
      <c r="I23" s="4">
        <f>Water!Z15</f>
        <v>228.5390000000053</v>
      </c>
      <c r="J23" s="11">
        <v>7.84</v>
      </c>
      <c r="K23" s="4">
        <v>329</v>
      </c>
      <c r="L23" s="4">
        <v>490</v>
      </c>
    </row>
    <row r="24" spans="1:12" x14ac:dyDescent="0.25">
      <c r="A24" s="9" t="s">
        <v>54</v>
      </c>
      <c r="B24" s="10">
        <f t="shared" si="0"/>
        <v>23</v>
      </c>
      <c r="C24" s="10">
        <v>2</v>
      </c>
      <c r="D24" s="10">
        <v>2025</v>
      </c>
      <c r="E24" s="4">
        <f>Electricity!AA21</f>
        <v>32370.2</v>
      </c>
      <c r="F24" s="11">
        <v>0.2</v>
      </c>
      <c r="G24" s="4">
        <v>2928.3279999999554</v>
      </c>
      <c r="H24" s="11">
        <v>1.66</v>
      </c>
      <c r="I24" s="4">
        <f>Water!AA15</f>
        <v>276.08599999999467</v>
      </c>
      <c r="J24" s="11">
        <v>7.84</v>
      </c>
      <c r="K24" s="4">
        <v>324</v>
      </c>
      <c r="L24" s="4">
        <v>434</v>
      </c>
    </row>
    <row r="25" spans="1:12" x14ac:dyDescent="0.25">
      <c r="A25" s="9" t="s">
        <v>54</v>
      </c>
      <c r="B25" s="10">
        <f t="shared" si="0"/>
        <v>24</v>
      </c>
      <c r="C25" s="10">
        <v>2</v>
      </c>
      <c r="D25" s="10">
        <v>2025</v>
      </c>
      <c r="E25" s="4">
        <f>Electricity!AB21</f>
        <v>32274.800000000003</v>
      </c>
      <c r="F25" s="11">
        <v>0.2</v>
      </c>
      <c r="G25" s="4">
        <v>2861.5800000000313</v>
      </c>
      <c r="H25" s="11">
        <v>1.66</v>
      </c>
      <c r="I25" s="4">
        <f>Water!AB15</f>
        <v>300.80699999999496</v>
      </c>
      <c r="J25" s="11">
        <v>7.84</v>
      </c>
      <c r="K25" s="4">
        <v>454</v>
      </c>
      <c r="L25" s="4">
        <v>647</v>
      </c>
    </row>
    <row r="26" spans="1:12" x14ac:dyDescent="0.25">
      <c r="A26" s="9" t="s">
        <v>54</v>
      </c>
      <c r="B26" s="10">
        <f>B25+1</f>
        <v>25</v>
      </c>
      <c r="C26" s="10">
        <v>2</v>
      </c>
      <c r="D26" s="10">
        <v>2025</v>
      </c>
      <c r="E26" s="4">
        <f>Electricity!AC21</f>
        <v>30705.200000000001</v>
      </c>
      <c r="F26" s="11">
        <v>0.2</v>
      </c>
      <c r="G26" s="4">
        <v>3000.1079999999656</v>
      </c>
      <c r="H26" s="11">
        <v>1.66</v>
      </c>
      <c r="I26" s="4">
        <f>Water!AC15</f>
        <v>257.37700000001024</v>
      </c>
      <c r="J26" s="11">
        <v>7.84</v>
      </c>
      <c r="K26" s="4">
        <v>484</v>
      </c>
      <c r="L26" s="4">
        <v>663</v>
      </c>
    </row>
    <row r="27" spans="1:12" x14ac:dyDescent="0.25">
      <c r="A27" s="9" t="s">
        <v>54</v>
      </c>
      <c r="B27" s="10">
        <f t="shared" si="0"/>
        <v>26</v>
      </c>
      <c r="C27" s="10">
        <v>2</v>
      </c>
      <c r="D27" s="10">
        <v>2025</v>
      </c>
      <c r="E27" s="4">
        <f>Electricity!AD21</f>
        <v>30207.200000000001</v>
      </c>
      <c r="F27" s="11">
        <v>0.2</v>
      </c>
      <c r="G27" s="4">
        <v>3289.6700000000205</v>
      </c>
      <c r="H27" s="11">
        <v>1.66</v>
      </c>
      <c r="I27" s="4">
        <f>Water!AD15</f>
        <v>325.11799999998937</v>
      </c>
      <c r="J27" s="11">
        <v>7.84</v>
      </c>
      <c r="K27" s="4">
        <v>481</v>
      </c>
      <c r="L27" s="4">
        <v>610</v>
      </c>
    </row>
    <row r="28" spans="1:12" x14ac:dyDescent="0.25">
      <c r="A28" s="9" t="s">
        <v>54</v>
      </c>
      <c r="B28" s="10">
        <f t="shared" si="0"/>
        <v>27</v>
      </c>
      <c r="C28" s="10">
        <v>2</v>
      </c>
      <c r="D28" s="10">
        <v>2025</v>
      </c>
      <c r="E28" s="4">
        <f>Electricity!AE21</f>
        <v>30357.8</v>
      </c>
      <c r="F28" s="11">
        <v>0.2</v>
      </c>
      <c r="G28" s="4">
        <v>3514.7040000000211</v>
      </c>
      <c r="H28" s="11">
        <v>1.66</v>
      </c>
      <c r="I28" s="4">
        <f>Water!AE15</f>
        <v>281.67399999998969</v>
      </c>
      <c r="J28" s="11">
        <v>7.84</v>
      </c>
      <c r="K28" s="4">
        <v>415</v>
      </c>
      <c r="L28" s="4">
        <v>530</v>
      </c>
    </row>
    <row r="29" spans="1:12" x14ac:dyDescent="0.25">
      <c r="A29" s="9" t="s">
        <v>54</v>
      </c>
      <c r="B29" s="10">
        <f t="shared" si="0"/>
        <v>28</v>
      </c>
      <c r="C29" s="10">
        <v>2</v>
      </c>
      <c r="D29" s="10">
        <v>2025</v>
      </c>
      <c r="E29" s="4">
        <f>Electricity!AF21</f>
        <v>28869.8</v>
      </c>
      <c r="F29" s="11">
        <v>0.2</v>
      </c>
      <c r="G29" s="4">
        <v>3295.1829999999991</v>
      </c>
      <c r="H29" s="11">
        <v>1.66</v>
      </c>
      <c r="I29" s="4">
        <f>Water!AF15</f>
        <v>303.23500000001559</v>
      </c>
      <c r="J29" s="11">
        <v>7.84</v>
      </c>
      <c r="K29" s="4">
        <v>307</v>
      </c>
      <c r="L29" s="4">
        <v>422</v>
      </c>
    </row>
    <row r="30" spans="1:12" x14ac:dyDescent="0.25">
      <c r="A30" s="9" t="s">
        <v>54</v>
      </c>
      <c r="B30" s="10">
        <f t="shared" si="0"/>
        <v>29</v>
      </c>
      <c r="C30" s="10">
        <v>2</v>
      </c>
      <c r="D30" s="10">
        <v>2025</v>
      </c>
      <c r="E30" s="4">
        <f>Electricity!AG21</f>
        <v>0</v>
      </c>
      <c r="F30" s="11">
        <v>0.2</v>
      </c>
      <c r="G30" s="4">
        <v>0</v>
      </c>
      <c r="H30" s="11">
        <v>1.66</v>
      </c>
      <c r="I30" s="4">
        <f>Water!AG15</f>
        <v>0</v>
      </c>
      <c r="J30" s="11">
        <v>7.84</v>
      </c>
      <c r="K30" s="4">
        <v>0</v>
      </c>
      <c r="L30" s="4">
        <v>0</v>
      </c>
    </row>
    <row r="31" spans="1:12" x14ac:dyDescent="0.25">
      <c r="A31" s="9" t="s">
        <v>54</v>
      </c>
      <c r="B31" s="10">
        <f t="shared" si="0"/>
        <v>30</v>
      </c>
      <c r="C31" s="10">
        <v>2</v>
      </c>
      <c r="D31" s="10">
        <v>2025</v>
      </c>
      <c r="E31" s="4">
        <f>Electricity!AH21</f>
        <v>0</v>
      </c>
      <c r="F31" s="11">
        <v>0.2</v>
      </c>
      <c r="G31" s="4">
        <v>0</v>
      </c>
      <c r="H31" s="11">
        <v>1.66</v>
      </c>
      <c r="I31" s="4">
        <f>Water!AH15</f>
        <v>0</v>
      </c>
      <c r="J31" s="11">
        <v>7.84</v>
      </c>
      <c r="K31" s="4">
        <v>0</v>
      </c>
      <c r="L31" s="4">
        <v>0</v>
      </c>
    </row>
    <row r="32" spans="1:12" x14ac:dyDescent="0.25">
      <c r="A32" s="9" t="s">
        <v>54</v>
      </c>
      <c r="B32" s="10">
        <f t="shared" si="0"/>
        <v>31</v>
      </c>
      <c r="C32" s="10">
        <v>2</v>
      </c>
      <c r="D32" s="10">
        <v>2025</v>
      </c>
      <c r="E32" s="4">
        <f>Electricity!AI21</f>
        <v>0</v>
      </c>
      <c r="F32" s="11">
        <v>0.2</v>
      </c>
      <c r="G32" s="4">
        <v>0</v>
      </c>
      <c r="H32" s="11">
        <v>1.66</v>
      </c>
      <c r="I32" s="4">
        <f>Water!AI15</f>
        <v>0</v>
      </c>
      <c r="J32" s="11">
        <v>7.84</v>
      </c>
      <c r="K32" s="4">
        <v>0</v>
      </c>
      <c r="L32" s="4"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L22"/>
  <sheetViews>
    <sheetView zoomScale="130" zoomScaleNormal="130" zoomScaleSheetLayoutView="85" workbookViewId="0">
      <pane xSplit="4" ySplit="4" topLeftCell="S12" activePane="bottomRight" state="frozen"/>
      <selection pane="topRight" activeCell="E1" sqref="E1"/>
      <selection pane="bottomLeft" activeCell="A5" sqref="A5"/>
      <selection pane="bottomRight" activeCell="AA21" sqref="AA21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2" width="15" style="13" customWidth="1"/>
    <col min="33" max="16384" width="9.140625" style="13"/>
  </cols>
  <sheetData>
    <row r="1" spans="1:64" ht="29.25" customHeight="1" x14ac:dyDescent="0.2">
      <c r="B1" s="13"/>
      <c r="C1" s="14"/>
      <c r="D1" s="14"/>
      <c r="G1" s="14"/>
    </row>
    <row r="2" spans="1:64" s="14" customFormat="1" ht="29.25" customHeight="1" x14ac:dyDescent="0.25">
      <c r="A2" s="63" t="s">
        <v>10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</row>
    <row r="3" spans="1:64" s="14" customFormat="1" ht="29.25" customHeight="1" thickBot="1" x14ac:dyDescent="0.3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</row>
    <row r="4" spans="1:64" ht="39" thickBot="1" x14ac:dyDescent="0.25">
      <c r="A4" s="15" t="s">
        <v>11</v>
      </c>
      <c r="B4" s="16" t="s">
        <v>12</v>
      </c>
      <c r="C4" s="17" t="s">
        <v>13</v>
      </c>
      <c r="D4" s="18" t="s">
        <v>14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</row>
    <row r="5" spans="1:64" ht="26.25" customHeight="1" x14ac:dyDescent="0.2">
      <c r="A5" s="65">
        <v>1</v>
      </c>
      <c r="B5" s="20" t="s">
        <v>15</v>
      </c>
      <c r="C5" s="67" t="s">
        <v>16</v>
      </c>
      <c r="D5" s="21">
        <v>15478484</v>
      </c>
      <c r="E5" s="21">
        <v>15500330</v>
      </c>
      <c r="F5" s="21">
        <v>15522361</v>
      </c>
      <c r="G5" s="21">
        <v>15545307</v>
      </c>
      <c r="H5" s="21">
        <v>15566866</v>
      </c>
      <c r="I5" s="21">
        <v>15588397</v>
      </c>
      <c r="J5" s="21">
        <v>15609970</v>
      </c>
      <c r="K5" s="21">
        <v>15632306</v>
      </c>
      <c r="L5" s="21">
        <v>15655003</v>
      </c>
      <c r="M5" s="21">
        <v>15676364</v>
      </c>
      <c r="N5" s="21">
        <v>15698482</v>
      </c>
      <c r="O5" s="21">
        <v>15720484</v>
      </c>
      <c r="P5" s="21">
        <v>15742403</v>
      </c>
      <c r="Q5" s="21">
        <v>15764920</v>
      </c>
      <c r="R5" s="21">
        <v>15787035</v>
      </c>
      <c r="S5" s="21">
        <v>15809553</v>
      </c>
      <c r="T5" s="21">
        <v>15832096</v>
      </c>
      <c r="U5" s="21">
        <v>15853552</v>
      </c>
      <c r="V5" s="21">
        <v>15876059</v>
      </c>
      <c r="W5" s="21">
        <v>15897923</v>
      </c>
      <c r="X5" s="21">
        <v>15919565</v>
      </c>
      <c r="Y5" s="21">
        <v>15941894</v>
      </c>
      <c r="Z5" s="21">
        <v>15963843</v>
      </c>
      <c r="AA5" s="21">
        <v>15986077</v>
      </c>
      <c r="AB5" s="21">
        <v>16007867</v>
      </c>
      <c r="AC5" s="21">
        <v>16030311</v>
      </c>
      <c r="AD5" s="21">
        <v>16052644</v>
      </c>
      <c r="AE5" s="21">
        <v>16075139</v>
      </c>
      <c r="AF5" s="21">
        <v>16096663</v>
      </c>
    </row>
    <row r="6" spans="1:64" s="24" customFormat="1" ht="21.75" customHeight="1" thickBot="1" x14ac:dyDescent="0.25">
      <c r="A6" s="66"/>
      <c r="B6" s="22"/>
      <c r="C6" s="68"/>
      <c r="D6" s="23"/>
      <c r="E6" s="23">
        <f t="shared" ref="E6:AF6" si="0">E5-D5</f>
        <v>21846</v>
      </c>
      <c r="F6" s="23">
        <f t="shared" si="0"/>
        <v>22031</v>
      </c>
      <c r="G6" s="23">
        <f t="shared" si="0"/>
        <v>22946</v>
      </c>
      <c r="H6" s="23">
        <f t="shared" si="0"/>
        <v>21559</v>
      </c>
      <c r="I6" s="23">
        <f t="shared" si="0"/>
        <v>21531</v>
      </c>
      <c r="J6" s="23">
        <f t="shared" si="0"/>
        <v>21573</v>
      </c>
      <c r="K6" s="23">
        <f>K5-J5</f>
        <v>22336</v>
      </c>
      <c r="L6" s="23">
        <f t="shared" si="0"/>
        <v>22697</v>
      </c>
      <c r="M6" s="23">
        <f t="shared" si="0"/>
        <v>21361</v>
      </c>
      <c r="N6" s="23">
        <f t="shared" si="0"/>
        <v>22118</v>
      </c>
      <c r="O6" s="23">
        <f t="shared" si="0"/>
        <v>22002</v>
      </c>
      <c r="P6" s="23">
        <f t="shared" si="0"/>
        <v>21919</v>
      </c>
      <c r="Q6" s="23">
        <f t="shared" si="0"/>
        <v>22517</v>
      </c>
      <c r="R6" s="23">
        <f t="shared" si="0"/>
        <v>22115</v>
      </c>
      <c r="S6" s="23">
        <f t="shared" si="0"/>
        <v>22518</v>
      </c>
      <c r="T6" s="23">
        <f t="shared" si="0"/>
        <v>22543</v>
      </c>
      <c r="U6" s="23">
        <f t="shared" si="0"/>
        <v>21456</v>
      </c>
      <c r="V6" s="23">
        <f t="shared" si="0"/>
        <v>22507</v>
      </c>
      <c r="W6" s="23">
        <f t="shared" si="0"/>
        <v>21864</v>
      </c>
      <c r="X6" s="23">
        <f t="shared" si="0"/>
        <v>21642</v>
      </c>
      <c r="Y6" s="23">
        <f t="shared" si="0"/>
        <v>22329</v>
      </c>
      <c r="Z6" s="23">
        <f t="shared" si="0"/>
        <v>21949</v>
      </c>
      <c r="AA6" s="23">
        <f t="shared" si="0"/>
        <v>22234</v>
      </c>
      <c r="AB6" s="23">
        <f t="shared" si="0"/>
        <v>21790</v>
      </c>
      <c r="AC6" s="23">
        <f t="shared" si="0"/>
        <v>22444</v>
      </c>
      <c r="AD6" s="23">
        <f t="shared" si="0"/>
        <v>22333</v>
      </c>
      <c r="AE6" s="23">
        <f t="shared" si="0"/>
        <v>22495</v>
      </c>
      <c r="AF6" s="23">
        <f t="shared" si="0"/>
        <v>21524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 spans="1:64" ht="22.5" customHeight="1" x14ac:dyDescent="0.2">
      <c r="A7" s="69">
        <v>2</v>
      </c>
      <c r="B7" s="25" t="s">
        <v>17</v>
      </c>
      <c r="C7" s="71" t="s">
        <v>18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</row>
    <row r="8" spans="1:64" s="24" customFormat="1" ht="21.75" customHeight="1" thickBot="1" x14ac:dyDescent="0.25">
      <c r="A8" s="70"/>
      <c r="B8" s="22"/>
      <c r="C8" s="68"/>
      <c r="D8" s="23"/>
      <c r="E8" s="23">
        <f t="shared" ref="E8:AF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</row>
    <row r="9" spans="1:64" ht="21.75" customHeight="1" x14ac:dyDescent="0.2">
      <c r="A9" s="76">
        <v>3</v>
      </c>
      <c r="B9" s="36" t="s">
        <v>55</v>
      </c>
      <c r="C9" s="78" t="s">
        <v>56</v>
      </c>
      <c r="D9" s="21">
        <v>16606503</v>
      </c>
      <c r="E9" s="21">
        <v>16622407</v>
      </c>
      <c r="F9" s="21">
        <v>16641316</v>
      </c>
      <c r="G9" s="21">
        <v>16658157</v>
      </c>
      <c r="H9" s="21">
        <v>16674208</v>
      </c>
      <c r="I9" s="21">
        <v>16685193</v>
      </c>
      <c r="J9" s="21">
        <v>16687456</v>
      </c>
      <c r="K9" s="21">
        <v>16690789</v>
      </c>
      <c r="L9" s="21">
        <v>16694124</v>
      </c>
      <c r="M9" s="21">
        <v>16697452</v>
      </c>
      <c r="N9" s="21">
        <v>16699546</v>
      </c>
      <c r="O9" s="21">
        <v>16700761</v>
      </c>
      <c r="P9" s="21">
        <v>16703214</v>
      </c>
      <c r="Q9" s="21">
        <v>16706627</v>
      </c>
      <c r="R9" s="21">
        <v>16710073</v>
      </c>
      <c r="S9" s="21">
        <v>16711291</v>
      </c>
      <c r="T9" s="21">
        <v>16712450</v>
      </c>
      <c r="U9" s="21">
        <v>16717150</v>
      </c>
      <c r="V9" s="21">
        <v>16721677</v>
      </c>
      <c r="W9" s="21">
        <v>16725738</v>
      </c>
      <c r="X9" s="21">
        <v>16729085</v>
      </c>
      <c r="Y9" s="21">
        <v>16734860</v>
      </c>
      <c r="Z9" s="21">
        <v>16738654</v>
      </c>
      <c r="AA9" s="21">
        <v>16743921</v>
      </c>
      <c r="AB9" s="21">
        <v>16752018</v>
      </c>
      <c r="AC9" s="21">
        <v>16755294</v>
      </c>
      <c r="AD9" s="21">
        <v>16758529</v>
      </c>
      <c r="AE9" s="21">
        <v>16761758</v>
      </c>
      <c r="AF9" s="21">
        <v>16764882</v>
      </c>
    </row>
    <row r="10" spans="1:64" s="24" customFormat="1" ht="21.75" customHeight="1" thickBot="1" x14ac:dyDescent="0.25">
      <c r="A10" s="77"/>
      <c r="B10" s="37"/>
      <c r="C10" s="75"/>
      <c r="D10" s="23"/>
      <c r="E10" s="23">
        <f t="shared" ref="E10:AF10" si="2">E9-D9</f>
        <v>15904</v>
      </c>
      <c r="F10" s="23">
        <f>F9-E9</f>
        <v>18909</v>
      </c>
      <c r="G10" s="23">
        <f t="shared" si="2"/>
        <v>16841</v>
      </c>
      <c r="H10" s="23">
        <f t="shared" si="2"/>
        <v>16051</v>
      </c>
      <c r="I10" s="23">
        <f t="shared" si="2"/>
        <v>10985</v>
      </c>
      <c r="J10" s="23">
        <f>J9-I9</f>
        <v>2263</v>
      </c>
      <c r="K10" s="23">
        <f t="shared" si="2"/>
        <v>3333</v>
      </c>
      <c r="L10" s="23">
        <f t="shared" si="2"/>
        <v>3335</v>
      </c>
      <c r="M10" s="23">
        <f t="shared" si="2"/>
        <v>3328</v>
      </c>
      <c r="N10" s="23">
        <f t="shared" si="2"/>
        <v>2094</v>
      </c>
      <c r="O10" s="23">
        <f t="shared" si="2"/>
        <v>1215</v>
      </c>
      <c r="P10" s="23">
        <f t="shared" si="2"/>
        <v>2453</v>
      </c>
      <c r="Q10" s="23">
        <f t="shared" si="2"/>
        <v>3413</v>
      </c>
      <c r="R10" s="23">
        <f t="shared" si="2"/>
        <v>3446</v>
      </c>
      <c r="S10" s="23">
        <f t="shared" si="2"/>
        <v>1218</v>
      </c>
      <c r="T10" s="23">
        <f t="shared" si="2"/>
        <v>1159</v>
      </c>
      <c r="U10" s="23">
        <f t="shared" si="2"/>
        <v>4700</v>
      </c>
      <c r="V10" s="23">
        <f t="shared" si="2"/>
        <v>4527</v>
      </c>
      <c r="W10" s="23">
        <f t="shared" si="2"/>
        <v>4061</v>
      </c>
      <c r="X10" s="23">
        <f t="shared" si="2"/>
        <v>3347</v>
      </c>
      <c r="Y10" s="23">
        <f t="shared" si="2"/>
        <v>5775</v>
      </c>
      <c r="Z10" s="23">
        <f t="shared" si="2"/>
        <v>3794</v>
      </c>
      <c r="AA10" s="23">
        <f t="shared" si="2"/>
        <v>5267</v>
      </c>
      <c r="AB10" s="23">
        <f t="shared" si="2"/>
        <v>8097</v>
      </c>
      <c r="AC10" s="23">
        <f t="shared" si="2"/>
        <v>3276</v>
      </c>
      <c r="AD10" s="23">
        <f t="shared" si="2"/>
        <v>3235</v>
      </c>
      <c r="AE10" s="23">
        <f t="shared" si="2"/>
        <v>3229</v>
      </c>
      <c r="AF10" s="23">
        <f t="shared" si="2"/>
        <v>3124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</row>
    <row r="11" spans="1:64" ht="21.75" customHeight="1" x14ac:dyDescent="0.2">
      <c r="A11" s="72">
        <v>4</v>
      </c>
      <c r="B11" s="36" t="s">
        <v>57</v>
      </c>
      <c r="C11" s="78" t="s">
        <v>58</v>
      </c>
      <c r="D11" s="21">
        <v>10856222</v>
      </c>
      <c r="E11" s="21">
        <v>10857121</v>
      </c>
      <c r="F11" s="21">
        <v>10858017</v>
      </c>
      <c r="G11" s="21">
        <v>10859502</v>
      </c>
      <c r="H11" s="21">
        <v>10861243</v>
      </c>
      <c r="I11" s="21">
        <v>10867559</v>
      </c>
      <c r="J11" s="21">
        <v>10882951</v>
      </c>
      <c r="K11" s="21">
        <v>10898810</v>
      </c>
      <c r="L11" s="21">
        <v>10915337</v>
      </c>
      <c r="M11" s="21">
        <v>10930510</v>
      </c>
      <c r="N11" s="21">
        <v>10946928</v>
      </c>
      <c r="O11" s="21">
        <v>10964556</v>
      </c>
      <c r="P11" s="21">
        <v>10983031</v>
      </c>
      <c r="Q11" s="21">
        <v>11002166</v>
      </c>
      <c r="R11" s="21">
        <v>11020939</v>
      </c>
      <c r="S11" s="21">
        <v>11041256</v>
      </c>
      <c r="T11" s="21">
        <v>11060722</v>
      </c>
      <c r="U11" s="21">
        <v>11079213</v>
      </c>
      <c r="V11" s="21">
        <v>11098601</v>
      </c>
      <c r="W11" s="21">
        <v>11117319</v>
      </c>
      <c r="X11" s="21">
        <v>11136121</v>
      </c>
      <c r="Y11" s="21">
        <v>11154850</v>
      </c>
      <c r="Z11" s="21">
        <v>11174396</v>
      </c>
      <c r="AA11" s="21">
        <v>11193767</v>
      </c>
      <c r="AB11" s="21">
        <v>11211302</v>
      </c>
      <c r="AC11" s="21">
        <v>11228114</v>
      </c>
      <c r="AD11" s="21">
        <v>11243622</v>
      </c>
      <c r="AE11" s="21">
        <v>11259135</v>
      </c>
      <c r="AF11" s="21">
        <v>11273553</v>
      </c>
    </row>
    <row r="12" spans="1:64" s="38" customFormat="1" ht="21.75" customHeight="1" thickBot="1" x14ac:dyDescent="0.25">
      <c r="A12" s="73"/>
      <c r="B12" s="37"/>
      <c r="C12" s="75"/>
      <c r="D12" s="23"/>
      <c r="E12" s="23">
        <f t="shared" ref="E12:AF12" si="3">E11-D11</f>
        <v>899</v>
      </c>
      <c r="F12" s="23">
        <f t="shared" si="3"/>
        <v>896</v>
      </c>
      <c r="G12" s="23">
        <f t="shared" si="3"/>
        <v>1485</v>
      </c>
      <c r="H12" s="23">
        <f t="shared" si="3"/>
        <v>1741</v>
      </c>
      <c r="I12" s="23">
        <f t="shared" si="3"/>
        <v>6316</v>
      </c>
      <c r="J12" s="23">
        <f>J11-I11</f>
        <v>15392</v>
      </c>
      <c r="K12" s="23">
        <f t="shared" si="3"/>
        <v>15859</v>
      </c>
      <c r="L12" s="23">
        <f t="shared" si="3"/>
        <v>16527</v>
      </c>
      <c r="M12" s="23">
        <f t="shared" si="3"/>
        <v>15173</v>
      </c>
      <c r="N12" s="23">
        <f t="shared" si="3"/>
        <v>16418</v>
      </c>
      <c r="O12" s="23">
        <f t="shared" si="3"/>
        <v>17628</v>
      </c>
      <c r="P12" s="23">
        <f t="shared" si="3"/>
        <v>18475</v>
      </c>
      <c r="Q12" s="23">
        <f t="shared" si="3"/>
        <v>19135</v>
      </c>
      <c r="R12" s="23">
        <f t="shared" si="3"/>
        <v>18773</v>
      </c>
      <c r="S12" s="23">
        <f t="shared" si="3"/>
        <v>20317</v>
      </c>
      <c r="T12" s="23">
        <f t="shared" si="3"/>
        <v>19466</v>
      </c>
      <c r="U12" s="23">
        <f t="shared" si="3"/>
        <v>18491</v>
      </c>
      <c r="V12" s="23">
        <f t="shared" si="3"/>
        <v>19388</v>
      </c>
      <c r="W12" s="23">
        <f t="shared" si="3"/>
        <v>18718</v>
      </c>
      <c r="X12" s="23">
        <f t="shared" si="3"/>
        <v>18802</v>
      </c>
      <c r="Y12" s="23">
        <f t="shared" si="3"/>
        <v>18729</v>
      </c>
      <c r="Z12" s="23">
        <f t="shared" si="3"/>
        <v>19546</v>
      </c>
      <c r="AA12" s="23">
        <f t="shared" si="3"/>
        <v>19371</v>
      </c>
      <c r="AB12" s="23">
        <f t="shared" si="3"/>
        <v>17535</v>
      </c>
      <c r="AC12" s="23">
        <f t="shared" si="3"/>
        <v>16812</v>
      </c>
      <c r="AD12" s="23">
        <f t="shared" si="3"/>
        <v>15508</v>
      </c>
      <c r="AE12" s="23">
        <f t="shared" si="3"/>
        <v>15513</v>
      </c>
      <c r="AF12" s="23">
        <f t="shared" si="3"/>
        <v>14418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</row>
    <row r="13" spans="1:64" ht="21.75" customHeight="1" x14ac:dyDescent="0.2">
      <c r="A13" s="76">
        <v>7</v>
      </c>
      <c r="B13" s="39" t="s">
        <v>59</v>
      </c>
      <c r="C13" s="74" t="s">
        <v>60</v>
      </c>
      <c r="D13" s="40">
        <v>3399</v>
      </c>
      <c r="E13" s="40">
        <v>3399</v>
      </c>
      <c r="F13" s="40">
        <v>3399</v>
      </c>
      <c r="G13" s="40">
        <v>3399</v>
      </c>
      <c r="H13" s="40">
        <v>3399</v>
      </c>
      <c r="I13" s="40">
        <v>3399</v>
      </c>
      <c r="J13" s="40">
        <v>3399</v>
      </c>
      <c r="K13" s="40">
        <v>3399</v>
      </c>
      <c r="L13" s="40">
        <v>3399</v>
      </c>
      <c r="M13" s="40">
        <v>3399</v>
      </c>
      <c r="N13" s="40">
        <v>3399</v>
      </c>
      <c r="O13" s="40">
        <v>3399</v>
      </c>
      <c r="P13" s="40">
        <v>3399</v>
      </c>
      <c r="Q13" s="40">
        <v>3399</v>
      </c>
      <c r="R13" s="40">
        <v>3399</v>
      </c>
      <c r="S13" s="40">
        <v>3399</v>
      </c>
      <c r="T13" s="40">
        <v>3399</v>
      </c>
      <c r="U13" s="40">
        <v>3399</v>
      </c>
      <c r="V13" s="40">
        <v>3399</v>
      </c>
      <c r="W13" s="40">
        <v>3399</v>
      </c>
      <c r="X13" s="40">
        <v>3399</v>
      </c>
      <c r="Y13" s="40">
        <v>3399</v>
      </c>
      <c r="Z13" s="40">
        <v>3399</v>
      </c>
      <c r="AA13" s="40">
        <v>3399</v>
      </c>
      <c r="AB13" s="40">
        <v>3399</v>
      </c>
      <c r="AC13" s="40">
        <v>3399</v>
      </c>
      <c r="AD13" s="40">
        <v>3399</v>
      </c>
      <c r="AE13" s="40">
        <v>3399</v>
      </c>
      <c r="AF13" s="40">
        <v>3400</v>
      </c>
    </row>
    <row r="14" spans="1:64" s="24" customFormat="1" ht="21.75" customHeight="1" thickBot="1" x14ac:dyDescent="0.25">
      <c r="A14" s="77"/>
      <c r="B14" s="41"/>
      <c r="C14" s="75"/>
      <c r="D14" s="42"/>
      <c r="E14" s="42">
        <f t="shared" ref="E14:AF14" si="4">E13-D13</f>
        <v>0</v>
      </c>
      <c r="F14" s="42">
        <f t="shared" si="4"/>
        <v>0</v>
      </c>
      <c r="G14" s="42"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1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">
      <c r="A15" s="72">
        <v>8</v>
      </c>
      <c r="B15" s="39" t="s">
        <v>61</v>
      </c>
      <c r="C15" s="74" t="s">
        <v>62</v>
      </c>
      <c r="D15" s="40">
        <v>506</v>
      </c>
      <c r="E15" s="40">
        <v>506</v>
      </c>
      <c r="F15" s="40">
        <v>506</v>
      </c>
      <c r="G15" s="40">
        <v>506</v>
      </c>
      <c r="H15" s="40">
        <v>507</v>
      </c>
      <c r="I15" s="40">
        <v>507</v>
      </c>
      <c r="J15" s="40">
        <v>507</v>
      </c>
      <c r="K15" s="40">
        <v>507</v>
      </c>
      <c r="L15" s="40">
        <v>507</v>
      </c>
      <c r="M15" s="40">
        <v>507</v>
      </c>
      <c r="N15" s="40">
        <v>507</v>
      </c>
      <c r="O15" s="40">
        <v>507</v>
      </c>
      <c r="P15" s="40">
        <v>507</v>
      </c>
      <c r="Q15" s="40">
        <v>507</v>
      </c>
      <c r="R15" s="40">
        <v>507</v>
      </c>
      <c r="S15" s="40">
        <v>507</v>
      </c>
      <c r="T15" s="40">
        <v>508</v>
      </c>
      <c r="U15" s="40">
        <v>508</v>
      </c>
      <c r="V15" s="40">
        <v>508</v>
      </c>
      <c r="W15" s="40">
        <v>508</v>
      </c>
      <c r="X15" s="40">
        <v>508</v>
      </c>
      <c r="Y15" s="40">
        <v>508</v>
      </c>
      <c r="Z15" s="40">
        <v>508</v>
      </c>
      <c r="AA15" s="40">
        <v>508</v>
      </c>
      <c r="AB15" s="40">
        <v>508</v>
      </c>
      <c r="AC15" s="40">
        <v>508</v>
      </c>
      <c r="AD15" s="40">
        <v>508</v>
      </c>
      <c r="AE15" s="40">
        <v>508</v>
      </c>
      <c r="AF15" s="40">
        <v>508</v>
      </c>
    </row>
    <row r="16" spans="1:64" s="24" customFormat="1" ht="21.75" customHeight="1" thickBot="1" x14ac:dyDescent="0.25">
      <c r="A16" s="73"/>
      <c r="B16" s="41"/>
      <c r="C16" s="75"/>
      <c r="D16" s="42"/>
      <c r="E16" s="42">
        <f t="shared" ref="E16:AF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1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1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</row>
    <row r="17" spans="1:32" ht="21.75" customHeight="1" x14ac:dyDescent="0.2">
      <c r="A17" s="72">
        <v>13</v>
      </c>
      <c r="B17" s="39" t="s">
        <v>63</v>
      </c>
      <c r="C17" s="74" t="s">
        <v>64</v>
      </c>
      <c r="D17" s="40">
        <v>1474788</v>
      </c>
      <c r="E17" s="40">
        <v>1475050</v>
      </c>
      <c r="F17" s="40">
        <v>1475315</v>
      </c>
      <c r="G17" s="40">
        <v>1475584</v>
      </c>
      <c r="H17" s="40">
        <v>1475861</v>
      </c>
      <c r="I17" s="40">
        <v>1476141</v>
      </c>
      <c r="J17" s="40">
        <v>1476442</v>
      </c>
      <c r="K17" s="40">
        <v>1476727</v>
      </c>
      <c r="L17" s="40">
        <v>1477103</v>
      </c>
      <c r="M17" s="40">
        <v>1477285</v>
      </c>
      <c r="N17" s="40">
        <v>1477566</v>
      </c>
      <c r="O17" s="40">
        <v>1477830</v>
      </c>
      <c r="P17" s="40">
        <v>1478063</v>
      </c>
      <c r="Q17" s="40">
        <v>1478281</v>
      </c>
      <c r="R17" s="40">
        <v>1478523</v>
      </c>
      <c r="S17" s="40">
        <v>1478779</v>
      </c>
      <c r="T17" s="40">
        <v>1479018</v>
      </c>
      <c r="U17" s="40">
        <v>1479264</v>
      </c>
      <c r="V17" s="40">
        <v>1479516</v>
      </c>
      <c r="W17" s="40">
        <v>1479818</v>
      </c>
      <c r="X17" s="40">
        <v>1480086</v>
      </c>
      <c r="Y17" s="40">
        <v>1480328</v>
      </c>
      <c r="Z17" s="40">
        <v>1480600</v>
      </c>
      <c r="AA17" s="40">
        <v>1480836</v>
      </c>
      <c r="AB17" s="40">
        <v>1481014</v>
      </c>
      <c r="AC17" s="40">
        <v>1481203</v>
      </c>
      <c r="AD17" s="40">
        <v>1481537</v>
      </c>
      <c r="AE17" s="40">
        <v>1481859</v>
      </c>
      <c r="AF17" s="40">
        <v>1482142</v>
      </c>
    </row>
    <row r="18" spans="1:32" ht="21.75" customHeight="1" thickBot="1" x14ac:dyDescent="0.25">
      <c r="A18" s="80"/>
      <c r="B18" s="43"/>
      <c r="C18" s="81"/>
      <c r="D18" s="42"/>
      <c r="E18" s="42">
        <f t="shared" ref="E18:AF18" si="6">E17-D17</f>
        <v>262</v>
      </c>
      <c r="F18" s="42">
        <f t="shared" si="6"/>
        <v>265</v>
      </c>
      <c r="G18" s="42">
        <f t="shared" si="6"/>
        <v>269</v>
      </c>
      <c r="H18" s="42">
        <f t="shared" si="6"/>
        <v>277</v>
      </c>
      <c r="I18" s="42">
        <f t="shared" si="6"/>
        <v>280</v>
      </c>
      <c r="J18" s="42">
        <f t="shared" si="6"/>
        <v>301</v>
      </c>
      <c r="K18" s="42">
        <f t="shared" si="6"/>
        <v>285</v>
      </c>
      <c r="L18" s="42">
        <f t="shared" si="6"/>
        <v>376</v>
      </c>
      <c r="M18" s="42">
        <f t="shared" si="6"/>
        <v>182</v>
      </c>
      <c r="N18" s="42">
        <f t="shared" si="6"/>
        <v>281</v>
      </c>
      <c r="O18" s="42">
        <f t="shared" si="6"/>
        <v>264</v>
      </c>
      <c r="P18" s="42">
        <f t="shared" si="6"/>
        <v>233</v>
      </c>
      <c r="Q18" s="42">
        <f t="shared" si="6"/>
        <v>218</v>
      </c>
      <c r="R18" s="42">
        <f t="shared" si="6"/>
        <v>242</v>
      </c>
      <c r="S18" s="42">
        <f t="shared" si="6"/>
        <v>256</v>
      </c>
      <c r="T18" s="42">
        <f t="shared" si="6"/>
        <v>239</v>
      </c>
      <c r="U18" s="42">
        <f t="shared" si="6"/>
        <v>246</v>
      </c>
      <c r="V18" s="42">
        <f t="shared" si="6"/>
        <v>252</v>
      </c>
      <c r="W18" s="42">
        <f t="shared" si="6"/>
        <v>302</v>
      </c>
      <c r="X18" s="42">
        <f t="shared" si="6"/>
        <v>268</v>
      </c>
      <c r="Y18" s="42">
        <f t="shared" si="6"/>
        <v>242</v>
      </c>
      <c r="Z18" s="42">
        <f t="shared" si="6"/>
        <v>272</v>
      </c>
      <c r="AA18" s="42">
        <f t="shared" si="6"/>
        <v>236</v>
      </c>
      <c r="AB18" s="42">
        <f t="shared" si="6"/>
        <v>178</v>
      </c>
      <c r="AC18" s="42">
        <f t="shared" si="6"/>
        <v>189</v>
      </c>
      <c r="AD18" s="42">
        <f t="shared" si="6"/>
        <v>334</v>
      </c>
      <c r="AE18" s="42">
        <f t="shared" si="6"/>
        <v>322</v>
      </c>
      <c r="AF18" s="42">
        <f t="shared" si="6"/>
        <v>283</v>
      </c>
    </row>
    <row r="19" spans="1:32" ht="21.75" customHeight="1" x14ac:dyDescent="0.2">
      <c r="A19" s="82">
        <v>14</v>
      </c>
      <c r="B19" s="39" t="s">
        <v>65</v>
      </c>
      <c r="C19" s="74" t="s">
        <v>66</v>
      </c>
      <c r="D19" s="40">
        <v>388808</v>
      </c>
      <c r="E19" s="40">
        <v>388851</v>
      </c>
      <c r="F19" s="40">
        <v>388897</v>
      </c>
      <c r="G19" s="40">
        <v>388945</v>
      </c>
      <c r="H19" s="40">
        <v>388992</v>
      </c>
      <c r="I19" s="40">
        <v>389038</v>
      </c>
      <c r="J19" s="40">
        <v>389083</v>
      </c>
      <c r="K19" s="40">
        <v>389127</v>
      </c>
      <c r="L19" s="40">
        <v>389175</v>
      </c>
      <c r="M19" s="40">
        <v>389221</v>
      </c>
      <c r="N19" s="40">
        <v>389268</v>
      </c>
      <c r="O19" s="40">
        <v>389316</v>
      </c>
      <c r="P19" s="40">
        <v>389365</v>
      </c>
      <c r="Q19" s="40">
        <v>389411</v>
      </c>
      <c r="R19" s="40">
        <v>389459</v>
      </c>
      <c r="S19" s="40">
        <v>389511</v>
      </c>
      <c r="T19" s="40">
        <v>389563</v>
      </c>
      <c r="U19" s="40">
        <v>389611</v>
      </c>
      <c r="V19" s="40">
        <v>389657</v>
      </c>
      <c r="W19" s="40">
        <v>389706</v>
      </c>
      <c r="X19" s="40">
        <v>389753</v>
      </c>
      <c r="Y19" s="40">
        <v>389796</v>
      </c>
      <c r="Z19" s="40">
        <v>389839</v>
      </c>
      <c r="AA19" s="40">
        <v>389884</v>
      </c>
      <c r="AB19" s="40">
        <v>389938</v>
      </c>
      <c r="AC19" s="40">
        <v>389975</v>
      </c>
      <c r="AD19" s="40">
        <v>390018</v>
      </c>
      <c r="AE19" s="40">
        <v>390062</v>
      </c>
      <c r="AF19" s="40">
        <v>390107</v>
      </c>
    </row>
    <row r="20" spans="1:32" ht="21.75" customHeight="1" thickBot="1" x14ac:dyDescent="0.25">
      <c r="A20" s="77"/>
      <c r="B20" s="43"/>
      <c r="C20" s="81"/>
      <c r="D20" s="42"/>
      <c r="E20" s="42">
        <f>E19-D19</f>
        <v>43</v>
      </c>
      <c r="F20" s="42">
        <f t="shared" ref="F20:AF20" si="7">F19-E19</f>
        <v>46</v>
      </c>
      <c r="G20" s="42">
        <f t="shared" si="7"/>
        <v>48</v>
      </c>
      <c r="H20" s="42">
        <f t="shared" si="7"/>
        <v>47</v>
      </c>
      <c r="I20" s="42">
        <f t="shared" si="7"/>
        <v>46</v>
      </c>
      <c r="J20" s="42">
        <f t="shared" si="7"/>
        <v>45</v>
      </c>
      <c r="K20" s="42">
        <f t="shared" si="7"/>
        <v>44</v>
      </c>
      <c r="L20" s="42">
        <f t="shared" si="7"/>
        <v>48</v>
      </c>
      <c r="M20" s="42">
        <f t="shared" si="7"/>
        <v>46</v>
      </c>
      <c r="N20" s="42">
        <f t="shared" si="7"/>
        <v>47</v>
      </c>
      <c r="O20" s="42">
        <f t="shared" si="7"/>
        <v>48</v>
      </c>
      <c r="P20" s="42">
        <f t="shared" si="7"/>
        <v>49</v>
      </c>
      <c r="Q20" s="42">
        <f t="shared" si="7"/>
        <v>46</v>
      </c>
      <c r="R20" s="42">
        <f t="shared" si="7"/>
        <v>48</v>
      </c>
      <c r="S20" s="42">
        <f t="shared" si="7"/>
        <v>52</v>
      </c>
      <c r="T20" s="42">
        <f t="shared" si="7"/>
        <v>52</v>
      </c>
      <c r="U20" s="42">
        <f t="shared" si="7"/>
        <v>48</v>
      </c>
      <c r="V20" s="42">
        <f t="shared" si="7"/>
        <v>46</v>
      </c>
      <c r="W20" s="42">
        <f t="shared" si="7"/>
        <v>49</v>
      </c>
      <c r="X20" s="42">
        <f t="shared" si="7"/>
        <v>47</v>
      </c>
      <c r="Y20" s="42">
        <f t="shared" si="7"/>
        <v>43</v>
      </c>
      <c r="Z20" s="42">
        <f t="shared" si="7"/>
        <v>43</v>
      </c>
      <c r="AA20" s="42">
        <f t="shared" si="7"/>
        <v>45</v>
      </c>
      <c r="AB20" s="42">
        <f t="shared" si="7"/>
        <v>54</v>
      </c>
      <c r="AC20" s="42">
        <f t="shared" si="7"/>
        <v>37</v>
      </c>
      <c r="AD20" s="42">
        <f t="shared" si="7"/>
        <v>43</v>
      </c>
      <c r="AE20" s="42">
        <f t="shared" si="7"/>
        <v>44</v>
      </c>
      <c r="AF20" s="42">
        <f t="shared" si="7"/>
        <v>45</v>
      </c>
    </row>
    <row r="21" spans="1:32" ht="27" customHeight="1" x14ac:dyDescent="0.3">
      <c r="B21" s="83" t="s">
        <v>67</v>
      </c>
      <c r="C21" s="83"/>
      <c r="D21" s="44"/>
      <c r="E21" s="45">
        <f>((E6+E8)+((E10+E12)*40%)+(E14+E16+E18+E20))</f>
        <v>28872.2</v>
      </c>
      <c r="F21" s="45">
        <f t="shared" ref="F21:AF21" si="8">((F6+F8)+((F10+F12)*40%)+(F14+F16+F18+F20))</f>
        <v>30264</v>
      </c>
      <c r="G21" s="45">
        <f t="shared" si="8"/>
        <v>30593.4</v>
      </c>
      <c r="H21" s="45">
        <f t="shared" si="8"/>
        <v>29000.799999999999</v>
      </c>
      <c r="I21" s="45">
        <f t="shared" si="8"/>
        <v>28777.4</v>
      </c>
      <c r="J21" s="45">
        <f t="shared" si="8"/>
        <v>28981</v>
      </c>
      <c r="K21" s="45">
        <f t="shared" si="8"/>
        <v>30341.8</v>
      </c>
      <c r="L21" s="45">
        <f t="shared" si="8"/>
        <v>31065.8</v>
      </c>
      <c r="M21" s="45">
        <f t="shared" si="8"/>
        <v>28989.4</v>
      </c>
      <c r="N21" s="45">
        <f t="shared" si="8"/>
        <v>29850.799999999999</v>
      </c>
      <c r="O21" s="45">
        <f t="shared" si="8"/>
        <v>29851.200000000001</v>
      </c>
      <c r="P21" s="45">
        <f t="shared" si="8"/>
        <v>30572.2</v>
      </c>
      <c r="Q21" s="45">
        <f t="shared" si="8"/>
        <v>31800.2</v>
      </c>
      <c r="R21" s="45">
        <f t="shared" si="8"/>
        <v>31292.6</v>
      </c>
      <c r="S21" s="45">
        <f t="shared" si="8"/>
        <v>31440</v>
      </c>
      <c r="T21" s="45">
        <f t="shared" si="8"/>
        <v>31085</v>
      </c>
      <c r="U21" s="45">
        <f t="shared" si="8"/>
        <v>31026.400000000001</v>
      </c>
      <c r="V21" s="45">
        <f t="shared" si="8"/>
        <v>32371</v>
      </c>
      <c r="W21" s="45">
        <f t="shared" si="8"/>
        <v>31326.6</v>
      </c>
      <c r="X21" s="45">
        <f t="shared" si="8"/>
        <v>30816.6</v>
      </c>
      <c r="Y21" s="45">
        <f t="shared" si="8"/>
        <v>32415.599999999999</v>
      </c>
      <c r="Z21" s="45">
        <f t="shared" si="8"/>
        <v>31600</v>
      </c>
      <c r="AA21" s="45">
        <f t="shared" si="8"/>
        <v>32370.2</v>
      </c>
      <c r="AB21" s="45">
        <f t="shared" si="8"/>
        <v>32274.800000000003</v>
      </c>
      <c r="AC21" s="45">
        <f t="shared" si="8"/>
        <v>30705.200000000001</v>
      </c>
      <c r="AD21" s="45">
        <f t="shared" si="8"/>
        <v>30207.200000000001</v>
      </c>
      <c r="AE21" s="45">
        <f t="shared" si="8"/>
        <v>30357.8</v>
      </c>
      <c r="AF21" s="45">
        <f t="shared" si="8"/>
        <v>28869.8</v>
      </c>
    </row>
    <row r="22" spans="1:32" ht="27" customHeight="1" x14ac:dyDescent="0.3">
      <c r="B22" s="79" t="s">
        <v>68</v>
      </c>
      <c r="C22" s="79"/>
      <c r="D22" s="44"/>
      <c r="E22" s="45">
        <f>SUM(E21:AF21)</f>
        <v>857118.99999999988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F2"/>
    <mergeCell ref="C3:AF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M29"/>
  <sheetViews>
    <sheetView zoomScale="115" zoomScaleNormal="115" workbookViewId="0">
      <pane xSplit="3" ySplit="4" topLeftCell="O7" activePane="bottomRight" state="frozen"/>
      <selection pane="topRight" activeCell="D1" sqref="D1"/>
      <selection pane="bottomLeft" activeCell="A5" sqref="A5"/>
      <selection pane="bottomRight" activeCell="J15" sqref="J15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2" width="10.140625" style="2" customWidth="1"/>
    <col min="33" max="16384" width="9.140625" style="2"/>
  </cols>
  <sheetData>
    <row r="2" spans="1:39" s="8" customFormat="1" ht="25.7" customHeight="1" x14ac:dyDescent="0.4">
      <c r="B2" s="86" t="s">
        <v>19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</row>
    <row r="3" spans="1:39" s="8" customFormat="1" ht="30" customHeight="1" thickBot="1" x14ac:dyDescent="0.3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</row>
    <row r="4" spans="1:39" s="30" customFormat="1" ht="57.75" customHeight="1" thickBot="1" x14ac:dyDescent="0.3">
      <c r="A4" s="15" t="s">
        <v>11</v>
      </c>
      <c r="B4" s="27" t="s">
        <v>20</v>
      </c>
      <c r="C4" s="27" t="s">
        <v>13</v>
      </c>
      <c r="D4" s="28" t="s">
        <v>21</v>
      </c>
      <c r="E4" s="29" t="s">
        <v>22</v>
      </c>
      <c r="F4" s="29" t="s">
        <v>23</v>
      </c>
      <c r="G4" s="29" t="s">
        <v>24</v>
      </c>
      <c r="H4" s="29" t="s">
        <v>25</v>
      </c>
      <c r="I4" s="29" t="s">
        <v>26</v>
      </c>
      <c r="J4" s="29" t="s">
        <v>27</v>
      </c>
      <c r="K4" s="29" t="s">
        <v>28</v>
      </c>
      <c r="L4" s="29" t="s">
        <v>29</v>
      </c>
      <c r="M4" s="29" t="s">
        <v>30</v>
      </c>
      <c r="N4" s="29" t="s">
        <v>31</v>
      </c>
      <c r="O4" s="29" t="s">
        <v>32</v>
      </c>
      <c r="P4" s="29" t="s">
        <v>33</v>
      </c>
      <c r="Q4" s="29" t="s">
        <v>34</v>
      </c>
      <c r="R4" s="29" t="s">
        <v>35</v>
      </c>
      <c r="S4" s="29" t="s">
        <v>36</v>
      </c>
      <c r="T4" s="29" t="s">
        <v>37</v>
      </c>
      <c r="U4" s="29" t="s">
        <v>38</v>
      </c>
      <c r="V4" s="29" t="s">
        <v>39</v>
      </c>
      <c r="W4" s="29" t="s">
        <v>40</v>
      </c>
      <c r="X4" s="29" t="s">
        <v>41</v>
      </c>
      <c r="Y4" s="29" t="s">
        <v>42</v>
      </c>
      <c r="Z4" s="29" t="s">
        <v>43</v>
      </c>
      <c r="AA4" s="29" t="s">
        <v>44</v>
      </c>
      <c r="AB4" s="29" t="s">
        <v>45</v>
      </c>
      <c r="AC4" s="29" t="s">
        <v>46</v>
      </c>
      <c r="AD4" s="29" t="s">
        <v>47</v>
      </c>
      <c r="AE4" s="29" t="s">
        <v>48</v>
      </c>
      <c r="AF4" s="29" t="s">
        <v>49</v>
      </c>
    </row>
    <row r="5" spans="1:39" s="8" customFormat="1" ht="40.5" customHeight="1" thickBot="1" x14ac:dyDescent="0.3">
      <c r="A5" s="89" t="s">
        <v>22</v>
      </c>
      <c r="B5" s="27" t="s">
        <v>50</v>
      </c>
      <c r="C5" s="91" t="s">
        <v>51</v>
      </c>
      <c r="D5" s="31">
        <v>186372</v>
      </c>
      <c r="E5" s="31">
        <v>186642</v>
      </c>
      <c r="F5" s="31">
        <v>186937</v>
      </c>
      <c r="G5" s="31">
        <v>187249</v>
      </c>
      <c r="H5" s="31">
        <v>187538</v>
      </c>
      <c r="I5" s="31">
        <v>187827</v>
      </c>
      <c r="J5" s="31">
        <v>188114</v>
      </c>
      <c r="K5" s="31">
        <v>188398</v>
      </c>
      <c r="L5" s="31">
        <v>188676</v>
      </c>
      <c r="M5" s="31">
        <v>188950</v>
      </c>
      <c r="N5" s="31">
        <v>189177</v>
      </c>
      <c r="O5" s="31">
        <v>189459</v>
      </c>
      <c r="P5" s="31">
        <v>189720</v>
      </c>
      <c r="Q5" s="31">
        <v>190014</v>
      </c>
      <c r="R5" s="31">
        <v>190256</v>
      </c>
      <c r="S5" s="31">
        <v>190553</v>
      </c>
      <c r="T5" s="31">
        <v>190809</v>
      </c>
      <c r="U5" s="31">
        <v>191015</v>
      </c>
      <c r="V5" s="31">
        <v>191253</v>
      </c>
      <c r="W5" s="31">
        <v>191522</v>
      </c>
      <c r="X5" s="31">
        <v>191762</v>
      </c>
      <c r="Y5" s="31">
        <v>191994</v>
      </c>
      <c r="Z5" s="31">
        <v>192212</v>
      </c>
      <c r="AA5" s="31">
        <v>192442</v>
      </c>
      <c r="AB5" s="31">
        <v>192726</v>
      </c>
      <c r="AC5" s="31">
        <v>192937</v>
      </c>
      <c r="AD5" s="31">
        <v>193214</v>
      </c>
      <c r="AE5" s="31">
        <v>193451</v>
      </c>
      <c r="AF5" s="31">
        <v>193705</v>
      </c>
    </row>
    <row r="6" spans="1:39" s="34" customFormat="1" ht="25.7" customHeight="1" thickBot="1" x14ac:dyDescent="0.3">
      <c r="A6" s="90"/>
      <c r="B6" s="32"/>
      <c r="C6" s="91"/>
      <c r="D6" s="33"/>
      <c r="E6" s="33">
        <f>E5-D5</f>
        <v>270</v>
      </c>
      <c r="F6" s="33">
        <f t="shared" ref="F6:AF6" si="0">F5-E5</f>
        <v>295</v>
      </c>
      <c r="G6" s="33">
        <f t="shared" si="0"/>
        <v>312</v>
      </c>
      <c r="H6" s="33">
        <f t="shared" si="0"/>
        <v>289</v>
      </c>
      <c r="I6" s="33">
        <f t="shared" si="0"/>
        <v>289</v>
      </c>
      <c r="J6" s="33">
        <f t="shared" si="0"/>
        <v>287</v>
      </c>
      <c r="K6" s="33">
        <f t="shared" si="0"/>
        <v>284</v>
      </c>
      <c r="L6" s="33">
        <f t="shared" si="0"/>
        <v>278</v>
      </c>
      <c r="M6" s="33">
        <f t="shared" si="0"/>
        <v>274</v>
      </c>
      <c r="N6" s="33">
        <f t="shared" si="0"/>
        <v>227</v>
      </c>
      <c r="O6" s="33">
        <f t="shared" si="0"/>
        <v>282</v>
      </c>
      <c r="P6" s="33">
        <f t="shared" si="0"/>
        <v>261</v>
      </c>
      <c r="Q6" s="33">
        <f t="shared" si="0"/>
        <v>294</v>
      </c>
      <c r="R6" s="33">
        <f t="shared" si="0"/>
        <v>242</v>
      </c>
      <c r="S6" s="33">
        <f t="shared" si="0"/>
        <v>297</v>
      </c>
      <c r="T6" s="33">
        <f t="shared" si="0"/>
        <v>256</v>
      </c>
      <c r="U6" s="33">
        <f>U5-T5</f>
        <v>206</v>
      </c>
      <c r="V6" s="33">
        <f t="shared" si="0"/>
        <v>238</v>
      </c>
      <c r="W6" s="33">
        <f t="shared" si="0"/>
        <v>269</v>
      </c>
      <c r="X6" s="33">
        <f t="shared" si="0"/>
        <v>240</v>
      </c>
      <c r="Y6" s="33">
        <f t="shared" si="0"/>
        <v>232</v>
      </c>
      <c r="Z6" s="33">
        <f t="shared" si="0"/>
        <v>218</v>
      </c>
      <c r="AA6" s="33">
        <f t="shared" si="0"/>
        <v>230</v>
      </c>
      <c r="AB6" s="33">
        <f t="shared" si="0"/>
        <v>284</v>
      </c>
      <c r="AC6" s="33">
        <f t="shared" si="0"/>
        <v>211</v>
      </c>
      <c r="AD6" s="33">
        <f t="shared" si="0"/>
        <v>277</v>
      </c>
      <c r="AE6" s="33">
        <f t="shared" si="0"/>
        <v>237</v>
      </c>
      <c r="AF6" s="33">
        <f t="shared" si="0"/>
        <v>254</v>
      </c>
      <c r="AG6" s="8"/>
      <c r="AH6" s="8"/>
      <c r="AI6" s="8"/>
      <c r="AJ6" s="8"/>
      <c r="AK6" s="8"/>
      <c r="AL6" s="8"/>
      <c r="AM6" s="8"/>
    </row>
    <row r="7" spans="1:39" s="8" customFormat="1" ht="39.75" customHeight="1" thickBot="1" x14ac:dyDescent="0.3">
      <c r="A7" s="89" t="s">
        <v>24</v>
      </c>
      <c r="B7" s="49" t="s">
        <v>71</v>
      </c>
      <c r="C7" s="91" t="s">
        <v>72</v>
      </c>
      <c r="D7" s="31">
        <v>409608.6</v>
      </c>
      <c r="E7" s="31">
        <v>409620.3</v>
      </c>
      <c r="F7" s="31">
        <v>409633.4</v>
      </c>
      <c r="G7" s="31">
        <v>409649.2</v>
      </c>
      <c r="H7" s="31">
        <v>409665.1</v>
      </c>
      <c r="I7" s="31">
        <v>409682.1</v>
      </c>
      <c r="J7" s="31">
        <v>409699.4</v>
      </c>
      <c r="K7" s="31">
        <v>409719.3</v>
      </c>
      <c r="L7" s="31">
        <v>409733.2</v>
      </c>
      <c r="M7" s="31">
        <v>409749.6</v>
      </c>
      <c r="N7" s="31">
        <v>409762.7</v>
      </c>
      <c r="O7" s="31">
        <v>409778.5</v>
      </c>
      <c r="P7" s="31">
        <v>409796.2</v>
      </c>
      <c r="Q7" s="31">
        <v>409815.2</v>
      </c>
      <c r="R7" s="31">
        <v>409837.8</v>
      </c>
      <c r="S7" s="31">
        <v>409852.4</v>
      </c>
      <c r="T7" s="31">
        <v>409869.4</v>
      </c>
      <c r="U7" s="31">
        <v>409882.2</v>
      </c>
      <c r="V7" s="31">
        <v>409898.5</v>
      </c>
      <c r="W7" s="31">
        <v>409916.2</v>
      </c>
      <c r="X7" s="31">
        <v>409932.9</v>
      </c>
      <c r="Y7" s="31">
        <v>409951.2</v>
      </c>
      <c r="Z7" s="31">
        <v>409963.9</v>
      </c>
      <c r="AA7" s="31">
        <v>409982.2</v>
      </c>
      <c r="AB7" s="31">
        <v>409997.5</v>
      </c>
      <c r="AC7" s="31">
        <v>410015.9</v>
      </c>
      <c r="AD7" s="31">
        <v>410033.5</v>
      </c>
      <c r="AE7" s="31">
        <v>410050.1</v>
      </c>
      <c r="AF7" s="31">
        <v>410068.2</v>
      </c>
    </row>
    <row r="8" spans="1:39" s="34" customFormat="1" ht="25.7" customHeight="1" thickBot="1" x14ac:dyDescent="0.3">
      <c r="A8" s="90"/>
      <c r="B8" s="47"/>
      <c r="C8" s="91"/>
      <c r="D8" s="33"/>
      <c r="E8" s="33">
        <f>E7-D7</f>
        <v>11.700000000011642</v>
      </c>
      <c r="F8" s="33">
        <f t="shared" ref="F8:AF8" si="1">F7-E7</f>
        <v>13.100000000034925</v>
      </c>
      <c r="G8" s="33">
        <f t="shared" si="1"/>
        <v>15.799999999988358</v>
      </c>
      <c r="H8" s="33">
        <f t="shared" si="1"/>
        <v>15.899999999965075</v>
      </c>
      <c r="I8" s="33">
        <f t="shared" si="1"/>
        <v>17</v>
      </c>
      <c r="J8" s="33">
        <f t="shared" si="1"/>
        <v>17.300000000046566</v>
      </c>
      <c r="K8" s="33">
        <f t="shared" si="1"/>
        <v>19.899999999965075</v>
      </c>
      <c r="L8" s="33">
        <f t="shared" si="1"/>
        <v>13.900000000023283</v>
      </c>
      <c r="M8" s="33">
        <f t="shared" si="1"/>
        <v>16.399999999965075</v>
      </c>
      <c r="N8" s="33">
        <f t="shared" si="1"/>
        <v>13.100000000034925</v>
      </c>
      <c r="O8" s="33">
        <f t="shared" si="1"/>
        <v>15.799999999988358</v>
      </c>
      <c r="P8" s="33">
        <f t="shared" si="1"/>
        <v>17.700000000011642</v>
      </c>
      <c r="Q8" s="33">
        <f t="shared" si="1"/>
        <v>19</v>
      </c>
      <c r="R8" s="33">
        <f t="shared" si="1"/>
        <v>22.599999999976717</v>
      </c>
      <c r="S8" s="33">
        <f t="shared" si="1"/>
        <v>14.600000000034925</v>
      </c>
      <c r="T8" s="33">
        <f t="shared" si="1"/>
        <v>17</v>
      </c>
      <c r="U8" s="33">
        <f t="shared" si="1"/>
        <v>12.799999999988358</v>
      </c>
      <c r="V8" s="33">
        <f t="shared" si="1"/>
        <v>16.299999999988358</v>
      </c>
      <c r="W8" s="33">
        <f t="shared" si="1"/>
        <v>17.700000000011642</v>
      </c>
      <c r="X8" s="33">
        <f t="shared" si="1"/>
        <v>16.700000000011642</v>
      </c>
      <c r="Y8" s="33">
        <f>Y7-X7</f>
        <v>18.299999999988358</v>
      </c>
      <c r="Z8" s="33">
        <f t="shared" si="1"/>
        <v>12.700000000011642</v>
      </c>
      <c r="AA8" s="33">
        <f t="shared" si="1"/>
        <v>18.299999999988358</v>
      </c>
      <c r="AB8" s="33">
        <f t="shared" si="1"/>
        <v>15.299999999988358</v>
      </c>
      <c r="AC8" s="33">
        <f t="shared" si="1"/>
        <v>18.400000000023283</v>
      </c>
      <c r="AD8" s="33">
        <f t="shared" si="1"/>
        <v>17.599999999976717</v>
      </c>
      <c r="AE8" s="33">
        <f t="shared" si="1"/>
        <v>16.599999999976717</v>
      </c>
      <c r="AF8" s="33">
        <f t="shared" si="1"/>
        <v>18.100000000034925</v>
      </c>
      <c r="AG8" s="8"/>
      <c r="AH8" s="8"/>
      <c r="AI8" s="8"/>
      <c r="AJ8" s="8"/>
      <c r="AK8" s="8"/>
      <c r="AL8" s="8"/>
      <c r="AM8" s="8"/>
    </row>
    <row r="9" spans="1:39" s="8" customFormat="1" ht="25.7" customHeight="1" thickBot="1" x14ac:dyDescent="0.3">
      <c r="A9" s="89">
        <v>4</v>
      </c>
      <c r="B9" s="46" t="s">
        <v>69</v>
      </c>
      <c r="C9" s="91" t="s">
        <v>70</v>
      </c>
      <c r="D9" s="31">
        <v>31050</v>
      </c>
      <c r="E9" s="31">
        <v>31103</v>
      </c>
      <c r="F9" s="31">
        <v>31165</v>
      </c>
      <c r="G9" s="31">
        <v>31246</v>
      </c>
      <c r="H9" s="31">
        <v>31327</v>
      </c>
      <c r="I9" s="31">
        <v>31389</v>
      </c>
      <c r="J9" s="31">
        <v>31440</v>
      </c>
      <c r="K9" s="31">
        <v>31550</v>
      </c>
      <c r="L9" s="31">
        <v>31567</v>
      </c>
      <c r="M9" s="31">
        <v>31640</v>
      </c>
      <c r="N9" s="31">
        <v>31661</v>
      </c>
      <c r="O9" s="31">
        <v>31715</v>
      </c>
      <c r="P9" s="31">
        <v>31778</v>
      </c>
      <c r="Q9" s="31">
        <v>31865</v>
      </c>
      <c r="R9" s="31">
        <v>31966</v>
      </c>
      <c r="S9" s="31">
        <v>31966</v>
      </c>
      <c r="T9" s="31">
        <v>32033</v>
      </c>
      <c r="U9" s="31">
        <v>32033</v>
      </c>
      <c r="V9" s="31">
        <v>32081</v>
      </c>
      <c r="W9" s="31">
        <v>32163</v>
      </c>
      <c r="X9" s="31">
        <v>32225</v>
      </c>
      <c r="Y9" s="31">
        <v>32291</v>
      </c>
      <c r="Z9" s="31">
        <v>32291</v>
      </c>
      <c r="AA9" s="31">
        <v>32370</v>
      </c>
      <c r="AB9" s="31">
        <v>32381</v>
      </c>
      <c r="AC9" s="31">
        <v>32461</v>
      </c>
      <c r="AD9" s="31">
        <v>32541</v>
      </c>
      <c r="AE9" s="31">
        <v>32616</v>
      </c>
      <c r="AF9" s="31">
        <v>32702</v>
      </c>
    </row>
    <row r="10" spans="1:39" s="34" customFormat="1" ht="25.7" customHeight="1" thickBot="1" x14ac:dyDescent="0.3">
      <c r="A10" s="90"/>
      <c r="B10" s="47"/>
      <c r="C10" s="91"/>
      <c r="D10" s="33"/>
      <c r="E10" s="33">
        <f t="shared" ref="E10:AF10" si="2">E9-D9</f>
        <v>53</v>
      </c>
      <c r="F10" s="33">
        <f t="shared" si="2"/>
        <v>62</v>
      </c>
      <c r="G10" s="33">
        <f t="shared" si="2"/>
        <v>81</v>
      </c>
      <c r="H10" s="33">
        <f t="shared" si="2"/>
        <v>81</v>
      </c>
      <c r="I10" s="33">
        <f t="shared" si="2"/>
        <v>62</v>
      </c>
      <c r="J10" s="33">
        <f t="shared" si="2"/>
        <v>51</v>
      </c>
      <c r="K10" s="33">
        <f t="shared" si="2"/>
        <v>110</v>
      </c>
      <c r="L10" s="33">
        <f t="shared" si="2"/>
        <v>17</v>
      </c>
      <c r="M10" s="33">
        <f t="shared" si="2"/>
        <v>73</v>
      </c>
      <c r="N10" s="33">
        <f t="shared" si="2"/>
        <v>21</v>
      </c>
      <c r="O10" s="33">
        <f t="shared" si="2"/>
        <v>54</v>
      </c>
      <c r="P10" s="33">
        <f t="shared" si="2"/>
        <v>63</v>
      </c>
      <c r="Q10" s="33">
        <f t="shared" si="2"/>
        <v>87</v>
      </c>
      <c r="R10" s="33">
        <f t="shared" si="2"/>
        <v>101</v>
      </c>
      <c r="S10" s="33">
        <f t="shared" si="2"/>
        <v>0</v>
      </c>
      <c r="T10" s="33">
        <f t="shared" si="2"/>
        <v>67</v>
      </c>
      <c r="U10" s="33">
        <f t="shared" si="2"/>
        <v>0</v>
      </c>
      <c r="V10" s="33">
        <f t="shared" si="2"/>
        <v>48</v>
      </c>
      <c r="W10" s="33">
        <f t="shared" si="2"/>
        <v>82</v>
      </c>
      <c r="X10" s="33">
        <f t="shared" si="2"/>
        <v>62</v>
      </c>
      <c r="Y10" s="33">
        <f t="shared" si="2"/>
        <v>66</v>
      </c>
      <c r="Z10" s="33">
        <f t="shared" si="2"/>
        <v>0</v>
      </c>
      <c r="AA10" s="33">
        <f t="shared" si="2"/>
        <v>79</v>
      </c>
      <c r="AB10" s="33">
        <f t="shared" si="2"/>
        <v>11</v>
      </c>
      <c r="AC10" s="33">
        <f t="shared" si="2"/>
        <v>80</v>
      </c>
      <c r="AD10" s="33">
        <f t="shared" si="2"/>
        <v>80</v>
      </c>
      <c r="AE10" s="33">
        <f t="shared" si="2"/>
        <v>75</v>
      </c>
      <c r="AF10" s="33">
        <f t="shared" si="2"/>
        <v>86</v>
      </c>
      <c r="AG10" s="8"/>
      <c r="AH10" s="8"/>
      <c r="AI10" s="8"/>
      <c r="AJ10" s="8"/>
      <c r="AK10" s="8"/>
      <c r="AL10" s="8"/>
      <c r="AM10" s="8"/>
    </row>
    <row r="11" spans="1:39" s="8" customFormat="1" ht="25.7" customHeight="1" thickBot="1" x14ac:dyDescent="0.3">
      <c r="A11" s="92">
        <v>5</v>
      </c>
      <c r="B11" s="27">
        <v>68864837</v>
      </c>
      <c r="C11" s="91" t="s">
        <v>76</v>
      </c>
      <c r="D11" s="31">
        <v>2457.694</v>
      </c>
      <c r="E11" s="31">
        <v>2459.1080000000002</v>
      </c>
      <c r="F11" s="31">
        <v>2460.2640000000001</v>
      </c>
      <c r="G11" s="31">
        <v>2461.38</v>
      </c>
      <c r="H11" s="31">
        <v>2462</v>
      </c>
      <c r="I11" s="31">
        <v>2464.5630000000001</v>
      </c>
      <c r="J11" s="31">
        <v>2465.7089999999998</v>
      </c>
      <c r="K11" s="31">
        <v>2468.4340000000002</v>
      </c>
      <c r="L11" s="31">
        <v>2470.067</v>
      </c>
      <c r="M11" s="31">
        <v>2471.6</v>
      </c>
      <c r="N11" s="31">
        <v>2472.931</v>
      </c>
      <c r="O11" s="31">
        <v>2473.9</v>
      </c>
      <c r="P11" s="31">
        <v>2474.8000000000002</v>
      </c>
      <c r="Q11" s="31">
        <v>2476.52</v>
      </c>
      <c r="R11" s="31">
        <v>2477.663</v>
      </c>
      <c r="S11" s="31">
        <v>2478.5529999999999</v>
      </c>
      <c r="T11" s="31">
        <v>2479.12</v>
      </c>
      <c r="U11" s="31">
        <v>2482.248</v>
      </c>
      <c r="V11" s="31">
        <v>2483.69</v>
      </c>
      <c r="W11" s="31">
        <v>2485.127</v>
      </c>
      <c r="X11" s="31">
        <v>2486.3449999999998</v>
      </c>
      <c r="Y11" s="31">
        <v>2486.9</v>
      </c>
      <c r="Z11" s="31">
        <v>2489.9450000000002</v>
      </c>
      <c r="AA11" s="31">
        <v>2491.5300000000002</v>
      </c>
      <c r="AB11" s="31">
        <v>2493.5120000000002</v>
      </c>
      <c r="AC11" s="31">
        <v>2493.9839999999999</v>
      </c>
      <c r="AD11" s="31">
        <v>2497.2849999999999</v>
      </c>
      <c r="AE11" s="31">
        <v>2499.6289999999999</v>
      </c>
      <c r="AF11" s="31">
        <v>2500.9499999999998</v>
      </c>
    </row>
    <row r="12" spans="1:39" s="8" customFormat="1" ht="25.7" customHeight="1" thickBot="1" x14ac:dyDescent="0.3">
      <c r="A12" s="93"/>
      <c r="B12" s="48"/>
      <c r="C12" s="91"/>
      <c r="D12" s="33"/>
      <c r="E12" s="33">
        <f>E11-D11</f>
        <v>1.4140000000002146</v>
      </c>
      <c r="F12" s="33">
        <f t="shared" ref="F12:AF12" si="3">F11-E11</f>
        <v>1.1559999999999491</v>
      </c>
      <c r="G12" s="33">
        <f t="shared" si="3"/>
        <v>1.1159999999999854</v>
      </c>
      <c r="H12" s="33">
        <f t="shared" si="3"/>
        <v>0.61999999999989086</v>
      </c>
      <c r="I12" s="33">
        <f t="shared" si="3"/>
        <v>2.5630000000001019</v>
      </c>
      <c r="J12" s="33">
        <f t="shared" si="3"/>
        <v>1.1459999999997308</v>
      </c>
      <c r="K12" s="33">
        <f t="shared" si="3"/>
        <v>2.7250000000003638</v>
      </c>
      <c r="L12" s="33">
        <f t="shared" si="3"/>
        <v>1.6329999999998108</v>
      </c>
      <c r="M12" s="33">
        <f t="shared" si="3"/>
        <v>1.5329999999999018</v>
      </c>
      <c r="N12" s="33">
        <f t="shared" si="3"/>
        <v>1.331000000000131</v>
      </c>
      <c r="O12" s="33">
        <f t="shared" si="3"/>
        <v>0.96900000000005093</v>
      </c>
      <c r="P12" s="33">
        <f t="shared" si="3"/>
        <v>0.90000000000009095</v>
      </c>
      <c r="Q12" s="33">
        <f t="shared" si="3"/>
        <v>1.7199999999997999</v>
      </c>
      <c r="R12" s="33">
        <f t="shared" si="3"/>
        <v>1.1430000000000291</v>
      </c>
      <c r="S12" s="33">
        <f t="shared" si="3"/>
        <v>0.88999999999987267</v>
      </c>
      <c r="T12" s="33">
        <f t="shared" si="3"/>
        <v>0.56700000000000728</v>
      </c>
      <c r="U12" s="33">
        <f t="shared" si="3"/>
        <v>3.1280000000001564</v>
      </c>
      <c r="V12" s="33">
        <f t="shared" si="3"/>
        <v>1.4420000000000073</v>
      </c>
      <c r="W12" s="33">
        <f t="shared" si="3"/>
        <v>1.4369999999998981</v>
      </c>
      <c r="X12" s="33">
        <f t="shared" si="3"/>
        <v>1.2179999999998472</v>
      </c>
      <c r="Y12" s="33">
        <f t="shared" si="3"/>
        <v>0.55500000000029104</v>
      </c>
      <c r="Z12" s="33">
        <f t="shared" si="3"/>
        <v>3.0450000000000728</v>
      </c>
      <c r="AA12" s="33">
        <f t="shared" si="3"/>
        <v>1.5850000000000364</v>
      </c>
      <c r="AB12" s="33">
        <f t="shared" si="3"/>
        <v>1.9819999999999709</v>
      </c>
      <c r="AC12" s="33">
        <f t="shared" si="3"/>
        <v>0.47199999999975262</v>
      </c>
      <c r="AD12" s="33">
        <f t="shared" si="3"/>
        <v>3.3009999999999309</v>
      </c>
      <c r="AE12" s="33">
        <f t="shared" si="3"/>
        <v>2.3440000000000509</v>
      </c>
      <c r="AF12" s="33">
        <f t="shared" si="3"/>
        <v>1.3209999999999127</v>
      </c>
    </row>
    <row r="13" spans="1:39" s="8" customFormat="1" ht="25.7" customHeight="1" thickBot="1" x14ac:dyDescent="0.3">
      <c r="A13" s="92">
        <v>6</v>
      </c>
      <c r="B13" s="27">
        <v>65296485</v>
      </c>
      <c r="C13" s="91" t="s">
        <v>75</v>
      </c>
      <c r="D13" s="31">
        <v>3094.069</v>
      </c>
      <c r="E13" s="31">
        <v>3102.19</v>
      </c>
      <c r="F13" s="31">
        <v>3103.5360000000001</v>
      </c>
      <c r="G13" s="31">
        <v>3109.95</v>
      </c>
      <c r="H13" s="31">
        <v>3112.51</v>
      </c>
      <c r="I13" s="31">
        <v>3113.5189999999998</v>
      </c>
      <c r="J13" s="31">
        <v>3114.319</v>
      </c>
      <c r="K13" s="31">
        <v>3115.9560000000001</v>
      </c>
      <c r="L13" s="31">
        <v>3117.5320000000002</v>
      </c>
      <c r="M13" s="31">
        <v>3118.32</v>
      </c>
      <c r="N13" s="31">
        <v>3120.3139999999999</v>
      </c>
      <c r="O13" s="31">
        <v>3121.5</v>
      </c>
      <c r="P13" s="31">
        <v>3122.7130000000002</v>
      </c>
      <c r="Q13" s="31">
        <v>3127.8530000000001</v>
      </c>
      <c r="R13" s="31">
        <v>3128.5039999999999</v>
      </c>
      <c r="S13" s="31">
        <v>3129.1</v>
      </c>
      <c r="T13" s="31">
        <v>3129.83</v>
      </c>
      <c r="U13" s="31">
        <v>3133.549</v>
      </c>
      <c r="V13" s="31">
        <v>3134.951</v>
      </c>
      <c r="W13" s="31">
        <v>3135.6379999999999</v>
      </c>
      <c r="X13" s="31">
        <v>3137.7719999999999</v>
      </c>
      <c r="Y13" s="31">
        <v>3138.5</v>
      </c>
      <c r="Z13" s="31">
        <v>3140.279</v>
      </c>
      <c r="AA13" s="31">
        <v>3140.9949999999999</v>
      </c>
      <c r="AB13" s="31">
        <v>3143.9850000000001</v>
      </c>
      <c r="AC13" s="31">
        <v>3145.61</v>
      </c>
      <c r="AD13" s="31">
        <v>3146.5070000000001</v>
      </c>
      <c r="AE13" s="31">
        <v>3147.6170000000002</v>
      </c>
      <c r="AF13" s="31">
        <v>3148.6860000000001</v>
      </c>
    </row>
    <row r="14" spans="1:39" s="8" customFormat="1" ht="25.7" customHeight="1" thickBot="1" x14ac:dyDescent="0.3">
      <c r="A14" s="93"/>
      <c r="B14" s="48"/>
      <c r="C14" s="91"/>
      <c r="D14" s="33"/>
      <c r="E14" s="33">
        <f>E13-D13</f>
        <v>8.1210000000000946</v>
      </c>
      <c r="F14" s="33">
        <f t="shared" ref="F14:AF14" si="4">F13-E13</f>
        <v>1.3460000000000036</v>
      </c>
      <c r="G14" s="33">
        <f t="shared" si="4"/>
        <v>6.4139999999997599</v>
      </c>
      <c r="H14" s="33">
        <f t="shared" si="4"/>
        <v>2.5600000000004002</v>
      </c>
      <c r="I14" s="33">
        <f t="shared" si="4"/>
        <v>1.0089999999995598</v>
      </c>
      <c r="J14" s="33">
        <f t="shared" si="4"/>
        <v>0.8000000000001819</v>
      </c>
      <c r="K14" s="33">
        <f t="shared" si="4"/>
        <v>1.637000000000171</v>
      </c>
      <c r="L14" s="33">
        <f t="shared" si="4"/>
        <v>1.5760000000000218</v>
      </c>
      <c r="M14" s="33">
        <f t="shared" si="4"/>
        <v>0.78800000000001091</v>
      </c>
      <c r="N14" s="33">
        <f t="shared" si="4"/>
        <v>1.9939999999996871</v>
      </c>
      <c r="O14" s="33">
        <f t="shared" si="4"/>
        <v>1.1860000000001492</v>
      </c>
      <c r="P14" s="33">
        <f t="shared" si="4"/>
        <v>1.2130000000001928</v>
      </c>
      <c r="Q14" s="33">
        <f t="shared" si="4"/>
        <v>5.1399999999998727</v>
      </c>
      <c r="R14" s="33">
        <f t="shared" si="4"/>
        <v>0.65099999999983993</v>
      </c>
      <c r="S14" s="33">
        <f t="shared" si="4"/>
        <v>0.59600000000000364</v>
      </c>
      <c r="T14" s="33">
        <f t="shared" si="4"/>
        <v>0.73000000000001819</v>
      </c>
      <c r="U14" s="33">
        <f t="shared" si="4"/>
        <v>3.7190000000000509</v>
      </c>
      <c r="V14" s="33">
        <f t="shared" si="4"/>
        <v>1.4020000000000437</v>
      </c>
      <c r="W14" s="33">
        <f t="shared" si="4"/>
        <v>0.68699999999989814</v>
      </c>
      <c r="X14" s="33">
        <f t="shared" si="4"/>
        <v>2.1340000000000146</v>
      </c>
      <c r="Y14" s="33">
        <f t="shared" si="4"/>
        <v>0.72800000000006548</v>
      </c>
      <c r="Z14" s="33">
        <f t="shared" si="4"/>
        <v>1.7789999999999964</v>
      </c>
      <c r="AA14" s="33">
        <f t="shared" si="4"/>
        <v>0.7159999999998945</v>
      </c>
      <c r="AB14" s="33">
        <f t="shared" si="4"/>
        <v>2.9900000000002365</v>
      </c>
      <c r="AC14" s="33">
        <f t="shared" si="4"/>
        <v>1.625</v>
      </c>
      <c r="AD14" s="33">
        <f t="shared" si="4"/>
        <v>0.89699999999993452</v>
      </c>
      <c r="AE14" s="33">
        <f t="shared" si="4"/>
        <v>1.1100000000001273</v>
      </c>
      <c r="AF14" s="33">
        <f t="shared" si="4"/>
        <v>1.06899999999996</v>
      </c>
      <c r="AG14" s="2"/>
      <c r="AH14" s="2"/>
      <c r="AI14" s="2"/>
      <c r="AJ14" s="2"/>
      <c r="AK14" s="2"/>
      <c r="AL14" s="2"/>
      <c r="AM14" s="2"/>
    </row>
    <row r="15" spans="1:39" ht="33" customHeight="1" x14ac:dyDescent="0.25">
      <c r="B15" s="85" t="s">
        <v>73</v>
      </c>
      <c r="C15" s="85"/>
      <c r="D15" s="50"/>
      <c r="E15" s="50">
        <f>E6+((E8*45%)+(E10*45%)+(E12+E14))</f>
        <v>308.65000000000555</v>
      </c>
      <c r="F15" s="50">
        <f t="shared" ref="F15:AF15" si="5">F6+((F8*45%)+(F10*45%)+(F12+F14))</f>
        <v>331.29700000001566</v>
      </c>
      <c r="G15" s="50">
        <f t="shared" si="5"/>
        <v>363.08999999999452</v>
      </c>
      <c r="H15" s="50">
        <f t="shared" si="5"/>
        <v>335.78499999998456</v>
      </c>
      <c r="I15" s="50">
        <f t="shared" si="5"/>
        <v>328.12199999999967</v>
      </c>
      <c r="J15" s="50">
        <f t="shared" si="5"/>
        <v>319.68100000002084</v>
      </c>
      <c r="K15" s="50">
        <f t="shared" si="5"/>
        <v>346.81699999998483</v>
      </c>
      <c r="L15" s="50">
        <f t="shared" si="5"/>
        <v>295.11400000001032</v>
      </c>
      <c r="M15" s="50">
        <f t="shared" si="5"/>
        <v>316.55099999998419</v>
      </c>
      <c r="N15" s="50">
        <f t="shared" si="5"/>
        <v>245.67000000001553</v>
      </c>
      <c r="O15" s="50">
        <f t="shared" si="5"/>
        <v>315.56499999999494</v>
      </c>
      <c r="P15" s="50">
        <f t="shared" si="5"/>
        <v>299.42800000000551</v>
      </c>
      <c r="Q15" s="50">
        <f t="shared" si="5"/>
        <v>348.55999999999966</v>
      </c>
      <c r="R15" s="50">
        <f t="shared" si="5"/>
        <v>299.41399999998941</v>
      </c>
      <c r="S15" s="50">
        <f t="shared" si="5"/>
        <v>305.05600000001562</v>
      </c>
      <c r="T15" s="50">
        <f t="shared" si="5"/>
        <v>295.09700000000004</v>
      </c>
      <c r="U15" s="50">
        <f t="shared" si="5"/>
        <v>218.60699999999497</v>
      </c>
      <c r="V15" s="50">
        <f t="shared" si="5"/>
        <v>269.77899999999482</v>
      </c>
      <c r="W15" s="50">
        <f t="shared" si="5"/>
        <v>315.98900000000503</v>
      </c>
      <c r="X15" s="50">
        <f t="shared" si="5"/>
        <v>278.76700000000511</v>
      </c>
      <c r="Y15" s="50">
        <f t="shared" si="5"/>
        <v>271.21799999999513</v>
      </c>
      <c r="Z15" s="50">
        <f t="shared" si="5"/>
        <v>228.5390000000053</v>
      </c>
      <c r="AA15" s="50">
        <f t="shared" si="5"/>
        <v>276.08599999999467</v>
      </c>
      <c r="AB15" s="50">
        <f t="shared" si="5"/>
        <v>300.80699999999496</v>
      </c>
      <c r="AC15" s="50">
        <f t="shared" si="5"/>
        <v>257.37700000001024</v>
      </c>
      <c r="AD15" s="50">
        <f t="shared" si="5"/>
        <v>325.11799999998937</v>
      </c>
      <c r="AE15" s="50">
        <f t="shared" si="5"/>
        <v>281.67399999998969</v>
      </c>
      <c r="AF15" s="50">
        <f t="shared" si="5"/>
        <v>303.23500000001559</v>
      </c>
    </row>
    <row r="16" spans="1:39" ht="33" customHeight="1" x14ac:dyDescent="0.25">
      <c r="B16" s="84" t="s">
        <v>74</v>
      </c>
      <c r="C16" s="84"/>
      <c r="D16" s="50"/>
      <c r="E16" s="50">
        <f>SUM(E15:AF15)</f>
        <v>8381.0930000000189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F2"/>
    <mergeCell ref="B3:AF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R39"/>
  <sheetViews>
    <sheetView zoomScaleNormal="100" workbookViewId="0">
      <pane ySplit="5" topLeftCell="A6" activePane="bottomLeft" state="frozen"/>
      <selection pane="bottomLeft" activeCell="G39" sqref="G39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  <col min="4" max="13" width="10.7109375" customWidth="1"/>
    <col min="14" max="14" width="13.85546875" customWidth="1"/>
  </cols>
  <sheetData>
    <row r="1" spans="1:18" ht="50.25" customHeight="1" x14ac:dyDescent="0.25">
      <c r="A1" s="96" t="s">
        <v>77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3" spans="1:18" ht="30" x14ac:dyDescent="0.25">
      <c r="A3" s="51" t="s">
        <v>13</v>
      </c>
      <c r="B3" s="97" t="s">
        <v>78</v>
      </c>
      <c r="C3" s="97"/>
      <c r="D3" s="97" t="s">
        <v>79</v>
      </c>
      <c r="E3" s="97"/>
      <c r="F3" s="97" t="s">
        <v>80</v>
      </c>
      <c r="G3" s="97"/>
      <c r="H3" s="97" t="s">
        <v>81</v>
      </c>
      <c r="I3" s="97"/>
      <c r="J3" s="97" t="s">
        <v>82</v>
      </c>
      <c r="K3" s="97"/>
      <c r="L3" s="97" t="s">
        <v>83</v>
      </c>
      <c r="M3" s="97"/>
    </row>
    <row r="4" spans="1:18" ht="45" x14ac:dyDescent="0.25">
      <c r="A4" s="51" t="s">
        <v>84</v>
      </c>
      <c r="B4" s="94">
        <v>483</v>
      </c>
      <c r="C4" s="95"/>
      <c r="D4" s="94">
        <v>30</v>
      </c>
      <c r="E4" s="95"/>
      <c r="F4" s="94">
        <v>30</v>
      </c>
      <c r="G4" s="95"/>
      <c r="H4" s="94">
        <v>30</v>
      </c>
      <c r="I4" s="95"/>
      <c r="J4" s="94">
        <v>50</v>
      </c>
      <c r="K4" s="95"/>
      <c r="L4" s="94">
        <v>30</v>
      </c>
      <c r="M4" s="95"/>
    </row>
    <row r="5" spans="1:18" ht="48" x14ac:dyDescent="0.25">
      <c r="A5" s="52" t="s">
        <v>21</v>
      </c>
      <c r="B5" s="53">
        <v>185260</v>
      </c>
      <c r="C5" s="54"/>
      <c r="D5" s="53">
        <v>72283.55</v>
      </c>
      <c r="E5" s="54"/>
      <c r="F5" s="53">
        <v>8196.7999999999993</v>
      </c>
      <c r="G5" s="54"/>
      <c r="H5" s="53">
        <v>2354.89</v>
      </c>
      <c r="I5" s="54"/>
      <c r="J5" s="53">
        <v>194211.9</v>
      </c>
      <c r="K5" s="54"/>
      <c r="L5" s="53">
        <v>15560.48</v>
      </c>
      <c r="M5" s="54"/>
      <c r="N5" s="61" t="s">
        <v>90</v>
      </c>
    </row>
    <row r="6" spans="1:18" ht="28.5" customHeight="1" x14ac:dyDescent="0.25">
      <c r="A6" s="55">
        <v>1</v>
      </c>
      <c r="B6" s="53">
        <v>186290</v>
      </c>
      <c r="C6" s="54">
        <f t="shared" ref="C6:C33" si="0">(B6-B5)*3.7</f>
        <v>3811</v>
      </c>
      <c r="D6" s="53">
        <v>72297.33</v>
      </c>
      <c r="E6" s="54">
        <f t="shared" ref="E6:E33" si="1">(D6-D5)*3.7</f>
        <v>50.985999999995698</v>
      </c>
      <c r="F6" s="53">
        <v>8198.2199999999993</v>
      </c>
      <c r="G6" s="54">
        <f t="shared" ref="G6:G33" si="2">(F6-F5)*3.7</f>
        <v>5.2540000000002696</v>
      </c>
      <c r="H6" s="53">
        <v>2354.9499999999998</v>
      </c>
      <c r="I6" s="54">
        <f t="shared" ref="I6:I33" si="3">(H6-H5)*3.7</f>
        <v>0.22199999999979811</v>
      </c>
      <c r="J6" s="53">
        <v>194221.4</v>
      </c>
      <c r="K6" s="54">
        <f t="shared" ref="K6:K33" si="4">(J6-J5)*3.7</f>
        <v>35.15</v>
      </c>
      <c r="L6" s="53">
        <v>15564.97</v>
      </c>
      <c r="M6" s="54">
        <f t="shared" ref="M6:M33" si="5">(L6-L5)*3.7</f>
        <v>16.612999999999193</v>
      </c>
      <c r="N6" s="62">
        <f>SUM(C6,E6,G6,I6,K6,M6)</f>
        <v>3919.2249999999954</v>
      </c>
    </row>
    <row r="7" spans="1:18" ht="28.5" customHeight="1" x14ac:dyDescent="0.25">
      <c r="A7" s="55">
        <v>2</v>
      </c>
      <c r="B7" s="53">
        <v>187353</v>
      </c>
      <c r="C7" s="54">
        <f t="shared" si="0"/>
        <v>3933.1000000000004</v>
      </c>
      <c r="D7" s="53">
        <v>72312.63</v>
      </c>
      <c r="E7" s="54">
        <f t="shared" si="1"/>
        <v>56.610000000010771</v>
      </c>
      <c r="F7" s="53">
        <v>8199.9</v>
      </c>
      <c r="G7" s="54">
        <f t="shared" si="2"/>
        <v>6.2160000000010776</v>
      </c>
      <c r="H7" s="53">
        <v>2355.08</v>
      </c>
      <c r="I7" s="54">
        <f t="shared" si="3"/>
        <v>0.48100000000040383</v>
      </c>
      <c r="J7" s="53">
        <v>194229.9</v>
      </c>
      <c r="K7" s="54">
        <f t="shared" si="4"/>
        <v>31.450000000000003</v>
      </c>
      <c r="L7" s="53">
        <v>15567.97</v>
      </c>
      <c r="M7" s="54">
        <f t="shared" si="5"/>
        <v>11.100000000000001</v>
      </c>
      <c r="N7" s="62">
        <f t="shared" ref="N7:N15" si="6">SUM(C7,E7,G7,I7,K7,M7)</f>
        <v>4038.9570000000122</v>
      </c>
    </row>
    <row r="8" spans="1:18" ht="28.5" customHeight="1" x14ac:dyDescent="0.25">
      <c r="A8" s="56">
        <v>3</v>
      </c>
      <c r="B8" s="53">
        <v>188487</v>
      </c>
      <c r="C8" s="54">
        <f t="shared" si="0"/>
        <v>4195.8</v>
      </c>
      <c r="D8" s="53">
        <v>72324.990000000005</v>
      </c>
      <c r="E8" s="54">
        <f t="shared" si="1"/>
        <v>45.732000000002159</v>
      </c>
      <c r="F8" s="53">
        <v>8201.34</v>
      </c>
      <c r="G8" s="54">
        <f t="shared" si="2"/>
        <v>5.328000000001885</v>
      </c>
      <c r="H8" s="53">
        <v>2355.15</v>
      </c>
      <c r="I8" s="54">
        <f t="shared" si="3"/>
        <v>0.25900000000060575</v>
      </c>
      <c r="J8" s="53">
        <v>194239.4</v>
      </c>
      <c r="K8" s="54">
        <f t="shared" si="4"/>
        <v>35.15</v>
      </c>
      <c r="L8" s="53">
        <v>15570.21</v>
      </c>
      <c r="M8" s="54">
        <f t="shared" si="5"/>
        <v>8.287999999999192</v>
      </c>
      <c r="N8" s="62">
        <f>SUM(C8,E8,G8,I8,K8,M8)</f>
        <v>4290.5570000000043</v>
      </c>
    </row>
    <row r="9" spans="1:18" ht="28.5" customHeight="1" x14ac:dyDescent="0.25">
      <c r="A9" s="55">
        <v>4</v>
      </c>
      <c r="B9" s="53">
        <v>189512</v>
      </c>
      <c r="C9" s="54">
        <f t="shared" si="0"/>
        <v>3792.5</v>
      </c>
      <c r="D9" s="53">
        <v>72340.33</v>
      </c>
      <c r="E9" s="54">
        <f t="shared" si="1"/>
        <v>56.757999999987078</v>
      </c>
      <c r="F9" s="53">
        <v>8202.2000000000007</v>
      </c>
      <c r="G9" s="54">
        <f t="shared" si="2"/>
        <v>3.1820000000021538</v>
      </c>
      <c r="H9" s="53">
        <v>2355.1799999999998</v>
      </c>
      <c r="I9" s="54">
        <f t="shared" si="3"/>
        <v>0.11099999999905777</v>
      </c>
      <c r="J9" s="53">
        <v>194248.2</v>
      </c>
      <c r="K9" s="54">
        <f t="shared" si="4"/>
        <v>32.560000000064612</v>
      </c>
      <c r="L9" s="53">
        <v>15572.86</v>
      </c>
      <c r="M9" s="54">
        <f t="shared" si="5"/>
        <v>9.8050000000053839</v>
      </c>
      <c r="N9" s="62">
        <f t="shared" si="6"/>
        <v>3894.9160000000579</v>
      </c>
    </row>
    <row r="10" spans="1:18" ht="28.5" customHeight="1" x14ac:dyDescent="0.25">
      <c r="A10" s="55">
        <v>5</v>
      </c>
      <c r="B10" s="53">
        <v>190452</v>
      </c>
      <c r="C10" s="54">
        <f t="shared" si="0"/>
        <v>3478</v>
      </c>
      <c r="D10" s="53">
        <v>72355.5</v>
      </c>
      <c r="E10" s="54">
        <f t="shared" si="1"/>
        <v>56.128999999993539</v>
      </c>
      <c r="F10" s="53">
        <v>8202.7999999999993</v>
      </c>
      <c r="G10" s="54">
        <f t="shared" si="2"/>
        <v>2.2199999999946161</v>
      </c>
      <c r="H10" s="53">
        <v>2355.2199999999998</v>
      </c>
      <c r="I10" s="54">
        <f t="shared" si="3"/>
        <v>0.14799999999986541</v>
      </c>
      <c r="J10" s="53">
        <v>194258.5</v>
      </c>
      <c r="K10" s="54">
        <f t="shared" si="4"/>
        <v>38.109999999956926</v>
      </c>
      <c r="L10" s="53">
        <v>15575.5</v>
      </c>
      <c r="M10" s="54">
        <f t="shared" si="5"/>
        <v>9.767999999997846</v>
      </c>
      <c r="N10" s="62">
        <f t="shared" si="6"/>
        <v>3584.3749999999427</v>
      </c>
    </row>
    <row r="11" spans="1:18" ht="28.5" customHeight="1" x14ac:dyDescent="0.25">
      <c r="A11" s="55">
        <v>6</v>
      </c>
      <c r="B11" s="53">
        <v>191514</v>
      </c>
      <c r="C11" s="54">
        <f t="shared" si="0"/>
        <v>3929.4</v>
      </c>
      <c r="D11" s="53">
        <v>72364.399999999994</v>
      </c>
      <c r="E11" s="54">
        <f t="shared" si="1"/>
        <v>32.929999999978463</v>
      </c>
      <c r="F11" s="53">
        <v>8204.8799999999992</v>
      </c>
      <c r="G11" s="54">
        <f t="shared" si="2"/>
        <v>7.6959999999997315</v>
      </c>
      <c r="H11" s="53">
        <v>2355.29</v>
      </c>
      <c r="I11" s="54">
        <f t="shared" si="3"/>
        <v>0.25900000000060575</v>
      </c>
      <c r="J11" s="53">
        <v>194270.1</v>
      </c>
      <c r="K11" s="54">
        <f t="shared" si="4"/>
        <v>42.920000000021538</v>
      </c>
      <c r="L11" s="53">
        <v>15578</v>
      </c>
      <c r="M11" s="54">
        <f t="shared" si="5"/>
        <v>9.25</v>
      </c>
      <c r="N11" s="62">
        <f>SUM(C11,E11,G11,I11,K11,M11)</f>
        <v>4022.4550000000004</v>
      </c>
      <c r="R11" t="s">
        <v>85</v>
      </c>
    </row>
    <row r="12" spans="1:18" ht="28.5" customHeight="1" x14ac:dyDescent="0.25">
      <c r="A12" s="55">
        <v>7</v>
      </c>
      <c r="B12" s="53">
        <v>192476</v>
      </c>
      <c r="C12" s="54">
        <f t="shared" si="0"/>
        <v>3559.4</v>
      </c>
      <c r="D12" s="53">
        <v>72373.98</v>
      </c>
      <c r="E12" s="54">
        <f t="shared" si="1"/>
        <v>35.446000000006464</v>
      </c>
      <c r="F12" s="53">
        <v>8206.33</v>
      </c>
      <c r="G12" s="54">
        <f t="shared" si="2"/>
        <v>5.3650000000026923</v>
      </c>
      <c r="H12" s="53">
        <v>2355.3000000000002</v>
      </c>
      <c r="I12" s="54">
        <f t="shared" si="3"/>
        <v>3.700000000080763E-2</v>
      </c>
      <c r="J12" s="53">
        <v>194289.2</v>
      </c>
      <c r="K12" s="54">
        <f t="shared" si="4"/>
        <v>70.670000000021545</v>
      </c>
      <c r="L12" s="53">
        <v>15585.16</v>
      </c>
      <c r="M12" s="54">
        <f t="shared" si="5"/>
        <v>26.491999999999464</v>
      </c>
      <c r="N12" s="62">
        <f t="shared" si="6"/>
        <v>3697.4100000000303</v>
      </c>
    </row>
    <row r="13" spans="1:18" ht="28.5" customHeight="1" x14ac:dyDescent="0.25">
      <c r="A13" s="55">
        <v>8</v>
      </c>
      <c r="B13" s="53">
        <v>193381</v>
      </c>
      <c r="C13" s="54">
        <f t="shared" si="0"/>
        <v>3348.5</v>
      </c>
      <c r="D13" s="53">
        <v>72386.759999999995</v>
      </c>
      <c r="E13" s="54">
        <f t="shared" si="1"/>
        <v>47.285999999995695</v>
      </c>
      <c r="F13" s="53">
        <v>8208.06</v>
      </c>
      <c r="G13" s="54">
        <f t="shared" si="2"/>
        <v>6.4009999999983851</v>
      </c>
      <c r="H13" s="53">
        <v>2355.35</v>
      </c>
      <c r="I13" s="54">
        <f t="shared" si="3"/>
        <v>0.18499999999899047</v>
      </c>
      <c r="J13" s="53">
        <v>194304.3</v>
      </c>
      <c r="K13" s="54">
        <f t="shared" si="4"/>
        <v>55.869999999913858</v>
      </c>
      <c r="L13" s="53">
        <v>15590.84</v>
      </c>
      <c r="M13" s="54">
        <f t="shared" si="5"/>
        <v>21.016000000001078</v>
      </c>
      <c r="N13" s="62">
        <f t="shared" si="6"/>
        <v>3479.257999999908</v>
      </c>
    </row>
    <row r="14" spans="1:18" ht="28.5" customHeight="1" x14ac:dyDescent="0.25">
      <c r="A14" s="55">
        <v>9</v>
      </c>
      <c r="B14" s="53">
        <v>194321</v>
      </c>
      <c r="C14" s="54">
        <f t="shared" si="0"/>
        <v>3478</v>
      </c>
      <c r="D14" s="53">
        <v>72399.350000000006</v>
      </c>
      <c r="E14" s="54">
        <f t="shared" si="1"/>
        <v>46.583000000040926</v>
      </c>
      <c r="F14" s="53">
        <v>8209.35</v>
      </c>
      <c r="G14" s="54">
        <f t="shared" si="2"/>
        <v>4.7730000000032309</v>
      </c>
      <c r="H14" s="53">
        <v>2355.4</v>
      </c>
      <c r="I14" s="54">
        <f t="shared" si="3"/>
        <v>0.18500000000067304</v>
      </c>
      <c r="J14" s="53">
        <v>194316.2</v>
      </c>
      <c r="K14" s="54">
        <f t="shared" si="4"/>
        <v>44.030000000086147</v>
      </c>
      <c r="L14" s="53">
        <v>15592.35</v>
      </c>
      <c r="M14" s="54">
        <f t="shared" si="5"/>
        <v>5.587000000000808</v>
      </c>
      <c r="N14" s="62">
        <f t="shared" si="6"/>
        <v>3579.1580000001322</v>
      </c>
    </row>
    <row r="15" spans="1:18" ht="28.5" customHeight="1" x14ac:dyDescent="0.25">
      <c r="A15" s="55">
        <v>10</v>
      </c>
      <c r="B15" s="53">
        <v>195201</v>
      </c>
      <c r="C15" s="54">
        <f t="shared" si="0"/>
        <v>3256</v>
      </c>
      <c r="D15" s="53">
        <v>72409.3</v>
      </c>
      <c r="E15" s="54">
        <f t="shared" si="1"/>
        <v>36.814999999989233</v>
      </c>
      <c r="F15" s="53">
        <v>8210.02</v>
      </c>
      <c r="G15" s="54">
        <f t="shared" si="2"/>
        <v>2.4790000000002692</v>
      </c>
      <c r="H15" s="53">
        <v>2355.42</v>
      </c>
      <c r="I15" s="54">
        <f t="shared" si="3"/>
        <v>7.3999999999932703E-2</v>
      </c>
      <c r="J15" s="53">
        <v>194333.2</v>
      </c>
      <c r="K15" s="54">
        <f t="shared" si="4"/>
        <v>62.900000000000006</v>
      </c>
      <c r="L15" s="53">
        <v>15595.98</v>
      </c>
      <c r="M15" s="54">
        <f t="shared" si="5"/>
        <v>13.43099999999704</v>
      </c>
      <c r="N15" s="62">
        <f t="shared" si="6"/>
        <v>3371.6989999999864</v>
      </c>
    </row>
    <row r="16" spans="1:18" ht="28.5" customHeight="1" x14ac:dyDescent="0.25">
      <c r="A16" s="55">
        <v>11</v>
      </c>
      <c r="B16" s="53">
        <v>196111</v>
      </c>
      <c r="C16" s="54">
        <f t="shared" si="0"/>
        <v>3367</v>
      </c>
      <c r="D16" s="53">
        <v>72416.58</v>
      </c>
      <c r="E16" s="54">
        <f t="shared" si="1"/>
        <v>26.935999999995694</v>
      </c>
      <c r="F16" s="53">
        <v>8211</v>
      </c>
      <c r="G16" s="54">
        <f t="shared" si="2"/>
        <v>3.6259999999983847</v>
      </c>
      <c r="H16" s="53">
        <v>2355.44</v>
      </c>
      <c r="I16" s="54">
        <f t="shared" si="3"/>
        <v>7.3999999999932703E-2</v>
      </c>
      <c r="J16" s="53">
        <v>194347.8</v>
      </c>
      <c r="K16" s="54">
        <f t="shared" si="4"/>
        <v>54.019999999913857</v>
      </c>
      <c r="L16" s="53">
        <v>15599.14</v>
      </c>
      <c r="M16" s="54">
        <f t="shared" si="5"/>
        <v>11.691999999999462</v>
      </c>
      <c r="N16" s="62">
        <f>SUM(C16,E16,G16,I16,K16,M16)</f>
        <v>3463.3479999999076</v>
      </c>
    </row>
    <row r="17" spans="1:15" ht="28.5" customHeight="1" x14ac:dyDescent="0.25">
      <c r="A17" s="55">
        <v>12</v>
      </c>
      <c r="B17" s="53">
        <v>197050</v>
      </c>
      <c r="C17" s="54">
        <f t="shared" si="0"/>
        <v>3474.3</v>
      </c>
      <c r="D17" s="53">
        <v>72423</v>
      </c>
      <c r="E17" s="54">
        <f t="shared" si="1"/>
        <v>23.753999999993539</v>
      </c>
      <c r="F17" s="53">
        <v>8212.2999999999993</v>
      </c>
      <c r="G17" s="54">
        <f t="shared" si="2"/>
        <v>4.8099999999973084</v>
      </c>
      <c r="H17" s="53">
        <v>2355.46</v>
      </c>
      <c r="I17" s="54">
        <f t="shared" si="3"/>
        <v>7.3999999999932703E-2</v>
      </c>
      <c r="J17" s="53">
        <v>194360</v>
      </c>
      <c r="K17" s="54">
        <f t="shared" si="4"/>
        <v>45.140000000043074</v>
      </c>
      <c r="L17" s="53">
        <v>15602</v>
      </c>
      <c r="M17" s="54">
        <f t="shared" si="5"/>
        <v>10.582000000002154</v>
      </c>
      <c r="N17" s="62">
        <f t="shared" ref="N17:N34" si="7">SUM(C17,E17,G17,I17,K17,M17)</f>
        <v>3558.6600000000362</v>
      </c>
    </row>
    <row r="18" spans="1:15" ht="28.5" customHeight="1" x14ac:dyDescent="0.25">
      <c r="A18" s="55">
        <v>13</v>
      </c>
      <c r="B18" s="53">
        <v>197990</v>
      </c>
      <c r="C18" s="54">
        <f t="shared" si="0"/>
        <v>3478</v>
      </c>
      <c r="D18" s="53">
        <v>72435.5</v>
      </c>
      <c r="E18" s="54">
        <f t="shared" si="1"/>
        <v>46.25</v>
      </c>
      <c r="F18" s="53">
        <v>8213.9</v>
      </c>
      <c r="G18" s="54">
        <f t="shared" si="2"/>
        <v>5.9200000000013464</v>
      </c>
      <c r="H18" s="53">
        <v>2355.5</v>
      </c>
      <c r="I18" s="54">
        <f t="shared" si="3"/>
        <v>0.14799999999986541</v>
      </c>
      <c r="J18" s="53">
        <v>194375.8</v>
      </c>
      <c r="K18" s="54">
        <f t="shared" si="4"/>
        <v>58.459999999956928</v>
      </c>
      <c r="L18" s="53">
        <v>15605.14</v>
      </c>
      <c r="M18" s="54">
        <f t="shared" si="5"/>
        <v>11.617999999997847</v>
      </c>
      <c r="N18" s="62">
        <f t="shared" si="7"/>
        <v>3600.3959999999556</v>
      </c>
    </row>
    <row r="19" spans="1:15" ht="28.5" customHeight="1" x14ac:dyDescent="0.25">
      <c r="A19" s="55">
        <v>14</v>
      </c>
      <c r="B19" s="53">
        <v>198705</v>
      </c>
      <c r="C19" s="54">
        <f t="shared" si="0"/>
        <v>2645.5</v>
      </c>
      <c r="D19" s="53">
        <v>72445.23</v>
      </c>
      <c r="E19" s="54">
        <f t="shared" si="1"/>
        <v>36.000999999984927</v>
      </c>
      <c r="F19" s="53">
        <v>8214.98</v>
      </c>
      <c r="G19" s="54">
        <f t="shared" si="2"/>
        <v>3.9959999999997309</v>
      </c>
      <c r="H19" s="53">
        <v>2355.5500000000002</v>
      </c>
      <c r="I19" s="54">
        <f t="shared" si="3"/>
        <v>0.18500000000067304</v>
      </c>
      <c r="J19" s="53">
        <v>194384.9</v>
      </c>
      <c r="K19" s="54">
        <f t="shared" si="4"/>
        <v>33.670000000021538</v>
      </c>
      <c r="L19" s="53">
        <v>15608.2</v>
      </c>
      <c r="M19" s="54">
        <f t="shared" si="5"/>
        <v>11.322000000004847</v>
      </c>
      <c r="N19" s="62">
        <f t="shared" si="7"/>
        <v>2730.6740000000113</v>
      </c>
    </row>
    <row r="20" spans="1:15" ht="28.5" customHeight="1" x14ac:dyDescent="0.25">
      <c r="A20" s="55">
        <v>15</v>
      </c>
      <c r="B20" s="53">
        <v>199571</v>
      </c>
      <c r="C20" s="54">
        <f t="shared" si="0"/>
        <v>3204.2000000000003</v>
      </c>
      <c r="D20" s="53">
        <v>72456.44</v>
      </c>
      <c r="E20" s="54">
        <f t="shared" si="1"/>
        <v>41.477000000023693</v>
      </c>
      <c r="F20" s="53">
        <v>8216.0300000000007</v>
      </c>
      <c r="G20" s="54">
        <f t="shared" si="2"/>
        <v>3.8850000000040383</v>
      </c>
      <c r="H20" s="53">
        <v>2355.5500000000002</v>
      </c>
      <c r="I20" s="54">
        <f t="shared" si="3"/>
        <v>0</v>
      </c>
      <c r="J20" s="53">
        <v>194407.2</v>
      </c>
      <c r="K20" s="54">
        <f t="shared" si="4"/>
        <v>82.510000000064608</v>
      </c>
      <c r="L20" s="53">
        <v>15610.34</v>
      </c>
      <c r="M20" s="54">
        <f t="shared" si="5"/>
        <v>7.9179999999978463</v>
      </c>
      <c r="N20" s="62">
        <f t="shared" si="7"/>
        <v>3339.9900000000903</v>
      </c>
    </row>
    <row r="21" spans="1:15" ht="28.5" customHeight="1" x14ac:dyDescent="0.25">
      <c r="A21" s="55">
        <v>16</v>
      </c>
      <c r="B21" s="53">
        <v>200412</v>
      </c>
      <c r="C21" s="54">
        <f t="shared" si="0"/>
        <v>3111.7000000000003</v>
      </c>
      <c r="D21" s="53">
        <v>72467.820000000007</v>
      </c>
      <c r="E21" s="54">
        <f t="shared" si="1"/>
        <v>42.106000000017232</v>
      </c>
      <c r="F21" s="53">
        <v>8217.7999999999993</v>
      </c>
      <c r="G21" s="54">
        <f t="shared" si="2"/>
        <v>6.5489999999948854</v>
      </c>
      <c r="H21" s="53">
        <v>2355.5500000000002</v>
      </c>
      <c r="I21" s="54">
        <f t="shared" si="3"/>
        <v>0</v>
      </c>
      <c r="J21" s="53">
        <v>194417.1</v>
      </c>
      <c r="K21" s="54">
        <f t="shared" si="4"/>
        <v>36.629999999978466</v>
      </c>
      <c r="L21" s="53">
        <v>15614.3</v>
      </c>
      <c r="M21" s="54">
        <f t="shared" si="5"/>
        <v>14.65199999999677</v>
      </c>
      <c r="N21" s="62">
        <f t="shared" si="7"/>
        <v>3211.6369999999874</v>
      </c>
    </row>
    <row r="22" spans="1:15" ht="28.5" customHeight="1" x14ac:dyDescent="0.25">
      <c r="A22" s="55">
        <v>17</v>
      </c>
      <c r="B22" s="53">
        <v>201320</v>
      </c>
      <c r="C22" s="54">
        <f t="shared" si="0"/>
        <v>3359.6000000000004</v>
      </c>
      <c r="D22" s="53">
        <v>72477.03</v>
      </c>
      <c r="E22" s="54">
        <f t="shared" si="1"/>
        <v>34.07699999996985</v>
      </c>
      <c r="F22" s="53">
        <v>8218.76</v>
      </c>
      <c r="G22" s="54">
        <f t="shared" si="2"/>
        <v>3.5520000000034999</v>
      </c>
      <c r="H22" s="53">
        <v>2355.61</v>
      </c>
      <c r="I22" s="54">
        <f t="shared" si="3"/>
        <v>0.22199999999979811</v>
      </c>
      <c r="J22" s="53">
        <v>194436.2</v>
      </c>
      <c r="K22" s="54">
        <f t="shared" si="4"/>
        <v>70.670000000021545</v>
      </c>
      <c r="L22" s="53">
        <v>15615.25</v>
      </c>
      <c r="M22" s="54">
        <f t="shared" si="5"/>
        <v>3.5150000000026922</v>
      </c>
      <c r="N22" s="62">
        <f t="shared" si="7"/>
        <v>3471.6359999999972</v>
      </c>
    </row>
    <row r="23" spans="1:15" ht="28.5" customHeight="1" x14ac:dyDescent="0.25">
      <c r="A23" s="55">
        <v>18</v>
      </c>
      <c r="B23" s="53">
        <v>202166</v>
      </c>
      <c r="C23" s="54">
        <f t="shared" si="0"/>
        <v>3130.2000000000003</v>
      </c>
      <c r="D23" s="53">
        <v>72484.19</v>
      </c>
      <c r="E23" s="54">
        <f t="shared" si="1"/>
        <v>26.492000000012922</v>
      </c>
      <c r="F23" s="53">
        <v>8219.7099999999991</v>
      </c>
      <c r="G23" s="54">
        <f t="shared" si="2"/>
        <v>3.514999999995962</v>
      </c>
      <c r="H23" s="53">
        <v>2355.67</v>
      </c>
      <c r="I23" s="54">
        <f t="shared" si="3"/>
        <v>0.22199999999979811</v>
      </c>
      <c r="J23" s="53">
        <v>194451.20000000001</v>
      </c>
      <c r="K23" s="54">
        <f t="shared" si="4"/>
        <v>55.5</v>
      </c>
      <c r="L23" s="53">
        <v>15618.16</v>
      </c>
      <c r="M23" s="54">
        <f t="shared" si="5"/>
        <v>10.766999999999461</v>
      </c>
      <c r="N23" s="62">
        <f t="shared" si="7"/>
        <v>3226.6960000000081</v>
      </c>
    </row>
    <row r="24" spans="1:15" ht="28.5" customHeight="1" x14ac:dyDescent="0.25">
      <c r="A24" s="55">
        <v>19</v>
      </c>
      <c r="B24" s="53">
        <v>203004</v>
      </c>
      <c r="C24" s="54">
        <f t="shared" si="0"/>
        <v>3100.6000000000004</v>
      </c>
      <c r="D24" s="53">
        <v>72491.929999999993</v>
      </c>
      <c r="E24" s="54">
        <f t="shared" si="1"/>
        <v>28.637999999965544</v>
      </c>
      <c r="F24" s="53">
        <v>8220.7199999999993</v>
      </c>
      <c r="G24" s="54">
        <f t="shared" si="2"/>
        <v>3.7370000000008079</v>
      </c>
      <c r="H24" s="53">
        <v>2355.69</v>
      </c>
      <c r="I24" s="54">
        <f t="shared" si="3"/>
        <v>7.3999999999932703E-2</v>
      </c>
      <c r="J24" s="53">
        <v>194466.3</v>
      </c>
      <c r="K24" s="54">
        <f t="shared" si="4"/>
        <v>55.869999999913858</v>
      </c>
      <c r="L24" s="53">
        <v>15623.53</v>
      </c>
      <c r="M24" s="54">
        <f t="shared" si="5"/>
        <v>19.869000000002963</v>
      </c>
      <c r="N24" s="62">
        <f t="shared" si="7"/>
        <v>3208.7879999998836</v>
      </c>
    </row>
    <row r="25" spans="1:15" ht="28.5" customHeight="1" x14ac:dyDescent="0.25">
      <c r="A25" s="55">
        <v>20</v>
      </c>
      <c r="B25" s="53">
        <v>203795</v>
      </c>
      <c r="C25" s="54">
        <f t="shared" si="0"/>
        <v>2926.7000000000003</v>
      </c>
      <c r="D25" s="53">
        <v>72500.81</v>
      </c>
      <c r="E25" s="54">
        <f t="shared" si="1"/>
        <v>32.856000000017232</v>
      </c>
      <c r="F25" s="53">
        <v>8221.84</v>
      </c>
      <c r="G25" s="54">
        <f t="shared" si="2"/>
        <v>4.1440000000029613</v>
      </c>
      <c r="H25" s="53">
        <v>2355.73</v>
      </c>
      <c r="I25" s="54">
        <f t="shared" si="3"/>
        <v>0.14799999999986541</v>
      </c>
      <c r="J25" s="53">
        <v>194479.1</v>
      </c>
      <c r="K25" s="54">
        <f t="shared" si="4"/>
        <v>47.360000000064616</v>
      </c>
      <c r="L25" s="53">
        <v>15625.12</v>
      </c>
      <c r="M25" s="54">
        <f t="shared" si="5"/>
        <v>5.8830000000005391</v>
      </c>
      <c r="N25" s="62">
        <f t="shared" si="7"/>
        <v>3017.0910000000854</v>
      </c>
    </row>
    <row r="26" spans="1:15" ht="28.5" customHeight="1" x14ac:dyDescent="0.25">
      <c r="A26" s="55">
        <v>21</v>
      </c>
      <c r="B26" s="53">
        <v>204594</v>
      </c>
      <c r="C26" s="54">
        <f t="shared" si="0"/>
        <v>2956.3</v>
      </c>
      <c r="D26" s="53">
        <v>72507.210000000006</v>
      </c>
      <c r="E26" s="54">
        <f t="shared" si="1"/>
        <v>23.680000000032308</v>
      </c>
      <c r="F26" s="53">
        <v>8222.7099999999991</v>
      </c>
      <c r="G26" s="54">
        <f t="shared" si="2"/>
        <v>3.2189999999962313</v>
      </c>
      <c r="H26" s="53">
        <v>2355.7399999999998</v>
      </c>
      <c r="I26" s="54">
        <f t="shared" si="3"/>
        <v>3.6999999999125066E-2</v>
      </c>
      <c r="J26" s="53">
        <v>194491</v>
      </c>
      <c r="K26" s="54">
        <f t="shared" si="4"/>
        <v>44.029999999978465</v>
      </c>
      <c r="L26" s="53">
        <v>15627</v>
      </c>
      <c r="M26" s="54">
        <f t="shared" si="5"/>
        <v>6.9559999999970392</v>
      </c>
      <c r="N26" s="62">
        <f t="shared" si="7"/>
        <v>3034.2220000000034</v>
      </c>
    </row>
    <row r="27" spans="1:15" ht="28.5" customHeight="1" x14ac:dyDescent="0.25">
      <c r="A27" s="55">
        <v>22</v>
      </c>
      <c r="B27" s="53">
        <v>205419</v>
      </c>
      <c r="C27" s="54">
        <f t="shared" si="0"/>
        <v>3052.5</v>
      </c>
      <c r="D27" s="53">
        <v>72516.070000000007</v>
      </c>
      <c r="E27" s="54">
        <f t="shared" si="1"/>
        <v>32.782000000002157</v>
      </c>
      <c r="F27" s="53">
        <v>8223.56</v>
      </c>
      <c r="G27" s="54">
        <f t="shared" si="2"/>
        <v>3.1450000000013461</v>
      </c>
      <c r="H27" s="53">
        <v>2355.7399999999998</v>
      </c>
      <c r="I27" s="54">
        <f t="shared" si="3"/>
        <v>0</v>
      </c>
      <c r="J27" s="53">
        <v>194515.6</v>
      </c>
      <c r="K27" s="54">
        <f t="shared" si="4"/>
        <v>91.02000000002154</v>
      </c>
      <c r="L27" s="53">
        <v>15635.92</v>
      </c>
      <c r="M27" s="54">
        <f t="shared" si="5"/>
        <v>33.004000000000268</v>
      </c>
      <c r="N27" s="62">
        <f t="shared" si="7"/>
        <v>3212.451000000025</v>
      </c>
    </row>
    <row r="28" spans="1:15" ht="28.5" customHeight="1" x14ac:dyDescent="0.25">
      <c r="A28" s="55">
        <v>23</v>
      </c>
      <c r="B28" s="57">
        <v>206195</v>
      </c>
      <c r="C28" s="54">
        <f t="shared" si="0"/>
        <v>2871.2000000000003</v>
      </c>
      <c r="D28" s="57">
        <v>72524.350000000006</v>
      </c>
      <c r="E28" s="54">
        <f t="shared" si="1"/>
        <v>30.635999999995693</v>
      </c>
      <c r="F28" s="57">
        <v>8224.6299999999992</v>
      </c>
      <c r="G28" s="54">
        <f t="shared" si="2"/>
        <v>3.9589999999989232</v>
      </c>
      <c r="H28" s="57">
        <v>2355.75</v>
      </c>
      <c r="I28" s="54">
        <f t="shared" si="3"/>
        <v>3.700000000080763E-2</v>
      </c>
      <c r="J28" s="57">
        <v>194520.4</v>
      </c>
      <c r="K28" s="54">
        <f t="shared" si="4"/>
        <v>17.759999999956928</v>
      </c>
      <c r="L28" s="53">
        <v>15637.2</v>
      </c>
      <c r="M28" s="54">
        <f t="shared" si="5"/>
        <v>4.7360000000024227</v>
      </c>
      <c r="N28" s="62">
        <f t="shared" si="7"/>
        <v>2928.3279999999554</v>
      </c>
    </row>
    <row r="29" spans="1:15" ht="28.5" customHeight="1" x14ac:dyDescent="0.25">
      <c r="A29" s="55">
        <v>24</v>
      </c>
      <c r="B29" s="53">
        <v>206949</v>
      </c>
      <c r="C29" s="54">
        <f t="shared" si="0"/>
        <v>2789.8</v>
      </c>
      <c r="D29" s="53">
        <v>72530.73</v>
      </c>
      <c r="E29" s="54">
        <f t="shared" si="1"/>
        <v>23.605999999963387</v>
      </c>
      <c r="F29" s="53">
        <v>8225.82</v>
      </c>
      <c r="G29" s="54">
        <f t="shared" si="2"/>
        <v>4.4030000000018843</v>
      </c>
      <c r="H29" s="53">
        <v>2355.7800000000002</v>
      </c>
      <c r="I29" s="54">
        <f t="shared" si="3"/>
        <v>0.11100000000074034</v>
      </c>
      <c r="J29" s="53">
        <v>194530.2</v>
      </c>
      <c r="K29" s="54">
        <f t="shared" si="4"/>
        <v>36.260000000064615</v>
      </c>
      <c r="L29" s="53">
        <v>15639.2</v>
      </c>
      <c r="M29" s="54">
        <f t="shared" si="5"/>
        <v>7.4</v>
      </c>
      <c r="N29" s="62">
        <f t="shared" si="7"/>
        <v>2861.5800000000313</v>
      </c>
    </row>
    <row r="30" spans="1:15" ht="28.5" customHeight="1" x14ac:dyDescent="0.25">
      <c r="A30" s="55">
        <v>25</v>
      </c>
      <c r="B30" s="58">
        <v>207740</v>
      </c>
      <c r="C30" s="54">
        <f t="shared" si="0"/>
        <v>2926.7000000000003</v>
      </c>
      <c r="D30" s="58">
        <v>72540.02</v>
      </c>
      <c r="E30" s="54">
        <f t="shared" si="1"/>
        <v>34.373000000030153</v>
      </c>
      <c r="F30" s="58">
        <v>8226.35</v>
      </c>
      <c r="G30" s="54">
        <f t="shared" si="2"/>
        <v>1.961000000002423</v>
      </c>
      <c r="H30" s="58">
        <v>2355.8000000000002</v>
      </c>
      <c r="I30" s="54">
        <f t="shared" si="3"/>
        <v>7.3999999999932703E-2</v>
      </c>
      <c r="J30" s="58">
        <v>194538.4</v>
      </c>
      <c r="K30" s="54">
        <f t="shared" si="4"/>
        <v>30.33999999993539</v>
      </c>
      <c r="L30" s="53">
        <v>15641</v>
      </c>
      <c r="M30" s="54">
        <f t="shared" si="5"/>
        <v>6.6599999999973081</v>
      </c>
      <c r="N30" s="62">
        <f t="shared" si="7"/>
        <v>3000.1079999999656</v>
      </c>
      <c r="O30" s="59"/>
    </row>
    <row r="31" spans="1:15" ht="28.5" customHeight="1" x14ac:dyDescent="0.25">
      <c r="A31" s="55">
        <v>26</v>
      </c>
      <c r="B31" s="53">
        <v>208577.7</v>
      </c>
      <c r="C31" s="54">
        <f t="shared" si="0"/>
        <v>3099.4900000000434</v>
      </c>
      <c r="D31" s="53">
        <v>72552.91</v>
      </c>
      <c r="E31" s="54">
        <f t="shared" si="1"/>
        <v>47.692999999997852</v>
      </c>
      <c r="F31" s="53">
        <v>8227.19</v>
      </c>
      <c r="G31" s="54">
        <f t="shared" si="2"/>
        <v>3.1080000000005388</v>
      </c>
      <c r="H31" s="53">
        <v>2355.9</v>
      </c>
      <c r="I31" s="54">
        <f t="shared" si="3"/>
        <v>0.36999999999966349</v>
      </c>
      <c r="J31" s="53">
        <v>194570.8</v>
      </c>
      <c r="K31" s="54">
        <f t="shared" si="4"/>
        <v>119.87999999997847</v>
      </c>
      <c r="L31" s="53">
        <v>15646.17</v>
      </c>
      <c r="M31" s="54">
        <f t="shared" si="5"/>
        <v>19.129000000000271</v>
      </c>
      <c r="N31" s="62">
        <f t="shared" si="7"/>
        <v>3289.6700000000205</v>
      </c>
      <c r="O31" s="59"/>
    </row>
    <row r="32" spans="1:15" ht="28.5" customHeight="1" x14ac:dyDescent="0.25">
      <c r="A32" s="55">
        <v>27</v>
      </c>
      <c r="B32" s="53">
        <v>209492</v>
      </c>
      <c r="C32" s="54">
        <f t="shared" si="0"/>
        <v>3382.9099999999571</v>
      </c>
      <c r="D32" s="53">
        <v>72563.13</v>
      </c>
      <c r="E32" s="54">
        <f t="shared" si="1"/>
        <v>37.814000000004306</v>
      </c>
      <c r="F32" s="53">
        <v>8228.4699999999993</v>
      </c>
      <c r="G32" s="54">
        <f t="shared" si="2"/>
        <v>4.735999999995693</v>
      </c>
      <c r="H32" s="53">
        <v>2355.98</v>
      </c>
      <c r="I32" s="54">
        <f t="shared" si="3"/>
        <v>0.29599999999973081</v>
      </c>
      <c r="J32" s="53">
        <v>194591.1</v>
      </c>
      <c r="K32" s="54">
        <f t="shared" si="4"/>
        <v>75.110000000064616</v>
      </c>
      <c r="L32" s="53">
        <v>15649.91</v>
      </c>
      <c r="M32" s="54">
        <f t="shared" si="5"/>
        <v>13.837999999999193</v>
      </c>
      <c r="N32" s="62">
        <f>SUM(C32,E32,G32,I32,K32,M32)</f>
        <v>3514.7040000000211</v>
      </c>
    </row>
    <row r="33" spans="1:14" ht="28.5" customHeight="1" x14ac:dyDescent="0.25">
      <c r="A33" s="55">
        <v>28</v>
      </c>
      <c r="B33" s="53">
        <v>210361</v>
      </c>
      <c r="C33" s="54">
        <f t="shared" si="0"/>
        <v>3215.3</v>
      </c>
      <c r="D33" s="53">
        <v>72574.06</v>
      </c>
      <c r="E33" s="54">
        <f t="shared" si="1"/>
        <v>40.44099999997416</v>
      </c>
      <c r="F33" s="53">
        <v>8229.43</v>
      </c>
      <c r="G33" s="54">
        <f t="shared" si="2"/>
        <v>3.5520000000034999</v>
      </c>
      <c r="H33" s="53">
        <v>2356.08</v>
      </c>
      <c r="I33" s="54">
        <f t="shared" si="3"/>
        <v>0.36999999999966349</v>
      </c>
      <c r="J33" s="53">
        <v>194600.7</v>
      </c>
      <c r="K33" s="54">
        <f t="shared" si="4"/>
        <v>35.52000000002154</v>
      </c>
      <c r="L33" s="53">
        <v>15649.91</v>
      </c>
      <c r="M33" s="54">
        <f t="shared" si="5"/>
        <v>0</v>
      </c>
      <c r="N33" s="62">
        <f t="shared" si="7"/>
        <v>3295.1829999999991</v>
      </c>
    </row>
    <row r="34" spans="1:14" ht="28.5" customHeight="1" x14ac:dyDescent="0.25">
      <c r="A34" s="55"/>
      <c r="B34" s="53"/>
      <c r="C34" s="54"/>
      <c r="D34" s="53"/>
      <c r="E34" s="54"/>
      <c r="F34" s="53"/>
      <c r="G34" s="54"/>
      <c r="H34" s="53"/>
      <c r="I34" s="54"/>
      <c r="J34" s="53"/>
      <c r="K34" s="54"/>
      <c r="L34" s="53"/>
      <c r="M34" s="54"/>
      <c r="N34" s="62">
        <f t="shared" si="7"/>
        <v>0</v>
      </c>
    </row>
    <row r="35" spans="1:14" x14ac:dyDescent="0.25">
      <c r="A35" s="100" t="s">
        <v>86</v>
      </c>
      <c r="B35" s="100"/>
      <c r="C35" s="60">
        <f>SUM(C6:C34)</f>
        <v>92873.700000000012</v>
      </c>
      <c r="E35" s="60">
        <f>SUM(E6:E34)</f>
        <v>1074.8869999999808</v>
      </c>
      <c r="G35" s="60">
        <f>SUM(G6:G34)</f>
        <v>120.73100000000379</v>
      </c>
      <c r="I35" s="60">
        <f>SUM(I6:I34)</f>
        <v>4.403000000000203</v>
      </c>
      <c r="K35" s="60">
        <f>SUM(K6:K34)</f>
        <v>1438.560000000065</v>
      </c>
      <c r="M35" s="60">
        <f>SUM(M6:M34)</f>
        <v>330.89100000000099</v>
      </c>
    </row>
    <row r="37" spans="1:14" x14ac:dyDescent="0.25">
      <c r="A37" s="101" t="s">
        <v>87</v>
      </c>
      <c r="B37" s="101"/>
      <c r="C37" s="102">
        <f>SUM(C35)</f>
        <v>92873.700000000012</v>
      </c>
      <c r="D37" s="103"/>
    </row>
    <row r="38" spans="1:14" x14ac:dyDescent="0.25">
      <c r="A38" s="101" t="s">
        <v>88</v>
      </c>
      <c r="B38" s="101"/>
      <c r="C38" s="102">
        <f>SUM(E35,G35,I35,K35,M35)</f>
        <v>2969.4720000000511</v>
      </c>
      <c r="D38" s="103"/>
    </row>
    <row r="39" spans="1:14" ht="47.25" customHeight="1" x14ac:dyDescent="0.25">
      <c r="A39" s="99" t="s">
        <v>89</v>
      </c>
      <c r="B39" s="99"/>
      <c r="C39" s="98">
        <f>SUM(C37:D38)</f>
        <v>95843.172000000064</v>
      </c>
      <c r="D39" s="98"/>
    </row>
  </sheetData>
  <mergeCells count="20">
    <mergeCell ref="C39:D39"/>
    <mergeCell ref="A39:B39"/>
    <mergeCell ref="B4:C4"/>
    <mergeCell ref="D4:E4"/>
    <mergeCell ref="F4:G4"/>
    <mergeCell ref="A35:B35"/>
    <mergeCell ref="A37:B37"/>
    <mergeCell ref="C37:D37"/>
    <mergeCell ref="A38:B38"/>
    <mergeCell ref="C38:D38"/>
    <mergeCell ref="H4:I4"/>
    <mergeCell ref="J4:K4"/>
    <mergeCell ref="L4:M4"/>
    <mergeCell ref="A1:M1"/>
    <mergeCell ref="B3:C3"/>
    <mergeCell ref="D3:E3"/>
    <mergeCell ref="F3:G3"/>
    <mergeCell ref="H3:I3"/>
    <mergeCell ref="J3:K3"/>
    <mergeCell ref="L3:M3"/>
  </mergeCells>
  <printOptions horizontalCentered="1"/>
  <pageMargins left="0" right="0" top="0" bottom="0" header="0.3" footer="0.3"/>
  <pageSetup paperSize="9" scale="71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Total</vt:lpstr>
      <vt:lpstr>Electricity</vt:lpstr>
      <vt:lpstr>Water</vt:lpstr>
      <vt:lpstr>LPG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Babu Alamkulath</cp:lastModifiedBy>
  <dcterms:created xsi:type="dcterms:W3CDTF">2019-05-13T11:08:30Z</dcterms:created>
  <dcterms:modified xsi:type="dcterms:W3CDTF">2025-03-10T13:20:49Z</dcterms:modified>
</cp:coreProperties>
</file>