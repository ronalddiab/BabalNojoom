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Utility Check\Daily Utility Cost Sheet 2024\"/>
    </mc:Choice>
  </mc:AlternateContent>
  <xr:revisionPtr revIDLastSave="0" documentId="13_ncr:1_{E7130B39-96C2-4990-8D55-F36EF4C86379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November-30" sheetId="1350" r:id="rId3"/>
    <sheet name="November-29" sheetId="1349" r:id="rId4"/>
    <sheet name="November-28" sheetId="1348" r:id="rId5"/>
    <sheet name="November-27" sheetId="1347" r:id="rId6"/>
    <sheet name="November-26" sheetId="1346" r:id="rId7"/>
    <sheet name="November-25" sheetId="1345" r:id="rId8"/>
    <sheet name="November-24" sheetId="1344" r:id="rId9"/>
    <sheet name="November-23" sheetId="1343" r:id="rId10"/>
    <sheet name="November-22" sheetId="1342" r:id="rId11"/>
    <sheet name="November-21" sheetId="1341" r:id="rId12"/>
    <sheet name="November-20" sheetId="1340" r:id="rId13"/>
    <sheet name="November-19" sheetId="1339" r:id="rId14"/>
    <sheet name="November-18" sheetId="1338" r:id="rId15"/>
    <sheet name="November-17" sheetId="1337" r:id="rId16"/>
    <sheet name="November-16" sheetId="1336" r:id="rId17"/>
    <sheet name="November-15" sheetId="1335" r:id="rId18"/>
    <sheet name="November-14" sheetId="1334" r:id="rId19"/>
    <sheet name="November-13" sheetId="1333" r:id="rId20"/>
    <sheet name="November-12" sheetId="1332" r:id="rId21"/>
    <sheet name="November-11" sheetId="1331" r:id="rId22"/>
    <sheet name="November-10" sheetId="1330" r:id="rId23"/>
    <sheet name="November-09" sheetId="1329" r:id="rId24"/>
    <sheet name="November-08" sheetId="1328" r:id="rId25"/>
    <sheet name="November-07" sheetId="1327" r:id="rId26"/>
    <sheet name="November-06" sheetId="1326" r:id="rId27"/>
    <sheet name="November-05" sheetId="1325" r:id="rId28"/>
    <sheet name="November-04" sheetId="1324" r:id="rId29"/>
    <sheet name="November-03" sheetId="1323" r:id="rId30"/>
    <sheet name="November-02" sheetId="1322" r:id="rId31"/>
    <sheet name="November-01" sheetId="1321" r:id="rId32"/>
  </sheets>
  <definedNames>
    <definedName name="_xlnm._FilterDatabase" localSheetId="1" hidden="1">'MTD Utility Sheet'!$A$1:$J$35</definedName>
    <definedName name="_xlnm.Print_Area" localSheetId="1">'MTD Utility Sheet'!$A$1:$J$60</definedName>
    <definedName name="_xlnm.Print_Area" localSheetId="31">'November-01'!$A$1:$H$36</definedName>
    <definedName name="_xlnm.Print_Area" localSheetId="30">'November-02'!$A$1:$H$36</definedName>
    <definedName name="_xlnm.Print_Area" localSheetId="29">'November-03'!$A$1:$H$36</definedName>
    <definedName name="_xlnm.Print_Area" localSheetId="28">'November-04'!$A$1:$H$36</definedName>
    <definedName name="_xlnm.Print_Area" localSheetId="27">'November-05'!$A$1:$H$36</definedName>
    <definedName name="_xlnm.Print_Area" localSheetId="26">'November-06'!$A$1:$H$36</definedName>
    <definedName name="_xlnm.Print_Area" localSheetId="25">'November-07'!$A$1:$H$36</definedName>
    <definedName name="_xlnm.Print_Area" localSheetId="24">'November-08'!$A$1:$H$36</definedName>
    <definedName name="_xlnm.Print_Area" localSheetId="23">'November-09'!$A$1:$H$36</definedName>
    <definedName name="_xlnm.Print_Area" localSheetId="22">'November-10'!$A$1:$H$36</definedName>
    <definedName name="_xlnm.Print_Area" localSheetId="21">'November-11'!$A$1:$H$36</definedName>
    <definedName name="_xlnm.Print_Area" localSheetId="20">'November-12'!$A$1:$H$36</definedName>
    <definedName name="_xlnm.Print_Area" localSheetId="19">'November-13'!$A$1:$H$36</definedName>
    <definedName name="_xlnm.Print_Area" localSheetId="18">'November-14'!$A$1:$H$36</definedName>
    <definedName name="_xlnm.Print_Area" localSheetId="17">'November-15'!$A$1:$H$36</definedName>
    <definedName name="_xlnm.Print_Area" localSheetId="16">'November-16'!$A$1:$H$36</definedName>
    <definedName name="_xlnm.Print_Area" localSheetId="15">'November-17'!$A$1:$H$36</definedName>
    <definedName name="_xlnm.Print_Area" localSheetId="14">'November-18'!$A$1:$H$36</definedName>
    <definedName name="_xlnm.Print_Area" localSheetId="13">'November-19'!$A$1:$H$36</definedName>
    <definedName name="_xlnm.Print_Area" localSheetId="12">'November-20'!$A$1:$H$36</definedName>
    <definedName name="_xlnm.Print_Area" localSheetId="11">'November-21'!$A$1:$H$36</definedName>
    <definedName name="_xlnm.Print_Area" localSheetId="10">'November-22'!$A$1:$H$36</definedName>
    <definedName name="_xlnm.Print_Area" localSheetId="9">'November-23'!$A$1:$H$36</definedName>
    <definedName name="_xlnm.Print_Area" localSheetId="8">'November-24'!$A$1:$H$36</definedName>
    <definedName name="_xlnm.Print_Area" localSheetId="7">'November-25'!$A$1:$H$36</definedName>
    <definedName name="_xlnm.Print_Area" localSheetId="6">'November-26'!$A$1:$H$36</definedName>
    <definedName name="_xlnm.Print_Area" localSheetId="5">'November-27'!$A$1:$H$36</definedName>
    <definedName name="_xlnm.Print_Area" localSheetId="4">'November-28'!$A$1:$H$36</definedName>
    <definedName name="_xlnm.Print_Area" localSheetId="3">'November-29'!$A$1:$H$36</definedName>
    <definedName name="_xlnm.Print_Area" localSheetId="2">'November-30'!$A$1:$H$36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350" l="1"/>
  <c r="H33" i="1350"/>
  <c r="F24" i="1350"/>
  <c r="H24" i="1350" s="1"/>
  <c r="H13" i="1350"/>
  <c r="H12" i="1350"/>
  <c r="H11" i="1350"/>
  <c r="F4" i="1350"/>
  <c r="H4" i="1350" s="1"/>
  <c r="D7" i="1350" s="1"/>
  <c r="H14" i="1350" l="1"/>
  <c r="H15" i="1350" s="1"/>
  <c r="H35" i="1350"/>
  <c r="D29" i="1350"/>
  <c r="D28" i="1350"/>
  <c r="D30" i="1350"/>
  <c r="D21" i="1350"/>
  <c r="D20" i="1350"/>
  <c r="D6" i="1350"/>
  <c r="D9" i="1350" s="1"/>
  <c r="H34" i="1349"/>
  <c r="H33" i="1349"/>
  <c r="F24" i="1349"/>
  <c r="H24" i="1349" s="1"/>
  <c r="D30" i="1349" s="1"/>
  <c r="H13" i="1349"/>
  <c r="H12" i="1349"/>
  <c r="H11" i="1349"/>
  <c r="F4" i="1349"/>
  <c r="H4" i="1349" s="1"/>
  <c r="D22" i="1350" l="1"/>
  <c r="D31" i="1350"/>
  <c r="H35" i="1349"/>
  <c r="H14" i="1349"/>
  <c r="H15" i="1349" s="1"/>
  <c r="D20" i="1349" s="1"/>
  <c r="D7" i="1349"/>
  <c r="D6" i="1349"/>
  <c r="D28" i="1349"/>
  <c r="D29" i="1349"/>
  <c r="H34" i="1348"/>
  <c r="H33" i="1348"/>
  <c r="F24" i="1348"/>
  <c r="H24" i="1348" s="1"/>
  <c r="H13" i="1348"/>
  <c r="H12" i="1348"/>
  <c r="H11" i="1348"/>
  <c r="F4" i="1348"/>
  <c r="H4" i="1348" s="1"/>
  <c r="H36" i="1350" l="1"/>
  <c r="D31" i="1349"/>
  <c r="D21" i="1349"/>
  <c r="D22" i="1349" s="1"/>
  <c r="D9" i="1349"/>
  <c r="H35" i="1348"/>
  <c r="H14" i="1348"/>
  <c r="H15" i="1348" s="1"/>
  <c r="D21" i="1348" s="1"/>
  <c r="D6" i="1348"/>
  <c r="D7" i="1348"/>
  <c r="D30" i="1348"/>
  <c r="D29" i="1348"/>
  <c r="D28" i="1348"/>
  <c r="H34" i="1347"/>
  <c r="H33" i="1347"/>
  <c r="F24" i="1347"/>
  <c r="H24" i="1347" s="1"/>
  <c r="D30" i="1347" s="1"/>
  <c r="H13" i="1347"/>
  <c r="H12" i="1347"/>
  <c r="H11" i="1347"/>
  <c r="F4" i="1347"/>
  <c r="H4" i="1347" s="1"/>
  <c r="H36" i="1349" l="1"/>
  <c r="D31" i="1348"/>
  <c r="D20" i="1348"/>
  <c r="D22" i="1348" s="1"/>
  <c r="D9" i="1348"/>
  <c r="H35" i="1347"/>
  <c r="H14" i="1347"/>
  <c r="H15" i="1347" s="1"/>
  <c r="D21" i="1347" s="1"/>
  <c r="D7" i="1347"/>
  <c r="D6" i="1347"/>
  <c r="D9" i="1347" s="1"/>
  <c r="D28" i="1347"/>
  <c r="D29" i="1347"/>
  <c r="H34" i="1346"/>
  <c r="H33" i="1346"/>
  <c r="F24" i="1346"/>
  <c r="H24" i="1346" s="1"/>
  <c r="H13" i="1346"/>
  <c r="H12" i="1346"/>
  <c r="H11" i="1346"/>
  <c r="F4" i="1346"/>
  <c r="H4" i="1346" s="1"/>
  <c r="H36" i="1348" l="1"/>
  <c r="D20" i="1347"/>
  <c r="D22" i="1347" s="1"/>
  <c r="D31" i="1347"/>
  <c r="H14" i="1346"/>
  <c r="H15" i="1346" s="1"/>
  <c r="H35" i="1346"/>
  <c r="D7" i="1346"/>
  <c r="D6" i="1346"/>
  <c r="D21" i="1346"/>
  <c r="D20" i="1346"/>
  <c r="D22" i="1346" s="1"/>
  <c r="D28" i="1346"/>
  <c r="D30" i="1346"/>
  <c r="D29" i="1346"/>
  <c r="H34" i="1345"/>
  <c r="H33" i="1345"/>
  <c r="F24" i="1345"/>
  <c r="H24" i="1345" s="1"/>
  <c r="H13" i="1345"/>
  <c r="H12" i="1345"/>
  <c r="H11" i="1345"/>
  <c r="F4" i="1345"/>
  <c r="H4" i="1345" s="1"/>
  <c r="H36" i="1347" l="1"/>
  <c r="D31" i="1346"/>
  <c r="D9" i="1346"/>
  <c r="H35" i="1345"/>
  <c r="D30" i="1345"/>
  <c r="D28" i="1345"/>
  <c r="H14" i="1345"/>
  <c r="H15" i="1345" s="1"/>
  <c r="D20" i="1345" s="1"/>
  <c r="D6" i="1345"/>
  <c r="D7" i="1345"/>
  <c r="D29" i="1345"/>
  <c r="H34" i="1344"/>
  <c r="H33" i="1344"/>
  <c r="F24" i="1344"/>
  <c r="H24" i="1344" s="1"/>
  <c r="H13" i="1344"/>
  <c r="H12" i="1344"/>
  <c r="H11" i="1344"/>
  <c r="F4" i="1344"/>
  <c r="H4" i="1344" s="1"/>
  <c r="H36" i="1346" l="1"/>
  <c r="D31" i="1345"/>
  <c r="D21" i="1345"/>
  <c r="D22" i="1345" s="1"/>
  <c r="D9" i="1345"/>
  <c r="H14" i="1344"/>
  <c r="H15" i="1344" s="1"/>
  <c r="D21" i="1344" s="1"/>
  <c r="H35" i="1344"/>
  <c r="D7" i="1344"/>
  <c r="D6" i="1344"/>
  <c r="D9" i="1344" s="1"/>
  <c r="D28" i="1344"/>
  <c r="D31" i="1344" s="1"/>
  <c r="D30" i="1344"/>
  <c r="D29" i="1344"/>
  <c r="H34" i="1343"/>
  <c r="H33" i="1343"/>
  <c r="H35" i="1343" s="1"/>
  <c r="F24" i="1343"/>
  <c r="H24" i="1343" s="1"/>
  <c r="D29" i="1343" s="1"/>
  <c r="H13" i="1343"/>
  <c r="H12" i="1343"/>
  <c r="H11" i="1343"/>
  <c r="F4" i="1343"/>
  <c r="H4" i="1343" s="1"/>
  <c r="D7" i="1343" s="1"/>
  <c r="H36" i="1345" l="1"/>
  <c r="D20" i="1344"/>
  <c r="D22" i="1344" s="1"/>
  <c r="H36" i="1344"/>
  <c r="H14" i="1343"/>
  <c r="H15" i="1343" s="1"/>
  <c r="D21" i="1343" s="1"/>
  <c r="D30" i="1343"/>
  <c r="D6" i="1343"/>
  <c r="D9" i="1343" s="1"/>
  <c r="D28" i="1343"/>
  <c r="D31" i="1343" s="1"/>
  <c r="H34" i="1342"/>
  <c r="H33" i="1342"/>
  <c r="H35" i="1342" s="1"/>
  <c r="F24" i="1342"/>
  <c r="H24" i="1342" s="1"/>
  <c r="H13" i="1342"/>
  <c r="H12" i="1342"/>
  <c r="H11" i="1342"/>
  <c r="F4" i="1342"/>
  <c r="H4" i="1342" s="1"/>
  <c r="D7" i="1342" s="1"/>
  <c r="D20" i="1343" l="1"/>
  <c r="D22" i="1343" s="1"/>
  <c r="H36" i="1343" s="1"/>
  <c r="H14" i="1342"/>
  <c r="H15" i="1342" s="1"/>
  <c r="D20" i="1342" s="1"/>
  <c r="D29" i="1342"/>
  <c r="D28" i="1342"/>
  <c r="D30" i="1342"/>
  <c r="D6" i="1342"/>
  <c r="D9" i="1342" s="1"/>
  <c r="H34" i="1341"/>
  <c r="H33" i="1341"/>
  <c r="F24" i="1341"/>
  <c r="H24" i="1341" s="1"/>
  <c r="H13" i="1341"/>
  <c r="H12" i="1341"/>
  <c r="H11" i="1341"/>
  <c r="F4" i="1341"/>
  <c r="H4" i="1341" s="1"/>
  <c r="D21" i="1342" l="1"/>
  <c r="D22" i="1342" s="1"/>
  <c r="D31" i="1342"/>
  <c r="H35" i="1341"/>
  <c r="H14" i="1341"/>
  <c r="H15" i="1341" s="1"/>
  <c r="D21" i="1341" s="1"/>
  <c r="D30" i="1341"/>
  <c r="D29" i="1341"/>
  <c r="D7" i="1341"/>
  <c r="D6" i="1341"/>
  <c r="D28" i="1341"/>
  <c r="H34" i="1340"/>
  <c r="H33" i="1340"/>
  <c r="F24" i="1340"/>
  <c r="H24" i="1340" s="1"/>
  <c r="H13" i="1340"/>
  <c r="H12" i="1340"/>
  <c r="H11" i="1340"/>
  <c r="F4" i="1340"/>
  <c r="H4" i="1340" s="1"/>
  <c r="D9" i="1341" l="1"/>
  <c r="H36" i="1342"/>
  <c r="D20" i="1341"/>
  <c r="D22" i="1341" s="1"/>
  <c r="D31" i="1341"/>
  <c r="H35" i="1340"/>
  <c r="H14" i="1340"/>
  <c r="H15" i="1340" s="1"/>
  <c r="D21" i="1340" s="1"/>
  <c r="D6" i="1340"/>
  <c r="D7" i="1340"/>
  <c r="D30" i="1340"/>
  <c r="D29" i="1340"/>
  <c r="D28" i="1340"/>
  <c r="H34" i="1339"/>
  <c r="H35" i="1339" s="1"/>
  <c r="H33" i="1339"/>
  <c r="F24" i="1339"/>
  <c r="H24" i="1339" s="1"/>
  <c r="H13" i="1339"/>
  <c r="H12" i="1339"/>
  <c r="H11" i="1339"/>
  <c r="F4" i="1339"/>
  <c r="H4" i="1339" s="1"/>
  <c r="D7" i="1339" s="1"/>
  <c r="H36" i="1341" l="1"/>
  <c r="D20" i="1340"/>
  <c r="D22" i="1340" s="1"/>
  <c r="D31" i="1340"/>
  <c r="D9" i="1340"/>
  <c r="H14" i="1339"/>
  <c r="H15" i="1339" s="1"/>
  <c r="D20" i="1339" s="1"/>
  <c r="D29" i="1339"/>
  <c r="D28" i="1339"/>
  <c r="D30" i="1339"/>
  <c r="D6" i="1339"/>
  <c r="D9" i="1339" s="1"/>
  <c r="H34" i="1338"/>
  <c r="H33" i="1338"/>
  <c r="F24" i="1338"/>
  <c r="H24" i="1338" s="1"/>
  <c r="H13" i="1338"/>
  <c r="H12" i="1338"/>
  <c r="H11" i="1338"/>
  <c r="F4" i="1338"/>
  <c r="H4" i="1338" s="1"/>
  <c r="D7" i="1338" s="1"/>
  <c r="H14" i="1338" l="1"/>
  <c r="H15" i="1338" s="1"/>
  <c r="H35" i="1338"/>
  <c r="H36" i="1340"/>
  <c r="D21" i="1339"/>
  <c r="D22" i="1339" s="1"/>
  <c r="D31" i="1339"/>
  <c r="D29" i="1338"/>
  <c r="D28" i="1338"/>
  <c r="D30" i="1338"/>
  <c r="D21" i="1338"/>
  <c r="D20" i="1338"/>
  <c r="D6" i="1338"/>
  <c r="D9" i="1338" s="1"/>
  <c r="H34" i="1337"/>
  <c r="H33" i="1337"/>
  <c r="F24" i="1337"/>
  <c r="H24" i="1337" s="1"/>
  <c r="H13" i="1337"/>
  <c r="H12" i="1337"/>
  <c r="H11" i="1337"/>
  <c r="F4" i="1337"/>
  <c r="H4" i="1337" s="1"/>
  <c r="H36" i="1339" l="1"/>
  <c r="H35" i="1337"/>
  <c r="D22" i="1338"/>
  <c r="D31" i="1338"/>
  <c r="D30" i="1337"/>
  <c r="D28" i="1337"/>
  <c r="H14" i="1337"/>
  <c r="H15" i="1337" s="1"/>
  <c r="D21" i="1337" s="1"/>
  <c r="D6" i="1337"/>
  <c r="D7" i="1337"/>
  <c r="D29" i="1337"/>
  <c r="H34" i="1336"/>
  <c r="H35" i="1336" s="1"/>
  <c r="H33" i="1336"/>
  <c r="F24" i="1336"/>
  <c r="H24" i="1336" s="1"/>
  <c r="D29" i="1336" s="1"/>
  <c r="H13" i="1336"/>
  <c r="H12" i="1336"/>
  <c r="H11" i="1336"/>
  <c r="F4" i="1336"/>
  <c r="H4" i="1336" s="1"/>
  <c r="D7" i="1336" s="1"/>
  <c r="H36" i="1338" l="1"/>
  <c r="D31" i="1337"/>
  <c r="D20" i="1337"/>
  <c r="D22" i="1337" s="1"/>
  <c r="D9" i="1337"/>
  <c r="H14" i="1336"/>
  <c r="H15" i="1336" s="1"/>
  <c r="D20" i="1336" s="1"/>
  <c r="D30" i="1336"/>
  <c r="D6" i="1336"/>
  <c r="D9" i="1336" s="1"/>
  <c r="D28" i="1336"/>
  <c r="H34" i="1335"/>
  <c r="H33" i="1335"/>
  <c r="F24" i="1335"/>
  <c r="H24" i="1335" s="1"/>
  <c r="D30" i="1335" s="1"/>
  <c r="H13" i="1335"/>
  <c r="H12" i="1335"/>
  <c r="H11" i="1335"/>
  <c r="F4" i="1335"/>
  <c r="H4" i="1335" s="1"/>
  <c r="H14" i="1335" l="1"/>
  <c r="H15" i="1335" s="1"/>
  <c r="H36" i="1337"/>
  <c r="D31" i="1336"/>
  <c r="D21" i="1336"/>
  <c r="D22" i="1336" s="1"/>
  <c r="H35" i="1335"/>
  <c r="D7" i="1335"/>
  <c r="D6" i="1335"/>
  <c r="D9" i="1335" s="1"/>
  <c r="D21" i="1335"/>
  <c r="D20" i="1335"/>
  <c r="D22" i="1335" s="1"/>
  <c r="D28" i="1335"/>
  <c r="D29" i="1335"/>
  <c r="H34" i="1334"/>
  <c r="H35" i="1334" s="1"/>
  <c r="H33" i="1334"/>
  <c r="F24" i="1334"/>
  <c r="H24" i="1334" s="1"/>
  <c r="H13" i="1334"/>
  <c r="H12" i="1334"/>
  <c r="H11" i="1334"/>
  <c r="F4" i="1334"/>
  <c r="H4" i="1334" s="1"/>
  <c r="D7" i="1334" s="1"/>
  <c r="H36" i="1336" l="1"/>
  <c r="D31" i="1335"/>
  <c r="H36" i="1335" s="1"/>
  <c r="H14" i="1334"/>
  <c r="H15" i="1334" s="1"/>
  <c r="D29" i="1334"/>
  <c r="D28" i="1334"/>
  <c r="D30" i="1334"/>
  <c r="D21" i="1334"/>
  <c r="D20" i="1334"/>
  <c r="D6" i="1334"/>
  <c r="D9" i="1334" s="1"/>
  <c r="H34" i="1333"/>
  <c r="H33" i="1333"/>
  <c r="H35" i="1333" s="1"/>
  <c r="F24" i="1333"/>
  <c r="H24" i="1333" s="1"/>
  <c r="D30" i="1333" s="1"/>
  <c r="H13" i="1333"/>
  <c r="H12" i="1333"/>
  <c r="H11" i="1333"/>
  <c r="F4" i="1333"/>
  <c r="H4" i="1333" s="1"/>
  <c r="D7" i="1333" s="1"/>
  <c r="D22" i="1334" l="1"/>
  <c r="D31" i="1334"/>
  <c r="H36" i="1334" s="1"/>
  <c r="H14" i="1333"/>
  <c r="H15" i="1333" s="1"/>
  <c r="D20" i="1333" s="1"/>
  <c r="D6" i="1333"/>
  <c r="D9" i="1333" s="1"/>
  <c r="D28" i="1333"/>
  <c r="D29" i="1333"/>
  <c r="H34" i="1332"/>
  <c r="H33" i="1332"/>
  <c r="H35" i="1332" s="1"/>
  <c r="F24" i="1332"/>
  <c r="H24" i="1332" s="1"/>
  <c r="H13" i="1332"/>
  <c r="H12" i="1332"/>
  <c r="H11" i="1332"/>
  <c r="F4" i="1332"/>
  <c r="H4" i="1332" s="1"/>
  <c r="D7" i="1332" s="1"/>
  <c r="D21" i="1333" l="1"/>
  <c r="D22" i="1333" s="1"/>
  <c r="D31" i="1333"/>
  <c r="H14" i="1332"/>
  <c r="H15" i="1332" s="1"/>
  <c r="D21" i="1332" s="1"/>
  <c r="D30" i="1332"/>
  <c r="D29" i="1332"/>
  <c r="D28" i="1332"/>
  <c r="D20" i="1332"/>
  <c r="D6" i="1332"/>
  <c r="D9" i="1332" s="1"/>
  <c r="H34" i="1331"/>
  <c r="H33" i="1331"/>
  <c r="F24" i="1331"/>
  <c r="H24" i="1331" s="1"/>
  <c r="H13" i="1331"/>
  <c r="H12" i="1331"/>
  <c r="H11" i="1331"/>
  <c r="F4" i="1331"/>
  <c r="H4" i="1331" s="1"/>
  <c r="D7" i="1331" s="1"/>
  <c r="D31" i="1332" l="1"/>
  <c r="H36" i="1333"/>
  <c r="D22" i="1332"/>
  <c r="H36" i="1332" s="1"/>
  <c r="H35" i="1331"/>
  <c r="H14" i="1331"/>
  <c r="H15" i="1331" s="1"/>
  <c r="D20" i="1331" s="1"/>
  <c r="D30" i="1331"/>
  <c r="D29" i="1331"/>
  <c r="D28" i="1331"/>
  <c r="D6" i="1331"/>
  <c r="D9" i="1331" s="1"/>
  <c r="H34" i="1330"/>
  <c r="H33" i="1330"/>
  <c r="F24" i="1330"/>
  <c r="H24" i="1330" s="1"/>
  <c r="D30" i="1330" s="1"/>
  <c r="H13" i="1330"/>
  <c r="H12" i="1330"/>
  <c r="H11" i="1330"/>
  <c r="F4" i="1330"/>
  <c r="H4" i="1330" s="1"/>
  <c r="D21" i="1331" l="1"/>
  <c r="D22" i="1331" s="1"/>
  <c r="D31" i="1331"/>
  <c r="H35" i="1330"/>
  <c r="H14" i="1330"/>
  <c r="H15" i="1330" s="1"/>
  <c r="D21" i="1330" s="1"/>
  <c r="D7" i="1330"/>
  <c r="D6" i="1330"/>
  <c r="D28" i="1330"/>
  <c r="D29" i="1330"/>
  <c r="H34" i="1329"/>
  <c r="H33" i="1329"/>
  <c r="H35" i="1329" s="1"/>
  <c r="F24" i="1329"/>
  <c r="H24" i="1329" s="1"/>
  <c r="H13" i="1329"/>
  <c r="H12" i="1329"/>
  <c r="H11" i="1329"/>
  <c r="F4" i="1329"/>
  <c r="H4" i="1329" s="1"/>
  <c r="D7" i="1329" s="1"/>
  <c r="H36" i="1331" l="1"/>
  <c r="D20" i="1330"/>
  <c r="D22" i="1330" s="1"/>
  <c r="D9" i="1330"/>
  <c r="D31" i="1330"/>
  <c r="H14" i="1329"/>
  <c r="H15" i="1329" s="1"/>
  <c r="D20" i="1329" s="1"/>
  <c r="D29" i="1329"/>
  <c r="D28" i="1329"/>
  <c r="D30" i="1329"/>
  <c r="D21" i="1329"/>
  <c r="D6" i="1329"/>
  <c r="D9" i="1329" s="1"/>
  <c r="H34" i="1328"/>
  <c r="H33" i="1328"/>
  <c r="F24" i="1328"/>
  <c r="H24" i="1328" s="1"/>
  <c r="H13" i="1328"/>
  <c r="H12" i="1328"/>
  <c r="H11" i="1328"/>
  <c r="F4" i="1328"/>
  <c r="H4" i="1328" s="1"/>
  <c r="H35" i="1328" l="1"/>
  <c r="H36" i="1330"/>
  <c r="D22" i="1329"/>
  <c r="D31" i="1329"/>
  <c r="H14" i="1328"/>
  <c r="H15" i="1328" s="1"/>
  <c r="D20" i="1328" s="1"/>
  <c r="D6" i="1328"/>
  <c r="D7" i="1328"/>
  <c r="D30" i="1328"/>
  <c r="D29" i="1328"/>
  <c r="D28" i="1328"/>
  <c r="H34" i="1327"/>
  <c r="H33" i="1327"/>
  <c r="F24" i="1327"/>
  <c r="H24" i="1327" s="1"/>
  <c r="H13" i="1327"/>
  <c r="H12" i="1327"/>
  <c r="H11" i="1327"/>
  <c r="F4" i="1327"/>
  <c r="H4" i="1327" s="1"/>
  <c r="D7" i="1327" s="1"/>
  <c r="H36" i="1329" l="1"/>
  <c r="D31" i="1328"/>
  <c r="D21" i="1328"/>
  <c r="D22" i="1328" s="1"/>
  <c r="D9" i="1328"/>
  <c r="H35" i="1327"/>
  <c r="H14" i="1327"/>
  <c r="H15" i="1327" s="1"/>
  <c r="D20" i="1327" s="1"/>
  <c r="D29" i="1327"/>
  <c r="D28" i="1327"/>
  <c r="D30" i="1327"/>
  <c r="D21" i="1327"/>
  <c r="D6" i="1327"/>
  <c r="D9" i="1327" s="1"/>
  <c r="H34" i="1326"/>
  <c r="H33" i="1326"/>
  <c r="H35" i="1326" s="1"/>
  <c r="F24" i="1326"/>
  <c r="H24" i="1326" s="1"/>
  <c r="H13" i="1326"/>
  <c r="H12" i="1326"/>
  <c r="H11" i="1326"/>
  <c r="F4" i="1326"/>
  <c r="H4" i="1326" s="1"/>
  <c r="D7" i="1326" s="1"/>
  <c r="H36" i="1328" l="1"/>
  <c r="D22" i="1327"/>
  <c r="D31" i="1327"/>
  <c r="H36" i="1327" s="1"/>
  <c r="H14" i="1326"/>
  <c r="H15" i="1326" s="1"/>
  <c r="D20" i="1326" s="1"/>
  <c r="D29" i="1326"/>
  <c r="D28" i="1326"/>
  <c r="D30" i="1326"/>
  <c r="D6" i="1326"/>
  <c r="D9" i="1326" s="1"/>
  <c r="H34" i="1325"/>
  <c r="H35" i="1325" s="1"/>
  <c r="H33" i="1325"/>
  <c r="F24" i="1325"/>
  <c r="H24" i="1325" s="1"/>
  <c r="D30" i="1325" s="1"/>
  <c r="H13" i="1325"/>
  <c r="H12" i="1325"/>
  <c r="H11" i="1325"/>
  <c r="F4" i="1325"/>
  <c r="H4" i="1325" s="1"/>
  <c r="D21" i="1326" l="1"/>
  <c r="D22" i="1326"/>
  <c r="D31" i="1326"/>
  <c r="H14" i="1325"/>
  <c r="H15" i="1325" s="1"/>
  <c r="D21" i="1325" s="1"/>
  <c r="D7" i="1325"/>
  <c r="D6" i="1325"/>
  <c r="D28" i="1325"/>
  <c r="D29" i="1325"/>
  <c r="H34" i="1324"/>
  <c r="H33" i="1324"/>
  <c r="F24" i="1324"/>
  <c r="H24" i="1324" s="1"/>
  <c r="H13" i="1324"/>
  <c r="H12" i="1324"/>
  <c r="H11" i="1324"/>
  <c r="F4" i="1324"/>
  <c r="H4" i="1324" s="1"/>
  <c r="D7" i="1324" s="1"/>
  <c r="H35" i="1324" l="1"/>
  <c r="D9" i="1325"/>
  <c r="H36" i="1326"/>
  <c r="D20" i="1325"/>
  <c r="D22" i="1325" s="1"/>
  <c r="D31" i="1325"/>
  <c r="H14" i="1324"/>
  <c r="H15" i="1324" s="1"/>
  <c r="D20" i="1324" s="1"/>
  <c r="D29" i="1324"/>
  <c r="D28" i="1324"/>
  <c r="D30" i="1324"/>
  <c r="D21" i="1324"/>
  <c r="D6" i="1324"/>
  <c r="D9" i="1324" s="1"/>
  <c r="H34" i="1323"/>
  <c r="H33" i="1323"/>
  <c r="F24" i="1323"/>
  <c r="H24" i="1323" s="1"/>
  <c r="H13" i="1323"/>
  <c r="H12" i="1323"/>
  <c r="H11" i="1323"/>
  <c r="F4" i="1323"/>
  <c r="H4" i="1323" s="1"/>
  <c r="D7" i="1323" s="1"/>
  <c r="H35" i="1323" l="1"/>
  <c r="H36" i="1325"/>
  <c r="D22" i="1324"/>
  <c r="D31" i="1324"/>
  <c r="H14" i="1323"/>
  <c r="H15" i="1323" s="1"/>
  <c r="D20" i="1323" s="1"/>
  <c r="D29" i="1323"/>
  <c r="D28" i="1323"/>
  <c r="D30" i="1323"/>
  <c r="D6" i="1323"/>
  <c r="D9" i="1323" s="1"/>
  <c r="H34" i="1322"/>
  <c r="H33" i="1322"/>
  <c r="F24" i="1322"/>
  <c r="H24" i="1322" s="1"/>
  <c r="H13" i="1322"/>
  <c r="H12" i="1322"/>
  <c r="H11" i="1322"/>
  <c r="F4" i="1322"/>
  <c r="H4" i="1322" s="1"/>
  <c r="D7" i="1322" s="1"/>
  <c r="H35" i="1322" l="1"/>
  <c r="H36" i="1324"/>
  <c r="D21" i="1323"/>
  <c r="D22" i="1323"/>
  <c r="D31" i="1323"/>
  <c r="H14" i="1322"/>
  <c r="H15" i="1322" s="1"/>
  <c r="D21" i="1322" s="1"/>
  <c r="D30" i="1322"/>
  <c r="D29" i="1322"/>
  <c r="D28" i="1322"/>
  <c r="D6" i="1322"/>
  <c r="D9" i="1322" s="1"/>
  <c r="H34" i="1321"/>
  <c r="H35" i="1321" s="1"/>
  <c r="H33" i="1321"/>
  <c r="F24" i="1321"/>
  <c r="H24" i="1321" s="1"/>
  <c r="H13" i="1321"/>
  <c r="H12" i="1321"/>
  <c r="H11" i="1321"/>
  <c r="F4" i="1321"/>
  <c r="H4" i="1321" s="1"/>
  <c r="D7" i="1321" s="1"/>
  <c r="H36" i="1323" l="1"/>
  <c r="D20" i="1322"/>
  <c r="D22" i="1322" s="1"/>
  <c r="D31" i="1322"/>
  <c r="H14" i="1321"/>
  <c r="H15" i="1321" s="1"/>
  <c r="D20" i="1321" s="1"/>
  <c r="D30" i="1321"/>
  <c r="D28" i="1321"/>
  <c r="D29" i="1321"/>
  <c r="D6" i="1321"/>
  <c r="D9" i="1321" s="1"/>
  <c r="J31" i="133"/>
  <c r="H36" i="1322" l="1"/>
  <c r="D21" i="1321"/>
  <c r="D22" i="1321" s="1"/>
  <c r="D31" i="1321"/>
  <c r="H36" i="1321" l="1"/>
  <c r="C36" i="133" l="1"/>
  <c r="E32" i="1094" l="1"/>
  <c r="G32" i="1094"/>
  <c r="H32" i="1094"/>
  <c r="I32" i="1094"/>
  <c r="K32" i="1094"/>
  <c r="L32" i="1094" s="1"/>
  <c r="M32" i="1094"/>
  <c r="F35" i="133" l="1"/>
  <c r="F36" i="133" s="1"/>
  <c r="G35" i="133"/>
  <c r="G36" i="133" s="1"/>
  <c r="H35" i="133"/>
  <c r="H36" i="133" s="1"/>
  <c r="I35" i="133"/>
  <c r="I36" i="133" s="1"/>
  <c r="B36" i="133"/>
  <c r="D36" i="133"/>
  <c r="E36" i="133"/>
  <c r="J34" i="133" l="1"/>
  <c r="J33" i="133"/>
  <c r="J32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</calcChain>
</file>

<file path=xl/sharedStrings.xml><?xml version="1.0" encoding="utf-8"?>
<sst xmlns="http://schemas.openxmlformats.org/spreadsheetml/2006/main" count="1826" uniqueCount="117">
  <si>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</si>
  <si>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</si>
  <si>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</si>
  <si>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</si>
  <si>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</si>
  <si>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</si>
  <si>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</si>
  <si>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</si>
  <si>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</si>
  <si>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</si>
  <si>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</si>
  <si>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</si>
  <si>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</si>
  <si>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</si>
  <si>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</si>
  <si>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</si>
  <si>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</si>
  <si>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</si>
  <si>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</si>
  <si>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</si>
  <si>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</si>
  <si>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</si>
  <si>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</si>
  <si>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</si>
  <si>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</si>
  <si>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</si>
  <si>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</si>
  <si>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</si>
  <si>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</si>
  <si>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</si>
  <si>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</si>
  <si>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</si>
  <si>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</si>
  <si>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</si>
  <si>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</si>
  <si>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</si>
  <si>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</si>
  <si>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</si>
  <si>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</si>
  <si>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</si>
  <si>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</si>
  <si>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</si>
  <si>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</si>
  <si>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</si>
  <si>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</si>
  <si>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</si>
  <si>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</si>
  <si>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</si>
  <si>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</si>
  <si>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</si>
  <si>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</si>
  <si>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</si>
  <si>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</si>
  <si>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</si>
  <si>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</si>
  <si>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</si>
  <si>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</si>
  <si>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</si>
  <si>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</si>
  <si>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</si>
  <si>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</si>
  <si>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</si>
  <si>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</si>
  <si>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</si>
  <si>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</si>
  <si>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</si>
  <si>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</si>
  <si>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</si>
  <si>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</si>
  <si>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</si>
  <si>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</si>
  <si>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01.11.2024</t>
  </si>
  <si>
    <t>35.0c</t>
  </si>
  <si>
    <t>Daily Utilities November-2024</t>
  </si>
  <si>
    <t>02.11.2024</t>
  </si>
  <si>
    <t>35.5c</t>
  </si>
  <si>
    <t>03.11.2024</t>
  </si>
  <si>
    <t>04.11.2024</t>
  </si>
  <si>
    <t>05.11.2024</t>
  </si>
  <si>
    <t>34.0c</t>
  </si>
  <si>
    <t>06.11.2024</t>
  </si>
  <si>
    <t>34.5c</t>
  </si>
  <si>
    <t>07.11.2024</t>
  </si>
  <si>
    <t>34c</t>
  </si>
  <si>
    <t>08.11.2024</t>
  </si>
  <si>
    <t>09.11.2024</t>
  </si>
  <si>
    <t>10.11.2024</t>
  </si>
  <si>
    <t>11.11.2024</t>
  </si>
  <si>
    <t>12.11.2024</t>
  </si>
  <si>
    <t>33.5c</t>
  </si>
  <si>
    <t>13.11.2024</t>
  </si>
  <si>
    <t>33.0c</t>
  </si>
  <si>
    <t>14.11.2024</t>
  </si>
  <si>
    <t>33c</t>
  </si>
  <si>
    <t>15.11.2024</t>
  </si>
  <si>
    <t>16.11.2024</t>
  </si>
  <si>
    <t>17.11.2024</t>
  </si>
  <si>
    <t>18.11.2024</t>
  </si>
  <si>
    <t>32.5c</t>
  </si>
  <si>
    <t>19.11.2024</t>
  </si>
  <si>
    <t>20.11.2024</t>
  </si>
  <si>
    <t>32.0c</t>
  </si>
  <si>
    <t>21.11.2024</t>
  </si>
  <si>
    <t>31.0c</t>
  </si>
  <si>
    <t>22.11.2024</t>
  </si>
  <si>
    <t>31.4c</t>
  </si>
  <si>
    <t>23.11.2024</t>
  </si>
  <si>
    <t>32c</t>
  </si>
  <si>
    <t>24.11.2024</t>
  </si>
  <si>
    <t>31.8c</t>
  </si>
  <si>
    <t>25.11.2024</t>
  </si>
  <si>
    <t>26.11.2024</t>
  </si>
  <si>
    <t>27.11.2024</t>
  </si>
  <si>
    <t>28.11.2024</t>
  </si>
  <si>
    <t>29.11.2024</t>
  </si>
  <si>
    <t>30.11.2024</t>
  </si>
  <si>
    <t>28c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</si>
</sst>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1" formatCode="_-* #,##0_-;\-* #,##0_-;_-* &quot;-&quot;_-;_-@_-"/>
    <numFmt numFmtId="43" formatCode="_-* #,##0.00_-;\-* #,##0.00_-;_-* &quot;-&quot;??_-;_-@_-"/>
    <numFmt numFmtId="164" formatCode="&quot;$&quot;#,##0.00_);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"/>
    <numFmt numFmtId="173" formatCode="#,##0.0"/>
    <numFmt numFmtId="174" formatCode="0.0%"/>
    <numFmt numFmtId="175" formatCode="_-* #,##0_-;\-* #,##0_-;_-* &quot;-&quot;??_-;_-@_-"/>
    <numFmt numFmtId="176" formatCode="_(* #,##0_);_(* \(#,##0\);_(* &quot;-&quot;??_);_(@_)"/>
    <numFmt numFmtId="177" formatCode="0.00000"/>
    <numFmt numFmtId="178" formatCode="dddd\,\ dd/mm/yyyy"/>
    <numFmt numFmtId="179" formatCode="##,##0.00"/>
    <numFmt numFmtId="180" formatCode="_(* #,##0.0_);_(* \(#,##0.0\);_(* &quot;-&quot;??_);_(@_)"/>
    <numFmt numFmtId="181" formatCode="mmmm\-yyyy"/>
    <numFmt numFmtId="182" formatCode="_-[$€]* #,##0.00_-;\-[$€]* #,##0.00_-;_-[$€]* &quot;-&quot;??_-;_-@_-"/>
    <numFmt numFmtId="183" formatCode="#,##0.0_);[Red]\(#,##0.0\)"/>
    <numFmt numFmtId="184" formatCode="#,##0.0;[Red]\(#,##0.0\)"/>
    <numFmt numFmtId="185" formatCode="0_)"/>
    <numFmt numFmtId="186" formatCode="0.0\ &quot;Year&quot;"/>
    <numFmt numFmtId="187" formatCode="0\ &quot;Year&quot;"/>
    <numFmt numFmtId="188" formatCode="\£#,##0_);\(\£#,##0\)"/>
    <numFmt numFmtId="189" formatCode="0.000\ &quot;Years     &quot;"/>
    <numFmt numFmtId="190" formatCode="0.00\ &quot;Years&quot;"/>
    <numFmt numFmtId="191" formatCode="&quot;$&quot;#,##0.00"/>
    <numFmt numFmtId="192" formatCode="0.0\ &quot;Years     &quot;"/>
    <numFmt numFmtId="193" formatCode="#,##0;\(#,##0\)"/>
    <numFmt numFmtId="194" formatCode="#,##0;\-#,##0;\-"/>
    <numFmt numFmtId="195" formatCode="_-* #,##0\ &quot;F&quot;_-;\-* #,##0\ &quot;F&quot;_-;_-* &quot;-&quot;\ &quot;F&quot;_-;_-@_-"/>
    <numFmt numFmtId="196" formatCode="0.00_)"/>
    <numFmt numFmtId="197" formatCode="0.000_)"/>
    <numFmt numFmtId="198" formatCode="0.000000%"/>
    <numFmt numFmtId="199" formatCode="[$-409]mmmmm;@"/>
    <numFmt numFmtId="200" formatCode="* \(#,##0\);* #,##0_);&quot;-&quot;??_);@"/>
    <numFmt numFmtId="201" formatCode="#,##0;[Red]\(#,##0\)"/>
    <numFmt numFmtId="202" formatCode="0.00_);\(0.00\);0.00"/>
    <numFmt numFmtId="203" formatCode="0.00\ &quot;Years     &quot;"/>
    <numFmt numFmtId="204" formatCode="dd\ mmm\ yyyy_);;;&quot;  &quot;@"/>
    <numFmt numFmtId="205" formatCode="0.0;[Red]\(0.0\)"/>
    <numFmt numFmtId="206" formatCode="_-* #,##0\ _D_M_-;\-* #,##0\ _D_M_-;_-* &quot;-&quot;\ _D_M_-;_-@_-"/>
    <numFmt numFmtId="207" formatCode="_-* #,##0.00\ _D_M_-;\-* #,##0.00\ _D_M_-;_-* &quot;-&quot;??\ _D_M_-;_-@_-"/>
    <numFmt numFmtId="208" formatCode="* #,##0_%;* \-#,##0_%;* #,##0_%;@_%"/>
    <numFmt numFmtId="209" formatCode="_(&quot;€&quot;* #,##0.00_);_(&quot;€&quot;* \(#,##0.00\);_(&quot;€&quot;* &quot;-&quot;??_);_(@_)"/>
    <numFmt numFmtId="210" formatCode="_-* #,##0.00\ &quot;€&quot;_-;\-* #,##0.00\ &quot;€&quot;_-;_-* &quot;-&quot;??\ &quot;€&quot;_-;_-@_-"/>
    <numFmt numFmtId="211" formatCode="#,##0.000_);[Red]\(#,##0.000\)"/>
    <numFmt numFmtId="212" formatCode="0_);[Red]\(0\)"/>
    <numFmt numFmtId="213" formatCode="0.000%"/>
    <numFmt numFmtId="214" formatCode="#,##0_);\(#,##0\);\-_)"/>
    <numFmt numFmtId="215" formatCode="0.00_);\(0.00\)"/>
    <numFmt numFmtId="216" formatCode="_(* #,##0.0000_);_(* \(#,##0.0000\);_(* &quot;-&quot;??_);_(@_)"/>
    <numFmt numFmtId="217" formatCode="&quot;$&quot;#,##0.0_);\(&quot;$&quot;#,##0.0\)"/>
    <numFmt numFmtId="218" formatCode="0\ &quot;days&quot;"/>
    <numFmt numFmtId="219" formatCode="0\ &quot;Years     &quot;"/>
    <numFmt numFmtId="220" formatCode="_(&quot;$&quot;* #,##0.000_);_(&quot;$&quot;* \(#,##0.000\);_(&quot;$&quot;* &quot;-&quot;??_);_(@_)"/>
    <numFmt numFmtId="221" formatCode="&quot;$&quot;#,##0.0\);[Red]\(&quot;$&quot;#,##0.0\)"/>
    <numFmt numFmtId="222" formatCode="General_);[Red]\-General_)"/>
    <numFmt numFmtId="223" formatCode="_(#,##0.0,,_);[Red]\(#,##0.0,,\);_(&quot;-&quot;_);_-@_-"/>
    <numFmt numFmtId="224" formatCode="General_)"/>
    <numFmt numFmtId="225" formatCode="0.0_)"/>
    <numFmt numFmtId="226" formatCode="#,##0.0000_);\(#,##0.0000\)"/>
    <numFmt numFmtId="227" formatCode="0.0000000%"/>
    <numFmt numFmtId="228" formatCode="#,##0.00000_);\(#,##0.00000\)"/>
    <numFmt numFmtId="229" formatCode="0.00\%;\-0.00\%;0.00\%"/>
    <numFmt numFmtId="230" formatCode="0.00\x;\-0.00\x;0.00\x"/>
    <numFmt numFmtId="231" formatCode="mm/dd/yy"/>
    <numFmt numFmtId="232" formatCode="##0.00000"/>
    <numFmt numFmtId="233" formatCode="#,##0.0\);\(#,##0.0\)"/>
    <numFmt numFmtId="234" formatCode="0.0000_)"/>
    <numFmt numFmtId="235" formatCode="_-&quot;F&quot;\ * #,##0_-;_-&quot;F&quot;\ * #,##0\-;_-&quot;F&quot;\ * &quot;-&quot;_-;_-@_-"/>
    <numFmt numFmtId="236" formatCode="_-&quot;F&quot;\ * #,##0.00_-;_-&quot;F&quot;\ * #,##0.00\-;_-&quot;F&quot;\ * &quot;-&quot;??_-;_-@_-"/>
    <numFmt numFmtId="237" formatCode="_-* #,##0\ &quot;DM&quot;_-;\-* #,##0\ &quot;DM&quot;_-;_-* &quot;-&quot;\ &quot;DM&quot;_-;_-@_-"/>
    <numFmt numFmtId="238" formatCode="_-* #,##0.00\ &quot;DM&quot;_-;\-* #,##0.00\ &quot;DM&quot;_-;_-* &quot;-&quot;??\ &quot;DM&quot;_-;_-@_-"/>
    <numFmt numFmtId="239" formatCode="\¥#,##0_);\(\¥#,##0\)"/>
    <numFmt numFmtId="240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166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Border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2" fillId="0" borderId="0"/>
    <xf numFmtId="0" fontId="18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167" fontId="2" fillId="0" borderId="0" applyFont="0" applyFill="0" applyBorder="0" applyAlignment="0" applyProtection="0"/>
    <xf numFmtId="183" fontId="20" fillId="0" borderId="14"/>
    <xf numFmtId="10" fontId="21" fillId="0" borderId="0"/>
    <xf numFmtId="9" fontId="22" fillId="0" borderId="0"/>
    <xf numFmtId="174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4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4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5" fontId="25" fillId="0" borderId="20" applyNumberFormat="0" applyFill="0" applyProtection="0">
      <alignment horizontal="center"/>
    </xf>
    <xf numFmtId="185" fontId="25" fillId="0" borderId="0" applyNumberFormat="0" applyFill="0" applyBorder="0" applyProtection="0">
      <alignment horizontal="left"/>
    </xf>
    <xf numFmtId="185" fontId="26" fillId="0" borderId="0" applyNumberFormat="0" applyFill="0" applyBorder="0" applyProtection="0">
      <alignment horizontal="centerContinuous"/>
    </xf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80" fontId="13" fillId="7" borderId="0">
      <alignment horizontal="right"/>
    </xf>
    <xf numFmtId="180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164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8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21" fillId="0" borderId="0"/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91" fontId="44" fillId="0" borderId="0" applyFill="0"/>
    <xf numFmtId="191" fontId="44" fillId="0" borderId="0">
      <alignment horizontal="center"/>
    </xf>
    <xf numFmtId="0" fontId="44" fillId="0" borderId="0" applyFill="0">
      <alignment horizontal="center"/>
    </xf>
    <xf numFmtId="191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91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91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91" fontId="13" fillId="0" borderId="0" applyFill="0"/>
    <xf numFmtId="191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91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91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91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2" fontId="13" fillId="0" borderId="0"/>
    <xf numFmtId="192" fontId="13" fillId="0" borderId="0"/>
    <xf numFmtId="193" fontId="13" fillId="32" borderId="26" applyNumberFormat="0">
      <alignment vertical="center"/>
    </xf>
    <xf numFmtId="194" fontId="13" fillId="33" borderId="26" applyNumberFormat="0">
      <alignment vertical="center"/>
    </xf>
    <xf numFmtId="194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5" borderId="26" applyNumberFormat="0">
      <alignment vertical="center"/>
    </xf>
    <xf numFmtId="193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3" fontId="13" fillId="32" borderId="26" applyNumberFormat="0">
      <alignment vertical="center"/>
    </xf>
    <xf numFmtId="193" fontId="13" fillId="32" borderId="26" applyNumberFormat="0">
      <alignment vertical="center"/>
    </xf>
    <xf numFmtId="195" fontId="13" fillId="0" borderId="0" applyFill="0" applyBorder="0" applyAlignment="0"/>
    <xf numFmtId="195" fontId="13" fillId="0" borderId="0" applyFill="0" applyBorder="0" applyAlignment="0"/>
    <xf numFmtId="0" fontId="35" fillId="14" borderId="22" applyNumberFormat="0" applyAlignment="0" applyProtection="0"/>
    <xf numFmtId="196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6" fontId="22" fillId="0" borderId="0"/>
    <xf numFmtId="0" fontId="30" fillId="0" borderId="0">
      <alignment horizontal="center" wrapText="1"/>
      <protection hidden="1"/>
    </xf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66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9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200" fontId="18" fillId="0" borderId="0" applyFill="0" applyBorder="0" applyProtection="0"/>
    <xf numFmtId="201" fontId="64" fillId="7" borderId="0">
      <alignment horizontal="right"/>
    </xf>
    <xf numFmtId="202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80" fontId="21" fillId="0" borderId="0">
      <alignment horizontal="right"/>
    </xf>
    <xf numFmtId="20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37" fontId="21" fillId="0" borderId="0" applyProtection="0">
      <protection locked="0"/>
    </xf>
    <xf numFmtId="205" fontId="18" fillId="0" borderId="7">
      <alignment horizontal="center"/>
      <protection locked="0"/>
    </xf>
    <xf numFmtId="37" fontId="41" fillId="0" borderId="28"/>
    <xf numFmtId="206" fontId="65" fillId="0" borderId="0" applyFont="0" applyFill="0" applyBorder="0" applyAlignment="0" applyProtection="0"/>
    <xf numFmtId="207" fontId="65" fillId="0" borderId="0" applyFont="0" applyFill="0" applyBorder="0" applyAlignment="0" applyProtection="0"/>
    <xf numFmtId="208" fontId="13" fillId="0" borderId="0"/>
    <xf numFmtId="208" fontId="13" fillId="0" borderId="0"/>
    <xf numFmtId="165" fontId="66" fillId="0" borderId="0" applyFill="0" applyBorder="0" applyAlignment="0" applyProtection="0"/>
    <xf numFmtId="174" fontId="67" fillId="0" borderId="0">
      <alignment horizontal="right"/>
    </xf>
    <xf numFmtId="180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9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80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6" fontId="33" fillId="0" borderId="0">
      <alignment horizontal="right"/>
    </xf>
    <xf numFmtId="211" fontId="13" fillId="0" borderId="0">
      <protection locked="0"/>
    </xf>
    <xf numFmtId="211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2" fontId="13" fillId="39" borderId="0" applyFill="0" applyBorder="0">
      <alignment horizontal="right"/>
    </xf>
    <xf numFmtId="212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5" fontId="78" fillId="0" borderId="7" applyFill="0" applyBorder="0">
      <alignment horizontal="center"/>
    </xf>
    <xf numFmtId="205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4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3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5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21" fontId="30" fillId="0" borderId="0">
      <alignment vertical="center"/>
    </xf>
    <xf numFmtId="196" fontId="30" fillId="0" borderId="10" applyFill="0" applyBorder="0" applyAlignment="0">
      <alignment horizontal="right"/>
    </xf>
    <xf numFmtId="166" fontId="99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99" fillId="0" borderId="0" applyFont="0" applyFill="0" applyBorder="0" applyAlignment="0" applyProtection="0"/>
    <xf numFmtId="222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3" fillId="0" borderId="0" applyFont="0" applyFill="0" applyBorder="0" applyAlignment="0" applyProtection="0"/>
    <xf numFmtId="225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6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4" fontId="106" fillId="0" borderId="0" applyNumberFormat="0" applyFont="0" applyBorder="0"/>
    <xf numFmtId="228" fontId="13" fillId="0" borderId="0">
      <alignment horizontal="right"/>
    </xf>
    <xf numFmtId="228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4" fontId="108" fillId="43" borderId="12" applyNumberFormat="0" applyAlignment="0">
      <alignment horizontal="left"/>
      <protection locked="0"/>
    </xf>
    <xf numFmtId="174" fontId="67" fillId="0" borderId="0">
      <alignment horizontal="right"/>
    </xf>
    <xf numFmtId="174" fontId="33" fillId="0" borderId="0"/>
    <xf numFmtId="174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9" fontId="30" fillId="0" borderId="0" applyFill="0" applyBorder="0">
      <alignment horizontal="right"/>
      <protection locked="0"/>
    </xf>
    <xf numFmtId="0" fontId="33" fillId="0" borderId="0" applyNumberFormat="0" applyFont="0"/>
    <xf numFmtId="174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80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91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30" fontId="30" fillId="0" borderId="0">
      <alignment horizontal="right"/>
      <protection locked="0"/>
    </xf>
    <xf numFmtId="231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80" fontId="33" fillId="0" borderId="16">
      <alignment horizontal="right"/>
    </xf>
    <xf numFmtId="180" fontId="33" fillId="0" borderId="16">
      <alignment horizontal="right"/>
    </xf>
    <xf numFmtId="180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2" fontId="120" fillId="0" borderId="0" applyFill="0" applyBorder="0">
      <alignment horizontal="right"/>
      <protection hidden="1"/>
    </xf>
    <xf numFmtId="0" fontId="121" fillId="0" borderId="0">
      <protection locked="0"/>
    </xf>
    <xf numFmtId="221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6" fontId="30" fillId="0" borderId="10" applyFill="0" applyBorder="0" applyAlignment="0">
      <alignment horizontal="right"/>
    </xf>
    <xf numFmtId="196" fontId="30" fillId="0" borderId="10" applyFill="0" applyBorder="0" applyAlignment="0"/>
    <xf numFmtId="233" fontId="13" fillId="0" borderId="10" applyFill="0" applyBorder="0" applyAlignment="0">
      <alignment horizontal="right"/>
    </xf>
    <xf numFmtId="234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165" fontId="42" fillId="0" borderId="0" applyFill="0" applyBorder="0" applyAlignment="0" applyProtection="0"/>
    <xf numFmtId="0" fontId="126" fillId="0" borderId="24">
      <alignment horizontal="center"/>
    </xf>
    <xf numFmtId="180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5" fontId="13" fillId="0" borderId="43" applyFill="0" applyBorder="0" applyAlignment="0"/>
    <xf numFmtId="175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3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3" fontId="45" fillId="0" borderId="0" applyNumberFormat="0">
      <alignment vertical="center"/>
    </xf>
    <xf numFmtId="193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9" fillId="0" borderId="0">
      <alignment horizontal="centerContinuous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165" fontId="99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9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5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91" fontId="45" fillId="0" borderId="25" applyFill="0"/>
    <xf numFmtId="0" fontId="59" fillId="25" borderId="27" applyNumberFormat="0" applyAlignment="0" applyProtection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43" fontId="2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91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3" fontId="11" fillId="2" borderId="4" xfId="0" applyNumberFormat="1" applyFont="1" applyFill="1" applyBorder="1" applyAlignment="1">
      <alignment horizontal="center" vertical="center" wrapText="1"/>
    </xf>
    <xf numFmtId="173" fontId="11" fillId="2" borderId="4" xfId="0" applyNumberFormat="1" applyFont="1" applyFill="1" applyBorder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174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3" fontId="11" fillId="0" borderId="0" xfId="0" applyNumberFormat="1" applyFont="1" applyAlignment="1">
      <alignment horizontal="center" vertical="center"/>
    </xf>
    <xf numFmtId="173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40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40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November- 2024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November-2024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0.98</c:v>
                </c:pt>
                <c:pt idx="1">
                  <c:v>0.96340000000000003</c:v>
                </c:pt>
                <c:pt idx="2">
                  <c:v>0.98</c:v>
                </c:pt>
                <c:pt idx="3">
                  <c:v>0.90369999999999995</c:v>
                </c:pt>
                <c:pt idx="4">
                  <c:v>0.95679999999999998</c:v>
                </c:pt>
                <c:pt idx="5">
                  <c:v>0.99670000000000003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0.96350000000000002</c:v>
                </c:pt>
                <c:pt idx="13">
                  <c:v>0.98</c:v>
                </c:pt>
                <c:pt idx="14">
                  <c:v>0.98680000000000001</c:v>
                </c:pt>
                <c:pt idx="15">
                  <c:v>1</c:v>
                </c:pt>
                <c:pt idx="16">
                  <c:v>0.94</c:v>
                </c:pt>
                <c:pt idx="17">
                  <c:v>0.87</c:v>
                </c:pt>
                <c:pt idx="18">
                  <c:v>0.87709999999999999</c:v>
                </c:pt>
                <c:pt idx="19">
                  <c:v>0.87</c:v>
                </c:pt>
                <c:pt idx="20">
                  <c:v>0.9</c:v>
                </c:pt>
                <c:pt idx="21">
                  <c:v>0.90639999999999998</c:v>
                </c:pt>
                <c:pt idx="22">
                  <c:v>0.80400000000000005</c:v>
                </c:pt>
                <c:pt idx="23">
                  <c:v>0.75819999999999999</c:v>
                </c:pt>
                <c:pt idx="24">
                  <c:v>0.7722</c:v>
                </c:pt>
                <c:pt idx="25">
                  <c:v>0.78</c:v>
                </c:pt>
                <c:pt idx="26">
                  <c:v>0.8</c:v>
                </c:pt>
                <c:pt idx="27">
                  <c:v>0.85</c:v>
                </c:pt>
                <c:pt idx="28">
                  <c:v>0.93479999999999996</c:v>
                </c:pt>
                <c:pt idx="29">
                  <c:v>0.89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November-2024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November-2024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0.73</c:v>
                </c:pt>
                <c:pt idx="1">
                  <c:v>0.94</c:v>
                </c:pt>
                <c:pt idx="2">
                  <c:v>0.99</c:v>
                </c:pt>
                <c:pt idx="3">
                  <c:v>0.95</c:v>
                </c:pt>
                <c:pt idx="4">
                  <c:v>0.85</c:v>
                </c:pt>
                <c:pt idx="5">
                  <c:v>0.84</c:v>
                </c:pt>
                <c:pt idx="6">
                  <c:v>0.68</c:v>
                </c:pt>
                <c:pt idx="7">
                  <c:v>0.72</c:v>
                </c:pt>
                <c:pt idx="8">
                  <c:v>0.81</c:v>
                </c:pt>
                <c:pt idx="9">
                  <c:v>0.93</c:v>
                </c:pt>
                <c:pt idx="10">
                  <c:v>0.97</c:v>
                </c:pt>
                <c:pt idx="11">
                  <c:v>0.71</c:v>
                </c:pt>
                <c:pt idx="12">
                  <c:v>0.91</c:v>
                </c:pt>
                <c:pt idx="13">
                  <c:v>0.64</c:v>
                </c:pt>
                <c:pt idx="14">
                  <c:v>0.72</c:v>
                </c:pt>
                <c:pt idx="15">
                  <c:v>0.56999999999999995</c:v>
                </c:pt>
                <c:pt idx="16">
                  <c:v>0.69</c:v>
                </c:pt>
                <c:pt idx="17">
                  <c:v>0.77</c:v>
                </c:pt>
                <c:pt idx="18">
                  <c:v>0.66</c:v>
                </c:pt>
                <c:pt idx="19">
                  <c:v>0.82</c:v>
                </c:pt>
                <c:pt idx="20">
                  <c:v>0.7</c:v>
                </c:pt>
                <c:pt idx="21">
                  <c:v>0.57999999999999996</c:v>
                </c:pt>
                <c:pt idx="22">
                  <c:v>0.72</c:v>
                </c:pt>
                <c:pt idx="23">
                  <c:v>0.77</c:v>
                </c:pt>
                <c:pt idx="24">
                  <c:v>0.68</c:v>
                </c:pt>
                <c:pt idx="25">
                  <c:v>0.72</c:v>
                </c:pt>
                <c:pt idx="26">
                  <c:v>0.67</c:v>
                </c:pt>
                <c:pt idx="27">
                  <c:v>0.68</c:v>
                </c:pt>
                <c:pt idx="28">
                  <c:v>0.7</c:v>
                </c:pt>
                <c:pt idx="29">
                  <c:v>0.67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November-2024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8775.2900000000009</c:v>
                </c:pt>
                <c:pt idx="1">
                  <c:v>9303.69</c:v>
                </c:pt>
                <c:pt idx="2">
                  <c:v>9283.58</c:v>
                </c:pt>
                <c:pt idx="3">
                  <c:v>9303.69</c:v>
                </c:pt>
                <c:pt idx="4">
                  <c:v>8764.32</c:v>
                </c:pt>
                <c:pt idx="5">
                  <c:v>9342.09</c:v>
                </c:pt>
                <c:pt idx="6">
                  <c:v>8947.16</c:v>
                </c:pt>
                <c:pt idx="7">
                  <c:v>8559.5499999999993</c:v>
                </c:pt>
                <c:pt idx="8">
                  <c:v>8585.14</c:v>
                </c:pt>
                <c:pt idx="9">
                  <c:v>8444.36</c:v>
                </c:pt>
                <c:pt idx="10">
                  <c:v>8936.19</c:v>
                </c:pt>
                <c:pt idx="11">
                  <c:v>8822.83</c:v>
                </c:pt>
                <c:pt idx="12">
                  <c:v>8473.61</c:v>
                </c:pt>
                <c:pt idx="13">
                  <c:v>8650.9599999999991</c:v>
                </c:pt>
                <c:pt idx="14">
                  <c:v>7981.78</c:v>
                </c:pt>
                <c:pt idx="15">
                  <c:v>7934.24</c:v>
                </c:pt>
                <c:pt idx="16">
                  <c:v>7169.98</c:v>
                </c:pt>
                <c:pt idx="17">
                  <c:v>7029.2</c:v>
                </c:pt>
                <c:pt idx="18">
                  <c:v>7116.96</c:v>
                </c:pt>
                <c:pt idx="19">
                  <c:v>6972.52</c:v>
                </c:pt>
                <c:pt idx="20">
                  <c:v>7321.74</c:v>
                </c:pt>
                <c:pt idx="21">
                  <c:v>7511.89</c:v>
                </c:pt>
                <c:pt idx="22">
                  <c:v>7908.65</c:v>
                </c:pt>
                <c:pt idx="23">
                  <c:v>7859.28</c:v>
                </c:pt>
                <c:pt idx="24">
                  <c:v>7546.63</c:v>
                </c:pt>
                <c:pt idx="25">
                  <c:v>7383.9</c:v>
                </c:pt>
                <c:pt idx="26">
                  <c:v>7204.72</c:v>
                </c:pt>
                <c:pt idx="27">
                  <c:v>7883.05</c:v>
                </c:pt>
                <c:pt idx="28">
                  <c:v>6990.8</c:v>
                </c:pt>
                <c:pt idx="29">
                  <c:v>6557.48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November-2024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6431.04</c:v>
                </c:pt>
                <c:pt idx="1">
                  <c:v>6859.78</c:v>
                </c:pt>
                <c:pt idx="2">
                  <c:v>6859.78</c:v>
                </c:pt>
                <c:pt idx="3">
                  <c:v>6645.41</c:v>
                </c:pt>
                <c:pt idx="4">
                  <c:v>6431.04</c:v>
                </c:pt>
                <c:pt idx="5">
                  <c:v>6645.41</c:v>
                </c:pt>
                <c:pt idx="6">
                  <c:v>6431.04</c:v>
                </c:pt>
                <c:pt idx="7">
                  <c:v>6645.41</c:v>
                </c:pt>
                <c:pt idx="8">
                  <c:v>6645.41</c:v>
                </c:pt>
                <c:pt idx="9">
                  <c:v>6431.04</c:v>
                </c:pt>
                <c:pt idx="10">
                  <c:v>6859.78</c:v>
                </c:pt>
                <c:pt idx="11">
                  <c:v>6645.41</c:v>
                </c:pt>
                <c:pt idx="12">
                  <c:v>6431.04</c:v>
                </c:pt>
                <c:pt idx="13">
                  <c:v>6645.41</c:v>
                </c:pt>
                <c:pt idx="14">
                  <c:v>6645.41</c:v>
                </c:pt>
                <c:pt idx="15">
                  <c:v>6859.78</c:v>
                </c:pt>
                <c:pt idx="16">
                  <c:v>6645.41</c:v>
                </c:pt>
                <c:pt idx="17">
                  <c:v>6645.41</c:v>
                </c:pt>
                <c:pt idx="18">
                  <c:v>6431.04</c:v>
                </c:pt>
                <c:pt idx="19">
                  <c:v>6645.41</c:v>
                </c:pt>
                <c:pt idx="20">
                  <c:v>6645.41</c:v>
                </c:pt>
                <c:pt idx="21">
                  <c:v>6645.41</c:v>
                </c:pt>
                <c:pt idx="22">
                  <c:v>6859.78</c:v>
                </c:pt>
                <c:pt idx="23">
                  <c:v>6216.67</c:v>
                </c:pt>
                <c:pt idx="24">
                  <c:v>6645.41</c:v>
                </c:pt>
                <c:pt idx="25">
                  <c:v>6431.04</c:v>
                </c:pt>
                <c:pt idx="26">
                  <c:v>6431.04</c:v>
                </c:pt>
                <c:pt idx="27">
                  <c:v>6431.04</c:v>
                </c:pt>
                <c:pt idx="28">
                  <c:v>6859.78</c:v>
                </c:pt>
                <c:pt idx="29">
                  <c:v>6645.41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November-2024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3420.4</c:v>
                </c:pt>
                <c:pt idx="1">
                  <c:v>2615.1999999999998</c:v>
                </c:pt>
                <c:pt idx="2">
                  <c:v>2588.8000000000002</c:v>
                </c:pt>
                <c:pt idx="3">
                  <c:v>2602</c:v>
                </c:pt>
                <c:pt idx="4">
                  <c:v>2694.4</c:v>
                </c:pt>
                <c:pt idx="5">
                  <c:v>2720.8</c:v>
                </c:pt>
                <c:pt idx="6">
                  <c:v>2351.1999999999998</c:v>
                </c:pt>
                <c:pt idx="7">
                  <c:v>2430.4</c:v>
                </c:pt>
                <c:pt idx="8">
                  <c:v>2232.4</c:v>
                </c:pt>
                <c:pt idx="9">
                  <c:v>2773.6</c:v>
                </c:pt>
                <c:pt idx="10">
                  <c:v>2509.6</c:v>
                </c:pt>
                <c:pt idx="11">
                  <c:v>2430.4</c:v>
                </c:pt>
                <c:pt idx="12">
                  <c:v>2245.6</c:v>
                </c:pt>
                <c:pt idx="13">
                  <c:v>2364.4</c:v>
                </c:pt>
                <c:pt idx="14">
                  <c:v>2641.6</c:v>
                </c:pt>
                <c:pt idx="15">
                  <c:v>2773.6</c:v>
                </c:pt>
                <c:pt idx="16">
                  <c:v>2602</c:v>
                </c:pt>
                <c:pt idx="17">
                  <c:v>2272</c:v>
                </c:pt>
                <c:pt idx="18">
                  <c:v>2258.8000000000002</c:v>
                </c:pt>
                <c:pt idx="19">
                  <c:v>2140</c:v>
                </c:pt>
                <c:pt idx="20">
                  <c:v>2258.8000000000002</c:v>
                </c:pt>
                <c:pt idx="21">
                  <c:v>4740.3999999999996</c:v>
                </c:pt>
                <c:pt idx="22">
                  <c:v>2760.4</c:v>
                </c:pt>
                <c:pt idx="23">
                  <c:v>2522.8000000000002</c:v>
                </c:pt>
                <c:pt idx="24">
                  <c:v>2602</c:v>
                </c:pt>
                <c:pt idx="25">
                  <c:v>2417.1999999999998</c:v>
                </c:pt>
                <c:pt idx="26">
                  <c:v>2245.6</c:v>
                </c:pt>
                <c:pt idx="27">
                  <c:v>2364.4</c:v>
                </c:pt>
                <c:pt idx="28">
                  <c:v>2390.8000000000002</c:v>
                </c:pt>
                <c:pt idx="29">
                  <c:v>2575.6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November-2024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399.67</c:v>
                </c:pt>
                <c:pt idx="2">
                  <c:v>444.08</c:v>
                </c:pt>
                <c:pt idx="3">
                  <c:v>399.67</c:v>
                </c:pt>
                <c:pt idx="4">
                  <c:v>444.08</c:v>
                </c:pt>
                <c:pt idx="5">
                  <c:v>444.08</c:v>
                </c:pt>
                <c:pt idx="6">
                  <c:v>399.67</c:v>
                </c:pt>
                <c:pt idx="7">
                  <c:v>399.67</c:v>
                </c:pt>
                <c:pt idx="8">
                  <c:v>532.9</c:v>
                </c:pt>
                <c:pt idx="9">
                  <c:v>444.08</c:v>
                </c:pt>
                <c:pt idx="10">
                  <c:v>444.08</c:v>
                </c:pt>
                <c:pt idx="11">
                  <c:v>532.9</c:v>
                </c:pt>
                <c:pt idx="12">
                  <c:v>532.9</c:v>
                </c:pt>
                <c:pt idx="13">
                  <c:v>399.67</c:v>
                </c:pt>
                <c:pt idx="14">
                  <c:v>399.67</c:v>
                </c:pt>
                <c:pt idx="15">
                  <c:v>399.69</c:v>
                </c:pt>
                <c:pt idx="16">
                  <c:v>488.49</c:v>
                </c:pt>
                <c:pt idx="17">
                  <c:v>488.49</c:v>
                </c:pt>
                <c:pt idx="18">
                  <c:v>488.49</c:v>
                </c:pt>
                <c:pt idx="19">
                  <c:v>444.08</c:v>
                </c:pt>
                <c:pt idx="20">
                  <c:v>444.08</c:v>
                </c:pt>
                <c:pt idx="21">
                  <c:v>355.26</c:v>
                </c:pt>
                <c:pt idx="22">
                  <c:v>444.08</c:v>
                </c:pt>
                <c:pt idx="23">
                  <c:v>444.08</c:v>
                </c:pt>
                <c:pt idx="24">
                  <c:v>444.08</c:v>
                </c:pt>
                <c:pt idx="25">
                  <c:v>444.08</c:v>
                </c:pt>
                <c:pt idx="26">
                  <c:v>444.08</c:v>
                </c:pt>
                <c:pt idx="27">
                  <c:v>444.08</c:v>
                </c:pt>
                <c:pt idx="28">
                  <c:v>444.08</c:v>
                </c:pt>
                <c:pt idx="29">
                  <c:v>488.49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November-2024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19070.810000000005</c:v>
                </c:pt>
                <c:pt idx="1">
                  <c:v>19178.34</c:v>
                </c:pt>
                <c:pt idx="2">
                  <c:v>19176.240000000002</c:v>
                </c:pt>
                <c:pt idx="3">
                  <c:v>18950.769999999997</c:v>
                </c:pt>
                <c:pt idx="4">
                  <c:v>18333.840000000004</c:v>
                </c:pt>
                <c:pt idx="5">
                  <c:v>19152.38</c:v>
                </c:pt>
                <c:pt idx="6">
                  <c:v>18129.07</c:v>
                </c:pt>
                <c:pt idx="7">
                  <c:v>18035.03</c:v>
                </c:pt>
                <c:pt idx="8">
                  <c:v>17995.850000000002</c:v>
                </c:pt>
                <c:pt idx="9">
                  <c:v>18093.080000000002</c:v>
                </c:pt>
                <c:pt idx="10">
                  <c:v>18749.650000000001</c:v>
                </c:pt>
                <c:pt idx="11">
                  <c:v>18431.54</c:v>
                </c:pt>
                <c:pt idx="12">
                  <c:v>17683.150000000001</c:v>
                </c:pt>
                <c:pt idx="13">
                  <c:v>18060.439999999999</c:v>
                </c:pt>
                <c:pt idx="14">
                  <c:v>17668.459999999995</c:v>
                </c:pt>
                <c:pt idx="15">
                  <c:v>17967.309999999998</c:v>
                </c:pt>
                <c:pt idx="16">
                  <c:v>16905.88</c:v>
                </c:pt>
                <c:pt idx="17">
                  <c:v>16435.100000000002</c:v>
                </c:pt>
                <c:pt idx="18">
                  <c:v>16295.289999999999</c:v>
                </c:pt>
                <c:pt idx="19">
                  <c:v>16202.01</c:v>
                </c:pt>
                <c:pt idx="20">
                  <c:v>16670.030000000002</c:v>
                </c:pt>
                <c:pt idx="21">
                  <c:v>19252.959999999995</c:v>
                </c:pt>
                <c:pt idx="22">
                  <c:v>17972.910000000003</c:v>
                </c:pt>
                <c:pt idx="23">
                  <c:v>17042.830000000002</c:v>
                </c:pt>
                <c:pt idx="24">
                  <c:v>17238.120000000003</c:v>
                </c:pt>
                <c:pt idx="25">
                  <c:v>16676.22</c:v>
                </c:pt>
                <c:pt idx="26">
                  <c:v>16325.44</c:v>
                </c:pt>
                <c:pt idx="27">
                  <c:v>17122.570000000003</c:v>
                </c:pt>
                <c:pt idx="28">
                  <c:v>16685.460000000003</c:v>
                </c:pt>
                <c:pt idx="29">
                  <c:v>16266.98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14909712"/>
        <c:axId val="-14898288"/>
        <c:extLst/>
      </c:lineChart>
      <c:catAx>
        <c:axId val="-149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898288"/>
        <c:crosses val="autoZero"/>
        <c:auto val="1"/>
        <c:lblAlgn val="ctr"/>
        <c:lblOffset val="100"/>
        <c:noMultiLvlLbl val="0"/>
      </c:catAx>
      <c:valAx>
        <c:axId val="-14898288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0971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2"/>
  <sheetViews>
    <sheetView tabSelected="1" workbookViewId="0">
      <selection activeCell="D7" sqref="D7:D32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11</v>
      </c>
      <c r="D2" s="40">
        <v>2024</v>
      </c>
      <c r="E2" s="42">
        <f>'MTD Utility Sheet'!G4/0.439</f>
        <v>14649.293849658314</v>
      </c>
      <c r="F2" s="43">
        <v>0.439</v>
      </c>
      <c r="G2" s="42">
        <f>('MTD Utility Sheet'!I4/1.82)/0.5</f>
        <v>487.99999999999994</v>
      </c>
      <c r="H2" s="44">
        <f>1.82*0.5</f>
        <v>0.91</v>
      </c>
      <c r="I2" s="42">
        <f>'MTD Utility Sheet'!H4/12.38</f>
        <v>276.28432956381261</v>
      </c>
      <c r="J2" s="43">
        <v>12.38</v>
      </c>
      <c r="K2" s="45">
        <f>IF(('MTD Utility Sheet'!F4-2866)&lt;0,"0",('MTD Utility Sheet'!F4-2866)/(0.568+0.075))</f>
        <v>9190.1866251944048</v>
      </c>
      <c r="L2" s="43">
        <f>'MTD Utility Sheet'!F4/K2</f>
        <v>0.95485438521379018</v>
      </c>
      <c r="M2" s="42">
        <f>'MTD Utility Sheet'!B4*301</f>
        <v>294.98</v>
      </c>
      <c r="N2" s="40" t="s">
        <v>67</v>
      </c>
      <c r="O2" s="38"/>
    </row>
    <row r="3" spans="1:15">
      <c r="A3" s="39" t="s">
        <v>68</v>
      </c>
      <c r="B3" s="40">
        <f t="shared" ref="B3:B32" si="0">B2+1</f>
        <v>2</v>
      </c>
      <c r="C3" s="41">
        <v>11</v>
      </c>
      <c r="D3" s="40">
        <v>2024</v>
      </c>
      <c r="E3" s="42">
        <f>'MTD Utility Sheet'!G5/0.439</f>
        <v>15625.922551252846</v>
      </c>
      <c r="F3" s="43">
        <v>0.439</v>
      </c>
      <c r="G3" s="42">
        <f>('MTD Utility Sheet'!I5/1.82)/0.5</f>
        <v>439.19780219780222</v>
      </c>
      <c r="H3" s="44">
        <f t="shared" ref="H3:H32" si="1">1.82*0.5</f>
        <v>0.91</v>
      </c>
      <c r="I3" s="42">
        <f>'MTD Utility Sheet'!H5/12.38</f>
        <v>211.24394184168011</v>
      </c>
      <c r="J3" s="43">
        <v>12.38</v>
      </c>
      <c r="K3" s="45">
        <f>IF(('MTD Utility Sheet'!F5-2866)&lt;0,"0",('MTD Utility Sheet'!F5-2866)/(0.568+0.075))</f>
        <v>10011.959564541216</v>
      </c>
      <c r="L3" s="43">
        <f>'MTD Utility Sheet'!F5/K3</f>
        <v>0.92925764831795243</v>
      </c>
      <c r="M3" s="42">
        <f>'MTD Utility Sheet'!B5*301</f>
        <v>289.98340000000002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11</v>
      </c>
      <c r="D4" s="40">
        <v>2024</v>
      </c>
      <c r="E4" s="42">
        <f>'MTD Utility Sheet'!G6/0.439</f>
        <v>15625.922551252846</v>
      </c>
      <c r="F4" s="43">
        <v>0.439</v>
      </c>
      <c r="G4" s="42">
        <f>('MTD Utility Sheet'!I6/1.82)/0.5</f>
        <v>487.99999999999994</v>
      </c>
      <c r="H4" s="44">
        <f t="shared" si="1"/>
        <v>0.91</v>
      </c>
      <c r="I4" s="42">
        <f>'MTD Utility Sheet'!H6/12.38</f>
        <v>209.11147011308563</v>
      </c>
      <c r="J4" s="43">
        <v>12.38</v>
      </c>
      <c r="K4" s="45">
        <f>IF(('MTD Utility Sheet'!F6-2866)&lt;0,"0",('MTD Utility Sheet'!F6-2866)/(0.568+0.075))</f>
        <v>9980.684292379472</v>
      </c>
      <c r="L4" s="43">
        <f>'MTD Utility Sheet'!F6/K4</f>
        <v>0.93015465954456344</v>
      </c>
      <c r="M4" s="42">
        <f>'MTD Utility Sheet'!B6*301</f>
        <v>294.98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11</v>
      </c>
      <c r="D5" s="40">
        <v>2024</v>
      </c>
      <c r="E5" s="42">
        <f>'MTD Utility Sheet'!G7/0.439</f>
        <v>15137.608200455581</v>
      </c>
      <c r="F5" s="43">
        <v>0.439</v>
      </c>
      <c r="G5" s="42">
        <f>('MTD Utility Sheet'!I7/1.82)/0.5</f>
        <v>439.19780219780222</v>
      </c>
      <c r="H5" s="44">
        <f t="shared" si="1"/>
        <v>0.91</v>
      </c>
      <c r="I5" s="42">
        <f>'MTD Utility Sheet'!H7/12.38</f>
        <v>210.17770597738286</v>
      </c>
      <c r="J5" s="43">
        <v>12.38</v>
      </c>
      <c r="K5" s="45">
        <f>IF(('MTD Utility Sheet'!F7-2866)&lt;0,"0",('MTD Utility Sheet'!F7-2866)/(0.568+0.075))</f>
        <v>10011.959564541216</v>
      </c>
      <c r="L5" s="43">
        <f>'MTD Utility Sheet'!F7/K5</f>
        <v>0.92925764831795243</v>
      </c>
      <c r="M5" s="42">
        <f>'MTD Utility Sheet'!B7*301</f>
        <v>272.01369999999997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11</v>
      </c>
      <c r="D6" s="40">
        <v>2024</v>
      </c>
      <c r="E6" s="42">
        <f>'MTD Utility Sheet'!G8/0.439</f>
        <v>14649.293849658314</v>
      </c>
      <c r="F6" s="43">
        <v>0.439</v>
      </c>
      <c r="G6" s="42">
        <f>('MTD Utility Sheet'!I8/1.82)/0.5</f>
        <v>487.99999999999994</v>
      </c>
      <c r="H6" s="44">
        <f t="shared" si="1"/>
        <v>0.91</v>
      </c>
      <c r="I6" s="42">
        <f>'MTD Utility Sheet'!H8/12.38</f>
        <v>217.64135702746364</v>
      </c>
      <c r="J6" s="43">
        <v>12.38</v>
      </c>
      <c r="K6" s="45">
        <f>IF(('MTD Utility Sheet'!F8-2866)&lt;0,"0",('MTD Utility Sheet'!F8-2866)/(0.568+0.075))</f>
        <v>9173.1259720062226</v>
      </c>
      <c r="L6" s="43">
        <f>'MTD Utility Sheet'!F8/K6</f>
        <v>0.95543438809694947</v>
      </c>
      <c r="M6" s="42">
        <f>'MTD Utility Sheet'!B8*301</f>
        <v>287.99680000000001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11</v>
      </c>
      <c r="D7" s="40">
        <v>2024</v>
      </c>
      <c r="E7" s="42">
        <f>'MTD Utility Sheet'!G9/0.439</f>
        <v>15137.608200455581</v>
      </c>
      <c r="F7" s="43">
        <v>0.439</v>
      </c>
      <c r="G7" s="42">
        <f>('MTD Utility Sheet'!I9/1.82)/0.5</f>
        <v>487.99999999999994</v>
      </c>
      <c r="H7" s="44">
        <f t="shared" si="1"/>
        <v>0.91</v>
      </c>
      <c r="I7" s="42">
        <f>'MTD Utility Sheet'!H9/12.38</f>
        <v>219.77382875605815</v>
      </c>
      <c r="J7" s="43">
        <v>12.38</v>
      </c>
      <c r="K7" s="45">
        <f>IF(('MTD Utility Sheet'!F9-2866)&lt;0,"0",('MTD Utility Sheet'!F9-2866)/(0.568+0.075))</f>
        <v>10071.679626749614</v>
      </c>
      <c r="L7" s="43">
        <f>'MTD Utility Sheet'!F9/K7</f>
        <v>0.92756028251614764</v>
      </c>
      <c r="M7" s="42">
        <f>'MTD Utility Sheet'!B9*301</f>
        <v>300.00670000000002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11</v>
      </c>
      <c r="D8" s="40">
        <v>2024</v>
      </c>
      <c r="E8" s="42">
        <f>'MTD Utility Sheet'!G10/0.439</f>
        <v>14649.293849658314</v>
      </c>
      <c r="F8" s="43">
        <v>0.439</v>
      </c>
      <c r="G8" s="42">
        <f>('MTD Utility Sheet'!I10/1.82)/0.5</f>
        <v>439.19780219780222</v>
      </c>
      <c r="H8" s="44">
        <f t="shared" si="1"/>
        <v>0.91</v>
      </c>
      <c r="I8" s="42">
        <f>'MTD Utility Sheet'!H10/12.38</f>
        <v>189.91922455573504</v>
      </c>
      <c r="J8" s="43">
        <v>12.38</v>
      </c>
      <c r="K8" s="45">
        <f>IF(('MTD Utility Sheet'!F10-2866)&lt;0,"0",('MTD Utility Sheet'!F10-2866)/(0.568+0.075))</f>
        <v>9457.4805598755847</v>
      </c>
      <c r="L8" s="43">
        <f>'MTD Utility Sheet'!F10/K8</f>
        <v>0.946040538318347</v>
      </c>
      <c r="M8" s="42">
        <f>'MTD Utility Sheet'!B10*301</f>
        <v>301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11</v>
      </c>
      <c r="D9" s="40">
        <v>2024</v>
      </c>
      <c r="E9" s="42">
        <f>'MTD Utility Sheet'!G11/0.439</f>
        <v>15137.608200455581</v>
      </c>
      <c r="F9" s="43">
        <v>0.439</v>
      </c>
      <c r="G9" s="42">
        <f>('MTD Utility Sheet'!I11/1.82)/0.5</f>
        <v>439.19780219780222</v>
      </c>
      <c r="H9" s="44">
        <f t="shared" si="1"/>
        <v>0.91</v>
      </c>
      <c r="I9" s="42">
        <f>'MTD Utility Sheet'!H11/12.38</f>
        <v>196.31663974151857</v>
      </c>
      <c r="J9" s="43">
        <v>12.38</v>
      </c>
      <c r="K9" s="45">
        <f>IF(('MTD Utility Sheet'!F11-2866)&lt;0,"0",('MTD Utility Sheet'!F11-2866)/(0.568+0.075))</f>
        <v>8854.6656298600319</v>
      </c>
      <c r="L9" s="43">
        <f>'MTD Utility Sheet'!F11/K9</f>
        <v>0.96667117176454043</v>
      </c>
      <c r="M9" s="42">
        <f>'MTD Utility Sheet'!B11*301</f>
        <v>301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11</v>
      </c>
      <c r="D10" s="40">
        <v>2024</v>
      </c>
      <c r="E10" s="42">
        <f>'MTD Utility Sheet'!G12/0.439</f>
        <v>15137.608200455581</v>
      </c>
      <c r="F10" s="43">
        <v>0.439</v>
      </c>
      <c r="G10" s="42">
        <f>('MTD Utility Sheet'!I12/1.82)/0.5</f>
        <v>585.60439560439556</v>
      </c>
      <c r="H10" s="44">
        <f t="shared" si="1"/>
        <v>0.91</v>
      </c>
      <c r="I10" s="42">
        <f>'MTD Utility Sheet'!H12/12.38</f>
        <v>180.32310177705978</v>
      </c>
      <c r="J10" s="43">
        <v>12.38</v>
      </c>
      <c r="K10" s="45">
        <f>IF(('MTD Utility Sheet'!F12-2866)&lt;0,"0",('MTD Utility Sheet'!F12-2866)/(0.568+0.075))</f>
        <v>8894.4634525660967</v>
      </c>
      <c r="L10" s="43">
        <f>'MTD Utility Sheet'!F12/K10</f>
        <v>0.96522292162807688</v>
      </c>
      <c r="M10" s="42">
        <f>'MTD Utility Sheet'!B12*301</f>
        <v>301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11</v>
      </c>
      <c r="D11" s="40">
        <v>2024</v>
      </c>
      <c r="E11" s="42">
        <f>'MTD Utility Sheet'!G13/0.439</f>
        <v>14649.293849658314</v>
      </c>
      <c r="F11" s="43">
        <v>0.439</v>
      </c>
      <c r="G11" s="42">
        <f>('MTD Utility Sheet'!I13/1.82)/0.5</f>
        <v>487.99999999999994</v>
      </c>
      <c r="H11" s="44">
        <f t="shared" si="1"/>
        <v>0.91</v>
      </c>
      <c r="I11" s="42">
        <f>'MTD Utility Sheet'!H13/12.38</f>
        <v>224.03877221324714</v>
      </c>
      <c r="J11" s="43">
        <v>12.38</v>
      </c>
      <c r="K11" s="45">
        <f>IF(('MTD Utility Sheet'!F13-2866)&lt;0,"0",('MTD Utility Sheet'!F13-2866)/(0.568+0.075))</f>
        <v>8675.5209953343729</v>
      </c>
      <c r="L11" s="43">
        <f>'MTD Utility Sheet'!F13/K11</f>
        <v>0.97335479961852567</v>
      </c>
      <c r="M11" s="42">
        <f>'MTD Utility Sheet'!B13*301</f>
        <v>301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11</v>
      </c>
      <c r="D12" s="40">
        <v>2024</v>
      </c>
      <c r="E12" s="42">
        <f>'MTD Utility Sheet'!G14/0.439</f>
        <v>15625.922551252846</v>
      </c>
      <c r="F12" s="43">
        <v>0.439</v>
      </c>
      <c r="G12" s="42">
        <f>('MTD Utility Sheet'!I14/1.82)/0.5</f>
        <v>487.99999999999994</v>
      </c>
      <c r="H12" s="44">
        <f t="shared" si="1"/>
        <v>0.91</v>
      </c>
      <c r="I12" s="42">
        <f>'MTD Utility Sheet'!H14/12.38</f>
        <v>202.71405492730207</v>
      </c>
      <c r="J12" s="43">
        <v>12.38</v>
      </c>
      <c r="K12" s="45">
        <f>IF(('MTD Utility Sheet'!F14-2866)&lt;0,"0",('MTD Utility Sheet'!F14-2866)/(0.568+0.075))</f>
        <v>9440.4199066874044</v>
      </c>
      <c r="L12" s="43">
        <f>'MTD Utility Sheet'!F14/K12</f>
        <v>0.94658819081445544</v>
      </c>
      <c r="M12" s="42">
        <f>'MTD Utility Sheet'!B14*301</f>
        <v>301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11</v>
      </c>
      <c r="D13" s="40">
        <v>2024</v>
      </c>
      <c r="E13" s="42">
        <f>'MTD Utility Sheet'!G15/0.439</f>
        <v>15137.608200455581</v>
      </c>
      <c r="F13" s="43">
        <v>0.439</v>
      </c>
      <c r="G13" s="42">
        <f>('MTD Utility Sheet'!I15/1.82)/0.5</f>
        <v>585.60439560439556</v>
      </c>
      <c r="H13" s="44">
        <f t="shared" si="1"/>
        <v>0.91</v>
      </c>
      <c r="I13" s="42">
        <f>'MTD Utility Sheet'!H15/12.38</f>
        <v>196.31663974151857</v>
      </c>
      <c r="J13" s="43">
        <v>12.38</v>
      </c>
      <c r="K13" s="45">
        <f>IF(('MTD Utility Sheet'!F15-2866)&lt;0,"0",('MTD Utility Sheet'!F15-2866)/(0.568+0.075))</f>
        <v>9264.1213063763626</v>
      </c>
      <c r="L13" s="43">
        <f>'MTD Utility Sheet'!F15/K13</f>
        <v>0.95236555181195348</v>
      </c>
      <c r="M13" s="42">
        <f>'MTD Utility Sheet'!B15*301</f>
        <v>301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11</v>
      </c>
      <c r="D14" s="40">
        <v>2024</v>
      </c>
      <c r="E14" s="42">
        <f>'MTD Utility Sheet'!G16/0.439</f>
        <v>14649.293849658314</v>
      </c>
      <c r="F14" s="43">
        <v>0.439</v>
      </c>
      <c r="G14" s="42">
        <f>('MTD Utility Sheet'!I16/1.82)/0.5</f>
        <v>585.60439560439556</v>
      </c>
      <c r="H14" s="44">
        <f t="shared" si="1"/>
        <v>0.91</v>
      </c>
      <c r="I14" s="42">
        <f>'MTD Utility Sheet'!H16/12.38</f>
        <v>181.389337641357</v>
      </c>
      <c r="J14" s="43">
        <v>12.38</v>
      </c>
      <c r="K14" s="45">
        <f>IF(('MTD Utility Sheet'!F16-2866)&lt;0,"0",('MTD Utility Sheet'!F16-2866)/(0.568+0.075))</f>
        <v>8721.0108864696758</v>
      </c>
      <c r="L14" s="43">
        <f>'MTD Utility Sheet'!F16/K14</f>
        <v>0.97163162737779529</v>
      </c>
      <c r="M14" s="42">
        <f>'MTD Utility Sheet'!B16*301</f>
        <v>290.01350000000002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11</v>
      </c>
      <c r="D15" s="40">
        <v>2024</v>
      </c>
      <c r="E15" s="42">
        <f>'MTD Utility Sheet'!G17/0.439</f>
        <v>15137.608200455581</v>
      </c>
      <c r="F15" s="43">
        <v>0.439</v>
      </c>
      <c r="G15" s="42">
        <f>('MTD Utility Sheet'!I17/1.82)/0.5</f>
        <v>439.19780219780222</v>
      </c>
      <c r="H15" s="44">
        <f t="shared" si="1"/>
        <v>0.91</v>
      </c>
      <c r="I15" s="42">
        <f>'MTD Utility Sheet'!H17/12.38</f>
        <v>190.9854604200323</v>
      </c>
      <c r="J15" s="43">
        <v>12.38</v>
      </c>
      <c r="K15" s="45">
        <f>IF(('MTD Utility Sheet'!F17-2866)&lt;0,"0",('MTD Utility Sheet'!F17-2866)/(0.568+0.075))</f>
        <v>8996.827371695179</v>
      </c>
      <c r="L15" s="43">
        <f>'MTD Utility Sheet'!F17/K15</f>
        <v>0.96155674023675175</v>
      </c>
      <c r="M15" s="42">
        <f>'MTD Utility Sheet'!B17*301</f>
        <v>294.98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11</v>
      </c>
      <c r="D16" s="40">
        <v>2024</v>
      </c>
      <c r="E16" s="42">
        <f>'MTD Utility Sheet'!G18/0.439</f>
        <v>15137.608200455581</v>
      </c>
      <c r="F16" s="43">
        <v>0.439</v>
      </c>
      <c r="G16" s="42">
        <f>('MTD Utility Sheet'!I18/1.82)/0.5</f>
        <v>439.19780219780222</v>
      </c>
      <c r="H16" s="44">
        <f t="shared" si="1"/>
        <v>0.91</v>
      </c>
      <c r="I16" s="42">
        <f>'MTD Utility Sheet'!H18/12.38</f>
        <v>213.37641357027462</v>
      </c>
      <c r="J16" s="43">
        <v>12.38</v>
      </c>
      <c r="K16" s="45">
        <f>IF(('MTD Utility Sheet'!F18-2866)&lt;0,"0",('MTD Utility Sheet'!F18-2866)/(0.568+0.075))</f>
        <v>7956.1119751166416</v>
      </c>
      <c r="L16" s="43">
        <f>'MTD Utility Sheet'!F18/K16</f>
        <v>1.0032262020649831</v>
      </c>
      <c r="M16" s="42">
        <f>'MTD Utility Sheet'!B18*301</f>
        <v>297.02679999999998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11</v>
      </c>
      <c r="D17" s="40">
        <v>2024</v>
      </c>
      <c r="E17" s="42">
        <f>'MTD Utility Sheet'!G19/0.439</f>
        <v>15625.922551252846</v>
      </c>
      <c r="F17" s="43">
        <v>0.439</v>
      </c>
      <c r="G17" s="42">
        <f>('MTD Utility Sheet'!I19/1.82)/0.5</f>
        <v>439.2197802197802</v>
      </c>
      <c r="H17" s="44">
        <f t="shared" si="1"/>
        <v>0.91</v>
      </c>
      <c r="I17" s="42">
        <f>'MTD Utility Sheet'!H19/12.38</f>
        <v>224.03877221324714</v>
      </c>
      <c r="J17" s="43">
        <v>12.38</v>
      </c>
      <c r="K17" s="45">
        <f>IF(('MTD Utility Sheet'!F19-2866)&lt;0,"0",('MTD Utility Sheet'!F19-2866)/(0.568+0.075))</f>
        <v>7882.177293934682</v>
      </c>
      <c r="L17" s="43">
        <f>'MTD Utility Sheet'!F19/K17</f>
        <v>1.0066051173582939</v>
      </c>
      <c r="M17" s="42">
        <f>'MTD Utility Sheet'!B19*301</f>
        <v>301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11</v>
      </c>
      <c r="D18" s="40">
        <v>2024</v>
      </c>
      <c r="E18" s="42">
        <f>'MTD Utility Sheet'!G20/0.439</f>
        <v>15137.608200455581</v>
      </c>
      <c r="F18" s="43">
        <v>0.439</v>
      </c>
      <c r="G18" s="42">
        <f>('MTD Utility Sheet'!I20/1.82)/0.5</f>
        <v>536.80219780219784</v>
      </c>
      <c r="H18" s="44">
        <f t="shared" si="1"/>
        <v>0.91</v>
      </c>
      <c r="I18" s="42">
        <f>'MTD Utility Sheet'!H20/12.38</f>
        <v>210.17770597738286</v>
      </c>
      <c r="J18" s="43">
        <v>12.38</v>
      </c>
      <c r="K18" s="45">
        <f>IF(('MTD Utility Sheet'!F20-2866)&lt;0,"0",('MTD Utility Sheet'!F20-2866)/(0.568+0.075))</f>
        <v>6693.5925349922245</v>
      </c>
      <c r="L18" s="43">
        <f>'MTD Utility Sheet'!F20/K18</f>
        <v>1.0711706699380572</v>
      </c>
      <c r="M18" s="42">
        <f>'MTD Utility Sheet'!B20*301</f>
        <v>282.94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11</v>
      </c>
      <c r="D19" s="40">
        <v>2024</v>
      </c>
      <c r="E19" s="42">
        <f>'MTD Utility Sheet'!G21/0.439</f>
        <v>15137.608200455581</v>
      </c>
      <c r="F19" s="43">
        <v>0.439</v>
      </c>
      <c r="G19" s="42">
        <f>('MTD Utility Sheet'!I21/1.82)/0.5</f>
        <v>536.80219780219784</v>
      </c>
      <c r="H19" s="44">
        <f t="shared" si="1"/>
        <v>0.91</v>
      </c>
      <c r="I19" s="42">
        <f>'MTD Utility Sheet'!H21/12.38</f>
        <v>183.52180936995151</v>
      </c>
      <c r="J19" s="43">
        <v>12.38</v>
      </c>
      <c r="K19" s="45">
        <f>IF(('MTD Utility Sheet'!F21-2866)&lt;0,"0",('MTD Utility Sheet'!F21-2866)/(0.568+0.075))</f>
        <v>6474.6500777604988</v>
      </c>
      <c r="L19" s="43">
        <f>'MTD Utility Sheet'!F21/K19</f>
        <v>1.0856494043043809</v>
      </c>
      <c r="M19" s="42">
        <f>'MTD Utility Sheet'!B21*301</f>
        <v>261.87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11</v>
      </c>
      <c r="D20" s="40">
        <v>2024</v>
      </c>
      <c r="E20" s="42">
        <f>'MTD Utility Sheet'!G22/0.439</f>
        <v>14649.293849658314</v>
      </c>
      <c r="F20" s="43">
        <v>0.439</v>
      </c>
      <c r="G20" s="42">
        <f>('MTD Utility Sheet'!I22/1.82)/0.5</f>
        <v>536.80219780219784</v>
      </c>
      <c r="H20" s="44">
        <f t="shared" si="1"/>
        <v>0.91</v>
      </c>
      <c r="I20" s="42">
        <f>'MTD Utility Sheet'!H22/12.38</f>
        <v>182.45557350565429</v>
      </c>
      <c r="J20" s="43">
        <v>12.38</v>
      </c>
      <c r="K20" s="45">
        <f>IF(('MTD Utility Sheet'!F22-2866)&lt;0,"0",('MTD Utility Sheet'!F22-2866)/(0.568+0.075))</f>
        <v>6611.1353032659417</v>
      </c>
      <c r="L20" s="43">
        <f>'MTD Utility Sheet'!F22/K20</f>
        <v>1.0765110186875433</v>
      </c>
      <c r="M20" s="42">
        <f>'MTD Utility Sheet'!B22*301</f>
        <v>264.00709999999998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11</v>
      </c>
      <c r="D21" s="40">
        <v>2024</v>
      </c>
      <c r="E21" s="42">
        <f>'MTD Utility Sheet'!G23/0.439</f>
        <v>15137.608200455581</v>
      </c>
      <c r="F21" s="43">
        <v>0.439</v>
      </c>
      <c r="G21" s="42">
        <f>('MTD Utility Sheet'!I23/1.82)/0.5</f>
        <v>487.99999999999994</v>
      </c>
      <c r="H21" s="44">
        <f t="shared" si="1"/>
        <v>0.91</v>
      </c>
      <c r="I21" s="42">
        <f>'MTD Utility Sheet'!H23/12.38</f>
        <v>172.85945072697899</v>
      </c>
      <c r="J21" s="43">
        <v>12.38</v>
      </c>
      <c r="K21" s="45">
        <f>IF(('MTD Utility Sheet'!F23-2866)&lt;0,"0",('MTD Utility Sheet'!F23-2866)/(0.568+0.075))</f>
        <v>6386.5007776049779</v>
      </c>
      <c r="L21" s="43">
        <f>'MTD Utility Sheet'!F23/K21</f>
        <v>1.0917590465893261</v>
      </c>
      <c r="M21" s="42">
        <f>'MTD Utility Sheet'!B23*301</f>
        <v>261.87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11</v>
      </c>
      <c r="D22" s="40">
        <v>2024</v>
      </c>
      <c r="E22" s="42">
        <f>'MTD Utility Sheet'!G24/0.439</f>
        <v>15137.608200455581</v>
      </c>
      <c r="F22" s="43">
        <v>0.439</v>
      </c>
      <c r="G22" s="42">
        <f>('MTD Utility Sheet'!I24/1.82)/0.5</f>
        <v>487.99999999999994</v>
      </c>
      <c r="H22" s="44">
        <f t="shared" si="1"/>
        <v>0.91</v>
      </c>
      <c r="I22" s="42">
        <f>'MTD Utility Sheet'!H24/12.38</f>
        <v>182.45557350565429</v>
      </c>
      <c r="J22" s="43">
        <v>12.38</v>
      </c>
      <c r="K22" s="45">
        <f>IF(('MTD Utility Sheet'!F24-2866)&lt;0,"0",('MTD Utility Sheet'!F24-2866)/(0.568+0.075))</f>
        <v>6929.6111975116646</v>
      </c>
      <c r="L22" s="43">
        <f>'MTD Utility Sheet'!F24/K22</f>
        <v>1.0565874175782248</v>
      </c>
      <c r="M22" s="42">
        <f>'MTD Utility Sheet'!B24*301</f>
        <v>270.90000000000003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11</v>
      </c>
      <c r="D23" s="40">
        <v>2024</v>
      </c>
      <c r="E23" s="42">
        <f>'MTD Utility Sheet'!G25/0.439</f>
        <v>15137.608200455581</v>
      </c>
      <c r="F23" s="43">
        <v>0.439</v>
      </c>
      <c r="G23" s="42">
        <f>('MTD Utility Sheet'!I25/1.82)/0.5</f>
        <v>390.39560439560438</v>
      </c>
      <c r="H23" s="44">
        <f t="shared" si="1"/>
        <v>0.91</v>
      </c>
      <c r="I23" s="42">
        <f>'MTD Utility Sheet'!H25/12.38</f>
        <v>382.90791599353793</v>
      </c>
      <c r="J23" s="43">
        <v>12.38</v>
      </c>
      <c r="K23" s="45">
        <f>IF(('MTD Utility Sheet'!F25-2866)&lt;0,"0",('MTD Utility Sheet'!F25-2866)/(0.568+0.075))</f>
        <v>7225.3343701399708</v>
      </c>
      <c r="L23" s="43">
        <f>'MTD Utility Sheet'!F25/K23</f>
        <v>1.0396598434315059</v>
      </c>
      <c r="M23" s="42">
        <f>'MTD Utility Sheet'!B25*301</f>
        <v>272.82639999999998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11</v>
      </c>
      <c r="D24" s="40">
        <v>2024</v>
      </c>
      <c r="E24" s="42">
        <f>'MTD Utility Sheet'!G26/0.439</f>
        <v>15625.922551252846</v>
      </c>
      <c r="F24" s="43">
        <v>0.439</v>
      </c>
      <c r="G24" s="42">
        <f>('MTD Utility Sheet'!I26/1.82)/0.5</f>
        <v>487.99999999999994</v>
      </c>
      <c r="H24" s="44">
        <f t="shared" si="1"/>
        <v>0.91</v>
      </c>
      <c r="I24" s="42">
        <f>'MTD Utility Sheet'!H26/12.38</f>
        <v>222.97253634894992</v>
      </c>
      <c r="J24" s="43">
        <v>12.38</v>
      </c>
      <c r="K24" s="45">
        <f>IF(('MTD Utility Sheet'!F26-2866)&lt;0,"0",('MTD Utility Sheet'!F26-2866)/(0.568+0.075))</f>
        <v>7842.3794712286162</v>
      </c>
      <c r="L24" s="43">
        <f>'MTD Utility Sheet'!F26/K24</f>
        <v>1.0084503088653782</v>
      </c>
      <c r="M24" s="42">
        <f>'MTD Utility Sheet'!B26*301</f>
        <v>242.00400000000002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11</v>
      </c>
      <c r="D25" s="40">
        <v>2024</v>
      </c>
      <c r="E25" s="42">
        <f>'MTD Utility Sheet'!G27/0.439</f>
        <v>14160.979498861048</v>
      </c>
      <c r="F25" s="43">
        <v>0.439</v>
      </c>
      <c r="G25" s="42">
        <f>('MTD Utility Sheet'!I27/1.82)/0.5</f>
        <v>487.99999999999994</v>
      </c>
      <c r="H25" s="44">
        <f t="shared" si="1"/>
        <v>0.91</v>
      </c>
      <c r="I25" s="42">
        <f>'MTD Utility Sheet'!H27/12.38</f>
        <v>203.78029079159936</v>
      </c>
      <c r="J25" s="43">
        <v>12.38</v>
      </c>
      <c r="K25" s="45">
        <f>IF(('MTD Utility Sheet'!F27-2866)&lt;0,"0",('MTD Utility Sheet'!F27-2866)/(0.568+0.075))</f>
        <v>7765.5987558320385</v>
      </c>
      <c r="L25" s="43">
        <f>'MTD Utility Sheet'!F27/K25</f>
        <v>1.0120636215073056</v>
      </c>
      <c r="M25" s="42">
        <f>'MTD Utility Sheet'!B27*301</f>
        <v>228.2182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11</v>
      </c>
      <c r="D26" s="40">
        <v>2024</v>
      </c>
      <c r="E26" s="42">
        <f>'MTD Utility Sheet'!G28/0.439</f>
        <v>15137.608200455581</v>
      </c>
      <c r="F26" s="43">
        <v>0.439</v>
      </c>
      <c r="G26" s="42">
        <f>('MTD Utility Sheet'!I28/1.82)/0.5</f>
        <v>487.99999999999994</v>
      </c>
      <c r="H26" s="44">
        <f t="shared" si="1"/>
        <v>0.91</v>
      </c>
      <c r="I26" s="42">
        <f>'MTD Utility Sheet'!H28/12.38</f>
        <v>210.17770597738286</v>
      </c>
      <c r="J26" s="43">
        <v>12.38</v>
      </c>
      <c r="K26" s="45">
        <f>IF(('MTD Utility Sheet'!F28-2866)&lt;0,"0",('MTD Utility Sheet'!F28-2866)/(0.568+0.075))</f>
        <v>7279.3623639191301</v>
      </c>
      <c r="L26" s="43">
        <f>'MTD Utility Sheet'!F28/K26</f>
        <v>1.0367158032145245</v>
      </c>
      <c r="M26" s="42">
        <f>'MTD Utility Sheet'!B28*301</f>
        <v>232.43219999999999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11</v>
      </c>
      <c r="D27" s="40">
        <v>2024</v>
      </c>
      <c r="E27" s="42">
        <f>'MTD Utility Sheet'!G29/0.439</f>
        <v>14649.293849658314</v>
      </c>
      <c r="F27" s="43">
        <v>0.439</v>
      </c>
      <c r="G27" s="42">
        <f>('MTD Utility Sheet'!I29/1.82)/0.5</f>
        <v>487.99999999999994</v>
      </c>
      <c r="H27" s="44">
        <f t="shared" si="1"/>
        <v>0.91</v>
      </c>
      <c r="I27" s="42">
        <f>'MTD Utility Sheet'!H29/12.38</f>
        <v>195.25040387722129</v>
      </c>
      <c r="J27" s="43">
        <v>12.38</v>
      </c>
      <c r="K27" s="45">
        <f>IF(('MTD Utility Sheet'!F29-2866)&lt;0,"0",('MTD Utility Sheet'!F29-2866)/(0.568+0.075))</f>
        <v>7026.2830482115087</v>
      </c>
      <c r="L27" s="43">
        <f>'MTD Utility Sheet'!F29/K27</f>
        <v>1.0508970318068129</v>
      </c>
      <c r="M27" s="42">
        <f>'MTD Utility Sheet'!B29*301</f>
        <v>234.78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11</v>
      </c>
      <c r="D28" s="40">
        <v>2024</v>
      </c>
      <c r="E28" s="42">
        <f>'MTD Utility Sheet'!G30/0.439</f>
        <v>14649.293849658314</v>
      </c>
      <c r="F28" s="43">
        <v>0.439</v>
      </c>
      <c r="G28" s="42">
        <f>('MTD Utility Sheet'!I30/1.82)/0.5</f>
        <v>487.99999999999994</v>
      </c>
      <c r="H28" s="44">
        <f t="shared" si="1"/>
        <v>0.91</v>
      </c>
      <c r="I28" s="42">
        <f>'MTD Utility Sheet'!H30/12.38</f>
        <v>181.389337641357</v>
      </c>
      <c r="J28" s="43">
        <v>12.38</v>
      </c>
      <c r="K28" s="45">
        <f>IF(('MTD Utility Sheet'!F30-2866)&lt;0,"0",('MTD Utility Sheet'!F30-2866)/(0.568+0.075))</f>
        <v>6747.6205287713856</v>
      </c>
      <c r="L28" s="43">
        <f>'MTD Utility Sheet'!F30/K28</f>
        <v>1.0677423203156688</v>
      </c>
      <c r="M28" s="42">
        <f>'MTD Utility Sheet'!B30*301</f>
        <v>240.8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11</v>
      </c>
      <c r="D29" s="40">
        <v>2024</v>
      </c>
      <c r="E29" s="42">
        <f>'MTD Utility Sheet'!G31/0.439</f>
        <v>14649.293849658314</v>
      </c>
      <c r="F29" s="43">
        <v>0.439</v>
      </c>
      <c r="G29" s="42">
        <f>('MTD Utility Sheet'!I31/1.82)/0.5</f>
        <v>487.99999999999994</v>
      </c>
      <c r="H29" s="44">
        <f t="shared" si="1"/>
        <v>0.91</v>
      </c>
      <c r="I29" s="42">
        <f>'MTD Utility Sheet'!H31/12.38</f>
        <v>190.9854604200323</v>
      </c>
      <c r="J29" s="43">
        <v>12.38</v>
      </c>
      <c r="K29" s="45">
        <f>IF(('MTD Utility Sheet'!F31-2866)&lt;0,"0",('MTD Utility Sheet'!F31-2866)/(0.568+0.075))</f>
        <v>7802.5660964230183</v>
      </c>
      <c r="L29" s="43">
        <f>'MTD Utility Sheet'!F31/K29</f>
        <v>1.0103150556601985</v>
      </c>
      <c r="M29" s="42">
        <f>'MTD Utility Sheet'!B31*301</f>
        <v>255.85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11</v>
      </c>
      <c r="D30" s="40">
        <v>2024</v>
      </c>
      <c r="E30" s="42">
        <f>'MTD Utility Sheet'!G32/0.439</f>
        <v>15625.922551252846</v>
      </c>
      <c r="F30" s="43">
        <v>0.439</v>
      </c>
      <c r="G30" s="42">
        <f>('MTD Utility Sheet'!I32/1.82)/0.5</f>
        <v>487.99999999999994</v>
      </c>
      <c r="H30" s="44">
        <f t="shared" si="1"/>
        <v>0.91</v>
      </c>
      <c r="I30" s="42">
        <f>'MTD Utility Sheet'!H32/12.38</f>
        <v>193.11793214862681</v>
      </c>
      <c r="J30" s="43">
        <v>12.38</v>
      </c>
      <c r="K30" s="45">
        <f>IF(('MTD Utility Sheet'!F32-2866)&lt;0,"0",('MTD Utility Sheet'!F32-2866)/(0.568+0.075))</f>
        <v>6414.9300155521005</v>
      </c>
      <c r="L30" s="43">
        <f>'MTD Utility Sheet'!F32/K30</f>
        <v>1.0897702676493404</v>
      </c>
      <c r="M30" s="42">
        <f>'MTD Utility Sheet'!B32*301</f>
        <v>281.37479999999999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11</v>
      </c>
      <c r="D31" s="40">
        <v>2024</v>
      </c>
      <c r="E31" s="42">
        <f>'MTD Utility Sheet'!G33/0.439</f>
        <v>15137.608200455581</v>
      </c>
      <c r="F31" s="43">
        <v>0.439</v>
      </c>
      <c r="G31" s="42">
        <f>('MTD Utility Sheet'!I33/1.82)/0.5</f>
        <v>536.80219780219784</v>
      </c>
      <c r="H31" s="44">
        <f t="shared" si="1"/>
        <v>0.91</v>
      </c>
      <c r="I31" s="42">
        <f>'MTD Utility Sheet'!H33/12.38</f>
        <v>208.04523424878835</v>
      </c>
      <c r="J31" s="43">
        <v>12.38</v>
      </c>
      <c r="K31" s="45">
        <f>IF(('MTD Utility Sheet'!F33-2866)&lt;0,"0",('MTD Utility Sheet'!F33-2866)/(0.568+0.075))</f>
        <v>5741.0264385692071</v>
      </c>
      <c r="L31" s="43">
        <f>'MTD Utility Sheet'!F33/K31</f>
        <v>1.1422138654415031</v>
      </c>
      <c r="M31" s="42">
        <f>'MTD Utility Sheet'!B33*301</f>
        <v>267.89</v>
      </c>
    </row>
    <row r="32" spans="1:14">
      <c r="A32" s="39" t="s">
        <v>68</v>
      </c>
      <c r="B32" s="40">
        <f t="shared" si="0"/>
        <v>31</v>
      </c>
      <c r="C32" s="41">
        <v>11</v>
      </c>
      <c r="D32" s="40">
        <v>2024</v>
      </c>
      <c r="E32" s="42">
        <f>'MTD Utility Sheet'!G34/0.439</f>
        <v>0</v>
      </c>
      <c r="F32" s="43">
        <v>1.4390000000000001</v>
      </c>
      <c r="G32" s="42">
        <f>('MTD Utility Sheet'!I34/1.82)/0.5</f>
        <v>0</v>
      </c>
      <c r="H32" s="44">
        <f t="shared" si="1"/>
        <v>0.91</v>
      </c>
      <c r="I32" s="42">
        <f>'MTD Utility Sheet'!H34/12.38</f>
        <v>0</v>
      </c>
      <c r="J32" s="43">
        <v>13.38</v>
      </c>
      <c r="K32" s="45" t="str">
        <f>IF(('MTD Utility Sheet'!F34-2866)&lt;0,"0",('MTD Utility Sheet'!F34-2866)/(0.568+0.075))</f>
        <v>0</v>
      </c>
      <c r="L32" s="43" t="e">
        <f>'MTD Utility Sheet'!F34/K32</f>
        <v>#DIV/0!</v>
      </c>
      <c r="M32" s="42">
        <f>'MTD Utility Sheet'!B34*301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7"/>
  <sheetViews>
    <sheetView zoomScaleNormal="100" zoomScaleSheetLayoutView="100" workbookViewId="0">
      <pane ySplit="3" topLeftCell="A25" activePane="bottomLeft" state="frozen"/>
      <selection activeCell="A5" sqref="A5:H5"/>
      <selection pane="bottomLeft" activeCell="E33" sqref="E33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7" t="s">
        <v>73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0.98</v>
      </c>
      <c r="C4" s="53" t="s">
        <v>72</v>
      </c>
      <c r="D4" s="50">
        <v>0.73</v>
      </c>
      <c r="E4" s="51">
        <v>1479</v>
      </c>
      <c r="F4" s="52">
        <v>8775.2900000000009</v>
      </c>
      <c r="G4" s="52">
        <v>6431.04</v>
      </c>
      <c r="H4" s="52">
        <v>3420.4</v>
      </c>
      <c r="I4" s="52">
        <v>444.08</v>
      </c>
      <c r="J4" s="19">
        <f t="shared" ref="J4:J34" si="0">SUM(F4+G4+H4+I4)</f>
        <v>19070.810000000005</v>
      </c>
    </row>
    <row r="5" spans="1:10" s="4" customFormat="1" ht="21" customHeight="1">
      <c r="A5" s="18">
        <v>2</v>
      </c>
      <c r="B5" s="50">
        <v>0.96340000000000003</v>
      </c>
      <c r="C5" s="53" t="s">
        <v>75</v>
      </c>
      <c r="D5" s="50">
        <v>0.94</v>
      </c>
      <c r="E5" s="51">
        <v>1547</v>
      </c>
      <c r="F5" s="52">
        <v>9303.69</v>
      </c>
      <c r="G5" s="52">
        <v>6859.78</v>
      </c>
      <c r="H5" s="52">
        <v>2615.1999999999998</v>
      </c>
      <c r="I5" s="52">
        <v>399.67</v>
      </c>
      <c r="J5" s="19">
        <f t="shared" si="0"/>
        <v>19178.34</v>
      </c>
    </row>
    <row r="6" spans="1:10" s="4" customFormat="1" ht="21" customHeight="1">
      <c r="A6" s="18">
        <v>3</v>
      </c>
      <c r="B6" s="50">
        <v>0.98</v>
      </c>
      <c r="C6" s="53" t="s">
        <v>72</v>
      </c>
      <c r="D6" s="50">
        <v>0.99</v>
      </c>
      <c r="E6" s="51">
        <v>1382</v>
      </c>
      <c r="F6" s="52">
        <v>9283.58</v>
      </c>
      <c r="G6" s="52">
        <v>6859.78</v>
      </c>
      <c r="H6" s="52">
        <v>2588.8000000000002</v>
      </c>
      <c r="I6" s="52">
        <v>444.08</v>
      </c>
      <c r="J6" s="19">
        <f t="shared" si="0"/>
        <v>19176.240000000002</v>
      </c>
    </row>
    <row r="7" spans="1:10" s="4" customFormat="1" ht="21" customHeight="1">
      <c r="A7" s="18">
        <v>4</v>
      </c>
      <c r="B7" s="50">
        <v>0.90369999999999995</v>
      </c>
      <c r="C7" s="53" t="s">
        <v>75</v>
      </c>
      <c r="D7" s="50">
        <v>0.95</v>
      </c>
      <c r="E7" s="51">
        <v>1159</v>
      </c>
      <c r="F7" s="52">
        <v>9303.69</v>
      </c>
      <c r="G7" s="52">
        <v>6645.41</v>
      </c>
      <c r="H7" s="52">
        <v>2602</v>
      </c>
      <c r="I7" s="52">
        <v>399.67</v>
      </c>
      <c r="J7" s="19">
        <f t="shared" si="0"/>
        <v>18950.769999999997</v>
      </c>
    </row>
    <row r="8" spans="1:10" s="4" customFormat="1" ht="21" customHeight="1">
      <c r="A8" s="18">
        <v>5</v>
      </c>
      <c r="B8" s="50">
        <v>0.95679999999999998</v>
      </c>
      <c r="C8" s="53" t="s">
        <v>79</v>
      </c>
      <c r="D8" s="50">
        <v>0.85</v>
      </c>
      <c r="E8" s="51">
        <v>1272</v>
      </c>
      <c r="F8" s="52">
        <v>8764.32</v>
      </c>
      <c r="G8" s="52">
        <v>6431.04</v>
      </c>
      <c r="H8" s="52">
        <v>2694.4</v>
      </c>
      <c r="I8" s="52">
        <v>444.08</v>
      </c>
      <c r="J8" s="19">
        <f t="shared" si="0"/>
        <v>18333.840000000004</v>
      </c>
    </row>
    <row r="9" spans="1:10" s="4" customFormat="1" ht="21" customHeight="1">
      <c r="A9" s="18">
        <v>6</v>
      </c>
      <c r="B9" s="50">
        <v>0.99670000000000003</v>
      </c>
      <c r="C9" s="53" t="s">
        <v>81</v>
      </c>
      <c r="D9" s="50">
        <v>0.84</v>
      </c>
      <c r="E9" s="51">
        <v>1266</v>
      </c>
      <c r="F9" s="52">
        <v>9342.09</v>
      </c>
      <c r="G9" s="52">
        <v>6645.41</v>
      </c>
      <c r="H9" s="52">
        <v>2720.8</v>
      </c>
      <c r="I9" s="52">
        <v>444.08</v>
      </c>
      <c r="J9" s="19">
        <f t="shared" si="0"/>
        <v>19152.38</v>
      </c>
    </row>
    <row r="10" spans="1:10" s="4" customFormat="1" ht="21" customHeight="1">
      <c r="A10" s="18">
        <v>7</v>
      </c>
      <c r="B10" s="50">
        <v>1</v>
      </c>
      <c r="C10" s="53" t="s">
        <v>83</v>
      </c>
      <c r="D10" s="50">
        <v>0.68</v>
      </c>
      <c r="E10" s="51">
        <v>1466</v>
      </c>
      <c r="F10" s="52">
        <v>8947.16</v>
      </c>
      <c r="G10" s="52">
        <v>6431.04</v>
      </c>
      <c r="H10" s="52">
        <v>2351.1999999999998</v>
      </c>
      <c r="I10" s="52">
        <v>399.67</v>
      </c>
      <c r="J10" s="19">
        <f t="shared" si="0"/>
        <v>18129.07</v>
      </c>
    </row>
    <row r="11" spans="1:10" s="4" customFormat="1" ht="21" customHeight="1">
      <c r="A11" s="18">
        <v>8</v>
      </c>
      <c r="B11" s="50">
        <v>1</v>
      </c>
      <c r="C11" s="53" t="s">
        <v>83</v>
      </c>
      <c r="D11" s="50">
        <v>0.72</v>
      </c>
      <c r="E11" s="51">
        <v>1422</v>
      </c>
      <c r="F11" s="52">
        <v>8559.5499999999993</v>
      </c>
      <c r="G11" s="52">
        <v>6645.41</v>
      </c>
      <c r="H11" s="52">
        <v>2430.4</v>
      </c>
      <c r="I11" s="52">
        <v>399.67</v>
      </c>
      <c r="J11" s="19">
        <f t="shared" si="0"/>
        <v>18035.03</v>
      </c>
    </row>
    <row r="12" spans="1:10" s="4" customFormat="1" ht="21" customHeight="1">
      <c r="A12" s="18">
        <v>9</v>
      </c>
      <c r="B12" s="50">
        <v>1</v>
      </c>
      <c r="C12" s="53" t="s">
        <v>81</v>
      </c>
      <c r="D12" s="50">
        <v>0.81</v>
      </c>
      <c r="E12" s="51">
        <v>1425</v>
      </c>
      <c r="F12" s="52">
        <v>8585.14</v>
      </c>
      <c r="G12" s="52">
        <v>6645.41</v>
      </c>
      <c r="H12" s="52">
        <v>2232.4</v>
      </c>
      <c r="I12" s="52">
        <v>532.9</v>
      </c>
      <c r="J12" s="19">
        <f t="shared" si="0"/>
        <v>17995.850000000002</v>
      </c>
    </row>
    <row r="13" spans="1:10" s="4" customFormat="1" ht="21" customHeight="1">
      <c r="A13" s="18">
        <v>10</v>
      </c>
      <c r="B13" s="50">
        <v>1</v>
      </c>
      <c r="C13" s="53" t="s">
        <v>79</v>
      </c>
      <c r="D13" s="50">
        <v>0.93</v>
      </c>
      <c r="E13" s="51">
        <v>1421</v>
      </c>
      <c r="F13" s="52">
        <v>8444.36</v>
      </c>
      <c r="G13" s="52">
        <v>6431.04</v>
      </c>
      <c r="H13" s="52">
        <v>2773.6</v>
      </c>
      <c r="I13" s="52">
        <v>444.08</v>
      </c>
      <c r="J13" s="19">
        <f t="shared" si="0"/>
        <v>18093.080000000002</v>
      </c>
    </row>
    <row r="14" spans="1:10" s="4" customFormat="1" ht="21" customHeight="1">
      <c r="A14" s="18">
        <v>11</v>
      </c>
      <c r="B14" s="50">
        <v>1</v>
      </c>
      <c r="C14" s="53" t="s">
        <v>79</v>
      </c>
      <c r="D14" s="50">
        <v>0.97</v>
      </c>
      <c r="E14" s="51">
        <v>1399</v>
      </c>
      <c r="F14" s="52">
        <v>8936.19</v>
      </c>
      <c r="G14" s="52">
        <v>6859.78</v>
      </c>
      <c r="H14" s="52">
        <v>2509.6</v>
      </c>
      <c r="I14" s="52">
        <v>444.08</v>
      </c>
      <c r="J14" s="19">
        <f t="shared" si="0"/>
        <v>18749.650000000001</v>
      </c>
    </row>
    <row r="15" spans="1:10" s="4" customFormat="1" ht="21" customHeight="1">
      <c r="A15" s="18">
        <v>12</v>
      </c>
      <c r="B15" s="50">
        <v>1</v>
      </c>
      <c r="C15" s="53" t="s">
        <v>89</v>
      </c>
      <c r="D15" s="50">
        <v>0.71</v>
      </c>
      <c r="E15" s="51">
        <v>1219</v>
      </c>
      <c r="F15" s="52">
        <v>8822.83</v>
      </c>
      <c r="G15" s="52">
        <v>6645.41</v>
      </c>
      <c r="H15" s="52">
        <v>2430.4</v>
      </c>
      <c r="I15" s="52">
        <v>532.9</v>
      </c>
      <c r="J15" s="19">
        <f t="shared" si="0"/>
        <v>18431.54</v>
      </c>
    </row>
    <row r="16" spans="1:10" s="4" customFormat="1" ht="21" customHeight="1">
      <c r="A16" s="18">
        <v>13</v>
      </c>
      <c r="B16" s="50">
        <v>0.96350000000000002</v>
      </c>
      <c r="C16" s="53" t="s">
        <v>91</v>
      </c>
      <c r="D16" s="50">
        <v>0.91</v>
      </c>
      <c r="E16" s="51">
        <v>1056</v>
      </c>
      <c r="F16" s="52">
        <v>8473.61</v>
      </c>
      <c r="G16" s="52">
        <v>6431.04</v>
      </c>
      <c r="H16" s="52">
        <v>2245.6</v>
      </c>
      <c r="I16" s="52">
        <v>532.9</v>
      </c>
      <c r="J16" s="19">
        <f t="shared" si="0"/>
        <v>17683.150000000001</v>
      </c>
    </row>
    <row r="17" spans="1:10" s="4" customFormat="1" ht="21" customHeight="1">
      <c r="A17" s="18">
        <v>14</v>
      </c>
      <c r="B17" s="50">
        <v>0.98</v>
      </c>
      <c r="C17" s="53" t="s">
        <v>93</v>
      </c>
      <c r="D17" s="50">
        <v>0.64</v>
      </c>
      <c r="E17" s="51">
        <v>1142</v>
      </c>
      <c r="F17" s="52">
        <v>8650.9599999999991</v>
      </c>
      <c r="G17" s="52">
        <v>6645.41</v>
      </c>
      <c r="H17" s="52">
        <v>2364.4</v>
      </c>
      <c r="I17" s="52">
        <v>399.67</v>
      </c>
      <c r="J17" s="19">
        <f t="shared" si="0"/>
        <v>18060.439999999999</v>
      </c>
    </row>
    <row r="18" spans="1:10" s="4" customFormat="1" ht="21" customHeight="1">
      <c r="A18" s="18">
        <v>15</v>
      </c>
      <c r="B18" s="50">
        <v>0.98680000000000001</v>
      </c>
      <c r="C18" s="53" t="s">
        <v>93</v>
      </c>
      <c r="D18" s="50">
        <v>0.72</v>
      </c>
      <c r="E18" s="51">
        <v>1403</v>
      </c>
      <c r="F18" s="52">
        <v>7981.78</v>
      </c>
      <c r="G18" s="52">
        <v>6645.41</v>
      </c>
      <c r="H18" s="52">
        <v>2641.6</v>
      </c>
      <c r="I18" s="52">
        <v>399.67</v>
      </c>
      <c r="J18" s="19">
        <f t="shared" si="0"/>
        <v>17668.459999999995</v>
      </c>
    </row>
    <row r="19" spans="1:10" s="4" customFormat="1" ht="21" customHeight="1">
      <c r="A19" s="18">
        <v>16</v>
      </c>
      <c r="B19" s="50">
        <v>1</v>
      </c>
      <c r="C19" s="53" t="s">
        <v>91</v>
      </c>
      <c r="D19" s="50">
        <v>0.56999999999999995</v>
      </c>
      <c r="E19" s="51">
        <v>1381</v>
      </c>
      <c r="F19" s="52">
        <v>7934.24</v>
      </c>
      <c r="G19" s="52">
        <v>6859.78</v>
      </c>
      <c r="H19" s="52">
        <v>2773.6</v>
      </c>
      <c r="I19" s="52">
        <v>399.69</v>
      </c>
      <c r="J19" s="19">
        <f t="shared" si="0"/>
        <v>17967.309999999998</v>
      </c>
    </row>
    <row r="20" spans="1:10" s="4" customFormat="1" ht="21" customHeight="1">
      <c r="A20" s="18">
        <v>17</v>
      </c>
      <c r="B20" s="50">
        <v>0.94</v>
      </c>
      <c r="C20" s="53" t="s">
        <v>91</v>
      </c>
      <c r="D20" s="50">
        <v>0.69</v>
      </c>
      <c r="E20" s="51">
        <v>1246</v>
      </c>
      <c r="F20" s="52">
        <v>7169.98</v>
      </c>
      <c r="G20" s="52">
        <v>6645.41</v>
      </c>
      <c r="H20" s="52">
        <v>2602</v>
      </c>
      <c r="I20" s="52">
        <v>488.49</v>
      </c>
      <c r="J20" s="19">
        <f t="shared" si="0"/>
        <v>16905.88</v>
      </c>
    </row>
    <row r="21" spans="1:10" s="4" customFormat="1" ht="21" customHeight="1">
      <c r="A21" s="18">
        <v>18</v>
      </c>
      <c r="B21" s="50">
        <v>0.87</v>
      </c>
      <c r="C21" s="53" t="s">
        <v>98</v>
      </c>
      <c r="D21" s="50">
        <v>0.77</v>
      </c>
      <c r="E21" s="51">
        <v>1091</v>
      </c>
      <c r="F21" s="52">
        <v>7029.2</v>
      </c>
      <c r="G21" s="52">
        <v>6645.41</v>
      </c>
      <c r="H21" s="52">
        <v>2272</v>
      </c>
      <c r="I21" s="52">
        <v>488.49</v>
      </c>
      <c r="J21" s="19">
        <f t="shared" si="0"/>
        <v>16435.100000000002</v>
      </c>
    </row>
    <row r="22" spans="1:10" s="4" customFormat="1" ht="21" customHeight="1">
      <c r="A22" s="18">
        <v>19</v>
      </c>
      <c r="B22" s="50">
        <v>0.87709999999999999</v>
      </c>
      <c r="C22" s="53" t="s">
        <v>98</v>
      </c>
      <c r="D22" s="50">
        <v>0.66</v>
      </c>
      <c r="E22" s="51">
        <v>1021</v>
      </c>
      <c r="F22" s="52">
        <v>7116.96</v>
      </c>
      <c r="G22" s="52">
        <v>6431.04</v>
      </c>
      <c r="H22" s="52">
        <v>2258.8000000000002</v>
      </c>
      <c r="I22" s="52">
        <v>488.49</v>
      </c>
      <c r="J22" s="19">
        <f t="shared" si="0"/>
        <v>16295.289999999999</v>
      </c>
    </row>
    <row r="23" spans="1:10" s="4" customFormat="1" ht="21" customHeight="1">
      <c r="A23" s="18">
        <v>20</v>
      </c>
      <c r="B23" s="50">
        <v>0.87</v>
      </c>
      <c r="C23" s="53" t="s">
        <v>101</v>
      </c>
      <c r="D23" s="50">
        <v>0.82</v>
      </c>
      <c r="E23" s="51">
        <v>1028</v>
      </c>
      <c r="F23" s="52">
        <v>6972.52</v>
      </c>
      <c r="G23" s="52">
        <v>6645.41</v>
      </c>
      <c r="H23" s="52">
        <v>2140</v>
      </c>
      <c r="I23" s="52">
        <v>444.08</v>
      </c>
      <c r="J23" s="19">
        <f t="shared" si="0"/>
        <v>16202.01</v>
      </c>
    </row>
    <row r="24" spans="1:10" s="4" customFormat="1" ht="21" customHeight="1">
      <c r="A24" s="18">
        <v>21</v>
      </c>
      <c r="B24" s="50">
        <v>0.9</v>
      </c>
      <c r="C24" s="53" t="s">
        <v>103</v>
      </c>
      <c r="D24" s="50">
        <v>0.7</v>
      </c>
      <c r="E24" s="51">
        <v>1399</v>
      </c>
      <c r="F24" s="52">
        <v>7321.74</v>
      </c>
      <c r="G24" s="52">
        <v>6645.41</v>
      </c>
      <c r="H24" s="52">
        <v>2258.8000000000002</v>
      </c>
      <c r="I24" s="52">
        <v>444.08</v>
      </c>
      <c r="J24" s="19">
        <f t="shared" si="0"/>
        <v>16670.030000000002</v>
      </c>
    </row>
    <row r="25" spans="1:10" s="4" customFormat="1" ht="21" customHeight="1">
      <c r="A25" s="18">
        <v>22</v>
      </c>
      <c r="B25" s="50">
        <v>0.90639999999999998</v>
      </c>
      <c r="C25" s="53" t="s">
        <v>105</v>
      </c>
      <c r="D25" s="50">
        <v>0.57999999999999996</v>
      </c>
      <c r="E25" s="51">
        <v>1186</v>
      </c>
      <c r="F25" s="52">
        <v>7511.89</v>
      </c>
      <c r="G25" s="52">
        <v>6645.41</v>
      </c>
      <c r="H25" s="52">
        <v>4740.3999999999996</v>
      </c>
      <c r="I25" s="52">
        <v>355.26</v>
      </c>
      <c r="J25" s="19">
        <f t="shared" si="0"/>
        <v>19252.959999999995</v>
      </c>
    </row>
    <row r="26" spans="1:10" s="4" customFormat="1" ht="21" customHeight="1">
      <c r="A26" s="18">
        <v>23</v>
      </c>
      <c r="B26" s="50">
        <v>0.80400000000000005</v>
      </c>
      <c r="C26" s="53" t="s">
        <v>107</v>
      </c>
      <c r="D26" s="50">
        <v>0.72</v>
      </c>
      <c r="E26" s="51">
        <v>1166</v>
      </c>
      <c r="F26" s="52">
        <v>7908.65</v>
      </c>
      <c r="G26" s="52">
        <v>6859.78</v>
      </c>
      <c r="H26" s="52">
        <v>2760.4</v>
      </c>
      <c r="I26" s="52">
        <v>444.08</v>
      </c>
      <c r="J26" s="19">
        <f t="shared" si="0"/>
        <v>17972.910000000003</v>
      </c>
    </row>
    <row r="27" spans="1:10" s="4" customFormat="1" ht="21" customHeight="1">
      <c r="A27" s="18">
        <v>24</v>
      </c>
      <c r="B27" s="50">
        <v>0.75819999999999999</v>
      </c>
      <c r="C27" s="53" t="s">
        <v>109</v>
      </c>
      <c r="D27" s="50">
        <v>0.77</v>
      </c>
      <c r="E27" s="51">
        <v>967</v>
      </c>
      <c r="F27" s="52">
        <v>7859.28</v>
      </c>
      <c r="G27" s="52">
        <v>6216.67</v>
      </c>
      <c r="H27" s="52">
        <v>2522.8000000000002</v>
      </c>
      <c r="I27" s="52">
        <v>444.08</v>
      </c>
      <c r="J27" s="19">
        <f t="shared" si="0"/>
        <v>17042.830000000002</v>
      </c>
    </row>
    <row r="28" spans="1:10" s="4" customFormat="1" ht="21" customHeight="1">
      <c r="A28" s="18">
        <v>25</v>
      </c>
      <c r="B28" s="50">
        <v>0.7722</v>
      </c>
      <c r="C28" s="53" t="s">
        <v>107</v>
      </c>
      <c r="D28" s="50">
        <v>0.68</v>
      </c>
      <c r="E28" s="51">
        <v>877</v>
      </c>
      <c r="F28" s="52">
        <v>7546.63</v>
      </c>
      <c r="G28" s="52">
        <v>6645.41</v>
      </c>
      <c r="H28" s="52">
        <v>2602</v>
      </c>
      <c r="I28" s="52">
        <v>444.08</v>
      </c>
      <c r="J28" s="19">
        <f t="shared" si="0"/>
        <v>17238.120000000003</v>
      </c>
    </row>
    <row r="29" spans="1:10" s="4" customFormat="1" ht="21" customHeight="1">
      <c r="A29" s="18">
        <v>26</v>
      </c>
      <c r="B29" s="50">
        <v>0.78</v>
      </c>
      <c r="C29" s="53" t="s">
        <v>107</v>
      </c>
      <c r="D29" s="50">
        <v>0.72</v>
      </c>
      <c r="E29" s="51">
        <v>1208</v>
      </c>
      <c r="F29" s="52">
        <v>7383.9</v>
      </c>
      <c r="G29" s="52">
        <v>6431.04</v>
      </c>
      <c r="H29" s="52">
        <v>2417.1999999999998</v>
      </c>
      <c r="I29" s="52">
        <v>444.08</v>
      </c>
      <c r="J29" s="19">
        <f t="shared" si="0"/>
        <v>16676.22</v>
      </c>
    </row>
    <row r="30" spans="1:10" s="4" customFormat="1" ht="21" customHeight="1">
      <c r="A30" s="18">
        <v>27</v>
      </c>
      <c r="B30" s="50">
        <v>0.8</v>
      </c>
      <c r="C30" s="53" t="s">
        <v>93</v>
      </c>
      <c r="D30" s="50">
        <v>0.67</v>
      </c>
      <c r="E30" s="51">
        <v>1066</v>
      </c>
      <c r="F30" s="52">
        <v>7204.72</v>
      </c>
      <c r="G30" s="52">
        <v>6431.04</v>
      </c>
      <c r="H30" s="52">
        <v>2245.6</v>
      </c>
      <c r="I30" s="52">
        <v>444.08</v>
      </c>
      <c r="J30" s="52">
        <f t="shared" si="0"/>
        <v>16325.44</v>
      </c>
    </row>
    <row r="31" spans="1:10" s="4" customFormat="1" ht="21" customHeight="1">
      <c r="A31" s="18">
        <v>28</v>
      </c>
      <c r="B31" s="50">
        <v>0.85</v>
      </c>
      <c r="C31" s="53" t="s">
        <v>98</v>
      </c>
      <c r="D31" s="50">
        <v>0.68</v>
      </c>
      <c r="E31" s="51">
        <v>1519</v>
      </c>
      <c r="F31" s="52">
        <v>7883.05</v>
      </c>
      <c r="G31" s="52">
        <v>6431.04</v>
      </c>
      <c r="H31" s="52">
        <v>2364.4</v>
      </c>
      <c r="I31" s="52">
        <v>444.08</v>
      </c>
      <c r="J31" s="52">
        <f>SUM(F31+G31+H31+I31)</f>
        <v>17122.570000000003</v>
      </c>
    </row>
    <row r="32" spans="1:10" s="4" customFormat="1" ht="21" customHeight="1">
      <c r="A32" s="18">
        <v>29</v>
      </c>
      <c r="B32" s="50">
        <v>0.93479999999999996</v>
      </c>
      <c r="C32" s="53" t="s">
        <v>101</v>
      </c>
      <c r="D32" s="50">
        <v>0.7</v>
      </c>
      <c r="E32" s="51">
        <v>1212</v>
      </c>
      <c r="F32" s="52">
        <v>6990.8</v>
      </c>
      <c r="G32" s="52">
        <v>6859.78</v>
      </c>
      <c r="H32" s="52">
        <v>2390.8000000000002</v>
      </c>
      <c r="I32" s="52">
        <v>444.08</v>
      </c>
      <c r="J32" s="52">
        <f t="shared" si="0"/>
        <v>16685.460000000003</v>
      </c>
    </row>
    <row r="33" spans="1:10" s="4" customFormat="1" ht="21" customHeight="1">
      <c r="A33" s="20">
        <v>30</v>
      </c>
      <c r="B33" s="50">
        <v>0.89</v>
      </c>
      <c r="C33" s="53" t="s">
        <v>116</v>
      </c>
      <c r="D33" s="50">
        <v>0.67</v>
      </c>
      <c r="E33" s="51">
        <v>1223</v>
      </c>
      <c r="F33" s="52">
        <v>6557.48</v>
      </c>
      <c r="G33" s="52">
        <v>6645.41</v>
      </c>
      <c r="H33" s="52">
        <v>2575.6</v>
      </c>
      <c r="I33" s="52">
        <v>488.49</v>
      </c>
      <c r="J33" s="52">
        <f t="shared" si="0"/>
        <v>16266.98</v>
      </c>
    </row>
    <row r="34" spans="1:10" s="4" customFormat="1" ht="21" customHeight="1">
      <c r="A34" s="18">
        <v>31</v>
      </c>
      <c r="B34" s="50"/>
      <c r="C34" s="53"/>
      <c r="D34" s="50"/>
      <c r="E34" s="51"/>
      <c r="F34" s="52"/>
      <c r="G34" s="52"/>
      <c r="H34" s="52"/>
      <c r="I34" s="52"/>
      <c r="J34" s="52">
        <f t="shared" si="0"/>
        <v>0</v>
      </c>
    </row>
    <row r="35" spans="1:10" s="5" customFormat="1" ht="22.5" customHeight="1">
      <c r="A35" s="11" t="s">
        <v>47</v>
      </c>
      <c r="B35" s="12"/>
      <c r="C35" s="54"/>
      <c r="D35" s="12"/>
      <c r="E35" s="13"/>
      <c r="F35" s="6">
        <f>SUM(F4:F34)</f>
        <v>242565.28</v>
      </c>
      <c r="G35" s="6">
        <f>SUM(G4:G34)</f>
        <v>198290.45000000004</v>
      </c>
      <c r="H35" s="6">
        <f>SUM(H4:H34)</f>
        <v>77545.200000000012</v>
      </c>
      <c r="I35" s="6">
        <f>SUM(I4:I34)</f>
        <v>13366.829999999998</v>
      </c>
      <c r="J35" s="6">
        <f t="shared" ref="J35" si="1">SUM(J4:J34)</f>
        <v>531767.76000000013</v>
      </c>
    </row>
    <row r="36" spans="1:10" s="9" customFormat="1" ht="22.5" customHeight="1">
      <c r="A36" s="7" t="s">
        <v>48</v>
      </c>
      <c r="B36" s="14">
        <f>AVERAGE(B4:B34)</f>
        <v>0.92212000000000005</v>
      </c>
      <c r="C36" s="8" t="e">
        <f>AVERAGE(C4:C34)</f>
        <v>#DIV/0!</v>
      </c>
      <c r="D36" s="14">
        <f>AVERAGE(D4:D34)</f>
        <v>0.7596666666666666</v>
      </c>
      <c r="E36" s="8">
        <f>SUM(E4:E34)</f>
        <v>37648</v>
      </c>
      <c r="F36" s="8">
        <f>F35*0.38</f>
        <v>92174.806400000001</v>
      </c>
      <c r="G36" s="8">
        <f>G35/12.9</f>
        <v>15371.352713178298</v>
      </c>
      <c r="H36" s="8">
        <f>H35/0.92</f>
        <v>84288.260869565231</v>
      </c>
      <c r="I36" s="8">
        <f>I35/1.76</f>
        <v>7594.7897727272721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4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70266.710000000006</v>
      </c>
      <c r="C4" s="56" t="s">
        <v>15</v>
      </c>
      <c r="D4" s="25">
        <v>70286.899999999994</v>
      </c>
      <c r="E4" s="56" t="s">
        <v>16</v>
      </c>
      <c r="F4" s="56">
        <f>D4-B4</f>
        <v>20.189999999987776</v>
      </c>
      <c r="G4" s="56" t="s">
        <v>17</v>
      </c>
      <c r="H4" s="56">
        <f>F4*284.35</f>
        <v>5741.0264999965248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3260.9030519980256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430.57698749973935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6557.4800394977647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43212</v>
      </c>
      <c r="E11" s="56" t="s">
        <v>23</v>
      </c>
      <c r="F11" s="25">
        <v>43219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71655</v>
      </c>
      <c r="E12" s="56" t="s">
        <v>23</v>
      </c>
      <c r="F12" s="25">
        <v>71668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72466</v>
      </c>
      <c r="E13" s="56" t="s">
        <v>23</v>
      </c>
      <c r="F13" s="25">
        <v>72477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303714</v>
      </c>
      <c r="C24" s="56" t="s">
        <v>1</v>
      </c>
      <c r="D24" s="26">
        <v>303922</v>
      </c>
      <c r="E24" s="56" t="s">
        <v>33</v>
      </c>
      <c r="F24" s="56">
        <f>D24-B24</f>
        <v>208</v>
      </c>
      <c r="G24" s="56" t="s">
        <v>34</v>
      </c>
      <c r="H24" s="56">
        <f>F24*220</f>
        <v>45760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1184.96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183.04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457.6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2575.6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60</v>
      </c>
      <c r="E34" s="56" t="s">
        <v>42</v>
      </c>
      <c r="F34" s="21">
        <v>49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16266.976039497766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70244.149999999994</v>
      </c>
      <c r="C4" s="56" t="s">
        <v>15</v>
      </c>
      <c r="D4" s="25">
        <v>70266.710000000006</v>
      </c>
      <c r="E4" s="56" t="s">
        <v>16</v>
      </c>
      <c r="F4" s="56">
        <f>D4-B4</f>
        <v>22.560000000012224</v>
      </c>
      <c r="G4" s="56" t="s">
        <v>17</v>
      </c>
      <c r="H4" s="56">
        <f>F4*284.35</f>
        <v>6414.9360000034767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3643.6836480019742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481.12020000026075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6990.8038480022351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43205</v>
      </c>
      <c r="E11" s="56" t="s">
        <v>23</v>
      </c>
      <c r="F11" s="25">
        <v>43212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71641</v>
      </c>
      <c r="E12" s="56" t="s">
        <v>23</v>
      </c>
      <c r="F12" s="25">
        <v>71655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72455</v>
      </c>
      <c r="E13" s="56" t="s">
        <v>23</v>
      </c>
      <c r="F13" s="25">
        <v>72466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303520</v>
      </c>
      <c r="C24" s="56" t="s">
        <v>1</v>
      </c>
      <c r="D24" s="26">
        <v>303714</v>
      </c>
      <c r="E24" s="56" t="s">
        <v>33</v>
      </c>
      <c r="F24" s="56">
        <f>D24-B24</f>
        <v>194</v>
      </c>
      <c r="G24" s="56" t="s">
        <v>34</v>
      </c>
      <c r="H24" s="56">
        <f>F24*220</f>
        <v>42680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1043.28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170.72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426.8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2390.8000000000002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70</v>
      </c>
      <c r="E34" s="56" t="s">
        <v>42</v>
      </c>
      <c r="F34" s="21">
        <v>60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16685.459848002236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>
      <selection activeCell="D34" sqref="D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113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70216.710000000006</v>
      </c>
      <c r="C4" s="56" t="s">
        <v>15</v>
      </c>
      <c r="D4" s="25">
        <v>70244.149999999994</v>
      </c>
      <c r="E4" s="56" t="s">
        <v>16</v>
      </c>
      <c r="F4" s="56">
        <f>D4-B4</f>
        <v>27.439999999987776</v>
      </c>
      <c r="G4" s="56" t="s">
        <v>17</v>
      </c>
      <c r="H4" s="56">
        <f>F4*284.35</f>
        <v>7802.5639999965251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4431.8563519980262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585.19229999973936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7883.0486519977658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43198</v>
      </c>
      <c r="E11" s="56" t="s">
        <v>23</v>
      </c>
      <c r="F11" s="25">
        <v>43205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71629</v>
      </c>
      <c r="E12" s="56" t="s">
        <v>23</v>
      </c>
      <c r="F12" s="25">
        <v>71641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72444</v>
      </c>
      <c r="E13" s="56" t="s">
        <v>23</v>
      </c>
      <c r="F13" s="25">
        <v>72455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303328</v>
      </c>
      <c r="C24" s="56" t="s">
        <v>1</v>
      </c>
      <c r="D24" s="26">
        <v>303520</v>
      </c>
      <c r="E24" s="56" t="s">
        <v>33</v>
      </c>
      <c r="F24" s="56">
        <f>D24-B24</f>
        <v>192</v>
      </c>
      <c r="G24" s="56" t="s">
        <v>34</v>
      </c>
      <c r="H24" s="56">
        <f>F24*220</f>
        <v>42240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1023.04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168.96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422.40000000000003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2364.4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17</v>
      </c>
      <c r="E33" s="56" t="s">
        <v>42</v>
      </c>
      <c r="F33" s="21">
        <v>17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70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17122.568651997768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70192.98</v>
      </c>
      <c r="C4" s="56" t="s">
        <v>15</v>
      </c>
      <c r="D4" s="25">
        <v>70216.710000000006</v>
      </c>
      <c r="E4" s="56" t="s">
        <v>16</v>
      </c>
      <c r="F4" s="56">
        <f>D4-B4</f>
        <v>23.730000000010477</v>
      </c>
      <c r="G4" s="56" t="s">
        <v>17</v>
      </c>
      <c r="H4" s="56">
        <f>F4*284.35</f>
        <v>6747.6255000029796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3832.6512840016921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506.07191250022345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7204.7231965019155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43190</v>
      </c>
      <c r="E11" s="56" t="s">
        <v>23</v>
      </c>
      <c r="F11" s="25">
        <v>43198</v>
      </c>
      <c r="G11" s="56" t="s">
        <v>24</v>
      </c>
      <c r="H11" s="56">
        <f>F11-D11</f>
        <v>8</v>
      </c>
    </row>
    <row r="12" spans="1:8" ht="16.5" customHeight="1">
      <c r="A12" s="61" t="s">
        <v>25</v>
      </c>
      <c r="B12" s="61"/>
      <c r="C12" s="47" t="s">
        <v>22</v>
      </c>
      <c r="D12" s="25">
        <v>71617</v>
      </c>
      <c r="E12" s="56" t="s">
        <v>23</v>
      </c>
      <c r="F12" s="25">
        <v>71629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72434</v>
      </c>
      <c r="E13" s="56" t="s">
        <v>23</v>
      </c>
      <c r="F13" s="25">
        <v>72444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303145</v>
      </c>
      <c r="C24" s="56" t="s">
        <v>1</v>
      </c>
      <c r="D24" s="26">
        <v>303328</v>
      </c>
      <c r="E24" s="56" t="s">
        <v>33</v>
      </c>
      <c r="F24" s="56">
        <f>D24-B24</f>
        <v>183</v>
      </c>
      <c r="G24" s="56" t="s">
        <v>34</v>
      </c>
      <c r="H24" s="56">
        <f>F24*220</f>
        <v>40260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931.96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161.04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402.6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2245.6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27</v>
      </c>
      <c r="E33" s="56" t="s">
        <v>42</v>
      </c>
      <c r="F33" s="21">
        <v>17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16325.443196501916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70168.27</v>
      </c>
      <c r="C4" s="56" t="s">
        <v>15</v>
      </c>
      <c r="D4" s="25">
        <v>70192.98</v>
      </c>
      <c r="E4" s="56" t="s">
        <v>16</v>
      </c>
      <c r="F4" s="56">
        <f>D4-B4</f>
        <v>24.709999999991851</v>
      </c>
      <c r="G4" s="56" t="s">
        <v>17</v>
      </c>
      <c r="H4" s="56">
        <f>F4*284.35</f>
        <v>7026.2884999976832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3990.9318679986836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526.97163749982622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7383.9035054985097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43183</v>
      </c>
      <c r="E11" s="56" t="s">
        <v>23</v>
      </c>
      <c r="F11" s="25">
        <v>43190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71604</v>
      </c>
      <c r="E12" s="56" t="s">
        <v>23</v>
      </c>
      <c r="F12" s="25">
        <v>71617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72424</v>
      </c>
      <c r="E13" s="56" t="s">
        <v>23</v>
      </c>
      <c r="F13" s="25">
        <v>72434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302949</v>
      </c>
      <c r="C24" s="56" t="s">
        <v>1</v>
      </c>
      <c r="D24" s="26">
        <v>303145</v>
      </c>
      <c r="E24" s="56" t="s">
        <v>33</v>
      </c>
      <c r="F24" s="56">
        <f>D24-B24</f>
        <v>196</v>
      </c>
      <c r="G24" s="56" t="s">
        <v>34</v>
      </c>
      <c r="H24" s="56">
        <f>F24*220</f>
        <v>43120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1063.52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172.48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431.2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2417.1999999999998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37</v>
      </c>
      <c r="E33" s="56" t="s">
        <v>42</v>
      </c>
      <c r="F33" s="21">
        <v>27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16676.22350549851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16" zoomScaleNormal="100" workbookViewId="0">
      <selection activeCell="N9" sqref="N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70142.67</v>
      </c>
      <c r="C4" s="56" t="s">
        <v>15</v>
      </c>
      <c r="D4" s="25">
        <v>70168.27</v>
      </c>
      <c r="E4" s="56" t="s">
        <v>16</v>
      </c>
      <c r="F4" s="56">
        <f>D4-B4</f>
        <v>25.600000000005821</v>
      </c>
      <c r="G4" s="56" t="s">
        <v>17</v>
      </c>
      <c r="H4" s="56">
        <f>F4*284.35</f>
        <v>7279.3600000016559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4134.6764800009405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545.95200000012414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7546.6284800010644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43176</v>
      </c>
      <c r="E11" s="56" t="s">
        <v>23</v>
      </c>
      <c r="F11" s="25">
        <v>43183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71591</v>
      </c>
      <c r="E12" s="56" t="s">
        <v>23</v>
      </c>
      <c r="F12" s="25">
        <v>71604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72413</v>
      </c>
      <c r="E13" s="56" t="s">
        <v>23</v>
      </c>
      <c r="F13" s="25">
        <v>72424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302739</v>
      </c>
      <c r="C24" s="56" t="s">
        <v>1</v>
      </c>
      <c r="D24" s="26">
        <v>302949</v>
      </c>
      <c r="E24" s="56" t="s">
        <v>33</v>
      </c>
      <c r="F24" s="56">
        <f>D24-B24</f>
        <v>210</v>
      </c>
      <c r="G24" s="56" t="s">
        <v>34</v>
      </c>
      <c r="H24" s="56">
        <f>F24*220</f>
        <v>46200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1205.2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184.8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462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47</v>
      </c>
      <c r="E33" s="56" t="s">
        <v>42</v>
      </c>
      <c r="F33" s="21">
        <v>37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17238.116480001063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70115.360000000001</v>
      </c>
      <c r="C4" s="56" t="s">
        <v>15</v>
      </c>
      <c r="D4" s="25">
        <v>70142.67</v>
      </c>
      <c r="E4" s="56" t="s">
        <v>16</v>
      </c>
      <c r="F4" s="56">
        <f>D4-B4</f>
        <v>27.309999999997672</v>
      </c>
      <c r="G4" s="56" t="s">
        <v>17</v>
      </c>
      <c r="H4" s="56">
        <f>F4*284.35</f>
        <v>7765.5984999993389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4410.8599479996237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582.41988749995039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7859.2798354995739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43170</v>
      </c>
      <c r="E11" s="56" t="s">
        <v>23</v>
      </c>
      <c r="F11" s="25">
        <v>43176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71578</v>
      </c>
      <c r="E12" s="56" t="s">
        <v>23</v>
      </c>
      <c r="F12" s="25">
        <v>71591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72403</v>
      </c>
      <c r="E13" s="56" t="s">
        <v>23</v>
      </c>
      <c r="F13" s="25">
        <v>72413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5368.9439999999995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847.72799999999995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6216.6719999999996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302535</v>
      </c>
      <c r="C24" s="56" t="s">
        <v>1</v>
      </c>
      <c r="D24" s="26">
        <v>302739</v>
      </c>
      <c r="E24" s="56" t="s">
        <v>33</v>
      </c>
      <c r="F24" s="56">
        <f>D24-B24</f>
        <v>204</v>
      </c>
      <c r="G24" s="56" t="s">
        <v>34</v>
      </c>
      <c r="H24" s="56">
        <f>F24*220</f>
        <v>44880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1144.48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179.52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448.8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2522.8000000000002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57</v>
      </c>
      <c r="E33" s="56" t="s">
        <v>42</v>
      </c>
      <c r="F33" s="21">
        <v>47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17042.831835499572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70087.78</v>
      </c>
      <c r="C4" s="56" t="s">
        <v>15</v>
      </c>
      <c r="D4" s="25">
        <v>70115.360000000001</v>
      </c>
      <c r="E4" s="56" t="s">
        <v>16</v>
      </c>
      <c r="F4" s="56">
        <f>D4-B4</f>
        <v>27.580000000001746</v>
      </c>
      <c r="G4" s="56" t="s">
        <v>17</v>
      </c>
      <c r="H4" s="56">
        <f>F4*284.35</f>
        <v>7842.3730000004971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4454.4678640002821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588.17797500003724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7908.645839000319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43163</v>
      </c>
      <c r="E11" s="56" t="s">
        <v>23</v>
      </c>
      <c r="F11" s="25">
        <v>43170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71565</v>
      </c>
      <c r="E12" s="56" t="s">
        <v>23</v>
      </c>
      <c r="F12" s="25">
        <v>71578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72391</v>
      </c>
      <c r="E13" s="56" t="s">
        <v>23</v>
      </c>
      <c r="F13" s="25">
        <v>72403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302313</v>
      </c>
      <c r="C24" s="56" t="s">
        <v>1</v>
      </c>
      <c r="D24" s="26">
        <v>302535</v>
      </c>
      <c r="E24" s="56" t="s">
        <v>33</v>
      </c>
      <c r="F24" s="56">
        <f>D24-B24</f>
        <v>222</v>
      </c>
      <c r="G24" s="56" t="s">
        <v>34</v>
      </c>
      <c r="H24" s="56">
        <f>F24*220</f>
        <v>48840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1326.6399999999999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195.36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488.40000000000003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2760.4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67</v>
      </c>
      <c r="E33" s="56" t="s">
        <v>42</v>
      </c>
      <c r="F33" s="21">
        <v>57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17972.901839000318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zoomScaleNormal="100" workbookViewId="0">
      <selection activeCell="A14" sqref="A14:G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70062.37</v>
      </c>
      <c r="C4" s="56" t="s">
        <v>15</v>
      </c>
      <c r="D4" s="25">
        <v>70087.78</v>
      </c>
      <c r="E4" s="56" t="s">
        <v>16</v>
      </c>
      <c r="F4" s="56">
        <f>D4-B4</f>
        <v>25.410000000003492</v>
      </c>
      <c r="G4" s="56" t="s">
        <v>17</v>
      </c>
      <c r="H4" s="56">
        <f>F4*284.35</f>
        <v>7225.3335000009938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4103.9894280005637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541.90001250007447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7511.8894405006386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43156</v>
      </c>
      <c r="E11" s="56" t="s">
        <v>23</v>
      </c>
      <c r="F11" s="25">
        <v>43163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71552</v>
      </c>
      <c r="E12" s="56" t="s">
        <v>23</v>
      </c>
      <c r="F12" s="25">
        <v>71565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72380</v>
      </c>
      <c r="E13" s="56" t="s">
        <v>23</v>
      </c>
      <c r="F13" s="25">
        <v>72391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301941</v>
      </c>
      <c r="C24" s="56" t="s">
        <v>1</v>
      </c>
      <c r="D24" s="26">
        <v>302313</v>
      </c>
      <c r="E24" s="56" t="s">
        <v>33</v>
      </c>
      <c r="F24" s="56">
        <f>D24-B24</f>
        <v>372</v>
      </c>
      <c r="G24" s="56" t="s">
        <v>34</v>
      </c>
      <c r="H24" s="56">
        <f>F24*220</f>
        <v>81840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2844.64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327.36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818.4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4740.3999999999996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75</v>
      </c>
      <c r="E33" s="56" t="s">
        <v>42</v>
      </c>
      <c r="F33" s="21">
        <v>67</v>
      </c>
      <c r="G33" s="56" t="s">
        <v>43</v>
      </c>
      <c r="H33" s="49">
        <f>(D33-F33)*48.8</f>
        <v>390.4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355.26400000000001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19252.961440500636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7" zoomScaleNormal="100" workbookViewId="0">
      <selection activeCell="D29" sqref="D29:H2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70038</v>
      </c>
      <c r="C4" s="56" t="s">
        <v>15</v>
      </c>
      <c r="D4" s="25">
        <v>70062.37</v>
      </c>
      <c r="E4" s="56" t="s">
        <v>16</v>
      </c>
      <c r="F4" s="56">
        <f>D4-B4</f>
        <v>24.369999999995343</v>
      </c>
      <c r="G4" s="56" t="s">
        <v>17</v>
      </c>
      <c r="H4" s="56">
        <f>F4*284.35</f>
        <v>6929.6094999986763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3936.0181959992478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519.72071249990074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7321.7389084991482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43149</v>
      </c>
      <c r="E11" s="56" t="s">
        <v>23</v>
      </c>
      <c r="F11" s="25">
        <v>43156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71539</v>
      </c>
      <c r="E12" s="56" t="s">
        <v>23</v>
      </c>
      <c r="F12" s="25">
        <v>71552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72369</v>
      </c>
      <c r="E13" s="56" t="s">
        <v>23</v>
      </c>
      <c r="F13" s="25">
        <v>72380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301757</v>
      </c>
      <c r="C24" s="56" t="s">
        <v>1</v>
      </c>
      <c r="D24" s="26">
        <v>301941</v>
      </c>
      <c r="E24" s="56" t="s">
        <v>33</v>
      </c>
      <c r="F24" s="56">
        <f>D24-B24</f>
        <v>184</v>
      </c>
      <c r="G24" s="56" t="s">
        <v>34</v>
      </c>
      <c r="H24" s="56">
        <f>F24*220</f>
        <v>40480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942.07999999999993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161.92000000000002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404.8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2258.8000000000002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85</v>
      </c>
      <c r="E33" s="56" t="s">
        <v>42</v>
      </c>
      <c r="F33" s="21">
        <v>75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16670.026908499149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70015.539999999994</v>
      </c>
      <c r="C4" s="56" t="s">
        <v>15</v>
      </c>
      <c r="D4" s="25">
        <v>70038</v>
      </c>
      <c r="E4" s="56" t="s">
        <v>16</v>
      </c>
      <c r="F4" s="56">
        <f>D4-B4</f>
        <v>22.460000000006403</v>
      </c>
      <c r="G4" s="56" t="s">
        <v>17</v>
      </c>
      <c r="H4" s="56">
        <f>F4*284.35</f>
        <v>6386.501000001821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3627.5325680010342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478.98757500013653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6972.5201430011712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43142</v>
      </c>
      <c r="E11" s="56" t="s">
        <v>23</v>
      </c>
      <c r="F11" s="25">
        <v>43149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71526</v>
      </c>
      <c r="E12" s="56" t="s">
        <v>23</v>
      </c>
      <c r="F12" s="25">
        <v>71539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72358</v>
      </c>
      <c r="E13" s="56" t="s">
        <v>23</v>
      </c>
      <c r="F13" s="25">
        <v>72369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301582</v>
      </c>
      <c r="C24" s="56" t="s">
        <v>1</v>
      </c>
      <c r="D24" s="26">
        <v>301757</v>
      </c>
      <c r="E24" s="56" t="s">
        <v>33</v>
      </c>
      <c r="F24" s="56">
        <f>D24-B24</f>
        <v>175</v>
      </c>
      <c r="G24" s="56" t="s">
        <v>34</v>
      </c>
      <c r="H24" s="56">
        <f>F24*220</f>
        <v>38500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851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385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2140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26</v>
      </c>
      <c r="E34" s="56" t="s">
        <v>42</v>
      </c>
      <c r="F34" s="21">
        <v>26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16202.008143001171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9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99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69992.289999999994</v>
      </c>
      <c r="C4" s="56" t="s">
        <v>15</v>
      </c>
      <c r="D4" s="25">
        <v>70015.539999999994</v>
      </c>
      <c r="E4" s="56" t="s">
        <v>16</v>
      </c>
      <c r="F4" s="56">
        <f>D4-B4</f>
        <v>23.25</v>
      </c>
      <c r="G4" s="56" t="s">
        <v>17</v>
      </c>
      <c r="H4" s="56">
        <f>F4*284.35</f>
        <v>6611.1375000000007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3755.1261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495.83531250000004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7116.9614124999998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43135</v>
      </c>
      <c r="E11" s="56" t="s">
        <v>23</v>
      </c>
      <c r="F11" s="25">
        <v>43142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71513</v>
      </c>
      <c r="E12" s="56" t="s">
        <v>23</v>
      </c>
      <c r="F12" s="25">
        <v>71526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72348</v>
      </c>
      <c r="E13" s="56" t="s">
        <v>23</v>
      </c>
      <c r="F13" s="25">
        <v>72358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301398</v>
      </c>
      <c r="C24" s="56" t="s">
        <v>1</v>
      </c>
      <c r="D24" s="26">
        <v>301582</v>
      </c>
      <c r="E24" s="56" t="s">
        <v>33</v>
      </c>
      <c r="F24" s="56">
        <f>D24-B24</f>
        <v>184</v>
      </c>
      <c r="G24" s="56" t="s">
        <v>34</v>
      </c>
      <c r="H24" s="56">
        <f>F24*220</f>
        <v>40480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942.07999999999993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161.92000000000002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404.8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2258.8000000000002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37</v>
      </c>
      <c r="E34" s="56" t="s">
        <v>42</v>
      </c>
      <c r="F34" s="21">
        <v>26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16295.289412499998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topLeftCell="A16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97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69969.52</v>
      </c>
      <c r="C4" s="56" t="s">
        <v>15</v>
      </c>
      <c r="D4" s="25">
        <v>69992.289999999994</v>
      </c>
      <c r="E4" s="56" t="s">
        <v>16</v>
      </c>
      <c r="F4" s="56">
        <f>D4-B4</f>
        <v>22.769999999989523</v>
      </c>
      <c r="G4" s="56" t="s">
        <v>17</v>
      </c>
      <c r="H4" s="56">
        <f>F4*284.35</f>
        <v>6474.6494999970209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3677.6009159983078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485.59871249977652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7029.1996284980842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43128</v>
      </c>
      <c r="E11" s="56" t="s">
        <v>23</v>
      </c>
      <c r="F11" s="25">
        <v>43135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71500</v>
      </c>
      <c r="E12" s="56" t="s">
        <v>23</v>
      </c>
      <c r="F12" s="25">
        <v>71513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72337</v>
      </c>
      <c r="E13" s="56" t="s">
        <v>23</v>
      </c>
      <c r="F13" s="25">
        <v>72348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301213</v>
      </c>
      <c r="C24" s="56" t="s">
        <v>1</v>
      </c>
      <c r="D24" s="26">
        <v>301398</v>
      </c>
      <c r="E24" s="56" t="s">
        <v>33</v>
      </c>
      <c r="F24" s="56">
        <f>D24-B24</f>
        <v>185</v>
      </c>
      <c r="G24" s="56" t="s">
        <v>34</v>
      </c>
      <c r="H24" s="56">
        <f>F24*220</f>
        <v>40700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952.19999999999993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162.80000000000001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407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2272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48</v>
      </c>
      <c r="E34" s="56" t="s">
        <v>42</v>
      </c>
      <c r="F34" s="21">
        <v>37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16435.095628498086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16" zoomScale="115" zoomScaleNormal="115" workbookViewId="0">
      <selection activeCell="B41" sqref="B41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69945.98</v>
      </c>
      <c r="C4" s="56" t="s">
        <v>15</v>
      </c>
      <c r="D4" s="25">
        <v>69969.52</v>
      </c>
      <c r="E4" s="56" t="s">
        <v>16</v>
      </c>
      <c r="F4" s="56">
        <f>D4-B4</f>
        <v>23.540000000008149</v>
      </c>
      <c r="G4" s="56" t="s">
        <v>17</v>
      </c>
      <c r="H4" s="56">
        <f>F4*284.35</f>
        <v>6693.5990000023176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3801.9642320013158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502.01992500017377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7169.9841570014896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43121</v>
      </c>
      <c r="E11" s="56" t="s">
        <v>23</v>
      </c>
      <c r="F11" s="25">
        <v>43128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71487</v>
      </c>
      <c r="E12" s="56" t="s">
        <v>23</v>
      </c>
      <c r="F12" s="25">
        <v>71500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72326</v>
      </c>
      <c r="E13" s="56" t="s">
        <v>23</v>
      </c>
      <c r="F13" s="25">
        <v>72337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301003</v>
      </c>
      <c r="C24" s="56" t="s">
        <v>1</v>
      </c>
      <c r="D24" s="26">
        <v>301213</v>
      </c>
      <c r="E24" s="56" t="s">
        <v>33</v>
      </c>
      <c r="F24" s="56">
        <f>D24-B24</f>
        <v>210</v>
      </c>
      <c r="G24" s="56" t="s">
        <v>34</v>
      </c>
      <c r="H24" s="56">
        <f>F24*220</f>
        <v>46200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1205.2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184.8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462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59</v>
      </c>
      <c r="E34" s="56" t="s">
        <v>42</v>
      </c>
      <c r="F34" s="21">
        <v>48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16905.880157001491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69918.259999999995</v>
      </c>
      <c r="C4" s="56" t="s">
        <v>15</v>
      </c>
      <c r="D4" s="25">
        <v>69945.98</v>
      </c>
      <c r="E4" s="56" t="s">
        <v>16</v>
      </c>
      <c r="F4" s="56">
        <f>D4-B4</f>
        <v>27.720000000001164</v>
      </c>
      <c r="G4" s="56" t="s">
        <v>17</v>
      </c>
      <c r="H4" s="56">
        <f>F4*284.35</f>
        <v>7882.1820000003318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4477.0793760001879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591.16365000002486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7934.2430260002129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43115</v>
      </c>
      <c r="E11" s="56" t="s">
        <v>23</v>
      </c>
      <c r="F11" s="25">
        <v>43121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71473</v>
      </c>
      <c r="E12" s="56" t="s">
        <v>23</v>
      </c>
      <c r="F12" s="25">
        <v>71487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72314</v>
      </c>
      <c r="E13" s="56" t="s">
        <v>23</v>
      </c>
      <c r="F13" s="25">
        <v>72326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300780</v>
      </c>
      <c r="C24" s="56" t="s">
        <v>1</v>
      </c>
      <c r="D24" s="26">
        <v>301003</v>
      </c>
      <c r="E24" s="56" t="s">
        <v>33</v>
      </c>
      <c r="F24" s="56">
        <f>D24-B24</f>
        <v>223</v>
      </c>
      <c r="G24" s="56" t="s">
        <v>34</v>
      </c>
      <c r="H24" s="56">
        <f>F24*220</f>
        <v>49060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1336.76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196.24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490.6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2773.6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68</v>
      </c>
      <c r="E34" s="56" t="s">
        <v>42</v>
      </c>
      <c r="F34" s="21">
        <v>59</v>
      </c>
      <c r="G34" s="56" t="s">
        <v>43</v>
      </c>
      <c r="H34" s="49">
        <f>(D34-F34)*48.8</f>
        <v>439.2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17967.291026000214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69890.28</v>
      </c>
      <c r="C4" s="56" t="s">
        <v>15</v>
      </c>
      <c r="D4" s="25">
        <v>69918.259999999995</v>
      </c>
      <c r="E4" s="56" t="s">
        <v>16</v>
      </c>
      <c r="F4" s="56">
        <f>D4-B4</f>
        <v>27.979999999995925</v>
      </c>
      <c r="G4" s="56" t="s">
        <v>17</v>
      </c>
      <c r="H4" s="56">
        <f>F4*284.35</f>
        <v>7956.1129999988416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4519.0721839993412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596.70847499991305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7981.7806589992542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43108</v>
      </c>
      <c r="E11" s="56" t="s">
        <v>23</v>
      </c>
      <c r="F11" s="25">
        <v>43115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71460</v>
      </c>
      <c r="E12" s="56" t="s">
        <v>23</v>
      </c>
      <c r="F12" s="25">
        <v>71473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72303</v>
      </c>
      <c r="E13" s="56" t="s">
        <v>23</v>
      </c>
      <c r="F13" s="25">
        <v>72314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300567</v>
      </c>
      <c r="C24" s="56" t="s">
        <v>1</v>
      </c>
      <c r="D24" s="26">
        <v>300780</v>
      </c>
      <c r="E24" s="56" t="s">
        <v>33</v>
      </c>
      <c r="F24" s="56">
        <f>D24-B24</f>
        <v>213</v>
      </c>
      <c r="G24" s="56" t="s">
        <v>34</v>
      </c>
      <c r="H24" s="56">
        <f>F24*220</f>
        <v>46860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1235.56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187.44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468.6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2641.6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77</v>
      </c>
      <c r="E34" s="56" t="s">
        <v>42</v>
      </c>
      <c r="F34" s="21">
        <v>68</v>
      </c>
      <c r="G34" s="56" t="s">
        <v>43</v>
      </c>
      <c r="H34" s="49">
        <f>(D34-F34)*48.8</f>
        <v>439.2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17668.460658999255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69858.64</v>
      </c>
      <c r="C4" s="56" t="s">
        <v>15</v>
      </c>
      <c r="D4" s="25">
        <v>69890.28</v>
      </c>
      <c r="E4" s="56" t="s">
        <v>16</v>
      </c>
      <c r="F4" s="56">
        <f>D4-B4</f>
        <v>31.639999999999418</v>
      </c>
      <c r="G4" s="56" t="s">
        <v>17</v>
      </c>
      <c r="H4" s="56">
        <f>F4*284.35</f>
        <v>8996.8339999998352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5110.2017119999064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674.76254999998764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8650.964261999894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43101</v>
      </c>
      <c r="E11" s="56" t="s">
        <v>23</v>
      </c>
      <c r="F11" s="25">
        <v>43108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71447</v>
      </c>
      <c r="E12" s="56" t="s">
        <v>23</v>
      </c>
      <c r="F12" s="25">
        <v>71460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72292</v>
      </c>
      <c r="E13" s="56" t="s">
        <v>23</v>
      </c>
      <c r="F13" s="25">
        <v>72303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300375</v>
      </c>
      <c r="C24" s="56" t="s">
        <v>1</v>
      </c>
      <c r="D24" s="26">
        <v>300567</v>
      </c>
      <c r="E24" s="56" t="s">
        <v>33</v>
      </c>
      <c r="F24" s="56">
        <f>D24-B24</f>
        <v>192</v>
      </c>
      <c r="G24" s="56" t="s">
        <v>34</v>
      </c>
      <c r="H24" s="56">
        <f>F24*220</f>
        <v>42240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1023.04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168.96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422.40000000000003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2364.4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23</v>
      </c>
      <c r="E33" s="56" t="s">
        <v>42</v>
      </c>
      <c r="F33" s="21">
        <v>23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68</v>
      </c>
      <c r="E34" s="56" t="s">
        <v>42</v>
      </c>
      <c r="F34" s="21">
        <v>59</v>
      </c>
      <c r="G34" s="56" t="s">
        <v>43</v>
      </c>
      <c r="H34" s="49">
        <f>(D34-F34)*48.8</f>
        <v>439.2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18060.444261999895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6" zoomScale="115" zoomScaleNormal="115" workbookViewId="0">
      <selection activeCell="K27" sqref="K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69827.97</v>
      </c>
      <c r="C4" s="56" t="s">
        <v>15</v>
      </c>
      <c r="D4" s="25">
        <v>69858.64</v>
      </c>
      <c r="E4" s="56" t="s">
        <v>16</v>
      </c>
      <c r="F4" s="56">
        <f>D4-B4</f>
        <v>30.669999999998254</v>
      </c>
      <c r="G4" s="56" t="s">
        <v>17</v>
      </c>
      <c r="H4" s="56">
        <f>F4*284.35</f>
        <v>8721.0144999995046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4953.536235999718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654.0760874999628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8473.6123234996812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43094</v>
      </c>
      <c r="E11" s="56" t="s">
        <v>23</v>
      </c>
      <c r="F11" s="25">
        <v>43101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71435</v>
      </c>
      <c r="E12" s="56" t="s">
        <v>23</v>
      </c>
      <c r="F12" s="25">
        <v>71447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72281</v>
      </c>
      <c r="E13" s="56" t="s">
        <v>23</v>
      </c>
      <c r="F13" s="25">
        <v>72292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300192</v>
      </c>
      <c r="C24" s="56" t="s">
        <v>1</v>
      </c>
      <c r="D24" s="26">
        <v>300375</v>
      </c>
      <c r="E24" s="56" t="s">
        <v>33</v>
      </c>
      <c r="F24" s="56">
        <f>D24-B24</f>
        <v>183</v>
      </c>
      <c r="G24" s="56" t="s">
        <v>34</v>
      </c>
      <c r="H24" s="56">
        <f>F24*220</f>
        <v>40260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931.96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161.04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402.6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2245.6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23</v>
      </c>
      <c r="E33" s="56" t="s">
        <v>42</v>
      </c>
      <c r="F33" s="21">
        <v>23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68</v>
      </c>
      <c r="G34" s="56" t="s">
        <v>43</v>
      </c>
      <c r="H34" s="49">
        <f>(D34-F34)*48.8</f>
        <v>585.59999999999991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532.89599999999996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17683.148323499681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3"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69795.39</v>
      </c>
      <c r="C4" s="56" t="s">
        <v>15</v>
      </c>
      <c r="D4" s="25">
        <v>69827.97</v>
      </c>
      <c r="E4" s="56" t="s">
        <v>16</v>
      </c>
      <c r="F4" s="56">
        <f>D4-B4</f>
        <v>32.580000000001746</v>
      </c>
      <c r="G4" s="56" t="s">
        <v>17</v>
      </c>
      <c r="H4" s="56">
        <f>F4*284.35</f>
        <v>9264.123000000498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5262.0218640002822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694.80922500003737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8822.8310890003195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43087</v>
      </c>
      <c r="E11" s="56" t="s">
        <v>23</v>
      </c>
      <c r="F11" s="25">
        <v>43094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71422</v>
      </c>
      <c r="E12" s="56" t="s">
        <v>23</v>
      </c>
      <c r="F12" s="25">
        <v>71435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72270</v>
      </c>
      <c r="E13" s="56" t="s">
        <v>23</v>
      </c>
      <c r="F13" s="25">
        <v>72281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299995</v>
      </c>
      <c r="C24" s="56" t="s">
        <v>1</v>
      </c>
      <c r="D24" s="26">
        <v>300192</v>
      </c>
      <c r="E24" s="56" t="s">
        <v>33</v>
      </c>
      <c r="F24" s="56">
        <f>D24-B24</f>
        <v>197</v>
      </c>
      <c r="G24" s="56" t="s">
        <v>34</v>
      </c>
      <c r="H24" s="56">
        <f>F24*220</f>
        <v>43340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1073.6399999999999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173.36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433.40000000000003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2430.4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35</v>
      </c>
      <c r="E33" s="56" t="s">
        <v>42</v>
      </c>
      <c r="F33" s="21">
        <v>23</v>
      </c>
      <c r="G33" s="56" t="s">
        <v>43</v>
      </c>
      <c r="H33" s="49">
        <f>(D33-F33)*48.8</f>
        <v>585.59999999999991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532.89599999999996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18431.535089000321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topLeftCell="A16"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87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69762.19</v>
      </c>
      <c r="C4" s="56" t="s">
        <v>15</v>
      </c>
      <c r="D4" s="25">
        <v>69795.39</v>
      </c>
      <c r="E4" s="56" t="s">
        <v>16</v>
      </c>
      <c r="F4" s="56">
        <f>D4-B4</f>
        <v>33.19999999999709</v>
      </c>
      <c r="G4" s="56" t="s">
        <v>17</v>
      </c>
      <c r="H4" s="56">
        <f>F4*284.35</f>
        <v>9440.4199999991724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5362.1585599995296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708.03149999993786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8936.1900599994678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43080</v>
      </c>
      <c r="E11" s="56" t="s">
        <v>23</v>
      </c>
      <c r="F11" s="25">
        <v>43087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71408</v>
      </c>
      <c r="E12" s="56" t="s">
        <v>23</v>
      </c>
      <c r="F12" s="25">
        <v>71422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72259</v>
      </c>
      <c r="E13" s="56" t="s">
        <v>23</v>
      </c>
      <c r="F13" s="25">
        <v>72270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299792</v>
      </c>
      <c r="C24" s="56" t="s">
        <v>1</v>
      </c>
      <c r="D24" s="26">
        <v>299995</v>
      </c>
      <c r="E24" s="56" t="s">
        <v>33</v>
      </c>
      <c r="F24" s="56">
        <f>D24-B24</f>
        <v>203</v>
      </c>
      <c r="G24" s="56" t="s">
        <v>34</v>
      </c>
      <c r="H24" s="56">
        <f>F24*220</f>
        <v>44660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1134.3599999999999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178.64000000000001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446.6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2509.6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45</v>
      </c>
      <c r="E33" s="56" t="s">
        <v>42</v>
      </c>
      <c r="F33" s="21">
        <v>35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18749.646059999468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H36"/>
  <sheetViews>
    <sheetView topLeftCell="A22"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69731.679999999993</v>
      </c>
      <c r="C4" s="56" t="s">
        <v>15</v>
      </c>
      <c r="D4" s="25">
        <v>69762.19</v>
      </c>
      <c r="E4" s="56" t="s">
        <v>16</v>
      </c>
      <c r="F4" s="56">
        <f>D4-B4</f>
        <v>30.510000000009313</v>
      </c>
      <c r="G4" s="56" t="s">
        <v>17</v>
      </c>
      <c r="H4" s="56">
        <f>F4*284.35</f>
        <v>8675.5185000026486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4927.6945080015039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650.6638875001986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8444.358395501702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43073</v>
      </c>
      <c r="E11" s="56" t="s">
        <v>23</v>
      </c>
      <c r="F11" s="25">
        <v>43080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71396</v>
      </c>
      <c r="E12" s="56" t="s">
        <v>23</v>
      </c>
      <c r="F12" s="25">
        <v>71408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72248</v>
      </c>
      <c r="E13" s="56" t="s">
        <v>23</v>
      </c>
      <c r="F13" s="25">
        <v>72259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299569</v>
      </c>
      <c r="C24" s="56" t="s">
        <v>1</v>
      </c>
      <c r="D24" s="26">
        <v>299792</v>
      </c>
      <c r="E24" s="56" t="s">
        <v>33</v>
      </c>
      <c r="F24" s="56">
        <f>D24-B24</f>
        <v>223</v>
      </c>
      <c r="G24" s="56" t="s">
        <v>34</v>
      </c>
      <c r="H24" s="56">
        <f>F24*220</f>
        <v>49060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1336.76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196.24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490.6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2773.6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55</v>
      </c>
      <c r="E33" s="56" t="s">
        <v>42</v>
      </c>
      <c r="F33" s="21">
        <v>45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18093.0783955017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"/>
  <dimension ref="A1:H36"/>
  <sheetViews>
    <sheetView topLeftCell="A16" zoomScale="115" zoomScaleNormal="115" workbookViewId="0">
      <selection activeCell="B37" sqref="B3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69700.399999999994</v>
      </c>
      <c r="C4" s="56" t="s">
        <v>15</v>
      </c>
      <c r="D4" s="25">
        <v>69731.679999999993</v>
      </c>
      <c r="E4" s="56" t="s">
        <v>16</v>
      </c>
      <c r="F4" s="56">
        <f>D4-B4</f>
        <v>31.279999999998836</v>
      </c>
      <c r="G4" s="56" t="s">
        <v>17</v>
      </c>
      <c r="H4" s="56">
        <f>F4*284.35</f>
        <v>8894.4679999996697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5052.0578239998122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667.08509999997523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8585.1429239997869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43066</v>
      </c>
      <c r="E11" s="56" t="s">
        <v>23</v>
      </c>
      <c r="F11" s="25">
        <v>43073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71383</v>
      </c>
      <c r="E12" s="56" t="s">
        <v>23</v>
      </c>
      <c r="F12" s="25">
        <v>71396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72237</v>
      </c>
      <c r="E13" s="56" t="s">
        <v>23</v>
      </c>
      <c r="F13" s="25">
        <v>72248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299387</v>
      </c>
      <c r="C24" s="56" t="s">
        <v>1</v>
      </c>
      <c r="D24" s="26">
        <v>299569</v>
      </c>
      <c r="E24" s="56" t="s">
        <v>33</v>
      </c>
      <c r="F24" s="56">
        <f>D24-B24</f>
        <v>182</v>
      </c>
      <c r="G24" s="56" t="s">
        <v>34</v>
      </c>
      <c r="H24" s="56">
        <f>F24*220</f>
        <v>40040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921.84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160.16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400.40000000000003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2232.4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67</v>
      </c>
      <c r="E33" s="56" t="s">
        <v>42</v>
      </c>
      <c r="F33" s="21">
        <v>55</v>
      </c>
      <c r="G33" s="56" t="s">
        <v>43</v>
      </c>
      <c r="H33" s="49">
        <f>(D33-F33)*48.8</f>
        <v>585.59999999999991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532.89599999999996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17995.846923999787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4"/>
  <dimension ref="A1:H36"/>
  <sheetViews>
    <sheetView topLeftCell="A10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69669.259999999995</v>
      </c>
      <c r="C4" s="56" t="s">
        <v>15</v>
      </c>
      <c r="D4" s="25">
        <v>69700.399999999994</v>
      </c>
      <c r="E4" s="56" t="s">
        <v>16</v>
      </c>
      <c r="F4" s="56">
        <f>D4-B4</f>
        <v>31.139999999999418</v>
      </c>
      <c r="G4" s="56" t="s">
        <v>17</v>
      </c>
      <c r="H4" s="56">
        <f>F4*284.35</f>
        <v>8854.6589999998359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5029.4463119999064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664.09942499998772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8559.5457369998949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43059</v>
      </c>
      <c r="E11" s="56" t="s">
        <v>23</v>
      </c>
      <c r="F11" s="25">
        <v>43066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71370</v>
      </c>
      <c r="E12" s="56" t="s">
        <v>23</v>
      </c>
      <c r="F12" s="25">
        <v>71383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72226</v>
      </c>
      <c r="E13" s="56" t="s">
        <v>23</v>
      </c>
      <c r="F13" s="25">
        <v>72237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299190</v>
      </c>
      <c r="C24" s="56" t="s">
        <v>1</v>
      </c>
      <c r="D24" s="26">
        <v>299387</v>
      </c>
      <c r="E24" s="56" t="s">
        <v>33</v>
      </c>
      <c r="F24" s="56">
        <f>D24-B24</f>
        <v>197</v>
      </c>
      <c r="G24" s="56" t="s">
        <v>34</v>
      </c>
      <c r="H24" s="56">
        <f>F24*220</f>
        <v>43340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1073.6399999999999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173.36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433.40000000000003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2430.4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76</v>
      </c>
      <c r="E33" s="56" t="s">
        <v>42</v>
      </c>
      <c r="F33" s="21">
        <v>67</v>
      </c>
      <c r="G33" s="56" t="s">
        <v>43</v>
      </c>
      <c r="H33" s="49">
        <f>(D33-F33)*48.8</f>
        <v>439.2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18035.025736999894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"/>
  <dimension ref="A1:H36"/>
  <sheetViews>
    <sheetView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69636</v>
      </c>
      <c r="C4" s="56" t="s">
        <v>15</v>
      </c>
      <c r="D4" s="25">
        <v>69669.259999999995</v>
      </c>
      <c r="E4" s="56" t="s">
        <v>16</v>
      </c>
      <c r="F4" s="56">
        <f>D4-B4</f>
        <v>33.259999999994761</v>
      </c>
      <c r="G4" s="56" t="s">
        <v>17</v>
      </c>
      <c r="H4" s="56">
        <f>F4*284.35</f>
        <v>9457.4809999985118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5371.8492079991538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709.31107499988832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8947.1602829990425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43052</v>
      </c>
      <c r="E11" s="56" t="s">
        <v>23</v>
      </c>
      <c r="F11" s="25">
        <v>43059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71358</v>
      </c>
      <c r="E12" s="56" t="s">
        <v>23</v>
      </c>
      <c r="F12" s="25">
        <v>71370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72215</v>
      </c>
      <c r="E13" s="56" t="s">
        <v>23</v>
      </c>
      <c r="F13" s="25">
        <v>72226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298999</v>
      </c>
      <c r="C24" s="56" t="s">
        <v>1</v>
      </c>
      <c r="D24" s="26">
        <v>299190</v>
      </c>
      <c r="E24" s="56" t="s">
        <v>33</v>
      </c>
      <c r="F24" s="56">
        <f>D24-B24</f>
        <v>191</v>
      </c>
      <c r="G24" s="56" t="s">
        <v>34</v>
      </c>
      <c r="H24" s="56">
        <f>F24*220</f>
        <v>42020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1012.92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168.08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420.2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2351.1999999999998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85</v>
      </c>
      <c r="E33" s="56" t="s">
        <v>42</v>
      </c>
      <c r="F33" s="21">
        <v>76</v>
      </c>
      <c r="G33" s="56" t="s">
        <v>43</v>
      </c>
      <c r="H33" s="49">
        <f>(D33-F33)*48.8</f>
        <v>439.2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18129.072282999041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/>
  <dimension ref="A1:H36"/>
  <sheetViews>
    <sheetView topLeftCell="A16" zoomScale="115" zoomScaleNormal="115" workbookViewId="0">
      <selection activeCell="F41" sqref="F41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69600.58</v>
      </c>
      <c r="C4" s="56" t="s">
        <v>15</v>
      </c>
      <c r="D4" s="25">
        <v>69636</v>
      </c>
      <c r="E4" s="56" t="s">
        <v>16</v>
      </c>
      <c r="F4" s="56">
        <f>D4-B4</f>
        <v>35.419999999998254</v>
      </c>
      <c r="G4" s="56" t="s">
        <v>17</v>
      </c>
      <c r="H4" s="56">
        <f>F4*284.35</f>
        <v>10071.676999999505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5720.7125359997181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755.3757749999628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9342.0883109996812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43045</v>
      </c>
      <c r="E11" s="56" t="s">
        <v>23</v>
      </c>
      <c r="F11" s="25">
        <v>43052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71345</v>
      </c>
      <c r="E12" s="56" t="s">
        <v>23</v>
      </c>
      <c r="F12" s="25">
        <v>71358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72204</v>
      </c>
      <c r="E13" s="56" t="s">
        <v>23</v>
      </c>
      <c r="F13" s="25">
        <v>72215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298780</v>
      </c>
      <c r="C24" s="56" t="s">
        <v>1</v>
      </c>
      <c r="D24" s="26">
        <v>298999</v>
      </c>
      <c r="E24" s="56" t="s">
        <v>33</v>
      </c>
      <c r="F24" s="56">
        <f>D24-B24</f>
        <v>219</v>
      </c>
      <c r="G24" s="56" t="s">
        <v>34</v>
      </c>
      <c r="H24" s="56">
        <f>F24*220</f>
        <v>48180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1296.28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192.72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481.8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2720.8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19152.37631099968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7"/>
  <dimension ref="A1:H36"/>
  <sheetViews>
    <sheetView topLeftCell="A16" zoomScale="115" zoomScaleNormal="115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69568.320000000007</v>
      </c>
      <c r="C4" s="56" t="s">
        <v>15</v>
      </c>
      <c r="D4" s="25">
        <v>69600.58</v>
      </c>
      <c r="E4" s="56" t="s">
        <v>16</v>
      </c>
      <c r="F4" s="56">
        <f>D4-B4</f>
        <v>32.259999999994761</v>
      </c>
      <c r="G4" s="56" t="s">
        <v>17</v>
      </c>
      <c r="H4" s="56">
        <f>F4*284.35</f>
        <v>9173.1309999985115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5210.3384079991538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687.98482499988836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8764.3232329990424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43038</v>
      </c>
      <c r="E11" s="56" t="s">
        <v>23</v>
      </c>
      <c r="F11" s="25">
        <v>43045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71333</v>
      </c>
      <c r="E12" s="56" t="s">
        <v>23</v>
      </c>
      <c r="F12" s="25">
        <v>71345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72193</v>
      </c>
      <c r="E13" s="56" t="s">
        <v>23</v>
      </c>
      <c r="F13" s="25">
        <v>72204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298563</v>
      </c>
      <c r="C24" s="56" t="s">
        <v>1</v>
      </c>
      <c r="D24" s="26">
        <v>298780</v>
      </c>
      <c r="E24" s="56" t="s">
        <v>33</v>
      </c>
      <c r="F24" s="56">
        <f>D24-B24</f>
        <v>217</v>
      </c>
      <c r="G24" s="56" t="s">
        <v>34</v>
      </c>
      <c r="H24" s="56">
        <f>F24*220</f>
        <v>47740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1276.04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190.96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477.40000000000003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2694.4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37</v>
      </c>
      <c r="E34" s="56" t="s">
        <v>42</v>
      </c>
      <c r="F34" s="21">
        <v>27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18333.843232999043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8"/>
  <dimension ref="A1:H36"/>
  <sheetViews>
    <sheetView topLeftCell="A16" zoomScale="115" zoomScaleNormal="115" workbookViewId="0">
      <selection activeCell="D27" sqref="D27:H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77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69533.11</v>
      </c>
      <c r="C4" s="56" t="s">
        <v>15</v>
      </c>
      <c r="D4" s="25">
        <v>69568.320000000007</v>
      </c>
      <c r="E4" s="56" t="s">
        <v>16</v>
      </c>
      <c r="F4" s="56">
        <f>D4-B4</f>
        <v>35.210000000006403</v>
      </c>
      <c r="G4" s="56" t="s">
        <v>17</v>
      </c>
      <c r="H4" s="56">
        <f>F4*284.35</f>
        <v>10011.963500001821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5686.7952680010339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750.89726250013655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9303.69253050117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43031</v>
      </c>
      <c r="E11" s="56" t="s">
        <v>23</v>
      </c>
      <c r="F11" s="25">
        <v>43038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71320</v>
      </c>
      <c r="E12" s="56" t="s">
        <v>23</v>
      </c>
      <c r="F12" s="25">
        <v>71333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72182</v>
      </c>
      <c r="E13" s="56" t="s">
        <v>23</v>
      </c>
      <c r="F13" s="25">
        <v>72193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298380</v>
      </c>
      <c r="C24" s="56" t="s">
        <v>1</v>
      </c>
      <c r="D24" s="26">
        <v>298563</v>
      </c>
      <c r="E24" s="56" t="s">
        <v>33</v>
      </c>
      <c r="F24" s="56">
        <f>D24-B24</f>
        <v>183</v>
      </c>
      <c r="G24" s="56" t="s">
        <v>34</v>
      </c>
      <c r="H24" s="56">
        <f>F24*220</f>
        <v>40260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931.96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161.04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402.6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2245.6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46</v>
      </c>
      <c r="E34" s="56" t="s">
        <v>42</v>
      </c>
      <c r="F34" s="21">
        <v>37</v>
      </c>
      <c r="G34" s="56" t="s">
        <v>43</v>
      </c>
      <c r="H34" s="49">
        <f>(D34-F34)*48.8</f>
        <v>439.2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18594.372530501169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9"/>
  <dimension ref="A1:H36"/>
  <sheetViews>
    <sheetView topLeftCell="A19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69498.009999999995</v>
      </c>
      <c r="C4" s="56" t="s">
        <v>15</v>
      </c>
      <c r="D4" s="25">
        <v>69533.11</v>
      </c>
      <c r="E4" s="56" t="s">
        <v>16</v>
      </c>
      <c r="F4" s="56">
        <f>D4-B4</f>
        <v>35.100000000005821</v>
      </c>
      <c r="G4" s="56" t="s">
        <v>17</v>
      </c>
      <c r="H4" s="56">
        <f>F4*284.35</f>
        <v>9980.6850000016566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5669.0290800009407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748.55137500012427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9283.5804550010653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43023</v>
      </c>
      <c r="E11" s="56" t="s">
        <v>23</v>
      </c>
      <c r="F11" s="25">
        <v>43031</v>
      </c>
      <c r="G11" s="56" t="s">
        <v>24</v>
      </c>
      <c r="H11" s="56">
        <f>F11-D11</f>
        <v>8</v>
      </c>
    </row>
    <row r="12" spans="1:8" ht="16.5" customHeight="1">
      <c r="A12" s="61" t="s">
        <v>25</v>
      </c>
      <c r="B12" s="61"/>
      <c r="C12" s="47" t="s">
        <v>22</v>
      </c>
      <c r="D12" s="25">
        <v>71307</v>
      </c>
      <c r="E12" s="56" t="s">
        <v>23</v>
      </c>
      <c r="F12" s="25">
        <v>71320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72171</v>
      </c>
      <c r="E13" s="56" t="s">
        <v>23</v>
      </c>
      <c r="F13" s="25">
        <v>72182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298171</v>
      </c>
      <c r="C24" s="56" t="s">
        <v>1</v>
      </c>
      <c r="D24" s="26">
        <v>298380</v>
      </c>
      <c r="E24" s="56" t="s">
        <v>33</v>
      </c>
      <c r="F24" s="56">
        <f>D24-B24</f>
        <v>209</v>
      </c>
      <c r="G24" s="56" t="s">
        <v>34</v>
      </c>
      <c r="H24" s="56">
        <f>F24*220</f>
        <v>45980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1195.08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183.92000000000002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459.8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2588.8000000000002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56</v>
      </c>
      <c r="E34" s="56" t="s">
        <v>42</v>
      </c>
      <c r="F34" s="21">
        <v>46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19176.236455001064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0"/>
  <dimension ref="A1:H36"/>
  <sheetViews>
    <sheetView topLeftCell="A16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69462.8</v>
      </c>
      <c r="C4" s="56" t="s">
        <v>15</v>
      </c>
      <c r="D4" s="25">
        <v>69498.009999999995</v>
      </c>
      <c r="E4" s="56" t="s">
        <v>16</v>
      </c>
      <c r="F4" s="56">
        <f>D4-B4</f>
        <v>35.209999999991851</v>
      </c>
      <c r="G4" s="56" t="s">
        <v>17</v>
      </c>
      <c r="H4" s="56">
        <f>F4*284.35</f>
        <v>10011.963499997684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5686.7952679986838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750.8972624998263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9303.6925304985089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43016</v>
      </c>
      <c r="E11" s="56" t="s">
        <v>23</v>
      </c>
      <c r="F11" s="25">
        <v>43023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71294</v>
      </c>
      <c r="E12" s="56" t="s">
        <v>23</v>
      </c>
      <c r="F12" s="25">
        <v>71307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72159</v>
      </c>
      <c r="E13" s="56" t="s">
        <v>23</v>
      </c>
      <c r="F13" s="25">
        <v>72171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297960</v>
      </c>
      <c r="C24" s="56" t="s">
        <v>1</v>
      </c>
      <c r="D24" s="26">
        <v>298171</v>
      </c>
      <c r="E24" s="56" t="s">
        <v>33</v>
      </c>
      <c r="F24" s="56">
        <f>D24-B24</f>
        <v>211</v>
      </c>
      <c r="G24" s="56" t="s">
        <v>34</v>
      </c>
      <c r="H24" s="56">
        <f>F24*220</f>
        <v>46420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1215.32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185.68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464.2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2615.1999999999998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65</v>
      </c>
      <c r="E34" s="56" t="s">
        <v>42</v>
      </c>
      <c r="F34" s="21">
        <v>56</v>
      </c>
      <c r="G34" s="56" t="s">
        <v>43</v>
      </c>
      <c r="H34" s="49">
        <f>(D34-F34)*48.8</f>
        <v>439.2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19178.34053049851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1"/>
  <dimension ref="A1:H36"/>
  <sheetViews>
    <sheetView zoomScale="115" zoomScaleNormal="115" workbookViewId="0">
      <selection activeCell="J11" sqref="J11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69430.48</v>
      </c>
      <c r="C4" s="56" t="s">
        <v>15</v>
      </c>
      <c r="D4" s="25">
        <v>69462.8</v>
      </c>
      <c r="E4" s="56" t="s">
        <v>16</v>
      </c>
      <c r="F4" s="56">
        <f>D4-B4</f>
        <v>32.320000000006985</v>
      </c>
      <c r="G4" s="56" t="s">
        <v>17</v>
      </c>
      <c r="H4" s="56">
        <f>F4*284.35</f>
        <v>9190.1920000019873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5220.0290560011281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689.26440000014907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8775.2934560012764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43009</v>
      </c>
      <c r="E11" s="56" t="s">
        <v>23</v>
      </c>
      <c r="F11" s="25">
        <v>43016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71282</v>
      </c>
      <c r="E12" s="56" t="s">
        <v>23</v>
      </c>
      <c r="F12" s="25">
        <v>71294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72148</v>
      </c>
      <c r="E13" s="56" t="s">
        <v>23</v>
      </c>
      <c r="F13" s="25">
        <v>72159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297688</v>
      </c>
      <c r="C24" s="56" t="s">
        <v>1</v>
      </c>
      <c r="D24" s="26">
        <v>297960</v>
      </c>
      <c r="E24" s="56" t="s">
        <v>33</v>
      </c>
      <c r="F24" s="56">
        <f>D24-B24</f>
        <v>272</v>
      </c>
      <c r="G24" s="56" t="s">
        <v>34</v>
      </c>
      <c r="H24" s="56">
        <f>F24*220</f>
        <v>59840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1832.6399999999999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239.36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598.4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3420.4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75</v>
      </c>
      <c r="E34" s="56" t="s">
        <v>42</v>
      </c>
      <c r="F34" s="21">
        <v>65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19070.813456001277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31</vt:i4>
      </vt:variant>
    </vt:vector>
  </HeadingPairs>
  <TitlesOfParts>
    <vt:vector size="63" baseType="lpstr">
      <vt:lpstr>TOTAL</vt:lpstr>
      <vt:lpstr>MTD Utility Sheet</vt:lpstr>
      <vt:lpstr>November-30</vt:lpstr>
      <vt:lpstr>November-29</vt:lpstr>
      <vt:lpstr>November-28</vt:lpstr>
      <vt:lpstr>November-27</vt:lpstr>
      <vt:lpstr>November-26</vt:lpstr>
      <vt:lpstr>November-25</vt:lpstr>
      <vt:lpstr>November-24</vt:lpstr>
      <vt:lpstr>November-23</vt:lpstr>
      <vt:lpstr>November-22</vt:lpstr>
      <vt:lpstr>November-21</vt:lpstr>
      <vt:lpstr>November-20</vt:lpstr>
      <vt:lpstr>November-19</vt:lpstr>
      <vt:lpstr>November-18</vt:lpstr>
      <vt:lpstr>November-17</vt:lpstr>
      <vt:lpstr>November-16</vt:lpstr>
      <vt:lpstr>November-15</vt:lpstr>
      <vt:lpstr>November-14</vt:lpstr>
      <vt:lpstr>November-13</vt:lpstr>
      <vt:lpstr>November-12</vt:lpstr>
      <vt:lpstr>November-11</vt:lpstr>
      <vt:lpstr>November-10</vt:lpstr>
      <vt:lpstr>November-09</vt:lpstr>
      <vt:lpstr>November-08</vt:lpstr>
      <vt:lpstr>November-07</vt:lpstr>
      <vt:lpstr>November-06</vt:lpstr>
      <vt:lpstr>November-05</vt:lpstr>
      <vt:lpstr>November-04</vt:lpstr>
      <vt:lpstr>November-03</vt:lpstr>
      <vt:lpstr>November-02</vt:lpstr>
      <vt:lpstr>November-01</vt:lpstr>
      <vt:lpstr>'MTD Utility Sheet'!Print_Area</vt:lpstr>
      <vt:lpstr>'November-01'!Print_Area</vt:lpstr>
      <vt:lpstr>'November-02'!Print_Area</vt:lpstr>
      <vt:lpstr>'November-03'!Print_Area</vt:lpstr>
      <vt:lpstr>'November-04'!Print_Area</vt:lpstr>
      <vt:lpstr>'November-05'!Print_Area</vt:lpstr>
      <vt:lpstr>'November-06'!Print_Area</vt:lpstr>
      <vt:lpstr>'November-07'!Print_Area</vt:lpstr>
      <vt:lpstr>'November-08'!Print_Area</vt:lpstr>
      <vt:lpstr>'November-09'!Print_Area</vt:lpstr>
      <vt:lpstr>'November-10'!Print_Area</vt:lpstr>
      <vt:lpstr>'November-11'!Print_Area</vt:lpstr>
      <vt:lpstr>'November-12'!Print_Area</vt:lpstr>
      <vt:lpstr>'November-13'!Print_Area</vt:lpstr>
      <vt:lpstr>'November-14'!Print_Area</vt:lpstr>
      <vt:lpstr>'November-15'!Print_Area</vt:lpstr>
      <vt:lpstr>'November-16'!Print_Area</vt:lpstr>
      <vt:lpstr>'November-17'!Print_Area</vt:lpstr>
      <vt:lpstr>'November-18'!Print_Area</vt:lpstr>
      <vt:lpstr>'November-19'!Print_Area</vt:lpstr>
      <vt:lpstr>'November-20'!Print_Area</vt:lpstr>
      <vt:lpstr>'November-21'!Print_Area</vt:lpstr>
      <vt:lpstr>'November-22'!Print_Area</vt:lpstr>
      <vt:lpstr>'November-23'!Print_Area</vt:lpstr>
      <vt:lpstr>'November-24'!Print_Area</vt:lpstr>
      <vt:lpstr>'November-25'!Print_Area</vt:lpstr>
      <vt:lpstr>'November-26'!Print_Area</vt:lpstr>
      <vt:lpstr>'November-27'!Print_Area</vt:lpstr>
      <vt:lpstr>'November-28'!Print_Area</vt:lpstr>
      <vt:lpstr>'November-29'!Print_Area</vt:lpstr>
      <vt:lpstr>'November-30'!Print_Area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Eng Secretary - Amwaj Rotana</cp:lastModifiedBy>
  <cp:lastPrinted>2023-12-31T09:52:57Z</cp:lastPrinted>
  <dcterms:created xsi:type="dcterms:W3CDTF">2009-10-25T07:14:49Z</dcterms:created>
  <dcterms:modified xsi:type="dcterms:W3CDTF">2025-04-17T11:18:16Z</dcterms:modified>
</cp:coreProperties>
</file>