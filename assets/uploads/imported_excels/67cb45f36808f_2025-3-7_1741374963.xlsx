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E0DF3610-B81B-442E-B35D-C9D046D6FA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2" r:id="rId1"/>
    <sheet name="Electricity" sheetId="3" r:id="rId2"/>
    <sheet name="Water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2" l="1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</commentList>
</comments>
</file>

<file path=xl/sharedStrings.xml><?xml version="1.0" encoding="utf-8"?>
<sst xmlns="http://schemas.openxmlformats.org/spreadsheetml/2006/main" count="93" uniqueCount="59">
  <si>
    <t>Site Name</t>
  </si>
  <si>
    <t>Day</t>
  </si>
  <si>
    <t>Month</t>
  </si>
  <si>
    <t>Year</t>
  </si>
  <si>
    <t xml:space="preserve">Room Nights </t>
  </si>
  <si>
    <t xml:space="preserve">Total Guests </t>
  </si>
  <si>
    <t>Total Electricity Kwh</t>
  </si>
  <si>
    <t>Electricity Tariff ($/Kwh)</t>
  </si>
  <si>
    <t>Water Utility Supply (m3) m3</t>
  </si>
  <si>
    <t>Water Utility Supply (m3) $/m3</t>
  </si>
  <si>
    <t>DAILY ELECTRICITY METER READINGS &amp; CONSUMPTION FEBRUARY 2025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</si>
  <si>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</si>
  <si>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</si>
  <si>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</si>
  <si>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</si>
  <si>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</si>
  <si>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</si>
  <si>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Hotel HV Room</t>
  </si>
  <si>
    <t>I5T18D002266/ No. 72039517</t>
  </si>
  <si>
    <t>Hotel &amp; Arjaan incomer 2 (Kilowatt)</t>
  </si>
  <si>
    <r>
      <rPr>
        <b/>
        <sz val="20"/>
        <color rgb="FF000000"/>
        <rFont val="Calibri"/>
        <family val="2"/>
      </rP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FEBRUARY  2024</t>
    </r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</si>
  <si>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</si>
  <si>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</si>
  <si>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</si>
  <si>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</si>
  <si>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</si>
  <si>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</si>
  <si>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</si>
  <si>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</si>
  <si>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</si>
  <si>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</si>
  <si>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</si>
  <si>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</si>
  <si>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</si>
  <si>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</si>
  <si>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</si>
  <si>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</si>
  <si>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</si>
  <si>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</si>
  <si>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</si>
  <si>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</si>
  <si>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</si>
  <si>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</si>
  <si>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</si>
  <si>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</si>
  <si>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</si>
  <si>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</si>
  <si>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</si>
  <si>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</si>
  <si>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</si>
  <si>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</si>
  <si>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48242051 (Hotel &amp; Arjaan Main Meter)</t>
  </si>
  <si>
    <t>Hotel &amp; Arjaan / Raw Water Tank for Hotel,Arjaan,Kitchen,Laundry,Staff Locker,Hotel Swimming Pool</t>
  </si>
  <si>
    <t xml:space="preserve">Office Bldg GF </t>
  </si>
  <si>
    <t>`</t>
  </si>
  <si>
    <t xml:space="preserve">             </t>
  </si>
  <si>
    <t xml:space="preserve">LPG (Liters) </t>
  </si>
  <si>
    <t>LPG $/Liters</t>
  </si>
  <si>
    <t>Park Rotana and Park Arjaan Abu Dhabi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</si>
</sst>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#,##0.0"/>
  </numFmts>
  <fonts count="2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8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3" fontId="14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6" fontId="2" fillId="0" borderId="0" xfId="0" applyNumberFormat="1" applyFon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6" borderId="12" xfId="0" quotePrefix="1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33</xdr:col>
      <xdr:colOff>1945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selection activeCell="A2" sqref="A2:A32"/>
    </sheetView>
  </sheetViews>
  <sheetFormatPr defaultColWidth="11.5546875" defaultRowHeight="14.4" x14ac:dyDescent="0.3"/>
  <cols>
    <col min="1" max="1" width="29.109375" style="2" bestFit="1" customWidth="1"/>
    <col min="2" max="3" width="11.5546875" style="10"/>
    <col min="4" max="4" width="13.44140625" style="10" customWidth="1"/>
    <col min="5" max="5" width="12.5546875" style="3" customWidth="1"/>
    <col min="6" max="6" width="12.5546875" style="11" customWidth="1"/>
    <col min="7" max="7" width="11.5546875" style="3"/>
    <col min="8" max="8" width="11.5546875" style="11"/>
    <col min="9" max="9" width="11.5546875" style="3"/>
    <col min="10" max="10" width="11.5546875" style="12"/>
    <col min="11" max="24" width="11.5546875" style="3"/>
  </cols>
  <sheetData>
    <row r="1" spans="1:12" s="8" customFormat="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6</v>
      </c>
      <c r="F1" s="6" t="s">
        <v>7</v>
      </c>
      <c r="G1" s="5" t="s">
        <v>56</v>
      </c>
      <c r="H1" s="6" t="s">
        <v>57</v>
      </c>
      <c r="I1" s="5" t="s">
        <v>8</v>
      </c>
      <c r="J1" s="7" t="s">
        <v>9</v>
      </c>
      <c r="K1" s="5" t="s">
        <v>4</v>
      </c>
      <c r="L1" s="5" t="s">
        <v>5</v>
      </c>
    </row>
    <row r="2" spans="1:12" x14ac:dyDescent="0.3">
      <c r="A2" s="9" t="s">
        <v>58</v>
      </c>
      <c r="B2" s="10">
        <v>1</v>
      </c>
      <c r="C2" s="10">
        <v>2</v>
      </c>
      <c r="D2" s="10">
        <v>2025</v>
      </c>
      <c r="E2" s="4">
        <f>Electricity!E$6+Electricity!E$8</f>
        <v>21846</v>
      </c>
      <c r="F2" s="11">
        <v>0.2</v>
      </c>
      <c r="G2" s="4"/>
      <c r="H2" s="11">
        <v>1.66</v>
      </c>
      <c r="I2" s="4">
        <f>Water!E$6</f>
        <v>270</v>
      </c>
      <c r="J2" s="11">
        <v>7.84</v>
      </c>
      <c r="K2" s="4"/>
      <c r="L2" s="4"/>
    </row>
    <row r="3" spans="1:12" x14ac:dyDescent="0.3">
      <c r="A3" s="9" t="s">
        <v>58</v>
      </c>
      <c r="B3" s="10">
        <f>B2+1</f>
        <v>2</v>
      </c>
      <c r="C3" s="10">
        <v>2</v>
      </c>
      <c r="D3" s="10">
        <v>2025</v>
      </c>
      <c r="E3" s="4">
        <f>Electricity!F$6+Electricity!F$8</f>
        <v>22031</v>
      </c>
      <c r="F3" s="11">
        <v>0.2</v>
      </c>
      <c r="G3" s="4"/>
      <c r="H3" s="11">
        <v>1.66</v>
      </c>
      <c r="I3" s="4">
        <f>Water!F$6</f>
        <v>295</v>
      </c>
      <c r="J3" s="11">
        <v>7.84</v>
      </c>
      <c r="K3" s="4"/>
      <c r="L3" s="4"/>
    </row>
    <row r="4" spans="1:12" x14ac:dyDescent="0.3">
      <c r="A4" s="9" t="s">
        <v>58</v>
      </c>
      <c r="B4" s="10">
        <f t="shared" ref="B4:B32" si="0">B3+1</f>
        <v>3</v>
      </c>
      <c r="C4" s="10">
        <v>2</v>
      </c>
      <c r="D4" s="10">
        <v>2025</v>
      </c>
      <c r="E4" s="4">
        <f>Electricity!G$6+Electricity!G$8</f>
        <v>22946</v>
      </c>
      <c r="F4" s="11">
        <v>0.2</v>
      </c>
      <c r="G4" s="4"/>
      <c r="H4" s="11">
        <v>1.66</v>
      </c>
      <c r="I4" s="4">
        <f>Water!G$6</f>
        <v>312</v>
      </c>
      <c r="J4" s="11">
        <v>7.84</v>
      </c>
      <c r="K4" s="4"/>
      <c r="L4" s="4"/>
    </row>
    <row r="5" spans="1:12" x14ac:dyDescent="0.3">
      <c r="A5" s="9" t="s">
        <v>58</v>
      </c>
      <c r="B5" s="10">
        <f t="shared" si="0"/>
        <v>4</v>
      </c>
      <c r="C5" s="10">
        <v>2</v>
      </c>
      <c r="D5" s="10">
        <v>2025</v>
      </c>
      <c r="E5" s="4">
        <f>Electricity!H$6+Electricity!H$8</f>
        <v>21559</v>
      </c>
      <c r="F5" s="11">
        <v>0.2</v>
      </c>
      <c r="G5" s="4"/>
      <c r="H5" s="11">
        <v>1.66</v>
      </c>
      <c r="I5" s="4">
        <f>Water!H$6</f>
        <v>289</v>
      </c>
      <c r="J5" s="11">
        <v>7.84</v>
      </c>
      <c r="K5" s="4"/>
      <c r="L5" s="4"/>
    </row>
    <row r="6" spans="1:12" x14ac:dyDescent="0.3">
      <c r="A6" s="9" t="s">
        <v>58</v>
      </c>
      <c r="B6" s="10">
        <f t="shared" si="0"/>
        <v>5</v>
      </c>
      <c r="C6" s="10">
        <v>2</v>
      </c>
      <c r="D6" s="10">
        <v>2025</v>
      </c>
      <c r="E6" s="4">
        <f>Electricity!I$6+Electricity!I$8</f>
        <v>21531</v>
      </c>
      <c r="F6" s="11">
        <v>0.2</v>
      </c>
      <c r="G6" s="4"/>
      <c r="H6" s="11">
        <v>1.66</v>
      </c>
      <c r="I6" s="4">
        <f>Water!I$6</f>
        <v>289</v>
      </c>
      <c r="J6" s="11">
        <v>7.84</v>
      </c>
      <c r="K6" s="4"/>
      <c r="L6" s="4"/>
    </row>
    <row r="7" spans="1:12" x14ac:dyDescent="0.3">
      <c r="A7" s="9" t="s">
        <v>58</v>
      </c>
      <c r="B7" s="10">
        <f t="shared" si="0"/>
        <v>6</v>
      </c>
      <c r="C7" s="10">
        <v>2</v>
      </c>
      <c r="D7" s="10">
        <v>2025</v>
      </c>
      <c r="E7" s="4">
        <f>Electricity!J$6+Electricity!J$8</f>
        <v>21573</v>
      </c>
      <c r="F7" s="11">
        <v>0.2</v>
      </c>
      <c r="G7" s="4"/>
      <c r="H7" s="11">
        <v>1.66</v>
      </c>
      <c r="I7" s="4">
        <f>Water!J$6</f>
        <v>287</v>
      </c>
      <c r="J7" s="11">
        <v>7.84</v>
      </c>
      <c r="K7" s="4"/>
      <c r="L7" s="4"/>
    </row>
    <row r="8" spans="1:12" x14ac:dyDescent="0.3">
      <c r="A8" s="9" t="s">
        <v>58</v>
      </c>
      <c r="B8" s="10">
        <f t="shared" si="0"/>
        <v>7</v>
      </c>
      <c r="C8" s="10">
        <v>2</v>
      </c>
      <c r="D8" s="10">
        <v>2025</v>
      </c>
      <c r="E8" s="4">
        <f>Electricity!K$6+Electricity!K$8</f>
        <v>22336</v>
      </c>
      <c r="F8" s="11">
        <v>0.2</v>
      </c>
      <c r="G8" s="4"/>
      <c r="H8" s="11">
        <v>1.66</v>
      </c>
      <c r="I8" s="4">
        <f>Water!K$6</f>
        <v>284</v>
      </c>
      <c r="J8" s="11">
        <v>7.84</v>
      </c>
      <c r="K8" s="4"/>
      <c r="L8" s="4"/>
    </row>
    <row r="9" spans="1:12" x14ac:dyDescent="0.3">
      <c r="A9" s="9" t="s">
        <v>58</v>
      </c>
      <c r="B9" s="10">
        <f t="shared" si="0"/>
        <v>8</v>
      </c>
      <c r="C9" s="10">
        <v>2</v>
      </c>
      <c r="D9" s="10">
        <v>2025</v>
      </c>
      <c r="E9" s="4">
        <f>Electricity!L$6+Electricity!L$8</f>
        <v>22697</v>
      </c>
      <c r="F9" s="11">
        <v>0.2</v>
      </c>
      <c r="G9" s="4"/>
      <c r="H9" s="11">
        <v>1.66</v>
      </c>
      <c r="I9" s="4">
        <f>Water!L$6</f>
        <v>278</v>
      </c>
      <c r="J9" s="11">
        <v>7.84</v>
      </c>
      <c r="K9" s="4"/>
      <c r="L9" s="4"/>
    </row>
    <row r="10" spans="1:12" x14ac:dyDescent="0.3">
      <c r="A10" s="9" t="s">
        <v>58</v>
      </c>
      <c r="B10" s="10">
        <f t="shared" si="0"/>
        <v>9</v>
      </c>
      <c r="C10" s="10">
        <v>2</v>
      </c>
      <c r="D10" s="10">
        <v>2025</v>
      </c>
      <c r="E10" s="4">
        <f>Electricity!M$6+Electricity!M$8</f>
        <v>21361</v>
      </c>
      <c r="F10" s="11">
        <v>0.2</v>
      </c>
      <c r="G10" s="4"/>
      <c r="H10" s="11">
        <v>1.66</v>
      </c>
      <c r="I10" s="4">
        <f>Water!M$6</f>
        <v>274</v>
      </c>
      <c r="J10" s="11">
        <v>7.84</v>
      </c>
      <c r="K10" s="4"/>
      <c r="L10" s="4"/>
    </row>
    <row r="11" spans="1:12" x14ac:dyDescent="0.3">
      <c r="A11" s="9" t="s">
        <v>58</v>
      </c>
      <c r="B11" s="10">
        <f t="shared" si="0"/>
        <v>10</v>
      </c>
      <c r="C11" s="10">
        <v>2</v>
      </c>
      <c r="D11" s="10">
        <v>2025</v>
      </c>
      <c r="E11" s="4">
        <f>Electricity!N$6+Electricity!N$8</f>
        <v>22118</v>
      </c>
      <c r="F11" s="11">
        <v>0.2</v>
      </c>
      <c r="G11" s="4"/>
      <c r="H11" s="11">
        <v>1.66</v>
      </c>
      <c r="I11" s="4">
        <f>Water!N$6</f>
        <v>227</v>
      </c>
      <c r="J11" s="11">
        <v>7.84</v>
      </c>
      <c r="K11" s="4"/>
      <c r="L11" s="4"/>
    </row>
    <row r="12" spans="1:12" x14ac:dyDescent="0.3">
      <c r="A12" s="9" t="s">
        <v>58</v>
      </c>
      <c r="B12" s="10">
        <f t="shared" si="0"/>
        <v>11</v>
      </c>
      <c r="C12" s="10">
        <v>2</v>
      </c>
      <c r="D12" s="10">
        <v>2025</v>
      </c>
      <c r="E12" s="4">
        <f>Electricity!O$6+Electricity!O$8</f>
        <v>22002</v>
      </c>
      <c r="F12" s="11">
        <v>0.2</v>
      </c>
      <c r="G12" s="4"/>
      <c r="H12" s="11">
        <v>1.66</v>
      </c>
      <c r="I12" s="4">
        <f>Water!O$6</f>
        <v>282</v>
      </c>
      <c r="J12" s="11">
        <v>7.84</v>
      </c>
      <c r="K12" s="4"/>
      <c r="L12" s="4"/>
    </row>
    <row r="13" spans="1:12" x14ac:dyDescent="0.3">
      <c r="A13" s="9" t="s">
        <v>58</v>
      </c>
      <c r="B13" s="10">
        <f t="shared" si="0"/>
        <v>12</v>
      </c>
      <c r="C13" s="10">
        <v>2</v>
      </c>
      <c r="D13" s="10">
        <v>2025</v>
      </c>
      <c r="E13" s="4">
        <f>Electricity!P$6+Electricity!P$8</f>
        <v>21919</v>
      </c>
      <c r="F13" s="11">
        <v>0.2</v>
      </c>
      <c r="G13" s="4"/>
      <c r="H13" s="11">
        <v>1.66</v>
      </c>
      <c r="I13" s="4">
        <f>Water!P$6</f>
        <v>261</v>
      </c>
      <c r="J13" s="11">
        <v>7.84</v>
      </c>
      <c r="K13" s="4"/>
      <c r="L13" s="4"/>
    </row>
    <row r="14" spans="1:12" x14ac:dyDescent="0.3">
      <c r="A14" s="9" t="s">
        <v>58</v>
      </c>
      <c r="B14" s="10">
        <f t="shared" si="0"/>
        <v>13</v>
      </c>
      <c r="C14" s="10">
        <v>2</v>
      </c>
      <c r="D14" s="10">
        <v>2025</v>
      </c>
      <c r="E14" s="4">
        <f>Electricity!Q$6+Electricity!Q$8</f>
        <v>22517</v>
      </c>
      <c r="F14" s="11">
        <v>0.2</v>
      </c>
      <c r="G14" s="4"/>
      <c r="H14" s="11">
        <v>1.66</v>
      </c>
      <c r="I14" s="4">
        <f>Water!Q$6</f>
        <v>294</v>
      </c>
      <c r="J14" s="11">
        <v>7.84</v>
      </c>
      <c r="K14" s="4"/>
      <c r="L14" s="4"/>
    </row>
    <row r="15" spans="1:12" x14ac:dyDescent="0.3">
      <c r="A15" s="9" t="s">
        <v>58</v>
      </c>
      <c r="B15" s="10">
        <f t="shared" si="0"/>
        <v>14</v>
      </c>
      <c r="C15" s="10">
        <v>2</v>
      </c>
      <c r="D15" s="10">
        <v>2025</v>
      </c>
      <c r="E15" s="4">
        <f>Electricity!R$6+Electricity!R$8</f>
        <v>22115</v>
      </c>
      <c r="F15" s="11">
        <v>0.2</v>
      </c>
      <c r="G15" s="4"/>
      <c r="H15" s="11">
        <v>1.66</v>
      </c>
      <c r="I15" s="4">
        <f>Water!R$6</f>
        <v>242</v>
      </c>
      <c r="J15" s="11">
        <v>7.84</v>
      </c>
      <c r="K15" s="4"/>
      <c r="L15" s="4"/>
    </row>
    <row r="16" spans="1:12" x14ac:dyDescent="0.3">
      <c r="A16" s="9" t="s">
        <v>58</v>
      </c>
      <c r="B16" s="10">
        <f t="shared" si="0"/>
        <v>15</v>
      </c>
      <c r="C16" s="10">
        <v>2</v>
      </c>
      <c r="D16" s="10">
        <v>2025</v>
      </c>
      <c r="E16" s="4">
        <f>Electricity!S$6+Electricity!S$8</f>
        <v>22518</v>
      </c>
      <c r="F16" s="11">
        <v>0.2</v>
      </c>
      <c r="G16" s="4"/>
      <c r="H16" s="11">
        <v>1.66</v>
      </c>
      <c r="I16" s="4">
        <f>Water!S$6</f>
        <v>297</v>
      </c>
      <c r="J16" s="11">
        <v>7.84</v>
      </c>
      <c r="K16" s="4"/>
      <c r="L16" s="4"/>
    </row>
    <row r="17" spans="1:12" x14ac:dyDescent="0.3">
      <c r="A17" s="9" t="s">
        <v>58</v>
      </c>
      <c r="B17" s="10">
        <f t="shared" si="0"/>
        <v>16</v>
      </c>
      <c r="C17" s="10">
        <v>2</v>
      </c>
      <c r="D17" s="10">
        <v>2025</v>
      </c>
      <c r="E17" s="4">
        <f>Electricity!T$6+Electricity!T$8</f>
        <v>22543</v>
      </c>
      <c r="F17" s="11">
        <v>0.2</v>
      </c>
      <c r="G17" s="4"/>
      <c r="H17" s="11">
        <v>1.66</v>
      </c>
      <c r="I17" s="4">
        <f>Water!T$6</f>
        <v>256</v>
      </c>
      <c r="J17" s="11">
        <v>7.84</v>
      </c>
      <c r="K17" s="4"/>
      <c r="L17" s="4"/>
    </row>
    <row r="18" spans="1:12" x14ac:dyDescent="0.3">
      <c r="A18" s="9" t="s">
        <v>58</v>
      </c>
      <c r="B18" s="10">
        <f t="shared" si="0"/>
        <v>17</v>
      </c>
      <c r="C18" s="10">
        <v>2</v>
      </c>
      <c r="D18" s="10">
        <v>2025</v>
      </c>
      <c r="E18" s="4">
        <f>Electricity!U$6+Electricity!U$8</f>
        <v>21456</v>
      </c>
      <c r="F18" s="11">
        <v>0.2</v>
      </c>
      <c r="G18" s="4"/>
      <c r="H18" s="11">
        <v>1.66</v>
      </c>
      <c r="I18" s="4">
        <f>Water!U$6</f>
        <v>206</v>
      </c>
      <c r="J18" s="11">
        <v>7.84</v>
      </c>
      <c r="K18" s="4"/>
      <c r="L18" s="4"/>
    </row>
    <row r="19" spans="1:12" x14ac:dyDescent="0.3">
      <c r="A19" s="9" t="s">
        <v>58</v>
      </c>
      <c r="B19" s="10">
        <f t="shared" si="0"/>
        <v>18</v>
      </c>
      <c r="C19" s="10">
        <v>2</v>
      </c>
      <c r="D19" s="10">
        <v>2025</v>
      </c>
      <c r="E19" s="4">
        <f>Electricity!V$6+Electricity!V$8</f>
        <v>22507</v>
      </c>
      <c r="F19" s="11">
        <v>0.2</v>
      </c>
      <c r="G19" s="4"/>
      <c r="H19" s="11">
        <v>1.66</v>
      </c>
      <c r="I19" s="4">
        <f>Water!V$6</f>
        <v>238</v>
      </c>
      <c r="J19" s="11">
        <v>7.84</v>
      </c>
      <c r="K19" s="4"/>
      <c r="L19" s="4"/>
    </row>
    <row r="20" spans="1:12" x14ac:dyDescent="0.3">
      <c r="A20" s="9" t="s">
        <v>58</v>
      </c>
      <c r="B20" s="10">
        <f t="shared" si="0"/>
        <v>19</v>
      </c>
      <c r="C20" s="10">
        <v>2</v>
      </c>
      <c r="D20" s="10">
        <v>2025</v>
      </c>
      <c r="E20" s="4">
        <f>Electricity!W$6+Electricity!W$8</f>
        <v>21864</v>
      </c>
      <c r="F20" s="11">
        <v>0.2</v>
      </c>
      <c r="G20" s="4"/>
      <c r="H20" s="11">
        <v>1.66</v>
      </c>
      <c r="I20" s="4">
        <f>Water!W$6</f>
        <v>269</v>
      </c>
      <c r="J20" s="11">
        <v>7.84</v>
      </c>
      <c r="K20" s="4"/>
      <c r="L20" s="4"/>
    </row>
    <row r="21" spans="1:12" x14ac:dyDescent="0.3">
      <c r="A21" s="9" t="s">
        <v>58</v>
      </c>
      <c r="B21" s="10">
        <f t="shared" si="0"/>
        <v>20</v>
      </c>
      <c r="C21" s="10">
        <v>2</v>
      </c>
      <c r="D21" s="10">
        <v>2025</v>
      </c>
      <c r="E21" s="4">
        <f>Electricity!X$6+Electricity!X$8</f>
        <v>21642</v>
      </c>
      <c r="F21" s="11">
        <v>0.2</v>
      </c>
      <c r="G21" s="4"/>
      <c r="H21" s="11">
        <v>1.66</v>
      </c>
      <c r="I21" s="4">
        <f>Water!X$6</f>
        <v>240</v>
      </c>
      <c r="J21" s="11">
        <v>7.84</v>
      </c>
      <c r="K21" s="4"/>
      <c r="L21" s="4"/>
    </row>
    <row r="22" spans="1:12" x14ac:dyDescent="0.3">
      <c r="A22" s="9" t="s">
        <v>58</v>
      </c>
      <c r="B22" s="10">
        <f t="shared" si="0"/>
        <v>21</v>
      </c>
      <c r="C22" s="10">
        <v>2</v>
      </c>
      <c r="D22" s="10">
        <v>2025</v>
      </c>
      <c r="E22" s="4">
        <f>Electricity!Y$6+Electricity!Y$8</f>
        <v>22329</v>
      </c>
      <c r="F22" s="11">
        <v>0.2</v>
      </c>
      <c r="G22" s="4"/>
      <c r="H22" s="11">
        <v>1.66</v>
      </c>
      <c r="I22" s="4">
        <f>Water!Y$6</f>
        <v>232</v>
      </c>
      <c r="J22" s="11">
        <v>7.84</v>
      </c>
      <c r="K22" s="4"/>
      <c r="L22" s="4"/>
    </row>
    <row r="23" spans="1:12" x14ac:dyDescent="0.3">
      <c r="A23" s="9" t="s">
        <v>58</v>
      </c>
      <c r="B23" s="10">
        <f t="shared" si="0"/>
        <v>22</v>
      </c>
      <c r="C23" s="10">
        <v>2</v>
      </c>
      <c r="D23" s="10">
        <v>2025</v>
      </c>
      <c r="E23" s="4">
        <f>Electricity!Z$6+Electricity!Z$8</f>
        <v>21949</v>
      </c>
      <c r="F23" s="11">
        <v>0.2</v>
      </c>
      <c r="G23" s="4"/>
      <c r="H23" s="11">
        <v>1.66</v>
      </c>
      <c r="I23" s="4">
        <f>Water!Z$6</f>
        <v>218</v>
      </c>
      <c r="J23" s="11">
        <v>7.84</v>
      </c>
      <c r="K23" s="4"/>
      <c r="L23" s="4"/>
    </row>
    <row r="24" spans="1:12" x14ac:dyDescent="0.3">
      <c r="A24" s="9" t="s">
        <v>58</v>
      </c>
      <c r="B24" s="10">
        <f t="shared" si="0"/>
        <v>23</v>
      </c>
      <c r="C24" s="10">
        <v>2</v>
      </c>
      <c r="D24" s="10">
        <v>2025</v>
      </c>
      <c r="E24" s="4">
        <f>Electricity!AA$6+Electricity!AA$8</f>
        <v>22234</v>
      </c>
      <c r="F24" s="11">
        <v>0.2</v>
      </c>
      <c r="G24" s="4"/>
      <c r="H24" s="11">
        <v>1.66</v>
      </c>
      <c r="I24" s="4">
        <f>Water!AA$6</f>
        <v>230</v>
      </c>
      <c r="J24" s="11">
        <v>7.84</v>
      </c>
      <c r="K24" s="4"/>
      <c r="L24" s="4"/>
    </row>
    <row r="25" spans="1:12" x14ac:dyDescent="0.3">
      <c r="A25" s="9" t="s">
        <v>58</v>
      </c>
      <c r="B25" s="10">
        <f t="shared" si="0"/>
        <v>24</v>
      </c>
      <c r="C25" s="10">
        <v>2</v>
      </c>
      <c r="D25" s="10">
        <v>2025</v>
      </c>
      <c r="E25" s="4">
        <f>Electricity!AB$6+Electricity!AB$8</f>
        <v>21790</v>
      </c>
      <c r="F25" s="11">
        <v>0.2</v>
      </c>
      <c r="G25" s="4"/>
      <c r="H25" s="11">
        <v>1.66</v>
      </c>
      <c r="I25" s="4">
        <f>Water!AB$6</f>
        <v>284</v>
      </c>
      <c r="J25" s="11">
        <v>7.84</v>
      </c>
      <c r="K25" s="4"/>
      <c r="L25" s="4"/>
    </row>
    <row r="26" spans="1:12" x14ac:dyDescent="0.3">
      <c r="A26" s="9" t="s">
        <v>58</v>
      </c>
      <c r="B26" s="10">
        <f>B25+1</f>
        <v>25</v>
      </c>
      <c r="C26" s="10">
        <v>2</v>
      </c>
      <c r="D26" s="10">
        <v>2025</v>
      </c>
      <c r="E26" s="4">
        <f>Electricity!AC$6+Electricity!AC$8</f>
        <v>22444</v>
      </c>
      <c r="F26" s="11">
        <v>0.2</v>
      </c>
      <c r="G26" s="4"/>
      <c r="H26" s="11">
        <v>1.66</v>
      </c>
      <c r="I26" s="4">
        <f>Water!AC$6</f>
        <v>211</v>
      </c>
      <c r="J26" s="11">
        <v>7.84</v>
      </c>
      <c r="K26" s="4"/>
      <c r="L26" s="4"/>
    </row>
    <row r="27" spans="1:12" x14ac:dyDescent="0.3">
      <c r="A27" s="9" t="s">
        <v>58</v>
      </c>
      <c r="B27" s="10">
        <f t="shared" si="0"/>
        <v>26</v>
      </c>
      <c r="C27" s="10">
        <v>2</v>
      </c>
      <c r="D27" s="10">
        <v>2025</v>
      </c>
      <c r="E27" s="4">
        <f>Electricity!AD$6+Electricity!AD$8</f>
        <v>22333</v>
      </c>
      <c r="F27" s="11">
        <v>0.2</v>
      </c>
      <c r="G27" s="4"/>
      <c r="H27" s="11">
        <v>1.66</v>
      </c>
      <c r="I27" s="4">
        <f>Water!AD$6</f>
        <v>277</v>
      </c>
      <c r="J27" s="11">
        <v>7.84</v>
      </c>
      <c r="K27" s="4"/>
      <c r="L27" s="4"/>
    </row>
    <row r="28" spans="1:12" x14ac:dyDescent="0.3">
      <c r="A28" s="9" t="s">
        <v>58</v>
      </c>
      <c r="B28" s="10">
        <f t="shared" si="0"/>
        <v>27</v>
      </c>
      <c r="C28" s="10">
        <v>2</v>
      </c>
      <c r="D28" s="10">
        <v>2025</v>
      </c>
      <c r="E28" s="4">
        <f>Electricity!AE$6+Electricity!AE$8</f>
        <v>22495</v>
      </c>
      <c r="F28" s="11">
        <v>0.2</v>
      </c>
      <c r="G28" s="4"/>
      <c r="H28" s="11">
        <v>1.66</v>
      </c>
      <c r="I28" s="4">
        <f>Water!AE$6</f>
        <v>237</v>
      </c>
      <c r="J28" s="11">
        <v>7.84</v>
      </c>
      <c r="K28" s="4"/>
      <c r="L28" s="4"/>
    </row>
    <row r="29" spans="1:12" x14ac:dyDescent="0.3">
      <c r="A29" s="9" t="s">
        <v>58</v>
      </c>
      <c r="B29" s="10">
        <f t="shared" si="0"/>
        <v>28</v>
      </c>
      <c r="C29" s="10">
        <v>2</v>
      </c>
      <c r="D29" s="10">
        <v>2025</v>
      </c>
      <c r="E29" s="4">
        <f>Electricity!AF$6+Electricity!AF$8</f>
        <v>21524</v>
      </c>
      <c r="F29" s="11">
        <v>0.2</v>
      </c>
      <c r="G29" s="4"/>
      <c r="H29" s="11">
        <v>1.66</v>
      </c>
      <c r="I29" s="4">
        <f>Water!AF$6</f>
        <v>254</v>
      </c>
      <c r="J29" s="11">
        <v>7.84</v>
      </c>
      <c r="K29" s="4"/>
      <c r="L29" s="4"/>
    </row>
    <row r="30" spans="1:12" x14ac:dyDescent="0.3">
      <c r="A30" s="9" t="s">
        <v>58</v>
      </c>
      <c r="B30" s="10">
        <f t="shared" si="0"/>
        <v>29</v>
      </c>
      <c r="C30" s="10">
        <v>2</v>
      </c>
      <c r="D30" s="10">
        <v>2025</v>
      </c>
      <c r="E30" s="4">
        <f>Electricity!AG$6+Electricity!AG$8</f>
        <v>0</v>
      </c>
      <c r="F30" s="11">
        <v>0.2</v>
      </c>
      <c r="G30" s="4"/>
      <c r="H30" s="11">
        <v>1.66</v>
      </c>
      <c r="I30" s="4">
        <f>Water!AG$6</f>
        <v>0</v>
      </c>
      <c r="J30" s="11">
        <v>7.84</v>
      </c>
      <c r="K30" s="4"/>
      <c r="L30" s="4"/>
    </row>
    <row r="31" spans="1:12" x14ac:dyDescent="0.3">
      <c r="A31" s="9" t="s">
        <v>58</v>
      </c>
      <c r="B31" s="10">
        <f t="shared" si="0"/>
        <v>30</v>
      </c>
      <c r="C31" s="10">
        <v>2</v>
      </c>
      <c r="D31" s="10">
        <v>2025</v>
      </c>
      <c r="E31" s="4">
        <f>Electricity!AH$6+Electricity!AH$8</f>
        <v>0</v>
      </c>
      <c r="F31" s="11">
        <v>0.2</v>
      </c>
      <c r="G31" s="4"/>
      <c r="H31" s="11">
        <v>1.66</v>
      </c>
      <c r="I31" s="4">
        <f>Water!AH$6</f>
        <v>0</v>
      </c>
      <c r="J31" s="11">
        <v>7.84</v>
      </c>
      <c r="K31" s="4"/>
      <c r="L31" s="4"/>
    </row>
    <row r="32" spans="1:12" x14ac:dyDescent="0.3">
      <c r="A32" s="9" t="s">
        <v>58</v>
      </c>
      <c r="B32" s="10">
        <f t="shared" si="0"/>
        <v>31</v>
      </c>
      <c r="C32" s="10">
        <v>2</v>
      </c>
      <c r="D32" s="10">
        <v>2025</v>
      </c>
      <c r="E32" s="4">
        <f>Electricity!AI$6+Electricity!AI$8</f>
        <v>0</v>
      </c>
      <c r="F32" s="11">
        <v>0.2</v>
      </c>
      <c r="G32" s="4"/>
      <c r="H32" s="11">
        <v>1.66</v>
      </c>
      <c r="I32" s="4">
        <f>Water!AI$6</f>
        <v>0</v>
      </c>
      <c r="J32" s="11">
        <v>7.84</v>
      </c>
      <c r="K32" s="4"/>
      <c r="L32" s="4"/>
    </row>
    <row r="33" spans="7:7" x14ac:dyDescent="0.3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L8"/>
  <sheetViews>
    <sheetView zoomScale="130" zoomScaleNormal="130" zoomScaleSheetLayoutView="85" workbookViewId="0">
      <pane xSplit="3" topLeftCell="D1" activePane="topRight" state="frozen"/>
      <selection activeCell="D5" sqref="D5"/>
      <selection pane="topRight" activeCell="F13" sqref="F13"/>
    </sheetView>
  </sheetViews>
  <sheetFormatPr defaultColWidth="9.109375" defaultRowHeight="27" customHeight="1" x14ac:dyDescent="0.3"/>
  <cols>
    <col min="1" max="1" width="5.6640625" style="13" customWidth="1"/>
    <col min="2" max="2" width="17.33203125" style="26" customWidth="1"/>
    <col min="3" max="3" width="21.44140625" style="26" customWidth="1"/>
    <col min="4" max="4" width="10.5546875" style="13" customWidth="1"/>
    <col min="5" max="6" width="15" style="14" customWidth="1"/>
    <col min="7" max="32" width="15" style="13" customWidth="1"/>
    <col min="33" max="16384" width="9.109375" style="13"/>
  </cols>
  <sheetData>
    <row r="1" spans="1:64" ht="29.25" customHeight="1" x14ac:dyDescent="0.3">
      <c r="B1" s="13"/>
      <c r="C1" s="14"/>
      <c r="D1" s="14"/>
      <c r="G1" s="14"/>
    </row>
    <row r="2" spans="1:64" s="14" customFormat="1" ht="29.25" customHeight="1" x14ac:dyDescent="0.3">
      <c r="A2" s="43" t="s">
        <v>10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</row>
    <row r="3" spans="1:64" s="14" customFormat="1" ht="29.25" customHeight="1" thickBot="1" x14ac:dyDescent="0.35"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</row>
    <row r="4" spans="1:64" ht="42" thickBot="1" x14ac:dyDescent="0.35">
      <c r="A4" s="15" t="s">
        <v>11</v>
      </c>
      <c r="B4" s="16" t="s">
        <v>12</v>
      </c>
      <c r="C4" s="17" t="s">
        <v>13</v>
      </c>
      <c r="D4" s="18" t="s">
        <v>14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</row>
    <row r="5" spans="1:64" ht="26.25" customHeight="1" x14ac:dyDescent="0.3">
      <c r="A5" s="45">
        <v>1</v>
      </c>
      <c r="B5" s="20" t="s">
        <v>15</v>
      </c>
      <c r="C5" s="47" t="s">
        <v>16</v>
      </c>
      <c r="D5" s="21">
        <v>15478484</v>
      </c>
      <c r="E5" s="21">
        <v>15500330</v>
      </c>
      <c r="F5" s="21">
        <v>15522361</v>
      </c>
      <c r="G5" s="21">
        <v>15545307</v>
      </c>
      <c r="H5" s="21">
        <v>15566866</v>
      </c>
      <c r="I5" s="21">
        <v>15588397</v>
      </c>
      <c r="J5" s="21">
        <v>15609970</v>
      </c>
      <c r="K5" s="21">
        <v>15632306</v>
      </c>
      <c r="L5" s="21">
        <v>15655003</v>
      </c>
      <c r="M5" s="21">
        <v>15676364</v>
      </c>
      <c r="N5" s="21">
        <v>15698482</v>
      </c>
      <c r="O5" s="21">
        <v>15720484</v>
      </c>
      <c r="P5" s="21">
        <v>15742403</v>
      </c>
      <c r="Q5" s="21">
        <v>15764920</v>
      </c>
      <c r="R5" s="21">
        <v>15787035</v>
      </c>
      <c r="S5" s="21">
        <v>15809553</v>
      </c>
      <c r="T5" s="21">
        <v>15832096</v>
      </c>
      <c r="U5" s="21">
        <v>15853552</v>
      </c>
      <c r="V5" s="21">
        <v>15876059</v>
      </c>
      <c r="W5" s="21">
        <v>15897923</v>
      </c>
      <c r="X5" s="21">
        <v>15919565</v>
      </c>
      <c r="Y5" s="21">
        <v>15941894</v>
      </c>
      <c r="Z5" s="21">
        <v>15963843</v>
      </c>
      <c r="AA5" s="21">
        <v>15986077</v>
      </c>
      <c r="AB5" s="21">
        <v>16007867</v>
      </c>
      <c r="AC5" s="21">
        <v>16030311</v>
      </c>
      <c r="AD5" s="21">
        <v>16052644</v>
      </c>
      <c r="AE5" s="21">
        <v>16075139</v>
      </c>
      <c r="AF5" s="21">
        <v>16096663</v>
      </c>
    </row>
    <row r="6" spans="1:64" s="24" customFormat="1" ht="21.75" customHeight="1" thickBot="1" x14ac:dyDescent="0.35">
      <c r="A6" s="46"/>
      <c r="B6" s="22" t="s">
        <v>17</v>
      </c>
      <c r="C6" s="48"/>
      <c r="D6" s="23"/>
      <c r="E6" s="23">
        <f t="shared" ref="E6:AF6" si="0">E5-D5</f>
        <v>21846</v>
      </c>
      <c r="F6" s="23">
        <f t="shared" si="0"/>
        <v>22031</v>
      </c>
      <c r="G6" s="23">
        <f t="shared" si="0"/>
        <v>22946</v>
      </c>
      <c r="H6" s="23">
        <f t="shared" si="0"/>
        <v>21559</v>
      </c>
      <c r="I6" s="23">
        <f t="shared" si="0"/>
        <v>21531</v>
      </c>
      <c r="J6" s="23">
        <f t="shared" si="0"/>
        <v>21573</v>
      </c>
      <c r="K6" s="23">
        <f>K5-J5</f>
        <v>22336</v>
      </c>
      <c r="L6" s="23">
        <f t="shared" si="0"/>
        <v>22697</v>
      </c>
      <c r="M6" s="23">
        <f t="shared" si="0"/>
        <v>21361</v>
      </c>
      <c r="N6" s="23">
        <f t="shared" si="0"/>
        <v>22118</v>
      </c>
      <c r="O6" s="23">
        <f t="shared" si="0"/>
        <v>22002</v>
      </c>
      <c r="P6" s="23">
        <f t="shared" si="0"/>
        <v>21919</v>
      </c>
      <c r="Q6" s="23">
        <f t="shared" si="0"/>
        <v>22517</v>
      </c>
      <c r="R6" s="23">
        <f t="shared" si="0"/>
        <v>22115</v>
      </c>
      <c r="S6" s="23">
        <f t="shared" si="0"/>
        <v>22518</v>
      </c>
      <c r="T6" s="23">
        <f t="shared" si="0"/>
        <v>22543</v>
      </c>
      <c r="U6" s="23">
        <f t="shared" si="0"/>
        <v>21456</v>
      </c>
      <c r="V6" s="23">
        <f t="shared" si="0"/>
        <v>22507</v>
      </c>
      <c r="W6" s="23">
        <f t="shared" si="0"/>
        <v>21864</v>
      </c>
      <c r="X6" s="23">
        <f t="shared" si="0"/>
        <v>21642</v>
      </c>
      <c r="Y6" s="23">
        <f t="shared" si="0"/>
        <v>22329</v>
      </c>
      <c r="Z6" s="23">
        <f t="shared" si="0"/>
        <v>21949</v>
      </c>
      <c r="AA6" s="23">
        <f t="shared" si="0"/>
        <v>22234</v>
      </c>
      <c r="AB6" s="23">
        <f t="shared" si="0"/>
        <v>21790</v>
      </c>
      <c r="AC6" s="23">
        <f t="shared" si="0"/>
        <v>22444</v>
      </c>
      <c r="AD6" s="23">
        <f t="shared" si="0"/>
        <v>22333</v>
      </c>
      <c r="AE6" s="23">
        <f t="shared" si="0"/>
        <v>22495</v>
      </c>
      <c r="AF6" s="23">
        <f t="shared" si="0"/>
        <v>21524</v>
      </c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</row>
    <row r="7" spans="1:64" ht="22.5" customHeight="1" x14ac:dyDescent="0.3">
      <c r="A7" s="49">
        <v>2</v>
      </c>
      <c r="B7" s="25" t="s">
        <v>18</v>
      </c>
      <c r="C7" s="51" t="s">
        <v>19</v>
      </c>
      <c r="D7" s="21">
        <v>620</v>
      </c>
      <c r="E7" s="21">
        <v>620</v>
      </c>
      <c r="F7" s="21">
        <v>620</v>
      </c>
      <c r="G7" s="21">
        <v>620</v>
      </c>
      <c r="H7" s="21">
        <v>620</v>
      </c>
      <c r="I7" s="21">
        <v>620</v>
      </c>
      <c r="J7" s="21">
        <v>620</v>
      </c>
      <c r="K7" s="21">
        <v>620</v>
      </c>
      <c r="L7" s="21">
        <v>620</v>
      </c>
      <c r="M7" s="21">
        <v>620</v>
      </c>
      <c r="N7" s="21">
        <v>620</v>
      </c>
      <c r="O7" s="21">
        <v>620</v>
      </c>
      <c r="P7" s="21">
        <v>620</v>
      </c>
      <c r="Q7" s="21">
        <v>620</v>
      </c>
      <c r="R7" s="21">
        <v>620</v>
      </c>
      <c r="S7" s="21">
        <v>620</v>
      </c>
      <c r="T7" s="21">
        <v>620</v>
      </c>
      <c r="U7" s="21">
        <v>620</v>
      </c>
      <c r="V7" s="21">
        <v>620</v>
      </c>
      <c r="W7" s="21">
        <v>620</v>
      </c>
      <c r="X7" s="21">
        <v>620</v>
      </c>
      <c r="Y7" s="21">
        <v>620</v>
      </c>
      <c r="Z7" s="21">
        <v>620</v>
      </c>
      <c r="AA7" s="21">
        <v>620</v>
      </c>
      <c r="AB7" s="21">
        <v>620</v>
      </c>
      <c r="AC7" s="21">
        <v>620</v>
      </c>
      <c r="AD7" s="21">
        <v>620</v>
      </c>
      <c r="AE7" s="21">
        <v>620</v>
      </c>
      <c r="AF7" s="21">
        <v>620</v>
      </c>
    </row>
    <row r="8" spans="1:64" s="24" customFormat="1" ht="21.75" customHeight="1" thickBot="1" x14ac:dyDescent="0.35">
      <c r="A8" s="50"/>
      <c r="B8" s="22" t="s">
        <v>17</v>
      </c>
      <c r="C8" s="48"/>
      <c r="D8" s="23"/>
      <c r="E8" s="23">
        <f t="shared" ref="E8:AF8" si="1">E7-D7</f>
        <v>0</v>
      </c>
      <c r="F8" s="23">
        <f t="shared" si="1"/>
        <v>0</v>
      </c>
      <c r="G8" s="23">
        <f t="shared" si="1"/>
        <v>0</v>
      </c>
      <c r="H8" s="23">
        <f t="shared" si="1"/>
        <v>0</v>
      </c>
      <c r="I8" s="23">
        <f t="shared" si="1"/>
        <v>0</v>
      </c>
      <c r="J8" s="23">
        <f t="shared" si="1"/>
        <v>0</v>
      </c>
      <c r="K8" s="23">
        <f t="shared" si="1"/>
        <v>0</v>
      </c>
      <c r="L8" s="23">
        <f t="shared" si="1"/>
        <v>0</v>
      </c>
      <c r="M8" s="23">
        <f t="shared" si="1"/>
        <v>0</v>
      </c>
      <c r="N8" s="23">
        <f t="shared" si="1"/>
        <v>0</v>
      </c>
      <c r="O8" s="23">
        <f t="shared" si="1"/>
        <v>0</v>
      </c>
      <c r="P8" s="23">
        <f t="shared" si="1"/>
        <v>0</v>
      </c>
      <c r="Q8" s="23">
        <f t="shared" si="1"/>
        <v>0</v>
      </c>
      <c r="R8" s="23">
        <f t="shared" si="1"/>
        <v>0</v>
      </c>
      <c r="S8" s="23">
        <f t="shared" si="1"/>
        <v>0</v>
      </c>
      <c r="T8" s="23">
        <f t="shared" si="1"/>
        <v>0</v>
      </c>
      <c r="U8" s="23">
        <f t="shared" si="1"/>
        <v>0</v>
      </c>
      <c r="V8" s="23">
        <f t="shared" si="1"/>
        <v>0</v>
      </c>
      <c r="W8" s="23">
        <f t="shared" si="1"/>
        <v>0</v>
      </c>
      <c r="X8" s="23">
        <f t="shared" si="1"/>
        <v>0</v>
      </c>
      <c r="Y8" s="23">
        <f t="shared" si="1"/>
        <v>0</v>
      </c>
      <c r="Z8" s="23">
        <f t="shared" si="1"/>
        <v>0</v>
      </c>
      <c r="AA8" s="23">
        <f t="shared" si="1"/>
        <v>0</v>
      </c>
      <c r="AB8" s="23">
        <f t="shared" si="1"/>
        <v>0</v>
      </c>
      <c r="AC8" s="23">
        <f t="shared" si="1"/>
        <v>0</v>
      </c>
      <c r="AD8" s="23">
        <f t="shared" si="1"/>
        <v>0</v>
      </c>
      <c r="AE8" s="23">
        <f t="shared" si="1"/>
        <v>0</v>
      </c>
      <c r="AF8" s="23">
        <f t="shared" si="1"/>
        <v>0</v>
      </c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</row>
  </sheetData>
  <mergeCells count="6">
    <mergeCell ref="A2:AF2"/>
    <mergeCell ref="C3:AF3"/>
    <mergeCell ref="A5:A6"/>
    <mergeCell ref="C5:C6"/>
    <mergeCell ref="A7:A8"/>
    <mergeCell ref="C7:C8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M21"/>
  <sheetViews>
    <sheetView zoomScale="115" zoomScaleNormal="115" workbookViewId="0">
      <pane xSplit="3" topLeftCell="V1" activePane="topRight" state="frozen"/>
      <selection activeCell="Q13" sqref="Q13"/>
      <selection pane="topRight" activeCell="D7" sqref="D7"/>
    </sheetView>
  </sheetViews>
  <sheetFormatPr defaultColWidth="9.109375" defaultRowHeight="70.5" customHeight="1" x14ac:dyDescent="0.3"/>
  <cols>
    <col min="1" max="1" width="5.6640625" style="2" customWidth="1"/>
    <col min="2" max="2" width="21.88671875" style="8" customWidth="1"/>
    <col min="3" max="3" width="23" style="41" customWidth="1"/>
    <col min="4" max="6" width="10.109375" style="8" customWidth="1"/>
    <col min="7" max="32" width="10.109375" style="2" customWidth="1"/>
    <col min="33" max="16384" width="9.109375" style="2"/>
  </cols>
  <sheetData>
    <row r="2" spans="1:39" s="8" customFormat="1" ht="25.65" customHeight="1" x14ac:dyDescent="0.5">
      <c r="B2" s="52" t="s">
        <v>20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</row>
    <row r="3" spans="1:39" s="8" customFormat="1" ht="30" customHeight="1" thickBot="1" x14ac:dyDescent="0.35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</row>
    <row r="4" spans="1:39" s="30" customFormat="1" ht="57.75" customHeight="1" thickBot="1" x14ac:dyDescent="0.35">
      <c r="A4" s="15" t="s">
        <v>11</v>
      </c>
      <c r="B4" s="27" t="s">
        <v>21</v>
      </c>
      <c r="C4" s="27" t="s">
        <v>13</v>
      </c>
      <c r="D4" s="28" t="s">
        <v>22</v>
      </c>
      <c r="E4" s="29" t="s">
        <v>23</v>
      </c>
      <c r="F4" s="29" t="s">
        <v>24</v>
      </c>
      <c r="G4" s="29" t="s">
        <v>25</v>
      </c>
      <c r="H4" s="29" t="s">
        <v>26</v>
      </c>
      <c r="I4" s="29" t="s">
        <v>27</v>
      </c>
      <c r="J4" s="29" t="s">
        <v>28</v>
      </c>
      <c r="K4" s="29" t="s">
        <v>29</v>
      </c>
      <c r="L4" s="29" t="s">
        <v>30</v>
      </c>
      <c r="M4" s="29" t="s">
        <v>31</v>
      </c>
      <c r="N4" s="29" t="s">
        <v>32</v>
      </c>
      <c r="O4" s="29" t="s">
        <v>33</v>
      </c>
      <c r="P4" s="29" t="s">
        <v>34</v>
      </c>
      <c r="Q4" s="29" t="s">
        <v>35</v>
      </c>
      <c r="R4" s="29" t="s">
        <v>36</v>
      </c>
      <c r="S4" s="29" t="s">
        <v>37</v>
      </c>
      <c r="T4" s="29" t="s">
        <v>38</v>
      </c>
      <c r="U4" s="29" t="s">
        <v>39</v>
      </c>
      <c r="V4" s="29" t="s">
        <v>40</v>
      </c>
      <c r="W4" s="29" t="s">
        <v>41</v>
      </c>
      <c r="X4" s="29" t="s">
        <v>42</v>
      </c>
      <c r="Y4" s="29" t="s">
        <v>43</v>
      </c>
      <c r="Z4" s="29" t="s">
        <v>44</v>
      </c>
      <c r="AA4" s="29" t="s">
        <v>45</v>
      </c>
      <c r="AB4" s="29" t="s">
        <v>46</v>
      </c>
      <c r="AC4" s="29" t="s">
        <v>47</v>
      </c>
      <c r="AD4" s="29" t="s">
        <v>48</v>
      </c>
      <c r="AE4" s="29" t="s">
        <v>49</v>
      </c>
      <c r="AF4" s="29" t="s">
        <v>50</v>
      </c>
    </row>
    <row r="5" spans="1:39" s="8" customFormat="1" ht="40.5" customHeight="1" thickBot="1" x14ac:dyDescent="0.35">
      <c r="A5" s="55" t="s">
        <v>23</v>
      </c>
      <c r="B5" s="27" t="s">
        <v>51</v>
      </c>
      <c r="C5" s="57" t="s">
        <v>52</v>
      </c>
      <c r="D5" s="31">
        <v>186372</v>
      </c>
      <c r="E5" s="31">
        <v>186642</v>
      </c>
      <c r="F5" s="31">
        <v>186937</v>
      </c>
      <c r="G5" s="31">
        <v>187249</v>
      </c>
      <c r="H5" s="31">
        <v>187538</v>
      </c>
      <c r="I5" s="31">
        <v>187827</v>
      </c>
      <c r="J5" s="31">
        <v>188114</v>
      </c>
      <c r="K5" s="31">
        <v>188398</v>
      </c>
      <c r="L5" s="31">
        <v>188676</v>
      </c>
      <c r="M5" s="31">
        <v>188950</v>
      </c>
      <c r="N5" s="31">
        <v>189177</v>
      </c>
      <c r="O5" s="31">
        <v>189459</v>
      </c>
      <c r="P5" s="31">
        <v>189720</v>
      </c>
      <c r="Q5" s="31">
        <v>190014</v>
      </c>
      <c r="R5" s="31">
        <v>190256</v>
      </c>
      <c r="S5" s="31">
        <v>190553</v>
      </c>
      <c r="T5" s="31">
        <v>190809</v>
      </c>
      <c r="U5" s="31">
        <v>191015</v>
      </c>
      <c r="V5" s="31">
        <v>191253</v>
      </c>
      <c r="W5" s="31">
        <v>191522</v>
      </c>
      <c r="X5" s="31">
        <v>191762</v>
      </c>
      <c r="Y5" s="31">
        <v>191994</v>
      </c>
      <c r="Z5" s="31">
        <v>192212</v>
      </c>
      <c r="AA5" s="31">
        <v>192442</v>
      </c>
      <c r="AB5" s="31">
        <v>192726</v>
      </c>
      <c r="AC5" s="31">
        <v>192937</v>
      </c>
      <c r="AD5" s="31">
        <v>193214</v>
      </c>
      <c r="AE5" s="31">
        <v>193451</v>
      </c>
      <c r="AF5" s="31">
        <v>193705</v>
      </c>
    </row>
    <row r="6" spans="1:39" s="34" customFormat="1" ht="25.65" customHeight="1" thickBot="1" x14ac:dyDescent="0.35">
      <c r="A6" s="56"/>
      <c r="B6" s="32" t="s">
        <v>53</v>
      </c>
      <c r="C6" s="57"/>
      <c r="D6" s="33"/>
      <c r="E6" s="33">
        <f>E5-D5</f>
        <v>270</v>
      </c>
      <c r="F6" s="33">
        <f t="shared" ref="F6:AF6" si="0">F5-E5</f>
        <v>295</v>
      </c>
      <c r="G6" s="33">
        <f t="shared" si="0"/>
        <v>312</v>
      </c>
      <c r="H6" s="33">
        <f t="shared" si="0"/>
        <v>289</v>
      </c>
      <c r="I6" s="33">
        <f t="shared" si="0"/>
        <v>289</v>
      </c>
      <c r="J6" s="33">
        <f t="shared" si="0"/>
        <v>287</v>
      </c>
      <c r="K6" s="33">
        <f t="shared" si="0"/>
        <v>284</v>
      </c>
      <c r="L6" s="33">
        <f t="shared" si="0"/>
        <v>278</v>
      </c>
      <c r="M6" s="33">
        <f t="shared" si="0"/>
        <v>274</v>
      </c>
      <c r="N6" s="33">
        <f t="shared" si="0"/>
        <v>227</v>
      </c>
      <c r="O6" s="33">
        <f t="shared" si="0"/>
        <v>282</v>
      </c>
      <c r="P6" s="33">
        <f t="shared" si="0"/>
        <v>261</v>
      </c>
      <c r="Q6" s="33">
        <f t="shared" si="0"/>
        <v>294</v>
      </c>
      <c r="R6" s="33">
        <f t="shared" si="0"/>
        <v>242</v>
      </c>
      <c r="S6" s="33">
        <f t="shared" si="0"/>
        <v>297</v>
      </c>
      <c r="T6" s="33">
        <f t="shared" si="0"/>
        <v>256</v>
      </c>
      <c r="U6" s="33">
        <f>U5-T5</f>
        <v>206</v>
      </c>
      <c r="V6" s="33">
        <f t="shared" si="0"/>
        <v>238</v>
      </c>
      <c r="W6" s="33">
        <f t="shared" si="0"/>
        <v>269</v>
      </c>
      <c r="X6" s="33">
        <f t="shared" si="0"/>
        <v>240</v>
      </c>
      <c r="Y6" s="33">
        <f t="shared" si="0"/>
        <v>232</v>
      </c>
      <c r="Z6" s="33">
        <f t="shared" si="0"/>
        <v>218</v>
      </c>
      <c r="AA6" s="33">
        <f t="shared" si="0"/>
        <v>230</v>
      </c>
      <c r="AB6" s="33">
        <f t="shared" si="0"/>
        <v>284</v>
      </c>
      <c r="AC6" s="33">
        <f t="shared" si="0"/>
        <v>211</v>
      </c>
      <c r="AD6" s="33">
        <f t="shared" si="0"/>
        <v>277</v>
      </c>
      <c r="AE6" s="33">
        <f t="shared" si="0"/>
        <v>237</v>
      </c>
      <c r="AF6" s="33">
        <f t="shared" si="0"/>
        <v>254</v>
      </c>
      <c r="AG6" s="8"/>
      <c r="AH6" s="8"/>
      <c r="AI6" s="8"/>
      <c r="AJ6" s="8"/>
      <c r="AK6" s="8"/>
      <c r="AL6" s="8"/>
      <c r="AM6" s="8"/>
    </row>
    <row r="7" spans="1:39" ht="61.5" customHeight="1" x14ac:dyDescent="0.3">
      <c r="B7" s="35"/>
      <c r="C7" s="36"/>
      <c r="D7" s="37"/>
      <c r="E7" s="38"/>
      <c r="H7" s="37"/>
      <c r="I7" s="39" t="s">
        <v>54</v>
      </c>
      <c r="O7" s="58"/>
      <c r="P7" s="59"/>
      <c r="S7" s="37"/>
      <c r="T7" s="39"/>
      <c r="W7" s="2" t="s">
        <v>55</v>
      </c>
    </row>
    <row r="8" spans="1:39" ht="70.5" customHeight="1" x14ac:dyDescent="0.3">
      <c r="E8" s="40"/>
      <c r="H8" s="42"/>
      <c r="I8" s="42"/>
    </row>
    <row r="13" spans="1:39" ht="70.5" customHeight="1" x14ac:dyDescent="0.3">
      <c r="B13" s="2"/>
      <c r="C13" s="2"/>
      <c r="D13" s="2"/>
      <c r="E13" s="2"/>
      <c r="F13" s="2"/>
    </row>
    <row r="14" spans="1:39" ht="70.5" customHeight="1" x14ac:dyDescent="0.3">
      <c r="B14" s="2"/>
      <c r="C14" s="2"/>
      <c r="D14" s="2"/>
      <c r="E14" s="2"/>
      <c r="F14" s="2"/>
    </row>
    <row r="15" spans="1:39" ht="70.5" customHeight="1" x14ac:dyDescent="0.3">
      <c r="B15" s="2"/>
      <c r="C15" s="2"/>
      <c r="D15" s="2"/>
      <c r="E15" s="2"/>
      <c r="F15" s="2"/>
    </row>
    <row r="16" spans="1:39" ht="70.5" customHeight="1" x14ac:dyDescent="0.3">
      <c r="B16" s="2"/>
      <c r="C16" s="2"/>
      <c r="D16" s="2"/>
      <c r="E16" s="2"/>
      <c r="F16" s="2"/>
    </row>
    <row r="17" s="2" customFormat="1" ht="70.5" customHeight="1" x14ac:dyDescent="0.3"/>
    <row r="18" s="2" customFormat="1" ht="70.5" customHeight="1" x14ac:dyDescent="0.3"/>
    <row r="19" s="2" customFormat="1" ht="70.5" customHeight="1" x14ac:dyDescent="0.3"/>
    <row r="20" s="2" customFormat="1" ht="70.5" customHeight="1" x14ac:dyDescent="0.3"/>
    <row r="21" s="2" customFormat="1" ht="70.5" customHeight="1" x14ac:dyDescent="0.3"/>
  </sheetData>
  <mergeCells count="5">
    <mergeCell ref="B2:AF2"/>
    <mergeCell ref="B3:AF3"/>
    <mergeCell ref="A5:A6"/>
    <mergeCell ref="C5:C6"/>
    <mergeCell ref="O7:P7"/>
  </mergeCells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</vt:lpstr>
      <vt:lpstr>Water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Chitian</dc:creator>
  <cp:lastModifiedBy>Joe Alkhoury</cp:lastModifiedBy>
  <dcterms:created xsi:type="dcterms:W3CDTF">2019-05-13T11:08:30Z</dcterms:created>
  <dcterms:modified xsi:type="dcterms:W3CDTF">2025-03-07T19:15:53Z</dcterms:modified>
</cp:coreProperties>
</file>