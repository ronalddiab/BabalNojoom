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5/"/>
    </mc:Choice>
  </mc:AlternateContent>
  <xr:revisionPtr revIDLastSave="618" documentId="8_{8847650D-614C-4264-8C87-30D8B5EB4252}" xr6:coauthVersionLast="47" xr6:coauthVersionMax="47" xr10:uidLastSave="{B9DB4524-9F0A-4E85-9131-4F4CB18E17F1}"/>
  <bookViews>
    <workbookView xWindow="-108" yWindow="-108" windowWidth="23256" windowHeight="12456" activeTab="1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AI20" i="3" l="1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M20" i="3"/>
  <c r="L20" i="3"/>
  <c r="K20" i="3"/>
  <c r="J20" i="3"/>
  <c r="I20" i="3"/>
  <c r="H20" i="3"/>
  <c r="G20" i="3"/>
  <c r="F20" i="3"/>
  <c r="E20" i="3"/>
  <c r="M18" i="3"/>
  <c r="L18" i="3"/>
  <c r="K18" i="3"/>
  <c r="J18" i="3"/>
  <c r="I18" i="3"/>
  <c r="H18" i="3"/>
  <c r="G18" i="3"/>
  <c r="F18" i="3"/>
  <c r="E18" i="3"/>
  <c r="M16" i="3"/>
  <c r="L16" i="3"/>
  <c r="K16" i="3"/>
  <c r="J16" i="3"/>
  <c r="I16" i="3"/>
  <c r="H16" i="3"/>
  <c r="G16" i="3"/>
  <c r="F16" i="3"/>
  <c r="E16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Q10" i="5" l="1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H15" i="5" s="1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P10" i="5"/>
  <c r="O10" i="5"/>
  <c r="N10" i="5"/>
  <c r="M10" i="5"/>
  <c r="L10" i="5"/>
  <c r="K10" i="5"/>
  <c r="J10" i="5"/>
  <c r="I10" i="5"/>
  <c r="H10" i="5"/>
  <c r="G10" i="5"/>
  <c r="F10" i="5"/>
  <c r="E10" i="5"/>
  <c r="AG15" i="5"/>
  <c r="E8" i="5"/>
  <c r="E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15" i="5" l="1"/>
  <c r="AF21" i="3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<sst xmlns="http://schemas.openxmlformats.org/spreadsheetml/2006/main" count="123" uniqueCount="88">
  <si>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</si>
  <si>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</si>
  <si>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</si>
  <si>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</si>
  <si>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</si>
  <si>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</si>
  <si>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</si>
  <si>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</si>
  <si>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</si>
  <si>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</si>
  <si>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</si>
  <si>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</si>
  <si>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</si>
  <si>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DAILY ELECTRICITY METER READINGS &amp; CONSUMPTION MARCH 2025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</si>
  <si>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</si>
  <si>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</si>
  <si>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</si>
  <si>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</si>
  <si>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</si>
  <si>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</si>
  <si>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</si>
  <si>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</si>
  <si>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</si>
  <si>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</si>
  <si>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</si>
  <si>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</si>
  <si>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</si>
  <si>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</si>
  <si>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</si>
  <si>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</si>
  <si>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</si>
  <si>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</si>
  <si>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</si>
  <si>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</si>
  <si>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</si>
  <si>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</si>
  <si>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MARCH  2025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</si>
  <si>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</si>
  <si>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</si>
  <si>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</si>
  <si>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</si>
  <si>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</si>
  <si>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</si>
  <si>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</si>
  <si>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</si>
  <si>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</si>
  <si>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</si>
  <si>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</si>
  <si>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</si>
  <si>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</si>
  <si>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</si>
  <si>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</si>
  <si>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</si>
  <si>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</si>
  <si>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</si>
  <si>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</si>
  <si>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</si>
  <si>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</si>
  <si>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</si>
  <si>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</si>
  <si>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</si>
  <si>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</si>
  <si>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</si>
  <si>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</si>
  <si>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</si>
  <si>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</si>
  <si>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</si>
  <si>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</si>
  <si>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</si>
  <si>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</si>
  <si>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</si>
  <si>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</si>
  <si>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</si>
  <si>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</si>
  <si>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</si>
  <si>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</si>
  <si>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</si>
  <si>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</si>
  <si>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</si>
  <si>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</si>
  <si>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>DAILY GAS METER READINGS &amp; CONSUMPTION (Liters) MARCH 2025</t>
  </si>
  <si>
    <t xml:space="preserve">                                       </t>
  </si>
  <si>
    <t>TOTAL Consumption</t>
  </si>
  <si>
    <t>Occupied Room &amp; Number of Guest - March 2025</t>
  </si>
  <si>
    <t>Date</t>
  </si>
  <si>
    <t>Occupied</t>
  </si>
  <si>
    <t># Guest</t>
  </si>
  <si>
    <t>TOTAL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</si>
</sst>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opLeftCell="A7" workbookViewId="0">
      <selection activeCell="H2" sqref="H2:H32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3</v>
      </c>
      <c r="D2" s="10">
        <v>2025</v>
      </c>
      <c r="E2" s="4" cm="1">
        <f t="array" ref="E2:E32">TRANSPOSE(Electricity!E21:AI21)</f>
        <v>29017</v>
      </c>
      <c r="F2" s="11">
        <v>0.2</v>
      </c>
      <c r="G2" s="4">
        <f>LPG!C4</f>
        <v>2319.2258064516127</v>
      </c>
      <c r="H2" s="11">
        <v>1.6240000000000001</v>
      </c>
      <c r="I2" s="4" cm="1">
        <f t="array" ref="I2:I32">TRANSPOSE(Water!E15:AI15)</f>
        <v>237.87900000000491</v>
      </c>
      <c r="J2" s="11">
        <v>7.84</v>
      </c>
      <c r="K2" s="4">
        <f>'Occupied &amp; No. of Guest'!B3</f>
        <v>248</v>
      </c>
      <c r="L2" s="4">
        <f>'Occupied &amp; No. of Guest'!C3</f>
        <v>334</v>
      </c>
    </row>
    <row r="3" spans="1:12" x14ac:dyDescent="0.3">
      <c r="A3" s="9" t="s">
        <v>12</v>
      </c>
      <c r="B3" s="10">
        <f>B2+1</f>
        <v>2</v>
      </c>
      <c r="C3" s="10">
        <v>3</v>
      </c>
      <c r="D3" s="10">
        <v>2025</v>
      </c>
      <c r="E3" s="4">
        <v>26677.8</v>
      </c>
      <c r="F3" s="11">
        <v>0.2</v>
      </c>
      <c r="G3" s="4">
        <f>LPG!C5</f>
        <v>2319.2258064516127</v>
      </c>
      <c r="H3" s="11">
        <v>1.6240000000000001</v>
      </c>
      <c r="I3" s="4">
        <v>191.02099999999481</v>
      </c>
      <c r="J3" s="11">
        <v>7.84</v>
      </c>
      <c r="K3" s="4">
        <f>'Occupied &amp; No. of Guest'!B4</f>
        <v>266</v>
      </c>
      <c r="L3" s="4">
        <f>'Occupied &amp; No. of Guest'!C4</f>
        <v>362</v>
      </c>
    </row>
    <row r="4" spans="1:12" x14ac:dyDescent="0.3">
      <c r="A4" s="9" t="s">
        <v>12</v>
      </c>
      <c r="B4" s="10">
        <f t="shared" ref="B4:B32" si="0">B3+1</f>
        <v>3</v>
      </c>
      <c r="C4" s="10">
        <v>3</v>
      </c>
      <c r="D4" s="10">
        <v>2025</v>
      </c>
      <c r="E4" s="4">
        <v>27308.400000000001</v>
      </c>
      <c r="F4" s="11">
        <v>0.2</v>
      </c>
      <c r="G4" s="4">
        <f>LPG!C6</f>
        <v>2319.2258064516127</v>
      </c>
      <c r="H4" s="11">
        <v>1.6240000000000001</v>
      </c>
      <c r="I4" s="4">
        <v>234.23099999999022</v>
      </c>
      <c r="J4" s="11">
        <v>7.84</v>
      </c>
      <c r="K4" s="4">
        <f>'Occupied &amp; No. of Guest'!B5</f>
        <v>260</v>
      </c>
      <c r="L4" s="4">
        <f>'Occupied &amp; No. of Guest'!C5</f>
        <v>336</v>
      </c>
    </row>
    <row r="5" spans="1:12" x14ac:dyDescent="0.3">
      <c r="A5" s="9" t="s">
        <v>12</v>
      </c>
      <c r="B5" s="10">
        <f t="shared" si="0"/>
        <v>4</v>
      </c>
      <c r="C5" s="10">
        <v>3</v>
      </c>
      <c r="D5" s="10">
        <v>2025</v>
      </c>
      <c r="E5" s="4">
        <v>28509.200000000001</v>
      </c>
      <c r="F5" s="11">
        <v>0.2</v>
      </c>
      <c r="G5" s="4">
        <f>LPG!C7</f>
        <v>2319.2258064516127</v>
      </c>
      <c r="H5" s="11">
        <v>1.6240000000000001</v>
      </c>
      <c r="I5" s="4">
        <v>206.07500000000491</v>
      </c>
      <c r="J5" s="11">
        <v>7.84</v>
      </c>
      <c r="K5" s="4">
        <f>'Occupied &amp; No. of Guest'!B6</f>
        <v>266</v>
      </c>
      <c r="L5" s="4">
        <f>'Occupied &amp; No. of Guest'!C6</f>
        <v>359</v>
      </c>
    </row>
    <row r="6" spans="1:12" x14ac:dyDescent="0.3">
      <c r="A6" s="9" t="s">
        <v>12</v>
      </c>
      <c r="B6" s="10">
        <f t="shared" si="0"/>
        <v>5</v>
      </c>
      <c r="C6" s="10">
        <v>3</v>
      </c>
      <c r="D6" s="10">
        <v>2025</v>
      </c>
      <c r="E6" s="4">
        <v>29293.599999999999</v>
      </c>
      <c r="F6" s="11">
        <v>0.2</v>
      </c>
      <c r="G6" s="4">
        <f>LPG!C8</f>
        <v>2319.2258064516127</v>
      </c>
      <c r="H6" s="11">
        <v>1.6240000000000001</v>
      </c>
      <c r="I6" s="4">
        <v>259.74500000000023</v>
      </c>
      <c r="J6" s="11">
        <v>7.84</v>
      </c>
      <c r="K6" s="4">
        <f>'Occupied &amp; No. of Guest'!B7</f>
        <v>299</v>
      </c>
      <c r="L6" s="4">
        <f>'Occupied &amp; No. of Guest'!C7</f>
        <v>415</v>
      </c>
    </row>
    <row r="7" spans="1:12" x14ac:dyDescent="0.3">
      <c r="A7" s="9" t="s">
        <v>12</v>
      </c>
      <c r="B7" s="10">
        <f t="shared" si="0"/>
        <v>6</v>
      </c>
      <c r="C7" s="10">
        <v>3</v>
      </c>
      <c r="D7" s="10">
        <v>2025</v>
      </c>
      <c r="E7" s="4">
        <v>30554.6</v>
      </c>
      <c r="F7" s="11">
        <v>0.2</v>
      </c>
      <c r="G7" s="4">
        <f>LPG!C9</f>
        <v>2319.2258064516127</v>
      </c>
      <c r="H7" s="11">
        <v>1.6240000000000001</v>
      </c>
      <c r="I7" s="4">
        <v>270.52799999999434</v>
      </c>
      <c r="J7" s="11">
        <v>7.84</v>
      </c>
      <c r="K7" s="4">
        <f>'Occupied &amp; No. of Guest'!B8</f>
        <v>238</v>
      </c>
      <c r="L7" s="4">
        <f>'Occupied &amp; No. of Guest'!C8</f>
        <v>294</v>
      </c>
    </row>
    <row r="8" spans="1:12" x14ac:dyDescent="0.3">
      <c r="A8" s="9" t="s">
        <v>12</v>
      </c>
      <c r="B8" s="10">
        <f t="shared" si="0"/>
        <v>7</v>
      </c>
      <c r="C8" s="10">
        <v>3</v>
      </c>
      <c r="D8" s="10">
        <v>2025</v>
      </c>
      <c r="E8" s="4">
        <v>30361.599999999999</v>
      </c>
      <c r="F8" s="11">
        <v>0.2</v>
      </c>
      <c r="G8" s="4">
        <f>LPG!C10</f>
        <v>2319.2258064516127</v>
      </c>
      <c r="H8" s="11">
        <v>1.6240000000000001</v>
      </c>
      <c r="I8" s="4">
        <v>255.66700000000529</v>
      </c>
      <c r="J8" s="11">
        <v>7.84</v>
      </c>
      <c r="K8" s="4">
        <f>'Occupied &amp; No. of Guest'!B9</f>
        <v>287</v>
      </c>
      <c r="L8" s="4">
        <f>'Occupied &amp; No. of Guest'!C9</f>
        <v>354</v>
      </c>
    </row>
    <row r="9" spans="1:12" x14ac:dyDescent="0.3">
      <c r="A9" s="9" t="s">
        <v>12</v>
      </c>
      <c r="B9" s="10">
        <f t="shared" si="0"/>
        <v>8</v>
      </c>
      <c r="C9" s="10">
        <v>3</v>
      </c>
      <c r="D9" s="10">
        <v>2025</v>
      </c>
      <c r="E9" s="4">
        <v>31166.6</v>
      </c>
      <c r="F9" s="11">
        <v>0.2</v>
      </c>
      <c r="G9" s="4">
        <f>LPG!C11</f>
        <v>2319.2258064516127</v>
      </c>
      <c r="H9" s="11">
        <v>1.6240000000000001</v>
      </c>
      <c r="I9" s="4">
        <v>234.2180000000053</v>
      </c>
      <c r="J9" s="11">
        <v>7.84</v>
      </c>
      <c r="K9" s="4">
        <f>'Occupied &amp; No. of Guest'!B10</f>
        <v>304</v>
      </c>
      <c r="L9" s="4">
        <f>'Occupied &amp; No. of Guest'!C10</f>
        <v>378</v>
      </c>
    </row>
    <row r="10" spans="1:12" x14ac:dyDescent="0.3">
      <c r="A10" s="9" t="s">
        <v>12</v>
      </c>
      <c r="B10" s="10">
        <f t="shared" si="0"/>
        <v>9</v>
      </c>
      <c r="C10" s="10">
        <v>3</v>
      </c>
      <c r="D10" s="10">
        <v>2025</v>
      </c>
      <c r="E10" s="4">
        <v>29759</v>
      </c>
      <c r="F10" s="11">
        <v>0.2</v>
      </c>
      <c r="G10" s="4">
        <f>LPG!C12</f>
        <v>2319.2258064516127</v>
      </c>
      <c r="H10" s="11">
        <v>1.6240000000000001</v>
      </c>
      <c r="I10" s="4">
        <v>201.71399999999502</v>
      </c>
      <c r="J10" s="11">
        <v>7.84</v>
      </c>
      <c r="K10" s="4">
        <f>'Occupied &amp; No. of Guest'!B11</f>
        <v>305</v>
      </c>
      <c r="L10" s="4">
        <f>'Occupied &amp; No. of Guest'!C11</f>
        <v>363</v>
      </c>
    </row>
    <row r="11" spans="1:12" x14ac:dyDescent="0.3">
      <c r="A11" s="9" t="s">
        <v>12</v>
      </c>
      <c r="B11" s="10">
        <f t="shared" si="0"/>
        <v>10</v>
      </c>
      <c r="C11" s="10">
        <v>3</v>
      </c>
      <c r="D11" s="10">
        <v>2025</v>
      </c>
      <c r="E11" s="4">
        <v>31435.800000000003</v>
      </c>
      <c r="F11" s="11">
        <v>0.2</v>
      </c>
      <c r="G11" s="4">
        <f>LPG!C13</f>
        <v>2319.2258064516127</v>
      </c>
      <c r="H11" s="11">
        <v>1.6240000000000001</v>
      </c>
      <c r="I11" s="4">
        <v>284.79999999999461</v>
      </c>
      <c r="J11" s="11">
        <v>7.84</v>
      </c>
      <c r="K11" s="4">
        <f>'Occupied &amp; No. of Guest'!B12</f>
        <v>346</v>
      </c>
      <c r="L11" s="4">
        <f>'Occupied &amp; No. of Guest'!C12</f>
        <v>430</v>
      </c>
    </row>
    <row r="12" spans="1:12" x14ac:dyDescent="0.3">
      <c r="A12" s="9" t="s">
        <v>12</v>
      </c>
      <c r="B12" s="10">
        <f t="shared" si="0"/>
        <v>11</v>
      </c>
      <c r="C12" s="10">
        <v>3</v>
      </c>
      <c r="D12" s="10">
        <v>2025</v>
      </c>
      <c r="E12" s="4">
        <v>31031.599999999999</v>
      </c>
      <c r="F12" s="11">
        <v>0.2</v>
      </c>
      <c r="G12" s="4">
        <f>LPG!C14</f>
        <v>2319.2258064516127</v>
      </c>
      <c r="H12" s="11">
        <v>1.6240000000000001</v>
      </c>
      <c r="I12" s="4">
        <v>246.8370000000051</v>
      </c>
      <c r="J12" s="11">
        <v>7.84</v>
      </c>
      <c r="K12" s="4">
        <f>'Occupied &amp; No. of Guest'!B13</f>
        <v>294</v>
      </c>
      <c r="L12" s="4">
        <f>'Occupied &amp; No. of Guest'!C13</f>
        <v>386</v>
      </c>
    </row>
    <row r="13" spans="1:12" x14ac:dyDescent="0.3">
      <c r="A13" s="9" t="s">
        <v>12</v>
      </c>
      <c r="B13" s="10">
        <f t="shared" si="0"/>
        <v>12</v>
      </c>
      <c r="C13" s="10">
        <v>3</v>
      </c>
      <c r="D13" s="10">
        <v>2025</v>
      </c>
      <c r="E13" s="4">
        <v>32332.800000000003</v>
      </c>
      <c r="F13" s="11">
        <v>0.2</v>
      </c>
      <c r="G13" s="4">
        <f>LPG!C15</f>
        <v>2319.2258064516127</v>
      </c>
      <c r="H13" s="11">
        <v>1.6240000000000001</v>
      </c>
      <c r="I13" s="4">
        <v>276.59099999999501</v>
      </c>
      <c r="J13" s="11">
        <v>7.84</v>
      </c>
      <c r="K13" s="4">
        <f>'Occupied &amp; No. of Guest'!B14</f>
        <v>300</v>
      </c>
      <c r="L13" s="4">
        <f>'Occupied &amp; No. of Guest'!C14</f>
        <v>412</v>
      </c>
    </row>
    <row r="14" spans="1:12" x14ac:dyDescent="0.3">
      <c r="A14" s="9" t="s">
        <v>12</v>
      </c>
      <c r="B14" s="10">
        <f t="shared" si="0"/>
        <v>13</v>
      </c>
      <c r="C14" s="10">
        <v>3</v>
      </c>
      <c r="D14" s="10">
        <v>2025</v>
      </c>
      <c r="E14" s="4">
        <v>30606.400000000001</v>
      </c>
      <c r="F14" s="11">
        <v>0.2</v>
      </c>
      <c r="G14" s="4">
        <f>LPG!C16</f>
        <v>2319.2258064516127</v>
      </c>
      <c r="H14" s="11">
        <v>1.6240000000000001</v>
      </c>
      <c r="I14" s="4">
        <v>199.82800000000015</v>
      </c>
      <c r="J14" s="11">
        <v>7.84</v>
      </c>
      <c r="K14" s="4">
        <f>'Occupied &amp; No. of Guest'!B15</f>
        <v>267</v>
      </c>
      <c r="L14" s="4">
        <f>'Occupied &amp; No. of Guest'!C15</f>
        <v>361</v>
      </c>
    </row>
    <row r="15" spans="1:12" x14ac:dyDescent="0.3">
      <c r="A15" s="9" t="s">
        <v>12</v>
      </c>
      <c r="B15" s="10">
        <f t="shared" si="0"/>
        <v>14</v>
      </c>
      <c r="C15" s="10">
        <v>3</v>
      </c>
      <c r="D15" s="10">
        <v>2025</v>
      </c>
      <c r="E15" s="4">
        <v>30926</v>
      </c>
      <c r="F15" s="11">
        <v>0.2</v>
      </c>
      <c r="G15" s="4">
        <f>LPG!C17</f>
        <v>2319.2258064516127</v>
      </c>
      <c r="H15" s="11">
        <v>1.6240000000000001</v>
      </c>
      <c r="I15" s="4">
        <v>261.60700000001543</v>
      </c>
      <c r="J15" s="11">
        <v>7.84</v>
      </c>
      <c r="K15" s="4">
        <f>'Occupied &amp; No. of Guest'!B16</f>
        <v>316</v>
      </c>
      <c r="L15" s="4">
        <f>'Occupied &amp; No. of Guest'!C16</f>
        <v>460</v>
      </c>
    </row>
    <row r="16" spans="1:12" x14ac:dyDescent="0.3">
      <c r="A16" s="9" t="s">
        <v>12</v>
      </c>
      <c r="B16" s="10">
        <f t="shared" si="0"/>
        <v>15</v>
      </c>
      <c r="C16" s="10">
        <v>3</v>
      </c>
      <c r="D16" s="10">
        <v>2025</v>
      </c>
      <c r="E16" s="4">
        <v>31032.6</v>
      </c>
      <c r="F16" s="11">
        <v>0.2</v>
      </c>
      <c r="G16" s="4">
        <f>LPG!C18</f>
        <v>2319.2258064516127</v>
      </c>
      <c r="H16" s="11">
        <v>1.6240000000000001</v>
      </c>
      <c r="I16" s="4">
        <v>215.5779999999998</v>
      </c>
      <c r="J16" s="11">
        <v>7.84</v>
      </c>
      <c r="K16" s="4">
        <f>'Occupied &amp; No. of Guest'!B17</f>
        <v>223</v>
      </c>
      <c r="L16" s="4">
        <f>'Occupied &amp; No. of Guest'!C17</f>
        <v>290</v>
      </c>
    </row>
    <row r="17" spans="1:12" x14ac:dyDescent="0.3">
      <c r="A17" s="9" t="s">
        <v>12</v>
      </c>
      <c r="B17" s="10">
        <f t="shared" si="0"/>
        <v>16</v>
      </c>
      <c r="C17" s="10">
        <v>3</v>
      </c>
      <c r="D17" s="10">
        <v>2025</v>
      </c>
      <c r="E17" s="4">
        <v>29987.800000000003</v>
      </c>
      <c r="F17" s="11">
        <v>0.2</v>
      </c>
      <c r="G17" s="4">
        <f>LPG!C19</f>
        <v>2319.2258064516127</v>
      </c>
      <c r="H17" s="11">
        <v>1.6240000000000001</v>
      </c>
      <c r="I17" s="4">
        <v>233.76999999998944</v>
      </c>
      <c r="J17" s="11">
        <v>7.84</v>
      </c>
      <c r="K17" s="4">
        <f>'Occupied &amp; No. of Guest'!B18</f>
        <v>356</v>
      </c>
      <c r="L17" s="4">
        <f>'Occupied &amp; No. of Guest'!C18</f>
        <v>465</v>
      </c>
    </row>
    <row r="18" spans="1:12" x14ac:dyDescent="0.3">
      <c r="A18" s="9" t="s">
        <v>12</v>
      </c>
      <c r="B18" s="10">
        <f t="shared" si="0"/>
        <v>17</v>
      </c>
      <c r="C18" s="10">
        <v>3</v>
      </c>
      <c r="D18" s="10">
        <v>2025</v>
      </c>
      <c r="E18" s="4">
        <v>30969.800000000003</v>
      </c>
      <c r="F18" s="11">
        <v>0.2</v>
      </c>
      <c r="G18" s="4">
        <f>LPG!C20</f>
        <v>2319.2258064516127</v>
      </c>
      <c r="H18" s="11">
        <v>1.6240000000000001</v>
      </c>
      <c r="I18" s="4">
        <v>260.95500000001095</v>
      </c>
      <c r="J18" s="11">
        <v>7.84</v>
      </c>
      <c r="K18" s="4">
        <f>'Occupied &amp; No. of Guest'!B19</f>
        <v>397</v>
      </c>
      <c r="L18" s="4">
        <f>'Occupied &amp; No. of Guest'!C19</f>
        <v>537</v>
      </c>
    </row>
    <row r="19" spans="1:12" x14ac:dyDescent="0.3">
      <c r="A19" s="9" t="s">
        <v>12</v>
      </c>
      <c r="B19" s="10">
        <f t="shared" si="0"/>
        <v>18</v>
      </c>
      <c r="C19" s="10">
        <v>3</v>
      </c>
      <c r="D19" s="10">
        <v>2025</v>
      </c>
      <c r="E19" s="4">
        <v>30574</v>
      </c>
      <c r="F19" s="11">
        <v>0.2</v>
      </c>
      <c r="G19" s="4">
        <f>LPG!C21</f>
        <v>2319.2258064516127</v>
      </c>
      <c r="H19" s="11">
        <v>1.6240000000000001</v>
      </c>
      <c r="I19" s="4">
        <v>262.98399999998929</v>
      </c>
      <c r="J19" s="11">
        <v>7.84</v>
      </c>
      <c r="K19" s="4">
        <f>'Occupied &amp; No. of Guest'!B20</f>
        <v>400</v>
      </c>
      <c r="L19" s="4">
        <f>'Occupied &amp; No. of Guest'!C20</f>
        <v>508</v>
      </c>
    </row>
    <row r="20" spans="1:12" x14ac:dyDescent="0.3">
      <c r="A20" s="9" t="s">
        <v>12</v>
      </c>
      <c r="B20" s="10">
        <f t="shared" si="0"/>
        <v>19</v>
      </c>
      <c r="C20" s="10">
        <v>3</v>
      </c>
      <c r="D20" s="10">
        <v>2025</v>
      </c>
      <c r="E20" s="4">
        <v>31588.6</v>
      </c>
      <c r="F20" s="11">
        <v>0.2</v>
      </c>
      <c r="G20" s="4">
        <f>LPG!C22</f>
        <v>2319.2258064516127</v>
      </c>
      <c r="H20" s="11">
        <v>1.6240000000000001</v>
      </c>
      <c r="I20" s="4">
        <v>309.70399999998943</v>
      </c>
      <c r="J20" s="11">
        <v>7.84</v>
      </c>
      <c r="K20" s="4">
        <f>'Occupied &amp; No. of Guest'!B21</f>
        <v>455</v>
      </c>
      <c r="L20" s="4">
        <f>'Occupied &amp; No. of Guest'!C21</f>
        <v>642</v>
      </c>
    </row>
    <row r="21" spans="1:12" x14ac:dyDescent="0.3">
      <c r="A21" s="9" t="s">
        <v>12</v>
      </c>
      <c r="B21" s="10">
        <f t="shared" si="0"/>
        <v>20</v>
      </c>
      <c r="C21" s="10">
        <v>3</v>
      </c>
      <c r="D21" s="10">
        <v>2025</v>
      </c>
      <c r="E21" s="4">
        <v>32341.599999999999</v>
      </c>
      <c r="F21" s="11">
        <v>0.2</v>
      </c>
      <c r="G21" s="4">
        <f>LPG!C23</f>
        <v>2319.2258064516127</v>
      </c>
      <c r="H21" s="11">
        <v>1.6240000000000001</v>
      </c>
      <c r="I21" s="4">
        <v>307.31100000001589</v>
      </c>
      <c r="J21" s="11">
        <v>7.84</v>
      </c>
      <c r="K21" s="4">
        <f>'Occupied &amp; No. of Guest'!B22</f>
        <v>382</v>
      </c>
      <c r="L21" s="4">
        <f>'Occupied &amp; No. of Guest'!C22</f>
        <v>525</v>
      </c>
    </row>
    <row r="22" spans="1:12" x14ac:dyDescent="0.3">
      <c r="A22" s="9" t="s">
        <v>12</v>
      </c>
      <c r="B22" s="10">
        <f t="shared" si="0"/>
        <v>21</v>
      </c>
      <c r="C22" s="10">
        <v>3</v>
      </c>
      <c r="D22" s="10">
        <v>2025</v>
      </c>
      <c r="E22" s="4">
        <v>32951.599999999999</v>
      </c>
      <c r="F22" s="11">
        <v>0.2</v>
      </c>
      <c r="G22" s="4">
        <f>LPG!C24</f>
        <v>2319.2258064516127</v>
      </c>
      <c r="H22" s="11">
        <v>1.6240000000000001</v>
      </c>
      <c r="I22" s="4">
        <v>274.98299999998409</v>
      </c>
      <c r="J22" s="11">
        <v>7.84</v>
      </c>
      <c r="K22" s="4">
        <f>'Occupied &amp; No. of Guest'!B23</f>
        <v>327</v>
      </c>
      <c r="L22" s="4">
        <f>'Occupied &amp; No. of Guest'!C23</f>
        <v>461</v>
      </c>
    </row>
    <row r="23" spans="1:12" x14ac:dyDescent="0.3">
      <c r="A23" s="9" t="s">
        <v>12</v>
      </c>
      <c r="B23" s="10">
        <f t="shared" si="0"/>
        <v>22</v>
      </c>
      <c r="C23" s="10">
        <v>3</v>
      </c>
      <c r="D23" s="10">
        <v>2025</v>
      </c>
      <c r="E23" s="4">
        <v>31651.4</v>
      </c>
      <c r="F23" s="11">
        <v>0.2</v>
      </c>
      <c r="G23" s="4">
        <f>LPG!C25</f>
        <v>2319.2258064516127</v>
      </c>
      <c r="H23" s="11">
        <v>1.6240000000000001</v>
      </c>
      <c r="I23" s="4">
        <v>239.10400000001545</v>
      </c>
      <c r="J23" s="11">
        <v>7.84</v>
      </c>
      <c r="K23" s="4">
        <f>'Occupied &amp; No. of Guest'!B24</f>
        <v>268</v>
      </c>
      <c r="L23" s="4">
        <f>'Occupied &amp; No. of Guest'!C24</f>
        <v>394</v>
      </c>
    </row>
    <row r="24" spans="1:12" x14ac:dyDescent="0.3">
      <c r="A24" s="9" t="s">
        <v>12</v>
      </c>
      <c r="B24" s="10">
        <f t="shared" si="0"/>
        <v>23</v>
      </c>
      <c r="C24" s="10">
        <v>3</v>
      </c>
      <c r="D24" s="10">
        <v>2025</v>
      </c>
      <c r="E24" s="4">
        <v>29985.200000000001</v>
      </c>
      <c r="F24" s="11">
        <v>0.2</v>
      </c>
      <c r="G24" s="4">
        <f>LPG!C26</f>
        <v>2319.2258064516127</v>
      </c>
      <c r="H24" s="11">
        <v>1.6240000000000001</v>
      </c>
      <c r="I24" s="4">
        <v>273.14900000000551</v>
      </c>
      <c r="J24" s="11">
        <v>7.84</v>
      </c>
      <c r="K24" s="4">
        <f>'Occupied &amp; No. of Guest'!B25</f>
        <v>319</v>
      </c>
      <c r="L24" s="4">
        <f>'Occupied &amp; No. of Guest'!C25</f>
        <v>429</v>
      </c>
    </row>
    <row r="25" spans="1:12" x14ac:dyDescent="0.3">
      <c r="A25" s="9" t="s">
        <v>12</v>
      </c>
      <c r="B25" s="10">
        <f t="shared" si="0"/>
        <v>24</v>
      </c>
      <c r="C25" s="10">
        <v>3</v>
      </c>
      <c r="D25" s="10">
        <v>2025</v>
      </c>
      <c r="E25" s="4">
        <v>29743.200000000001</v>
      </c>
      <c r="F25" s="11">
        <v>0.2</v>
      </c>
      <c r="G25" s="4">
        <f>LPG!C27</f>
        <v>2319.2258064516127</v>
      </c>
      <c r="H25" s="11">
        <v>1.6240000000000001</v>
      </c>
      <c r="I25" s="4">
        <v>259.30599999999515</v>
      </c>
      <c r="J25" s="11">
        <v>7.84</v>
      </c>
      <c r="K25" s="4">
        <f>'Occupied &amp; No. of Guest'!B26</f>
        <v>379</v>
      </c>
      <c r="L25" s="4">
        <f>'Occupied &amp; No. of Guest'!C26</f>
        <v>492</v>
      </c>
    </row>
    <row r="26" spans="1:12" x14ac:dyDescent="0.3">
      <c r="A26" s="9" t="s">
        <v>12</v>
      </c>
      <c r="B26" s="10">
        <f>B25+1</f>
        <v>25</v>
      </c>
      <c r="C26" s="10">
        <v>3</v>
      </c>
      <c r="D26" s="10">
        <v>2025</v>
      </c>
      <c r="E26" s="4">
        <v>29025.599999999999</v>
      </c>
      <c r="F26" s="11">
        <v>0.2</v>
      </c>
      <c r="G26" s="4">
        <f>LPG!C28</f>
        <v>2319.2258064516127</v>
      </c>
      <c r="H26" s="11">
        <v>1.6240000000000001</v>
      </c>
      <c r="I26" s="4">
        <v>236.00099999999958</v>
      </c>
      <c r="J26" s="11">
        <v>7.84</v>
      </c>
      <c r="K26" s="4">
        <f>'Occupied &amp; No. of Guest'!B27</f>
        <v>403</v>
      </c>
      <c r="L26" s="4">
        <f>'Occupied &amp; No. of Guest'!C27</f>
        <v>536</v>
      </c>
    </row>
    <row r="27" spans="1:12" x14ac:dyDescent="0.3">
      <c r="A27" s="9" t="s">
        <v>12</v>
      </c>
      <c r="B27" s="10">
        <f t="shared" si="0"/>
        <v>26</v>
      </c>
      <c r="C27" s="10">
        <v>3</v>
      </c>
      <c r="D27" s="10">
        <v>2025</v>
      </c>
      <c r="E27" s="4">
        <v>28372.2</v>
      </c>
      <c r="F27" s="11">
        <v>0.2</v>
      </c>
      <c r="G27" s="4">
        <f>LPG!C29</f>
        <v>2319.2258064516127</v>
      </c>
      <c r="H27" s="11">
        <v>1.6240000000000001</v>
      </c>
      <c r="I27" s="4">
        <v>248.1699999999949</v>
      </c>
      <c r="J27" s="11">
        <v>7.84</v>
      </c>
      <c r="K27" s="4">
        <f>'Occupied &amp; No. of Guest'!B28</f>
        <v>305</v>
      </c>
      <c r="L27" s="4">
        <f>'Occupied &amp; No. of Guest'!C28</f>
        <v>429</v>
      </c>
    </row>
    <row r="28" spans="1:12" x14ac:dyDescent="0.3">
      <c r="A28" s="9" t="s">
        <v>12</v>
      </c>
      <c r="B28" s="10">
        <f t="shared" si="0"/>
        <v>27</v>
      </c>
      <c r="C28" s="10">
        <v>3</v>
      </c>
      <c r="D28" s="10">
        <v>2025</v>
      </c>
      <c r="E28" s="4">
        <v>30473.599999999999</v>
      </c>
      <c r="F28" s="11">
        <v>0.2</v>
      </c>
      <c r="G28" s="4">
        <f>LPG!C30</f>
        <v>2319.2258064516127</v>
      </c>
      <c r="H28" s="11">
        <v>1.6240000000000001</v>
      </c>
      <c r="I28" s="4">
        <v>248.72100000001038</v>
      </c>
      <c r="J28" s="11">
        <v>7.84</v>
      </c>
      <c r="K28" s="4">
        <f>'Occupied &amp; No. of Guest'!B29</f>
        <v>308</v>
      </c>
      <c r="L28" s="4">
        <f>'Occupied &amp; No. of Guest'!C29</f>
        <v>441</v>
      </c>
    </row>
    <row r="29" spans="1:12" x14ac:dyDescent="0.3">
      <c r="A29" s="9" t="s">
        <v>12</v>
      </c>
      <c r="B29" s="10">
        <f t="shared" si="0"/>
        <v>28</v>
      </c>
      <c r="C29" s="10">
        <v>3</v>
      </c>
      <c r="D29" s="10">
        <v>2025</v>
      </c>
      <c r="E29" s="4">
        <v>-30005871.600000001</v>
      </c>
      <c r="F29" s="11">
        <v>0.2</v>
      </c>
      <c r="G29" s="4">
        <f>LPG!C31</f>
        <v>0</v>
      </c>
      <c r="H29" s="11">
        <v>1.6240000000000001</v>
      </c>
      <c r="I29" s="4">
        <v>-405331.70300000004</v>
      </c>
      <c r="J29" s="11">
        <v>7.84</v>
      </c>
      <c r="K29" s="4">
        <f>'Occupied &amp; No. of Guest'!B30</f>
        <v>0</v>
      </c>
      <c r="L29" s="4">
        <f>'Occupied &amp; No. of Guest'!C30</f>
        <v>0</v>
      </c>
    </row>
    <row r="30" spans="1:12" x14ac:dyDescent="0.3">
      <c r="A30" s="9" t="s">
        <v>12</v>
      </c>
      <c r="B30" s="10">
        <f t="shared" si="0"/>
        <v>29</v>
      </c>
      <c r="C30" s="10">
        <v>3</v>
      </c>
      <c r="D30" s="10">
        <v>2025</v>
      </c>
      <c r="E30" s="4">
        <v>0</v>
      </c>
      <c r="F30" s="11">
        <v>0.2</v>
      </c>
      <c r="G30" s="4">
        <f>LPG!C32</f>
        <v>0</v>
      </c>
      <c r="H30" s="11">
        <v>1.6240000000000001</v>
      </c>
      <c r="I30" s="4">
        <v>0</v>
      </c>
      <c r="J30" s="11">
        <v>7.84</v>
      </c>
      <c r="K30" s="4">
        <f>'Occupied &amp; No. of Guest'!B31</f>
        <v>0</v>
      </c>
      <c r="L30" s="4">
        <f>'Occupied &amp; No. of Guest'!C31</f>
        <v>0</v>
      </c>
    </row>
    <row r="31" spans="1:12" x14ac:dyDescent="0.3">
      <c r="A31" s="9" t="s">
        <v>12</v>
      </c>
      <c r="B31" s="10">
        <f t="shared" si="0"/>
        <v>30</v>
      </c>
      <c r="C31" s="10">
        <v>3</v>
      </c>
      <c r="D31" s="10">
        <v>2025</v>
      </c>
      <c r="E31" s="4">
        <v>0</v>
      </c>
      <c r="F31" s="11">
        <v>0.2</v>
      </c>
      <c r="G31" s="4">
        <f>LPG!C33</f>
        <v>0</v>
      </c>
      <c r="H31" s="11">
        <v>1.6240000000000001</v>
      </c>
      <c r="I31" s="4">
        <v>0</v>
      </c>
      <c r="J31" s="11">
        <v>7.84</v>
      </c>
      <c r="K31" s="4">
        <f>'Occupied &amp; No. of Guest'!B32</f>
        <v>0</v>
      </c>
      <c r="L31" s="4">
        <f>'Occupied &amp; No. of Guest'!C32</f>
        <v>0</v>
      </c>
    </row>
    <row r="32" spans="1:12" x14ac:dyDescent="0.3">
      <c r="A32" s="9" t="s">
        <v>12</v>
      </c>
      <c r="B32" s="10">
        <f t="shared" si="0"/>
        <v>31</v>
      </c>
      <c r="C32" s="10">
        <v>3</v>
      </c>
      <c r="D32" s="10">
        <v>2025</v>
      </c>
      <c r="E32" s="4">
        <v>0</v>
      </c>
      <c r="F32" s="11">
        <v>0.2</v>
      </c>
      <c r="G32" s="4">
        <f>LPG!C34</f>
        <v>0</v>
      </c>
      <c r="H32" s="11">
        <v>1.6240000000000001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tabSelected="1" zoomScale="115" zoomScaleNormal="115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J13" sqref="AJ13:AR20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5" width="15" style="13" customWidth="1"/>
    <col min="36" max="16384" width="9.109375" style="13"/>
  </cols>
  <sheetData>
    <row r="1" spans="1:67" ht="29.25" customHeight="1" x14ac:dyDescent="0.3">
      <c r="B1" s="13"/>
      <c r="C1" s="14"/>
      <c r="D1" s="14"/>
      <c r="G1" s="14"/>
    </row>
    <row r="2" spans="1:67" s="14" customFormat="1" ht="29.25" customHeight="1" x14ac:dyDescent="0.3">
      <c r="A2" s="78" t="s">
        <v>13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5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42" thickBot="1" x14ac:dyDescent="0.35">
      <c r="A4" s="15" t="s">
        <v>14</v>
      </c>
      <c r="B4" s="16" t="s">
        <v>15</v>
      </c>
      <c r="C4" s="17" t="s">
        <v>16</v>
      </c>
      <c r="D4" s="18" t="s">
        <v>17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3">
      <c r="A5" s="80">
        <v>1</v>
      </c>
      <c r="B5" s="20" t="s">
        <v>18</v>
      </c>
      <c r="C5" s="82" t="s">
        <v>19</v>
      </c>
      <c r="D5" s="21">
        <v>16096663</v>
      </c>
      <c r="E5" s="21">
        <v>16118053</v>
      </c>
      <c r="F5" s="21">
        <v>16137587</v>
      </c>
      <c r="G5" s="21">
        <v>16157671</v>
      </c>
      <c r="H5" s="21">
        <v>16178472</v>
      </c>
      <c r="I5" s="21">
        <v>16199212</v>
      </c>
      <c r="J5" s="21">
        <v>16220649</v>
      </c>
      <c r="K5" s="21">
        <v>16241364</v>
      </c>
      <c r="L5" s="21">
        <v>16262899</v>
      </c>
      <c r="M5" s="21">
        <v>16283451</v>
      </c>
      <c r="N5" s="21">
        <v>16304412</v>
      </c>
      <c r="O5" s="21">
        <v>16325444</v>
      </c>
      <c r="P5" s="21">
        <v>16347048</v>
      </c>
      <c r="Q5" s="21">
        <v>16368061</v>
      </c>
      <c r="R5" s="21">
        <v>16389128</v>
      </c>
      <c r="S5" s="21">
        <v>16410684</v>
      </c>
      <c r="T5" s="21">
        <v>16431008</v>
      </c>
      <c r="U5" s="21">
        <v>16452185</v>
      </c>
      <c r="V5" s="21">
        <v>16473462</v>
      </c>
      <c r="W5" s="21">
        <v>16495229</v>
      </c>
      <c r="X5" s="21">
        <v>16517081</v>
      </c>
      <c r="Y5" s="21">
        <v>16539018</v>
      </c>
      <c r="Z5" s="21">
        <v>16560162</v>
      </c>
      <c r="AA5" s="21">
        <v>16580504</v>
      </c>
      <c r="AB5" s="21">
        <v>16601179</v>
      </c>
      <c r="AC5" s="21">
        <v>16622381</v>
      </c>
      <c r="AD5" s="21">
        <v>16642873</v>
      </c>
      <c r="AE5" s="21">
        <v>16664140</v>
      </c>
      <c r="AF5" s="21"/>
      <c r="AG5" s="21"/>
      <c r="AH5" s="21"/>
      <c r="AI5" s="21"/>
    </row>
    <row r="6" spans="1:67" s="24" customFormat="1" ht="21.75" customHeight="1" thickBot="1" x14ac:dyDescent="0.35">
      <c r="A6" s="81"/>
      <c r="B6" s="22"/>
      <c r="C6" s="83"/>
      <c r="D6" s="23"/>
      <c r="E6" s="23">
        <f t="shared" ref="E6:AI6" si="0">E5-D5</f>
        <v>21390</v>
      </c>
      <c r="F6" s="23">
        <f t="shared" si="0"/>
        <v>19534</v>
      </c>
      <c r="G6" s="23">
        <f t="shared" si="0"/>
        <v>20084</v>
      </c>
      <c r="H6" s="23">
        <f t="shared" si="0"/>
        <v>20801</v>
      </c>
      <c r="I6" s="23">
        <f t="shared" si="0"/>
        <v>20740</v>
      </c>
      <c r="J6" s="23">
        <f t="shared" si="0"/>
        <v>21437</v>
      </c>
      <c r="K6" s="23">
        <f>K5-J5</f>
        <v>20715</v>
      </c>
      <c r="L6" s="23">
        <f t="shared" si="0"/>
        <v>21535</v>
      </c>
      <c r="M6" s="23">
        <f t="shared" si="0"/>
        <v>20552</v>
      </c>
      <c r="N6" s="23">
        <f t="shared" si="0"/>
        <v>20961</v>
      </c>
      <c r="O6" s="23">
        <f t="shared" si="0"/>
        <v>21032</v>
      </c>
      <c r="P6" s="23">
        <f t="shared" si="0"/>
        <v>21604</v>
      </c>
      <c r="Q6" s="23">
        <f t="shared" si="0"/>
        <v>21013</v>
      </c>
      <c r="R6" s="23">
        <f t="shared" si="0"/>
        <v>21067</v>
      </c>
      <c r="S6" s="23">
        <f t="shared" si="0"/>
        <v>21556</v>
      </c>
      <c r="T6" s="23">
        <f t="shared" si="0"/>
        <v>20324</v>
      </c>
      <c r="U6" s="23">
        <f t="shared" si="0"/>
        <v>21177</v>
      </c>
      <c r="V6" s="23">
        <f t="shared" si="0"/>
        <v>21277</v>
      </c>
      <c r="W6" s="23">
        <f t="shared" si="0"/>
        <v>21767</v>
      </c>
      <c r="X6" s="23">
        <f t="shared" si="0"/>
        <v>21852</v>
      </c>
      <c r="Y6" s="23">
        <f t="shared" si="0"/>
        <v>21937</v>
      </c>
      <c r="Z6" s="23">
        <f t="shared" si="0"/>
        <v>21144</v>
      </c>
      <c r="AA6" s="23">
        <f t="shared" si="0"/>
        <v>20342</v>
      </c>
      <c r="AB6" s="23">
        <f t="shared" si="0"/>
        <v>20675</v>
      </c>
      <c r="AC6" s="23">
        <f t="shared" si="0"/>
        <v>21202</v>
      </c>
      <c r="AD6" s="23">
        <f t="shared" si="0"/>
        <v>20492</v>
      </c>
      <c r="AE6" s="23">
        <f t="shared" si="0"/>
        <v>21267</v>
      </c>
      <c r="AF6" s="23">
        <f t="shared" si="0"/>
        <v>-16664140</v>
      </c>
      <c r="AG6" s="23">
        <f t="shared" si="0"/>
        <v>0</v>
      </c>
      <c r="AH6" s="23">
        <f t="shared" si="0"/>
        <v>0</v>
      </c>
      <c r="AI6" s="23">
        <f t="shared" si="0"/>
        <v>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3">
      <c r="A7" s="84">
        <v>2</v>
      </c>
      <c r="B7" s="25" t="s">
        <v>20</v>
      </c>
      <c r="C7" s="86" t="s">
        <v>21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35">
      <c r="A8" s="85"/>
      <c r="B8" s="22"/>
      <c r="C8" s="83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3">
      <c r="A9" s="76">
        <v>3</v>
      </c>
      <c r="B9" s="36" t="s">
        <v>22</v>
      </c>
      <c r="C9" s="77" t="s">
        <v>23</v>
      </c>
      <c r="D9" s="21">
        <v>16764882</v>
      </c>
      <c r="E9" s="21">
        <v>16768160</v>
      </c>
      <c r="F9" s="21">
        <v>16771285</v>
      </c>
      <c r="G9" s="21">
        <v>16775106</v>
      </c>
      <c r="H9" s="21">
        <v>16779262</v>
      </c>
      <c r="I9" s="21">
        <v>16784875</v>
      </c>
      <c r="J9" s="21">
        <v>16789492</v>
      </c>
      <c r="K9" s="21">
        <v>16801511</v>
      </c>
      <c r="L9" s="21">
        <v>16821813</v>
      </c>
      <c r="M9" s="21">
        <v>16842307</v>
      </c>
      <c r="N9" s="21">
        <v>16862279</v>
      </c>
      <c r="O9" s="21">
        <v>16882102</v>
      </c>
      <c r="P9" s="21">
        <v>16901634</v>
      </c>
      <c r="Q9" s="21">
        <v>16921225</v>
      </c>
      <c r="R9" s="21">
        <v>16940475</v>
      </c>
      <c r="S9" s="21">
        <v>16960657</v>
      </c>
      <c r="T9" s="21">
        <v>16980889</v>
      </c>
      <c r="U9" s="21">
        <v>16998437</v>
      </c>
      <c r="V9" s="21">
        <v>17015798</v>
      </c>
      <c r="W9" s="21">
        <v>17032098</v>
      </c>
      <c r="X9" s="21">
        <v>17049214</v>
      </c>
      <c r="Y9" s="21">
        <v>17065958</v>
      </c>
      <c r="Z9" s="21">
        <v>17083320</v>
      </c>
      <c r="AA9" s="21">
        <v>17101144</v>
      </c>
      <c r="AB9" s="21">
        <v>17123097</v>
      </c>
      <c r="AC9" s="21">
        <v>17141951</v>
      </c>
      <c r="AD9" s="21">
        <v>17160854</v>
      </c>
      <c r="AE9" s="21">
        <v>17180891</v>
      </c>
      <c r="AF9" s="21"/>
      <c r="AG9" s="21"/>
      <c r="AH9" s="21"/>
      <c r="AI9" s="21"/>
    </row>
    <row r="10" spans="1:67" s="24" customFormat="1" ht="21.75" customHeight="1" thickBot="1" x14ac:dyDescent="0.35">
      <c r="A10" s="72"/>
      <c r="B10" s="37"/>
      <c r="C10" s="75"/>
      <c r="D10" s="23"/>
      <c r="E10" s="23">
        <f t="shared" ref="E10:AI10" si="2">E9-D9</f>
        <v>3278</v>
      </c>
      <c r="F10" s="23">
        <f t="shared" si="2"/>
        <v>3125</v>
      </c>
      <c r="G10" s="23">
        <f t="shared" si="2"/>
        <v>3821</v>
      </c>
      <c r="H10" s="23">
        <f t="shared" si="2"/>
        <v>4156</v>
      </c>
      <c r="I10" s="23">
        <f t="shared" si="2"/>
        <v>5613</v>
      </c>
      <c r="J10" s="23">
        <f>J9-I9</f>
        <v>4617</v>
      </c>
      <c r="K10" s="23">
        <f t="shared" si="2"/>
        <v>12019</v>
      </c>
      <c r="L10" s="23">
        <f t="shared" si="2"/>
        <v>20302</v>
      </c>
      <c r="M10" s="23">
        <f t="shared" si="2"/>
        <v>20494</v>
      </c>
      <c r="N10" s="23">
        <f t="shared" si="2"/>
        <v>19972</v>
      </c>
      <c r="O10" s="23">
        <f t="shared" si="2"/>
        <v>19823</v>
      </c>
      <c r="P10" s="23">
        <f t="shared" si="2"/>
        <v>19532</v>
      </c>
      <c r="Q10" s="23">
        <f t="shared" si="2"/>
        <v>19591</v>
      </c>
      <c r="R10" s="23">
        <f t="shared" si="2"/>
        <v>19250</v>
      </c>
      <c r="S10" s="23">
        <f t="shared" si="2"/>
        <v>20182</v>
      </c>
      <c r="T10" s="23">
        <f t="shared" si="2"/>
        <v>20232</v>
      </c>
      <c r="U10" s="23">
        <f t="shared" si="2"/>
        <v>17548</v>
      </c>
      <c r="V10" s="23">
        <f t="shared" si="2"/>
        <v>17361</v>
      </c>
      <c r="W10" s="23">
        <f t="shared" si="2"/>
        <v>16300</v>
      </c>
      <c r="X10" s="23">
        <f t="shared" si="2"/>
        <v>17116</v>
      </c>
      <c r="Y10" s="23">
        <f t="shared" si="2"/>
        <v>16744</v>
      </c>
      <c r="Z10" s="23">
        <f t="shared" si="2"/>
        <v>17362</v>
      </c>
      <c r="AA10" s="23">
        <f t="shared" si="2"/>
        <v>17824</v>
      </c>
      <c r="AB10" s="23">
        <f t="shared" si="2"/>
        <v>21953</v>
      </c>
      <c r="AC10" s="23">
        <f t="shared" si="2"/>
        <v>18854</v>
      </c>
      <c r="AD10" s="23">
        <f t="shared" si="2"/>
        <v>18903</v>
      </c>
      <c r="AE10" s="23">
        <f t="shared" si="2"/>
        <v>20037</v>
      </c>
      <c r="AF10" s="23">
        <f t="shared" si="2"/>
        <v>-17180891</v>
      </c>
      <c r="AG10" s="23">
        <f t="shared" si="2"/>
        <v>0</v>
      </c>
      <c r="AH10" s="23">
        <f t="shared" si="2"/>
        <v>0</v>
      </c>
      <c r="AI10" s="23">
        <f t="shared" si="2"/>
        <v>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3">
      <c r="A11" s="67">
        <v>4</v>
      </c>
      <c r="B11" s="36" t="s">
        <v>24</v>
      </c>
      <c r="C11" s="77" t="s">
        <v>25</v>
      </c>
      <c r="D11" s="21">
        <v>11273553</v>
      </c>
      <c r="E11" s="21">
        <v>11288580</v>
      </c>
      <c r="F11" s="21">
        <v>11302537</v>
      </c>
      <c r="G11" s="21">
        <v>11316062</v>
      </c>
      <c r="H11" s="21">
        <v>11330459</v>
      </c>
      <c r="I11" s="21">
        <v>11345555</v>
      </c>
      <c r="J11" s="21">
        <v>11362997</v>
      </c>
      <c r="K11" s="21">
        <v>11374392</v>
      </c>
      <c r="L11" s="21">
        <v>11377464</v>
      </c>
      <c r="M11" s="21">
        <v>11379275</v>
      </c>
      <c r="N11" s="21">
        <v>11384785</v>
      </c>
      <c r="O11" s="21">
        <v>11389281</v>
      </c>
      <c r="P11" s="21">
        <v>11395741</v>
      </c>
      <c r="Q11" s="21">
        <v>11399446</v>
      </c>
      <c r="R11" s="21">
        <v>11404126</v>
      </c>
      <c r="S11" s="21">
        <v>11406883</v>
      </c>
      <c r="T11" s="21">
        <v>11409988</v>
      </c>
      <c r="U11" s="21">
        <v>11416122</v>
      </c>
      <c r="V11" s="21">
        <v>11421161</v>
      </c>
      <c r="W11" s="21">
        <v>11428665</v>
      </c>
      <c r="X11" s="21">
        <v>11436998</v>
      </c>
      <c r="Y11" s="21">
        <v>11446993</v>
      </c>
      <c r="Z11" s="21">
        <v>11455062</v>
      </c>
      <c r="AA11" s="21">
        <v>11460566</v>
      </c>
      <c r="AB11" s="21">
        <v>11460566</v>
      </c>
      <c r="AC11" s="21">
        <v>11460566</v>
      </c>
      <c r="AD11" s="21">
        <v>11460566</v>
      </c>
      <c r="AE11" s="21">
        <v>11462768</v>
      </c>
      <c r="AF11" s="21"/>
      <c r="AG11" s="21"/>
      <c r="AH11" s="21"/>
      <c r="AI11" s="21"/>
    </row>
    <row r="12" spans="1:67" s="38" customFormat="1" ht="21.75" customHeight="1" thickBot="1" x14ac:dyDescent="0.35">
      <c r="A12" s="74"/>
      <c r="B12" s="37"/>
      <c r="C12" s="75"/>
      <c r="D12" s="23"/>
      <c r="E12" s="23">
        <f t="shared" ref="E12:AI12" si="3">E11-D11</f>
        <v>15027</v>
      </c>
      <c r="F12" s="23">
        <f t="shared" si="3"/>
        <v>13957</v>
      </c>
      <c r="G12" s="23">
        <f t="shared" si="3"/>
        <v>13525</v>
      </c>
      <c r="H12" s="23">
        <f t="shared" si="3"/>
        <v>14397</v>
      </c>
      <c r="I12" s="23">
        <f t="shared" si="3"/>
        <v>15096</v>
      </c>
      <c r="J12" s="23">
        <f>J11-I11</f>
        <v>17442</v>
      </c>
      <c r="K12" s="23">
        <f t="shared" si="3"/>
        <v>11395</v>
      </c>
      <c r="L12" s="23">
        <f t="shared" si="3"/>
        <v>3072</v>
      </c>
      <c r="M12" s="23">
        <f t="shared" si="3"/>
        <v>1811</v>
      </c>
      <c r="N12" s="23">
        <f t="shared" si="3"/>
        <v>5510</v>
      </c>
      <c r="O12" s="23">
        <f t="shared" si="3"/>
        <v>4496</v>
      </c>
      <c r="P12" s="23">
        <f t="shared" si="3"/>
        <v>6460</v>
      </c>
      <c r="Q12" s="23">
        <f t="shared" si="3"/>
        <v>3705</v>
      </c>
      <c r="R12" s="23">
        <f t="shared" si="3"/>
        <v>4680</v>
      </c>
      <c r="S12" s="23">
        <f t="shared" si="3"/>
        <v>2757</v>
      </c>
      <c r="T12" s="23">
        <f t="shared" si="3"/>
        <v>3105</v>
      </c>
      <c r="U12" s="23">
        <f t="shared" si="3"/>
        <v>6134</v>
      </c>
      <c r="V12" s="23">
        <f t="shared" si="3"/>
        <v>5039</v>
      </c>
      <c r="W12" s="23">
        <f t="shared" si="3"/>
        <v>7504</v>
      </c>
      <c r="X12" s="23">
        <f t="shared" si="3"/>
        <v>8333</v>
      </c>
      <c r="Y12" s="23">
        <f t="shared" si="3"/>
        <v>9995</v>
      </c>
      <c r="Z12" s="23">
        <f t="shared" si="3"/>
        <v>8069</v>
      </c>
      <c r="AA12" s="23">
        <f t="shared" si="3"/>
        <v>5504</v>
      </c>
      <c r="AB12" s="23">
        <f t="shared" si="3"/>
        <v>0</v>
      </c>
      <c r="AC12" s="23">
        <f t="shared" si="3"/>
        <v>0</v>
      </c>
      <c r="AD12" s="23">
        <f t="shared" si="3"/>
        <v>0</v>
      </c>
      <c r="AE12" s="23">
        <f t="shared" si="3"/>
        <v>2202</v>
      </c>
      <c r="AF12" s="23">
        <f t="shared" si="3"/>
        <v>-11462768</v>
      </c>
      <c r="AG12" s="23">
        <f t="shared" si="3"/>
        <v>0</v>
      </c>
      <c r="AH12" s="23">
        <f t="shared" si="3"/>
        <v>0</v>
      </c>
      <c r="AI12" s="23">
        <f t="shared" si="3"/>
        <v>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3">
      <c r="A13" s="76">
        <v>7</v>
      </c>
      <c r="B13" s="39" t="s">
        <v>26</v>
      </c>
      <c r="C13" s="69" t="s">
        <v>27</v>
      </c>
      <c r="D13" s="40">
        <v>3400</v>
      </c>
      <c r="E13" s="40">
        <v>3400</v>
      </c>
      <c r="F13" s="40">
        <v>3400</v>
      </c>
      <c r="G13" s="40">
        <v>3400</v>
      </c>
      <c r="H13" s="40">
        <v>3400</v>
      </c>
      <c r="I13" s="40">
        <v>3400</v>
      </c>
      <c r="J13" s="40">
        <v>3400</v>
      </c>
      <c r="K13" s="40">
        <v>3400</v>
      </c>
      <c r="L13" s="40">
        <v>3400</v>
      </c>
      <c r="M13" s="40">
        <v>3400</v>
      </c>
      <c r="N13" s="40">
        <v>3400</v>
      </c>
      <c r="O13" s="40">
        <v>3400</v>
      </c>
      <c r="P13" s="40">
        <v>3400</v>
      </c>
      <c r="Q13" s="40">
        <v>3400</v>
      </c>
      <c r="R13" s="40">
        <v>3400</v>
      </c>
      <c r="S13" s="40">
        <v>3400</v>
      </c>
      <c r="T13" s="40">
        <v>3400</v>
      </c>
      <c r="U13" s="40">
        <v>3400</v>
      </c>
      <c r="V13" s="40">
        <v>3400</v>
      </c>
      <c r="W13" s="40">
        <v>3400</v>
      </c>
      <c r="X13" s="40">
        <v>3400</v>
      </c>
      <c r="Y13" s="40">
        <v>3400</v>
      </c>
      <c r="Z13" s="40">
        <v>3418</v>
      </c>
      <c r="AA13" s="40">
        <v>3418</v>
      </c>
      <c r="AB13" s="40">
        <v>3418</v>
      </c>
      <c r="AC13" s="40">
        <v>3418</v>
      </c>
      <c r="AD13" s="40">
        <v>3418</v>
      </c>
      <c r="AE13" s="40">
        <v>3418</v>
      </c>
      <c r="AF13" s="40"/>
      <c r="AG13" s="40"/>
      <c r="AH13" s="40"/>
      <c r="AI13" s="40"/>
    </row>
    <row r="14" spans="1:67" s="24" customFormat="1" ht="21.75" customHeight="1" thickBot="1" x14ac:dyDescent="0.35">
      <c r="A14" s="72"/>
      <c r="B14" s="41"/>
      <c r="C14" s="75"/>
      <c r="D14" s="42"/>
      <c r="E14" s="42">
        <f t="shared" ref="E14" si="4">E13-D13</f>
        <v>0</v>
      </c>
      <c r="F14" s="42">
        <f t="shared" ref="F14" si="5">F13-E13</f>
        <v>0</v>
      </c>
      <c r="G14" s="42">
        <f t="shared" ref="G14" si="6">G13-F13</f>
        <v>0</v>
      </c>
      <c r="H14" s="42">
        <f t="shared" ref="H14" si="7">H13-G13</f>
        <v>0</v>
      </c>
      <c r="I14" s="42">
        <f t="shared" ref="I14" si="8">I13-H13</f>
        <v>0</v>
      </c>
      <c r="J14" s="42">
        <f t="shared" ref="J14" si="9">J13-I13</f>
        <v>0</v>
      </c>
      <c r="K14" s="42">
        <f t="shared" ref="K14" si="10">K13-J13</f>
        <v>0</v>
      </c>
      <c r="L14" s="42">
        <f t="shared" ref="L14" si="11">L13-K13</f>
        <v>0</v>
      </c>
      <c r="M14" s="42">
        <f t="shared" ref="M14" si="12">M13-L13</f>
        <v>0</v>
      </c>
      <c r="N14" s="42">
        <f t="shared" ref="N14" si="13">N13-M13</f>
        <v>0</v>
      </c>
      <c r="O14" s="42">
        <f t="shared" ref="O14" si="14">O13-N13</f>
        <v>0</v>
      </c>
      <c r="P14" s="42">
        <f t="shared" ref="P14" si="15">P13-O13</f>
        <v>0</v>
      </c>
      <c r="Q14" s="42">
        <f t="shared" ref="Q14" si="16">Q13-P13</f>
        <v>0</v>
      </c>
      <c r="R14" s="42">
        <f t="shared" ref="R14" si="17">R13-Q13</f>
        <v>0</v>
      </c>
      <c r="S14" s="42">
        <f t="shared" ref="S14" si="18">S13-R13</f>
        <v>0</v>
      </c>
      <c r="T14" s="42">
        <f t="shared" ref="T14" si="19">T13-S13</f>
        <v>0</v>
      </c>
      <c r="U14" s="42">
        <f t="shared" ref="U14" si="20">U13-T13</f>
        <v>0</v>
      </c>
      <c r="V14" s="42">
        <f t="shared" ref="V14" si="21">V13-U13</f>
        <v>0</v>
      </c>
      <c r="W14" s="42">
        <f t="shared" ref="W14" si="22">W13-V13</f>
        <v>0</v>
      </c>
      <c r="X14" s="42">
        <f t="shared" ref="X14" si="23">X13-W13</f>
        <v>0</v>
      </c>
      <c r="Y14" s="42">
        <f t="shared" ref="Y14" si="24">Y13-X13</f>
        <v>0</v>
      </c>
      <c r="Z14" s="42">
        <f t="shared" ref="Z14" si="25">Z13-Y13</f>
        <v>18</v>
      </c>
      <c r="AA14" s="42">
        <f t="shared" ref="AA14" si="26">AA13-Z13</f>
        <v>0</v>
      </c>
      <c r="AB14" s="42">
        <f t="shared" ref="AB14" si="27">AB13-AA13</f>
        <v>0</v>
      </c>
      <c r="AC14" s="42">
        <f t="shared" ref="AC14" si="28">AC13-AB13</f>
        <v>0</v>
      </c>
      <c r="AD14" s="42">
        <f t="shared" ref="AD14" si="29">AD13-AC13</f>
        <v>0</v>
      </c>
      <c r="AE14" s="42">
        <f t="shared" ref="AE14" si="30">AE13-AD13</f>
        <v>0</v>
      </c>
      <c r="AF14" s="42">
        <f t="shared" ref="AF14" si="31">AF13-AE13</f>
        <v>-3418</v>
      </c>
      <c r="AG14" s="42">
        <f t="shared" ref="AG14" si="32">AG13-AF13</f>
        <v>0</v>
      </c>
      <c r="AH14" s="42">
        <f t="shared" ref="AH14" si="33">AH13-AG13</f>
        <v>0</v>
      </c>
      <c r="AI14" s="42">
        <f t="shared" ref="AI14" si="34">AI13-AH13</f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3">
      <c r="A15" s="67">
        <v>8</v>
      </c>
      <c r="B15" s="39" t="s">
        <v>28</v>
      </c>
      <c r="C15" s="69" t="s">
        <v>29</v>
      </c>
      <c r="D15" s="40">
        <v>508</v>
      </c>
      <c r="E15" s="40">
        <v>509</v>
      </c>
      <c r="F15" s="40">
        <v>509</v>
      </c>
      <c r="G15" s="40">
        <v>509</v>
      </c>
      <c r="H15" s="40">
        <v>509</v>
      </c>
      <c r="I15" s="40">
        <v>509</v>
      </c>
      <c r="J15" s="40">
        <v>509</v>
      </c>
      <c r="K15" s="40">
        <v>509</v>
      </c>
      <c r="L15" s="40">
        <v>509</v>
      </c>
      <c r="M15" s="40">
        <v>509</v>
      </c>
      <c r="N15" s="40">
        <v>509</v>
      </c>
      <c r="O15" s="40">
        <v>509</v>
      </c>
      <c r="P15" s="40">
        <v>509</v>
      </c>
      <c r="Q15" s="40">
        <v>509</v>
      </c>
      <c r="R15" s="40">
        <v>509</v>
      </c>
      <c r="S15" s="40">
        <v>509</v>
      </c>
      <c r="T15" s="40">
        <v>509</v>
      </c>
      <c r="U15" s="40">
        <v>509</v>
      </c>
      <c r="V15" s="40">
        <v>509</v>
      </c>
      <c r="W15" s="40">
        <v>509</v>
      </c>
      <c r="X15" s="40">
        <v>509</v>
      </c>
      <c r="Y15" s="40">
        <v>510</v>
      </c>
      <c r="Z15" s="40">
        <v>510</v>
      </c>
      <c r="AA15" s="40">
        <v>510</v>
      </c>
      <c r="AB15" s="40">
        <v>510</v>
      </c>
      <c r="AC15" s="40">
        <v>510</v>
      </c>
      <c r="AD15" s="40">
        <v>510</v>
      </c>
      <c r="AE15" s="40">
        <v>510</v>
      </c>
      <c r="AF15" s="40"/>
      <c r="AG15" s="40"/>
      <c r="AH15" s="40"/>
      <c r="AI15" s="40"/>
    </row>
    <row r="16" spans="1:67" s="24" customFormat="1" ht="21.75" customHeight="1" thickBot="1" x14ac:dyDescent="0.35">
      <c r="A16" s="74"/>
      <c r="B16" s="41"/>
      <c r="C16" s="75"/>
      <c r="D16" s="42"/>
      <c r="E16" s="42">
        <f t="shared" ref="E16:M16" si="35">E15-D15</f>
        <v>1</v>
      </c>
      <c r="F16" s="42">
        <f t="shared" si="35"/>
        <v>0</v>
      </c>
      <c r="G16" s="42">
        <f t="shared" si="35"/>
        <v>0</v>
      </c>
      <c r="H16" s="42">
        <f t="shared" si="35"/>
        <v>0</v>
      </c>
      <c r="I16" s="42">
        <f t="shared" si="35"/>
        <v>0</v>
      </c>
      <c r="J16" s="42">
        <f t="shared" si="35"/>
        <v>0</v>
      </c>
      <c r="K16" s="42">
        <f t="shared" si="35"/>
        <v>0</v>
      </c>
      <c r="L16" s="42">
        <f t="shared" si="35"/>
        <v>0</v>
      </c>
      <c r="M16" s="42">
        <f t="shared" si="35"/>
        <v>0</v>
      </c>
      <c r="N16" s="42">
        <f t="shared" ref="N16" si="36">N15-M15</f>
        <v>0</v>
      </c>
      <c r="O16" s="42">
        <f t="shared" ref="O16" si="37">O15-N15</f>
        <v>0</v>
      </c>
      <c r="P16" s="42">
        <f t="shared" ref="P16" si="38">P15-O15</f>
        <v>0</v>
      </c>
      <c r="Q16" s="42">
        <f t="shared" ref="Q16" si="39">Q15-P15</f>
        <v>0</v>
      </c>
      <c r="R16" s="42">
        <f t="shared" ref="R16" si="40">R15-Q15</f>
        <v>0</v>
      </c>
      <c r="S16" s="42">
        <f t="shared" ref="S16" si="41">S15-R15</f>
        <v>0</v>
      </c>
      <c r="T16" s="42">
        <f t="shared" ref="T16" si="42">T15-S15</f>
        <v>0</v>
      </c>
      <c r="U16" s="42">
        <f t="shared" ref="U16" si="43">U15-T15</f>
        <v>0</v>
      </c>
      <c r="V16" s="42">
        <f t="shared" ref="V16" si="44">V15-U15</f>
        <v>0</v>
      </c>
      <c r="W16" s="42">
        <f t="shared" ref="W16" si="45">W15-V15</f>
        <v>0</v>
      </c>
      <c r="X16" s="42">
        <f t="shared" ref="X16" si="46">X15-W15</f>
        <v>0</v>
      </c>
      <c r="Y16" s="42">
        <f t="shared" ref="Y16" si="47">Y15-X15</f>
        <v>1</v>
      </c>
      <c r="Z16" s="42">
        <f t="shared" ref="Z16" si="48">Z15-Y15</f>
        <v>0</v>
      </c>
      <c r="AA16" s="42">
        <f t="shared" ref="AA16" si="49">AA15-Z15</f>
        <v>0</v>
      </c>
      <c r="AB16" s="42">
        <f t="shared" ref="AB16" si="50">AB15-AA15</f>
        <v>0</v>
      </c>
      <c r="AC16" s="42">
        <f t="shared" ref="AC16" si="51">AC15-AB15</f>
        <v>0</v>
      </c>
      <c r="AD16" s="42">
        <f t="shared" ref="AD16" si="52">AD15-AC15</f>
        <v>0</v>
      </c>
      <c r="AE16" s="42">
        <f t="shared" ref="AE16" si="53">AE15-AD15</f>
        <v>0</v>
      </c>
      <c r="AF16" s="42">
        <f t="shared" ref="AF16" si="54">AF15-AE15</f>
        <v>-510</v>
      </c>
      <c r="AG16" s="42">
        <f t="shared" ref="AG16" si="55">AG15-AF15</f>
        <v>0</v>
      </c>
      <c r="AH16" s="42">
        <f t="shared" ref="AH16" si="56">AH15-AG15</f>
        <v>0</v>
      </c>
      <c r="AI16" s="42">
        <f t="shared" ref="AI16" si="57">AI15-AH15</f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3">
      <c r="A17" s="67">
        <v>13</v>
      </c>
      <c r="B17" s="39" t="s">
        <v>30</v>
      </c>
      <c r="C17" s="69" t="s">
        <v>31</v>
      </c>
      <c r="D17" s="40">
        <v>1482142</v>
      </c>
      <c r="E17" s="40">
        <v>1482398</v>
      </c>
      <c r="F17" s="40">
        <v>1482663</v>
      </c>
      <c r="G17" s="40">
        <v>1482905</v>
      </c>
      <c r="H17" s="40">
        <v>1483147</v>
      </c>
      <c r="I17" s="40">
        <v>1483371</v>
      </c>
      <c r="J17" s="40">
        <v>1483622</v>
      </c>
      <c r="K17" s="40">
        <v>1483859</v>
      </c>
      <c r="L17" s="40">
        <v>1484094</v>
      </c>
      <c r="M17" s="40">
        <v>1484335</v>
      </c>
      <c r="N17" s="40">
        <v>1484572</v>
      </c>
      <c r="O17" s="40">
        <v>1484799</v>
      </c>
      <c r="P17" s="40">
        <v>1485088</v>
      </c>
      <c r="Q17" s="40">
        <v>1485316</v>
      </c>
      <c r="R17" s="40">
        <v>1485561</v>
      </c>
      <c r="S17" s="40">
        <v>1485813</v>
      </c>
      <c r="T17" s="40">
        <v>1486098</v>
      </c>
      <c r="U17" s="40">
        <v>1486375</v>
      </c>
      <c r="V17" s="40">
        <v>1486666</v>
      </c>
      <c r="W17" s="40">
        <v>1486921</v>
      </c>
      <c r="X17" s="40">
        <v>1487186</v>
      </c>
      <c r="Y17" s="40">
        <v>1487461</v>
      </c>
      <c r="Z17" s="40">
        <v>1487732</v>
      </c>
      <c r="AA17" s="40">
        <v>1488001</v>
      </c>
      <c r="AB17" s="40">
        <v>1488245</v>
      </c>
      <c r="AC17" s="40">
        <v>1488485</v>
      </c>
      <c r="AD17" s="40">
        <v>1488760</v>
      </c>
      <c r="AE17" s="40">
        <v>1489026</v>
      </c>
      <c r="AF17" s="40"/>
      <c r="AG17" s="40"/>
      <c r="AH17" s="40"/>
      <c r="AI17" s="40"/>
    </row>
    <row r="18" spans="1:35" ht="21.75" customHeight="1" thickBot="1" x14ac:dyDescent="0.35">
      <c r="A18" s="68"/>
      <c r="B18" s="43"/>
      <c r="C18" s="70"/>
      <c r="D18" s="42"/>
      <c r="E18" s="42">
        <f t="shared" ref="E18:M18" si="58">E17-D17</f>
        <v>256</v>
      </c>
      <c r="F18" s="42">
        <f t="shared" si="58"/>
        <v>265</v>
      </c>
      <c r="G18" s="42">
        <f t="shared" si="58"/>
        <v>242</v>
      </c>
      <c r="H18" s="42">
        <f t="shared" si="58"/>
        <v>242</v>
      </c>
      <c r="I18" s="42">
        <f t="shared" si="58"/>
        <v>224</v>
      </c>
      <c r="J18" s="42">
        <f t="shared" si="58"/>
        <v>251</v>
      </c>
      <c r="K18" s="42">
        <f t="shared" si="58"/>
        <v>237</v>
      </c>
      <c r="L18" s="42">
        <f t="shared" si="58"/>
        <v>235</v>
      </c>
      <c r="M18" s="42">
        <f t="shared" si="58"/>
        <v>241</v>
      </c>
      <c r="N18" s="42">
        <f t="shared" ref="N18" si="59">N17-M17</f>
        <v>237</v>
      </c>
      <c r="O18" s="42">
        <f t="shared" ref="O18" si="60">O17-N17</f>
        <v>227</v>
      </c>
      <c r="P18" s="42">
        <f t="shared" ref="P18" si="61">P17-O17</f>
        <v>289</v>
      </c>
      <c r="Q18" s="42">
        <f t="shared" ref="Q18" si="62">Q17-P17</f>
        <v>228</v>
      </c>
      <c r="R18" s="42">
        <f t="shared" ref="R18" si="63">R17-Q17</f>
        <v>245</v>
      </c>
      <c r="S18" s="42">
        <f t="shared" ref="S18" si="64">S17-R17</f>
        <v>252</v>
      </c>
      <c r="T18" s="42">
        <f t="shared" ref="T18" si="65">T17-S17</f>
        <v>285</v>
      </c>
      <c r="U18" s="42">
        <f t="shared" ref="U18" si="66">U17-T17</f>
        <v>277</v>
      </c>
      <c r="V18" s="42">
        <f t="shared" ref="V18" si="67">V17-U17</f>
        <v>291</v>
      </c>
      <c r="W18" s="42">
        <f t="shared" ref="W18" si="68">W17-V17</f>
        <v>255</v>
      </c>
      <c r="X18" s="42">
        <f t="shared" ref="X18" si="69">X17-W17</f>
        <v>265</v>
      </c>
      <c r="Y18" s="42">
        <f t="shared" ref="Y18" si="70">Y17-X17</f>
        <v>275</v>
      </c>
      <c r="Z18" s="42">
        <f t="shared" ref="Z18" si="71">Z17-Y17</f>
        <v>271</v>
      </c>
      <c r="AA18" s="42">
        <f t="shared" ref="AA18" si="72">AA17-Z17</f>
        <v>269</v>
      </c>
      <c r="AB18" s="42">
        <f t="shared" ref="AB18" si="73">AB17-AA17</f>
        <v>244</v>
      </c>
      <c r="AC18" s="42">
        <f t="shared" ref="AC18" si="74">AC17-AB17</f>
        <v>240</v>
      </c>
      <c r="AD18" s="42">
        <f t="shared" ref="AD18" si="75">AD17-AC17</f>
        <v>275</v>
      </c>
      <c r="AE18" s="42">
        <f t="shared" ref="AE18" si="76">AE17-AD17</f>
        <v>266</v>
      </c>
      <c r="AF18" s="42">
        <f t="shared" ref="AF18" si="77">AF17-AE17</f>
        <v>-1489026</v>
      </c>
      <c r="AG18" s="42">
        <f t="shared" ref="AG18" si="78">AG17-AF17</f>
        <v>0</v>
      </c>
      <c r="AH18" s="42">
        <f t="shared" ref="AH18" si="79">AH17-AG17</f>
        <v>0</v>
      </c>
      <c r="AI18" s="42">
        <f t="shared" ref="AI18" si="80">AI17-AH17</f>
        <v>0</v>
      </c>
    </row>
    <row r="19" spans="1:35" ht="21.75" customHeight="1" x14ac:dyDescent="0.3">
      <c r="A19" s="71">
        <v>14</v>
      </c>
      <c r="B19" s="39" t="s">
        <v>32</v>
      </c>
      <c r="C19" s="69" t="s">
        <v>33</v>
      </c>
      <c r="D19" s="40">
        <v>390107</v>
      </c>
      <c r="E19" s="40">
        <v>390155</v>
      </c>
      <c r="F19" s="40">
        <v>390201</v>
      </c>
      <c r="G19" s="40">
        <v>390245</v>
      </c>
      <c r="H19" s="40">
        <v>390290</v>
      </c>
      <c r="I19" s="40">
        <v>390336</v>
      </c>
      <c r="J19" s="40">
        <v>390379</v>
      </c>
      <c r="K19" s="40">
        <v>390423</v>
      </c>
      <c r="L19" s="40">
        <v>390470</v>
      </c>
      <c r="M19" s="40">
        <v>390514</v>
      </c>
      <c r="N19" s="40">
        <v>390559</v>
      </c>
      <c r="O19" s="40">
        <v>390604</v>
      </c>
      <c r="P19" s="40">
        <v>390647</v>
      </c>
      <c r="Q19" s="40">
        <v>390694</v>
      </c>
      <c r="R19" s="40">
        <v>390736</v>
      </c>
      <c r="S19" s="40">
        <v>390785</v>
      </c>
      <c r="T19" s="40">
        <v>390829</v>
      </c>
      <c r="U19" s="40">
        <v>390872</v>
      </c>
      <c r="V19" s="40">
        <v>390918</v>
      </c>
      <c r="W19" s="40">
        <v>390963</v>
      </c>
      <c r="X19" s="40">
        <v>391008</v>
      </c>
      <c r="Y19" s="40">
        <v>391051</v>
      </c>
      <c r="Z19" s="40">
        <v>391097</v>
      </c>
      <c r="AA19" s="40">
        <v>391140</v>
      </c>
      <c r="AB19" s="40">
        <v>391183</v>
      </c>
      <c r="AC19" s="40">
        <v>391225</v>
      </c>
      <c r="AD19" s="40">
        <v>391269</v>
      </c>
      <c r="AE19" s="40">
        <v>391314</v>
      </c>
      <c r="AF19" s="40"/>
      <c r="AG19" s="40"/>
      <c r="AH19" s="40"/>
      <c r="AI19" s="40"/>
    </row>
    <row r="20" spans="1:35" ht="21.75" customHeight="1" thickBot="1" x14ac:dyDescent="0.35">
      <c r="A20" s="72"/>
      <c r="B20" s="43"/>
      <c r="C20" s="70"/>
      <c r="D20" s="42"/>
      <c r="E20" s="42">
        <f>E19-D19</f>
        <v>48</v>
      </c>
      <c r="F20" s="42">
        <f t="shared" ref="F20:M20" si="81">F19-E19</f>
        <v>46</v>
      </c>
      <c r="G20" s="42">
        <f t="shared" si="81"/>
        <v>44</v>
      </c>
      <c r="H20" s="42">
        <f t="shared" si="81"/>
        <v>45</v>
      </c>
      <c r="I20" s="42">
        <f t="shared" si="81"/>
        <v>46</v>
      </c>
      <c r="J20" s="42">
        <f t="shared" si="81"/>
        <v>43</v>
      </c>
      <c r="K20" s="42">
        <f t="shared" si="81"/>
        <v>44</v>
      </c>
      <c r="L20" s="42">
        <f t="shared" si="81"/>
        <v>47</v>
      </c>
      <c r="M20" s="42">
        <f t="shared" si="81"/>
        <v>44</v>
      </c>
      <c r="N20" s="42">
        <f t="shared" ref="N20" si="82">N19-M19</f>
        <v>45</v>
      </c>
      <c r="O20" s="42">
        <f t="shared" ref="O20" si="83">O19-N19</f>
        <v>45</v>
      </c>
      <c r="P20" s="42">
        <f t="shared" ref="P20" si="84">P19-O19</f>
        <v>43</v>
      </c>
      <c r="Q20" s="42">
        <f t="shared" ref="Q20" si="85">Q19-P19</f>
        <v>47</v>
      </c>
      <c r="R20" s="42">
        <f t="shared" ref="R20" si="86">R19-Q19</f>
        <v>42</v>
      </c>
      <c r="S20" s="42">
        <f t="shared" ref="S20" si="87">S19-R19</f>
        <v>49</v>
      </c>
      <c r="T20" s="42">
        <f t="shared" ref="T20" si="88">T19-S19</f>
        <v>44</v>
      </c>
      <c r="U20" s="42">
        <f t="shared" ref="U20" si="89">U19-T19</f>
        <v>43</v>
      </c>
      <c r="V20" s="42">
        <f t="shared" ref="V20" si="90">V19-U19</f>
        <v>46</v>
      </c>
      <c r="W20" s="42">
        <f t="shared" ref="W20" si="91">W19-V19</f>
        <v>45</v>
      </c>
      <c r="X20" s="42">
        <f t="shared" ref="X20" si="92">X19-W19</f>
        <v>45</v>
      </c>
      <c r="Y20" s="42">
        <f t="shared" ref="Y20" si="93">Y19-X19</f>
        <v>43</v>
      </c>
      <c r="Z20" s="42">
        <f t="shared" ref="Z20" si="94">Z19-Y19</f>
        <v>46</v>
      </c>
      <c r="AA20" s="42">
        <f t="shared" ref="AA20" si="95">AA19-Z19</f>
        <v>43</v>
      </c>
      <c r="AB20" s="42">
        <f t="shared" ref="AB20" si="96">AB19-AA19</f>
        <v>43</v>
      </c>
      <c r="AC20" s="42">
        <f t="shared" ref="AC20" si="97">AC19-AB19</f>
        <v>42</v>
      </c>
      <c r="AD20" s="42">
        <f t="shared" ref="AD20" si="98">AD19-AC19</f>
        <v>44</v>
      </c>
      <c r="AE20" s="42">
        <f t="shared" ref="AE20" si="99">AE19-AD19</f>
        <v>45</v>
      </c>
      <c r="AF20" s="42">
        <f t="shared" ref="AF20" si="100">AF19-AE19</f>
        <v>-391314</v>
      </c>
      <c r="AG20" s="42">
        <f t="shared" ref="AG20" si="101">AG19-AF19</f>
        <v>0</v>
      </c>
      <c r="AH20" s="42">
        <f t="shared" ref="AH20" si="102">AH19-AG19</f>
        <v>0</v>
      </c>
      <c r="AI20" s="42">
        <f t="shared" ref="AI20" si="103">AI19-AH19</f>
        <v>0</v>
      </c>
    </row>
    <row r="21" spans="1:35" ht="27" customHeight="1" x14ac:dyDescent="0.3">
      <c r="B21" s="73" t="s">
        <v>34</v>
      </c>
      <c r="C21" s="73"/>
      <c r="D21" s="44"/>
      <c r="E21" s="61">
        <f>((E6+E8)+((E10+E12)*40%)+(E14+E16+E18+E20))</f>
        <v>29017</v>
      </c>
      <c r="F21" s="61">
        <f t="shared" ref="F21:AI21" si="104">((F6+F8)+((F10+F12)*40%)+(F14+F16+F18+F20))</f>
        <v>26677.8</v>
      </c>
      <c r="G21" s="61">
        <f t="shared" si="104"/>
        <v>27308.400000000001</v>
      </c>
      <c r="H21" s="61">
        <f t="shared" si="104"/>
        <v>28509.200000000001</v>
      </c>
      <c r="I21" s="61">
        <f t="shared" si="104"/>
        <v>29293.599999999999</v>
      </c>
      <c r="J21" s="61">
        <f t="shared" si="104"/>
        <v>30554.6</v>
      </c>
      <c r="K21" s="61">
        <f t="shared" si="104"/>
        <v>30361.599999999999</v>
      </c>
      <c r="L21" s="61">
        <f t="shared" si="104"/>
        <v>31166.6</v>
      </c>
      <c r="M21" s="61">
        <f t="shared" si="104"/>
        <v>29759</v>
      </c>
      <c r="N21" s="61">
        <f t="shared" si="104"/>
        <v>31435.800000000003</v>
      </c>
      <c r="O21" s="61">
        <f t="shared" si="104"/>
        <v>31031.599999999999</v>
      </c>
      <c r="P21" s="61">
        <f t="shared" si="104"/>
        <v>32332.800000000003</v>
      </c>
      <c r="Q21" s="61">
        <f t="shared" si="104"/>
        <v>30606.400000000001</v>
      </c>
      <c r="R21" s="61">
        <f t="shared" si="104"/>
        <v>30926</v>
      </c>
      <c r="S21" s="61">
        <f t="shared" si="104"/>
        <v>31032.6</v>
      </c>
      <c r="T21" s="61">
        <f t="shared" si="104"/>
        <v>29987.800000000003</v>
      </c>
      <c r="U21" s="61">
        <f t="shared" si="104"/>
        <v>30969.800000000003</v>
      </c>
      <c r="V21" s="61">
        <f t="shared" si="104"/>
        <v>30574</v>
      </c>
      <c r="W21" s="61">
        <f t="shared" si="104"/>
        <v>31588.6</v>
      </c>
      <c r="X21" s="61">
        <f t="shared" si="104"/>
        <v>32341.599999999999</v>
      </c>
      <c r="Y21" s="61">
        <f t="shared" si="104"/>
        <v>32951.599999999999</v>
      </c>
      <c r="Z21" s="61">
        <f t="shared" si="104"/>
        <v>31651.4</v>
      </c>
      <c r="AA21" s="61">
        <f t="shared" si="104"/>
        <v>29985.200000000001</v>
      </c>
      <c r="AB21" s="61">
        <f t="shared" si="104"/>
        <v>29743.200000000001</v>
      </c>
      <c r="AC21" s="61">
        <f t="shared" si="104"/>
        <v>29025.599999999999</v>
      </c>
      <c r="AD21" s="61">
        <f t="shared" si="104"/>
        <v>28372.2</v>
      </c>
      <c r="AE21" s="61">
        <f t="shared" si="104"/>
        <v>30473.599999999999</v>
      </c>
      <c r="AF21" s="61">
        <f t="shared" si="104"/>
        <v>-30005871.600000001</v>
      </c>
      <c r="AG21" s="61">
        <f t="shared" si="104"/>
        <v>0</v>
      </c>
      <c r="AH21" s="61">
        <f t="shared" si="104"/>
        <v>0</v>
      </c>
      <c r="AI21" s="61">
        <f t="shared" si="104"/>
        <v>0</v>
      </c>
    </row>
    <row r="22" spans="1:35" ht="27" customHeight="1" x14ac:dyDescent="0.3">
      <c r="B22" s="66" t="s">
        <v>35</v>
      </c>
      <c r="C22" s="66"/>
      <c r="D22" s="44"/>
      <c r="E22" s="61">
        <f>SUM(E21:AI21)</f>
        <v>-29188194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topLeftCell="A2" zoomScale="115" zoomScaleNormal="115" workbookViewId="0">
      <pane ySplit="2" topLeftCell="A4" activePane="bottomLeft" state="frozen"/>
      <selection pane="bottomLeft" activeCell="AF5" sqref="AF5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5" width="10.109375" style="2" customWidth="1"/>
    <col min="36" max="16384" width="9.109375" style="2"/>
  </cols>
  <sheetData>
    <row r="2" spans="1:42" s="8" customFormat="1" ht="25.65" customHeight="1" x14ac:dyDescent="0.5">
      <c r="B2" s="89" t="s">
        <v>36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5">
      <c r="A4" s="15" t="s">
        <v>14</v>
      </c>
      <c r="B4" s="27" t="s">
        <v>37</v>
      </c>
      <c r="C4" s="27" t="s">
        <v>16</v>
      </c>
      <c r="D4" s="28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  <c r="U4" s="29" t="s">
        <v>55</v>
      </c>
      <c r="V4" s="29" t="s">
        <v>56</v>
      </c>
      <c r="W4" s="29" t="s">
        <v>57</v>
      </c>
      <c r="X4" s="29" t="s">
        <v>58</v>
      </c>
      <c r="Y4" s="29" t="s">
        <v>59</v>
      </c>
      <c r="Z4" s="29" t="s">
        <v>60</v>
      </c>
      <c r="AA4" s="29" t="s">
        <v>61</v>
      </c>
      <c r="AB4" s="29" t="s">
        <v>62</v>
      </c>
      <c r="AC4" s="29" t="s">
        <v>63</v>
      </c>
      <c r="AD4" s="29" t="s">
        <v>64</v>
      </c>
      <c r="AE4" s="29" t="s">
        <v>65</v>
      </c>
      <c r="AF4" s="29" t="s">
        <v>66</v>
      </c>
      <c r="AG4" s="29" t="s">
        <v>67</v>
      </c>
      <c r="AH4" s="29" t="s">
        <v>68</v>
      </c>
      <c r="AI4" s="29" t="s">
        <v>69</v>
      </c>
    </row>
    <row r="5" spans="1:42" s="8" customFormat="1" ht="40.5" customHeight="1" x14ac:dyDescent="0.3">
      <c r="A5" s="92" t="s">
        <v>39</v>
      </c>
      <c r="B5" s="27" t="s">
        <v>70</v>
      </c>
      <c r="C5" s="94" t="s">
        <v>71</v>
      </c>
      <c r="D5" s="31">
        <v>193705</v>
      </c>
      <c r="E5" s="31">
        <v>193924</v>
      </c>
      <c r="F5" s="31">
        <v>194082</v>
      </c>
      <c r="G5" s="31">
        <v>194270</v>
      </c>
      <c r="H5" s="31">
        <v>194462</v>
      </c>
      <c r="I5" s="31">
        <v>194670</v>
      </c>
      <c r="J5" s="31">
        <v>194884</v>
      </c>
      <c r="K5" s="31">
        <v>195090</v>
      </c>
      <c r="L5" s="31">
        <v>195299</v>
      </c>
      <c r="M5" s="31">
        <v>195489</v>
      </c>
      <c r="N5" s="31">
        <v>195696</v>
      </c>
      <c r="O5" s="31">
        <v>195869</v>
      </c>
      <c r="P5" s="31">
        <v>196094</v>
      </c>
      <c r="Q5" s="31">
        <v>196241</v>
      </c>
      <c r="R5" s="31">
        <v>196456</v>
      </c>
      <c r="S5" s="31">
        <v>196659</v>
      </c>
      <c r="T5" s="31">
        <v>196850</v>
      </c>
      <c r="U5" s="31">
        <v>197056</v>
      </c>
      <c r="V5" s="31">
        <v>197273</v>
      </c>
      <c r="W5" s="31">
        <v>197530</v>
      </c>
      <c r="X5" s="31">
        <v>197782</v>
      </c>
      <c r="Y5" s="31">
        <v>198001</v>
      </c>
      <c r="Z5" s="31">
        <v>198223</v>
      </c>
      <c r="AA5" s="31">
        <v>198437</v>
      </c>
      <c r="AB5" s="31">
        <v>198640</v>
      </c>
      <c r="AC5" s="31">
        <v>198826</v>
      </c>
      <c r="AD5" s="31">
        <v>199019</v>
      </c>
      <c r="AE5" s="31">
        <v>199209</v>
      </c>
      <c r="AF5" s="31"/>
      <c r="AG5" s="31"/>
      <c r="AH5" s="31"/>
      <c r="AI5" s="31"/>
    </row>
    <row r="6" spans="1:42" s="34" customFormat="1" ht="25.65" customHeight="1" thickBot="1" x14ac:dyDescent="0.35">
      <c r="A6" s="93"/>
      <c r="B6" s="32"/>
      <c r="C6" s="94"/>
      <c r="D6" s="33"/>
      <c r="E6" s="33">
        <f>E5-D5</f>
        <v>219</v>
      </c>
      <c r="F6" s="33">
        <f t="shared" ref="F6:AI6" si="0">F5-E5</f>
        <v>158</v>
      </c>
      <c r="G6" s="33">
        <f t="shared" si="0"/>
        <v>188</v>
      </c>
      <c r="H6" s="33">
        <f t="shared" si="0"/>
        <v>192</v>
      </c>
      <c r="I6" s="33">
        <f t="shared" si="0"/>
        <v>208</v>
      </c>
      <c r="J6" s="33">
        <f t="shared" si="0"/>
        <v>214</v>
      </c>
      <c r="K6" s="33">
        <f t="shared" si="0"/>
        <v>206</v>
      </c>
      <c r="L6" s="33">
        <f t="shared" si="0"/>
        <v>209</v>
      </c>
      <c r="M6" s="33">
        <f t="shared" si="0"/>
        <v>190</v>
      </c>
      <c r="N6" s="33">
        <f t="shared" si="0"/>
        <v>207</v>
      </c>
      <c r="O6" s="33">
        <f t="shared" si="0"/>
        <v>173</v>
      </c>
      <c r="P6" s="33">
        <f t="shared" si="0"/>
        <v>225</v>
      </c>
      <c r="Q6" s="33">
        <f t="shared" si="0"/>
        <v>147</v>
      </c>
      <c r="R6" s="33">
        <f t="shared" si="0"/>
        <v>215</v>
      </c>
      <c r="S6" s="33">
        <f t="shared" si="0"/>
        <v>203</v>
      </c>
      <c r="T6" s="33">
        <f t="shared" si="0"/>
        <v>191</v>
      </c>
      <c r="U6" s="33">
        <f t="shared" si="0"/>
        <v>206</v>
      </c>
      <c r="V6" s="33">
        <f t="shared" si="0"/>
        <v>217</v>
      </c>
      <c r="W6" s="33">
        <f t="shared" si="0"/>
        <v>257</v>
      </c>
      <c r="X6" s="33">
        <f t="shared" si="0"/>
        <v>252</v>
      </c>
      <c r="Y6" s="33">
        <f t="shared" si="0"/>
        <v>219</v>
      </c>
      <c r="Z6" s="33">
        <f t="shared" si="0"/>
        <v>222</v>
      </c>
      <c r="AA6" s="33">
        <f t="shared" si="0"/>
        <v>214</v>
      </c>
      <c r="AB6" s="33">
        <f t="shared" si="0"/>
        <v>203</v>
      </c>
      <c r="AC6" s="33">
        <f t="shared" si="0"/>
        <v>186</v>
      </c>
      <c r="AD6" s="33">
        <f t="shared" si="0"/>
        <v>193</v>
      </c>
      <c r="AE6" s="33">
        <f t="shared" si="0"/>
        <v>190</v>
      </c>
      <c r="AF6" s="33">
        <f t="shared" si="0"/>
        <v>-199209</v>
      </c>
      <c r="AG6" s="33">
        <f t="shared" si="0"/>
        <v>0</v>
      </c>
      <c r="AH6" s="33">
        <f t="shared" si="0"/>
        <v>0</v>
      </c>
      <c r="AI6" s="33">
        <f t="shared" si="0"/>
        <v>0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3">
      <c r="A7" s="92" t="s">
        <v>41</v>
      </c>
      <c r="B7" s="49" t="s">
        <v>72</v>
      </c>
      <c r="C7" s="94" t="s">
        <v>73</v>
      </c>
      <c r="D7" s="31">
        <v>410068.2</v>
      </c>
      <c r="E7" s="31">
        <v>410081.9</v>
      </c>
      <c r="F7" s="31">
        <v>410094.7</v>
      </c>
      <c r="G7" s="31">
        <v>410111.8</v>
      </c>
      <c r="H7" s="31">
        <v>410123.5</v>
      </c>
      <c r="I7" s="31">
        <v>410148.5</v>
      </c>
      <c r="J7" s="31">
        <v>410183.8</v>
      </c>
      <c r="K7" s="31">
        <v>410207.5</v>
      </c>
      <c r="L7" s="31">
        <v>410227.7</v>
      </c>
      <c r="M7" s="31">
        <v>410244.5</v>
      </c>
      <c r="N7" s="31">
        <v>410265.3</v>
      </c>
      <c r="O7" s="31">
        <v>410296.5</v>
      </c>
      <c r="P7" s="31">
        <v>410318.3</v>
      </c>
      <c r="Q7" s="31">
        <v>410336.3</v>
      </c>
      <c r="R7" s="31">
        <v>410353.4</v>
      </c>
      <c r="S7" s="31">
        <v>410366.4</v>
      </c>
      <c r="T7" s="31">
        <v>410383.5</v>
      </c>
      <c r="U7" s="31">
        <v>410401.4</v>
      </c>
      <c r="V7" s="31">
        <v>410423.5</v>
      </c>
      <c r="W7" s="31">
        <v>410443.1</v>
      </c>
      <c r="X7" s="31">
        <v>410465.2</v>
      </c>
      <c r="Y7" s="31">
        <v>410487.6</v>
      </c>
      <c r="Z7" s="31">
        <v>410504.2</v>
      </c>
      <c r="AA7" s="31">
        <v>410525.9</v>
      </c>
      <c r="AB7" s="31">
        <v>410547.7</v>
      </c>
      <c r="AC7" s="31">
        <v>410565.2</v>
      </c>
      <c r="AD7" s="31">
        <v>410584</v>
      </c>
      <c r="AE7" s="31">
        <v>410603.4</v>
      </c>
      <c r="AF7" s="31"/>
      <c r="AG7" s="31"/>
      <c r="AH7" s="31"/>
      <c r="AI7" s="31"/>
    </row>
    <row r="8" spans="1:42" s="34" customFormat="1" ht="25.65" customHeight="1" thickBot="1" x14ac:dyDescent="0.35">
      <c r="A8" s="93"/>
      <c r="B8" s="47"/>
      <c r="C8" s="94"/>
      <c r="D8" s="33"/>
      <c r="E8" s="33">
        <f t="shared" ref="E8" si="1">E7-D7</f>
        <v>13.700000000011642</v>
      </c>
      <c r="F8" s="33">
        <f t="shared" ref="F8" si="2">F7-E7</f>
        <v>12.799999999988358</v>
      </c>
      <c r="G8" s="33">
        <f t="shared" ref="G8" si="3">G7-F7</f>
        <v>17.099999999976717</v>
      </c>
      <c r="H8" s="33">
        <f t="shared" ref="H8" si="4">H7-G7</f>
        <v>11.700000000011642</v>
      </c>
      <c r="I8" s="33">
        <f t="shared" ref="I8" si="5">I7-H7</f>
        <v>25</v>
      </c>
      <c r="J8" s="33">
        <f t="shared" ref="J8" si="6">J7-I7</f>
        <v>35.299999999988358</v>
      </c>
      <c r="K8" s="33">
        <f t="shared" ref="K8" si="7">K7-J7</f>
        <v>23.700000000011642</v>
      </c>
      <c r="L8" s="33">
        <f t="shared" ref="L8" si="8">L7-K7</f>
        <v>20.200000000011642</v>
      </c>
      <c r="M8" s="33">
        <f t="shared" ref="M8" si="9">M7-L7</f>
        <v>16.799999999988358</v>
      </c>
      <c r="N8" s="33">
        <f t="shared" ref="N8" si="10">N7-M7</f>
        <v>20.799999999988358</v>
      </c>
      <c r="O8" s="33">
        <f t="shared" ref="O8" si="11">O7-N7</f>
        <v>31.200000000011642</v>
      </c>
      <c r="P8" s="33">
        <f t="shared" ref="P8" si="12">P7-O7</f>
        <v>21.799999999988358</v>
      </c>
      <c r="Q8" s="33">
        <f t="shared" ref="Q8" si="13">Q7-P7</f>
        <v>18</v>
      </c>
      <c r="R8" s="33">
        <f t="shared" ref="R8" si="14">R7-Q7</f>
        <v>17.100000000034925</v>
      </c>
      <c r="S8" s="33">
        <f t="shared" ref="S8" si="15">S7-R7</f>
        <v>13</v>
      </c>
      <c r="T8" s="33">
        <f t="shared" ref="T8" si="16">T7-S7</f>
        <v>17.099999999976717</v>
      </c>
      <c r="U8" s="33">
        <f t="shared" ref="U8" si="17">U7-T7</f>
        <v>17.900000000023283</v>
      </c>
      <c r="V8" s="33">
        <f t="shared" ref="V8" si="18">V7-U7</f>
        <v>22.099999999976717</v>
      </c>
      <c r="W8" s="33">
        <f t="shared" ref="W8" si="19">W7-V7</f>
        <v>19.599999999976717</v>
      </c>
      <c r="X8" s="33">
        <f t="shared" ref="X8" si="20">X7-W7</f>
        <v>22.100000000034925</v>
      </c>
      <c r="Y8" s="33">
        <f t="shared" ref="Y8" si="21">Y7-X7</f>
        <v>22.399999999965075</v>
      </c>
      <c r="Z8" s="33">
        <f t="shared" ref="Z8" si="22">Z7-Y7</f>
        <v>16.600000000034925</v>
      </c>
      <c r="AA8" s="33">
        <f t="shared" ref="AA8" si="23">AA7-Z7</f>
        <v>21.700000000011642</v>
      </c>
      <c r="AB8" s="33">
        <f t="shared" ref="AB8" si="24">AB7-AA7</f>
        <v>21.799999999988358</v>
      </c>
      <c r="AC8" s="33">
        <f t="shared" ref="AC8" si="25">AC7-AB7</f>
        <v>17.5</v>
      </c>
      <c r="AD8" s="33">
        <f t="shared" ref="AD8" si="26">AD7-AC7</f>
        <v>18.799999999988358</v>
      </c>
      <c r="AE8" s="33">
        <f t="shared" ref="AE8" si="27">AE7-AD7</f>
        <v>19.400000000023283</v>
      </c>
      <c r="AF8" s="33">
        <f t="shared" ref="AF8" si="28">AF7-AE7</f>
        <v>-410603.4</v>
      </c>
      <c r="AG8" s="33">
        <f t="shared" ref="AG8" si="29">AG7-AF7</f>
        <v>0</v>
      </c>
      <c r="AH8" s="33">
        <f t="shared" ref="AH8" si="30">AH7-AG7</f>
        <v>0</v>
      </c>
      <c r="AI8" s="33">
        <f t="shared" ref="AI8" si="31">AI7-AH7</f>
        <v>0</v>
      </c>
      <c r="AJ8" s="8"/>
      <c r="AK8" s="8"/>
      <c r="AL8" s="8"/>
      <c r="AM8" s="8"/>
      <c r="AN8" s="8"/>
      <c r="AO8" s="8"/>
      <c r="AP8" s="8"/>
    </row>
    <row r="9" spans="1:42" s="8" customFormat="1" ht="25.65" customHeight="1" x14ac:dyDescent="0.3">
      <c r="A9" s="92">
        <v>4</v>
      </c>
      <c r="B9" s="46" t="s">
        <v>74</v>
      </c>
      <c r="C9" s="94" t="s">
        <v>75</v>
      </c>
      <c r="D9" s="31">
        <v>32702</v>
      </c>
      <c r="E9" s="31">
        <v>32728</v>
      </c>
      <c r="F9" s="31">
        <v>32781</v>
      </c>
      <c r="G9" s="31">
        <v>32862</v>
      </c>
      <c r="H9" s="31">
        <v>32878</v>
      </c>
      <c r="I9" s="31">
        <v>32965</v>
      </c>
      <c r="J9" s="31">
        <v>33050</v>
      </c>
      <c r="K9" s="31">
        <v>33133</v>
      </c>
      <c r="L9" s="31">
        <v>33165</v>
      </c>
      <c r="M9" s="31">
        <v>33169</v>
      </c>
      <c r="N9" s="31">
        <v>33313</v>
      </c>
      <c r="O9" s="31">
        <v>33442</v>
      </c>
      <c r="P9" s="31">
        <v>33531</v>
      </c>
      <c r="Q9" s="31">
        <v>33624</v>
      </c>
      <c r="R9" s="31">
        <v>33706</v>
      </c>
      <c r="S9" s="31">
        <v>33717</v>
      </c>
      <c r="T9" s="31">
        <v>33790</v>
      </c>
      <c r="U9" s="31">
        <v>33882</v>
      </c>
      <c r="V9" s="31">
        <v>33957</v>
      </c>
      <c r="W9" s="31">
        <v>34039</v>
      </c>
      <c r="X9" s="31">
        <v>34135</v>
      </c>
      <c r="Y9" s="31">
        <v>34230</v>
      </c>
      <c r="Z9" s="31">
        <v>34246</v>
      </c>
      <c r="AA9" s="31">
        <v>34345</v>
      </c>
      <c r="AB9" s="31">
        <v>34444</v>
      </c>
      <c r="AC9" s="31">
        <v>34533</v>
      </c>
      <c r="AD9" s="31">
        <v>34631</v>
      </c>
      <c r="AE9" s="31">
        <v>34738</v>
      </c>
      <c r="AF9" s="31"/>
      <c r="AG9" s="31"/>
      <c r="AH9" s="31"/>
      <c r="AI9" s="31"/>
    </row>
    <row r="10" spans="1:42" s="34" customFormat="1" ht="25.65" customHeight="1" thickBot="1" x14ac:dyDescent="0.35">
      <c r="A10" s="93"/>
      <c r="B10" s="47"/>
      <c r="C10" s="94"/>
      <c r="D10" s="33"/>
      <c r="E10" s="33">
        <f t="shared" ref="E10:AI10" si="32">E9-D9</f>
        <v>26</v>
      </c>
      <c r="F10" s="33">
        <f t="shared" si="32"/>
        <v>53</v>
      </c>
      <c r="G10" s="33">
        <f t="shared" si="32"/>
        <v>81</v>
      </c>
      <c r="H10" s="33">
        <f t="shared" si="32"/>
        <v>16</v>
      </c>
      <c r="I10" s="33">
        <f t="shared" si="32"/>
        <v>87</v>
      </c>
      <c r="J10" s="33">
        <f t="shared" si="32"/>
        <v>85</v>
      </c>
      <c r="K10" s="33">
        <f t="shared" si="32"/>
        <v>83</v>
      </c>
      <c r="L10" s="33">
        <f t="shared" si="32"/>
        <v>32</v>
      </c>
      <c r="M10" s="33">
        <f t="shared" si="32"/>
        <v>4</v>
      </c>
      <c r="N10" s="33">
        <f t="shared" si="32"/>
        <v>144</v>
      </c>
      <c r="O10" s="33">
        <f t="shared" si="32"/>
        <v>129</v>
      </c>
      <c r="P10" s="33">
        <f t="shared" si="32"/>
        <v>89</v>
      </c>
      <c r="Q10" s="33">
        <f>Q9-P9</f>
        <v>93</v>
      </c>
      <c r="R10" s="33">
        <f t="shared" si="32"/>
        <v>82</v>
      </c>
      <c r="S10" s="33">
        <f t="shared" si="32"/>
        <v>11</v>
      </c>
      <c r="T10" s="33">
        <f t="shared" si="32"/>
        <v>73</v>
      </c>
      <c r="U10" s="33">
        <f t="shared" si="32"/>
        <v>92</v>
      </c>
      <c r="V10" s="33">
        <f t="shared" si="32"/>
        <v>75</v>
      </c>
      <c r="W10" s="33">
        <f t="shared" si="32"/>
        <v>82</v>
      </c>
      <c r="X10" s="33">
        <f t="shared" si="32"/>
        <v>96</v>
      </c>
      <c r="Y10" s="33">
        <f t="shared" si="32"/>
        <v>95</v>
      </c>
      <c r="Z10" s="33">
        <f t="shared" si="32"/>
        <v>16</v>
      </c>
      <c r="AA10" s="33">
        <f t="shared" si="32"/>
        <v>99</v>
      </c>
      <c r="AB10" s="33">
        <f t="shared" si="32"/>
        <v>99</v>
      </c>
      <c r="AC10" s="33">
        <f t="shared" si="32"/>
        <v>89</v>
      </c>
      <c r="AD10" s="33">
        <f t="shared" si="32"/>
        <v>98</v>
      </c>
      <c r="AE10" s="33">
        <f t="shared" si="32"/>
        <v>107</v>
      </c>
      <c r="AF10" s="33">
        <f t="shared" si="32"/>
        <v>-34738</v>
      </c>
      <c r="AG10" s="33">
        <f t="shared" si="32"/>
        <v>0</v>
      </c>
      <c r="AH10" s="33">
        <f t="shared" si="32"/>
        <v>0</v>
      </c>
      <c r="AI10" s="33">
        <f t="shared" si="32"/>
        <v>0</v>
      </c>
      <c r="AJ10" s="8"/>
      <c r="AK10" s="8"/>
      <c r="AL10" s="8"/>
      <c r="AM10" s="8"/>
      <c r="AN10" s="8"/>
      <c r="AO10" s="8"/>
      <c r="AP10" s="8"/>
    </row>
    <row r="11" spans="1:42" s="8" customFormat="1" ht="25.65" customHeight="1" x14ac:dyDescent="0.3">
      <c r="A11" s="95">
        <v>5</v>
      </c>
      <c r="B11" s="27">
        <v>68864837</v>
      </c>
      <c r="C11" s="94" t="s">
        <v>76</v>
      </c>
      <c r="D11" s="31">
        <v>2500.9499999999998</v>
      </c>
      <c r="E11" s="31">
        <v>2501.4499999999998</v>
      </c>
      <c r="F11" s="31">
        <v>2503.5169999999998</v>
      </c>
      <c r="G11" s="31">
        <v>2504.7620000000002</v>
      </c>
      <c r="H11" s="31">
        <v>2505.567</v>
      </c>
      <c r="I11" s="31">
        <v>2506.1970000000001</v>
      </c>
      <c r="J11" s="31">
        <v>2507.0219999999999</v>
      </c>
      <c r="K11" s="31">
        <v>2507.768</v>
      </c>
      <c r="L11" s="31">
        <v>2508.5100000000002</v>
      </c>
      <c r="M11" s="31">
        <v>2509.3820000000001</v>
      </c>
      <c r="N11" s="31">
        <v>2510.3000000000002</v>
      </c>
      <c r="O11" s="31">
        <v>2511.1219999999998</v>
      </c>
      <c r="P11" s="31">
        <v>2512.17</v>
      </c>
      <c r="Q11" s="31">
        <v>2514.2530000000002</v>
      </c>
      <c r="R11" s="31">
        <v>2514.9940000000001</v>
      </c>
      <c r="S11" s="31">
        <v>2515.7109999999998</v>
      </c>
      <c r="T11" s="31">
        <v>2516.4659999999999</v>
      </c>
      <c r="U11" s="31">
        <v>2517.6060000000002</v>
      </c>
      <c r="V11" s="31">
        <v>2518.5030000000002</v>
      </c>
      <c r="W11" s="31">
        <v>2519.4690000000001</v>
      </c>
      <c r="X11" s="31">
        <v>2520.306</v>
      </c>
      <c r="Y11" s="31">
        <v>2521.5940000000001</v>
      </c>
      <c r="Z11" s="31">
        <v>2522.7959999999998</v>
      </c>
      <c r="AA11" s="31">
        <v>2523.6689999999999</v>
      </c>
      <c r="AB11" s="31">
        <v>2524.6030000000001</v>
      </c>
      <c r="AC11" s="31">
        <v>2525.3789999999999</v>
      </c>
      <c r="AD11" s="31">
        <v>2526.1619999999998</v>
      </c>
      <c r="AE11" s="31">
        <v>2527.1019999999999</v>
      </c>
      <c r="AF11" s="31"/>
      <c r="AG11" s="31"/>
      <c r="AH11" s="31"/>
      <c r="AI11" s="31"/>
    </row>
    <row r="12" spans="1:42" s="8" customFormat="1" ht="25.65" customHeight="1" thickBot="1" x14ac:dyDescent="0.35">
      <c r="A12" s="96"/>
      <c r="B12" s="48"/>
      <c r="C12" s="94"/>
      <c r="D12" s="33"/>
      <c r="E12" s="33">
        <f t="shared" ref="E12:AI12" si="33">E11-D11</f>
        <v>0.5</v>
      </c>
      <c r="F12" s="33">
        <f t="shared" si="33"/>
        <v>2.0670000000000073</v>
      </c>
      <c r="G12" s="33">
        <f t="shared" si="33"/>
        <v>1.2450000000003456</v>
      </c>
      <c r="H12" s="33">
        <f t="shared" si="33"/>
        <v>0.80499999999983629</v>
      </c>
      <c r="I12" s="33">
        <f t="shared" si="33"/>
        <v>0.63000000000010914</v>
      </c>
      <c r="J12" s="33">
        <f t="shared" si="33"/>
        <v>0.8249999999998181</v>
      </c>
      <c r="K12" s="33">
        <f t="shared" si="33"/>
        <v>0.74600000000009459</v>
      </c>
      <c r="L12" s="33">
        <f t="shared" si="33"/>
        <v>0.74200000000018917</v>
      </c>
      <c r="M12" s="33">
        <f t="shared" si="33"/>
        <v>0.87199999999984357</v>
      </c>
      <c r="N12" s="33">
        <f t="shared" si="33"/>
        <v>0.91800000000012005</v>
      </c>
      <c r="O12" s="33">
        <f t="shared" si="33"/>
        <v>0.82199999999966167</v>
      </c>
      <c r="P12" s="33">
        <f t="shared" si="33"/>
        <v>1.0480000000002292</v>
      </c>
      <c r="Q12" s="33">
        <f t="shared" si="33"/>
        <v>2.0830000000000837</v>
      </c>
      <c r="R12" s="33">
        <f t="shared" si="33"/>
        <v>0.74099999999998545</v>
      </c>
      <c r="S12" s="33">
        <f t="shared" si="33"/>
        <v>0.71699999999964348</v>
      </c>
      <c r="T12" s="33">
        <f t="shared" si="33"/>
        <v>0.75500000000010914</v>
      </c>
      <c r="U12" s="33">
        <f t="shared" si="33"/>
        <v>1.1400000000003274</v>
      </c>
      <c r="V12" s="33">
        <f t="shared" si="33"/>
        <v>0.89699999999993452</v>
      </c>
      <c r="W12" s="33">
        <f t="shared" si="33"/>
        <v>0.9659999999998945</v>
      </c>
      <c r="X12" s="33">
        <f t="shared" si="33"/>
        <v>0.83699999999998909</v>
      </c>
      <c r="Y12" s="33">
        <f t="shared" si="33"/>
        <v>1.2880000000000109</v>
      </c>
      <c r="Z12" s="33">
        <f t="shared" si="33"/>
        <v>1.2019999999997708</v>
      </c>
      <c r="AA12" s="33">
        <f t="shared" si="33"/>
        <v>0.87300000000004729</v>
      </c>
      <c r="AB12" s="33">
        <f t="shared" si="33"/>
        <v>0.93400000000019645</v>
      </c>
      <c r="AC12" s="33">
        <f t="shared" si="33"/>
        <v>0.77599999999983993</v>
      </c>
      <c r="AD12" s="33">
        <f t="shared" si="33"/>
        <v>0.78299999999990177</v>
      </c>
      <c r="AE12" s="33">
        <f t="shared" si="33"/>
        <v>0.94000000000005457</v>
      </c>
      <c r="AF12" s="33">
        <f t="shared" si="33"/>
        <v>-2527.1019999999999</v>
      </c>
      <c r="AG12" s="33">
        <f t="shared" si="33"/>
        <v>0</v>
      </c>
      <c r="AH12" s="33">
        <f t="shared" si="33"/>
        <v>0</v>
      </c>
      <c r="AI12" s="33">
        <f t="shared" si="33"/>
        <v>0</v>
      </c>
    </row>
    <row r="13" spans="1:42" s="8" customFormat="1" ht="25.65" customHeight="1" x14ac:dyDescent="0.3">
      <c r="A13" s="95">
        <v>6</v>
      </c>
      <c r="B13" s="27">
        <v>65296485</v>
      </c>
      <c r="C13" s="94" t="s">
        <v>77</v>
      </c>
      <c r="D13" s="31">
        <v>3148.6860000000001</v>
      </c>
      <c r="E13" s="31">
        <v>3149.2</v>
      </c>
      <c r="F13" s="31">
        <v>3150.5439999999999</v>
      </c>
      <c r="G13" s="31">
        <v>3151.3850000000002</v>
      </c>
      <c r="H13" s="31">
        <v>3152.19</v>
      </c>
      <c r="I13" s="31">
        <v>3152.9050000000002</v>
      </c>
      <c r="J13" s="31">
        <v>3154.473</v>
      </c>
      <c r="K13" s="31">
        <v>3155.3789999999999</v>
      </c>
      <c r="L13" s="31">
        <v>3156.3649999999998</v>
      </c>
      <c r="M13" s="31">
        <v>3157.8470000000002</v>
      </c>
      <c r="N13" s="31">
        <v>3160.569</v>
      </c>
      <c r="O13" s="31">
        <v>3161.4940000000001</v>
      </c>
      <c r="P13" s="31">
        <v>3162.1770000000001</v>
      </c>
      <c r="Q13" s="31">
        <v>3162.9720000000002</v>
      </c>
      <c r="R13" s="31">
        <v>3164.2429999999999</v>
      </c>
      <c r="S13" s="31">
        <v>3165.3040000000001</v>
      </c>
      <c r="T13" s="31">
        <v>3166.7739999999999</v>
      </c>
      <c r="U13" s="31">
        <v>3171.134</v>
      </c>
      <c r="V13" s="31">
        <v>3172.5259999999998</v>
      </c>
      <c r="W13" s="31">
        <v>3178.5439999999999</v>
      </c>
      <c r="X13" s="31">
        <v>3179.873</v>
      </c>
      <c r="Y13" s="31">
        <v>3181.7379999999998</v>
      </c>
      <c r="Z13" s="31">
        <v>3182.97</v>
      </c>
      <c r="AA13" s="31">
        <v>3186.931</v>
      </c>
      <c r="AB13" s="31">
        <v>3187.9430000000002</v>
      </c>
      <c r="AC13" s="31">
        <v>3189.2429999999999</v>
      </c>
      <c r="AD13" s="31">
        <v>3191.07</v>
      </c>
      <c r="AE13" s="31">
        <v>3191.971</v>
      </c>
      <c r="AF13" s="31"/>
      <c r="AG13" s="31"/>
      <c r="AH13" s="31"/>
      <c r="AI13" s="31"/>
    </row>
    <row r="14" spans="1:42" s="8" customFormat="1" ht="25.65" customHeight="1" thickBot="1" x14ac:dyDescent="0.35">
      <c r="A14" s="96"/>
      <c r="B14" s="48"/>
      <c r="C14" s="94"/>
      <c r="D14" s="33"/>
      <c r="E14" s="33">
        <f t="shared" ref="E14:AI14" si="34">E13-D13</f>
        <v>0.51399999999966894</v>
      </c>
      <c r="F14" s="33">
        <f t="shared" si="34"/>
        <v>1.3440000000000509</v>
      </c>
      <c r="G14" s="33">
        <f t="shared" si="34"/>
        <v>0.84100000000034925</v>
      </c>
      <c r="H14" s="33">
        <f t="shared" si="34"/>
        <v>0.80499999999983629</v>
      </c>
      <c r="I14" s="33">
        <f t="shared" si="34"/>
        <v>0.71500000000014552</v>
      </c>
      <c r="J14" s="33">
        <f t="shared" si="34"/>
        <v>1.5679999999997563</v>
      </c>
      <c r="K14" s="33">
        <f t="shared" si="34"/>
        <v>0.90599999999994907</v>
      </c>
      <c r="L14" s="33">
        <f t="shared" si="34"/>
        <v>0.98599999999987631</v>
      </c>
      <c r="M14" s="33">
        <f t="shared" si="34"/>
        <v>1.4820000000004256</v>
      </c>
      <c r="N14" s="33">
        <f t="shared" si="34"/>
        <v>2.7219999999997526</v>
      </c>
      <c r="O14" s="33">
        <f t="shared" si="34"/>
        <v>0.9250000000001819</v>
      </c>
      <c r="P14" s="33">
        <f t="shared" si="34"/>
        <v>0.68299999999999272</v>
      </c>
      <c r="Q14" s="33">
        <f t="shared" si="34"/>
        <v>0.79500000000007276</v>
      </c>
      <c r="R14" s="33">
        <f t="shared" si="34"/>
        <v>1.2709999999997308</v>
      </c>
      <c r="S14" s="33">
        <f t="shared" si="34"/>
        <v>1.0610000000001492</v>
      </c>
      <c r="T14" s="33">
        <f t="shared" si="34"/>
        <v>1.4699999999997999</v>
      </c>
      <c r="U14" s="33">
        <f t="shared" si="34"/>
        <v>4.3600000000001273</v>
      </c>
      <c r="V14" s="33">
        <f t="shared" si="34"/>
        <v>1.3919999999998254</v>
      </c>
      <c r="W14" s="33">
        <f t="shared" si="34"/>
        <v>6.0180000000000291</v>
      </c>
      <c r="X14" s="33">
        <f t="shared" si="34"/>
        <v>1.3290000000001783</v>
      </c>
      <c r="Y14" s="33">
        <f t="shared" si="34"/>
        <v>1.8649999999997817</v>
      </c>
      <c r="Z14" s="33">
        <f t="shared" si="34"/>
        <v>1.2319999999999709</v>
      </c>
      <c r="AA14" s="33">
        <f t="shared" si="34"/>
        <v>3.9610000000002401</v>
      </c>
      <c r="AB14" s="33">
        <f t="shared" si="34"/>
        <v>1.012000000000171</v>
      </c>
      <c r="AC14" s="33">
        <f t="shared" si="34"/>
        <v>1.2999999999997272</v>
      </c>
      <c r="AD14" s="33">
        <f t="shared" si="34"/>
        <v>1.8270000000002256</v>
      </c>
      <c r="AE14" s="33">
        <f t="shared" si="34"/>
        <v>0.90099999999983993</v>
      </c>
      <c r="AF14" s="33">
        <f t="shared" si="34"/>
        <v>-3191.971</v>
      </c>
      <c r="AG14" s="33">
        <f t="shared" si="34"/>
        <v>0</v>
      </c>
      <c r="AH14" s="33">
        <f t="shared" si="34"/>
        <v>0</v>
      </c>
      <c r="AI14" s="33">
        <f t="shared" si="34"/>
        <v>0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3">
      <c r="B15" s="88" t="s">
        <v>78</v>
      </c>
      <c r="C15" s="88"/>
      <c r="D15" s="50"/>
      <c r="E15" s="60">
        <f>E6+((E8*45%)+(E10*45%)+(E12+E14))</f>
        <v>237.87900000000491</v>
      </c>
      <c r="F15" s="60">
        <f t="shared" ref="F15:AI15" si="35">F6+((F8*45%)+(F10*45%)+(F12+F14))</f>
        <v>191.02099999999481</v>
      </c>
      <c r="G15" s="60">
        <f t="shared" si="35"/>
        <v>234.23099999999022</v>
      </c>
      <c r="H15" s="60">
        <f t="shared" si="35"/>
        <v>206.07500000000491</v>
      </c>
      <c r="I15" s="60">
        <f t="shared" si="35"/>
        <v>259.74500000000023</v>
      </c>
      <c r="J15" s="60">
        <f t="shared" si="35"/>
        <v>270.52799999999434</v>
      </c>
      <c r="K15" s="60">
        <f t="shared" si="35"/>
        <v>255.66700000000529</v>
      </c>
      <c r="L15" s="60">
        <f t="shared" si="35"/>
        <v>234.2180000000053</v>
      </c>
      <c r="M15" s="60">
        <f t="shared" si="35"/>
        <v>201.71399999999502</v>
      </c>
      <c r="N15" s="60">
        <f t="shared" si="35"/>
        <v>284.79999999999461</v>
      </c>
      <c r="O15" s="60">
        <f t="shared" si="35"/>
        <v>246.8370000000051</v>
      </c>
      <c r="P15" s="60">
        <f t="shared" si="35"/>
        <v>276.59099999999501</v>
      </c>
      <c r="Q15" s="60">
        <f t="shared" si="35"/>
        <v>199.82800000000015</v>
      </c>
      <c r="R15" s="60">
        <f t="shared" si="35"/>
        <v>261.60700000001543</v>
      </c>
      <c r="S15" s="60">
        <f t="shared" si="35"/>
        <v>215.5779999999998</v>
      </c>
      <c r="T15" s="60">
        <f t="shared" si="35"/>
        <v>233.76999999998944</v>
      </c>
      <c r="U15" s="60">
        <f t="shared" si="35"/>
        <v>260.95500000001095</v>
      </c>
      <c r="V15" s="60">
        <f t="shared" si="35"/>
        <v>262.98399999998929</v>
      </c>
      <c r="W15" s="60">
        <f t="shared" si="35"/>
        <v>309.70399999998943</v>
      </c>
      <c r="X15" s="60">
        <f t="shared" si="35"/>
        <v>307.31100000001589</v>
      </c>
      <c r="Y15" s="60">
        <f t="shared" si="35"/>
        <v>274.98299999998409</v>
      </c>
      <c r="Z15" s="60">
        <f t="shared" si="35"/>
        <v>239.10400000001545</v>
      </c>
      <c r="AA15" s="60">
        <f t="shared" si="35"/>
        <v>273.14900000000551</v>
      </c>
      <c r="AB15" s="60">
        <f t="shared" si="35"/>
        <v>259.30599999999515</v>
      </c>
      <c r="AC15" s="60">
        <f t="shared" si="35"/>
        <v>236.00099999999958</v>
      </c>
      <c r="AD15" s="60">
        <f t="shared" si="35"/>
        <v>248.1699999999949</v>
      </c>
      <c r="AE15" s="60">
        <f t="shared" si="35"/>
        <v>248.72100000001038</v>
      </c>
      <c r="AF15" s="60">
        <f t="shared" si="35"/>
        <v>-405331.70300000004</v>
      </c>
      <c r="AG15" s="60">
        <f t="shared" si="35"/>
        <v>0</v>
      </c>
      <c r="AH15" s="60">
        <f t="shared" si="35"/>
        <v>0</v>
      </c>
      <c r="AI15" s="60">
        <f t="shared" si="35"/>
        <v>0</v>
      </c>
    </row>
    <row r="16" spans="1:42" ht="33" customHeight="1" x14ac:dyDescent="0.3">
      <c r="B16" s="87" t="s">
        <v>79</v>
      </c>
      <c r="C16" s="87"/>
      <c r="D16" s="50"/>
      <c r="E16" s="60">
        <f>SUM(E15:AI15)</f>
        <v>-398601.22600000002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9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4" activePane="bottomLeft" state="frozen"/>
      <selection pane="bottomLeft" activeCell="C31" sqref="C31:C34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77.25" customHeight="1" x14ac:dyDescent="0.3">
      <c r="A1" s="98" t="s">
        <v>80</v>
      </c>
      <c r="B1" s="98"/>
      <c r="C1" s="98"/>
    </row>
    <row r="3" spans="1:7" ht="48" x14ac:dyDescent="0.3">
      <c r="A3" s="51" t="s">
        <v>38</v>
      </c>
      <c r="B3" s="52">
        <v>71896</v>
      </c>
      <c r="C3" s="53"/>
    </row>
    <row r="4" spans="1:7" ht="28.5" customHeight="1" x14ac:dyDescent="0.3">
      <c r="A4" s="54">
        <v>1</v>
      </c>
      <c r="B4" s="52"/>
      <c r="C4" s="53">
        <f>B3/31</f>
        <v>2319.2258064516127</v>
      </c>
    </row>
    <row r="5" spans="1:7" ht="28.5" customHeight="1" x14ac:dyDescent="0.3">
      <c r="A5" s="54">
        <v>2</v>
      </c>
      <c r="B5" s="52"/>
      <c r="C5" s="53">
        <v>2319.2258064516127</v>
      </c>
    </row>
    <row r="6" spans="1:7" ht="28.5" customHeight="1" x14ac:dyDescent="0.3">
      <c r="A6" s="55">
        <v>3</v>
      </c>
      <c r="B6" s="52"/>
      <c r="C6" s="53">
        <v>2319.2258064516127</v>
      </c>
    </row>
    <row r="7" spans="1:7" ht="28.5" customHeight="1" x14ac:dyDescent="0.3">
      <c r="A7" s="54">
        <v>4</v>
      </c>
      <c r="B7" s="52"/>
      <c r="C7" s="53">
        <v>2319.2258064516127</v>
      </c>
    </row>
    <row r="8" spans="1:7" ht="28.5" customHeight="1" x14ac:dyDescent="0.3">
      <c r="A8" s="54">
        <v>5</v>
      </c>
      <c r="B8" s="52"/>
      <c r="C8" s="53">
        <v>2319.2258064516127</v>
      </c>
    </row>
    <row r="9" spans="1:7" ht="28.5" customHeight="1" x14ac:dyDescent="0.3">
      <c r="A9" s="54">
        <v>6</v>
      </c>
      <c r="B9" s="52"/>
      <c r="C9" s="53">
        <v>2319.2258064516127</v>
      </c>
      <c r="G9" t="s">
        <v>81</v>
      </c>
    </row>
    <row r="10" spans="1:7" ht="28.5" customHeight="1" x14ac:dyDescent="0.3">
      <c r="A10" s="54">
        <v>7</v>
      </c>
      <c r="B10" s="52"/>
      <c r="C10" s="53">
        <v>2319.2258064516127</v>
      </c>
    </row>
    <row r="11" spans="1:7" ht="28.5" customHeight="1" x14ac:dyDescent="0.3">
      <c r="A11" s="54">
        <v>8</v>
      </c>
      <c r="B11" s="52"/>
      <c r="C11" s="53">
        <v>2319.2258064516127</v>
      </c>
    </row>
    <row r="12" spans="1:7" ht="28.5" customHeight="1" x14ac:dyDescent="0.3">
      <c r="A12" s="54">
        <v>9</v>
      </c>
      <c r="B12" s="52"/>
      <c r="C12" s="53">
        <v>2319.2258064516127</v>
      </c>
    </row>
    <row r="13" spans="1:7" ht="28.5" customHeight="1" x14ac:dyDescent="0.3">
      <c r="A13" s="54">
        <v>10</v>
      </c>
      <c r="B13" s="52"/>
      <c r="C13" s="53">
        <v>2319.2258064516127</v>
      </c>
    </row>
    <row r="14" spans="1:7" ht="28.5" customHeight="1" x14ac:dyDescent="0.3">
      <c r="A14" s="54">
        <v>11</v>
      </c>
      <c r="B14" s="52"/>
      <c r="C14" s="53">
        <v>2319.2258064516127</v>
      </c>
    </row>
    <row r="15" spans="1:7" ht="28.5" customHeight="1" x14ac:dyDescent="0.3">
      <c r="A15" s="54">
        <v>12</v>
      </c>
      <c r="B15" s="52"/>
      <c r="C15" s="53">
        <v>2319.2258064516127</v>
      </c>
    </row>
    <row r="16" spans="1:7" ht="28.5" customHeight="1" x14ac:dyDescent="0.3">
      <c r="A16" s="54">
        <v>13</v>
      </c>
      <c r="B16" s="52"/>
      <c r="C16" s="53">
        <v>2319.2258064516127</v>
      </c>
    </row>
    <row r="17" spans="1:4" ht="28.5" customHeight="1" x14ac:dyDescent="0.3">
      <c r="A17" s="54">
        <v>14</v>
      </c>
      <c r="B17" s="52"/>
      <c r="C17" s="53">
        <v>2319.2258064516127</v>
      </c>
    </row>
    <row r="18" spans="1:4" ht="28.5" customHeight="1" x14ac:dyDescent="0.3">
      <c r="A18" s="54">
        <v>15</v>
      </c>
      <c r="B18" s="52"/>
      <c r="C18" s="53">
        <v>2319.2258064516127</v>
      </c>
    </row>
    <row r="19" spans="1:4" ht="28.5" customHeight="1" x14ac:dyDescent="0.3">
      <c r="A19" s="54">
        <v>16</v>
      </c>
      <c r="B19" s="52"/>
      <c r="C19" s="53">
        <v>2319.2258064516127</v>
      </c>
    </row>
    <row r="20" spans="1:4" ht="28.5" customHeight="1" x14ac:dyDescent="0.3">
      <c r="A20" s="54">
        <v>17</v>
      </c>
      <c r="B20" s="52"/>
      <c r="C20" s="53">
        <v>2319.2258064516127</v>
      </c>
    </row>
    <row r="21" spans="1:4" ht="28.5" customHeight="1" x14ac:dyDescent="0.3">
      <c r="A21" s="54">
        <v>18</v>
      </c>
      <c r="B21" s="52"/>
      <c r="C21" s="53">
        <v>2319.2258064516127</v>
      </c>
    </row>
    <row r="22" spans="1:4" ht="28.5" customHeight="1" x14ac:dyDescent="0.3">
      <c r="A22" s="54">
        <v>19</v>
      </c>
      <c r="B22" s="52"/>
      <c r="C22" s="53">
        <v>2319.2258064516127</v>
      </c>
    </row>
    <row r="23" spans="1:4" ht="28.5" customHeight="1" x14ac:dyDescent="0.3">
      <c r="A23" s="54">
        <v>20</v>
      </c>
      <c r="B23" s="52"/>
      <c r="C23" s="53">
        <v>2319.2258064516127</v>
      </c>
    </row>
    <row r="24" spans="1:4" ht="28.5" customHeight="1" x14ac:dyDescent="0.3">
      <c r="A24" s="54">
        <v>21</v>
      </c>
      <c r="B24" s="52"/>
      <c r="C24" s="53">
        <v>2319.2258064516127</v>
      </c>
    </row>
    <row r="25" spans="1:4" ht="28.5" customHeight="1" x14ac:dyDescent="0.3">
      <c r="A25" s="54">
        <v>22</v>
      </c>
      <c r="B25" s="52"/>
      <c r="C25" s="53">
        <v>2319.2258064516127</v>
      </c>
    </row>
    <row r="26" spans="1:4" ht="28.5" customHeight="1" x14ac:dyDescent="0.3">
      <c r="A26" s="54">
        <v>23</v>
      </c>
      <c r="B26" s="56"/>
      <c r="C26" s="53">
        <v>2319.2258064516127</v>
      </c>
    </row>
    <row r="27" spans="1:4" ht="28.5" customHeight="1" x14ac:dyDescent="0.3">
      <c r="A27" s="54">
        <v>24</v>
      </c>
      <c r="B27" s="52"/>
      <c r="C27" s="53">
        <v>2319.2258064516127</v>
      </c>
    </row>
    <row r="28" spans="1:4" ht="28.5" customHeight="1" x14ac:dyDescent="0.3">
      <c r="A28" s="54">
        <v>25</v>
      </c>
      <c r="B28" s="57"/>
      <c r="C28" s="53">
        <v>2319.2258064516127</v>
      </c>
      <c r="D28" s="58"/>
    </row>
    <row r="29" spans="1:4" ht="28.5" customHeight="1" x14ac:dyDescent="0.3">
      <c r="A29" s="54">
        <v>26</v>
      </c>
      <c r="B29" s="52"/>
      <c r="C29" s="53">
        <v>2319.2258064516127</v>
      </c>
      <c r="D29" s="58"/>
    </row>
    <row r="30" spans="1:4" ht="28.5" customHeight="1" x14ac:dyDescent="0.3">
      <c r="A30" s="54">
        <v>27</v>
      </c>
      <c r="B30" s="52"/>
      <c r="C30" s="53">
        <v>2319.2258064516127</v>
      </c>
    </row>
    <row r="31" spans="1:4" ht="28.5" customHeight="1" x14ac:dyDescent="0.3">
      <c r="A31" s="54">
        <v>28</v>
      </c>
      <c r="B31" s="52"/>
      <c r="C31" s="53"/>
    </row>
    <row r="32" spans="1:4" ht="28.5" customHeight="1" x14ac:dyDescent="0.3">
      <c r="A32" s="54">
        <v>29</v>
      </c>
      <c r="B32" s="56"/>
      <c r="C32" s="53"/>
    </row>
    <row r="33" spans="1:3" ht="28.5" customHeight="1" x14ac:dyDescent="0.3">
      <c r="A33" s="54">
        <v>30</v>
      </c>
      <c r="B33" s="52"/>
      <c r="C33" s="53"/>
    </row>
    <row r="34" spans="1:3" ht="28.5" customHeight="1" x14ac:dyDescent="0.3">
      <c r="A34" s="54">
        <v>31</v>
      </c>
      <c r="B34" s="52"/>
      <c r="C34" s="53"/>
    </row>
    <row r="35" spans="1:3" x14ac:dyDescent="0.3">
      <c r="A35" s="97" t="s">
        <v>82</v>
      </c>
      <c r="B35" s="97"/>
      <c r="C35" s="59">
        <f>SUM(C4:C34)</f>
        <v>62619.09677419356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5" zoomScaleNormal="100" workbookViewId="0">
      <selection activeCell="B30" sqref="B30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8" t="s">
        <v>83</v>
      </c>
      <c r="B1" s="98"/>
      <c r="C1" s="98"/>
    </row>
    <row r="2" spans="1:3" ht="24.9" customHeight="1" x14ac:dyDescent="0.3">
      <c r="A2" s="62" t="s">
        <v>84</v>
      </c>
      <c r="B2" s="62" t="s">
        <v>85</v>
      </c>
      <c r="C2" s="62" t="s">
        <v>86</v>
      </c>
    </row>
    <row r="3" spans="1:3" ht="24.9" customHeight="1" x14ac:dyDescent="0.3">
      <c r="A3" s="63">
        <v>45717</v>
      </c>
      <c r="B3" s="64">
        <v>248</v>
      </c>
      <c r="C3" s="64">
        <v>334</v>
      </c>
    </row>
    <row r="4" spans="1:3" ht="24.9" customHeight="1" x14ac:dyDescent="0.3">
      <c r="A4" s="63">
        <v>45718</v>
      </c>
      <c r="B4" s="64">
        <v>266</v>
      </c>
      <c r="C4" s="64">
        <v>362</v>
      </c>
    </row>
    <row r="5" spans="1:3" ht="24.9" customHeight="1" x14ac:dyDescent="0.3">
      <c r="A5" s="63">
        <v>45719</v>
      </c>
      <c r="B5" s="64">
        <v>260</v>
      </c>
      <c r="C5" s="64">
        <v>336</v>
      </c>
    </row>
    <row r="6" spans="1:3" ht="24.9" customHeight="1" x14ac:dyDescent="0.3">
      <c r="A6" s="63">
        <v>45720</v>
      </c>
      <c r="B6" s="64">
        <v>266</v>
      </c>
      <c r="C6" s="64">
        <v>359</v>
      </c>
    </row>
    <row r="7" spans="1:3" ht="24.9" customHeight="1" x14ac:dyDescent="0.3">
      <c r="A7" s="63">
        <v>45721</v>
      </c>
      <c r="B7" s="64">
        <v>299</v>
      </c>
      <c r="C7" s="64">
        <v>415</v>
      </c>
    </row>
    <row r="8" spans="1:3" ht="24.9" customHeight="1" x14ac:dyDescent="0.3">
      <c r="A8" s="63">
        <v>45722</v>
      </c>
      <c r="B8" s="64">
        <v>238</v>
      </c>
      <c r="C8" s="64">
        <v>294</v>
      </c>
    </row>
    <row r="9" spans="1:3" ht="24.9" customHeight="1" x14ac:dyDescent="0.3">
      <c r="A9" s="63">
        <v>45723</v>
      </c>
      <c r="B9" s="64">
        <v>287</v>
      </c>
      <c r="C9" s="64">
        <v>354</v>
      </c>
    </row>
    <row r="10" spans="1:3" ht="24.9" customHeight="1" x14ac:dyDescent="0.3">
      <c r="A10" s="63">
        <v>45724</v>
      </c>
      <c r="B10" s="64">
        <v>304</v>
      </c>
      <c r="C10" s="64">
        <v>378</v>
      </c>
    </row>
    <row r="11" spans="1:3" ht="24.9" customHeight="1" x14ac:dyDescent="0.3">
      <c r="A11" s="63">
        <v>45725</v>
      </c>
      <c r="B11" s="64">
        <v>305</v>
      </c>
      <c r="C11" s="64">
        <v>363</v>
      </c>
    </row>
    <row r="12" spans="1:3" ht="24.9" customHeight="1" x14ac:dyDescent="0.3">
      <c r="A12" s="63">
        <v>45726</v>
      </c>
      <c r="B12" s="64">
        <v>346</v>
      </c>
      <c r="C12" s="64">
        <v>430</v>
      </c>
    </row>
    <row r="13" spans="1:3" ht="24.9" customHeight="1" x14ac:dyDescent="0.3">
      <c r="A13" s="63">
        <v>45727</v>
      </c>
      <c r="B13" s="64">
        <v>294</v>
      </c>
      <c r="C13" s="64">
        <v>386</v>
      </c>
    </row>
    <row r="14" spans="1:3" ht="24.9" customHeight="1" x14ac:dyDescent="0.3">
      <c r="A14" s="63">
        <v>45728</v>
      </c>
      <c r="B14" s="64">
        <v>300</v>
      </c>
      <c r="C14" s="64">
        <v>412</v>
      </c>
    </row>
    <row r="15" spans="1:3" ht="24.9" customHeight="1" x14ac:dyDescent="0.3">
      <c r="A15" s="63">
        <v>45729</v>
      </c>
      <c r="B15" s="64">
        <v>267</v>
      </c>
      <c r="C15" s="64">
        <v>361</v>
      </c>
    </row>
    <row r="16" spans="1:3" ht="24.9" customHeight="1" x14ac:dyDescent="0.3">
      <c r="A16" s="63">
        <v>45730</v>
      </c>
      <c r="B16" s="64">
        <v>316</v>
      </c>
      <c r="C16" s="64">
        <v>460</v>
      </c>
    </row>
    <row r="17" spans="1:3" ht="24.9" customHeight="1" x14ac:dyDescent="0.3">
      <c r="A17" s="63">
        <v>45731</v>
      </c>
      <c r="B17" s="64">
        <v>223</v>
      </c>
      <c r="C17" s="64">
        <v>290</v>
      </c>
    </row>
    <row r="18" spans="1:3" ht="24.9" customHeight="1" x14ac:dyDescent="0.3">
      <c r="A18" s="63">
        <v>45732</v>
      </c>
      <c r="B18" s="64">
        <v>356</v>
      </c>
      <c r="C18" s="64">
        <v>465</v>
      </c>
    </row>
    <row r="19" spans="1:3" ht="24.9" customHeight="1" x14ac:dyDescent="0.3">
      <c r="A19" s="63">
        <v>45733</v>
      </c>
      <c r="B19" s="64">
        <v>397</v>
      </c>
      <c r="C19" s="64">
        <v>537</v>
      </c>
    </row>
    <row r="20" spans="1:3" ht="24.9" customHeight="1" x14ac:dyDescent="0.3">
      <c r="A20" s="63">
        <v>45734</v>
      </c>
      <c r="B20" s="64">
        <v>400</v>
      </c>
      <c r="C20" s="64">
        <v>508</v>
      </c>
    </row>
    <row r="21" spans="1:3" ht="24.9" customHeight="1" x14ac:dyDescent="0.3">
      <c r="A21" s="63">
        <v>45735</v>
      </c>
      <c r="B21" s="64">
        <v>455</v>
      </c>
      <c r="C21" s="64">
        <v>642</v>
      </c>
    </row>
    <row r="22" spans="1:3" ht="24.9" customHeight="1" x14ac:dyDescent="0.3">
      <c r="A22" s="63">
        <v>45736</v>
      </c>
      <c r="B22" s="64">
        <v>382</v>
      </c>
      <c r="C22" s="64">
        <v>525</v>
      </c>
    </row>
    <row r="23" spans="1:3" ht="24.9" customHeight="1" x14ac:dyDescent="0.3">
      <c r="A23" s="63">
        <v>45737</v>
      </c>
      <c r="B23" s="64">
        <v>327</v>
      </c>
      <c r="C23" s="64">
        <v>461</v>
      </c>
    </row>
    <row r="24" spans="1:3" ht="24.9" customHeight="1" x14ac:dyDescent="0.3">
      <c r="A24" s="63">
        <v>45738</v>
      </c>
      <c r="B24" s="64">
        <v>268</v>
      </c>
      <c r="C24" s="64">
        <v>394</v>
      </c>
    </row>
    <row r="25" spans="1:3" ht="24.9" customHeight="1" x14ac:dyDescent="0.3">
      <c r="A25" s="63">
        <v>45739</v>
      </c>
      <c r="B25" s="64">
        <v>319</v>
      </c>
      <c r="C25" s="64">
        <v>429</v>
      </c>
    </row>
    <row r="26" spans="1:3" ht="24.9" customHeight="1" x14ac:dyDescent="0.3">
      <c r="A26" s="63">
        <v>45740</v>
      </c>
      <c r="B26" s="64">
        <v>379</v>
      </c>
      <c r="C26" s="64">
        <v>492</v>
      </c>
    </row>
    <row r="27" spans="1:3" ht="24.9" customHeight="1" x14ac:dyDescent="0.3">
      <c r="A27" s="63">
        <v>45741</v>
      </c>
      <c r="B27" s="64">
        <v>403</v>
      </c>
      <c r="C27" s="64">
        <v>536</v>
      </c>
    </row>
    <row r="28" spans="1:3" ht="24.9" customHeight="1" x14ac:dyDescent="0.3">
      <c r="A28" s="63">
        <v>45742</v>
      </c>
      <c r="B28" s="64">
        <v>305</v>
      </c>
      <c r="C28" s="64">
        <v>429</v>
      </c>
    </row>
    <row r="29" spans="1:3" ht="24.9" customHeight="1" x14ac:dyDescent="0.3">
      <c r="A29" s="63">
        <v>45743</v>
      </c>
      <c r="B29" s="64">
        <v>308</v>
      </c>
      <c r="C29" s="64">
        <v>441</v>
      </c>
    </row>
    <row r="30" spans="1:3" ht="24.9" customHeight="1" x14ac:dyDescent="0.3">
      <c r="A30" s="63">
        <v>45744</v>
      </c>
      <c r="B30" s="64"/>
      <c r="C30" s="64"/>
    </row>
    <row r="31" spans="1:3" ht="24.9" customHeight="1" x14ac:dyDescent="0.3">
      <c r="A31" s="63">
        <v>45745</v>
      </c>
      <c r="B31" s="64"/>
      <c r="C31" s="64"/>
    </row>
    <row r="32" spans="1:3" ht="24.9" customHeight="1" x14ac:dyDescent="0.3">
      <c r="A32" s="63">
        <v>45746</v>
      </c>
      <c r="B32" s="64"/>
      <c r="C32" s="64"/>
    </row>
    <row r="33" spans="1:3" ht="24.9" customHeight="1" x14ac:dyDescent="0.3">
      <c r="A33" s="63">
        <v>45747</v>
      </c>
      <c r="B33" s="64"/>
      <c r="C33" s="64"/>
    </row>
    <row r="34" spans="1:3" ht="30.75" customHeight="1" x14ac:dyDescent="0.3">
      <c r="A34" s="62" t="s">
        <v>87</v>
      </c>
      <c r="B34" s="65">
        <f>SUM(B3:B33)</f>
        <v>8518</v>
      </c>
      <c r="C34" s="65">
        <f>SUM(C3:C33)</f>
        <v>11393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2025-03-29T11:45:02Z</dcterms:modified>
  <cp:category/>
  <cp:contentStatus/>
</cp:coreProperties>
</file>