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momen.ekomey\Downloads\"/>
    </mc:Choice>
  </mc:AlternateContent>
  <xr:revisionPtr revIDLastSave="0" documentId="13_ncr:1_{37A96988-2163-44B7-89C4-B59F7BD61875}" xr6:coauthVersionLast="47" xr6:coauthVersionMax="47" xr10:uidLastSave="{00000000-0000-0000-0000-000000000000}"/>
  <bookViews>
    <workbookView xWindow="-120" yWindow="-120" windowWidth="29040" windowHeight="15840" tabRatio="580" xr2:uid="{00000000-000D-0000-FFFF-FFFF00000000}"/>
  </bookViews>
  <sheets>
    <sheet name="Total" sheetId="15" r:id="rId1"/>
    <sheet name="Elect" sheetId="2" r:id="rId2"/>
    <sheet name="Water" sheetId="12" r:id="rId3"/>
    <sheet name="Gas" sheetId="11" r:id="rId4"/>
    <sheet name="Chilled Water" sheetId="14" r:id="rId5"/>
    <sheet name="Cost " sheetId="10" state="hidden" r:id="rId6"/>
  </sheets>
  <definedNames>
    <definedName name="_xlnm.Print_Area" localSheetId="1">Elect!$A$1:$J$43</definedName>
    <definedName name="_xlnm.Print_Area" localSheetId="3">Gas!$A$1:$G$44</definedName>
    <definedName name="_xlnm.Print_Area" localSheetId="2">Water!$A$1:$E$44</definedName>
    <definedName name="Z_BBA05217_DB7A_4BBE_8392_822CC156171C_.wvu.Cols" localSheetId="1" hidden="1">Elect!$E:$F</definedName>
    <definedName name="Z_BBA05217_DB7A_4BBE_8392_822CC156171C_.wvu.Cols" localSheetId="3" hidden="1">Gas!$D:$E</definedName>
    <definedName name="Z_BBA05217_DB7A_4BBE_8392_822CC156171C_.wvu.Cols" localSheetId="2" hidden="1">Water!$D:$E</definedName>
  </definedNames>
  <calcPr calcId="191029"/>
  <customWorkbookViews>
    <customWorkbookView name="sheryl - Personal View" guid="{BBA05217-DB7A-4BBE-8392-822CC156171C}" mergeInterval="0" personalView="1" maximized="1" windowWidth="796" windowHeight="412" tabRatio="59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H9" i="2"/>
  <c r="J9" i="2"/>
  <c r="D10" i="2"/>
  <c r="H10" i="2"/>
  <c r="J10" i="2"/>
  <c r="D11" i="2"/>
  <c r="F11" i="2"/>
  <c r="H11" i="2"/>
  <c r="J11" i="2"/>
  <c r="D12" i="2"/>
  <c r="F12" i="2"/>
  <c r="H12" i="2"/>
  <c r="J12" i="2"/>
  <c r="D13" i="2"/>
  <c r="F13" i="2"/>
  <c r="H13" i="2"/>
  <c r="J13" i="2"/>
  <c r="D14" i="2"/>
  <c r="F14" i="2"/>
  <c r="H14" i="2"/>
  <c r="J14" i="2"/>
  <c r="D15" i="2"/>
  <c r="F15" i="2"/>
  <c r="H15" i="2"/>
  <c r="J15" i="2"/>
  <c r="D16" i="2"/>
  <c r="F16" i="2"/>
  <c r="H16" i="2"/>
  <c r="J16" i="2"/>
  <c r="D17" i="2"/>
  <c r="F17" i="2"/>
  <c r="H17" i="2"/>
  <c r="J17" i="2"/>
  <c r="D18" i="2"/>
  <c r="F18" i="2"/>
  <c r="H18" i="2"/>
  <c r="J18" i="2"/>
  <c r="D19" i="2"/>
  <c r="F19" i="2"/>
  <c r="H19" i="2"/>
  <c r="J19" i="2"/>
  <c r="E34" i="14"/>
  <c r="C34" i="14"/>
  <c r="E4" i="14"/>
  <c r="C4" i="14"/>
  <c r="G38" i="11"/>
  <c r="C38" i="11"/>
  <c r="G9" i="11"/>
  <c r="C9" i="11"/>
  <c r="E38" i="12"/>
  <c r="C38" i="12"/>
  <c r="C9" i="12"/>
  <c r="J38" i="2" l="1"/>
  <c r="H38" i="2"/>
  <c r="D38" i="2"/>
  <c r="E33" i="14" l="1"/>
  <c r="C33" i="14"/>
  <c r="E32" i="14"/>
  <c r="C32" i="14"/>
  <c r="E31" i="14"/>
  <c r="C31" i="14"/>
  <c r="E30" i="14"/>
  <c r="C30" i="14"/>
  <c r="E29" i="14"/>
  <c r="C29" i="14"/>
  <c r="E28" i="14"/>
  <c r="C28" i="14"/>
  <c r="E27" i="14"/>
  <c r="C27" i="14"/>
  <c r="E26" i="14"/>
  <c r="C26" i="14"/>
  <c r="E25" i="14"/>
  <c r="C25" i="14"/>
  <c r="E24" i="14"/>
  <c r="C24" i="14"/>
  <c r="E23" i="14"/>
  <c r="C23" i="14"/>
  <c r="E22" i="14"/>
  <c r="C22" i="14"/>
  <c r="E21" i="14"/>
  <c r="C21" i="14"/>
  <c r="E20" i="14"/>
  <c r="C20" i="14"/>
  <c r="E19" i="14"/>
  <c r="C19" i="14"/>
  <c r="E18" i="14"/>
  <c r="C18" i="14"/>
  <c r="E17" i="14"/>
  <c r="C17" i="14"/>
  <c r="E16" i="14"/>
  <c r="C16" i="14"/>
  <c r="E15" i="14"/>
  <c r="C15" i="14"/>
  <c r="E14" i="14"/>
  <c r="C14" i="14"/>
  <c r="E13" i="14"/>
  <c r="C13" i="14"/>
  <c r="E12" i="14"/>
  <c r="C12" i="14"/>
  <c r="E11" i="14"/>
  <c r="C11" i="14"/>
  <c r="E10" i="14"/>
  <c r="C10" i="14"/>
  <c r="E9" i="14"/>
  <c r="C9" i="14"/>
  <c r="E8" i="14"/>
  <c r="C8" i="14"/>
  <c r="E7" i="14"/>
  <c r="C7" i="14"/>
  <c r="E6" i="14"/>
  <c r="C6" i="14"/>
  <c r="E5" i="14"/>
  <c r="C5" i="14"/>
  <c r="G39" i="11"/>
  <c r="C39" i="11"/>
  <c r="G37" i="11"/>
  <c r="C37" i="11"/>
  <c r="G36" i="11"/>
  <c r="C36" i="11"/>
  <c r="G35" i="11"/>
  <c r="C35" i="11"/>
  <c r="G34" i="11"/>
  <c r="C34" i="11"/>
  <c r="G33" i="11"/>
  <c r="E33" i="11"/>
  <c r="C33" i="11"/>
  <c r="G32" i="11"/>
  <c r="E32" i="11"/>
  <c r="C32" i="11"/>
  <c r="G31" i="11"/>
  <c r="E31" i="11"/>
  <c r="C31" i="11"/>
  <c r="G30" i="11"/>
  <c r="E30" i="11"/>
  <c r="C30" i="11"/>
  <c r="G29" i="11"/>
  <c r="E29" i="11"/>
  <c r="C29" i="11"/>
  <c r="G28" i="11"/>
  <c r="E28" i="11"/>
  <c r="C28" i="11"/>
  <c r="G27" i="11"/>
  <c r="E27" i="11"/>
  <c r="C27" i="11"/>
  <c r="G26" i="11"/>
  <c r="E26" i="11"/>
  <c r="C26" i="11"/>
  <c r="G25" i="11"/>
  <c r="E25" i="11"/>
  <c r="C25" i="11"/>
  <c r="G24" i="11"/>
  <c r="C24" i="11"/>
  <c r="G23" i="11"/>
  <c r="E23" i="11"/>
  <c r="C23" i="11"/>
  <c r="G22" i="11"/>
  <c r="E22" i="11"/>
  <c r="C22" i="11"/>
  <c r="G21" i="11"/>
  <c r="E21" i="11"/>
  <c r="C21" i="11"/>
  <c r="G20" i="11"/>
  <c r="E20" i="11"/>
  <c r="C20" i="11"/>
  <c r="G19" i="11"/>
  <c r="E19" i="11"/>
  <c r="C19" i="11"/>
  <c r="G18" i="11"/>
  <c r="E18" i="11"/>
  <c r="C18" i="11"/>
  <c r="G17" i="11"/>
  <c r="E17" i="11"/>
  <c r="C17" i="11"/>
  <c r="G16" i="11"/>
  <c r="E16" i="11"/>
  <c r="C16" i="11"/>
  <c r="G15" i="11"/>
  <c r="E15" i="11"/>
  <c r="C15" i="11"/>
  <c r="G14" i="11"/>
  <c r="E14" i="11"/>
  <c r="C14" i="11"/>
  <c r="G13" i="11"/>
  <c r="E13" i="11"/>
  <c r="C13" i="11"/>
  <c r="G12" i="11"/>
  <c r="E12" i="11"/>
  <c r="C12" i="11"/>
  <c r="G11" i="11"/>
  <c r="E11" i="11"/>
  <c r="C11" i="11"/>
  <c r="G10" i="11"/>
  <c r="C10" i="11"/>
  <c r="C39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J39" i="2"/>
  <c r="H39" i="2"/>
  <c r="D39" i="2"/>
  <c r="J37" i="2"/>
  <c r="H37" i="2"/>
  <c r="D37" i="2"/>
  <c r="J36" i="2"/>
  <c r="H36" i="2"/>
  <c r="D36" i="2"/>
  <c r="J35" i="2"/>
  <c r="H35" i="2"/>
  <c r="D35" i="2"/>
  <c r="J34" i="2"/>
  <c r="H34" i="2"/>
  <c r="D34" i="2"/>
  <c r="J33" i="2"/>
  <c r="H33" i="2"/>
  <c r="F33" i="2"/>
  <c r="D33" i="2"/>
  <c r="J32" i="2"/>
  <c r="H32" i="2"/>
  <c r="F32" i="2"/>
  <c r="D32" i="2"/>
  <c r="J31" i="2"/>
  <c r="H31" i="2"/>
  <c r="F31" i="2"/>
  <c r="D31" i="2"/>
  <c r="J30" i="2"/>
  <c r="H30" i="2"/>
  <c r="F30" i="2"/>
  <c r="D30" i="2"/>
  <c r="J29" i="2"/>
  <c r="H29" i="2"/>
  <c r="F29" i="2"/>
  <c r="D29" i="2"/>
  <c r="J28" i="2"/>
  <c r="H28" i="2"/>
  <c r="F28" i="2"/>
  <c r="D28" i="2"/>
  <c r="J27" i="2"/>
  <c r="H27" i="2"/>
  <c r="F27" i="2"/>
  <c r="D27" i="2"/>
  <c r="J26" i="2"/>
  <c r="H26" i="2"/>
  <c r="F26" i="2"/>
  <c r="D26" i="2"/>
  <c r="J25" i="2"/>
  <c r="H25" i="2"/>
  <c r="F25" i="2"/>
  <c r="D25" i="2"/>
  <c r="J24" i="2"/>
  <c r="H24" i="2"/>
  <c r="D24" i="2"/>
  <c r="J23" i="2"/>
  <c r="H23" i="2"/>
  <c r="F23" i="2"/>
  <c r="D23" i="2"/>
  <c r="J22" i="2"/>
  <c r="H22" i="2"/>
  <c r="F22" i="2"/>
  <c r="D22" i="2"/>
  <c r="J21" i="2"/>
  <c r="H21" i="2"/>
  <c r="F21" i="2"/>
  <c r="D21" i="2"/>
  <c r="J20" i="2"/>
  <c r="H20" i="2"/>
  <c r="F20" i="2"/>
  <c r="D20" i="2"/>
  <c r="C41" i="12" l="1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2" i="15"/>
  <c r="K31" i="15"/>
  <c r="I31" i="15"/>
  <c r="I2" i="15"/>
  <c r="G29" i="15"/>
  <c r="G32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K2" i="15"/>
  <c r="K32" i="15"/>
  <c r="G30" i="15"/>
  <c r="E32" i="15"/>
  <c r="E31" i="15" l="1"/>
  <c r="E2" i="15"/>
  <c r="I32" i="15" l="1"/>
  <c r="I30" i="15" l="1"/>
  <c r="G28" i="15"/>
  <c r="K30" i="15" l="1"/>
  <c r="E30" i="15"/>
  <c r="G6" i="15"/>
  <c r="K29" i="15" l="1"/>
  <c r="K27" i="15"/>
  <c r="K28" i="15" l="1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3" i="15"/>
  <c r="D35" i="14" l="1"/>
  <c r="B35" i="14"/>
  <c r="B36" i="14" l="1"/>
  <c r="G15" i="15"/>
  <c r="E39" i="12" l="1"/>
  <c r="G27" i="15"/>
  <c r="G26" i="15"/>
  <c r="G25" i="15"/>
  <c r="E33" i="12"/>
  <c r="G24" i="15"/>
  <c r="E32" i="12"/>
  <c r="G23" i="15"/>
  <c r="E31" i="12"/>
  <c r="G22" i="15"/>
  <c r="E30" i="12"/>
  <c r="G21" i="15"/>
  <c r="E29" i="12"/>
  <c r="G20" i="15"/>
  <c r="E28" i="12"/>
  <c r="G19" i="15"/>
  <c r="E27" i="12"/>
  <c r="G18" i="15"/>
  <c r="E26" i="12"/>
  <c r="G17" i="15"/>
  <c r="E25" i="12"/>
  <c r="G16" i="15"/>
  <c r="E23" i="12"/>
  <c r="G14" i="15"/>
  <c r="E22" i="12"/>
  <c r="G13" i="15"/>
  <c r="E21" i="12"/>
  <c r="G12" i="15"/>
  <c r="E20" i="12"/>
  <c r="G11" i="15"/>
  <c r="E19" i="12"/>
  <c r="G10" i="15"/>
  <c r="E18" i="12"/>
  <c r="G9" i="15"/>
  <c r="E17" i="12"/>
  <c r="G8" i="15"/>
  <c r="E16" i="12"/>
  <c r="G7" i="15"/>
  <c r="E15" i="12"/>
  <c r="E14" i="12"/>
  <c r="G5" i="15"/>
  <c r="E13" i="12"/>
  <c r="G4" i="15"/>
  <c r="E12" i="12"/>
  <c r="G3" i="15"/>
  <c r="E11" i="12"/>
  <c r="G2" i="15"/>
  <c r="I25" i="15" l="1"/>
  <c r="E25" i="15"/>
  <c r="G31" i="15"/>
  <c r="E41" i="12"/>
  <c r="I3" i="15"/>
  <c r="E4" i="15" l="1"/>
  <c r="E26" i="15"/>
  <c r="E3" i="15"/>
  <c r="J40" i="2"/>
  <c r="G41" i="11"/>
  <c r="H40" i="2"/>
  <c r="I29" i="15"/>
  <c r="I28" i="15"/>
  <c r="I27" i="15"/>
  <c r="I26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C41" i="11" l="1"/>
  <c r="B42" i="11" s="1"/>
  <c r="E41" i="11"/>
  <c r="E12" i="15" l="1"/>
  <c r="E11" i="15"/>
  <c r="E10" i="15"/>
  <c r="E9" i="15"/>
  <c r="E8" i="15"/>
  <c r="E7" i="15"/>
  <c r="E6" i="15"/>
  <c r="E5" i="15"/>
  <c r="E29" i="10" l="1"/>
  <c r="G29" i="10" s="1"/>
  <c r="E28" i="10"/>
  <c r="I28" i="10" s="1"/>
  <c r="E19" i="10"/>
  <c r="I19" i="10" s="1"/>
  <c r="E18" i="10"/>
  <c r="G18" i="10" s="1"/>
  <c r="G28" i="10" l="1"/>
  <c r="I29" i="10"/>
  <c r="G19" i="10"/>
  <c r="G20" i="10" s="1"/>
  <c r="I18" i="10"/>
  <c r="I20" i="10" s="1"/>
  <c r="E20" i="10"/>
  <c r="E30" i="10" l="1"/>
  <c r="I30" i="10" s="1"/>
  <c r="G30" i="10" l="1"/>
  <c r="E28" i="15" l="1"/>
  <c r="E27" i="15"/>
  <c r="E24" i="15"/>
  <c r="E23" i="15"/>
  <c r="E22" i="15"/>
  <c r="E21" i="15"/>
  <c r="E20" i="15"/>
  <c r="E29" i="15" l="1"/>
  <c r="E19" i="15"/>
  <c r="E18" i="15"/>
  <c r="E17" i="15"/>
  <c r="E16" i="15"/>
  <c r="E15" i="15"/>
  <c r="E14" i="15"/>
  <c r="E13" i="15"/>
  <c r="D40" i="2" l="1"/>
  <c r="C41" i="2" s="1"/>
  <c r="G38" i="10"/>
  <c r="I38" i="10" s="1"/>
  <c r="E27" i="10"/>
  <c r="E31" i="10" s="1"/>
  <c r="E10" i="10"/>
  <c r="G10" i="10" s="1"/>
  <c r="I10" i="10" s="1"/>
  <c r="E9" i="10"/>
  <c r="G9" i="10" s="1"/>
  <c r="I9" i="10" s="1"/>
  <c r="E8" i="10"/>
  <c r="G8" i="10" s="1"/>
  <c r="G11" i="10" l="1"/>
  <c r="I8" i="10"/>
  <c r="I11" i="10" s="1"/>
  <c r="G27" i="10"/>
  <c r="G31" i="10" s="1"/>
  <c r="I27" i="10"/>
  <c r="I31" i="10" l="1"/>
  <c r="F40" i="2" l="1"/>
</calcChain>
</file>

<file path=xl/sharedStrings.xml><?xml version="1.0" encoding="utf-8"?>
<sst xmlns="http://schemas.openxmlformats.org/spreadsheetml/2006/main" count="180" uniqueCount="76">
  <si>
    <t xml:space="preserve">Date </t>
  </si>
  <si>
    <t>LAUNDRY</t>
  </si>
  <si>
    <t>DAILY ELECTRICITY METER READING</t>
  </si>
  <si>
    <t>R</t>
  </si>
  <si>
    <t>C</t>
  </si>
  <si>
    <t>C - Consumption</t>
  </si>
  <si>
    <t>R - Reading</t>
  </si>
  <si>
    <t>Rate</t>
  </si>
  <si>
    <t>Cons.Units</t>
  </si>
  <si>
    <t>Factor</t>
  </si>
  <si>
    <t>Mul. Units</t>
  </si>
  <si>
    <t>to</t>
  </si>
  <si>
    <t>from</t>
  </si>
  <si>
    <t>Consumption and amount</t>
  </si>
  <si>
    <t>Meter reading</t>
  </si>
  <si>
    <t>Location</t>
  </si>
  <si>
    <t>Total Domestic Water Charges</t>
  </si>
  <si>
    <t>Beach Wing - Meter No.1</t>
  </si>
  <si>
    <t>Domestic Water Charges</t>
  </si>
  <si>
    <t>Total Electricity charges</t>
  </si>
  <si>
    <t>Beach Wing - Meter No.2</t>
  </si>
  <si>
    <t>Laundry (Liters)</t>
  </si>
  <si>
    <r>
      <t>M</t>
    </r>
    <r>
      <rPr>
        <b/>
        <vertAlign val="superscript"/>
        <sz val="10"/>
        <rFont val="Arial"/>
        <family val="2"/>
      </rPr>
      <t>3</t>
    </r>
  </si>
  <si>
    <t>Beach Wing - Meter No.3</t>
  </si>
  <si>
    <t>LPG Gas</t>
  </si>
  <si>
    <t>Amount (AED)</t>
  </si>
  <si>
    <t>For the Month of September 2017</t>
  </si>
  <si>
    <t>Laundry</t>
  </si>
  <si>
    <t>Boiler</t>
  </si>
  <si>
    <t>Consumption of Electricity,Water &amp; L.P. Gas</t>
  </si>
  <si>
    <t>Liters</t>
  </si>
  <si>
    <t>AHU L1</t>
  </si>
  <si>
    <t>AHU L2</t>
  </si>
  <si>
    <t>AHU L3</t>
  </si>
  <si>
    <t>AHU L4</t>
  </si>
  <si>
    <t>Chilled Water Charges</t>
  </si>
  <si>
    <t>Total Chilled Water Charges</t>
  </si>
  <si>
    <t>Kwh</t>
  </si>
  <si>
    <t>Electricity charges</t>
  </si>
  <si>
    <t>Total Reading</t>
  </si>
  <si>
    <t>Electricity</t>
  </si>
  <si>
    <t>BEACH ROTANA RESIDENCES</t>
  </si>
  <si>
    <t>Gas</t>
  </si>
  <si>
    <t>Meter 1 (kWh) - MDB8</t>
  </si>
  <si>
    <t>Meter 2 (kWh) - MDB9</t>
  </si>
  <si>
    <t>Meter 3 (kWh) - MDB11</t>
  </si>
  <si>
    <r>
      <t>Kitchen - M</t>
    </r>
    <r>
      <rPr>
        <b/>
        <sz val="10"/>
        <rFont val="Calibri"/>
        <family val="2"/>
      </rPr>
      <t>³</t>
    </r>
  </si>
  <si>
    <r>
      <t>Penthouse (Boiler) - M</t>
    </r>
    <r>
      <rPr>
        <b/>
        <sz val="10"/>
        <rFont val="Calibri"/>
        <family val="2"/>
      </rPr>
      <t>³</t>
    </r>
  </si>
  <si>
    <t>BEACH ROTANA HOTEL ABU DHABI</t>
  </si>
  <si>
    <t>BEACH ROTANA HOTEL ABUDHABI</t>
  </si>
  <si>
    <r>
      <t>Water - M</t>
    </r>
    <r>
      <rPr>
        <b/>
        <sz val="10"/>
        <rFont val="Calibri"/>
        <family val="2"/>
      </rPr>
      <t>³</t>
    </r>
  </si>
  <si>
    <t>DAILY WATER METER READING</t>
  </si>
  <si>
    <t>Date</t>
  </si>
  <si>
    <t>Meter 1</t>
  </si>
  <si>
    <t>Meter 2</t>
  </si>
  <si>
    <t>Total BRR Reading</t>
  </si>
  <si>
    <t xml:space="preserve">      </t>
  </si>
  <si>
    <t>Grand Total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</si>
  <si>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</si>
  <si>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</si>
  <si>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</si>
  <si>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</si>
  <si>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</si>
  <si>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</si>
  <si>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</si>
  <si>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</si>
  <si>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LPG (Liters) </t>
  </si>
  <si>
    <t>LPG $/Liters</t>
  </si>
  <si>
    <t>District Energy Cooling RTH</t>
  </si>
  <si>
    <t>District Energy Cooling $/RTH</t>
  </si>
  <si>
    <t xml:space="preserve">Room Nights </t>
  </si>
  <si>
    <t xml:space="preserve"> </t>
  </si>
  <si>
    <t>Beach Rotana Residences Abu Dhabi</t>
  </si>
  <si>
    <t>Room Night</t>
  </si>
  <si>
    <t>For the Month of May 2024</t>
  </si>
  <si>
    <t>SECONDARY PUMP (CHILLED WATER READING)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</si>
</sst>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0.000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u/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b/>
      <vertAlign val="superscript"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8"/>
      <color rgb="FFFF0000"/>
      <name val="Arial"/>
      <family val="2"/>
    </font>
    <font>
      <b/>
      <sz val="10"/>
      <color rgb="FF0033CC"/>
      <name val="Arial"/>
      <family val="2"/>
    </font>
    <font>
      <sz val="10"/>
      <color theme="1"/>
      <name val="Arial"/>
      <family val="2"/>
    </font>
    <font>
      <sz val="14"/>
      <name val="Arial"/>
      <family val="2"/>
    </font>
    <font>
      <b/>
      <sz val="8"/>
      <color theme="1"/>
      <name val="Arial"/>
      <family val="2"/>
    </font>
    <font>
      <b/>
      <i/>
      <sz val="10"/>
      <color rgb="FFFF0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82909634693444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double">
        <color indexed="64"/>
      </top>
      <bottom style="thin">
        <color theme="0" tint="-0.14996795556505021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32" fillId="0" borderId="0"/>
  </cellStyleXfs>
  <cellXfs count="189">
    <xf numFmtId="0" fontId="0" fillId="0" borderId="0" xfId="0"/>
    <xf numFmtId="0" fontId="7" fillId="0" borderId="0" xfId="0" applyFont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/>
    <xf numFmtId="0" fontId="14" fillId="0" borderId="2" xfId="0" applyFont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1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7" fillId="0" borderId="9" xfId="0" applyFont="1" applyBorder="1"/>
    <xf numFmtId="0" fontId="7" fillId="0" borderId="10" xfId="0" applyFont="1" applyBorder="1" applyAlignment="1">
      <alignment horizontal="right"/>
    </xf>
    <xf numFmtId="43" fontId="7" fillId="0" borderId="10" xfId="1" applyFont="1" applyBorder="1" applyAlignment="1">
      <alignment horizontal="right"/>
    </xf>
    <xf numFmtId="43" fontId="7" fillId="0" borderId="11" xfId="1" applyFont="1" applyBorder="1" applyAlignment="1">
      <alignment horizontal="right"/>
    </xf>
    <xf numFmtId="0" fontId="14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13" fillId="0" borderId="4" xfId="0" applyFont="1" applyBorder="1"/>
    <xf numFmtId="0" fontId="22" fillId="0" borderId="0" xfId="0" applyFont="1"/>
    <xf numFmtId="1" fontId="7" fillId="0" borderId="10" xfId="0" applyNumberFormat="1" applyFont="1" applyBorder="1" applyAlignment="1">
      <alignment horizontal="right"/>
    </xf>
    <xf numFmtId="0" fontId="6" fillId="0" borderId="0" xfId="0" applyFont="1"/>
    <xf numFmtId="1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43" fontId="6" fillId="0" borderId="1" xfId="1" applyFont="1" applyBorder="1" applyAlignment="1">
      <alignment horizontal="right"/>
    </xf>
    <xf numFmtId="43" fontId="6" fillId="0" borderId="6" xfId="1" applyFont="1" applyBorder="1" applyAlignment="1">
      <alignment horizontal="right"/>
    </xf>
    <xf numFmtId="0" fontId="6" fillId="0" borderId="7" xfId="0" applyFont="1" applyBorder="1"/>
    <xf numFmtId="164" fontId="6" fillId="0" borderId="0" xfId="1" applyNumberFormat="1" applyFont="1" applyBorder="1"/>
    <xf numFmtId="0" fontId="6" fillId="0" borderId="1" xfId="0" applyFont="1" applyBorder="1" applyAlignment="1">
      <alignment horizontal="center"/>
    </xf>
    <xf numFmtId="0" fontId="28" fillId="0" borderId="0" xfId="0" applyFont="1"/>
    <xf numFmtId="0" fontId="6" fillId="2" borderId="1" xfId="0" applyFont="1" applyFill="1" applyBorder="1" applyAlignment="1">
      <alignment horizontal="right"/>
    </xf>
    <xf numFmtId="0" fontId="7" fillId="2" borderId="10" xfId="0" applyFont="1" applyFill="1" applyBorder="1"/>
    <xf numFmtId="43" fontId="7" fillId="2" borderId="10" xfId="1" applyFont="1" applyFill="1" applyBorder="1"/>
    <xf numFmtId="43" fontId="7" fillId="2" borderId="11" xfId="1" applyFont="1" applyFill="1" applyBorder="1"/>
    <xf numFmtId="43" fontId="24" fillId="0" borderId="0" xfId="1" applyFont="1" applyFill="1"/>
    <xf numFmtId="0" fontId="24" fillId="0" borderId="0" xfId="0" applyFont="1" applyAlignment="1">
      <alignment horizontal="center"/>
    </xf>
    <xf numFmtId="0" fontId="24" fillId="0" borderId="0" xfId="0" applyFont="1"/>
    <xf numFmtId="1" fontId="27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0" fontId="6" fillId="2" borderId="0" xfId="0" applyFont="1" applyFill="1"/>
    <xf numFmtId="43" fontId="6" fillId="0" borderId="0" xfId="1" applyFont="1" applyFill="1"/>
    <xf numFmtId="0" fontId="6" fillId="2" borderId="1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4" fontId="6" fillId="0" borderId="0" xfId="0" applyNumberFormat="1" applyFont="1"/>
    <xf numFmtId="0" fontId="30" fillId="0" borderId="0" xfId="0" applyFont="1"/>
    <xf numFmtId="43" fontId="26" fillId="2" borderId="23" xfId="1" applyFont="1" applyFill="1" applyBorder="1" applyAlignment="1">
      <alignment horizontal="right"/>
    </xf>
    <xf numFmtId="43" fontId="26" fillId="2" borderId="23" xfId="1" applyFont="1" applyFill="1" applyBorder="1"/>
    <xf numFmtId="0" fontId="7" fillId="2" borderId="24" xfId="0" applyFont="1" applyFill="1" applyBorder="1"/>
    <xf numFmtId="43" fontId="24" fillId="2" borderId="23" xfId="1" applyFont="1" applyFill="1" applyBorder="1" applyAlignment="1">
      <alignment horizontal="right"/>
    </xf>
    <xf numFmtId="43" fontId="24" fillId="2" borderId="23" xfId="1" applyFont="1" applyFill="1" applyBorder="1"/>
    <xf numFmtId="1" fontId="6" fillId="2" borderId="1" xfId="0" applyNumberFormat="1" applyFont="1" applyFill="1" applyBorder="1" applyAlignment="1">
      <alignment horizontal="right"/>
    </xf>
    <xf numFmtId="0" fontId="10" fillId="2" borderId="0" xfId="0" applyFont="1" applyFill="1"/>
    <xf numFmtId="0" fontId="31" fillId="0" borderId="25" xfId="0" applyFont="1" applyBorder="1"/>
    <xf numFmtId="0" fontId="31" fillId="0" borderId="23" xfId="0" applyFont="1" applyBorder="1" applyAlignment="1">
      <alignment horizontal="right"/>
    </xf>
    <xf numFmtId="164" fontId="24" fillId="0" borderId="23" xfId="1" applyNumberFormat="1" applyFont="1" applyFill="1" applyBorder="1" applyAlignment="1">
      <alignment horizontal="right"/>
    </xf>
    <xf numFmtId="0" fontId="24" fillId="0" borderId="23" xfId="0" applyFont="1" applyBorder="1" applyAlignment="1">
      <alignment horizontal="right"/>
    </xf>
    <xf numFmtId="164" fontId="24" fillId="0" borderId="23" xfId="1" applyNumberFormat="1" applyFont="1" applyFill="1" applyBorder="1"/>
    <xf numFmtId="1" fontId="6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164" fontId="27" fillId="2" borderId="1" xfId="1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right"/>
    </xf>
    <xf numFmtId="43" fontId="6" fillId="2" borderId="6" xfId="1" applyFont="1" applyFill="1" applyBorder="1" applyAlignment="1">
      <alignment horizontal="right"/>
    </xf>
    <xf numFmtId="0" fontId="6" fillId="2" borderId="7" xfId="0" applyFont="1" applyFill="1" applyBorder="1"/>
    <xf numFmtId="0" fontId="6" fillId="0" borderId="26" xfId="0" applyFont="1" applyBorder="1" applyAlignment="1">
      <alignment horizontal="left" vertical="center"/>
    </xf>
    <xf numFmtId="1" fontId="6" fillId="0" borderId="22" xfId="0" applyNumberFormat="1" applyFont="1" applyBorder="1"/>
    <xf numFmtId="164" fontId="27" fillId="0" borderId="22" xfId="1" applyNumberFormat="1" applyFont="1" applyBorder="1" applyAlignment="1">
      <alignment horizontal="center"/>
    </xf>
    <xf numFmtId="0" fontId="31" fillId="2" borderId="0" xfId="0" applyFont="1" applyFill="1"/>
    <xf numFmtId="0" fontId="25" fillId="2" borderId="0" xfId="0" applyFont="1" applyFill="1"/>
    <xf numFmtId="43" fontId="6" fillId="2" borderId="0" xfId="0" applyNumberFormat="1" applyFont="1" applyFill="1"/>
    <xf numFmtId="0" fontId="23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27" fillId="2" borderId="0" xfId="0" applyFont="1" applyFill="1"/>
    <xf numFmtId="0" fontId="2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" fontId="10" fillId="2" borderId="0" xfId="0" applyNumberFormat="1" applyFont="1" applyFill="1" applyAlignment="1">
      <alignment horizontal="center"/>
    </xf>
    <xf numFmtId="0" fontId="33" fillId="2" borderId="0" xfId="0" applyFont="1" applyFill="1"/>
    <xf numFmtId="0" fontId="30" fillId="2" borderId="0" xfId="0" applyFont="1" applyFill="1"/>
    <xf numFmtId="0" fontId="31" fillId="2" borderId="0" xfId="0" applyFont="1" applyFill="1" applyAlignment="1">
      <alignment horizontal="right"/>
    </xf>
    <xf numFmtId="164" fontId="24" fillId="2" borderId="0" xfId="1" applyNumberFormat="1" applyFont="1" applyFill="1" applyBorder="1"/>
    <xf numFmtId="2" fontId="6" fillId="2" borderId="0" xfId="0" applyNumberFormat="1" applyFont="1" applyFill="1"/>
    <xf numFmtId="43" fontId="24" fillId="2" borderId="0" xfId="1" applyFont="1" applyFill="1" applyBorder="1"/>
    <xf numFmtId="43" fontId="6" fillId="2" borderId="0" xfId="1" applyFont="1" applyFill="1" applyBorder="1"/>
    <xf numFmtId="164" fontId="24" fillId="2" borderId="0" xfId="1" applyNumberFormat="1" applyFont="1" applyFill="1" applyBorder="1" applyAlignment="1">
      <alignment horizontal="center"/>
    </xf>
    <xf numFmtId="43" fontId="24" fillId="2" borderId="0" xfId="1" applyFont="1" applyFill="1" applyBorder="1" applyAlignment="1">
      <alignment horizontal="center"/>
    </xf>
    <xf numFmtId="0" fontId="24" fillId="2" borderId="0" xfId="0" applyFont="1" applyFill="1"/>
    <xf numFmtId="0" fontId="7" fillId="2" borderId="0" xfId="0" applyFont="1" applyFill="1"/>
    <xf numFmtId="0" fontId="31" fillId="2" borderId="27" xfId="0" applyFont="1" applyFill="1" applyBorder="1" applyAlignment="1">
      <alignment horizontal="right"/>
    </xf>
    <xf numFmtId="164" fontId="24" fillId="2" borderId="27" xfId="1" applyNumberFormat="1" applyFont="1" applyFill="1" applyBorder="1"/>
    <xf numFmtId="0" fontId="6" fillId="2" borderId="27" xfId="0" applyFont="1" applyFill="1" applyBorder="1"/>
    <xf numFmtId="43" fontId="24" fillId="2" borderId="27" xfId="1" applyFont="1" applyFill="1" applyBorder="1"/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right"/>
    </xf>
    <xf numFmtId="43" fontId="7" fillId="0" borderId="0" xfId="1" applyFont="1" applyBorder="1" applyAlignment="1">
      <alignment horizontal="right"/>
    </xf>
    <xf numFmtId="0" fontId="20" fillId="0" borderId="5" xfId="0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0" fillId="2" borderId="1" xfId="0" applyFont="1" applyFill="1" applyBorder="1"/>
    <xf numFmtId="1" fontId="0" fillId="0" borderId="5" xfId="0" applyNumberFormat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/>
    </xf>
    <xf numFmtId="0" fontId="6" fillId="0" borderId="31" xfId="0" applyFont="1" applyBorder="1"/>
    <xf numFmtId="1" fontId="6" fillId="0" borderId="1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65" fontId="35" fillId="0" borderId="1" xfId="3" applyNumberFormat="1" applyFont="1" applyBorder="1" applyAlignment="1">
      <alignment horizontal="center" vertical="center" wrapText="1"/>
    </xf>
    <xf numFmtId="0" fontId="20" fillId="2" borderId="5" xfId="0" applyFont="1" applyFill="1" applyBorder="1"/>
    <xf numFmtId="1" fontId="6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7" fillId="2" borderId="1" xfId="3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/>
    </xf>
    <xf numFmtId="0" fontId="38" fillId="0" borderId="30" xfId="0" applyFont="1" applyBorder="1" applyAlignment="1">
      <alignment horizontal="center"/>
    </xf>
    <xf numFmtId="0" fontId="37" fillId="0" borderId="30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1" fontId="40" fillId="0" borderId="30" xfId="0" applyNumberFormat="1" applyFont="1" applyBorder="1" applyAlignment="1">
      <alignment horizontal="center" vertical="center" wrapText="1"/>
    </xf>
    <xf numFmtId="166" fontId="39" fillId="0" borderId="30" xfId="0" applyNumberFormat="1" applyFont="1" applyBorder="1" applyAlignment="1">
      <alignment horizontal="center" vertical="center" wrapText="1"/>
    </xf>
    <xf numFmtId="1" fontId="37" fillId="0" borderId="30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6" fontId="43" fillId="0" borderId="0" xfId="0" applyNumberFormat="1" applyFont="1" applyAlignment="1">
      <alignment horizontal="center"/>
    </xf>
    <xf numFmtId="2" fontId="43" fillId="0" borderId="0" xfId="0" applyNumberFormat="1" applyFont="1" applyAlignment="1">
      <alignment horizontal="center"/>
    </xf>
    <xf numFmtId="1" fontId="44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0" fillId="0" borderId="3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" fontId="6" fillId="0" borderId="5" xfId="0" applyNumberFormat="1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4" fontId="7" fillId="0" borderId="29" xfId="0" applyNumberFormat="1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164" fontId="7" fillId="0" borderId="29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36" fillId="0" borderId="1" xfId="3" applyNumberFormat="1" applyFont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/>
    </xf>
    <xf numFmtId="164" fontId="35" fillId="0" borderId="1" xfId="1" applyNumberFormat="1" applyFont="1" applyBorder="1" applyAlignment="1">
      <alignment horizontal="center" vertical="center"/>
    </xf>
    <xf numFmtId="165" fontId="35" fillId="3" borderId="1" xfId="3" applyNumberFormat="1" applyFont="1" applyFill="1" applyBorder="1" applyAlignment="1">
      <alignment horizontal="center" vertical="center"/>
    </xf>
    <xf numFmtId="0" fontId="24" fillId="0" borderId="23" xfId="0" applyFont="1" applyBorder="1" applyAlignment="1">
      <alignment horizontal="right"/>
    </xf>
    <xf numFmtId="0" fontId="7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4" fillId="2" borderId="27" xfId="0" applyFont="1" applyFill="1" applyBorder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/>
    </xf>
    <xf numFmtId="0" fontId="45" fillId="4" borderId="33" xfId="0" applyFont="1" applyFill="1" applyBorder="1" applyAlignment="1">
      <alignment horizontal="center" vertical="center"/>
    </xf>
  </cellXfs>
  <cellStyles count="8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2 3" xfId="5" xr:uid="{00000000-0005-0000-0000-000005000000}"/>
    <cellStyle name="Normal 2 2 4" xfId="6" xr:uid="{00000000-0005-0000-0000-000006000000}"/>
    <cellStyle name="Normal 3" xfId="7" xr:uid="{00000000-0005-0000-0000-000007000000}"/>
  </cellStyles>
  <dxfs count="0"/>
  <tableStyles count="0" defaultTableStyle="TableStyleMedium9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36"/>
  <sheetViews>
    <sheetView tabSelected="1" workbookViewId="0">
      <selection activeCell="N17" sqref="N17"/>
    </sheetView>
  </sheetViews>
  <sheetFormatPr defaultColWidth="11.5703125" defaultRowHeight="15" x14ac:dyDescent="0.25"/>
  <cols>
    <col min="1" max="1" width="29.85546875" style="132" bestFit="1" customWidth="1"/>
    <col min="2" max="2" width="11.5703125" style="132"/>
    <col min="3" max="3" width="11.5703125" style="133"/>
    <col min="4" max="4" width="13.42578125" style="132" customWidth="1"/>
    <col min="5" max="5" width="12.5703125" style="132" customWidth="1"/>
    <col min="6" max="6" width="12.5703125" style="138" customWidth="1"/>
    <col min="7" max="7" width="11.5703125" style="132"/>
    <col min="8" max="8" width="11.5703125" style="138"/>
    <col min="9" max="9" width="11.5703125" style="132"/>
    <col min="10" max="10" width="11.5703125" style="138"/>
    <col min="11" max="11" width="11.5703125" style="137"/>
    <col min="12" max="12" width="11.5703125" style="135"/>
    <col min="13" max="13" width="11.5703125" style="134"/>
    <col min="14" max="16384" width="11.5703125" style="132"/>
  </cols>
  <sheetData>
    <row r="1" spans="1:14" s="130" customFormat="1" ht="60.75" thickBot="1" x14ac:dyDescent="0.3">
      <c r="A1" s="122" t="s">
        <v>58</v>
      </c>
      <c r="B1" s="122" t="s">
        <v>59</v>
      </c>
      <c r="C1" s="123" t="s">
        <v>60</v>
      </c>
      <c r="D1" s="124" t="s">
        <v>61</v>
      </c>
      <c r="E1" s="125" t="s">
        <v>62</v>
      </c>
      <c r="F1" s="126" t="s">
        <v>63</v>
      </c>
      <c r="G1" s="125" t="s">
        <v>64</v>
      </c>
      <c r="H1" s="126" t="s">
        <v>65</v>
      </c>
      <c r="I1" s="125" t="s">
        <v>66</v>
      </c>
      <c r="J1" s="126" t="s">
        <v>67</v>
      </c>
      <c r="K1" s="127" t="s">
        <v>68</v>
      </c>
      <c r="L1" s="128" t="s">
        <v>69</v>
      </c>
      <c r="M1" s="129" t="s">
        <v>70</v>
      </c>
    </row>
    <row r="2" spans="1:14" x14ac:dyDescent="0.25">
      <c r="A2" s="131" t="s">
        <v>72</v>
      </c>
      <c r="B2" s="132">
        <v>1</v>
      </c>
      <c r="C2" s="133">
        <v>5</v>
      </c>
      <c r="D2" s="132">
        <v>2024</v>
      </c>
      <c r="E2" s="134">
        <f>IF((Elect!D9+Elect!H9+Elect!J9)&lt;0,"0",Elect!D9+Elect!H9+Elect!J9)</f>
        <v>10685</v>
      </c>
      <c r="F2" s="135">
        <v>0.2</v>
      </c>
      <c r="G2" s="134">
        <f>IF(Water!C11&lt;0,"0",Water!C11)</f>
        <v>100</v>
      </c>
      <c r="H2" s="136">
        <v>7.84</v>
      </c>
      <c r="I2" s="134">
        <f>IF((Gas!C9+Gas!G9)&lt;0,"0",Gas!C9+Gas!G9)</f>
        <v>50</v>
      </c>
      <c r="J2" s="136">
        <v>9.75</v>
      </c>
      <c r="K2" s="137">
        <f>IF(('Chilled Water'!C4+'Chilled Water'!E4)&lt;0,"0",'Chilled Water'!C4+'Chilled Water'!E4)</f>
        <v>10199</v>
      </c>
      <c r="L2" s="135">
        <v>0.33</v>
      </c>
      <c r="M2" s="134">
        <f>Elect!B9</f>
        <v>318</v>
      </c>
      <c r="N2" s="130"/>
    </row>
    <row r="3" spans="1:14" x14ac:dyDescent="0.25">
      <c r="A3" s="131" t="s">
        <v>72</v>
      </c>
      <c r="B3" s="132">
        <f t="shared" ref="B3:B32" si="0">B2+1</f>
        <v>2</v>
      </c>
      <c r="C3" s="133">
        <v>5</v>
      </c>
      <c r="D3" s="132">
        <v>2024</v>
      </c>
      <c r="E3" s="134">
        <f>IF((Elect!D10+Elect!H10+Elect!J10)&lt;0,"0",Elect!D10+Elect!H10+Elect!J10)</f>
        <v>10094</v>
      </c>
      <c r="F3" s="135">
        <v>0.2</v>
      </c>
      <c r="G3" s="134">
        <f>IF(Water!C12&lt;0,"0",Water!C12)</f>
        <v>103</v>
      </c>
      <c r="H3" s="136">
        <v>7.84</v>
      </c>
      <c r="I3" s="134">
        <f>IF((Gas!C10+Gas!G10)&lt;0,"0",Gas!C10+Gas!G10)</f>
        <v>1</v>
      </c>
      <c r="J3" s="136">
        <v>9.75</v>
      </c>
      <c r="K3" s="137">
        <f>IF(('Chilled Water'!C5+'Chilled Water'!E5)&lt;0,"0",'Chilled Water'!C5+'Chilled Water'!E5)</f>
        <v>9305</v>
      </c>
      <c r="L3" s="135">
        <v>0.33</v>
      </c>
      <c r="M3" s="134">
        <f>Elect!B10</f>
        <v>320</v>
      </c>
      <c r="N3" s="130"/>
    </row>
    <row r="4" spans="1:14" x14ac:dyDescent="0.25">
      <c r="A4" s="131" t="s">
        <v>72</v>
      </c>
      <c r="B4" s="132">
        <f t="shared" si="0"/>
        <v>3</v>
      </c>
      <c r="C4" s="133">
        <v>5</v>
      </c>
      <c r="D4" s="132">
        <v>2024</v>
      </c>
      <c r="E4" s="134">
        <f>IF((Elect!D11+Elect!H11+Elect!J11)&lt;0,"0",Elect!D11+Elect!H11+Elect!J11)</f>
        <v>9973</v>
      </c>
      <c r="F4" s="135">
        <v>0.2</v>
      </c>
      <c r="G4" s="134">
        <f>IF(Water!C13&lt;0,"0",Water!C13)</f>
        <v>105</v>
      </c>
      <c r="H4" s="136">
        <v>7.84</v>
      </c>
      <c r="I4" s="134">
        <f>IF((Gas!C11+Gas!G11)&lt;0,"0",Gas!C11+Gas!G11)</f>
        <v>128</v>
      </c>
      <c r="J4" s="136">
        <v>9.75</v>
      </c>
      <c r="K4" s="137">
        <f>IF(('Chilled Water'!C6+'Chilled Water'!E6)&lt;0,"0",'Chilled Water'!C6+'Chilled Water'!E6)</f>
        <v>8774</v>
      </c>
      <c r="L4" s="135">
        <v>0.33</v>
      </c>
      <c r="M4" s="134">
        <f>Elect!B11</f>
        <v>317</v>
      </c>
      <c r="N4" s="130"/>
    </row>
    <row r="5" spans="1:14" x14ac:dyDescent="0.25">
      <c r="A5" s="131" t="s">
        <v>72</v>
      </c>
      <c r="B5" s="132">
        <f t="shared" si="0"/>
        <v>4</v>
      </c>
      <c r="C5" s="133">
        <v>5</v>
      </c>
      <c r="D5" s="132">
        <v>2024</v>
      </c>
      <c r="E5" s="134">
        <f>IF((Elect!D12+Elect!H12+Elect!J12)&lt;0,"0",Elect!D12+Elect!H12+Elect!J12)</f>
        <v>10157</v>
      </c>
      <c r="F5" s="135">
        <v>0.2</v>
      </c>
      <c r="G5" s="134">
        <f>IF(Water!C14&lt;0,"0",Water!C14)</f>
        <v>105</v>
      </c>
      <c r="H5" s="136">
        <v>7.84</v>
      </c>
      <c r="I5" s="134">
        <f>IF((Gas!C12+Gas!G12)&lt;0,"0",Gas!C12+Gas!G12)</f>
        <v>66</v>
      </c>
      <c r="J5" s="136">
        <v>9.75</v>
      </c>
      <c r="K5" s="137">
        <f>IF(('Chilled Water'!C7+'Chilled Water'!E7)&lt;0,"0",'Chilled Water'!C7+'Chilled Water'!E7)</f>
        <v>10003</v>
      </c>
      <c r="L5" s="135">
        <v>0.33</v>
      </c>
      <c r="M5" s="134">
        <f>Elect!B12</f>
        <v>311</v>
      </c>
      <c r="N5" s="130"/>
    </row>
    <row r="6" spans="1:14" x14ac:dyDescent="0.25">
      <c r="A6" s="131" t="s">
        <v>72</v>
      </c>
      <c r="B6" s="132">
        <f t="shared" si="0"/>
        <v>5</v>
      </c>
      <c r="C6" s="133">
        <v>5</v>
      </c>
      <c r="D6" s="132">
        <v>2024</v>
      </c>
      <c r="E6" s="134">
        <f>IF((Elect!D13+Elect!H13+Elect!J13)&lt;0,"0",Elect!D13+Elect!H13+Elect!J13)</f>
        <v>10740</v>
      </c>
      <c r="F6" s="135">
        <v>0.2</v>
      </c>
      <c r="G6" s="134">
        <f>IF(Water!C15&lt;0,"0",Water!C15)</f>
        <v>114</v>
      </c>
      <c r="H6" s="136">
        <v>7.84</v>
      </c>
      <c r="I6" s="134">
        <f>IF((Gas!C13+Gas!G13)&lt;0,"0",Gas!C13+Gas!G13)</f>
        <v>68</v>
      </c>
      <c r="J6" s="136">
        <v>9.75</v>
      </c>
      <c r="K6" s="137">
        <f>IF(('Chilled Water'!C8+'Chilled Water'!E8)&lt;0,"0",'Chilled Water'!C8+'Chilled Water'!E8)</f>
        <v>9786</v>
      </c>
      <c r="L6" s="135">
        <v>0.33</v>
      </c>
      <c r="M6" s="134">
        <f>Elect!B13</f>
        <v>307</v>
      </c>
      <c r="N6" s="130"/>
    </row>
    <row r="7" spans="1:14" x14ac:dyDescent="0.25">
      <c r="A7" s="131" t="s">
        <v>72</v>
      </c>
      <c r="B7" s="132">
        <f t="shared" si="0"/>
        <v>6</v>
      </c>
      <c r="C7" s="133">
        <v>5</v>
      </c>
      <c r="D7" s="132">
        <v>2024</v>
      </c>
      <c r="E7" s="134">
        <f>IF((Elect!D14+Elect!H14+Elect!J14)&lt;0,"0",Elect!D14+Elect!H14+Elect!J14)</f>
        <v>11148</v>
      </c>
      <c r="F7" s="135">
        <v>0.2</v>
      </c>
      <c r="G7" s="134">
        <f>IF(Water!C16&lt;0,"0",Water!C16)</f>
        <v>117</v>
      </c>
      <c r="H7" s="136">
        <v>7.84</v>
      </c>
      <c r="I7" s="134">
        <f>IF((Gas!C14+Gas!G14)&lt;0,"0",Gas!C14+Gas!G14)</f>
        <v>44</v>
      </c>
      <c r="J7" s="136">
        <v>9.75</v>
      </c>
      <c r="K7" s="137">
        <f>IF(('Chilled Water'!C9+'Chilled Water'!E9)&lt;0,"0",'Chilled Water'!C9+'Chilled Water'!E9)</f>
        <v>9901</v>
      </c>
      <c r="L7" s="135">
        <v>0.33</v>
      </c>
      <c r="M7" s="134">
        <f>Elect!B14</f>
        <v>312</v>
      </c>
    </row>
    <row r="8" spans="1:14" x14ac:dyDescent="0.25">
      <c r="A8" s="131" t="s">
        <v>72</v>
      </c>
      <c r="B8" s="132">
        <f t="shared" si="0"/>
        <v>7</v>
      </c>
      <c r="C8" s="133">
        <v>5</v>
      </c>
      <c r="D8" s="132">
        <v>2024</v>
      </c>
      <c r="E8" s="134">
        <f>IF((Elect!D15+Elect!H15+Elect!J15)&lt;0,"0",Elect!D15+Elect!H15+Elect!J15)</f>
        <v>11137</v>
      </c>
      <c r="F8" s="135">
        <v>0.2</v>
      </c>
      <c r="G8" s="134">
        <f>IF(Water!C17&lt;0,"0",Water!C17)</f>
        <v>218</v>
      </c>
      <c r="H8" s="136">
        <v>7.84</v>
      </c>
      <c r="I8" s="134">
        <f>IF((Gas!C15+Gas!G15)&lt;0,"0",Gas!C15+Gas!G15)</f>
        <v>36</v>
      </c>
      <c r="J8" s="136">
        <v>9.75</v>
      </c>
      <c r="K8" s="137">
        <f>IF(('Chilled Water'!C10+'Chilled Water'!E10)&lt;0,"0",'Chilled Water'!C10+'Chilled Water'!E10)</f>
        <v>10019</v>
      </c>
      <c r="L8" s="135">
        <v>0.33</v>
      </c>
      <c r="M8" s="134">
        <f>Elect!B15</f>
        <v>314</v>
      </c>
    </row>
    <row r="9" spans="1:14" x14ac:dyDescent="0.25">
      <c r="A9" s="131" t="s">
        <v>72</v>
      </c>
      <c r="B9" s="132">
        <f t="shared" si="0"/>
        <v>8</v>
      </c>
      <c r="C9" s="133">
        <v>5</v>
      </c>
      <c r="D9" s="132">
        <v>2024</v>
      </c>
      <c r="E9" s="134">
        <f>IF((Elect!D16+Elect!H16+Elect!J16)&lt;0,"0",Elect!D16+Elect!H16+Elect!J16)</f>
        <v>11295</v>
      </c>
      <c r="F9" s="135">
        <v>0.2</v>
      </c>
      <c r="G9" s="134">
        <f>IF(Water!C18&lt;0,"0",Water!C18)</f>
        <v>101</v>
      </c>
      <c r="H9" s="136">
        <v>7.84</v>
      </c>
      <c r="I9" s="134">
        <f>IF((Gas!C16+Gas!G16)&lt;0,"0",Gas!C16+Gas!G16)</f>
        <v>74</v>
      </c>
      <c r="J9" s="136">
        <v>9.75</v>
      </c>
      <c r="K9" s="137">
        <f>IF(('Chilled Water'!C11+'Chilled Water'!E11)&lt;0,"0",'Chilled Water'!C11+'Chilled Water'!E11)</f>
        <v>10892</v>
      </c>
      <c r="L9" s="135">
        <v>0.33</v>
      </c>
      <c r="M9" s="134">
        <f>Elect!B16</f>
        <v>314</v>
      </c>
    </row>
    <row r="10" spans="1:14" x14ac:dyDescent="0.25">
      <c r="A10" s="131" t="s">
        <v>72</v>
      </c>
      <c r="B10" s="132">
        <f t="shared" si="0"/>
        <v>9</v>
      </c>
      <c r="C10" s="133">
        <v>5</v>
      </c>
      <c r="D10" s="132">
        <v>2024</v>
      </c>
      <c r="E10" s="134">
        <f>IF((Elect!D17+Elect!H17+Elect!J17)&lt;0,"0",Elect!D17+Elect!H17+Elect!J17)</f>
        <v>11220</v>
      </c>
      <c r="F10" s="135">
        <v>0.2</v>
      </c>
      <c r="G10" s="134">
        <f>IF(Water!C19&lt;0,"0",Water!C19)</f>
        <v>106</v>
      </c>
      <c r="H10" s="136">
        <v>7.84</v>
      </c>
      <c r="I10" s="134">
        <f>IF((Gas!C17+Gas!G17)&lt;0,"0",Gas!C17+Gas!G17)</f>
        <v>66</v>
      </c>
      <c r="J10" s="136">
        <v>9.75</v>
      </c>
      <c r="K10" s="137">
        <f>IF(('Chilled Water'!C12+'Chilled Water'!E12)&lt;0,"0",'Chilled Water'!C12+'Chilled Water'!E12)</f>
        <v>10152</v>
      </c>
      <c r="L10" s="135">
        <v>0.33</v>
      </c>
      <c r="M10" s="134">
        <f>Elect!B17</f>
        <v>316</v>
      </c>
    </row>
    <row r="11" spans="1:14" x14ac:dyDescent="0.25">
      <c r="A11" s="131" t="s">
        <v>72</v>
      </c>
      <c r="B11" s="132">
        <f t="shared" si="0"/>
        <v>10</v>
      </c>
      <c r="C11" s="133">
        <v>5</v>
      </c>
      <c r="D11" s="132">
        <v>2024</v>
      </c>
      <c r="E11" s="134">
        <f>IF((Elect!D18+Elect!H18+Elect!J18)&lt;0,"0",Elect!D18+Elect!H18+Elect!J18)</f>
        <v>11278</v>
      </c>
      <c r="F11" s="135">
        <v>0.2</v>
      </c>
      <c r="G11" s="134" t="str">
        <f>IF(Water!C20&lt;0,"0",Water!C20)</f>
        <v>0</v>
      </c>
      <c r="H11" s="136">
        <v>7.84</v>
      </c>
      <c r="I11" s="134">
        <f>IF((Gas!C18+Gas!G18)&lt;0,"0",Gas!C18+Gas!G18)</f>
        <v>69</v>
      </c>
      <c r="J11" s="136">
        <v>9.75</v>
      </c>
      <c r="K11" s="137">
        <f>IF(('Chilled Water'!C13+'Chilled Water'!E13)&lt;0,"0",'Chilled Water'!C13+'Chilled Water'!E13)</f>
        <v>10171</v>
      </c>
      <c r="L11" s="135">
        <v>0.33</v>
      </c>
      <c r="M11" s="134">
        <f>Elect!B18</f>
        <v>305</v>
      </c>
    </row>
    <row r="12" spans="1:14" x14ac:dyDescent="0.25">
      <c r="A12" s="131" t="s">
        <v>72</v>
      </c>
      <c r="B12" s="132">
        <f t="shared" si="0"/>
        <v>11</v>
      </c>
      <c r="C12" s="133">
        <v>5</v>
      </c>
      <c r="D12" s="132">
        <v>2024</v>
      </c>
      <c r="E12" s="134">
        <f>IF((Elect!D19+Elect!H19+Elect!J19)&lt;0,"0",Elect!D19+Elect!H19+Elect!J19)</f>
        <v>11403</v>
      </c>
      <c r="F12" s="135">
        <v>0.2</v>
      </c>
      <c r="G12" s="134">
        <f>IF(Water!C21&lt;0,"0",Water!C21)</f>
        <v>0</v>
      </c>
      <c r="H12" s="136">
        <v>7.84</v>
      </c>
      <c r="I12" s="134">
        <f>IF((Gas!C19+Gas!G19)&lt;0,"0",Gas!C19+Gas!G19)</f>
        <v>76</v>
      </c>
      <c r="J12" s="136">
        <v>9.75</v>
      </c>
      <c r="K12" s="137">
        <f>IF(('Chilled Water'!C14+'Chilled Water'!E14)&lt;0,"0",'Chilled Water'!C14+'Chilled Water'!E14)</f>
        <v>9908</v>
      </c>
      <c r="L12" s="135">
        <v>0.33</v>
      </c>
      <c r="M12" s="134">
        <f>Elect!B19</f>
        <v>304</v>
      </c>
    </row>
    <row r="13" spans="1:14" x14ac:dyDescent="0.25">
      <c r="A13" s="131" t="s">
        <v>72</v>
      </c>
      <c r="B13" s="132">
        <f t="shared" si="0"/>
        <v>12</v>
      </c>
      <c r="C13" s="133">
        <v>5</v>
      </c>
      <c r="D13" s="132">
        <v>2024</v>
      </c>
      <c r="E13" s="134" t="str">
        <f>IF((Elect!D20+Elect!H20+Elect!J20)&lt;0,"0",Elect!D20+Elect!H20+Elect!J20)</f>
        <v>0</v>
      </c>
      <c r="F13" s="135">
        <v>0.2</v>
      </c>
      <c r="G13" s="134">
        <f>IF(Water!C22&lt;0,"0",Water!C22)</f>
        <v>0</v>
      </c>
      <c r="H13" s="136">
        <v>7.84</v>
      </c>
      <c r="I13" s="134" t="str">
        <f>IF((Gas!C20+Gas!G20)&lt;0,"0",Gas!C20+Gas!G20)</f>
        <v>0</v>
      </c>
      <c r="J13" s="136">
        <v>9.75</v>
      </c>
      <c r="K13" s="137" t="str">
        <f>IF(('Chilled Water'!C15+'Chilled Water'!E15)&lt;0,"0",'Chilled Water'!C15+'Chilled Water'!E15)</f>
        <v>0</v>
      </c>
      <c r="L13" s="135">
        <v>0.33</v>
      </c>
      <c r="M13" s="134">
        <f>Elect!B20</f>
        <v>0</v>
      </c>
    </row>
    <row r="14" spans="1:14" x14ac:dyDescent="0.25">
      <c r="A14" s="131" t="s">
        <v>72</v>
      </c>
      <c r="B14" s="132">
        <f t="shared" si="0"/>
        <v>13</v>
      </c>
      <c r="C14" s="133">
        <v>5</v>
      </c>
      <c r="D14" s="132">
        <v>2024</v>
      </c>
      <c r="E14" s="134">
        <f>IF((Elect!D21+Elect!H21+Elect!J21)&lt;0,"0",Elect!D21+Elect!H21+Elect!J21)</f>
        <v>0</v>
      </c>
      <c r="F14" s="135">
        <v>0.2</v>
      </c>
      <c r="G14" s="134">
        <f>IF(Water!C23&lt;0,"0",Water!C23)</f>
        <v>0</v>
      </c>
      <c r="H14" s="136">
        <v>7.84</v>
      </c>
      <c r="I14" s="134">
        <f>IF((Gas!C21+Gas!G21)&lt;0,"0",Gas!C21+Gas!G21)</f>
        <v>0</v>
      </c>
      <c r="J14" s="136">
        <v>9.75</v>
      </c>
      <c r="K14" s="137">
        <f>IF(('Chilled Water'!C16+'Chilled Water'!E16)&lt;0,"0",'Chilled Water'!C16+'Chilled Water'!E16)</f>
        <v>0</v>
      </c>
      <c r="L14" s="135">
        <v>0.33</v>
      </c>
      <c r="M14" s="134">
        <f>Elect!B21</f>
        <v>0</v>
      </c>
    </row>
    <row r="15" spans="1:14" x14ac:dyDescent="0.25">
      <c r="A15" s="131" t="s">
        <v>72</v>
      </c>
      <c r="B15" s="132">
        <f t="shared" si="0"/>
        <v>14</v>
      </c>
      <c r="C15" s="133">
        <v>5</v>
      </c>
      <c r="D15" s="132">
        <v>2024</v>
      </c>
      <c r="E15" s="134">
        <f>IF((Elect!D22+Elect!H22+Elect!J22)&lt;0,"0",Elect!D22+Elect!H22+Elect!J22)</f>
        <v>0</v>
      </c>
      <c r="F15" s="135">
        <v>0.2</v>
      </c>
      <c r="G15" s="134">
        <f>IF(Water!C24&lt;0,"0",Water!C24)</f>
        <v>0</v>
      </c>
      <c r="H15" s="136">
        <v>7.84</v>
      </c>
      <c r="I15" s="134">
        <f>IF((Gas!C22+Gas!G22)&lt;0,"0",Gas!C22+Gas!G22)</f>
        <v>0</v>
      </c>
      <c r="J15" s="136">
        <v>9.75</v>
      </c>
      <c r="K15" s="137">
        <f>IF(('Chilled Water'!C17+'Chilled Water'!E17)&lt;0,"0",'Chilled Water'!C17+'Chilled Water'!E17)</f>
        <v>0</v>
      </c>
      <c r="L15" s="135">
        <v>0.33</v>
      </c>
      <c r="M15" s="134">
        <f>Elect!B22</f>
        <v>0</v>
      </c>
    </row>
    <row r="16" spans="1:14" x14ac:dyDescent="0.25">
      <c r="A16" s="131" t="s">
        <v>72</v>
      </c>
      <c r="B16" s="132">
        <f t="shared" si="0"/>
        <v>15</v>
      </c>
      <c r="C16" s="133">
        <v>5</v>
      </c>
      <c r="D16" s="132">
        <v>2024</v>
      </c>
      <c r="E16" s="134">
        <f>IF((Elect!D23+Elect!H23+Elect!J23)&lt;0,"0",Elect!D23+Elect!H23+Elect!J23)</f>
        <v>0</v>
      </c>
      <c r="F16" s="135">
        <v>0.2</v>
      </c>
      <c r="G16" s="134">
        <f>IF(Water!C25&lt;0,"0",Water!C25)</f>
        <v>0</v>
      </c>
      <c r="H16" s="136">
        <v>7.84</v>
      </c>
      <c r="I16" s="134">
        <f>IF((Gas!C23+Gas!G23)&lt;0,"0",Gas!C23+Gas!G23)</f>
        <v>0</v>
      </c>
      <c r="J16" s="136">
        <v>9.75</v>
      </c>
      <c r="K16" s="137">
        <f>IF(('Chilled Water'!C18+'Chilled Water'!E18)&lt;0,"0",'Chilled Water'!C18+'Chilled Water'!E18)</f>
        <v>0</v>
      </c>
      <c r="L16" s="135">
        <v>0.33</v>
      </c>
      <c r="M16" s="134">
        <f>Elect!B23</f>
        <v>0</v>
      </c>
    </row>
    <row r="17" spans="1:13" x14ac:dyDescent="0.25">
      <c r="A17" s="131" t="s">
        <v>72</v>
      </c>
      <c r="B17" s="132">
        <f t="shared" si="0"/>
        <v>16</v>
      </c>
      <c r="C17" s="133">
        <v>5</v>
      </c>
      <c r="D17" s="132">
        <v>2024</v>
      </c>
      <c r="E17" s="134">
        <f>IF((Elect!D24+Elect!H24+Elect!J24)&lt;0,"0",Elect!D24+Elect!H24+Elect!J24)</f>
        <v>0</v>
      </c>
      <c r="F17" s="135">
        <v>0.2</v>
      </c>
      <c r="G17" s="134">
        <f>IF(Water!C26&lt;0,"0",Water!C26)</f>
        <v>0</v>
      </c>
      <c r="H17" s="136">
        <v>7.84</v>
      </c>
      <c r="I17" s="134">
        <f>IF((Gas!C24+Gas!G24)&lt;0,"0",Gas!C24+Gas!G24)</f>
        <v>0</v>
      </c>
      <c r="J17" s="136">
        <v>9.75</v>
      </c>
      <c r="K17" s="137">
        <f>IF(('Chilled Water'!C19+'Chilled Water'!E19)&lt;0,"0",'Chilled Water'!C19+'Chilled Water'!E19)</f>
        <v>0</v>
      </c>
      <c r="L17" s="135">
        <v>0.33</v>
      </c>
      <c r="M17" s="134">
        <f>Elect!B24</f>
        <v>0</v>
      </c>
    </row>
    <row r="18" spans="1:13" x14ac:dyDescent="0.25">
      <c r="A18" s="131" t="s">
        <v>72</v>
      </c>
      <c r="B18" s="132">
        <f t="shared" si="0"/>
        <v>17</v>
      </c>
      <c r="C18" s="133">
        <v>5</v>
      </c>
      <c r="D18" s="132">
        <v>2024</v>
      </c>
      <c r="E18" s="134">
        <f>IF((Elect!D25+Elect!H25+Elect!J25)&lt;0,"0",Elect!D25+Elect!H25+Elect!J25)</f>
        <v>0</v>
      </c>
      <c r="F18" s="135">
        <v>0.2</v>
      </c>
      <c r="G18" s="134">
        <f>IF(Water!C27&lt;0,"0",Water!C27)</f>
        <v>0</v>
      </c>
      <c r="H18" s="136">
        <v>7.84</v>
      </c>
      <c r="I18" s="134">
        <f>IF((Gas!C25+Gas!G25)&lt;0,"0",Gas!C25+Gas!G25)</f>
        <v>0</v>
      </c>
      <c r="J18" s="136">
        <v>9.75</v>
      </c>
      <c r="K18" s="137">
        <f>IF(('Chilled Water'!C20+'Chilled Water'!E20)&lt;0,"0",'Chilled Water'!C20+'Chilled Water'!E20)</f>
        <v>0</v>
      </c>
      <c r="L18" s="135">
        <v>0.33</v>
      </c>
      <c r="M18" s="134">
        <f>Elect!B25</f>
        <v>0</v>
      </c>
    </row>
    <row r="19" spans="1:13" x14ac:dyDescent="0.25">
      <c r="A19" s="131" t="s">
        <v>72</v>
      </c>
      <c r="B19" s="132">
        <f t="shared" si="0"/>
        <v>18</v>
      </c>
      <c r="C19" s="133">
        <v>5</v>
      </c>
      <c r="D19" s="132">
        <v>2024</v>
      </c>
      <c r="E19" s="134">
        <f>IF((Elect!D26+Elect!H26+Elect!J26)&lt;0,"0",Elect!D26+Elect!H26+Elect!J26)</f>
        <v>0</v>
      </c>
      <c r="F19" s="135">
        <v>0.2</v>
      </c>
      <c r="G19" s="134">
        <f>IF(Water!C28&lt;0,"0",Water!C28)</f>
        <v>0</v>
      </c>
      <c r="H19" s="136">
        <v>7.84</v>
      </c>
      <c r="I19" s="134">
        <f>IF((Gas!C26+Gas!G26)&lt;0,"0",Gas!C26+Gas!G26)</f>
        <v>0</v>
      </c>
      <c r="J19" s="136">
        <v>9.75</v>
      </c>
      <c r="K19" s="137">
        <f>IF(('Chilled Water'!C21+'Chilled Water'!E21)&lt;0,"0",'Chilled Water'!C21+'Chilled Water'!E21)</f>
        <v>0</v>
      </c>
      <c r="L19" s="135">
        <v>0.33</v>
      </c>
      <c r="M19" s="134">
        <f>Elect!B26</f>
        <v>0</v>
      </c>
    </row>
    <row r="20" spans="1:13" x14ac:dyDescent="0.25">
      <c r="A20" s="131" t="s">
        <v>72</v>
      </c>
      <c r="B20" s="132">
        <f t="shared" si="0"/>
        <v>19</v>
      </c>
      <c r="C20" s="133">
        <v>5</v>
      </c>
      <c r="D20" s="132">
        <v>2024</v>
      </c>
      <c r="E20" s="134">
        <f>IF((Elect!D27+Elect!H27+Elect!J27)&lt;0,"0",Elect!D27+Elect!H27+Elect!J27)</f>
        <v>0</v>
      </c>
      <c r="F20" s="135">
        <v>0.2</v>
      </c>
      <c r="G20" s="134">
        <f>IF(Water!C29&lt;0,"0",Water!C29)</f>
        <v>0</v>
      </c>
      <c r="H20" s="136">
        <v>7.84</v>
      </c>
      <c r="I20" s="134">
        <f>IF((Gas!C27+Gas!G27)&lt;0,"0",Gas!C27+Gas!G27)</f>
        <v>0</v>
      </c>
      <c r="J20" s="136">
        <v>9.75</v>
      </c>
      <c r="K20" s="137">
        <f>IF(('Chilled Water'!C22+'Chilled Water'!E22)&lt;0,"0",'Chilled Water'!C22+'Chilled Water'!E22)</f>
        <v>0</v>
      </c>
      <c r="L20" s="135">
        <v>0.33</v>
      </c>
      <c r="M20" s="134">
        <f>Elect!B27</f>
        <v>0</v>
      </c>
    </row>
    <row r="21" spans="1:13" x14ac:dyDescent="0.25">
      <c r="A21" s="131" t="s">
        <v>72</v>
      </c>
      <c r="B21" s="132">
        <f t="shared" si="0"/>
        <v>20</v>
      </c>
      <c r="C21" s="133">
        <v>5</v>
      </c>
      <c r="D21" s="132">
        <v>2024</v>
      </c>
      <c r="E21" s="134">
        <f>IF((Elect!D28+Elect!H28+Elect!J28)&lt;0,"0",Elect!D28+Elect!H28+Elect!J28)</f>
        <v>0</v>
      </c>
      <c r="F21" s="135">
        <v>0.2</v>
      </c>
      <c r="G21" s="134">
        <f>IF(Water!C30&lt;0,"0",Water!C30)</f>
        <v>0</v>
      </c>
      <c r="H21" s="136">
        <v>7.84</v>
      </c>
      <c r="I21" s="134">
        <f>IF((Gas!C28+Gas!G28)&lt;0,"0",Gas!C28+Gas!G28)</f>
        <v>0</v>
      </c>
      <c r="J21" s="136">
        <v>9.75</v>
      </c>
      <c r="K21" s="137">
        <f>IF(('Chilled Water'!C23+'Chilled Water'!E23)&lt;0,"0",'Chilled Water'!C23+'Chilled Water'!E23)</f>
        <v>0</v>
      </c>
      <c r="L21" s="135">
        <v>0.33</v>
      </c>
      <c r="M21" s="134">
        <f>Elect!B28</f>
        <v>0</v>
      </c>
    </row>
    <row r="22" spans="1:13" x14ac:dyDescent="0.25">
      <c r="A22" s="131" t="s">
        <v>72</v>
      </c>
      <c r="B22" s="132">
        <f t="shared" si="0"/>
        <v>21</v>
      </c>
      <c r="C22" s="133">
        <v>5</v>
      </c>
      <c r="D22" s="132">
        <v>2024</v>
      </c>
      <c r="E22" s="134">
        <f>IF((Elect!D29+Elect!H29+Elect!J29)&lt;0,"0",Elect!D29+Elect!H29+Elect!J29)</f>
        <v>0</v>
      </c>
      <c r="F22" s="135">
        <v>0.2</v>
      </c>
      <c r="G22" s="134">
        <f>IF(Water!C31&lt;0,"0",Water!C31)</f>
        <v>0</v>
      </c>
      <c r="H22" s="136">
        <v>7.84</v>
      </c>
      <c r="I22" s="134">
        <f>IF((Gas!C29+Gas!G29)&lt;0,"0",Gas!C29+Gas!G29)</f>
        <v>0</v>
      </c>
      <c r="J22" s="136">
        <v>9.75</v>
      </c>
      <c r="K22" s="137">
        <f>IF(('Chilled Water'!C24+'Chilled Water'!E24)&lt;0,"0",'Chilled Water'!C24+'Chilled Water'!E24)</f>
        <v>0</v>
      </c>
      <c r="L22" s="135">
        <v>0.33</v>
      </c>
      <c r="M22" s="134">
        <f>Elect!B29</f>
        <v>0</v>
      </c>
    </row>
    <row r="23" spans="1:13" x14ac:dyDescent="0.25">
      <c r="A23" s="131" t="s">
        <v>72</v>
      </c>
      <c r="B23" s="132">
        <f t="shared" si="0"/>
        <v>22</v>
      </c>
      <c r="C23" s="133">
        <v>5</v>
      </c>
      <c r="D23" s="132">
        <v>2024</v>
      </c>
      <c r="E23" s="134">
        <f>IF((Elect!D30+Elect!H30+Elect!J30)&lt;0,"0",Elect!D30+Elect!H30+Elect!J30)</f>
        <v>0</v>
      </c>
      <c r="F23" s="135">
        <v>0.2</v>
      </c>
      <c r="G23" s="134">
        <f>IF(Water!C32&lt;0,"0",Water!C32)</f>
        <v>0</v>
      </c>
      <c r="H23" s="136">
        <v>7.84</v>
      </c>
      <c r="I23" s="134">
        <f>IF((Gas!C30+Gas!G30)&lt;0,"0",Gas!C30+Gas!G30)</f>
        <v>0</v>
      </c>
      <c r="J23" s="136">
        <v>9.75</v>
      </c>
      <c r="K23" s="137">
        <f>IF(('Chilled Water'!C25+'Chilled Water'!E25)&lt;0,"0",'Chilled Water'!C25+'Chilled Water'!E25)</f>
        <v>0</v>
      </c>
      <c r="L23" s="135">
        <v>0.33</v>
      </c>
      <c r="M23" s="134">
        <f>Elect!B30</f>
        <v>0</v>
      </c>
    </row>
    <row r="24" spans="1:13" x14ac:dyDescent="0.25">
      <c r="A24" s="131" t="s">
        <v>72</v>
      </c>
      <c r="B24" s="132">
        <f t="shared" si="0"/>
        <v>23</v>
      </c>
      <c r="C24" s="133">
        <v>5</v>
      </c>
      <c r="D24" s="132">
        <v>2024</v>
      </c>
      <c r="E24" s="134">
        <f>IF((Elect!D31+Elect!H31+Elect!J31)&lt;0,"0",Elect!D31+Elect!H31+Elect!J31)</f>
        <v>0</v>
      </c>
      <c r="F24" s="135">
        <v>0.2</v>
      </c>
      <c r="G24" s="134">
        <f>IF(Water!C33&lt;0,"0",Water!C33)</f>
        <v>0</v>
      </c>
      <c r="H24" s="136">
        <v>7.84</v>
      </c>
      <c r="I24" s="134">
        <f>IF((Gas!C31+Gas!G31)&lt;0,"0",Gas!C31+Gas!G31)</f>
        <v>0</v>
      </c>
      <c r="J24" s="136">
        <v>9.75</v>
      </c>
      <c r="K24" s="137">
        <f>IF(('Chilled Water'!C26+'Chilled Water'!E26)&lt;0,"0",'Chilled Water'!C26+'Chilled Water'!E26)</f>
        <v>0</v>
      </c>
      <c r="L24" s="135">
        <v>0.33</v>
      </c>
      <c r="M24" s="134">
        <f>Elect!B31</f>
        <v>0</v>
      </c>
    </row>
    <row r="25" spans="1:13" x14ac:dyDescent="0.25">
      <c r="A25" s="131" t="s">
        <v>72</v>
      </c>
      <c r="B25" s="132">
        <f t="shared" si="0"/>
        <v>24</v>
      </c>
      <c r="C25" s="133">
        <v>5</v>
      </c>
      <c r="D25" s="132">
        <v>2024</v>
      </c>
      <c r="E25" s="134">
        <f>IF((Elect!D32+Elect!H32+Elect!J32)&lt;0,"0",Elect!D32+Elect!H32+Elect!J32)</f>
        <v>0</v>
      </c>
      <c r="F25" s="135">
        <v>0.2</v>
      </c>
      <c r="G25" s="134">
        <f>IF(Water!C34&lt;0,"0",Water!C34)</f>
        <v>0</v>
      </c>
      <c r="H25" s="136">
        <v>7.84</v>
      </c>
      <c r="I25" s="134">
        <f>IF((Gas!C32+Gas!G32)&lt;0,"0",Gas!C32+Gas!G32)</f>
        <v>0</v>
      </c>
      <c r="J25" s="136">
        <v>9.75</v>
      </c>
      <c r="K25" s="137">
        <f>IF(('Chilled Water'!C27+'Chilled Water'!E27)&lt;0,"0",'Chilled Water'!C27+'Chilled Water'!E27)</f>
        <v>0</v>
      </c>
      <c r="L25" s="135">
        <v>0.33</v>
      </c>
      <c r="M25" s="134">
        <f>Elect!B32</f>
        <v>0</v>
      </c>
    </row>
    <row r="26" spans="1:13" x14ac:dyDescent="0.25">
      <c r="A26" s="131" t="s">
        <v>72</v>
      </c>
      <c r="B26" s="132">
        <f t="shared" si="0"/>
        <v>25</v>
      </c>
      <c r="C26" s="133">
        <v>5</v>
      </c>
      <c r="D26" s="132">
        <v>2024</v>
      </c>
      <c r="E26" s="134">
        <f>IF((Elect!D33+Elect!H33+Elect!J33)&lt;0,"0",Elect!D33+Elect!H33+Elect!J33)</f>
        <v>0</v>
      </c>
      <c r="F26" s="135">
        <v>0.2</v>
      </c>
      <c r="G26" s="134">
        <f>IF(Water!C35&lt;0,"0",Water!C35)</f>
        <v>0</v>
      </c>
      <c r="H26" s="136">
        <v>7.84</v>
      </c>
      <c r="I26" s="134">
        <f>IF((Gas!C33+Gas!G33)&lt;0,"0",Gas!C33+Gas!G33)</f>
        <v>0</v>
      </c>
      <c r="J26" s="136">
        <v>9.75</v>
      </c>
      <c r="K26" s="137">
        <f>IF(('Chilled Water'!C28+'Chilled Water'!E28)&lt;0,"0",'Chilled Water'!C28+'Chilled Water'!E28)</f>
        <v>0</v>
      </c>
      <c r="L26" s="135">
        <v>0.33</v>
      </c>
      <c r="M26" s="134">
        <f>Elect!B33</f>
        <v>0</v>
      </c>
    </row>
    <row r="27" spans="1:13" x14ac:dyDescent="0.25">
      <c r="A27" s="131" t="s">
        <v>72</v>
      </c>
      <c r="B27" s="132">
        <f t="shared" si="0"/>
        <v>26</v>
      </c>
      <c r="C27" s="133">
        <v>5</v>
      </c>
      <c r="D27" s="132">
        <v>2024</v>
      </c>
      <c r="E27" s="134">
        <f>IF((Elect!D34+Elect!H34+Elect!J34)&lt;0,"0",Elect!D34+Elect!H34+Elect!J34)</f>
        <v>0</v>
      </c>
      <c r="F27" s="135">
        <v>0.2</v>
      </c>
      <c r="G27" s="134">
        <f>IF(Water!C36&lt;0,"0",Water!C36)</f>
        <v>0</v>
      </c>
      <c r="H27" s="136">
        <v>7.84</v>
      </c>
      <c r="I27" s="134">
        <f>IF((Gas!C34+Gas!G34)&lt;0,"0",Gas!C34+Gas!G34)</f>
        <v>0</v>
      </c>
      <c r="J27" s="136">
        <v>9.75</v>
      </c>
      <c r="K27" s="137">
        <f>IF(('Chilled Water'!C29+'Chilled Water'!E29)&lt;0,"0",'Chilled Water'!C29+'Chilled Water'!E29)</f>
        <v>0</v>
      </c>
      <c r="L27" s="135">
        <v>0.33</v>
      </c>
      <c r="M27" s="134">
        <f>Elect!B34</f>
        <v>0</v>
      </c>
    </row>
    <row r="28" spans="1:13" x14ac:dyDescent="0.25">
      <c r="A28" s="131" t="s">
        <v>72</v>
      </c>
      <c r="B28" s="132">
        <f t="shared" si="0"/>
        <v>27</v>
      </c>
      <c r="C28" s="133">
        <v>5</v>
      </c>
      <c r="D28" s="132">
        <v>2024</v>
      </c>
      <c r="E28" s="134">
        <f>IF((Elect!D35+Elect!H35+Elect!J35)&lt;0,"0",Elect!D35+Elect!H35+Elect!J35)</f>
        <v>0</v>
      </c>
      <c r="F28" s="135">
        <v>0.2</v>
      </c>
      <c r="G28" s="134">
        <f>IF(Water!C37&lt;0,"0",Water!C37)</f>
        <v>0</v>
      </c>
      <c r="H28" s="136">
        <v>7.84</v>
      </c>
      <c r="I28" s="134">
        <f>IF((Gas!C35+Gas!G35)&lt;0,"0",Gas!C35+Gas!G35)</f>
        <v>0</v>
      </c>
      <c r="J28" s="136">
        <v>9.75</v>
      </c>
      <c r="K28" s="137">
        <f>IF(('Chilled Water'!C30+'Chilled Water'!E30)&lt;0,"0",'Chilled Water'!C30+'Chilled Water'!E30)</f>
        <v>0</v>
      </c>
      <c r="L28" s="135">
        <v>0.33</v>
      </c>
      <c r="M28" s="134">
        <f>Elect!B35</f>
        <v>0</v>
      </c>
    </row>
    <row r="29" spans="1:13" x14ac:dyDescent="0.25">
      <c r="A29" s="131" t="s">
        <v>72</v>
      </c>
      <c r="B29" s="132">
        <f t="shared" si="0"/>
        <v>28</v>
      </c>
      <c r="C29" s="133">
        <v>5</v>
      </c>
      <c r="D29" s="132">
        <v>2024</v>
      </c>
      <c r="E29" s="134">
        <f>IF((Elect!D36+Elect!H36+Elect!J36)&lt;0,"0",Elect!D36+Elect!H36+Elect!J36)</f>
        <v>0</v>
      </c>
      <c r="F29" s="135">
        <v>0.2</v>
      </c>
      <c r="G29" s="134">
        <f>IF(Water!C39&lt;0,"0",Water!C39)</f>
        <v>0</v>
      </c>
      <c r="H29" s="136">
        <v>7.84</v>
      </c>
      <c r="I29" s="134">
        <f>IF((Gas!C36+Gas!G36)&lt;0,"0",Gas!C36+Gas!G36)</f>
        <v>0</v>
      </c>
      <c r="J29" s="136">
        <v>9.75</v>
      </c>
      <c r="K29" s="137">
        <f>IF(('Chilled Water'!C31+'Chilled Water'!E31)&lt;0,"0",'Chilled Water'!C31+'Chilled Water'!E31)</f>
        <v>0</v>
      </c>
      <c r="L29" s="135">
        <v>0.33</v>
      </c>
      <c r="M29" s="134">
        <f>Elect!B36</f>
        <v>0</v>
      </c>
    </row>
    <row r="30" spans="1:13" x14ac:dyDescent="0.25">
      <c r="A30" s="131" t="s">
        <v>72</v>
      </c>
      <c r="B30" s="132">
        <f t="shared" si="0"/>
        <v>29</v>
      </c>
      <c r="C30" s="133">
        <v>5</v>
      </c>
      <c r="D30" s="132">
        <v>2024</v>
      </c>
      <c r="E30" s="134">
        <f>IF((Elect!D37+Elect!H37+Elect!J37)&lt;0,"0",Elect!D37+Elect!H37+Elect!J37)</f>
        <v>0</v>
      </c>
      <c r="F30" s="135">
        <v>0.2</v>
      </c>
      <c r="G30" s="134">
        <f>IF(Water!C40&lt;0,"0",Water!C40)</f>
        <v>0</v>
      </c>
      <c r="H30" s="136">
        <v>7.84</v>
      </c>
      <c r="I30" s="134">
        <f>IF((Gas!C37+Gas!G37)&lt;0,"0",Gas!C37+Gas!G37)</f>
        <v>0</v>
      </c>
      <c r="J30" s="136">
        <v>9.75</v>
      </c>
      <c r="K30" s="137">
        <f>IF(('Chilled Water'!C32+'Chilled Water'!E32)&lt;0,"0",'Chilled Water'!C32+'Chilled Water'!E32)</f>
        <v>0</v>
      </c>
      <c r="L30" s="135">
        <v>0.33</v>
      </c>
      <c r="M30" s="134">
        <f>Elect!B37</f>
        <v>0</v>
      </c>
    </row>
    <row r="31" spans="1:13" x14ac:dyDescent="0.25">
      <c r="A31" s="131" t="s">
        <v>72</v>
      </c>
      <c r="B31" s="132">
        <f t="shared" si="0"/>
        <v>30</v>
      </c>
      <c r="C31" s="133">
        <v>5</v>
      </c>
      <c r="D31" s="132">
        <v>2024</v>
      </c>
      <c r="E31" s="134">
        <f>IF((Elect!D39+Elect!H39+Elect!J39)&lt;0,"0",Elect!D39+Elect!H39+Elect!J39)</f>
        <v>0</v>
      </c>
      <c r="F31" s="135">
        <v>0.2</v>
      </c>
      <c r="G31" s="134" t="str">
        <f>IF(Water!C41&lt;0,"0",Water!C41)</f>
        <v>0</v>
      </c>
      <c r="H31" s="136">
        <v>7.84</v>
      </c>
      <c r="I31" s="134">
        <f>IF((Gas!C39+Gas!G39)&lt;0,"0",Gas!C39+Gas!G39)</f>
        <v>0</v>
      </c>
      <c r="J31" s="136">
        <v>9.75</v>
      </c>
      <c r="K31" s="137">
        <f>IF(('Chilled Water'!C33+'Chilled Water'!E33)&lt;0,"0",'Chilled Water'!C33+'Chilled Water'!E33)</f>
        <v>0</v>
      </c>
      <c r="L31" s="135">
        <v>0.33</v>
      </c>
      <c r="M31" s="134">
        <f>Elect!B39</f>
        <v>0</v>
      </c>
    </row>
    <row r="32" spans="1:13" x14ac:dyDescent="0.25">
      <c r="A32" s="131" t="s">
        <v>72</v>
      </c>
      <c r="B32" s="132">
        <f t="shared" si="0"/>
        <v>31</v>
      </c>
      <c r="C32" s="133">
        <v>5</v>
      </c>
      <c r="D32" s="132">
        <v>2024</v>
      </c>
      <c r="E32" s="134" t="e">
        <f>IF((Elect!#REF!+Elect!#REF!+Elect!#REF!)&lt;0,"0",Elect!#REF!+Elect!#REF!+Elect!#REF!)</f>
        <v>#REF!</v>
      </c>
      <c r="F32" s="135">
        <v>0.2</v>
      </c>
      <c r="G32" s="134">
        <f>IF(Water!C42&lt;0,"0",Water!C42)</f>
        <v>0</v>
      </c>
      <c r="H32" s="136">
        <v>7.84</v>
      </c>
      <c r="I32" s="134">
        <f>IF((Gas!C40+Gas!G40)&lt;0,"0",Gas!C40+Gas!G40)</f>
        <v>0</v>
      </c>
      <c r="J32" s="136">
        <v>9.75</v>
      </c>
      <c r="K32" s="137">
        <f>IF(('Chilled Water'!C34+'Chilled Water'!E34)&lt;0,"0",'Chilled Water'!C34+'Chilled Water'!E34)</f>
        <v>0</v>
      </c>
      <c r="L32" s="135">
        <v>0.33</v>
      </c>
      <c r="M32" s="134" t="e">
        <f>Elect!#REF!</f>
        <v>#REF!</v>
      </c>
    </row>
    <row r="36" spans="8:10" x14ac:dyDescent="0.25">
      <c r="H36" s="138" t="s">
        <v>71</v>
      </c>
      <c r="J36" s="138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Q43"/>
  <sheetViews>
    <sheetView zoomScale="80" zoomScaleNormal="80" workbookViewId="0">
      <pane ySplit="8" topLeftCell="A9" activePane="bottomLeft" state="frozen"/>
      <selection pane="bottomLeft" activeCell="S30" sqref="S30"/>
    </sheetView>
  </sheetViews>
  <sheetFormatPr defaultRowHeight="12.75" x14ac:dyDescent="0.2"/>
  <cols>
    <col min="1" max="1" width="9.5703125" customWidth="1"/>
    <col min="2" max="2" width="19.5703125" customWidth="1"/>
    <col min="3" max="3" width="16.28515625" customWidth="1"/>
    <col min="4" max="4" width="17" customWidth="1"/>
    <col min="5" max="5" width="8.7109375" hidden="1" customWidth="1"/>
    <col min="6" max="6" width="1.42578125" hidden="1" customWidth="1"/>
    <col min="7" max="7" width="16.28515625" customWidth="1"/>
    <col min="8" max="8" width="17" customWidth="1"/>
    <col min="9" max="9" width="16.28515625" customWidth="1"/>
    <col min="10" max="10" width="17" customWidth="1"/>
  </cols>
  <sheetData>
    <row r="1" spans="1:43" ht="20.25" x14ac:dyDescent="0.3">
      <c r="A1" s="149" t="s">
        <v>48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43" ht="15" x14ac:dyDescent="0.2">
      <c r="A2" s="150" t="s">
        <v>2</v>
      </c>
      <c r="B2" s="150"/>
      <c r="C2" s="150"/>
      <c r="D2" s="150"/>
      <c r="E2" s="150"/>
      <c r="F2" s="150"/>
      <c r="G2" s="150"/>
      <c r="H2" s="150"/>
      <c r="I2" s="150"/>
      <c r="J2" s="150"/>
    </row>
    <row r="3" spans="1:43" ht="15.75" x14ac:dyDescent="0.25">
      <c r="A3" s="151" t="s">
        <v>74</v>
      </c>
      <c r="B3" s="151"/>
      <c r="C3" s="151"/>
      <c r="D3" s="151"/>
      <c r="E3" s="151"/>
      <c r="F3" s="151"/>
      <c r="G3" s="151"/>
      <c r="H3" s="151"/>
      <c r="I3" s="151"/>
      <c r="J3" s="151"/>
    </row>
    <row r="5" spans="1:43" ht="15" customHeight="1" x14ac:dyDescent="0.2">
      <c r="A5" s="162" t="s">
        <v>0</v>
      </c>
      <c r="B5" s="121"/>
      <c r="C5" s="152" t="s">
        <v>41</v>
      </c>
      <c r="D5" s="153"/>
      <c r="E5" s="165" t="s">
        <v>1</v>
      </c>
      <c r="F5" s="166"/>
      <c r="G5" s="152" t="s">
        <v>41</v>
      </c>
      <c r="H5" s="153"/>
      <c r="I5" s="152" t="s">
        <v>41</v>
      </c>
      <c r="J5" s="15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ht="15" customHeight="1" x14ac:dyDescent="0.2">
      <c r="A6" s="163"/>
      <c r="B6" s="144" t="s">
        <v>73</v>
      </c>
      <c r="C6" s="154" t="s">
        <v>43</v>
      </c>
      <c r="D6" s="155"/>
      <c r="E6" s="167"/>
      <c r="F6" s="168"/>
      <c r="G6" s="154" t="s">
        <v>44</v>
      </c>
      <c r="H6" s="155"/>
      <c r="I6" s="154" t="s">
        <v>45</v>
      </c>
      <c r="J6" s="15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 x14ac:dyDescent="0.2">
      <c r="A7" s="163"/>
      <c r="B7" s="139"/>
      <c r="C7" s="156" t="s">
        <v>40</v>
      </c>
      <c r="D7" s="157"/>
      <c r="E7" s="103"/>
      <c r="F7" s="104"/>
      <c r="G7" s="156" t="s">
        <v>40</v>
      </c>
      <c r="H7" s="157"/>
      <c r="I7" s="156" t="s">
        <v>40</v>
      </c>
      <c r="J7" s="15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ht="15" customHeight="1" thickBot="1" x14ac:dyDescent="0.25">
      <c r="A8" s="164"/>
      <c r="B8" s="140"/>
      <c r="C8" s="10" t="s">
        <v>3</v>
      </c>
      <c r="D8" s="11" t="s">
        <v>4</v>
      </c>
      <c r="E8" s="5" t="s">
        <v>3</v>
      </c>
      <c r="F8" s="19" t="s">
        <v>4</v>
      </c>
      <c r="G8" s="10" t="s">
        <v>3</v>
      </c>
      <c r="H8" s="11" t="s">
        <v>4</v>
      </c>
      <c r="I8" s="10" t="s">
        <v>3</v>
      </c>
      <c r="J8" s="11" t="s">
        <v>4</v>
      </c>
    </row>
    <row r="9" spans="1:43" s="26" customFormat="1" ht="15" customHeight="1" thickBot="1" x14ac:dyDescent="0.25">
      <c r="A9" s="44">
        <v>45413</v>
      </c>
      <c r="B9" s="188">
        <v>318</v>
      </c>
      <c r="C9" s="145">
        <v>4275930</v>
      </c>
      <c r="D9" s="42">
        <f>C9-4273954</f>
        <v>1976</v>
      </c>
      <c r="E9" s="113"/>
      <c r="F9" s="146"/>
      <c r="G9" s="147">
        <v>7233422</v>
      </c>
      <c r="H9" s="42">
        <f>G9-7228995</f>
        <v>4427</v>
      </c>
      <c r="I9" s="148">
        <v>9346433</v>
      </c>
      <c r="J9" s="42">
        <f>I9-9342151</f>
        <v>4282</v>
      </c>
    </row>
    <row r="10" spans="1:43" s="26" customFormat="1" ht="15.75" customHeight="1" thickBot="1" x14ac:dyDescent="0.25">
      <c r="A10" s="44">
        <v>45414</v>
      </c>
      <c r="B10" s="188">
        <v>320</v>
      </c>
      <c r="C10" s="145">
        <v>4277813</v>
      </c>
      <c r="D10" s="42">
        <f>C10-C9</f>
        <v>1883</v>
      </c>
      <c r="E10" s="113"/>
      <c r="F10" s="146"/>
      <c r="G10" s="147">
        <v>7237494</v>
      </c>
      <c r="H10" s="42">
        <f t="shared" ref="H10:H37" si="0">G10-G9</f>
        <v>4072</v>
      </c>
      <c r="I10" s="148">
        <v>9350572</v>
      </c>
      <c r="J10" s="42">
        <f t="shared" ref="J10:J37" si="1">I10-I9</f>
        <v>4139</v>
      </c>
    </row>
    <row r="11" spans="1:43" s="26" customFormat="1" ht="15" customHeight="1" thickBot="1" x14ac:dyDescent="0.25">
      <c r="A11" s="44">
        <v>45415</v>
      </c>
      <c r="B11" s="188">
        <v>317</v>
      </c>
      <c r="C11" s="145">
        <v>4279904</v>
      </c>
      <c r="D11" s="42">
        <f>C11-C10</f>
        <v>2091</v>
      </c>
      <c r="E11" s="33"/>
      <c r="F11" s="114">
        <f>E11-36689</f>
        <v>-36689</v>
      </c>
      <c r="G11" s="147">
        <v>7240983</v>
      </c>
      <c r="H11" s="42">
        <f t="shared" si="0"/>
        <v>3489</v>
      </c>
      <c r="I11" s="148">
        <v>9354965</v>
      </c>
      <c r="J11" s="42">
        <f t="shared" si="1"/>
        <v>4393</v>
      </c>
    </row>
    <row r="12" spans="1:43" s="26" customFormat="1" ht="15" customHeight="1" thickBot="1" x14ac:dyDescent="0.25">
      <c r="A12" s="44">
        <v>45416</v>
      </c>
      <c r="B12" s="188">
        <v>311</v>
      </c>
      <c r="C12" s="145">
        <v>4281857</v>
      </c>
      <c r="D12" s="42">
        <f t="shared" ref="D12:D37" si="2">C12-C11</f>
        <v>1953</v>
      </c>
      <c r="E12" s="110"/>
      <c r="F12" s="111">
        <f>E12-E11</f>
        <v>0</v>
      </c>
      <c r="G12" s="147">
        <v>7244976</v>
      </c>
      <c r="H12" s="42">
        <f t="shared" si="0"/>
        <v>3993</v>
      </c>
      <c r="I12" s="148">
        <v>9359176</v>
      </c>
      <c r="J12" s="42">
        <f t="shared" si="1"/>
        <v>4211</v>
      </c>
    </row>
    <row r="13" spans="1:43" s="26" customFormat="1" ht="15" customHeight="1" thickBot="1" x14ac:dyDescent="0.25">
      <c r="A13" s="44">
        <v>45417</v>
      </c>
      <c r="B13" s="188">
        <v>307</v>
      </c>
      <c r="C13" s="145">
        <v>4283925</v>
      </c>
      <c r="D13" s="42">
        <f t="shared" si="2"/>
        <v>2068</v>
      </c>
      <c r="E13" s="110"/>
      <c r="F13" s="111">
        <f t="shared" ref="F13:F33" si="3">E13-E12</f>
        <v>0</v>
      </c>
      <c r="G13" s="147">
        <v>7249344</v>
      </c>
      <c r="H13" s="42">
        <f t="shared" si="0"/>
        <v>4368</v>
      </c>
      <c r="I13" s="148">
        <v>9363480</v>
      </c>
      <c r="J13" s="42">
        <f t="shared" si="1"/>
        <v>4304</v>
      </c>
    </row>
    <row r="14" spans="1:43" s="26" customFormat="1" ht="15" customHeight="1" thickBot="1" x14ac:dyDescent="0.25">
      <c r="A14" s="44">
        <v>45418</v>
      </c>
      <c r="B14" s="188">
        <v>312</v>
      </c>
      <c r="C14" s="145">
        <v>4285969</v>
      </c>
      <c r="D14" s="42">
        <f t="shared" si="2"/>
        <v>2044</v>
      </c>
      <c r="E14" s="110"/>
      <c r="F14" s="111">
        <f t="shared" si="3"/>
        <v>0</v>
      </c>
      <c r="G14" s="147">
        <v>7254215</v>
      </c>
      <c r="H14" s="42">
        <f t="shared" si="0"/>
        <v>4871</v>
      </c>
      <c r="I14" s="148">
        <v>9367713</v>
      </c>
      <c r="J14" s="42">
        <f t="shared" si="1"/>
        <v>4233</v>
      </c>
    </row>
    <row r="15" spans="1:43" s="26" customFormat="1" ht="15" customHeight="1" thickBot="1" x14ac:dyDescent="0.25">
      <c r="A15" s="44">
        <v>45419</v>
      </c>
      <c r="B15" s="188">
        <v>314</v>
      </c>
      <c r="C15" s="145">
        <v>4287926</v>
      </c>
      <c r="D15" s="42">
        <f t="shared" si="2"/>
        <v>1957</v>
      </c>
      <c r="E15" s="110"/>
      <c r="F15" s="111">
        <f t="shared" si="3"/>
        <v>0</v>
      </c>
      <c r="G15" s="147">
        <v>7259242</v>
      </c>
      <c r="H15" s="42">
        <f t="shared" si="0"/>
        <v>5027</v>
      </c>
      <c r="I15" s="148">
        <v>9371866</v>
      </c>
      <c r="J15" s="42">
        <f t="shared" si="1"/>
        <v>4153</v>
      </c>
    </row>
    <row r="16" spans="1:43" s="26" customFormat="1" ht="14.25" customHeight="1" thickBot="1" x14ac:dyDescent="0.25">
      <c r="A16" s="44">
        <v>45420</v>
      </c>
      <c r="B16" s="188">
        <v>314</v>
      </c>
      <c r="C16" s="145">
        <v>4289896</v>
      </c>
      <c r="D16" s="42">
        <f t="shared" si="2"/>
        <v>1970</v>
      </c>
      <c r="E16" s="110"/>
      <c r="F16" s="111">
        <f t="shared" si="3"/>
        <v>0</v>
      </c>
      <c r="G16" s="147">
        <v>7264282</v>
      </c>
      <c r="H16" s="42">
        <f t="shared" si="0"/>
        <v>5040</v>
      </c>
      <c r="I16" s="148">
        <v>9376151</v>
      </c>
      <c r="J16" s="42">
        <f t="shared" si="1"/>
        <v>4285</v>
      </c>
    </row>
    <row r="17" spans="1:10" s="26" customFormat="1" ht="15" customHeight="1" thickBot="1" x14ac:dyDescent="0.25">
      <c r="A17" s="44">
        <v>45421</v>
      </c>
      <c r="B17" s="188">
        <v>316</v>
      </c>
      <c r="C17" s="145">
        <v>4291851</v>
      </c>
      <c r="D17" s="42">
        <f t="shared" si="2"/>
        <v>1955</v>
      </c>
      <c r="E17" s="110"/>
      <c r="F17" s="111">
        <f t="shared" si="3"/>
        <v>0</v>
      </c>
      <c r="G17" s="147">
        <v>7269266</v>
      </c>
      <c r="H17" s="42">
        <f t="shared" si="0"/>
        <v>4984</v>
      </c>
      <c r="I17" s="148">
        <v>9380432</v>
      </c>
      <c r="J17" s="42">
        <f t="shared" si="1"/>
        <v>4281</v>
      </c>
    </row>
    <row r="18" spans="1:10" s="26" customFormat="1" ht="15" customHeight="1" thickBot="1" x14ac:dyDescent="0.25">
      <c r="A18" s="44">
        <v>45422</v>
      </c>
      <c r="B18" s="188">
        <v>305</v>
      </c>
      <c r="C18" s="145">
        <v>4293845</v>
      </c>
      <c r="D18" s="42">
        <f t="shared" si="2"/>
        <v>1994</v>
      </c>
      <c r="E18" s="110"/>
      <c r="F18" s="111">
        <f t="shared" si="3"/>
        <v>0</v>
      </c>
      <c r="G18" s="147">
        <v>7274268</v>
      </c>
      <c r="H18" s="42">
        <f t="shared" si="0"/>
        <v>5002</v>
      </c>
      <c r="I18" s="148">
        <v>9384714</v>
      </c>
      <c r="J18" s="42">
        <f t="shared" si="1"/>
        <v>4282</v>
      </c>
    </row>
    <row r="19" spans="1:10" s="26" customFormat="1" ht="15" customHeight="1" x14ac:dyDescent="0.2">
      <c r="A19" s="44">
        <v>45423</v>
      </c>
      <c r="B19" s="188">
        <v>304</v>
      </c>
      <c r="C19" s="145">
        <v>4295852</v>
      </c>
      <c r="D19" s="42">
        <f t="shared" si="2"/>
        <v>2007</v>
      </c>
      <c r="E19" s="110"/>
      <c r="F19" s="111">
        <f t="shared" si="3"/>
        <v>0</v>
      </c>
      <c r="G19" s="147">
        <v>7279411</v>
      </c>
      <c r="H19" s="42">
        <f t="shared" si="0"/>
        <v>5143</v>
      </c>
      <c r="I19" s="148">
        <v>9388967</v>
      </c>
      <c r="J19" s="42">
        <f t="shared" si="1"/>
        <v>4253</v>
      </c>
    </row>
    <row r="20" spans="1:10" s="26" customFormat="1" ht="15" customHeight="1" x14ac:dyDescent="0.2">
      <c r="A20" s="44">
        <v>45424</v>
      </c>
      <c r="B20" s="141"/>
      <c r="C20" s="145"/>
      <c r="D20" s="42">
        <f t="shared" si="2"/>
        <v>-4295852</v>
      </c>
      <c r="E20" s="110"/>
      <c r="F20" s="111">
        <f t="shared" si="3"/>
        <v>0</v>
      </c>
      <c r="G20" s="147"/>
      <c r="H20" s="42">
        <f t="shared" si="0"/>
        <v>-7279411</v>
      </c>
      <c r="I20" s="148"/>
      <c r="J20" s="42">
        <f t="shared" si="1"/>
        <v>-9388967</v>
      </c>
    </row>
    <row r="21" spans="1:10" s="26" customFormat="1" ht="15" customHeight="1" x14ac:dyDescent="0.2">
      <c r="A21" s="44">
        <v>45425</v>
      </c>
      <c r="B21" s="141"/>
      <c r="C21" s="145"/>
      <c r="D21" s="42">
        <f t="shared" si="2"/>
        <v>0</v>
      </c>
      <c r="E21" s="110"/>
      <c r="F21" s="111">
        <f>E21-E20</f>
        <v>0</v>
      </c>
      <c r="G21" s="147"/>
      <c r="H21" s="42">
        <f t="shared" si="0"/>
        <v>0</v>
      </c>
      <c r="I21" s="148"/>
      <c r="J21" s="42">
        <f t="shared" si="1"/>
        <v>0</v>
      </c>
    </row>
    <row r="22" spans="1:10" s="26" customFormat="1" ht="15" customHeight="1" x14ac:dyDescent="0.2">
      <c r="A22" s="44">
        <v>45426</v>
      </c>
      <c r="B22" s="141"/>
      <c r="C22" s="145"/>
      <c r="D22" s="42">
        <f t="shared" si="2"/>
        <v>0</v>
      </c>
      <c r="E22" s="110"/>
      <c r="F22" s="111">
        <f t="shared" si="3"/>
        <v>0</v>
      </c>
      <c r="G22" s="147"/>
      <c r="H22" s="42">
        <f t="shared" si="0"/>
        <v>0</v>
      </c>
      <c r="I22" s="148"/>
      <c r="J22" s="42">
        <f t="shared" si="1"/>
        <v>0</v>
      </c>
    </row>
    <row r="23" spans="1:10" s="26" customFormat="1" ht="15" customHeight="1" x14ac:dyDescent="0.2">
      <c r="A23" s="44">
        <v>45427</v>
      </c>
      <c r="B23" s="141"/>
      <c r="C23" s="145"/>
      <c r="D23" s="42">
        <f t="shared" si="2"/>
        <v>0</v>
      </c>
      <c r="E23" s="110"/>
      <c r="F23" s="111">
        <f t="shared" si="3"/>
        <v>0</v>
      </c>
      <c r="G23" s="147"/>
      <c r="H23" s="42">
        <f t="shared" si="0"/>
        <v>0</v>
      </c>
      <c r="I23" s="148"/>
      <c r="J23" s="42">
        <f t="shared" si="1"/>
        <v>0</v>
      </c>
    </row>
    <row r="24" spans="1:10" s="26" customFormat="1" ht="15" customHeight="1" x14ac:dyDescent="0.2">
      <c r="A24" s="44">
        <v>45428</v>
      </c>
      <c r="B24" s="141"/>
      <c r="C24" s="145"/>
      <c r="D24" s="42">
        <f t="shared" si="2"/>
        <v>0</v>
      </c>
      <c r="E24" s="110"/>
      <c r="F24" s="111">
        <v>0</v>
      </c>
      <c r="G24" s="147"/>
      <c r="H24" s="42">
        <f t="shared" si="0"/>
        <v>0</v>
      </c>
      <c r="I24" s="148"/>
      <c r="J24" s="42">
        <f t="shared" si="1"/>
        <v>0</v>
      </c>
    </row>
    <row r="25" spans="1:10" s="26" customFormat="1" ht="15" customHeight="1" x14ac:dyDescent="0.2">
      <c r="A25" s="44">
        <v>45429</v>
      </c>
      <c r="B25" s="141"/>
      <c r="C25" s="145"/>
      <c r="D25" s="42">
        <f t="shared" si="2"/>
        <v>0</v>
      </c>
      <c r="E25" s="110"/>
      <c r="F25" s="111">
        <f t="shared" si="3"/>
        <v>0</v>
      </c>
      <c r="G25" s="147"/>
      <c r="H25" s="42">
        <f t="shared" si="0"/>
        <v>0</v>
      </c>
      <c r="I25" s="148"/>
      <c r="J25" s="42">
        <f t="shared" si="1"/>
        <v>0</v>
      </c>
    </row>
    <row r="26" spans="1:10" s="26" customFormat="1" ht="15" customHeight="1" x14ac:dyDescent="0.2">
      <c r="A26" s="44">
        <v>45430</v>
      </c>
      <c r="B26" s="141"/>
      <c r="C26" s="145"/>
      <c r="D26" s="42">
        <f t="shared" si="2"/>
        <v>0</v>
      </c>
      <c r="E26" s="110"/>
      <c r="F26" s="111">
        <f t="shared" si="3"/>
        <v>0</v>
      </c>
      <c r="G26" s="147"/>
      <c r="H26" s="42">
        <f t="shared" si="0"/>
        <v>0</v>
      </c>
      <c r="I26" s="148"/>
      <c r="J26" s="42">
        <f t="shared" si="1"/>
        <v>0</v>
      </c>
    </row>
    <row r="27" spans="1:10" s="26" customFormat="1" ht="15" customHeight="1" x14ac:dyDescent="0.2">
      <c r="A27" s="44">
        <v>45431</v>
      </c>
      <c r="B27" s="141"/>
      <c r="C27" s="145"/>
      <c r="D27" s="42">
        <f t="shared" si="2"/>
        <v>0</v>
      </c>
      <c r="E27" s="110"/>
      <c r="F27" s="111">
        <f t="shared" si="3"/>
        <v>0</v>
      </c>
      <c r="G27" s="147"/>
      <c r="H27" s="42">
        <f t="shared" si="0"/>
        <v>0</v>
      </c>
      <c r="I27" s="148"/>
      <c r="J27" s="42">
        <f t="shared" si="1"/>
        <v>0</v>
      </c>
    </row>
    <row r="28" spans="1:10" s="26" customFormat="1" ht="15" customHeight="1" x14ac:dyDescent="0.2">
      <c r="A28" s="44">
        <v>45432</v>
      </c>
      <c r="B28" s="141"/>
      <c r="C28" s="145"/>
      <c r="D28" s="42">
        <f t="shared" si="2"/>
        <v>0</v>
      </c>
      <c r="E28" s="110"/>
      <c r="F28" s="111">
        <f t="shared" si="3"/>
        <v>0</v>
      </c>
      <c r="G28" s="147"/>
      <c r="H28" s="42">
        <f t="shared" si="0"/>
        <v>0</v>
      </c>
      <c r="I28" s="148"/>
      <c r="J28" s="42">
        <f t="shared" si="1"/>
        <v>0</v>
      </c>
    </row>
    <row r="29" spans="1:10" s="26" customFormat="1" ht="15" customHeight="1" x14ac:dyDescent="0.2">
      <c r="A29" s="44">
        <v>45433</v>
      </c>
      <c r="B29" s="141"/>
      <c r="C29" s="145"/>
      <c r="D29" s="42">
        <f t="shared" si="2"/>
        <v>0</v>
      </c>
      <c r="E29" s="110"/>
      <c r="F29" s="111">
        <f t="shared" si="3"/>
        <v>0</v>
      </c>
      <c r="G29" s="147"/>
      <c r="H29" s="42">
        <f t="shared" si="0"/>
        <v>0</v>
      </c>
      <c r="I29" s="148"/>
      <c r="J29" s="42">
        <f t="shared" si="1"/>
        <v>0</v>
      </c>
    </row>
    <row r="30" spans="1:10" s="26" customFormat="1" ht="15" customHeight="1" x14ac:dyDescent="0.2">
      <c r="A30" s="44">
        <v>45434</v>
      </c>
      <c r="B30" s="141"/>
      <c r="C30" s="145"/>
      <c r="D30" s="42">
        <f t="shared" si="2"/>
        <v>0</v>
      </c>
      <c r="E30" s="110"/>
      <c r="F30" s="111">
        <f t="shared" si="3"/>
        <v>0</v>
      </c>
      <c r="G30" s="147"/>
      <c r="H30" s="42">
        <f t="shared" si="0"/>
        <v>0</v>
      </c>
      <c r="I30" s="148"/>
      <c r="J30" s="42">
        <f t="shared" si="1"/>
        <v>0</v>
      </c>
    </row>
    <row r="31" spans="1:10" s="26" customFormat="1" ht="15" customHeight="1" x14ac:dyDescent="0.2">
      <c r="A31" s="44">
        <v>45435</v>
      </c>
      <c r="B31" s="141"/>
      <c r="C31" s="145"/>
      <c r="D31" s="42">
        <f t="shared" si="2"/>
        <v>0</v>
      </c>
      <c r="E31" s="110"/>
      <c r="F31" s="111">
        <f t="shared" si="3"/>
        <v>0</v>
      </c>
      <c r="G31" s="147"/>
      <c r="H31" s="42">
        <f t="shared" si="0"/>
        <v>0</v>
      </c>
      <c r="I31" s="148"/>
      <c r="J31" s="42">
        <f t="shared" si="1"/>
        <v>0</v>
      </c>
    </row>
    <row r="32" spans="1:10" s="26" customFormat="1" ht="15" customHeight="1" x14ac:dyDescent="0.2">
      <c r="A32" s="44">
        <v>45436</v>
      </c>
      <c r="B32" s="141"/>
      <c r="C32" s="145"/>
      <c r="D32" s="42">
        <f t="shared" si="2"/>
        <v>0</v>
      </c>
      <c r="E32" s="110"/>
      <c r="F32" s="111">
        <f t="shared" si="3"/>
        <v>0</v>
      </c>
      <c r="G32" s="147"/>
      <c r="H32" s="42">
        <f t="shared" si="0"/>
        <v>0</v>
      </c>
      <c r="I32" s="148"/>
      <c r="J32" s="42">
        <f t="shared" si="1"/>
        <v>0</v>
      </c>
    </row>
    <row r="33" spans="1:15" s="26" customFormat="1" ht="15" customHeight="1" x14ac:dyDescent="0.2">
      <c r="A33" s="44">
        <v>45437</v>
      </c>
      <c r="B33" s="141"/>
      <c r="C33" s="145"/>
      <c r="D33" s="42">
        <f t="shared" si="2"/>
        <v>0</v>
      </c>
      <c r="E33" s="110"/>
      <c r="F33" s="111">
        <f t="shared" si="3"/>
        <v>0</v>
      </c>
      <c r="G33" s="147"/>
      <c r="H33" s="42">
        <f t="shared" si="0"/>
        <v>0</v>
      </c>
      <c r="I33" s="148"/>
      <c r="J33" s="42">
        <f t="shared" si="1"/>
        <v>0</v>
      </c>
    </row>
    <row r="34" spans="1:15" s="26" customFormat="1" ht="15" customHeight="1" x14ac:dyDescent="0.2">
      <c r="A34" s="44">
        <v>45438</v>
      </c>
      <c r="B34" s="141"/>
      <c r="C34" s="145"/>
      <c r="D34" s="42">
        <f t="shared" si="2"/>
        <v>0</v>
      </c>
      <c r="E34" s="110"/>
      <c r="F34" s="111"/>
      <c r="G34" s="147"/>
      <c r="H34" s="42">
        <f t="shared" si="0"/>
        <v>0</v>
      </c>
      <c r="I34" s="148"/>
      <c r="J34" s="42">
        <f t="shared" si="1"/>
        <v>0</v>
      </c>
    </row>
    <row r="35" spans="1:15" s="26" customFormat="1" ht="15" customHeight="1" x14ac:dyDescent="0.2">
      <c r="A35" s="44">
        <v>45439</v>
      </c>
      <c r="B35" s="141"/>
      <c r="C35" s="145"/>
      <c r="D35" s="42">
        <f t="shared" si="2"/>
        <v>0</v>
      </c>
      <c r="E35" s="110"/>
      <c r="F35" s="111"/>
      <c r="G35" s="147"/>
      <c r="H35" s="42">
        <f t="shared" si="0"/>
        <v>0</v>
      </c>
      <c r="I35" s="148"/>
      <c r="J35" s="42">
        <f t="shared" si="1"/>
        <v>0</v>
      </c>
    </row>
    <row r="36" spans="1:15" s="26" customFormat="1" ht="15" customHeight="1" x14ac:dyDescent="0.2">
      <c r="A36" s="44">
        <v>45440</v>
      </c>
      <c r="B36" s="141"/>
      <c r="C36" s="145"/>
      <c r="D36" s="42">
        <f t="shared" si="2"/>
        <v>0</v>
      </c>
      <c r="E36" s="110"/>
      <c r="F36" s="111"/>
      <c r="G36" s="147"/>
      <c r="H36" s="42">
        <f t="shared" si="0"/>
        <v>0</v>
      </c>
      <c r="I36" s="148"/>
      <c r="J36" s="42">
        <f t="shared" si="1"/>
        <v>0</v>
      </c>
    </row>
    <row r="37" spans="1:15" s="26" customFormat="1" ht="15" customHeight="1" x14ac:dyDescent="0.2">
      <c r="A37" s="44">
        <v>45441</v>
      </c>
      <c r="B37" s="141"/>
      <c r="C37" s="145"/>
      <c r="D37" s="42">
        <f t="shared" si="2"/>
        <v>0</v>
      </c>
      <c r="E37" s="110"/>
      <c r="F37" s="111"/>
      <c r="G37" s="147"/>
      <c r="H37" s="42">
        <f t="shared" si="0"/>
        <v>0</v>
      </c>
      <c r="I37" s="148"/>
      <c r="J37" s="42">
        <f t="shared" si="1"/>
        <v>0</v>
      </c>
    </row>
    <row r="38" spans="1:15" s="26" customFormat="1" ht="15" customHeight="1" x14ac:dyDescent="0.2">
      <c r="A38" s="44">
        <v>45442</v>
      </c>
      <c r="B38" s="141"/>
      <c r="C38" s="145"/>
      <c r="D38" s="42">
        <f>C38-C36</f>
        <v>0</v>
      </c>
      <c r="E38" s="112"/>
      <c r="F38" s="111"/>
      <c r="G38" s="147"/>
      <c r="H38" s="42">
        <f>G38-G36</f>
        <v>0</v>
      </c>
      <c r="I38" s="148"/>
      <c r="J38" s="42">
        <f>I38-I36</f>
        <v>0</v>
      </c>
    </row>
    <row r="39" spans="1:15" s="26" customFormat="1" ht="15" customHeight="1" x14ac:dyDescent="0.2">
      <c r="A39" s="44">
        <v>45443</v>
      </c>
      <c r="B39" s="141"/>
      <c r="C39" s="145"/>
      <c r="D39" s="42">
        <f>C39-C37</f>
        <v>0</v>
      </c>
      <c r="E39" s="112"/>
      <c r="F39" s="111"/>
      <c r="G39" s="147"/>
      <c r="H39" s="42">
        <f>G39-G37</f>
        <v>0</v>
      </c>
      <c r="I39" s="148"/>
      <c r="J39" s="42">
        <f>I39-I37</f>
        <v>0</v>
      </c>
    </row>
    <row r="40" spans="1:15" s="13" customFormat="1" ht="24.95" customHeight="1" x14ac:dyDescent="0.2">
      <c r="A40" s="158" t="s">
        <v>39</v>
      </c>
      <c r="B40" s="142"/>
      <c r="C40" s="116"/>
      <c r="D40" s="12">
        <f>SUM(D9:D39)</f>
        <v>-4273954</v>
      </c>
      <c r="E40" s="102"/>
      <c r="F40" s="23">
        <f>SUM(F11:F37)</f>
        <v>-36689</v>
      </c>
      <c r="G40" s="105"/>
      <c r="H40" s="12">
        <f>SUM(H9:H39)</f>
        <v>-7228995</v>
      </c>
      <c r="I40" s="105"/>
      <c r="J40" s="12">
        <f>SUM(J9:J39)</f>
        <v>-9342151</v>
      </c>
    </row>
    <row r="41" spans="1:15" ht="24.75" customHeight="1" x14ac:dyDescent="0.2">
      <c r="A41" s="159"/>
      <c r="B41" s="143"/>
      <c r="C41" s="160">
        <f>D40+H40+J40</f>
        <v>-20845100</v>
      </c>
      <c r="D41" s="161"/>
      <c r="E41" s="161"/>
      <c r="F41" s="161"/>
      <c r="G41" s="161"/>
      <c r="H41" s="161"/>
      <c r="I41" s="161"/>
      <c r="J41" s="153"/>
      <c r="O41" s="26"/>
    </row>
    <row r="42" spans="1:15" x14ac:dyDescent="0.2">
      <c r="A42" s="6" t="s">
        <v>6</v>
      </c>
      <c r="B42" s="6"/>
    </row>
    <row r="43" spans="1:15" x14ac:dyDescent="0.2">
      <c r="A43" s="6" t="s">
        <v>5</v>
      </c>
      <c r="B43" s="6"/>
    </row>
  </sheetData>
  <sheetProtection selectLockedCells="1" selectUnlockedCells="1"/>
  <customSheetViews>
    <customSheetView guid="{BBA05217-DB7A-4BBE-8392-822CC156171C}" scale="75" showPageBreaks="1" hiddenColumns="1" showRuler="0">
      <pane xSplit="1" ySplit="6" topLeftCell="B7" activePane="bottomRight" state="frozen"/>
      <selection pane="bottomRight" activeCell="I14" sqref="I14"/>
      <pageMargins left="0.25" right="0" top="0.25" bottom="0.25" header="0.5" footer="0.5"/>
      <printOptions horizontalCentered="1"/>
      <pageSetup paperSize="9" scale="70" orientation="landscape" horizontalDpi="300" verticalDpi="300" r:id="rId1"/>
      <headerFooter alignWithMargins="0"/>
    </customSheetView>
  </customSheetViews>
  <mergeCells count="16">
    <mergeCell ref="I7:J7"/>
    <mergeCell ref="A40:A41"/>
    <mergeCell ref="C41:J41"/>
    <mergeCell ref="A5:A8"/>
    <mergeCell ref="E5:F6"/>
    <mergeCell ref="G5:H5"/>
    <mergeCell ref="G6:H6"/>
    <mergeCell ref="C6:D6"/>
    <mergeCell ref="C5:D5"/>
    <mergeCell ref="C7:D7"/>
    <mergeCell ref="G7:H7"/>
    <mergeCell ref="A1:J1"/>
    <mergeCell ref="A2:J2"/>
    <mergeCell ref="A3:J3"/>
    <mergeCell ref="I5:J5"/>
    <mergeCell ref="I6:J6"/>
  </mergeCells>
  <phoneticPr fontId="0" type="noConversion"/>
  <printOptions horizontalCentered="1"/>
  <pageMargins left="0.23622047244094499" right="0" top="0.23622047244094499" bottom="0.23622047244094499" header="0.511811023622047" footer="0.511811023622047"/>
  <pageSetup paperSize="9" scale="92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44"/>
  <sheetViews>
    <sheetView zoomScale="80" zoomScaleNormal="80" workbookViewId="0">
      <pane ySplit="8" topLeftCell="A9" activePane="bottomLeft" state="frozen"/>
      <selection pane="bottomLeft" activeCell="B9" sqref="B9"/>
    </sheetView>
  </sheetViews>
  <sheetFormatPr defaultRowHeight="12.75" x14ac:dyDescent="0.2"/>
  <cols>
    <col min="1" max="1" width="9.5703125" customWidth="1"/>
    <col min="2" max="3" width="23.5703125" customWidth="1"/>
    <col min="4" max="4" width="8.7109375" hidden="1" customWidth="1"/>
    <col min="5" max="5" width="1.42578125" hidden="1" customWidth="1"/>
    <col min="6" max="6" width="19.85546875" customWidth="1"/>
  </cols>
  <sheetData>
    <row r="1" spans="1:40" ht="20.25" x14ac:dyDescent="0.3">
      <c r="A1" s="149" t="s">
        <v>49</v>
      </c>
      <c r="B1" s="149"/>
      <c r="C1" s="149"/>
      <c r="D1" s="149"/>
      <c r="E1" s="149"/>
    </row>
    <row r="2" spans="1:40" ht="15" x14ac:dyDescent="0.2">
      <c r="A2" s="150" t="s">
        <v>51</v>
      </c>
      <c r="B2" s="150"/>
      <c r="C2" s="150"/>
      <c r="D2" s="150"/>
      <c r="E2" s="150"/>
    </row>
    <row r="3" spans="1:40" ht="15.75" x14ac:dyDescent="0.25">
      <c r="A3" s="151" t="s">
        <v>74</v>
      </c>
      <c r="B3" s="151"/>
      <c r="C3" s="151"/>
      <c r="D3" s="151"/>
      <c r="E3" s="151"/>
    </row>
    <row r="4" spans="1:40" x14ac:dyDescent="0.2">
      <c r="A4" s="169"/>
      <c r="B4" s="169"/>
      <c r="C4" s="169"/>
    </row>
    <row r="5" spans="1:40" ht="15" customHeight="1" x14ac:dyDescent="0.2">
      <c r="A5" s="162" t="s">
        <v>0</v>
      </c>
      <c r="B5" s="152" t="s">
        <v>41</v>
      </c>
      <c r="C5" s="153"/>
      <c r="D5" s="165" t="s">
        <v>1</v>
      </c>
      <c r="E5" s="16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 ht="15" customHeight="1" x14ac:dyDescent="0.2">
      <c r="A6" s="163"/>
      <c r="B6" s="154" t="s">
        <v>50</v>
      </c>
      <c r="C6" s="155"/>
      <c r="D6" s="167"/>
      <c r="E6" s="16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15" customHeight="1" x14ac:dyDescent="0.2">
      <c r="A7" s="163"/>
      <c r="B7" s="156"/>
      <c r="C7" s="157"/>
      <c r="D7" s="103"/>
      <c r="E7" s="10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 ht="15" customHeight="1" x14ac:dyDescent="0.2">
      <c r="A8" s="164"/>
      <c r="B8" s="10" t="s">
        <v>3</v>
      </c>
      <c r="C8" s="11" t="s">
        <v>4</v>
      </c>
      <c r="D8" s="5" t="s">
        <v>3</v>
      </c>
      <c r="E8" s="19" t="s">
        <v>4</v>
      </c>
    </row>
    <row r="9" spans="1:40" s="4" customFormat="1" ht="15" customHeight="1" x14ac:dyDescent="0.2">
      <c r="A9" s="44">
        <v>45413</v>
      </c>
      <c r="B9" s="118">
        <v>186709</v>
      </c>
      <c r="C9" s="42">
        <f>B9-186628</f>
        <v>81</v>
      </c>
      <c r="D9" s="9"/>
      <c r="E9" s="20"/>
    </row>
    <row r="10" spans="1:40" s="4" customFormat="1" ht="15.75" customHeight="1" x14ac:dyDescent="0.2">
      <c r="A10" s="44">
        <v>45414</v>
      </c>
      <c r="B10" s="118">
        <v>186813</v>
      </c>
      <c r="C10" s="42">
        <f>B10-B9</f>
        <v>104</v>
      </c>
      <c r="D10" s="9"/>
      <c r="E10" s="20"/>
    </row>
    <row r="11" spans="1:40" ht="15" customHeight="1" x14ac:dyDescent="0.2">
      <c r="A11" s="44">
        <v>45415</v>
      </c>
      <c r="B11" s="118">
        <v>186913</v>
      </c>
      <c r="C11" s="42">
        <f t="shared" ref="C11:C37" si="0">B11-B10</f>
        <v>100</v>
      </c>
      <c r="D11" s="3"/>
      <c r="E11" s="21">
        <f>D11-36689</f>
        <v>-36689</v>
      </c>
    </row>
    <row r="12" spans="1:40" ht="15" customHeight="1" x14ac:dyDescent="0.2">
      <c r="A12" s="44">
        <v>45416</v>
      </c>
      <c r="B12" s="118">
        <v>187016</v>
      </c>
      <c r="C12" s="42">
        <f t="shared" si="0"/>
        <v>103</v>
      </c>
      <c r="D12" s="2"/>
      <c r="E12" s="22">
        <f>D12-D11</f>
        <v>0</v>
      </c>
    </row>
    <row r="13" spans="1:40" ht="15" customHeight="1" x14ac:dyDescent="0.2">
      <c r="A13" s="44">
        <v>45417</v>
      </c>
      <c r="B13" s="118">
        <v>187121</v>
      </c>
      <c r="C13" s="42">
        <f t="shared" si="0"/>
        <v>105</v>
      </c>
      <c r="D13" s="2"/>
      <c r="E13" s="22">
        <f t="shared" ref="E13:E33" si="1">D13-D12</f>
        <v>0</v>
      </c>
    </row>
    <row r="14" spans="1:40" ht="15" customHeight="1" x14ac:dyDescent="0.2">
      <c r="A14" s="44">
        <v>45418</v>
      </c>
      <c r="B14" s="118">
        <v>187226</v>
      </c>
      <c r="C14" s="42">
        <f t="shared" si="0"/>
        <v>105</v>
      </c>
      <c r="D14" s="2"/>
      <c r="E14" s="22">
        <f t="shared" si="1"/>
        <v>0</v>
      </c>
    </row>
    <row r="15" spans="1:40" ht="15" customHeight="1" x14ac:dyDescent="0.2">
      <c r="A15" s="44">
        <v>45419</v>
      </c>
      <c r="B15" s="118">
        <v>187340</v>
      </c>
      <c r="C15" s="42">
        <f t="shared" si="0"/>
        <v>114</v>
      </c>
      <c r="D15" s="2"/>
      <c r="E15" s="22">
        <f t="shared" si="1"/>
        <v>0</v>
      </c>
    </row>
    <row r="16" spans="1:40" ht="14.25" customHeight="1" x14ac:dyDescent="0.2">
      <c r="A16" s="44">
        <v>45420</v>
      </c>
      <c r="B16" s="118">
        <v>187457</v>
      </c>
      <c r="C16" s="42">
        <f t="shared" si="0"/>
        <v>117</v>
      </c>
      <c r="D16" s="2"/>
      <c r="E16" s="22">
        <f t="shared" si="1"/>
        <v>0</v>
      </c>
    </row>
    <row r="17" spans="1:6" ht="15" customHeight="1" x14ac:dyDescent="0.2">
      <c r="A17" s="44">
        <v>45421</v>
      </c>
      <c r="B17" s="118">
        <v>187675</v>
      </c>
      <c r="C17" s="42">
        <f t="shared" si="0"/>
        <v>218</v>
      </c>
      <c r="D17" s="2"/>
      <c r="E17" s="22">
        <f t="shared" si="1"/>
        <v>0</v>
      </c>
    </row>
    <row r="18" spans="1:6" ht="15" customHeight="1" x14ac:dyDescent="0.2">
      <c r="A18" s="44">
        <v>45422</v>
      </c>
      <c r="B18" s="118">
        <v>187776</v>
      </c>
      <c r="C18" s="42">
        <f t="shared" si="0"/>
        <v>101</v>
      </c>
      <c r="D18" s="2"/>
      <c r="E18" s="22">
        <f t="shared" si="1"/>
        <v>0</v>
      </c>
    </row>
    <row r="19" spans="1:6" ht="15" customHeight="1" x14ac:dyDescent="0.2">
      <c r="A19" s="44">
        <v>45423</v>
      </c>
      <c r="B19" s="118">
        <v>187882</v>
      </c>
      <c r="C19" s="42">
        <f t="shared" si="0"/>
        <v>106</v>
      </c>
      <c r="D19" s="2"/>
      <c r="E19" s="22">
        <f t="shared" si="1"/>
        <v>0</v>
      </c>
    </row>
    <row r="20" spans="1:6" ht="15" customHeight="1" x14ac:dyDescent="0.2">
      <c r="A20" s="44">
        <v>45424</v>
      </c>
      <c r="B20" s="118"/>
      <c r="C20" s="42">
        <f t="shared" si="0"/>
        <v>-187882</v>
      </c>
      <c r="D20" s="2"/>
      <c r="E20" s="22">
        <f t="shared" si="1"/>
        <v>0</v>
      </c>
    </row>
    <row r="21" spans="1:6" ht="15" customHeight="1" x14ac:dyDescent="0.2">
      <c r="A21" s="44">
        <v>45425</v>
      </c>
      <c r="B21" s="118"/>
      <c r="C21" s="42">
        <f t="shared" si="0"/>
        <v>0</v>
      </c>
      <c r="D21" s="2"/>
      <c r="E21" s="22">
        <f>D21-D20</f>
        <v>0</v>
      </c>
    </row>
    <row r="22" spans="1:6" ht="15" customHeight="1" x14ac:dyDescent="0.2">
      <c r="A22" s="44">
        <v>45426</v>
      </c>
      <c r="B22" s="118"/>
      <c r="C22" s="42">
        <f t="shared" si="0"/>
        <v>0</v>
      </c>
      <c r="D22" s="2"/>
      <c r="E22" s="22">
        <f t="shared" si="1"/>
        <v>0</v>
      </c>
    </row>
    <row r="23" spans="1:6" ht="15" customHeight="1" x14ac:dyDescent="0.2">
      <c r="A23" s="44">
        <v>45427</v>
      </c>
      <c r="B23" s="118"/>
      <c r="C23" s="42">
        <f t="shared" si="0"/>
        <v>0</v>
      </c>
      <c r="D23" s="2"/>
      <c r="E23" s="22">
        <f t="shared" si="1"/>
        <v>0</v>
      </c>
    </row>
    <row r="24" spans="1:6" ht="15" customHeight="1" x14ac:dyDescent="0.2">
      <c r="A24" s="44">
        <v>45428</v>
      </c>
      <c r="B24" s="118"/>
      <c r="C24" s="42">
        <f>B24-B23</f>
        <v>0</v>
      </c>
      <c r="D24" s="2"/>
      <c r="E24" s="22">
        <v>0</v>
      </c>
    </row>
    <row r="25" spans="1:6" ht="15" customHeight="1" x14ac:dyDescent="0.2">
      <c r="A25" s="44">
        <v>45429</v>
      </c>
      <c r="B25" s="118"/>
      <c r="C25" s="42">
        <f t="shared" si="0"/>
        <v>0</v>
      </c>
      <c r="D25" s="2"/>
      <c r="E25" s="22">
        <f t="shared" si="1"/>
        <v>0</v>
      </c>
    </row>
    <row r="26" spans="1:6" ht="15" customHeight="1" x14ac:dyDescent="0.2">
      <c r="A26" s="44">
        <v>45430</v>
      </c>
      <c r="B26" s="118"/>
      <c r="C26" s="42">
        <f t="shared" si="0"/>
        <v>0</v>
      </c>
      <c r="D26" s="2"/>
      <c r="E26" s="22">
        <f t="shared" si="1"/>
        <v>0</v>
      </c>
    </row>
    <row r="27" spans="1:6" ht="15" customHeight="1" x14ac:dyDescent="0.2">
      <c r="A27" s="44">
        <v>45431</v>
      </c>
      <c r="B27" s="118"/>
      <c r="C27" s="42">
        <f t="shared" si="0"/>
        <v>0</v>
      </c>
      <c r="D27" s="2"/>
      <c r="E27" s="22">
        <f t="shared" si="1"/>
        <v>0</v>
      </c>
      <c r="F27" s="24"/>
    </row>
    <row r="28" spans="1:6" ht="15" customHeight="1" x14ac:dyDescent="0.2">
      <c r="A28" s="44">
        <v>45432</v>
      </c>
      <c r="B28" s="118"/>
      <c r="C28" s="42">
        <f t="shared" si="0"/>
        <v>0</v>
      </c>
      <c r="D28" s="2"/>
      <c r="E28" s="22">
        <f t="shared" si="1"/>
        <v>0</v>
      </c>
    </row>
    <row r="29" spans="1:6" ht="15" customHeight="1" x14ac:dyDescent="0.2">
      <c r="A29" s="44">
        <v>45433</v>
      </c>
      <c r="B29" s="118"/>
      <c r="C29" s="42">
        <f t="shared" si="0"/>
        <v>0</v>
      </c>
      <c r="D29" s="2"/>
      <c r="E29" s="22">
        <f t="shared" si="1"/>
        <v>0</v>
      </c>
    </row>
    <row r="30" spans="1:6" ht="15" customHeight="1" x14ac:dyDescent="0.2">
      <c r="A30" s="44">
        <v>45434</v>
      </c>
      <c r="B30" s="118"/>
      <c r="C30" s="42">
        <f t="shared" si="0"/>
        <v>0</v>
      </c>
      <c r="D30" s="2"/>
      <c r="E30" s="22">
        <f t="shared" si="1"/>
        <v>0</v>
      </c>
    </row>
    <row r="31" spans="1:6" ht="15" customHeight="1" x14ac:dyDescent="0.2">
      <c r="A31" s="44">
        <v>45435</v>
      </c>
      <c r="B31" s="118"/>
      <c r="C31" s="42">
        <f t="shared" si="0"/>
        <v>0</v>
      </c>
      <c r="D31" s="2"/>
      <c r="E31" s="22">
        <f t="shared" si="1"/>
        <v>0</v>
      </c>
    </row>
    <row r="32" spans="1:6" ht="15" customHeight="1" x14ac:dyDescent="0.2">
      <c r="A32" s="44">
        <v>45436</v>
      </c>
      <c r="B32" s="118"/>
      <c r="C32" s="42">
        <f t="shared" si="0"/>
        <v>0</v>
      </c>
      <c r="D32" s="2"/>
      <c r="E32" s="22">
        <f t="shared" si="1"/>
        <v>0</v>
      </c>
    </row>
    <row r="33" spans="1:5" ht="15" customHeight="1" x14ac:dyDescent="0.2">
      <c r="A33" s="44">
        <v>45437</v>
      </c>
      <c r="B33" s="118"/>
      <c r="C33" s="42">
        <f t="shared" si="0"/>
        <v>0</v>
      </c>
      <c r="D33" s="2"/>
      <c r="E33" s="22">
        <f t="shared" si="1"/>
        <v>0</v>
      </c>
    </row>
    <row r="34" spans="1:5" ht="15" customHeight="1" x14ac:dyDescent="0.2">
      <c r="A34" s="44">
        <v>45438</v>
      </c>
      <c r="B34" s="118"/>
      <c r="C34" s="42">
        <f t="shared" si="0"/>
        <v>0</v>
      </c>
      <c r="D34" s="2"/>
      <c r="E34" s="22"/>
    </row>
    <row r="35" spans="1:5" ht="15" customHeight="1" x14ac:dyDescent="0.2">
      <c r="A35" s="44">
        <v>45439</v>
      </c>
      <c r="B35" s="118"/>
      <c r="C35" s="42">
        <f t="shared" si="0"/>
        <v>0</v>
      </c>
      <c r="D35" s="2"/>
      <c r="E35" s="22"/>
    </row>
    <row r="36" spans="1:5" ht="15" customHeight="1" x14ac:dyDescent="0.2">
      <c r="A36" s="44">
        <v>45440</v>
      </c>
      <c r="B36" s="118"/>
      <c r="C36" s="42">
        <f t="shared" si="0"/>
        <v>0</v>
      </c>
      <c r="D36" s="2"/>
      <c r="E36" s="22"/>
    </row>
    <row r="37" spans="1:5" ht="15" customHeight="1" x14ac:dyDescent="0.2">
      <c r="A37" s="44">
        <v>45441</v>
      </c>
      <c r="B37" s="118"/>
      <c r="C37" s="42">
        <f t="shared" si="0"/>
        <v>0</v>
      </c>
      <c r="D37" s="2"/>
      <c r="E37" s="22"/>
    </row>
    <row r="38" spans="1:5" ht="15" customHeight="1" x14ac:dyDescent="0.2">
      <c r="A38" s="44">
        <v>45442</v>
      </c>
      <c r="B38" s="118"/>
      <c r="C38" s="42">
        <f>B38-B36</f>
        <v>0</v>
      </c>
      <c r="D38" s="2"/>
      <c r="E38" s="22">
        <f>D38-D32</f>
        <v>0</v>
      </c>
    </row>
    <row r="39" spans="1:5" ht="15" customHeight="1" x14ac:dyDescent="0.2">
      <c r="A39" s="44">
        <v>45443</v>
      </c>
      <c r="B39" s="118"/>
      <c r="C39" s="42">
        <f>B39-B37</f>
        <v>0</v>
      </c>
      <c r="D39" s="2"/>
      <c r="E39" s="22">
        <f>D39-D33</f>
        <v>0</v>
      </c>
    </row>
    <row r="40" spans="1:5" ht="15" customHeight="1" x14ac:dyDescent="0.2">
      <c r="A40" s="158" t="s">
        <v>39</v>
      </c>
      <c r="B40" s="118"/>
      <c r="C40" s="42"/>
      <c r="D40" s="106"/>
      <c r="E40" s="22"/>
    </row>
    <row r="41" spans="1:5" s="13" customFormat="1" ht="24.95" customHeight="1" x14ac:dyDescent="0.2">
      <c r="A41" s="159"/>
      <c r="B41" s="105"/>
      <c r="C41" s="12">
        <f>SUM(C9:C40)</f>
        <v>-186628</v>
      </c>
      <c r="D41" s="102"/>
      <c r="E41" s="23">
        <f>SUM(E11:E39)</f>
        <v>-36689</v>
      </c>
    </row>
    <row r="42" spans="1:5" x14ac:dyDescent="0.2">
      <c r="A42" s="6" t="s">
        <v>6</v>
      </c>
    </row>
    <row r="43" spans="1:5" x14ac:dyDescent="0.2">
      <c r="A43" s="6" t="s">
        <v>5</v>
      </c>
    </row>
    <row r="44" spans="1:5" x14ac:dyDescent="0.2">
      <c r="A44" s="50"/>
    </row>
  </sheetData>
  <sheetProtection selectLockedCells="1" selectUnlockedCells="1"/>
  <mergeCells count="10">
    <mergeCell ref="A40:A41"/>
    <mergeCell ref="A1:E1"/>
    <mergeCell ref="A2:E2"/>
    <mergeCell ref="A3:E3"/>
    <mergeCell ref="A5:A8"/>
    <mergeCell ref="B5:C5"/>
    <mergeCell ref="D5:E6"/>
    <mergeCell ref="B6:C6"/>
    <mergeCell ref="B7:C7"/>
    <mergeCell ref="A4:C4"/>
  </mergeCells>
  <printOptions horizontalCentered="1"/>
  <pageMargins left="0.23622047244094491" right="0" top="0.23622047244094491" bottom="0.23622047244094491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P44"/>
  <sheetViews>
    <sheetView zoomScale="80" zoomScaleNormal="80" workbookViewId="0">
      <pane ySplit="8" topLeftCell="A9" activePane="bottomLeft" state="frozen"/>
      <selection pane="bottomLeft" activeCell="B9" sqref="B9"/>
    </sheetView>
  </sheetViews>
  <sheetFormatPr defaultRowHeight="12.75" x14ac:dyDescent="0.2"/>
  <cols>
    <col min="1" max="1" width="9.5703125" customWidth="1"/>
    <col min="2" max="2" width="16.28515625" customWidth="1"/>
    <col min="3" max="3" width="17" customWidth="1"/>
    <col min="4" max="4" width="8.7109375" hidden="1" customWidth="1"/>
    <col min="5" max="5" width="1.42578125" hidden="1" customWidth="1"/>
    <col min="6" max="6" width="16.28515625" customWidth="1"/>
    <col min="7" max="7" width="17" customWidth="1"/>
    <col min="8" max="8" width="32.85546875" bestFit="1" customWidth="1"/>
  </cols>
  <sheetData>
    <row r="1" spans="1:42" ht="20.25" x14ac:dyDescent="0.3">
      <c r="A1" s="149" t="s">
        <v>48</v>
      </c>
      <c r="B1" s="149"/>
      <c r="C1" s="149"/>
      <c r="D1" s="149"/>
      <c r="E1" s="149"/>
      <c r="F1" s="149"/>
      <c r="G1" s="149"/>
    </row>
    <row r="2" spans="1:42" ht="15" x14ac:dyDescent="0.2">
      <c r="A2" s="150" t="s">
        <v>2</v>
      </c>
      <c r="B2" s="150"/>
      <c r="C2" s="150"/>
      <c r="D2" s="150"/>
      <c r="E2" s="150"/>
      <c r="F2" s="150"/>
      <c r="G2" s="150"/>
    </row>
    <row r="3" spans="1:42" ht="15.75" x14ac:dyDescent="0.25">
      <c r="A3" s="151" t="s">
        <v>74</v>
      </c>
      <c r="B3" s="151"/>
      <c r="C3" s="151"/>
      <c r="D3" s="151"/>
      <c r="E3" s="151"/>
      <c r="F3" s="151"/>
      <c r="G3" s="151"/>
    </row>
    <row r="5" spans="1:42" ht="15" customHeight="1" x14ac:dyDescent="0.2">
      <c r="A5" s="162" t="s">
        <v>0</v>
      </c>
      <c r="B5" s="152" t="s">
        <v>41</v>
      </c>
      <c r="C5" s="153"/>
      <c r="D5" s="165" t="s">
        <v>1</v>
      </c>
      <c r="E5" s="166"/>
      <c r="F5" s="152" t="s">
        <v>41</v>
      </c>
      <c r="G5" s="15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5" customHeight="1" x14ac:dyDescent="0.2">
      <c r="A6" s="163"/>
      <c r="B6" s="154" t="s">
        <v>47</v>
      </c>
      <c r="C6" s="155"/>
      <c r="D6" s="167"/>
      <c r="E6" s="168"/>
      <c r="F6" s="154" t="s">
        <v>46</v>
      </c>
      <c r="G6" s="15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15" customHeight="1" x14ac:dyDescent="0.2">
      <c r="A7" s="163"/>
      <c r="B7" s="156" t="s">
        <v>42</v>
      </c>
      <c r="C7" s="157"/>
      <c r="D7" s="103"/>
      <c r="E7" s="104"/>
      <c r="F7" s="156" t="s">
        <v>42</v>
      </c>
      <c r="G7" s="15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ht="15" customHeight="1" x14ac:dyDescent="0.2">
      <c r="A8" s="164"/>
      <c r="B8" s="10" t="s">
        <v>3</v>
      </c>
      <c r="C8" s="11" t="s">
        <v>4</v>
      </c>
      <c r="D8" s="5" t="s">
        <v>3</v>
      </c>
      <c r="E8" s="19" t="s">
        <v>4</v>
      </c>
      <c r="F8" s="10" t="s">
        <v>3</v>
      </c>
      <c r="G8" s="11" t="s">
        <v>4</v>
      </c>
    </row>
    <row r="9" spans="1:42" s="4" customFormat="1" ht="15" customHeight="1" x14ac:dyDescent="0.2">
      <c r="A9" s="44">
        <v>45413</v>
      </c>
      <c r="B9" s="118">
        <v>109842</v>
      </c>
      <c r="C9" s="42">
        <f>B9-109794</f>
        <v>48</v>
      </c>
      <c r="D9" s="113"/>
      <c r="E9" s="146"/>
      <c r="F9" s="119">
        <v>21007</v>
      </c>
      <c r="G9" s="42">
        <f>F9-21005</f>
        <v>2</v>
      </c>
    </row>
    <row r="10" spans="1:42" s="4" customFormat="1" ht="15.75" customHeight="1" x14ac:dyDescent="0.2">
      <c r="A10" s="44">
        <v>45414</v>
      </c>
      <c r="B10" s="118">
        <v>109842</v>
      </c>
      <c r="C10" s="42">
        <f t="shared" ref="C10:C38" si="0">B10-B9</f>
        <v>0</v>
      </c>
      <c r="D10" s="113"/>
      <c r="E10" s="146"/>
      <c r="F10" s="119">
        <v>21008</v>
      </c>
      <c r="G10" s="42">
        <f t="shared" ref="G10:G38" si="1">F10-F9</f>
        <v>1</v>
      </c>
    </row>
    <row r="11" spans="1:42" ht="15" customHeight="1" x14ac:dyDescent="0.2">
      <c r="A11" s="44">
        <v>45415</v>
      </c>
      <c r="B11" s="118">
        <v>109968</v>
      </c>
      <c r="C11" s="42">
        <f t="shared" si="0"/>
        <v>126</v>
      </c>
      <c r="D11" s="3"/>
      <c r="E11" s="21">
        <f>D11-36689</f>
        <v>-36689</v>
      </c>
      <c r="F11" s="119">
        <v>21010</v>
      </c>
      <c r="G11" s="42">
        <f t="shared" si="1"/>
        <v>2</v>
      </c>
    </row>
    <row r="12" spans="1:42" ht="15" customHeight="1" x14ac:dyDescent="0.2">
      <c r="A12" s="44">
        <v>45416</v>
      </c>
      <c r="B12" s="118">
        <v>110033</v>
      </c>
      <c r="C12" s="42">
        <f t="shared" si="0"/>
        <v>65</v>
      </c>
      <c r="D12" s="2"/>
      <c r="E12" s="22">
        <f>D12-D11</f>
        <v>0</v>
      </c>
      <c r="F12" s="119">
        <v>21011</v>
      </c>
      <c r="G12" s="42">
        <f t="shared" si="1"/>
        <v>1</v>
      </c>
    </row>
    <row r="13" spans="1:42" ht="15" customHeight="1" x14ac:dyDescent="0.2">
      <c r="A13" s="44">
        <v>45417</v>
      </c>
      <c r="B13" s="118">
        <v>110099</v>
      </c>
      <c r="C13" s="42">
        <f t="shared" si="0"/>
        <v>66</v>
      </c>
      <c r="D13" s="2"/>
      <c r="E13" s="22">
        <f t="shared" ref="E13:E33" si="2">D13-D12</f>
        <v>0</v>
      </c>
      <c r="F13" s="119">
        <v>21013</v>
      </c>
      <c r="G13" s="42">
        <f t="shared" si="1"/>
        <v>2</v>
      </c>
    </row>
    <row r="14" spans="1:42" ht="15" customHeight="1" x14ac:dyDescent="0.2">
      <c r="A14" s="44">
        <v>45418</v>
      </c>
      <c r="B14" s="118">
        <v>110141</v>
      </c>
      <c r="C14" s="42">
        <f t="shared" si="0"/>
        <v>42</v>
      </c>
      <c r="D14" s="2"/>
      <c r="E14" s="22">
        <f t="shared" si="2"/>
        <v>0</v>
      </c>
      <c r="F14" s="119">
        <v>21015</v>
      </c>
      <c r="G14" s="42">
        <f t="shared" si="1"/>
        <v>2</v>
      </c>
    </row>
    <row r="15" spans="1:42" ht="15" customHeight="1" x14ac:dyDescent="0.2">
      <c r="A15" s="44">
        <v>45419</v>
      </c>
      <c r="B15" s="118">
        <v>110174</v>
      </c>
      <c r="C15" s="42">
        <f t="shared" si="0"/>
        <v>33</v>
      </c>
      <c r="D15" s="2"/>
      <c r="E15" s="22">
        <f t="shared" si="2"/>
        <v>0</v>
      </c>
      <c r="F15" s="119">
        <v>21018</v>
      </c>
      <c r="G15" s="42">
        <f t="shared" si="1"/>
        <v>3</v>
      </c>
    </row>
    <row r="16" spans="1:42" ht="14.25" customHeight="1" x14ac:dyDescent="0.2">
      <c r="A16" s="44">
        <v>45420</v>
      </c>
      <c r="B16" s="118">
        <v>110247</v>
      </c>
      <c r="C16" s="42">
        <f t="shared" si="0"/>
        <v>73</v>
      </c>
      <c r="D16" s="2"/>
      <c r="E16" s="22">
        <f t="shared" si="2"/>
        <v>0</v>
      </c>
      <c r="F16" s="119">
        <v>21019</v>
      </c>
      <c r="G16" s="42">
        <f t="shared" si="1"/>
        <v>1</v>
      </c>
    </row>
    <row r="17" spans="1:8" ht="15" customHeight="1" x14ac:dyDescent="0.2">
      <c r="A17" s="44">
        <v>45421</v>
      </c>
      <c r="B17" s="118">
        <v>110312</v>
      </c>
      <c r="C17" s="42">
        <f t="shared" si="0"/>
        <v>65</v>
      </c>
      <c r="D17" s="2"/>
      <c r="E17" s="22">
        <f t="shared" si="2"/>
        <v>0</v>
      </c>
      <c r="F17" s="119">
        <v>21020</v>
      </c>
      <c r="G17" s="42">
        <f t="shared" si="1"/>
        <v>1</v>
      </c>
    </row>
    <row r="18" spans="1:8" ht="15" customHeight="1" x14ac:dyDescent="0.2">
      <c r="A18" s="44">
        <v>45422</v>
      </c>
      <c r="B18" s="118">
        <v>110379</v>
      </c>
      <c r="C18" s="42">
        <f t="shared" si="0"/>
        <v>67</v>
      </c>
      <c r="D18" s="2"/>
      <c r="E18" s="22">
        <f t="shared" si="2"/>
        <v>0</v>
      </c>
      <c r="F18" s="119">
        <v>21022</v>
      </c>
      <c r="G18" s="42">
        <f t="shared" si="1"/>
        <v>2</v>
      </c>
    </row>
    <row r="19" spans="1:8" ht="15" customHeight="1" x14ac:dyDescent="0.2">
      <c r="A19" s="44">
        <v>45423</v>
      </c>
      <c r="B19" s="118">
        <v>110453</v>
      </c>
      <c r="C19" s="42">
        <f t="shared" si="0"/>
        <v>74</v>
      </c>
      <c r="D19" s="2"/>
      <c r="E19" s="22">
        <f t="shared" si="2"/>
        <v>0</v>
      </c>
      <c r="F19" s="119">
        <v>21024</v>
      </c>
      <c r="G19" s="42">
        <f t="shared" si="1"/>
        <v>2</v>
      </c>
    </row>
    <row r="20" spans="1:8" ht="15" customHeight="1" x14ac:dyDescent="0.2">
      <c r="A20" s="44">
        <v>45424</v>
      </c>
      <c r="B20" s="118"/>
      <c r="C20" s="42">
        <f t="shared" si="0"/>
        <v>-110453</v>
      </c>
      <c r="D20" s="2"/>
      <c r="E20" s="22">
        <f t="shared" si="2"/>
        <v>0</v>
      </c>
      <c r="F20" s="119"/>
      <c r="G20" s="42">
        <f t="shared" si="1"/>
        <v>-21024</v>
      </c>
    </row>
    <row r="21" spans="1:8" ht="15" customHeight="1" x14ac:dyDescent="0.2">
      <c r="A21" s="44">
        <v>45425</v>
      </c>
      <c r="B21" s="118"/>
      <c r="C21" s="42">
        <f t="shared" si="0"/>
        <v>0</v>
      </c>
      <c r="D21" s="2"/>
      <c r="E21" s="22">
        <f>D21-D20</f>
        <v>0</v>
      </c>
      <c r="F21" s="119"/>
      <c r="G21" s="42">
        <f t="shared" si="1"/>
        <v>0</v>
      </c>
    </row>
    <row r="22" spans="1:8" ht="15" customHeight="1" x14ac:dyDescent="0.2">
      <c r="A22" s="44">
        <v>45426</v>
      </c>
      <c r="B22" s="118"/>
      <c r="C22" s="42">
        <f t="shared" si="0"/>
        <v>0</v>
      </c>
      <c r="D22" s="2"/>
      <c r="E22" s="22">
        <f t="shared" si="2"/>
        <v>0</v>
      </c>
      <c r="F22" s="119"/>
      <c r="G22" s="42">
        <f t="shared" si="1"/>
        <v>0</v>
      </c>
    </row>
    <row r="23" spans="1:8" ht="15" customHeight="1" x14ac:dyDescent="0.2">
      <c r="A23" s="44">
        <v>45427</v>
      </c>
      <c r="B23" s="118"/>
      <c r="C23" s="42">
        <f t="shared" si="0"/>
        <v>0</v>
      </c>
      <c r="D23" s="2"/>
      <c r="E23" s="22">
        <f t="shared" si="2"/>
        <v>0</v>
      </c>
      <c r="F23" s="119"/>
      <c r="G23" s="42">
        <f t="shared" si="1"/>
        <v>0</v>
      </c>
    </row>
    <row r="24" spans="1:8" ht="15" customHeight="1" x14ac:dyDescent="0.2">
      <c r="A24" s="44">
        <v>45428</v>
      </c>
      <c r="B24" s="118"/>
      <c r="C24" s="42">
        <f t="shared" si="0"/>
        <v>0</v>
      </c>
      <c r="D24" s="2"/>
      <c r="E24" s="22">
        <v>0</v>
      </c>
      <c r="F24" s="119"/>
      <c r="G24" s="42">
        <f t="shared" si="1"/>
        <v>0</v>
      </c>
    </row>
    <row r="25" spans="1:8" ht="15" customHeight="1" x14ac:dyDescent="0.2">
      <c r="A25" s="44">
        <v>45429</v>
      </c>
      <c r="B25" s="118"/>
      <c r="C25" s="42">
        <f t="shared" si="0"/>
        <v>0</v>
      </c>
      <c r="D25" s="2"/>
      <c r="E25" s="22">
        <f t="shared" si="2"/>
        <v>0</v>
      </c>
      <c r="F25" s="119"/>
      <c r="G25" s="42">
        <f t="shared" si="1"/>
        <v>0</v>
      </c>
    </row>
    <row r="26" spans="1:8" ht="15" customHeight="1" x14ac:dyDescent="0.2">
      <c r="A26" s="44">
        <v>45430</v>
      </c>
      <c r="B26" s="118"/>
      <c r="C26" s="42">
        <f t="shared" si="0"/>
        <v>0</v>
      </c>
      <c r="D26" s="2"/>
      <c r="E26" s="22">
        <f t="shared" si="2"/>
        <v>0</v>
      </c>
      <c r="F26" s="119"/>
      <c r="G26" s="42">
        <f t="shared" si="1"/>
        <v>0</v>
      </c>
    </row>
    <row r="27" spans="1:8" ht="15" customHeight="1" x14ac:dyDescent="0.2">
      <c r="A27" s="44">
        <v>45431</v>
      </c>
      <c r="B27" s="118"/>
      <c r="C27" s="42">
        <f t="shared" si="0"/>
        <v>0</v>
      </c>
      <c r="D27" s="2"/>
      <c r="E27" s="22">
        <f t="shared" si="2"/>
        <v>0</v>
      </c>
      <c r="F27" s="119"/>
      <c r="G27" s="42">
        <f t="shared" si="1"/>
        <v>0</v>
      </c>
      <c r="H27" s="24"/>
    </row>
    <row r="28" spans="1:8" ht="15" customHeight="1" x14ac:dyDescent="0.2">
      <c r="A28" s="44">
        <v>45432</v>
      </c>
      <c r="B28" s="118"/>
      <c r="C28" s="42">
        <f t="shared" si="0"/>
        <v>0</v>
      </c>
      <c r="D28" s="2"/>
      <c r="E28" s="22">
        <f t="shared" si="2"/>
        <v>0</v>
      </c>
      <c r="F28" s="119"/>
      <c r="G28" s="42">
        <f t="shared" si="1"/>
        <v>0</v>
      </c>
    </row>
    <row r="29" spans="1:8" ht="15" customHeight="1" x14ac:dyDescent="0.2">
      <c r="A29" s="44">
        <v>45433</v>
      </c>
      <c r="B29" s="118"/>
      <c r="C29" s="42">
        <f t="shared" si="0"/>
        <v>0</v>
      </c>
      <c r="D29" s="2"/>
      <c r="E29" s="22">
        <f t="shared" si="2"/>
        <v>0</v>
      </c>
      <c r="F29" s="119"/>
      <c r="G29" s="42">
        <f t="shared" si="1"/>
        <v>0</v>
      </c>
    </row>
    <row r="30" spans="1:8" ht="15" customHeight="1" x14ac:dyDescent="0.2">
      <c r="A30" s="44">
        <v>45434</v>
      </c>
      <c r="B30" s="118"/>
      <c r="C30" s="42">
        <f t="shared" si="0"/>
        <v>0</v>
      </c>
      <c r="D30" s="2"/>
      <c r="E30" s="22">
        <f t="shared" si="2"/>
        <v>0</v>
      </c>
      <c r="F30" s="119"/>
      <c r="G30" s="42">
        <f t="shared" si="1"/>
        <v>0</v>
      </c>
    </row>
    <row r="31" spans="1:8" ht="15" customHeight="1" x14ac:dyDescent="0.2">
      <c r="A31" s="44">
        <v>45435</v>
      </c>
      <c r="B31" s="118"/>
      <c r="C31" s="42">
        <f t="shared" si="0"/>
        <v>0</v>
      </c>
      <c r="D31" s="2"/>
      <c r="E31" s="22">
        <f t="shared" si="2"/>
        <v>0</v>
      </c>
      <c r="F31" s="119"/>
      <c r="G31" s="42">
        <f t="shared" si="1"/>
        <v>0</v>
      </c>
    </row>
    <row r="32" spans="1:8" ht="15" customHeight="1" x14ac:dyDescent="0.2">
      <c r="A32" s="44">
        <v>45436</v>
      </c>
      <c r="B32" s="118"/>
      <c r="C32" s="42">
        <f t="shared" si="0"/>
        <v>0</v>
      </c>
      <c r="D32" s="2"/>
      <c r="E32" s="22">
        <f t="shared" si="2"/>
        <v>0</v>
      </c>
      <c r="F32" s="119"/>
      <c r="G32" s="42">
        <f t="shared" si="1"/>
        <v>0</v>
      </c>
    </row>
    <row r="33" spans="1:7" ht="15" customHeight="1" x14ac:dyDescent="0.2">
      <c r="A33" s="44">
        <v>45437</v>
      </c>
      <c r="B33" s="118"/>
      <c r="C33" s="42">
        <f t="shared" si="0"/>
        <v>0</v>
      </c>
      <c r="D33" s="2"/>
      <c r="E33" s="22">
        <f t="shared" si="2"/>
        <v>0</v>
      </c>
      <c r="F33" s="119"/>
      <c r="G33" s="42">
        <f t="shared" si="1"/>
        <v>0</v>
      </c>
    </row>
    <row r="34" spans="1:7" ht="15" customHeight="1" x14ac:dyDescent="0.2">
      <c r="A34" s="44">
        <v>45438</v>
      </c>
      <c r="B34" s="118"/>
      <c r="C34" s="42">
        <f t="shared" si="0"/>
        <v>0</v>
      </c>
      <c r="D34" s="2"/>
      <c r="E34" s="22"/>
      <c r="F34" s="119"/>
      <c r="G34" s="42">
        <f t="shared" si="1"/>
        <v>0</v>
      </c>
    </row>
    <row r="35" spans="1:7" ht="15" customHeight="1" x14ac:dyDescent="0.2">
      <c r="A35" s="44">
        <v>45439</v>
      </c>
      <c r="B35" s="118"/>
      <c r="C35" s="42">
        <f t="shared" si="0"/>
        <v>0</v>
      </c>
      <c r="D35" s="2"/>
      <c r="E35" s="22"/>
      <c r="F35" s="119"/>
      <c r="G35" s="42">
        <f t="shared" si="1"/>
        <v>0</v>
      </c>
    </row>
    <row r="36" spans="1:7" ht="15" customHeight="1" x14ac:dyDescent="0.2">
      <c r="A36" s="44">
        <v>45440</v>
      </c>
      <c r="B36" s="118"/>
      <c r="C36" s="42">
        <f t="shared" si="0"/>
        <v>0</v>
      </c>
      <c r="D36" s="2"/>
      <c r="E36" s="22"/>
      <c r="F36" s="119"/>
      <c r="G36" s="42">
        <f t="shared" si="1"/>
        <v>0</v>
      </c>
    </row>
    <row r="37" spans="1:7" ht="15" customHeight="1" x14ac:dyDescent="0.2">
      <c r="A37" s="44">
        <v>45441</v>
      </c>
      <c r="B37" s="118"/>
      <c r="C37" s="42">
        <f t="shared" si="0"/>
        <v>0</v>
      </c>
      <c r="D37" s="2"/>
      <c r="E37" s="22"/>
      <c r="F37" s="119"/>
      <c r="G37" s="42">
        <f t="shared" si="1"/>
        <v>0</v>
      </c>
    </row>
    <row r="38" spans="1:7" ht="15" customHeight="1" x14ac:dyDescent="0.2">
      <c r="A38" s="44">
        <v>45442</v>
      </c>
      <c r="B38" s="118"/>
      <c r="C38" s="42">
        <f t="shared" si="0"/>
        <v>0</v>
      </c>
      <c r="D38" s="106"/>
      <c r="E38" s="22"/>
      <c r="F38" s="119"/>
      <c r="G38" s="42">
        <f t="shared" si="1"/>
        <v>0</v>
      </c>
    </row>
    <row r="39" spans="1:7" ht="15" customHeight="1" x14ac:dyDescent="0.2">
      <c r="A39" s="44">
        <v>45443</v>
      </c>
      <c r="B39" s="118"/>
      <c r="C39" s="42">
        <f>B39-B37</f>
        <v>0</v>
      </c>
      <c r="D39" s="106"/>
      <c r="E39" s="22"/>
      <c r="F39" s="119"/>
      <c r="G39" s="42">
        <f>F39-F37</f>
        <v>0</v>
      </c>
    </row>
    <row r="40" spans="1:7" ht="15" customHeight="1" x14ac:dyDescent="0.2">
      <c r="A40" s="158" t="s">
        <v>39</v>
      </c>
      <c r="B40" s="118"/>
      <c r="C40" s="42"/>
      <c r="D40" s="106"/>
      <c r="E40" s="22"/>
      <c r="F40" s="119"/>
      <c r="G40" s="42"/>
    </row>
    <row r="41" spans="1:7" s="13" customFormat="1" ht="24.95" customHeight="1" x14ac:dyDescent="0.2">
      <c r="A41" s="159"/>
      <c r="B41" s="116"/>
      <c r="C41" s="12">
        <f>SUM(C9:C40)</f>
        <v>-109794</v>
      </c>
      <c r="D41" s="102"/>
      <c r="E41" s="23">
        <f>SUM(E11:E37)</f>
        <v>-36689</v>
      </c>
      <c r="F41" s="105"/>
      <c r="G41" s="12">
        <f>SUM(G9:G40)</f>
        <v>-21005</v>
      </c>
    </row>
    <row r="42" spans="1:7" ht="24.75" customHeight="1" x14ac:dyDescent="0.2">
      <c r="A42" s="6" t="s">
        <v>6</v>
      </c>
      <c r="B42" s="170">
        <f>C41+G41</f>
        <v>-130799</v>
      </c>
      <c r="C42" s="170"/>
      <c r="D42" s="170"/>
      <c r="E42" s="170"/>
      <c r="F42" s="170"/>
      <c r="G42" s="171"/>
    </row>
    <row r="43" spans="1:7" x14ac:dyDescent="0.2">
      <c r="A43" s="6" t="s">
        <v>5</v>
      </c>
    </row>
    <row r="44" spans="1:7" x14ac:dyDescent="0.2">
      <c r="A44" s="50"/>
    </row>
  </sheetData>
  <sheetProtection selectLockedCells="1" selectUnlockedCells="1"/>
  <mergeCells count="13">
    <mergeCell ref="A40:A41"/>
    <mergeCell ref="B42:G42"/>
    <mergeCell ref="A1:G1"/>
    <mergeCell ref="A2:G2"/>
    <mergeCell ref="A3:G3"/>
    <mergeCell ref="A5:A8"/>
    <mergeCell ref="B5:C5"/>
    <mergeCell ref="D5:E6"/>
    <mergeCell ref="F5:G5"/>
    <mergeCell ref="B6:C6"/>
    <mergeCell ref="F6:G6"/>
    <mergeCell ref="B7:C7"/>
    <mergeCell ref="F7:G7"/>
  </mergeCells>
  <printOptions horizontalCentered="1"/>
  <pageMargins left="0.23622047244094491" right="0" top="0.23622047244094491" bottom="0.23622047244094491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75" x14ac:dyDescent="0.2"/>
  <cols>
    <col min="1" max="1" width="9.7109375" customWidth="1"/>
    <col min="2" max="5" width="25.7109375" customWidth="1"/>
  </cols>
  <sheetData>
    <row r="1" spans="1:5" ht="18" x14ac:dyDescent="0.2">
      <c r="A1" s="175" t="s">
        <v>75</v>
      </c>
      <c r="B1" s="175"/>
      <c r="C1" s="175"/>
      <c r="D1" s="175"/>
      <c r="E1" s="175"/>
    </row>
    <row r="2" spans="1:5" ht="15.2" customHeight="1" x14ac:dyDescent="0.2">
      <c r="A2" s="178" t="s">
        <v>52</v>
      </c>
      <c r="B2" s="176" t="s">
        <v>53</v>
      </c>
      <c r="C2" s="176"/>
      <c r="D2" s="176" t="s">
        <v>54</v>
      </c>
      <c r="E2" s="176"/>
    </row>
    <row r="3" spans="1:5" ht="15.2" customHeight="1" x14ac:dyDescent="0.2">
      <c r="A3" s="178"/>
      <c r="B3" s="108" t="s">
        <v>3</v>
      </c>
      <c r="C3" s="108" t="s">
        <v>4</v>
      </c>
      <c r="D3" s="107" t="s">
        <v>3</v>
      </c>
      <c r="E3" s="108" t="s">
        <v>4</v>
      </c>
    </row>
    <row r="4" spans="1:5" ht="15.2" customHeight="1" x14ac:dyDescent="0.2">
      <c r="A4" s="44">
        <v>45413</v>
      </c>
      <c r="B4" s="120">
        <v>2273896</v>
      </c>
      <c r="C4" s="117">
        <f>B4-2272417</f>
        <v>1479</v>
      </c>
      <c r="D4" s="120">
        <v>13759993</v>
      </c>
      <c r="E4" s="117">
        <f>D4-13751273</f>
        <v>8720</v>
      </c>
    </row>
    <row r="5" spans="1:5" ht="15.2" customHeight="1" x14ac:dyDescent="0.2">
      <c r="A5" s="44">
        <v>45414</v>
      </c>
      <c r="B5" s="120">
        <v>2275266</v>
      </c>
      <c r="C5" s="117">
        <f t="shared" ref="C5:C34" si="0">B5-B4</f>
        <v>1370</v>
      </c>
      <c r="D5" s="120">
        <v>13767928</v>
      </c>
      <c r="E5" s="117">
        <f>D5-D4</f>
        <v>7935</v>
      </c>
    </row>
    <row r="6" spans="1:5" ht="15.2" customHeight="1" x14ac:dyDescent="0.2">
      <c r="A6" s="44">
        <v>45415</v>
      </c>
      <c r="B6" s="120">
        <v>2276619</v>
      </c>
      <c r="C6" s="117">
        <f t="shared" si="0"/>
        <v>1353</v>
      </c>
      <c r="D6" s="120">
        <v>13775349</v>
      </c>
      <c r="E6" s="117">
        <f t="shared" ref="E6:E34" si="1">D6-D5</f>
        <v>7421</v>
      </c>
    </row>
    <row r="7" spans="1:5" ht="15.2" customHeight="1" x14ac:dyDescent="0.2">
      <c r="A7" s="44">
        <v>45416</v>
      </c>
      <c r="B7" s="120">
        <v>2278053</v>
      </c>
      <c r="C7" s="117">
        <f t="shared" si="0"/>
        <v>1434</v>
      </c>
      <c r="D7" s="120">
        <v>13783918</v>
      </c>
      <c r="E7" s="117">
        <f t="shared" si="1"/>
        <v>8569</v>
      </c>
    </row>
    <row r="8" spans="1:5" ht="15.2" customHeight="1" x14ac:dyDescent="0.2">
      <c r="A8" s="44">
        <v>45417</v>
      </c>
      <c r="B8" s="120">
        <v>2279443</v>
      </c>
      <c r="C8" s="117">
        <f t="shared" si="0"/>
        <v>1390</v>
      </c>
      <c r="D8" s="120">
        <v>13792314</v>
      </c>
      <c r="E8" s="117">
        <f t="shared" si="1"/>
        <v>8396</v>
      </c>
    </row>
    <row r="9" spans="1:5" ht="15.2" customHeight="1" x14ac:dyDescent="0.2">
      <c r="A9" s="44">
        <v>45418</v>
      </c>
      <c r="B9" s="120">
        <v>2280849</v>
      </c>
      <c r="C9" s="117">
        <f t="shared" si="0"/>
        <v>1406</v>
      </c>
      <c r="D9" s="120">
        <v>13800809</v>
      </c>
      <c r="E9" s="117">
        <f t="shared" si="1"/>
        <v>8495</v>
      </c>
    </row>
    <row r="10" spans="1:5" ht="15.2" customHeight="1" x14ac:dyDescent="0.2">
      <c r="A10" s="44">
        <v>45419</v>
      </c>
      <c r="B10" s="120">
        <v>2282289</v>
      </c>
      <c r="C10" s="117">
        <f t="shared" si="0"/>
        <v>1440</v>
      </c>
      <c r="D10" s="120">
        <v>13809388</v>
      </c>
      <c r="E10" s="117">
        <f t="shared" si="1"/>
        <v>8579</v>
      </c>
    </row>
    <row r="11" spans="1:5" ht="15.2" customHeight="1" x14ac:dyDescent="0.2">
      <c r="A11" s="44">
        <v>45420</v>
      </c>
      <c r="B11" s="120">
        <v>2283840</v>
      </c>
      <c r="C11" s="117">
        <f t="shared" si="0"/>
        <v>1551</v>
      </c>
      <c r="D11" s="120">
        <v>13818729</v>
      </c>
      <c r="E11" s="117">
        <f t="shared" si="1"/>
        <v>9341</v>
      </c>
    </row>
    <row r="12" spans="1:5" ht="15.2" customHeight="1" x14ac:dyDescent="0.2">
      <c r="A12" s="44">
        <v>45421</v>
      </c>
      <c r="B12" s="120">
        <v>2285301</v>
      </c>
      <c r="C12" s="117">
        <f t="shared" si="0"/>
        <v>1461</v>
      </c>
      <c r="D12" s="120">
        <v>13827420</v>
      </c>
      <c r="E12" s="117">
        <f t="shared" si="1"/>
        <v>8691</v>
      </c>
    </row>
    <row r="13" spans="1:5" ht="15.2" customHeight="1" x14ac:dyDescent="0.2">
      <c r="A13" s="44">
        <v>45422</v>
      </c>
      <c r="B13" s="120">
        <v>2286754</v>
      </c>
      <c r="C13" s="117">
        <f t="shared" si="0"/>
        <v>1453</v>
      </c>
      <c r="D13" s="120">
        <v>13836138</v>
      </c>
      <c r="E13" s="117">
        <f t="shared" si="1"/>
        <v>8718</v>
      </c>
    </row>
    <row r="14" spans="1:5" ht="15.2" customHeight="1" x14ac:dyDescent="0.2">
      <c r="A14" s="44">
        <v>45423</v>
      </c>
      <c r="B14" s="120">
        <v>2288173</v>
      </c>
      <c r="C14" s="117">
        <f t="shared" si="0"/>
        <v>1419</v>
      </c>
      <c r="D14" s="120">
        <v>13844627</v>
      </c>
      <c r="E14" s="117">
        <f t="shared" si="1"/>
        <v>8489</v>
      </c>
    </row>
    <row r="15" spans="1:5" ht="15.2" customHeight="1" x14ac:dyDescent="0.2">
      <c r="A15" s="44">
        <v>45424</v>
      </c>
      <c r="B15" s="120"/>
      <c r="C15" s="117">
        <f t="shared" si="0"/>
        <v>-2288173</v>
      </c>
      <c r="D15" s="120"/>
      <c r="E15" s="117">
        <f t="shared" si="1"/>
        <v>-13844627</v>
      </c>
    </row>
    <row r="16" spans="1:5" ht="15.2" customHeight="1" x14ac:dyDescent="0.2">
      <c r="A16" s="44">
        <v>45425</v>
      </c>
      <c r="B16" s="120"/>
      <c r="C16" s="117">
        <f t="shared" si="0"/>
        <v>0</v>
      </c>
      <c r="D16" s="120"/>
      <c r="E16" s="117">
        <f t="shared" si="1"/>
        <v>0</v>
      </c>
    </row>
    <row r="17" spans="1:6" ht="15.2" customHeight="1" x14ac:dyDescent="0.2">
      <c r="A17" s="44">
        <v>45426</v>
      </c>
      <c r="B17" s="120"/>
      <c r="C17" s="117">
        <f t="shared" si="0"/>
        <v>0</v>
      </c>
      <c r="D17" s="120"/>
      <c r="E17" s="117">
        <f t="shared" si="1"/>
        <v>0</v>
      </c>
    </row>
    <row r="18" spans="1:6" ht="15.2" customHeight="1" x14ac:dyDescent="0.2">
      <c r="A18" s="44">
        <v>45427</v>
      </c>
      <c r="B18" s="120"/>
      <c r="C18" s="117">
        <f t="shared" si="0"/>
        <v>0</v>
      </c>
      <c r="D18" s="120"/>
      <c r="E18" s="117">
        <f t="shared" si="1"/>
        <v>0</v>
      </c>
    </row>
    <row r="19" spans="1:6" ht="15.2" customHeight="1" x14ac:dyDescent="0.2">
      <c r="A19" s="44">
        <v>45428</v>
      </c>
      <c r="B19" s="120"/>
      <c r="C19" s="117">
        <f t="shared" si="0"/>
        <v>0</v>
      </c>
      <c r="D19" s="120"/>
      <c r="E19" s="117">
        <f t="shared" si="1"/>
        <v>0</v>
      </c>
      <c r="F19" t="s">
        <v>56</v>
      </c>
    </row>
    <row r="20" spans="1:6" ht="15.2" customHeight="1" x14ac:dyDescent="0.2">
      <c r="A20" s="44">
        <v>45429</v>
      </c>
      <c r="B20" s="120"/>
      <c r="C20" s="117">
        <f t="shared" si="0"/>
        <v>0</v>
      </c>
      <c r="D20" s="120"/>
      <c r="E20" s="117">
        <f t="shared" si="1"/>
        <v>0</v>
      </c>
    </row>
    <row r="21" spans="1:6" ht="15.2" customHeight="1" x14ac:dyDescent="0.2">
      <c r="A21" s="44">
        <v>45430</v>
      </c>
      <c r="B21" s="120"/>
      <c r="C21" s="117">
        <f t="shared" si="0"/>
        <v>0</v>
      </c>
      <c r="D21" s="120"/>
      <c r="E21" s="117">
        <f t="shared" si="1"/>
        <v>0</v>
      </c>
    </row>
    <row r="22" spans="1:6" ht="15.2" customHeight="1" x14ac:dyDescent="0.2">
      <c r="A22" s="44">
        <v>45431</v>
      </c>
      <c r="B22" s="120"/>
      <c r="C22" s="117">
        <f t="shared" si="0"/>
        <v>0</v>
      </c>
      <c r="D22" s="120"/>
      <c r="E22" s="117">
        <f t="shared" si="1"/>
        <v>0</v>
      </c>
    </row>
    <row r="23" spans="1:6" ht="15.2" customHeight="1" x14ac:dyDescent="0.2">
      <c r="A23" s="44">
        <v>45432</v>
      </c>
      <c r="B23" s="120"/>
      <c r="C23" s="117">
        <f t="shared" si="0"/>
        <v>0</v>
      </c>
      <c r="D23" s="120"/>
      <c r="E23" s="117">
        <f t="shared" si="1"/>
        <v>0</v>
      </c>
    </row>
    <row r="24" spans="1:6" ht="15.2" customHeight="1" x14ac:dyDescent="0.2">
      <c r="A24" s="44">
        <v>45433</v>
      </c>
      <c r="B24" s="120"/>
      <c r="C24" s="117">
        <f t="shared" si="0"/>
        <v>0</v>
      </c>
      <c r="D24" s="120"/>
      <c r="E24" s="117">
        <f t="shared" si="1"/>
        <v>0</v>
      </c>
    </row>
    <row r="25" spans="1:6" ht="15.2" customHeight="1" x14ac:dyDescent="0.2">
      <c r="A25" s="44">
        <v>45434</v>
      </c>
      <c r="B25" s="120"/>
      <c r="C25" s="117">
        <f t="shared" si="0"/>
        <v>0</v>
      </c>
      <c r="D25" s="120"/>
      <c r="E25" s="117">
        <f t="shared" si="1"/>
        <v>0</v>
      </c>
    </row>
    <row r="26" spans="1:6" ht="15.2" customHeight="1" x14ac:dyDescent="0.2">
      <c r="A26" s="44">
        <v>45435</v>
      </c>
      <c r="B26" s="120"/>
      <c r="C26" s="117">
        <f t="shared" si="0"/>
        <v>0</v>
      </c>
      <c r="D26" s="120"/>
      <c r="E26" s="117">
        <f t="shared" si="1"/>
        <v>0</v>
      </c>
    </row>
    <row r="27" spans="1:6" ht="15.2" customHeight="1" x14ac:dyDescent="0.2">
      <c r="A27" s="44">
        <v>45436</v>
      </c>
      <c r="B27" s="120"/>
      <c r="C27" s="117">
        <f t="shared" si="0"/>
        <v>0</v>
      </c>
      <c r="D27" s="120"/>
      <c r="E27" s="117">
        <f t="shared" si="1"/>
        <v>0</v>
      </c>
    </row>
    <row r="28" spans="1:6" ht="15.2" customHeight="1" x14ac:dyDescent="0.2">
      <c r="A28" s="44">
        <v>45437</v>
      </c>
      <c r="B28" s="120"/>
      <c r="C28" s="117">
        <f t="shared" si="0"/>
        <v>0</v>
      </c>
      <c r="D28" s="120"/>
      <c r="E28" s="117">
        <f t="shared" si="1"/>
        <v>0</v>
      </c>
    </row>
    <row r="29" spans="1:6" ht="15.2" customHeight="1" x14ac:dyDescent="0.2">
      <c r="A29" s="44">
        <v>45438</v>
      </c>
      <c r="B29" s="120"/>
      <c r="C29" s="117">
        <f t="shared" si="0"/>
        <v>0</v>
      </c>
      <c r="D29" s="120"/>
      <c r="E29" s="117">
        <f t="shared" si="1"/>
        <v>0</v>
      </c>
    </row>
    <row r="30" spans="1:6" ht="15.2" customHeight="1" x14ac:dyDescent="0.2">
      <c r="A30" s="44">
        <v>45439</v>
      </c>
      <c r="B30" s="120"/>
      <c r="C30" s="117">
        <f t="shared" si="0"/>
        <v>0</v>
      </c>
      <c r="D30" s="120"/>
      <c r="E30" s="117">
        <f t="shared" si="1"/>
        <v>0</v>
      </c>
    </row>
    <row r="31" spans="1:6" ht="15.2" customHeight="1" x14ac:dyDescent="0.2">
      <c r="A31" s="44">
        <v>45440</v>
      </c>
      <c r="B31" s="120"/>
      <c r="C31" s="117">
        <f t="shared" si="0"/>
        <v>0</v>
      </c>
      <c r="D31" s="120"/>
      <c r="E31" s="117">
        <f t="shared" si="1"/>
        <v>0</v>
      </c>
    </row>
    <row r="32" spans="1:6" ht="15.2" customHeight="1" x14ac:dyDescent="0.2">
      <c r="A32" s="44">
        <v>45441</v>
      </c>
      <c r="B32" s="120"/>
      <c r="C32" s="117">
        <f t="shared" si="0"/>
        <v>0</v>
      </c>
      <c r="D32" s="120"/>
      <c r="E32" s="117">
        <f t="shared" si="1"/>
        <v>0</v>
      </c>
    </row>
    <row r="33" spans="1:5" ht="15.2" customHeight="1" x14ac:dyDescent="0.2">
      <c r="A33" s="44">
        <v>45442</v>
      </c>
      <c r="B33" s="120"/>
      <c r="C33" s="117">
        <f t="shared" si="0"/>
        <v>0</v>
      </c>
      <c r="D33" s="120"/>
      <c r="E33" s="117">
        <f t="shared" si="1"/>
        <v>0</v>
      </c>
    </row>
    <row r="34" spans="1:5" ht="15.2" customHeight="1" x14ac:dyDescent="0.2">
      <c r="A34" s="44">
        <v>45443</v>
      </c>
      <c r="B34" s="120"/>
      <c r="C34" s="117">
        <f t="shared" si="0"/>
        <v>0</v>
      </c>
      <c r="D34" s="120"/>
      <c r="E34" s="117">
        <f t="shared" si="1"/>
        <v>0</v>
      </c>
    </row>
    <row r="35" spans="1:5" ht="43.5" customHeight="1" x14ac:dyDescent="0.2">
      <c r="A35" s="115" t="s">
        <v>55</v>
      </c>
      <c r="B35" s="177">
        <f>SUM(C4:C34)</f>
        <v>-2272417</v>
      </c>
      <c r="C35" s="177"/>
      <c r="D35" s="177">
        <f>SUM(E4:E34)</f>
        <v>-13751273</v>
      </c>
      <c r="E35" s="177"/>
    </row>
    <row r="36" spans="1:5" ht="43.5" customHeight="1" x14ac:dyDescent="0.2">
      <c r="A36" s="115" t="s">
        <v>57</v>
      </c>
      <c r="B36" s="172">
        <f>B35+D35</f>
        <v>-16023690</v>
      </c>
      <c r="C36" s="173"/>
      <c r="D36" s="173"/>
      <c r="E36" s="174"/>
    </row>
    <row r="37" spans="1:5" x14ac:dyDescent="0.2">
      <c r="A37" s="109"/>
      <c r="B37" s="26"/>
      <c r="C37" s="26"/>
      <c r="D37" s="26"/>
      <c r="E37" s="26"/>
    </row>
  </sheetData>
  <mergeCells count="7">
    <mergeCell ref="B36:E36"/>
    <mergeCell ref="A1:E1"/>
    <mergeCell ref="D2:E2"/>
    <mergeCell ref="B35:C35"/>
    <mergeCell ref="D35:E35"/>
    <mergeCell ref="A2:A3"/>
    <mergeCell ref="B2:C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3"/>
  <sheetViews>
    <sheetView zoomScaleNormal="100" workbookViewId="0">
      <selection activeCell="B41" sqref="B41"/>
    </sheetView>
  </sheetViews>
  <sheetFormatPr defaultColWidth="9.140625" defaultRowHeight="15.75" x14ac:dyDescent="0.25"/>
  <cols>
    <col min="1" max="1" width="5.28515625" style="7" customWidth="1"/>
    <col min="2" max="2" width="33.7109375" style="7" customWidth="1"/>
    <col min="3" max="3" width="11.140625" style="7" bestFit="1" customWidth="1"/>
    <col min="4" max="4" width="11.28515625" style="7" bestFit="1" customWidth="1"/>
    <col min="5" max="5" width="11" style="7" bestFit="1" customWidth="1"/>
    <col min="6" max="6" width="15.42578125" style="7" customWidth="1"/>
    <col min="7" max="7" width="12.42578125" style="7" customWidth="1"/>
    <col min="8" max="8" width="11.5703125" style="7" customWidth="1"/>
    <col min="9" max="9" width="16.42578125" style="7" customWidth="1"/>
    <col min="10" max="10" width="11.5703125" style="7" bestFit="1" customWidth="1"/>
    <col min="11" max="11" width="11.28515625" style="7" bestFit="1" customWidth="1"/>
    <col min="12" max="16384" width="9.140625" style="7"/>
  </cols>
  <sheetData>
    <row r="1" spans="2:10" x14ac:dyDescent="0.25">
      <c r="B1" s="8" t="s">
        <v>29</v>
      </c>
    </row>
    <row r="2" spans="2:10" s="26" customFormat="1" ht="12.75" x14ac:dyDescent="0.2">
      <c r="B2" s="1" t="s">
        <v>26</v>
      </c>
    </row>
    <row r="3" spans="2:10" s="26" customFormat="1" ht="10.5" customHeight="1" x14ac:dyDescent="0.2"/>
    <row r="4" spans="2:10" s="26" customFormat="1" ht="12.75" x14ac:dyDescent="0.2">
      <c r="B4" s="14" t="s">
        <v>38</v>
      </c>
    </row>
    <row r="5" spans="2:10" s="26" customFormat="1" ht="13.5" thickBot="1" x14ac:dyDescent="0.25">
      <c r="C5" s="180" t="s">
        <v>37</v>
      </c>
      <c r="D5" s="180"/>
      <c r="E5" s="180"/>
    </row>
    <row r="6" spans="2:10" s="26" customFormat="1" ht="13.5" thickTop="1" x14ac:dyDescent="0.2">
      <c r="B6" s="181" t="s">
        <v>15</v>
      </c>
      <c r="C6" s="183" t="s">
        <v>14</v>
      </c>
      <c r="D6" s="183"/>
      <c r="E6" s="183" t="s">
        <v>13</v>
      </c>
      <c r="F6" s="183"/>
      <c r="G6" s="183"/>
      <c r="H6" s="183"/>
      <c r="I6" s="184"/>
    </row>
    <row r="7" spans="2:10" s="26" customFormat="1" ht="12.75" x14ac:dyDescent="0.2">
      <c r="B7" s="182"/>
      <c r="C7" s="33" t="s">
        <v>12</v>
      </c>
      <c r="D7" s="47" t="s">
        <v>11</v>
      </c>
      <c r="E7" s="33" t="s">
        <v>10</v>
      </c>
      <c r="F7" s="33" t="s">
        <v>9</v>
      </c>
      <c r="G7" s="33" t="s">
        <v>8</v>
      </c>
      <c r="H7" s="33" t="s">
        <v>7</v>
      </c>
      <c r="I7" s="48" t="s">
        <v>25</v>
      </c>
    </row>
    <row r="8" spans="2:10" s="26" customFormat="1" ht="12.75" x14ac:dyDescent="0.2">
      <c r="B8" s="31" t="s">
        <v>17</v>
      </c>
      <c r="C8" s="63">
        <v>8800732</v>
      </c>
      <c r="D8" s="63">
        <v>9177927</v>
      </c>
      <c r="E8" s="27">
        <f t="shared" ref="E8:E10" si="0">+D8-C8</f>
        <v>377195</v>
      </c>
      <c r="F8" s="28">
        <v>1</v>
      </c>
      <c r="G8" s="28">
        <f t="shared" ref="G8:G10" si="1">+F8*E8</f>
        <v>377195</v>
      </c>
      <c r="H8" s="29">
        <v>0.2</v>
      </c>
      <c r="I8" s="30">
        <f t="shared" ref="I8:I10" si="2">G8*H8</f>
        <v>75439</v>
      </c>
    </row>
    <row r="9" spans="2:10" s="26" customFormat="1" ht="12.75" x14ac:dyDescent="0.2">
      <c r="B9" s="31" t="s">
        <v>20</v>
      </c>
      <c r="C9" s="64">
        <v>17584845</v>
      </c>
      <c r="D9" s="64">
        <v>17917016</v>
      </c>
      <c r="E9" s="27">
        <f t="shared" si="0"/>
        <v>332171</v>
      </c>
      <c r="F9" s="28">
        <v>1</v>
      </c>
      <c r="G9" s="28">
        <f t="shared" si="1"/>
        <v>332171</v>
      </c>
      <c r="H9" s="29">
        <v>0.2</v>
      </c>
      <c r="I9" s="30">
        <f t="shared" si="2"/>
        <v>66434.2</v>
      </c>
    </row>
    <row r="10" spans="2:10" s="26" customFormat="1" ht="13.5" thickBot="1" x14ac:dyDescent="0.25">
      <c r="B10" s="31" t="s">
        <v>23</v>
      </c>
      <c r="C10" s="65">
        <v>26995657</v>
      </c>
      <c r="D10" s="65">
        <v>27436051</v>
      </c>
      <c r="E10" s="27">
        <f t="shared" si="0"/>
        <v>440394</v>
      </c>
      <c r="F10" s="28">
        <v>1</v>
      </c>
      <c r="G10" s="28">
        <f t="shared" si="1"/>
        <v>440394</v>
      </c>
      <c r="H10" s="29">
        <v>0.2</v>
      </c>
      <c r="I10" s="30">
        <f t="shared" si="2"/>
        <v>88078.8</v>
      </c>
      <c r="J10" s="32"/>
    </row>
    <row r="11" spans="2:10" s="26" customFormat="1" ht="14.25" thickTop="1" thickBot="1" x14ac:dyDescent="0.25">
      <c r="B11" s="15" t="s">
        <v>19</v>
      </c>
      <c r="C11" s="36"/>
      <c r="D11" s="36"/>
      <c r="E11" s="36"/>
      <c r="F11" s="36"/>
      <c r="G11" s="36">
        <f>SUM(G8:G10)</f>
        <v>1149760</v>
      </c>
      <c r="H11" s="37"/>
      <c r="I11" s="38">
        <f>SUM(I8:I10)</f>
        <v>229952</v>
      </c>
      <c r="J11" s="49"/>
    </row>
    <row r="12" spans="2:10" s="26" customFormat="1" ht="13.5" thickTop="1" x14ac:dyDescent="0.2">
      <c r="B12" s="53"/>
      <c r="C12" s="58"/>
      <c r="D12" s="59"/>
      <c r="E12" s="179"/>
      <c r="F12" s="179"/>
      <c r="G12" s="60"/>
      <c r="H12" s="51"/>
      <c r="I12" s="54"/>
    </row>
    <row r="13" spans="2:10" s="26" customFormat="1" ht="7.5" customHeight="1" x14ac:dyDescent="0.2">
      <c r="D13" s="40"/>
      <c r="E13" s="40"/>
      <c r="F13" s="40"/>
      <c r="G13" s="41"/>
      <c r="H13" s="46"/>
      <c r="I13" s="39"/>
    </row>
    <row r="14" spans="2:10" s="26" customFormat="1" ht="12.75" x14ac:dyDescent="0.2">
      <c r="B14" s="14" t="s">
        <v>18</v>
      </c>
    </row>
    <row r="15" spans="2:10" s="26" customFormat="1" ht="15" thickBot="1" x14ac:dyDescent="0.25">
      <c r="C15" s="180" t="s">
        <v>22</v>
      </c>
      <c r="D15" s="180"/>
      <c r="E15" s="180"/>
    </row>
    <row r="16" spans="2:10" s="26" customFormat="1" ht="13.5" thickTop="1" x14ac:dyDescent="0.2">
      <c r="B16" s="181" t="s">
        <v>15</v>
      </c>
      <c r="C16" s="183" t="s">
        <v>14</v>
      </c>
      <c r="D16" s="183"/>
      <c r="E16" s="183" t="s">
        <v>13</v>
      </c>
      <c r="F16" s="183"/>
      <c r="G16" s="183"/>
      <c r="H16" s="183"/>
      <c r="I16" s="184"/>
    </row>
    <row r="17" spans="2:12" s="26" customFormat="1" ht="12.75" x14ac:dyDescent="0.2">
      <c r="B17" s="182"/>
      <c r="C17" s="33" t="s">
        <v>12</v>
      </c>
      <c r="D17" s="33" t="s">
        <v>11</v>
      </c>
      <c r="E17" s="33" t="s">
        <v>10</v>
      </c>
      <c r="F17" s="33" t="s">
        <v>9</v>
      </c>
      <c r="G17" s="33" t="s">
        <v>8</v>
      </c>
      <c r="H17" s="33" t="s">
        <v>7</v>
      </c>
      <c r="I17" s="48" t="s">
        <v>25</v>
      </c>
    </row>
    <row r="18" spans="2:12" s="26" customFormat="1" ht="12.75" x14ac:dyDescent="0.2">
      <c r="B18" s="31" t="s">
        <v>27</v>
      </c>
      <c r="C18" s="43">
        <v>526949</v>
      </c>
      <c r="D18" s="43">
        <v>531926</v>
      </c>
      <c r="E18" s="27">
        <f>+D18-C18</f>
        <v>4977</v>
      </c>
      <c r="F18" s="28">
        <v>1</v>
      </c>
      <c r="G18" s="28">
        <f>F18*E18</f>
        <v>4977</v>
      </c>
      <c r="H18" s="29">
        <v>7.84</v>
      </c>
      <c r="I18" s="30">
        <f>H18*E18</f>
        <v>39019.68</v>
      </c>
    </row>
    <row r="19" spans="2:12" s="45" customFormat="1" ht="13.5" thickBot="1" x14ac:dyDescent="0.25">
      <c r="B19" s="70" t="s">
        <v>28</v>
      </c>
      <c r="C19" s="43"/>
      <c r="D19" s="43"/>
      <c r="E19" s="27">
        <f>+D19-C19</f>
        <v>0</v>
      </c>
      <c r="F19" s="28">
        <v>1</v>
      </c>
      <c r="G19" s="28">
        <f>F19*E19</f>
        <v>0</v>
      </c>
      <c r="H19" s="29">
        <v>7.84</v>
      </c>
      <c r="I19" s="30">
        <f>H19*E19</f>
        <v>0</v>
      </c>
      <c r="J19" s="26"/>
      <c r="K19" s="26"/>
      <c r="L19" s="26"/>
    </row>
    <row r="20" spans="2:12" s="26" customFormat="1" ht="14.25" thickTop="1" thickBot="1" x14ac:dyDescent="0.25">
      <c r="B20" s="15" t="s">
        <v>16</v>
      </c>
      <c r="C20" s="16"/>
      <c r="D20" s="16"/>
      <c r="E20" s="25">
        <f>SUM(E18:E19)</f>
        <v>4977</v>
      </c>
      <c r="F20" s="16"/>
      <c r="G20" s="16">
        <f>SUM(G18:G19)</f>
        <v>4977</v>
      </c>
      <c r="H20" s="17"/>
      <c r="I20" s="18">
        <f>SUM(I18:I19)</f>
        <v>39019.68</v>
      </c>
    </row>
    <row r="21" spans="2:12" s="26" customFormat="1" ht="13.5" thickTop="1" x14ac:dyDescent="0.2">
      <c r="B21" s="1"/>
      <c r="C21" s="99"/>
      <c r="D21" s="99"/>
      <c r="E21" s="100"/>
      <c r="F21" s="99"/>
      <c r="G21" s="99"/>
      <c r="H21" s="101"/>
      <c r="I21" s="101"/>
    </row>
    <row r="22" spans="2:12" s="26" customFormat="1" ht="12.75" x14ac:dyDescent="0.2">
      <c r="B22" s="1"/>
      <c r="C22" s="99"/>
      <c r="D22" s="99"/>
      <c r="E22" s="100"/>
      <c r="F22" s="99"/>
      <c r="G22" s="99"/>
      <c r="H22" s="101"/>
      <c r="I22" s="101"/>
    </row>
    <row r="23" spans="2:12" s="26" customFormat="1" ht="12.75" x14ac:dyDescent="0.2">
      <c r="B23" s="14" t="s">
        <v>35</v>
      </c>
    </row>
    <row r="24" spans="2:12" s="26" customFormat="1" ht="15" thickBot="1" x14ac:dyDescent="0.25">
      <c r="C24" s="180" t="s">
        <v>22</v>
      </c>
      <c r="D24" s="180"/>
      <c r="E24" s="180"/>
    </row>
    <row r="25" spans="2:12" s="26" customFormat="1" ht="13.5" thickTop="1" x14ac:dyDescent="0.2">
      <c r="B25" s="181" t="s">
        <v>15</v>
      </c>
      <c r="C25" s="183" t="s">
        <v>14</v>
      </c>
      <c r="D25" s="183"/>
      <c r="E25" s="183" t="s">
        <v>13</v>
      </c>
      <c r="F25" s="183"/>
      <c r="G25" s="183"/>
      <c r="H25" s="183"/>
      <c r="I25" s="184"/>
    </row>
    <row r="26" spans="2:12" s="26" customFormat="1" ht="12.75" x14ac:dyDescent="0.2">
      <c r="B26" s="182"/>
      <c r="C26" s="33" t="s">
        <v>12</v>
      </c>
      <c r="D26" s="33" t="s">
        <v>11</v>
      </c>
      <c r="E26" s="33" t="s">
        <v>10</v>
      </c>
      <c r="F26" s="33" t="s">
        <v>9</v>
      </c>
      <c r="G26" s="33" t="s">
        <v>8</v>
      </c>
      <c r="H26" s="33" t="s">
        <v>7</v>
      </c>
      <c r="I26" s="48" t="s">
        <v>25</v>
      </c>
    </row>
    <row r="27" spans="2:12" s="26" customFormat="1" ht="12.75" x14ac:dyDescent="0.2">
      <c r="B27" s="31" t="s">
        <v>31</v>
      </c>
      <c r="C27" s="43">
        <v>526949</v>
      </c>
      <c r="D27" s="43">
        <v>531926</v>
      </c>
      <c r="E27" s="27">
        <f>+D27-C27</f>
        <v>4977</v>
      </c>
      <c r="F27" s="28">
        <v>1</v>
      </c>
      <c r="G27" s="28">
        <f>F27*E27</f>
        <v>4977</v>
      </c>
      <c r="H27" s="29">
        <v>7.84</v>
      </c>
      <c r="I27" s="30">
        <f>H27*E27</f>
        <v>39019.68</v>
      </c>
    </row>
    <row r="28" spans="2:12" s="26" customFormat="1" ht="12.75" x14ac:dyDescent="0.2">
      <c r="B28" s="31" t="s">
        <v>32</v>
      </c>
      <c r="C28" s="43"/>
      <c r="D28" s="43"/>
      <c r="E28" s="27">
        <f>+D28-C28</f>
        <v>0</v>
      </c>
      <c r="F28" s="28">
        <v>1</v>
      </c>
      <c r="G28" s="28">
        <f>F28*E28</f>
        <v>0</v>
      </c>
      <c r="H28" s="29">
        <v>7.84</v>
      </c>
      <c r="I28" s="30">
        <f>H28*E28</f>
        <v>0</v>
      </c>
    </row>
    <row r="29" spans="2:12" s="26" customFormat="1" ht="12.75" x14ac:dyDescent="0.2">
      <c r="B29" s="31" t="s">
        <v>33</v>
      </c>
      <c r="C29" s="43"/>
      <c r="D29" s="43"/>
      <c r="E29" s="27">
        <f>+D29-C29</f>
        <v>0</v>
      </c>
      <c r="F29" s="28">
        <v>1</v>
      </c>
      <c r="G29" s="28">
        <f>F29*E29</f>
        <v>0</v>
      </c>
      <c r="H29" s="29">
        <v>7.84</v>
      </c>
      <c r="I29" s="30">
        <f>H29*E29</f>
        <v>0</v>
      </c>
    </row>
    <row r="30" spans="2:12" s="45" customFormat="1" ht="13.5" thickBot="1" x14ac:dyDescent="0.25">
      <c r="B30" s="70" t="s">
        <v>34</v>
      </c>
      <c r="C30" s="43"/>
      <c r="D30" s="43"/>
      <c r="E30" s="27">
        <f>+D30-C30</f>
        <v>0</v>
      </c>
      <c r="F30" s="28">
        <v>1</v>
      </c>
      <c r="G30" s="28">
        <f>F30*E30</f>
        <v>0</v>
      </c>
      <c r="H30" s="29">
        <v>7.84</v>
      </c>
      <c r="I30" s="30">
        <f>H30*E30</f>
        <v>0</v>
      </c>
      <c r="J30" s="26"/>
      <c r="K30" s="26"/>
      <c r="L30" s="26"/>
    </row>
    <row r="31" spans="2:12" s="26" customFormat="1" ht="14.25" thickTop="1" thickBot="1" x14ac:dyDescent="0.25">
      <c r="B31" s="15" t="s">
        <v>36</v>
      </c>
      <c r="C31" s="16"/>
      <c r="D31" s="16"/>
      <c r="E31" s="25">
        <f>SUM(E27:E30)</f>
        <v>4977</v>
      </c>
      <c r="F31" s="16"/>
      <c r="G31" s="16">
        <f>SUM(G27:G30)</f>
        <v>4977</v>
      </c>
      <c r="H31" s="17"/>
      <c r="I31" s="18">
        <f>SUM(I27:I30)</f>
        <v>39019.68</v>
      </c>
    </row>
    <row r="32" spans="2:12" s="26" customFormat="1" ht="13.5" thickTop="1" x14ac:dyDescent="0.2">
      <c r="B32" s="1"/>
      <c r="C32" s="61"/>
      <c r="D32" s="59"/>
      <c r="E32" s="179"/>
      <c r="F32" s="179"/>
      <c r="G32" s="62"/>
      <c r="H32" s="52"/>
      <c r="I32" s="55"/>
    </row>
    <row r="33" spans="1:10" s="26" customFormat="1" ht="7.5" customHeight="1" x14ac:dyDescent="0.2"/>
    <row r="34" spans="1:10" s="26" customFormat="1" ht="12.75" x14ac:dyDescent="0.2">
      <c r="B34" s="14" t="s">
        <v>24</v>
      </c>
    </row>
    <row r="35" spans="1:10" s="26" customFormat="1" ht="13.5" thickBot="1" x14ac:dyDescent="0.25">
      <c r="C35" s="180" t="s">
        <v>30</v>
      </c>
      <c r="D35" s="180"/>
      <c r="E35" s="180"/>
    </row>
    <row r="36" spans="1:10" s="26" customFormat="1" ht="13.5" thickTop="1" x14ac:dyDescent="0.2">
      <c r="B36" s="181" t="s">
        <v>15</v>
      </c>
      <c r="C36" s="183" t="s">
        <v>14</v>
      </c>
      <c r="D36" s="183"/>
      <c r="E36" s="183" t="s">
        <v>13</v>
      </c>
      <c r="F36" s="183"/>
      <c r="G36" s="183"/>
      <c r="H36" s="183"/>
      <c r="I36" s="184"/>
    </row>
    <row r="37" spans="1:10" s="26" customFormat="1" ht="12.75" x14ac:dyDescent="0.2">
      <c r="B37" s="182"/>
      <c r="C37" s="33" t="s">
        <v>12</v>
      </c>
      <c r="D37" s="33" t="s">
        <v>11</v>
      </c>
      <c r="E37" s="47" t="s">
        <v>10</v>
      </c>
      <c r="F37" s="47" t="s">
        <v>9</v>
      </c>
      <c r="G37" s="47" t="s">
        <v>8</v>
      </c>
      <c r="H37" s="47" t="s">
        <v>7</v>
      </c>
      <c r="I37" s="66" t="s">
        <v>25</v>
      </c>
    </row>
    <row r="38" spans="1:10" s="26" customFormat="1" ht="13.5" thickBot="1" x14ac:dyDescent="0.25">
      <c r="B38" s="71" t="s">
        <v>21</v>
      </c>
      <c r="C38" s="72"/>
      <c r="D38" s="73"/>
      <c r="E38" s="67">
        <v>17300</v>
      </c>
      <c r="F38" s="35">
        <v>1</v>
      </c>
      <c r="G38" s="56">
        <f t="shared" ref="G38" si="3">+F38*E38</f>
        <v>17300</v>
      </c>
      <c r="H38" s="68">
        <v>1.28</v>
      </c>
      <c r="I38" s="69">
        <f>+G38*H38</f>
        <v>22144</v>
      </c>
    </row>
    <row r="39" spans="1:10" s="45" customFormat="1" ht="13.5" thickTop="1" x14ac:dyDescent="0.2">
      <c r="C39" s="74"/>
      <c r="D39" s="95"/>
      <c r="E39" s="185"/>
      <c r="F39" s="185"/>
      <c r="G39" s="96"/>
      <c r="H39" s="97"/>
      <c r="I39" s="98"/>
    </row>
    <row r="40" spans="1:10" s="45" customFormat="1" ht="12.75" x14ac:dyDescent="0.2">
      <c r="B40" s="75"/>
      <c r="D40" s="86"/>
      <c r="E40" s="186"/>
      <c r="F40" s="186"/>
      <c r="G40" s="87"/>
      <c r="H40" s="88"/>
      <c r="I40" s="89"/>
      <c r="J40" s="76"/>
    </row>
    <row r="41" spans="1:10" s="45" customFormat="1" ht="12.75" x14ac:dyDescent="0.2">
      <c r="B41" s="77"/>
      <c r="C41" s="186"/>
      <c r="D41" s="186"/>
      <c r="E41" s="186"/>
      <c r="F41" s="186"/>
      <c r="G41" s="87"/>
      <c r="H41" s="90"/>
      <c r="I41" s="89"/>
    </row>
    <row r="42" spans="1:10" s="45" customFormat="1" ht="12.75" x14ac:dyDescent="0.2">
      <c r="A42" s="57"/>
      <c r="B42" s="57"/>
      <c r="C42" s="57"/>
      <c r="D42" s="57"/>
      <c r="E42" s="57"/>
      <c r="F42" s="57"/>
    </row>
    <row r="43" spans="1:10" s="45" customFormat="1" ht="12.75" x14ac:dyDescent="0.2">
      <c r="A43" s="57"/>
      <c r="B43" s="57"/>
      <c r="C43" s="186"/>
      <c r="D43" s="186"/>
      <c r="E43" s="186"/>
      <c r="F43" s="186"/>
      <c r="G43" s="87"/>
      <c r="H43" s="88"/>
      <c r="I43" s="89"/>
    </row>
    <row r="44" spans="1:10" s="45" customFormat="1" ht="12.75" x14ac:dyDescent="0.2">
      <c r="A44" s="57"/>
      <c r="B44" s="57"/>
      <c r="D44" s="187"/>
      <c r="E44" s="187"/>
      <c r="F44" s="187"/>
      <c r="G44" s="91"/>
      <c r="H44" s="88"/>
      <c r="I44" s="92"/>
    </row>
    <row r="45" spans="1:10" s="45" customFormat="1" ht="12.75" x14ac:dyDescent="0.2">
      <c r="A45" s="57"/>
      <c r="B45" s="57"/>
      <c r="C45" s="93"/>
      <c r="D45" s="93"/>
      <c r="E45" s="93"/>
      <c r="F45" s="93"/>
      <c r="G45" s="87"/>
      <c r="H45" s="90"/>
      <c r="I45" s="89"/>
    </row>
    <row r="46" spans="1:10" s="45" customFormat="1" ht="12.75" x14ac:dyDescent="0.2">
      <c r="A46" s="57"/>
      <c r="B46" s="57"/>
      <c r="C46" s="57"/>
      <c r="D46" s="57"/>
      <c r="E46" s="57"/>
      <c r="F46" s="57"/>
    </row>
    <row r="47" spans="1:10" s="45" customFormat="1" ht="12.75" x14ac:dyDescent="0.2">
      <c r="A47" s="57"/>
      <c r="B47" s="57"/>
      <c r="C47" s="186"/>
      <c r="D47" s="186"/>
      <c r="E47" s="186"/>
      <c r="F47" s="186"/>
      <c r="G47" s="87"/>
      <c r="I47" s="89"/>
    </row>
    <row r="48" spans="1:10" s="45" customFormat="1" ht="12.75" x14ac:dyDescent="0.2">
      <c r="D48" s="186"/>
      <c r="E48" s="186"/>
      <c r="F48" s="186"/>
      <c r="G48" s="91"/>
      <c r="H48" s="88"/>
      <c r="I48" s="92"/>
    </row>
    <row r="49" spans="1:9" s="45" customFormat="1" ht="12.75" x14ac:dyDescent="0.2">
      <c r="C49" s="186"/>
      <c r="D49" s="186"/>
      <c r="E49" s="186"/>
      <c r="F49" s="186"/>
      <c r="G49" s="87"/>
      <c r="H49" s="90"/>
      <c r="I49" s="89"/>
    </row>
    <row r="50" spans="1:9" s="78" customFormat="1" ht="12.75" customHeight="1" x14ac:dyDescent="0.25">
      <c r="D50" s="94"/>
    </row>
    <row r="51" spans="1:9" s="45" customFormat="1" ht="12.75" x14ac:dyDescent="0.2"/>
    <row r="52" spans="1:9" s="57" customFormat="1" ht="11.25" x14ac:dyDescent="0.2"/>
    <row r="53" spans="1:9" s="57" customFormat="1" ht="11.25" x14ac:dyDescent="0.2"/>
    <row r="54" spans="1:9" s="45" customFormat="1" ht="12.75" x14ac:dyDescent="0.2"/>
    <row r="55" spans="1:9" s="45" customFormat="1" ht="12.75" x14ac:dyDescent="0.2">
      <c r="B55" s="75"/>
    </row>
    <row r="56" spans="1:9" s="45" customFormat="1" ht="9.75" customHeight="1" x14ac:dyDescent="0.2">
      <c r="B56" s="79"/>
      <c r="C56" s="80"/>
      <c r="D56" s="81"/>
      <c r="E56" s="81"/>
      <c r="F56" s="82"/>
      <c r="G56" s="82"/>
      <c r="H56" s="83"/>
    </row>
    <row r="57" spans="1:9" s="45" customFormat="1" ht="12.75" x14ac:dyDescent="0.2">
      <c r="B57" s="84"/>
      <c r="C57" s="80"/>
      <c r="D57" s="81"/>
      <c r="E57" s="81"/>
      <c r="F57" s="82"/>
      <c r="G57" s="82"/>
      <c r="H57" s="83"/>
    </row>
    <row r="58" spans="1:9" s="45" customFormat="1" ht="12.75" x14ac:dyDescent="0.2">
      <c r="B58" s="84"/>
      <c r="C58" s="80"/>
      <c r="D58" s="81"/>
      <c r="E58" s="81"/>
      <c r="F58" s="82"/>
      <c r="G58" s="82"/>
      <c r="H58" s="83"/>
    </row>
    <row r="59" spans="1:9" s="45" customFormat="1" ht="9" customHeight="1" x14ac:dyDescent="0.2">
      <c r="A59" s="57"/>
      <c r="D59" s="57"/>
      <c r="E59" s="57"/>
      <c r="F59" s="57"/>
    </row>
    <row r="60" spans="1:9" s="45" customFormat="1" ht="12.75" x14ac:dyDescent="0.2">
      <c r="A60" s="57"/>
      <c r="B60" s="85"/>
      <c r="D60" s="57"/>
      <c r="E60" s="57"/>
      <c r="F60" s="57"/>
    </row>
    <row r="61" spans="1:9" s="45" customFormat="1" ht="12.75" x14ac:dyDescent="0.2"/>
    <row r="62" spans="1:9" s="45" customFormat="1" ht="12.75" x14ac:dyDescent="0.2"/>
    <row r="63" spans="1:9" s="34" customFormat="1" ht="18" x14ac:dyDescent="0.25"/>
    <row r="64" spans="1:9" s="26" customFormat="1" ht="12.75" x14ac:dyDescent="0.2"/>
    <row r="65" s="26" customFormat="1" ht="12.75" x14ac:dyDescent="0.2"/>
    <row r="66" s="26" customFormat="1" ht="12.75" x14ac:dyDescent="0.2"/>
    <row r="67" s="26" customFormat="1" ht="12.75" x14ac:dyDescent="0.2"/>
    <row r="68" s="26" customFormat="1" ht="12.75" x14ac:dyDescent="0.2"/>
    <row r="69" s="26" customFormat="1" ht="12.75" x14ac:dyDescent="0.2"/>
    <row r="70" s="26" customFormat="1" ht="12.75" x14ac:dyDescent="0.2"/>
    <row r="71" s="26" customFormat="1" ht="12.75" x14ac:dyDescent="0.2"/>
    <row r="72" s="26" customFormat="1" ht="12.75" x14ac:dyDescent="0.2"/>
    <row r="73" s="26" customFormat="1" ht="12.75" x14ac:dyDescent="0.2"/>
    <row r="74" s="26" customFormat="1" ht="12.75" x14ac:dyDescent="0.2"/>
    <row r="75" s="26" customFormat="1" ht="12.75" x14ac:dyDescent="0.2"/>
    <row r="76" s="26" customFormat="1" ht="12.75" x14ac:dyDescent="0.2"/>
    <row r="77" s="26" customFormat="1" ht="12.75" x14ac:dyDescent="0.2"/>
    <row r="78" s="26" customFormat="1" ht="12.75" x14ac:dyDescent="0.2"/>
    <row r="79" s="26" customFormat="1" ht="12.75" x14ac:dyDescent="0.2"/>
    <row r="80" s="26" customFormat="1" ht="12.75" x14ac:dyDescent="0.2"/>
    <row r="81" s="26" customFormat="1" ht="12.75" x14ac:dyDescent="0.2"/>
    <row r="82" s="26" customFormat="1" ht="12.75" x14ac:dyDescent="0.2"/>
    <row r="83" s="26" customFormat="1" ht="12.75" x14ac:dyDescent="0.2"/>
    <row r="84" s="26" customFormat="1" ht="12.75" x14ac:dyDescent="0.2"/>
    <row r="85" s="26" customFormat="1" ht="12.75" x14ac:dyDescent="0.2"/>
    <row r="86" s="26" customFormat="1" ht="12.75" x14ac:dyDescent="0.2"/>
    <row r="87" s="26" customFormat="1" ht="12.75" x14ac:dyDescent="0.2"/>
    <row r="88" s="26" customFormat="1" ht="12.75" x14ac:dyDescent="0.2"/>
    <row r="89" s="26" customFormat="1" ht="12.75" x14ac:dyDescent="0.2"/>
    <row r="90" s="26" customFormat="1" ht="12.75" x14ac:dyDescent="0.2"/>
    <row r="91" s="26" customFormat="1" ht="12.75" x14ac:dyDescent="0.2"/>
    <row r="92" s="26" customFormat="1" ht="12.75" x14ac:dyDescent="0.2"/>
    <row r="93" s="26" customFormat="1" ht="12.75" x14ac:dyDescent="0.2"/>
    <row r="94" s="26" customFormat="1" ht="12.75" x14ac:dyDescent="0.2"/>
    <row r="95" s="26" customFormat="1" ht="12.75" x14ac:dyDescent="0.2"/>
    <row r="96" s="26" customFormat="1" ht="12.75" x14ac:dyDescent="0.2"/>
    <row r="97" s="26" customFormat="1" ht="12.75" x14ac:dyDescent="0.2"/>
    <row r="98" s="26" customFormat="1" ht="12.75" x14ac:dyDescent="0.2"/>
    <row r="99" s="26" customFormat="1" ht="12.75" x14ac:dyDescent="0.2"/>
    <row r="100" s="26" customFormat="1" ht="12.75" x14ac:dyDescent="0.2"/>
    <row r="101" s="26" customFormat="1" ht="12.75" x14ac:dyDescent="0.2"/>
    <row r="102" s="26" customFormat="1" ht="12.75" x14ac:dyDescent="0.2"/>
    <row r="103" s="26" customFormat="1" ht="12.75" x14ac:dyDescent="0.2"/>
  </sheetData>
  <sheetProtection selectLockedCells="1" selectUnlockedCells="1"/>
  <mergeCells count="26">
    <mergeCell ref="D44:F44"/>
    <mergeCell ref="C47:F47"/>
    <mergeCell ref="C49:F49"/>
    <mergeCell ref="D48:F48"/>
    <mergeCell ref="C43:F43"/>
    <mergeCell ref="E39:F39"/>
    <mergeCell ref="E40:F40"/>
    <mergeCell ref="C41:F41"/>
    <mergeCell ref="C35:E35"/>
    <mergeCell ref="B36:B37"/>
    <mergeCell ref="C36:D36"/>
    <mergeCell ref="E36:I36"/>
    <mergeCell ref="E32:F32"/>
    <mergeCell ref="C5:E5"/>
    <mergeCell ref="B6:B7"/>
    <mergeCell ref="C6:D6"/>
    <mergeCell ref="E6:I6"/>
    <mergeCell ref="E12:F12"/>
    <mergeCell ref="C24:E24"/>
    <mergeCell ref="B25:B26"/>
    <mergeCell ref="C25:D25"/>
    <mergeCell ref="E25:I25"/>
    <mergeCell ref="C15:E15"/>
    <mergeCell ref="B16:B17"/>
    <mergeCell ref="C16:D16"/>
    <mergeCell ref="E16:I16"/>
  </mergeCells>
  <pageMargins left="0.25" right="0.25" top="0.25" bottom="0" header="0.5" footer="0.5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Total</vt:lpstr>
      <vt:lpstr>Elect</vt:lpstr>
      <vt:lpstr>Water</vt:lpstr>
      <vt:lpstr>Gas</vt:lpstr>
      <vt:lpstr>Chilled Water</vt:lpstr>
      <vt:lpstr>Cost </vt:lpstr>
      <vt:lpstr>Elect!Print_Area</vt:lpstr>
      <vt:lpstr>Gas!Print_Area</vt:lpstr>
      <vt:lpstr>Water!Print_Area</vt:lpstr>
    </vt:vector>
  </TitlesOfParts>
  <Company>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Abdelmomen Rafaat Ali Ekomey</cp:lastModifiedBy>
  <cp:lastPrinted>2018-10-01T06:12:47Z</cp:lastPrinted>
  <dcterms:created xsi:type="dcterms:W3CDTF">2002-11-13T05:06:58Z</dcterms:created>
  <dcterms:modified xsi:type="dcterms:W3CDTF">2024-05-11T11:10:59Z</dcterms:modified>
</cp:coreProperties>
</file>