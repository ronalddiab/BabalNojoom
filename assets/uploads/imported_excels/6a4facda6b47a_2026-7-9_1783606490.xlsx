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Pictures/Desktop/HEP 2025 - Liwa &amp; Mugheria/Mugheria/Al Mugheirah HEP 2026/"/>
    </mc:Choice>
  </mc:AlternateContent>
  <xr:revisionPtr revIDLastSave="1653" documentId="13_ncr:1_{F8A65060-722C-4A64-99D8-EF71068E6823}" xr6:coauthVersionLast="47" xr6:coauthVersionMax="47" xr10:uidLastSave="{A8B0CDA5-6753-4721-A1F5-01605E8E9367}"/>
  <bookViews>
    <workbookView xWindow="-110" yWindow="-110" windowWidth="19420" windowHeight="11500" tabRatio="783" xr2:uid="{00000000-000D-0000-FFFF-FFFF00000000}"/>
  </bookViews>
  <sheets>
    <sheet name="Total" sheetId="15" r:id="rId1"/>
    <sheet name="BAN-M Electrical &amp; Water Dec25" sheetId="14" r:id="rId2"/>
  </sheets>
  <externalReferences>
    <externalReference r:id="rId3"/>
  </externalReference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4" l="1"/>
  <c r="F35" i="14"/>
  <c r="E30" i="15" s="1"/>
  <c r="D35" i="14"/>
  <c r="H34" i="14"/>
  <c r="H35" i="14"/>
  <c r="H36" i="14"/>
  <c r="H37" i="14"/>
  <c r="B30" i="15"/>
  <c r="B31" i="15"/>
  <c r="E39" i="14"/>
  <c r="C39" i="14"/>
  <c r="D8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G30" i="15" l="1"/>
  <c r="D13" i="14"/>
  <c r="J37" i="14" l="1"/>
  <c r="J36" i="14"/>
  <c r="G31" i="15"/>
  <c r="F36" i="14"/>
  <c r="E31" i="15" s="1"/>
  <c r="D36" i="14"/>
  <c r="J34" i="14"/>
  <c r="G29" i="15" s="1"/>
  <c r="F34" i="14"/>
  <c r="E29" i="15" s="1"/>
  <c r="D34" i="14"/>
  <c r="J33" i="14"/>
  <c r="H33" i="14"/>
  <c r="F33" i="14"/>
  <c r="E28" i="15" s="1"/>
  <c r="D33" i="14"/>
  <c r="J32" i="14"/>
  <c r="H32" i="14"/>
  <c r="F32" i="14"/>
  <c r="E27" i="15" s="1"/>
  <c r="D32" i="14"/>
  <c r="J31" i="14"/>
  <c r="H31" i="14"/>
  <c r="F31" i="14"/>
  <c r="E26" i="15" s="1"/>
  <c r="D31" i="14"/>
  <c r="J30" i="14"/>
  <c r="H30" i="14"/>
  <c r="F30" i="14"/>
  <c r="E25" i="15" s="1"/>
  <c r="D30" i="14"/>
  <c r="J29" i="14"/>
  <c r="H29" i="14"/>
  <c r="F29" i="14"/>
  <c r="E24" i="15" s="1"/>
  <c r="D29" i="14"/>
  <c r="J28" i="14"/>
  <c r="H28" i="14"/>
  <c r="F28" i="14"/>
  <c r="E23" i="15" s="1"/>
  <c r="D28" i="14"/>
  <c r="J27" i="14"/>
  <c r="H27" i="14"/>
  <c r="G22" i="15" s="1"/>
  <c r="F27" i="14"/>
  <c r="E22" i="15" s="1"/>
  <c r="D27" i="14"/>
  <c r="J26" i="14"/>
  <c r="H26" i="14"/>
  <c r="F26" i="14"/>
  <c r="E21" i="15" s="1"/>
  <c r="D26" i="14"/>
  <c r="J25" i="14"/>
  <c r="H25" i="14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F22" i="14"/>
  <c r="E17" i="15" s="1"/>
  <c r="D22" i="14"/>
  <c r="J21" i="14"/>
  <c r="H21" i="14"/>
  <c r="G16" i="15" s="1"/>
  <c r="F21" i="14"/>
  <c r="E16" i="15" s="1"/>
  <c r="D21" i="14"/>
  <c r="J20" i="14"/>
  <c r="H20" i="14"/>
  <c r="F20" i="14"/>
  <c r="E15" i="15" s="1"/>
  <c r="D20" i="14"/>
  <c r="J19" i="14"/>
  <c r="H19" i="14"/>
  <c r="F19" i="14"/>
  <c r="E14" i="15" s="1"/>
  <c r="D19" i="14"/>
  <c r="J18" i="14"/>
  <c r="H18" i="14"/>
  <c r="G13" i="15" s="1"/>
  <c r="F18" i="14"/>
  <c r="E13" i="15" s="1"/>
  <c r="D18" i="14"/>
  <c r="J17" i="14"/>
  <c r="H17" i="14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F14" i="14"/>
  <c r="E9" i="15" s="1"/>
  <c r="D14" i="14"/>
  <c r="J13" i="14"/>
  <c r="H13" i="14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J7" i="14"/>
  <c r="H7" i="14"/>
  <c r="F7" i="14"/>
  <c r="E2" i="15" s="1"/>
  <c r="D7" i="14"/>
  <c r="G8" i="15" l="1"/>
  <c r="G14" i="15"/>
  <c r="G17" i="15"/>
  <c r="G23" i="15"/>
  <c r="G26" i="15"/>
  <c r="G28" i="15"/>
  <c r="G20" i="15"/>
  <c r="G2" i="15"/>
  <c r="G5" i="15"/>
  <c r="G9" i="15"/>
  <c r="G12" i="15"/>
  <c r="G15" i="15"/>
  <c r="G21" i="15"/>
  <c r="G24" i="15"/>
  <c r="G27" i="15"/>
  <c r="J38" i="14"/>
  <c r="D38" i="14"/>
  <c r="H38" i="14"/>
  <c r="F38" i="14"/>
  <c r="G11" i="15"/>
  <c r="G18" i="15"/>
  <c r="G25" i="15"/>
</calcChain>
</file>

<file path=xl/sharedStrings.xml><?xml version="1.0" encoding="utf-8"?>
<sst xmlns="http://schemas.openxmlformats.org/spreadsheetml/2006/main" count="64" uniqueCount="26">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</sst>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1663</c:v>
                </c:pt>
                <c:pt idx="2">
                  <c:v>1738</c:v>
                </c:pt>
                <c:pt idx="3">
                  <c:v>1511</c:v>
                </c:pt>
                <c:pt idx="4">
                  <c:v>1709</c:v>
                </c:pt>
                <c:pt idx="5">
                  <c:v>1775</c:v>
                </c:pt>
                <c:pt idx="6">
                  <c:v>1727</c:v>
                </c:pt>
                <c:pt idx="7">
                  <c:v>1685</c:v>
                </c:pt>
                <c:pt idx="8">
                  <c:v>1675</c:v>
                </c:pt>
                <c:pt idx="9">
                  <c:v>1704</c:v>
                </c:pt>
                <c:pt idx="10">
                  <c:v>1577</c:v>
                </c:pt>
                <c:pt idx="11">
                  <c:v>1526</c:v>
                </c:pt>
                <c:pt idx="12">
                  <c:v>1619</c:v>
                </c:pt>
                <c:pt idx="13">
                  <c:v>1645</c:v>
                </c:pt>
                <c:pt idx="14">
                  <c:v>1705</c:v>
                </c:pt>
                <c:pt idx="15">
                  <c:v>1759</c:v>
                </c:pt>
                <c:pt idx="16">
                  <c:v>1724</c:v>
                </c:pt>
                <c:pt idx="17">
                  <c:v>1741</c:v>
                </c:pt>
                <c:pt idx="18">
                  <c:v>1810</c:v>
                </c:pt>
                <c:pt idx="19">
                  <c:v>1830</c:v>
                </c:pt>
                <c:pt idx="20">
                  <c:v>1755</c:v>
                </c:pt>
                <c:pt idx="21">
                  <c:v>2006</c:v>
                </c:pt>
                <c:pt idx="22">
                  <c:v>1825</c:v>
                </c:pt>
                <c:pt idx="23">
                  <c:v>1863</c:v>
                </c:pt>
                <c:pt idx="24">
                  <c:v>2193</c:v>
                </c:pt>
                <c:pt idx="25">
                  <c:v>2104</c:v>
                </c:pt>
                <c:pt idx="26">
                  <c:v>2053</c:v>
                </c:pt>
                <c:pt idx="27">
                  <c:v>2044</c:v>
                </c:pt>
                <c:pt idx="28">
                  <c:v>1925</c:v>
                </c:pt>
                <c:pt idx="29">
                  <c:v>2269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38</c:v>
                </c:pt>
                <c:pt idx="2">
                  <c:v>36</c:v>
                </c:pt>
                <c:pt idx="3">
                  <c:v>23</c:v>
                </c:pt>
                <c:pt idx="4">
                  <c:v>28</c:v>
                </c:pt>
                <c:pt idx="5">
                  <c:v>46</c:v>
                </c:pt>
                <c:pt idx="6">
                  <c:v>33</c:v>
                </c:pt>
                <c:pt idx="7">
                  <c:v>43</c:v>
                </c:pt>
                <c:pt idx="8">
                  <c:v>39</c:v>
                </c:pt>
                <c:pt idx="9">
                  <c:v>43</c:v>
                </c:pt>
                <c:pt idx="10">
                  <c:v>28</c:v>
                </c:pt>
                <c:pt idx="11">
                  <c:v>45</c:v>
                </c:pt>
                <c:pt idx="12">
                  <c:v>25</c:v>
                </c:pt>
                <c:pt idx="13">
                  <c:v>37</c:v>
                </c:pt>
                <c:pt idx="14">
                  <c:v>33</c:v>
                </c:pt>
                <c:pt idx="15">
                  <c:v>54</c:v>
                </c:pt>
                <c:pt idx="16">
                  <c:v>36</c:v>
                </c:pt>
                <c:pt idx="17">
                  <c:v>70</c:v>
                </c:pt>
                <c:pt idx="18">
                  <c:v>44</c:v>
                </c:pt>
                <c:pt idx="19">
                  <c:v>24</c:v>
                </c:pt>
                <c:pt idx="20">
                  <c:v>34</c:v>
                </c:pt>
                <c:pt idx="21">
                  <c:v>42</c:v>
                </c:pt>
                <c:pt idx="22">
                  <c:v>41</c:v>
                </c:pt>
                <c:pt idx="23">
                  <c:v>25</c:v>
                </c:pt>
                <c:pt idx="24">
                  <c:v>42</c:v>
                </c:pt>
                <c:pt idx="25">
                  <c:v>18</c:v>
                </c:pt>
                <c:pt idx="26">
                  <c:v>34</c:v>
                </c:pt>
                <c:pt idx="27">
                  <c:v>23</c:v>
                </c:pt>
                <c:pt idx="28">
                  <c:v>41</c:v>
                </c:pt>
                <c:pt idx="29">
                  <c:v>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topLeftCell="A14" workbookViewId="0">
      <selection activeCell="N26" sqref="N26"/>
    </sheetView>
  </sheetViews>
  <sheetFormatPr defaultColWidth="11.5703125" defaultRowHeight="14.45"/>
  <cols>
    <col min="1" max="1" width="29.140625" style="31" bestFit="1" customWidth="1"/>
    <col min="2" max="3" width="11.5703125" style="26"/>
    <col min="4" max="4" width="13.42578125" style="26" customWidth="1"/>
    <col min="5" max="5" width="12.5703125" style="29" customWidth="1"/>
    <col min="6" max="6" width="12.5703125" style="28" customWidth="1"/>
    <col min="7" max="7" width="11.5703125" style="29"/>
    <col min="8" max="8" width="11.5703125" style="30"/>
    <col min="9" max="22" width="11.5703125" style="29"/>
    <col min="23" max="16384" width="11.5703125" style="32"/>
  </cols>
  <sheetData>
    <row r="1" spans="1:10" s="24" customFormat="1" ht="43.5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21" t="s">
        <v>6</v>
      </c>
      <c r="H1" s="23" t="s">
        <v>7</v>
      </c>
      <c r="I1" s="21" t="s">
        <v>8</v>
      </c>
      <c r="J1" s="21" t="s">
        <v>9</v>
      </c>
    </row>
    <row r="2" spans="1:10">
      <c r="A2" s="25" t="s">
        <v>10</v>
      </c>
      <c r="B2" s="26">
        <v>1</v>
      </c>
      <c r="C2" s="26">
        <v>6</v>
      </c>
      <c r="D2" s="26">
        <v>2026</v>
      </c>
      <c r="E2" s="27">
        <f>IF('BAN-M Electrical &amp; Water Dec25'!F7&gt;0,'BAN-M Electrical &amp; Water Dec25'!F7,0)</f>
        <v>4987</v>
      </c>
      <c r="F2" s="28">
        <v>0.2</v>
      </c>
      <c r="G2" s="27">
        <f>IF('BAN-M Electrical &amp; Water Dec25'!H7+'BAN-M Electrical &amp; Water Dec25'!J7&gt;0,'BAN-M Electrical &amp; Water Dec25'!H7+'BAN-M Electrical &amp; Water Dec25'!J7,0)</f>
        <v>93</v>
      </c>
      <c r="H2" s="28">
        <v>7.84</v>
      </c>
      <c r="I2" s="33">
        <v>18</v>
      </c>
      <c r="J2" s="33">
        <v>30</v>
      </c>
    </row>
    <row r="3" spans="1:10">
      <c r="A3" s="25" t="s">
        <v>10</v>
      </c>
      <c r="B3" s="26">
        <f>B2+1</f>
        <v>2</v>
      </c>
      <c r="C3" s="26">
        <v>6</v>
      </c>
      <c r="D3" s="26">
        <v>2026</v>
      </c>
      <c r="E3" s="27">
        <f>IF('BAN-M Electrical &amp; Water Dec25'!F8&gt;0,'BAN-M Electrical &amp; Water Dec25'!F8,0)</f>
        <v>4226</v>
      </c>
      <c r="F3" s="28">
        <v>0.2</v>
      </c>
      <c r="G3" s="27">
        <f>IF('BAN-M Electrical &amp; Water Dec25'!H8+'BAN-M Electrical &amp; Water Dec25'!J8&gt;0,'BAN-M Electrical &amp; Water Dec25'!H8+'BAN-M Electrical &amp; Water Dec25'!J8,0)</f>
        <v>119</v>
      </c>
      <c r="H3" s="28">
        <v>7.84</v>
      </c>
      <c r="I3" s="33">
        <v>27</v>
      </c>
      <c r="J3" s="33">
        <v>35</v>
      </c>
    </row>
    <row r="4" spans="1:10">
      <c r="A4" s="25" t="s">
        <v>10</v>
      </c>
      <c r="B4" s="26">
        <f t="shared" ref="B4:B32" si="0">B3+1</f>
        <v>3</v>
      </c>
      <c r="C4" s="26">
        <v>6</v>
      </c>
      <c r="D4" s="26">
        <v>2026</v>
      </c>
      <c r="E4" s="27">
        <f>IF('BAN-M Electrical &amp; Water Dec25'!F9&gt;0,'BAN-M Electrical &amp; Water Dec25'!F9,0)</f>
        <v>4281</v>
      </c>
      <c r="F4" s="28">
        <v>0.2</v>
      </c>
      <c r="G4" s="27">
        <f>IF('BAN-M Electrical &amp; Water Dec25'!H9+'BAN-M Electrical &amp; Water Dec25'!J9&gt;0,'BAN-M Electrical &amp; Water Dec25'!H9+'BAN-M Electrical &amp; Water Dec25'!J9,0)</f>
        <v>58</v>
      </c>
      <c r="H4" s="28">
        <v>7.84</v>
      </c>
      <c r="I4" s="33">
        <v>35</v>
      </c>
      <c r="J4" s="33">
        <v>47</v>
      </c>
    </row>
    <row r="5" spans="1:10">
      <c r="A5" s="25" t="s">
        <v>10</v>
      </c>
      <c r="B5" s="26">
        <f t="shared" si="0"/>
        <v>4</v>
      </c>
      <c r="C5" s="26">
        <v>6</v>
      </c>
      <c r="D5" s="26">
        <v>2026</v>
      </c>
      <c r="E5" s="27">
        <f>IF('BAN-M Electrical &amp; Water Dec25'!F10&gt;0,'BAN-M Electrical &amp; Water Dec25'!F10,0)</f>
        <v>4716</v>
      </c>
      <c r="F5" s="28">
        <v>0.2</v>
      </c>
      <c r="G5" s="27">
        <f>IF('BAN-M Electrical &amp; Water Dec25'!H10+'BAN-M Electrical &amp; Water Dec25'!J10&gt;0,'BAN-M Electrical &amp; Water Dec25'!H10+'BAN-M Electrical &amp; Water Dec25'!J10,0)</f>
        <v>69</v>
      </c>
      <c r="H5" s="28">
        <v>7.84</v>
      </c>
      <c r="I5" s="33">
        <v>20</v>
      </c>
      <c r="J5" s="33">
        <v>27</v>
      </c>
    </row>
    <row r="6" spans="1:10">
      <c r="A6" s="25" t="s">
        <v>10</v>
      </c>
      <c r="B6" s="26">
        <f t="shared" si="0"/>
        <v>5</v>
      </c>
      <c r="C6" s="26">
        <v>6</v>
      </c>
      <c r="D6" s="26">
        <v>2026</v>
      </c>
      <c r="E6" s="27">
        <f>IF('BAN-M Electrical &amp; Water Dec25'!F11&gt;0,'BAN-M Electrical &amp; Water Dec25'!F11,0)</f>
        <v>5025</v>
      </c>
      <c r="F6" s="28">
        <v>0.2</v>
      </c>
      <c r="G6" s="27">
        <f>IF('BAN-M Electrical &amp; Water Dec25'!H11+'BAN-M Electrical &amp; Water Dec25'!J11&gt;0,'BAN-M Electrical &amp; Water Dec25'!H11+'BAN-M Electrical &amp; Water Dec25'!J11,0)</f>
        <v>119</v>
      </c>
      <c r="H6" s="28">
        <v>7.84</v>
      </c>
      <c r="I6" s="33">
        <v>14</v>
      </c>
      <c r="J6" s="33">
        <v>32</v>
      </c>
    </row>
    <row r="7" spans="1:10">
      <c r="A7" s="25" t="s">
        <v>10</v>
      </c>
      <c r="B7" s="26">
        <f t="shared" si="0"/>
        <v>6</v>
      </c>
      <c r="C7" s="26">
        <v>6</v>
      </c>
      <c r="D7" s="26">
        <v>2026</v>
      </c>
      <c r="E7" s="27">
        <f>IF('BAN-M Electrical &amp; Water Dec25'!F12&gt;0,'BAN-M Electrical &amp; Water Dec25'!F12,0)</f>
        <v>5176</v>
      </c>
      <c r="F7" s="28">
        <v>0.2</v>
      </c>
      <c r="G7" s="27">
        <f>IF('BAN-M Electrical &amp; Water Dec25'!H12+'BAN-M Electrical &amp; Water Dec25'!J12&gt;0,'BAN-M Electrical &amp; Water Dec25'!H12+'BAN-M Electrical &amp; Water Dec25'!J12,0)</f>
        <v>49</v>
      </c>
      <c r="H7" s="28">
        <v>7.84</v>
      </c>
      <c r="I7" s="33">
        <v>17</v>
      </c>
      <c r="J7" s="33">
        <v>38</v>
      </c>
    </row>
    <row r="8" spans="1:10">
      <c r="A8" s="25" t="s">
        <v>10</v>
      </c>
      <c r="B8" s="26">
        <f t="shared" si="0"/>
        <v>7</v>
      </c>
      <c r="C8" s="26">
        <v>6</v>
      </c>
      <c r="D8" s="26">
        <v>2026</v>
      </c>
      <c r="E8" s="27">
        <f>IF('BAN-M Electrical &amp; Water Dec25'!F13&gt;0,'BAN-M Electrical &amp; Water Dec25'!F13,0)</f>
        <v>4987</v>
      </c>
      <c r="F8" s="28">
        <v>0.2</v>
      </c>
      <c r="G8" s="27">
        <f>IF('BAN-M Electrical &amp; Water Dec25'!H13+'BAN-M Electrical &amp; Water Dec25'!J13&gt;0,'BAN-M Electrical &amp; Water Dec25'!H13+'BAN-M Electrical &amp; Water Dec25'!J13,0)</f>
        <v>68</v>
      </c>
      <c r="H8" s="28">
        <v>7.84</v>
      </c>
      <c r="I8" s="33">
        <v>6</v>
      </c>
      <c r="J8" s="33">
        <v>12</v>
      </c>
    </row>
    <row r="9" spans="1:10">
      <c r="A9" s="25" t="s">
        <v>10</v>
      </c>
      <c r="B9" s="26">
        <f t="shared" si="0"/>
        <v>8</v>
      </c>
      <c r="C9" s="26">
        <v>6</v>
      </c>
      <c r="D9" s="26">
        <v>2026</v>
      </c>
      <c r="E9" s="27">
        <f>IF('BAN-M Electrical &amp; Water Dec25'!F14&gt;0,'BAN-M Electrical &amp; Water Dec25'!F14,0)</f>
        <v>4825</v>
      </c>
      <c r="F9" s="28">
        <v>0.2</v>
      </c>
      <c r="G9" s="27">
        <f>IF('BAN-M Electrical &amp; Water Dec25'!H14+'BAN-M Electrical &amp; Water Dec25'!J14&gt;0,'BAN-M Electrical &amp; Water Dec25'!H14+'BAN-M Electrical &amp; Water Dec25'!J14,0)</f>
        <v>87</v>
      </c>
      <c r="H9" s="28">
        <v>7.84</v>
      </c>
      <c r="I9" s="33">
        <v>12</v>
      </c>
      <c r="J9" s="33">
        <v>23</v>
      </c>
    </row>
    <row r="10" spans="1:10">
      <c r="A10" s="25" t="s">
        <v>10</v>
      </c>
      <c r="B10" s="26">
        <f t="shared" si="0"/>
        <v>9</v>
      </c>
      <c r="C10" s="26">
        <v>6</v>
      </c>
      <c r="D10" s="26">
        <v>2026</v>
      </c>
      <c r="E10" s="27">
        <f>IF('BAN-M Electrical &amp; Water Dec25'!F15&gt;0,'BAN-M Electrical &amp; Water Dec25'!F15,0)</f>
        <v>4771</v>
      </c>
      <c r="F10" s="28">
        <v>0.2</v>
      </c>
      <c r="G10" s="27">
        <f>IF('BAN-M Electrical &amp; Water Dec25'!H15+'BAN-M Electrical &amp; Water Dec25'!J15&gt;0,'BAN-M Electrical &amp; Water Dec25'!H15+'BAN-M Electrical &amp; Water Dec25'!J15,0)</f>
        <v>61</v>
      </c>
      <c r="H10" s="28">
        <v>7.84</v>
      </c>
      <c r="I10" s="33">
        <v>14</v>
      </c>
      <c r="J10" s="33">
        <v>22</v>
      </c>
    </row>
    <row r="11" spans="1:10">
      <c r="A11" s="25" t="s">
        <v>10</v>
      </c>
      <c r="B11" s="26">
        <f t="shared" si="0"/>
        <v>10</v>
      </c>
      <c r="C11" s="26">
        <v>6</v>
      </c>
      <c r="D11" s="26">
        <v>2026</v>
      </c>
      <c r="E11" s="27">
        <f>IF('BAN-M Electrical &amp; Water Dec25'!F16&gt;0,'BAN-M Electrical &amp; Water Dec25'!F16,0)</f>
        <v>4274</v>
      </c>
      <c r="F11" s="28">
        <v>0.2</v>
      </c>
      <c r="G11" s="27">
        <f>IF('BAN-M Electrical &amp; Water Dec25'!H16+'BAN-M Electrical &amp; Water Dec25'!J16&gt;0,'BAN-M Electrical &amp; Water Dec25'!H16+'BAN-M Electrical &amp; Water Dec25'!J16,0)</f>
        <v>69</v>
      </c>
      <c r="H11" s="28">
        <v>7.84</v>
      </c>
      <c r="I11" s="33">
        <v>20</v>
      </c>
      <c r="J11" s="33">
        <v>26</v>
      </c>
    </row>
    <row r="12" spans="1:10">
      <c r="A12" s="25" t="s">
        <v>10</v>
      </c>
      <c r="B12" s="26">
        <f t="shared" si="0"/>
        <v>11</v>
      </c>
      <c r="C12" s="26">
        <v>6</v>
      </c>
      <c r="D12" s="26">
        <v>2026</v>
      </c>
      <c r="E12" s="27">
        <f>IF('BAN-M Electrical &amp; Water Dec25'!F17&gt;0,'BAN-M Electrical &amp; Water Dec25'!F17,0)</f>
        <v>4381</v>
      </c>
      <c r="F12" s="28">
        <v>0.2</v>
      </c>
      <c r="G12" s="27">
        <f>IF('BAN-M Electrical &amp; Water Dec25'!H17+'BAN-M Electrical &amp; Water Dec25'!J17&gt;0,'BAN-M Electrical &amp; Water Dec25'!H17+'BAN-M Electrical &amp; Water Dec25'!J17,0)</f>
        <v>97</v>
      </c>
      <c r="H12" s="28">
        <v>7.84</v>
      </c>
      <c r="I12" s="33">
        <v>12</v>
      </c>
      <c r="J12" s="33">
        <v>16</v>
      </c>
    </row>
    <row r="13" spans="1:10">
      <c r="A13" s="25" t="s">
        <v>10</v>
      </c>
      <c r="B13" s="26">
        <f t="shared" si="0"/>
        <v>12</v>
      </c>
      <c r="C13" s="26">
        <v>6</v>
      </c>
      <c r="D13" s="26">
        <v>2026</v>
      </c>
      <c r="E13" s="27">
        <f>IF('BAN-M Electrical &amp; Water Dec25'!F18&gt;0,'BAN-M Electrical &amp; Water Dec25'!F18,0)</f>
        <v>4691</v>
      </c>
      <c r="F13" s="28">
        <v>0.2</v>
      </c>
      <c r="G13" s="27">
        <f>IF('BAN-M Electrical &amp; Water Dec25'!H18+'BAN-M Electrical &amp; Water Dec25'!J18&gt;0,'BAN-M Electrical &amp; Water Dec25'!H18+'BAN-M Electrical &amp; Water Dec25'!J18,0)</f>
        <v>77</v>
      </c>
      <c r="H13" s="28">
        <v>7.84</v>
      </c>
      <c r="I13" s="33">
        <v>14</v>
      </c>
      <c r="J13" s="33">
        <v>26</v>
      </c>
    </row>
    <row r="14" spans="1:10">
      <c r="A14" s="25" t="s">
        <v>10</v>
      </c>
      <c r="B14" s="26">
        <f t="shared" si="0"/>
        <v>13</v>
      </c>
      <c r="C14" s="26">
        <v>6</v>
      </c>
      <c r="D14" s="26">
        <v>2026</v>
      </c>
      <c r="E14" s="27">
        <f>IF('BAN-M Electrical &amp; Water Dec25'!F19&gt;0,'BAN-M Electrical &amp; Water Dec25'!F19,0)</f>
        <v>4651</v>
      </c>
      <c r="F14" s="28">
        <v>0.2</v>
      </c>
      <c r="G14" s="27">
        <f>IF('BAN-M Electrical &amp; Water Dec25'!H19+'BAN-M Electrical &amp; Water Dec25'!J19&gt;0,'BAN-M Electrical &amp; Water Dec25'!H19+'BAN-M Electrical &amp; Water Dec25'!J19,0)</f>
        <v>55</v>
      </c>
      <c r="H14" s="28">
        <v>7.84</v>
      </c>
      <c r="I14" s="33">
        <v>33</v>
      </c>
      <c r="J14" s="33">
        <v>71</v>
      </c>
    </row>
    <row r="15" spans="1:10">
      <c r="A15" s="25" t="s">
        <v>10</v>
      </c>
      <c r="B15" s="26">
        <f t="shared" si="0"/>
        <v>14</v>
      </c>
      <c r="C15" s="26">
        <v>6</v>
      </c>
      <c r="D15" s="26">
        <v>2026</v>
      </c>
      <c r="E15" s="27">
        <f>IF('BAN-M Electrical &amp; Water Dec25'!F20&gt;0,'BAN-M Electrical &amp; Water Dec25'!F20,0)</f>
        <v>4927</v>
      </c>
      <c r="F15" s="28">
        <v>0.2</v>
      </c>
      <c r="G15" s="27">
        <f>IF('BAN-M Electrical &amp; Water Dec25'!H20+'BAN-M Electrical &amp; Water Dec25'!J20&gt;0,'BAN-M Electrical &amp; Water Dec25'!H20+'BAN-M Electrical &amp; Water Dec25'!J20,0)</f>
        <v>42</v>
      </c>
      <c r="H15" s="28">
        <v>7.84</v>
      </c>
      <c r="I15" s="33">
        <v>36</v>
      </c>
      <c r="J15" s="33">
        <v>88</v>
      </c>
    </row>
    <row r="16" spans="1:10">
      <c r="A16" s="25" t="s">
        <v>10</v>
      </c>
      <c r="B16" s="26">
        <f t="shared" si="0"/>
        <v>15</v>
      </c>
      <c r="C16" s="26">
        <v>6</v>
      </c>
      <c r="D16" s="26">
        <v>2026</v>
      </c>
      <c r="E16" s="27">
        <f>IF('BAN-M Electrical &amp; Water Dec25'!F21&gt;0,'BAN-M Electrical &amp; Water Dec25'!F21,0)</f>
        <v>4979</v>
      </c>
      <c r="F16" s="28">
        <v>0.2</v>
      </c>
      <c r="G16" s="27">
        <f>IF('BAN-M Electrical &amp; Water Dec25'!H21+'BAN-M Electrical &amp; Water Dec25'!J21&gt;0,'BAN-M Electrical &amp; Water Dec25'!H21+'BAN-M Electrical &amp; Water Dec25'!J21,0)</f>
        <v>90</v>
      </c>
      <c r="H16" s="28">
        <v>7.84</v>
      </c>
      <c r="I16" s="33">
        <v>15</v>
      </c>
      <c r="J16" s="33">
        <v>24</v>
      </c>
    </row>
    <row r="17" spans="1:10">
      <c r="A17" s="25" t="s">
        <v>10</v>
      </c>
      <c r="B17" s="26">
        <f t="shared" si="0"/>
        <v>16</v>
      </c>
      <c r="C17" s="26">
        <v>6</v>
      </c>
      <c r="D17" s="26">
        <v>2026</v>
      </c>
      <c r="E17" s="27">
        <f>IF('BAN-M Electrical &amp; Water Dec25'!F22&gt;0,'BAN-M Electrical &amp; Water Dec25'!F22,0)</f>
        <v>5350</v>
      </c>
      <c r="F17" s="28">
        <v>0.2</v>
      </c>
      <c r="G17" s="27">
        <f>IF('BAN-M Electrical &amp; Water Dec25'!H22+'BAN-M Electrical &amp; Water Dec25'!J22&gt;0,'BAN-M Electrical &amp; Water Dec25'!H22+'BAN-M Electrical &amp; Water Dec25'!J22,0)</f>
        <v>48</v>
      </c>
      <c r="H17" s="28">
        <v>7.84</v>
      </c>
      <c r="I17" s="33">
        <v>15</v>
      </c>
      <c r="J17" s="33">
        <v>25</v>
      </c>
    </row>
    <row r="18" spans="1:10">
      <c r="A18" s="25" t="s">
        <v>10</v>
      </c>
      <c r="B18" s="26">
        <f t="shared" si="0"/>
        <v>17</v>
      </c>
      <c r="C18" s="26">
        <v>6</v>
      </c>
      <c r="D18" s="26">
        <v>2026</v>
      </c>
      <c r="E18" s="27">
        <f>IF('BAN-M Electrical &amp; Water Dec25'!F23&gt;0,'BAN-M Electrical &amp; Water Dec25'!F23,0)</f>
        <v>4451</v>
      </c>
      <c r="F18" s="28">
        <v>0.2</v>
      </c>
      <c r="G18" s="27">
        <f>IF('BAN-M Electrical &amp; Water Dec25'!H23+'BAN-M Electrical &amp; Water Dec25'!J23&gt;0,'BAN-M Electrical &amp; Water Dec25'!H23+'BAN-M Electrical &amp; Water Dec25'!J23,0)</f>
        <v>135</v>
      </c>
      <c r="H18" s="28">
        <v>7.84</v>
      </c>
      <c r="I18" s="33">
        <v>17</v>
      </c>
      <c r="J18" s="33">
        <v>26</v>
      </c>
    </row>
    <row r="19" spans="1:10">
      <c r="A19" s="25" t="s">
        <v>10</v>
      </c>
      <c r="B19" s="26">
        <f t="shared" si="0"/>
        <v>18</v>
      </c>
      <c r="C19" s="26">
        <v>6</v>
      </c>
      <c r="D19" s="26">
        <v>2026</v>
      </c>
      <c r="E19" s="27">
        <f>IF('BAN-M Electrical &amp; Water Dec25'!F24&gt;0,'BAN-M Electrical &amp; Water Dec25'!F24,0)</f>
        <v>4465</v>
      </c>
      <c r="F19" s="28">
        <v>0.2</v>
      </c>
      <c r="G19" s="27">
        <f>IF('BAN-M Electrical &amp; Water Dec25'!H24+'BAN-M Electrical &amp; Water Dec25'!J24&gt;0,'BAN-M Electrical &amp; Water Dec25'!H24+'BAN-M Electrical &amp; Water Dec25'!J24,0)</f>
        <v>97</v>
      </c>
      <c r="H19" s="28">
        <v>7.84</v>
      </c>
      <c r="I19" s="33">
        <v>10</v>
      </c>
      <c r="J19" s="33">
        <v>14</v>
      </c>
    </row>
    <row r="20" spans="1:10">
      <c r="A20" s="25" t="s">
        <v>10</v>
      </c>
      <c r="B20" s="26">
        <f t="shared" si="0"/>
        <v>19</v>
      </c>
      <c r="C20" s="26">
        <v>6</v>
      </c>
      <c r="D20" s="26">
        <v>2026</v>
      </c>
      <c r="E20" s="27">
        <f>IF('BAN-M Electrical &amp; Water Dec25'!F25&gt;0,'BAN-M Electrical &amp; Water Dec25'!F25,0)</f>
        <v>4586</v>
      </c>
      <c r="F20" s="28">
        <v>0.2</v>
      </c>
      <c r="G20" s="27">
        <f>IF('BAN-M Electrical &amp; Water Dec25'!H25+'BAN-M Electrical &amp; Water Dec25'!J25&gt;0,'BAN-M Electrical &amp; Water Dec25'!H25+'BAN-M Electrical &amp; Water Dec25'!J25,0)</f>
        <v>88</v>
      </c>
      <c r="H20" s="28">
        <v>7.84</v>
      </c>
      <c r="I20" s="33">
        <v>12</v>
      </c>
      <c r="J20" s="33">
        <v>22</v>
      </c>
    </row>
    <row r="21" spans="1:10">
      <c r="A21" s="25" t="s">
        <v>10</v>
      </c>
      <c r="B21" s="26">
        <f t="shared" si="0"/>
        <v>20</v>
      </c>
      <c r="C21" s="26">
        <v>6</v>
      </c>
      <c r="D21" s="26">
        <v>2026</v>
      </c>
      <c r="E21" s="27">
        <f>IF('BAN-M Electrical &amp; Water Dec25'!F26&gt;0,'BAN-M Electrical &amp; Water Dec25'!F26,0)</f>
        <v>4641</v>
      </c>
      <c r="F21" s="28">
        <v>0.2</v>
      </c>
      <c r="G21" s="27">
        <f>IF('BAN-M Electrical &amp; Water Dec25'!H26+'BAN-M Electrical &amp; Water Dec25'!J26&gt;0,'BAN-M Electrical &amp; Water Dec25'!H26+'BAN-M Electrical &amp; Water Dec25'!J26,0)</f>
        <v>63</v>
      </c>
      <c r="H21" s="28">
        <v>7.84</v>
      </c>
      <c r="I21" s="33">
        <v>16</v>
      </c>
      <c r="J21" s="33">
        <v>33</v>
      </c>
    </row>
    <row r="22" spans="1:10">
      <c r="A22" s="25" t="s">
        <v>10</v>
      </c>
      <c r="B22" s="26">
        <f t="shared" si="0"/>
        <v>21</v>
      </c>
      <c r="C22" s="26">
        <v>6</v>
      </c>
      <c r="D22" s="26">
        <v>2026</v>
      </c>
      <c r="E22" s="27">
        <f>IF('BAN-M Electrical &amp; Water Dec25'!F27&gt;0,'BAN-M Electrical &amp; Water Dec25'!F27,0)</f>
        <v>6128</v>
      </c>
      <c r="F22" s="28">
        <v>0.2</v>
      </c>
      <c r="G22" s="27">
        <f>IF('BAN-M Electrical &amp; Water Dec25'!H27+'BAN-M Electrical &amp; Water Dec25'!J27&gt;0,'BAN-M Electrical &amp; Water Dec25'!H27+'BAN-M Electrical &amp; Water Dec25'!J27,0)</f>
        <v>55</v>
      </c>
      <c r="H22" s="28">
        <v>7.84</v>
      </c>
      <c r="I22" s="33">
        <v>8</v>
      </c>
      <c r="J22" s="33">
        <v>19</v>
      </c>
    </row>
    <row r="23" spans="1:10">
      <c r="A23" s="25" t="s">
        <v>10</v>
      </c>
      <c r="B23" s="26">
        <f t="shared" si="0"/>
        <v>22</v>
      </c>
      <c r="C23" s="26">
        <v>6</v>
      </c>
      <c r="D23" s="26">
        <v>2026</v>
      </c>
      <c r="E23" s="27">
        <f>IF('BAN-M Electrical &amp; Water Dec25'!F28&gt;0,'BAN-M Electrical &amp; Water Dec25'!F28,0)</f>
        <v>4629</v>
      </c>
      <c r="F23" s="28">
        <v>0.2</v>
      </c>
      <c r="G23" s="27">
        <f>IF('BAN-M Electrical &amp; Water Dec25'!H28+'BAN-M Electrical &amp; Water Dec25'!J28&gt;0,'BAN-M Electrical &amp; Water Dec25'!H28+'BAN-M Electrical &amp; Water Dec25'!J28,0)</f>
        <v>68</v>
      </c>
      <c r="H23" s="28">
        <v>7.84</v>
      </c>
      <c r="I23" s="33">
        <v>18</v>
      </c>
      <c r="J23" s="33">
        <v>27</v>
      </c>
    </row>
    <row r="24" spans="1:10">
      <c r="A24" s="25" t="s">
        <v>10</v>
      </c>
      <c r="B24" s="26">
        <f t="shared" si="0"/>
        <v>23</v>
      </c>
      <c r="C24" s="26">
        <v>6</v>
      </c>
      <c r="D24" s="26">
        <v>2026</v>
      </c>
      <c r="E24" s="27">
        <f>IF('BAN-M Electrical &amp; Water Dec25'!F29&gt;0,'BAN-M Electrical &amp; Water Dec25'!F29,0)</f>
        <v>4866</v>
      </c>
      <c r="F24" s="28">
        <v>0.2</v>
      </c>
      <c r="G24" s="27">
        <f>IF('BAN-M Electrical &amp; Water Dec25'!H29+'BAN-M Electrical &amp; Water Dec25'!J29&gt;0,'BAN-M Electrical &amp; Water Dec25'!H29+'BAN-M Electrical &amp; Water Dec25'!J29,0)</f>
        <v>45</v>
      </c>
      <c r="H24" s="28">
        <v>7.84</v>
      </c>
      <c r="I24" s="33">
        <v>22</v>
      </c>
      <c r="J24" s="33">
        <v>26</v>
      </c>
    </row>
    <row r="25" spans="1:10">
      <c r="A25" s="25" t="s">
        <v>10</v>
      </c>
      <c r="B25" s="26">
        <f t="shared" si="0"/>
        <v>24</v>
      </c>
      <c r="C25" s="26">
        <v>6</v>
      </c>
      <c r="D25" s="26">
        <v>2026</v>
      </c>
      <c r="E25" s="27">
        <f>IF('BAN-M Electrical &amp; Water Dec25'!F30&gt;0,'BAN-M Electrical &amp; Water Dec25'!F30,0)</f>
        <v>5339</v>
      </c>
      <c r="F25" s="28">
        <v>0.2</v>
      </c>
      <c r="G25" s="27">
        <f>IF('BAN-M Electrical &amp; Water Dec25'!H30+'BAN-M Electrical &amp; Water Dec25'!J30&gt;0,'BAN-M Electrical &amp; Water Dec25'!H30+'BAN-M Electrical &amp; Water Dec25'!J30,0)</f>
        <v>101</v>
      </c>
      <c r="H25" s="28">
        <v>7.84</v>
      </c>
      <c r="I25" s="33">
        <v>25</v>
      </c>
      <c r="J25" s="33">
        <v>31</v>
      </c>
    </row>
    <row r="26" spans="1:10">
      <c r="A26" s="25" t="s">
        <v>10</v>
      </c>
      <c r="B26" s="26">
        <f>B25+1</f>
        <v>25</v>
      </c>
      <c r="C26" s="26">
        <v>6</v>
      </c>
      <c r="D26" s="26">
        <v>2026</v>
      </c>
      <c r="E26" s="27">
        <f>IF('BAN-M Electrical &amp; Water Dec25'!F31&gt;0,'BAN-M Electrical &amp; Water Dec25'!F31,0)</f>
        <v>5539</v>
      </c>
      <c r="F26" s="28">
        <v>0.2</v>
      </c>
      <c r="G26" s="27">
        <f>IF('BAN-M Electrical &amp; Water Dec25'!H31+'BAN-M Electrical &amp; Water Dec25'!J31&gt;0,'BAN-M Electrical &amp; Water Dec25'!H31+'BAN-M Electrical &amp; Water Dec25'!J31,0)</f>
        <v>78</v>
      </c>
      <c r="H26" s="28">
        <v>7.84</v>
      </c>
      <c r="I26" s="33">
        <v>24</v>
      </c>
      <c r="J26" s="33">
        <v>29</v>
      </c>
    </row>
    <row r="27" spans="1:10">
      <c r="A27" s="25" t="s">
        <v>10</v>
      </c>
      <c r="B27" s="26">
        <f t="shared" si="0"/>
        <v>26</v>
      </c>
      <c r="C27" s="26">
        <v>6</v>
      </c>
      <c r="D27" s="26">
        <v>2026</v>
      </c>
      <c r="E27" s="27">
        <f>IF('BAN-M Electrical &amp; Water Dec25'!F32&gt;0,'BAN-M Electrical &amp; Water Dec25'!F32,0)</f>
        <v>5951</v>
      </c>
      <c r="F27" s="28">
        <v>0.2</v>
      </c>
      <c r="G27" s="27">
        <f>IF('BAN-M Electrical &amp; Water Dec25'!H32+'BAN-M Electrical &amp; Water Dec25'!J32&gt;0,'BAN-M Electrical &amp; Water Dec25'!H32+'BAN-M Electrical &amp; Water Dec25'!J32,0)</f>
        <v>84</v>
      </c>
      <c r="H27" s="28">
        <v>7.84</v>
      </c>
      <c r="I27" s="33">
        <v>15</v>
      </c>
      <c r="J27" s="33">
        <v>31</v>
      </c>
    </row>
    <row r="28" spans="1:10">
      <c r="A28" s="25" t="s">
        <v>10</v>
      </c>
      <c r="B28" s="26">
        <f t="shared" si="0"/>
        <v>27</v>
      </c>
      <c r="C28" s="26">
        <v>6</v>
      </c>
      <c r="D28" s="26">
        <v>2026</v>
      </c>
      <c r="E28" s="27">
        <f>IF('BAN-M Electrical &amp; Water Dec25'!F33&gt;0,'BAN-M Electrical &amp; Water Dec25'!F33,0)</f>
        <v>5636</v>
      </c>
      <c r="F28" s="28">
        <v>0.2</v>
      </c>
      <c r="G28" s="27">
        <f>IF('BAN-M Electrical &amp; Water Dec25'!H33+'BAN-M Electrical &amp; Water Dec25'!J33&gt;0,'BAN-M Electrical &amp; Water Dec25'!H33+'BAN-M Electrical &amp; Water Dec25'!J33,0)</f>
        <v>67</v>
      </c>
      <c r="H28" s="28">
        <v>7.84</v>
      </c>
      <c r="I28" s="33">
        <v>14</v>
      </c>
      <c r="J28" s="33">
        <v>37</v>
      </c>
    </row>
    <row r="29" spans="1:10">
      <c r="A29" s="25" t="s">
        <v>10</v>
      </c>
      <c r="B29" s="26">
        <f t="shared" si="0"/>
        <v>28</v>
      </c>
      <c r="C29" s="26">
        <v>6</v>
      </c>
      <c r="D29" s="26">
        <v>2026</v>
      </c>
      <c r="E29" s="27">
        <f>IF('BAN-M Electrical &amp; Water Dec25'!F34&gt;0,'BAN-M Electrical &amp; Water Dec25'!F34,0)</f>
        <v>5698</v>
      </c>
      <c r="F29" s="28">
        <v>0.2</v>
      </c>
      <c r="G29" s="27">
        <f>IF('BAN-M Electrical &amp; Water Dec25'!H34+'BAN-M Electrical &amp; Water Dec25'!J34&gt;0,'BAN-M Electrical &amp; Water Dec25'!H34+'BAN-M Electrical &amp; Water Dec25'!J34,0)</f>
        <v>49</v>
      </c>
      <c r="H29" s="28">
        <v>7.84</v>
      </c>
      <c r="I29" s="33">
        <v>8</v>
      </c>
      <c r="J29" s="33">
        <v>13</v>
      </c>
    </row>
    <row r="30" spans="1:10">
      <c r="A30" s="25" t="s">
        <v>10</v>
      </c>
      <c r="B30" s="26">
        <f t="shared" si="0"/>
        <v>29</v>
      </c>
      <c r="C30" s="26">
        <v>6</v>
      </c>
      <c r="D30" s="26">
        <v>2026</v>
      </c>
      <c r="E30" s="27">
        <f>IF('BAN-M Electrical &amp; Water Dec25'!F35&gt;0,'BAN-M Electrical &amp; Water Dec25'!F35,0)</f>
        <v>5919</v>
      </c>
      <c r="F30" s="28">
        <v>0.2</v>
      </c>
      <c r="G30" s="27">
        <f>IF('BAN-M Electrical &amp; Water Dec25'!H35+'BAN-M Electrical &amp; Water Dec25'!J35&gt;0,'BAN-M Electrical &amp; Water Dec25'!H35+'BAN-M Electrical &amp; Water Dec25'!J35,0)</f>
        <v>79</v>
      </c>
      <c r="H30" s="28">
        <v>7.84</v>
      </c>
      <c r="I30" s="33">
        <v>25</v>
      </c>
      <c r="J30" s="33">
        <v>31</v>
      </c>
    </row>
    <row r="31" spans="1:10">
      <c r="A31" s="25" t="s">
        <v>10</v>
      </c>
      <c r="B31" s="26">
        <f t="shared" si="0"/>
        <v>30</v>
      </c>
      <c r="C31" s="26">
        <v>6</v>
      </c>
      <c r="D31" s="26">
        <v>2026</v>
      </c>
      <c r="E31" s="27">
        <f>IF('BAN-M Electrical &amp; Water Dec25'!F36&gt;0,'BAN-M Electrical &amp; Water Dec25'!F36,0)</f>
        <v>5931</v>
      </c>
      <c r="F31" s="28">
        <v>0.2</v>
      </c>
      <c r="G31" s="27">
        <f>IF('BAN-M Electrical &amp; Water Dec25'!H36+'BAN-M Electrical &amp; Water Dec25'!J36&gt;0,'BAN-M Electrical &amp; Water Dec25'!H36+'BAN-M Electrical &amp; Water Dec25'!J36,0)</f>
        <v>75</v>
      </c>
      <c r="H31" s="28">
        <v>7.84</v>
      </c>
      <c r="I31" s="33">
        <v>27</v>
      </c>
      <c r="J31" s="33">
        <v>37</v>
      </c>
    </row>
    <row r="32" spans="1:10">
      <c r="A32" s="25"/>
      <c r="E32" s="27"/>
      <c r="G32" s="27"/>
      <c r="H32" s="28"/>
      <c r="I32" s="34">
        <v>549</v>
      </c>
      <c r="J32" s="34">
        <v>918</v>
      </c>
    </row>
    <row r="33" spans="7:10">
      <c r="G33" s="27"/>
      <c r="I33" s="34"/>
      <c r="J33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9"/>
  <sheetViews>
    <sheetView topLeftCell="A22" zoomScale="60" zoomScaleNormal="60" zoomScaleSheetLayoutView="90" zoomScalePageLayoutView="52" workbookViewId="0">
      <selection activeCell="I37" sqref="I37"/>
    </sheetView>
  </sheetViews>
  <sheetFormatPr defaultRowHeight="14.4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>
      <c r="C1" s="36" t="s">
        <v>11</v>
      </c>
      <c r="D1" s="37"/>
      <c r="E1" s="37"/>
      <c r="F1" s="37"/>
      <c r="G1" s="37"/>
      <c r="H1" s="37"/>
      <c r="I1" s="37"/>
      <c r="J1" s="37"/>
      <c r="K1" s="37"/>
      <c r="N1" s="2"/>
    </row>
    <row r="2" spans="1:14" s="1" customFormat="1" ht="54.75" customHeight="1" thickBot="1">
      <c r="A2" s="9" t="s">
        <v>12</v>
      </c>
      <c r="B2" s="35" t="s">
        <v>13</v>
      </c>
      <c r="C2" s="14" t="s">
        <v>14</v>
      </c>
      <c r="D2" s="38" t="s">
        <v>15</v>
      </c>
      <c r="E2" s="14" t="s">
        <v>14</v>
      </c>
      <c r="F2" s="38" t="s">
        <v>15</v>
      </c>
      <c r="G2" s="39" t="s">
        <v>16</v>
      </c>
      <c r="H2" s="39" t="s">
        <v>15</v>
      </c>
      <c r="I2" s="39" t="s">
        <v>17</v>
      </c>
      <c r="J2" s="39" t="s">
        <v>15</v>
      </c>
      <c r="K2" s="40" t="s">
        <v>18</v>
      </c>
    </row>
    <row r="3" spans="1:14" ht="60" customHeight="1" thickBot="1">
      <c r="A3" s="9" t="s">
        <v>19</v>
      </c>
      <c r="B3" s="35"/>
      <c r="C3" s="17" t="s">
        <v>20</v>
      </c>
      <c r="D3" s="38"/>
      <c r="E3" s="17" t="s">
        <v>21</v>
      </c>
      <c r="F3" s="38"/>
      <c r="G3" s="39"/>
      <c r="H3" s="39"/>
      <c r="I3" s="39"/>
      <c r="J3" s="39"/>
      <c r="K3" s="40"/>
    </row>
    <row r="4" spans="1:14" ht="46.5" customHeight="1" thickBot="1">
      <c r="A4" s="35" t="s">
        <v>22</v>
      </c>
      <c r="B4" s="35"/>
      <c r="C4" s="38" t="s">
        <v>23</v>
      </c>
      <c r="D4" s="38"/>
      <c r="E4" s="38" t="s">
        <v>23</v>
      </c>
      <c r="F4" s="38"/>
      <c r="G4" s="39"/>
      <c r="H4" s="39"/>
      <c r="I4" s="39"/>
      <c r="J4" s="39"/>
      <c r="K4" s="40"/>
    </row>
    <row r="5" spans="1:14" ht="24.95" customHeight="1" thickBot="1">
      <c r="A5" s="35"/>
      <c r="B5" s="35"/>
      <c r="C5" s="38"/>
      <c r="D5" s="15" t="s">
        <v>24</v>
      </c>
      <c r="E5" s="38"/>
      <c r="F5" s="15" t="s">
        <v>24</v>
      </c>
      <c r="G5" s="16" t="s">
        <v>25</v>
      </c>
      <c r="H5" s="16" t="s">
        <v>25</v>
      </c>
      <c r="I5" s="16" t="s">
        <v>25</v>
      </c>
      <c r="J5" s="16" t="s">
        <v>25</v>
      </c>
      <c r="K5" s="40"/>
    </row>
    <row r="6" spans="1:14" ht="39" customHeight="1">
      <c r="A6" s="7">
        <v>46173</v>
      </c>
      <c r="B6" s="18">
        <v>0.21875</v>
      </c>
      <c r="C6" s="4">
        <v>3245645</v>
      </c>
      <c r="D6" s="4">
        <v>0</v>
      </c>
      <c r="E6" s="4">
        <v>8713411</v>
      </c>
      <c r="F6" s="4">
        <v>0</v>
      </c>
      <c r="G6" s="11">
        <v>12467</v>
      </c>
      <c r="H6" s="10">
        <v>0</v>
      </c>
      <c r="I6" s="11">
        <v>10880</v>
      </c>
      <c r="J6" s="10">
        <v>0</v>
      </c>
      <c r="K6" s="8"/>
    </row>
    <row r="7" spans="1:14" ht="39" customHeight="1">
      <c r="A7" s="7">
        <v>46174</v>
      </c>
      <c r="B7" s="19">
        <v>0.99930555555555556</v>
      </c>
      <c r="C7" s="4">
        <v>3247308</v>
      </c>
      <c r="D7" s="4">
        <f>C7-C6</f>
        <v>1663</v>
      </c>
      <c r="E7" s="4">
        <v>8718398</v>
      </c>
      <c r="F7" s="4">
        <f>E7-E6</f>
        <v>4987</v>
      </c>
      <c r="G7" s="11">
        <v>12505</v>
      </c>
      <c r="H7" s="11">
        <f>G7-G6</f>
        <v>38</v>
      </c>
      <c r="I7" s="11">
        <v>10935</v>
      </c>
      <c r="J7" s="11">
        <f>I7-I6</f>
        <v>55</v>
      </c>
      <c r="K7" s="3"/>
    </row>
    <row r="8" spans="1:14" ht="39" customHeight="1">
      <c r="A8" s="7">
        <v>46175</v>
      </c>
      <c r="B8" s="19">
        <v>0.28472222222222221</v>
      </c>
      <c r="C8" s="4">
        <v>3249046</v>
      </c>
      <c r="D8" s="4">
        <f>C8-C7</f>
        <v>1738</v>
      </c>
      <c r="E8" s="4">
        <v>8722624</v>
      </c>
      <c r="F8" s="4">
        <f t="shared" ref="F8:F35" si="0">E8-E7</f>
        <v>4226</v>
      </c>
      <c r="G8" s="11">
        <v>12541</v>
      </c>
      <c r="H8" s="11">
        <f t="shared" ref="H8:H37" si="1">G8-G7</f>
        <v>36</v>
      </c>
      <c r="I8" s="11">
        <v>11018</v>
      </c>
      <c r="J8" s="11">
        <f t="shared" ref="J8:J35" si="2">I8-I7</f>
        <v>83</v>
      </c>
      <c r="K8" s="3"/>
    </row>
    <row r="9" spans="1:14" ht="39" customHeight="1">
      <c r="A9" s="7">
        <v>46176</v>
      </c>
      <c r="B9" s="19">
        <v>0.20833333333333334</v>
      </c>
      <c r="C9" s="4">
        <v>3250557</v>
      </c>
      <c r="D9" s="4">
        <f t="shared" ref="D9:D35" si="3">C9-C8</f>
        <v>1511</v>
      </c>
      <c r="E9" s="4">
        <v>8726905</v>
      </c>
      <c r="F9" s="4">
        <f t="shared" si="0"/>
        <v>4281</v>
      </c>
      <c r="G9" s="11">
        <v>12564</v>
      </c>
      <c r="H9" s="11">
        <f t="shared" si="1"/>
        <v>23</v>
      </c>
      <c r="I9" s="11">
        <v>11053</v>
      </c>
      <c r="J9" s="11">
        <f t="shared" si="2"/>
        <v>35</v>
      </c>
      <c r="K9" s="3"/>
    </row>
    <row r="10" spans="1:14" ht="39" customHeight="1">
      <c r="A10" s="7">
        <v>46177</v>
      </c>
      <c r="B10" s="19">
        <v>0.21875</v>
      </c>
      <c r="C10" s="4">
        <v>3252266</v>
      </c>
      <c r="D10" s="4">
        <f t="shared" si="3"/>
        <v>1709</v>
      </c>
      <c r="E10" s="4">
        <v>8731621</v>
      </c>
      <c r="F10" s="4">
        <f t="shared" si="0"/>
        <v>4716</v>
      </c>
      <c r="G10" s="11">
        <v>12592</v>
      </c>
      <c r="H10" s="11">
        <f t="shared" si="1"/>
        <v>28</v>
      </c>
      <c r="I10" s="11">
        <v>11094</v>
      </c>
      <c r="J10" s="11">
        <f t="shared" si="2"/>
        <v>41</v>
      </c>
      <c r="K10" s="3"/>
    </row>
    <row r="11" spans="1:14" ht="39" customHeight="1">
      <c r="A11" s="7">
        <v>46178</v>
      </c>
      <c r="B11" s="19">
        <v>0.20833333333333334</v>
      </c>
      <c r="C11" s="4">
        <v>3254041</v>
      </c>
      <c r="D11" s="4">
        <f t="shared" si="3"/>
        <v>1775</v>
      </c>
      <c r="E11" s="4">
        <v>8736646</v>
      </c>
      <c r="F11" s="4">
        <f t="shared" si="0"/>
        <v>5025</v>
      </c>
      <c r="G11" s="11">
        <v>12638</v>
      </c>
      <c r="H11" s="11">
        <f t="shared" si="1"/>
        <v>46</v>
      </c>
      <c r="I11" s="11">
        <v>11167</v>
      </c>
      <c r="J11" s="11">
        <f t="shared" si="2"/>
        <v>73</v>
      </c>
      <c r="K11" s="3"/>
    </row>
    <row r="12" spans="1:14" ht="39" customHeight="1">
      <c r="A12" s="7">
        <v>46179</v>
      </c>
      <c r="B12" s="19">
        <v>0.25</v>
      </c>
      <c r="C12" s="4">
        <v>3255768</v>
      </c>
      <c r="D12" s="4">
        <f t="shared" si="3"/>
        <v>1727</v>
      </c>
      <c r="E12" s="4">
        <v>8741822</v>
      </c>
      <c r="F12" s="4">
        <f t="shared" si="0"/>
        <v>5176</v>
      </c>
      <c r="G12" s="11">
        <v>12671</v>
      </c>
      <c r="H12" s="11">
        <f t="shared" si="1"/>
        <v>33</v>
      </c>
      <c r="I12" s="11">
        <v>11183</v>
      </c>
      <c r="J12" s="11">
        <f t="shared" si="2"/>
        <v>16</v>
      </c>
      <c r="K12" s="3"/>
    </row>
    <row r="13" spans="1:14" ht="39" customHeight="1">
      <c r="A13" s="7">
        <v>46180</v>
      </c>
      <c r="B13" s="19">
        <v>0.21527777777777779</v>
      </c>
      <c r="C13" s="4">
        <v>3257453</v>
      </c>
      <c r="D13" s="4">
        <f t="shared" si="3"/>
        <v>1685</v>
      </c>
      <c r="E13" s="4">
        <v>8746809</v>
      </c>
      <c r="F13" s="4">
        <f t="shared" si="0"/>
        <v>4987</v>
      </c>
      <c r="G13" s="11">
        <v>12714</v>
      </c>
      <c r="H13" s="11">
        <f t="shared" si="1"/>
        <v>43</v>
      </c>
      <c r="I13" s="11">
        <v>11208</v>
      </c>
      <c r="J13" s="11">
        <f t="shared" si="2"/>
        <v>25</v>
      </c>
      <c r="K13" s="3"/>
    </row>
    <row r="14" spans="1:14" ht="39" customHeight="1">
      <c r="A14" s="7">
        <v>46181</v>
      </c>
      <c r="B14" s="19">
        <v>0.22222222222222221</v>
      </c>
      <c r="C14" s="4">
        <v>3259128</v>
      </c>
      <c r="D14" s="4">
        <f t="shared" si="3"/>
        <v>1675</v>
      </c>
      <c r="E14" s="4">
        <v>8751634</v>
      </c>
      <c r="F14" s="4">
        <f t="shared" si="0"/>
        <v>4825</v>
      </c>
      <c r="G14" s="11">
        <v>12753</v>
      </c>
      <c r="H14" s="11">
        <f t="shared" si="1"/>
        <v>39</v>
      </c>
      <c r="I14" s="11">
        <v>11256</v>
      </c>
      <c r="J14" s="11">
        <f t="shared" si="2"/>
        <v>48</v>
      </c>
      <c r="K14" s="3"/>
    </row>
    <row r="15" spans="1:14" ht="39" customHeight="1">
      <c r="A15" s="7">
        <v>46182</v>
      </c>
      <c r="B15" s="19">
        <v>0.20833333333333334</v>
      </c>
      <c r="C15" s="4">
        <v>3260832</v>
      </c>
      <c r="D15" s="4">
        <f t="shared" si="3"/>
        <v>1704</v>
      </c>
      <c r="E15" s="4">
        <v>8756405</v>
      </c>
      <c r="F15" s="4">
        <f t="shared" si="0"/>
        <v>4771</v>
      </c>
      <c r="G15" s="11">
        <v>12796</v>
      </c>
      <c r="H15" s="11">
        <f t="shared" si="1"/>
        <v>43</v>
      </c>
      <c r="I15" s="11">
        <v>11274</v>
      </c>
      <c r="J15" s="11">
        <f t="shared" si="2"/>
        <v>18</v>
      </c>
      <c r="K15" s="3"/>
    </row>
    <row r="16" spans="1:14" ht="39" customHeight="1">
      <c r="A16" s="7">
        <v>46183</v>
      </c>
      <c r="B16" s="19">
        <v>0.22222222222222221</v>
      </c>
      <c r="C16" s="4">
        <v>3262409</v>
      </c>
      <c r="D16" s="4">
        <f t="shared" si="3"/>
        <v>1577</v>
      </c>
      <c r="E16" s="4">
        <v>8760679</v>
      </c>
      <c r="F16" s="4">
        <f t="shared" si="0"/>
        <v>4274</v>
      </c>
      <c r="G16" s="11">
        <v>12824</v>
      </c>
      <c r="H16" s="11">
        <f t="shared" si="1"/>
        <v>28</v>
      </c>
      <c r="I16" s="11">
        <v>11315</v>
      </c>
      <c r="J16" s="11">
        <f t="shared" si="2"/>
        <v>41</v>
      </c>
      <c r="K16" s="3"/>
    </row>
    <row r="17" spans="1:11" ht="39" customHeight="1">
      <c r="A17" s="7">
        <v>46184</v>
      </c>
      <c r="B17" s="19">
        <v>0.21875</v>
      </c>
      <c r="C17" s="4">
        <v>3263935</v>
      </c>
      <c r="D17" s="4">
        <f t="shared" si="3"/>
        <v>1526</v>
      </c>
      <c r="E17" s="4">
        <v>8765060</v>
      </c>
      <c r="F17" s="4">
        <f t="shared" si="0"/>
        <v>4381</v>
      </c>
      <c r="G17" s="11">
        <v>12869</v>
      </c>
      <c r="H17" s="11">
        <f t="shared" si="1"/>
        <v>45</v>
      </c>
      <c r="I17" s="11">
        <v>11367</v>
      </c>
      <c r="J17" s="11">
        <f t="shared" si="2"/>
        <v>52</v>
      </c>
      <c r="K17" s="3"/>
    </row>
    <row r="18" spans="1:11" ht="39" customHeight="1">
      <c r="A18" s="7">
        <v>46185</v>
      </c>
      <c r="B18" s="19">
        <v>0.20833333333333334</v>
      </c>
      <c r="C18" s="4">
        <v>3265554</v>
      </c>
      <c r="D18" s="4">
        <f t="shared" si="3"/>
        <v>1619</v>
      </c>
      <c r="E18" s="4">
        <v>8769751</v>
      </c>
      <c r="F18" s="4">
        <f t="shared" si="0"/>
        <v>4691</v>
      </c>
      <c r="G18" s="11">
        <v>12894</v>
      </c>
      <c r="H18" s="11">
        <f t="shared" si="1"/>
        <v>25</v>
      </c>
      <c r="I18" s="11">
        <v>11419</v>
      </c>
      <c r="J18" s="11">
        <f t="shared" si="2"/>
        <v>52</v>
      </c>
      <c r="K18" s="3"/>
    </row>
    <row r="19" spans="1:11" ht="39" customHeight="1">
      <c r="A19" s="7">
        <v>46186</v>
      </c>
      <c r="B19" s="19">
        <v>0.21527777777777779</v>
      </c>
      <c r="C19" s="4">
        <v>3267199</v>
      </c>
      <c r="D19" s="4">
        <f t="shared" si="3"/>
        <v>1645</v>
      </c>
      <c r="E19" s="4">
        <v>8774402</v>
      </c>
      <c r="F19" s="4">
        <f t="shared" si="0"/>
        <v>4651</v>
      </c>
      <c r="G19" s="11">
        <v>12931</v>
      </c>
      <c r="H19" s="11">
        <f t="shared" si="1"/>
        <v>37</v>
      </c>
      <c r="I19" s="11">
        <v>11437</v>
      </c>
      <c r="J19" s="11">
        <f t="shared" si="2"/>
        <v>18</v>
      </c>
      <c r="K19" s="3"/>
    </row>
    <row r="20" spans="1:11" ht="39" customHeight="1">
      <c r="A20" s="7">
        <v>46187</v>
      </c>
      <c r="B20" s="19">
        <v>0.20833333333333334</v>
      </c>
      <c r="C20" s="4">
        <v>3268904</v>
      </c>
      <c r="D20" s="4">
        <f t="shared" si="3"/>
        <v>1705</v>
      </c>
      <c r="E20" s="4">
        <v>8779329</v>
      </c>
      <c r="F20" s="4">
        <f t="shared" si="0"/>
        <v>4927</v>
      </c>
      <c r="G20" s="11">
        <v>12964</v>
      </c>
      <c r="H20" s="11">
        <f t="shared" si="1"/>
        <v>33</v>
      </c>
      <c r="I20" s="11">
        <v>11446</v>
      </c>
      <c r="J20" s="11">
        <f t="shared" si="2"/>
        <v>9</v>
      </c>
      <c r="K20" s="3"/>
    </row>
    <row r="21" spans="1:11" ht="39" customHeight="1">
      <c r="A21" s="7">
        <v>46188</v>
      </c>
      <c r="B21" s="19">
        <v>0.22222222222222221</v>
      </c>
      <c r="C21" s="4">
        <v>3270663</v>
      </c>
      <c r="D21" s="4">
        <f t="shared" si="3"/>
        <v>1759</v>
      </c>
      <c r="E21" s="4">
        <v>8784308</v>
      </c>
      <c r="F21" s="4">
        <f t="shared" si="0"/>
        <v>4979</v>
      </c>
      <c r="G21" s="11">
        <v>13018</v>
      </c>
      <c r="H21" s="11">
        <f t="shared" si="1"/>
        <v>54</v>
      </c>
      <c r="I21" s="11">
        <v>11482</v>
      </c>
      <c r="J21" s="11">
        <f t="shared" si="2"/>
        <v>36</v>
      </c>
      <c r="K21" s="3"/>
    </row>
    <row r="22" spans="1:11" ht="39" customHeight="1">
      <c r="A22" s="7">
        <v>46189</v>
      </c>
      <c r="B22" s="19">
        <v>0.20833333333333334</v>
      </c>
      <c r="C22" s="4">
        <v>3272387</v>
      </c>
      <c r="D22" s="4">
        <f t="shared" si="3"/>
        <v>1724</v>
      </c>
      <c r="E22" s="4">
        <v>8789658</v>
      </c>
      <c r="F22" s="4">
        <f t="shared" si="0"/>
        <v>5350</v>
      </c>
      <c r="G22" s="11">
        <v>13054</v>
      </c>
      <c r="H22" s="11">
        <f t="shared" si="1"/>
        <v>36</v>
      </c>
      <c r="I22" s="11">
        <v>11494</v>
      </c>
      <c r="J22" s="11">
        <f t="shared" si="2"/>
        <v>12</v>
      </c>
      <c r="K22" s="3"/>
    </row>
    <row r="23" spans="1:11" ht="39" customHeight="1">
      <c r="A23" s="7">
        <v>46190</v>
      </c>
      <c r="B23" s="19">
        <v>0.22222222222222221</v>
      </c>
      <c r="C23" s="4">
        <v>3274128</v>
      </c>
      <c r="D23" s="4">
        <f t="shared" si="3"/>
        <v>1741</v>
      </c>
      <c r="E23" s="4">
        <v>8794109</v>
      </c>
      <c r="F23" s="4">
        <f t="shared" si="0"/>
        <v>4451</v>
      </c>
      <c r="G23" s="11">
        <v>13124</v>
      </c>
      <c r="H23" s="11">
        <f t="shared" si="1"/>
        <v>70</v>
      </c>
      <c r="I23" s="11">
        <v>11559</v>
      </c>
      <c r="J23" s="11">
        <f t="shared" si="2"/>
        <v>65</v>
      </c>
      <c r="K23" s="3"/>
    </row>
    <row r="24" spans="1:11" ht="39" customHeight="1">
      <c r="A24" s="7">
        <v>46191</v>
      </c>
      <c r="B24" s="19">
        <v>0.20833333333333334</v>
      </c>
      <c r="C24" s="4">
        <v>3275938</v>
      </c>
      <c r="D24" s="4">
        <f t="shared" si="3"/>
        <v>1810</v>
      </c>
      <c r="E24" s="4">
        <v>8798574</v>
      </c>
      <c r="F24" s="4">
        <f t="shared" si="0"/>
        <v>4465</v>
      </c>
      <c r="G24" s="11">
        <v>13168</v>
      </c>
      <c r="H24" s="11">
        <f t="shared" si="1"/>
        <v>44</v>
      </c>
      <c r="I24" s="11">
        <v>11612</v>
      </c>
      <c r="J24" s="11">
        <f t="shared" si="2"/>
        <v>53</v>
      </c>
      <c r="K24" s="3"/>
    </row>
    <row r="25" spans="1:11" ht="39" customHeight="1">
      <c r="A25" s="7">
        <v>46192</v>
      </c>
      <c r="B25" s="19">
        <v>0.22222222222222221</v>
      </c>
      <c r="C25" s="4">
        <v>3277768</v>
      </c>
      <c r="D25" s="4">
        <f t="shared" si="3"/>
        <v>1830</v>
      </c>
      <c r="E25" s="4">
        <v>8803160</v>
      </c>
      <c r="F25" s="4">
        <f t="shared" si="0"/>
        <v>4586</v>
      </c>
      <c r="G25" s="11">
        <v>13192</v>
      </c>
      <c r="H25" s="11">
        <f t="shared" si="1"/>
        <v>24</v>
      </c>
      <c r="I25" s="11">
        <v>11676</v>
      </c>
      <c r="J25" s="11">
        <f t="shared" si="2"/>
        <v>64</v>
      </c>
      <c r="K25" s="3"/>
    </row>
    <row r="26" spans="1:11" ht="39" customHeight="1">
      <c r="A26" s="7">
        <v>46193</v>
      </c>
      <c r="B26" s="19">
        <v>0.20833333333333334</v>
      </c>
      <c r="C26" s="4">
        <v>3279523</v>
      </c>
      <c r="D26" s="4">
        <f t="shared" si="3"/>
        <v>1755</v>
      </c>
      <c r="E26" s="4">
        <v>8807801</v>
      </c>
      <c r="F26" s="4">
        <f t="shared" si="0"/>
        <v>4641</v>
      </c>
      <c r="G26" s="11">
        <v>13226</v>
      </c>
      <c r="H26" s="11">
        <f t="shared" si="1"/>
        <v>34</v>
      </c>
      <c r="I26" s="11">
        <v>11705</v>
      </c>
      <c r="J26" s="11">
        <f t="shared" si="2"/>
        <v>29</v>
      </c>
      <c r="K26" s="3"/>
    </row>
    <row r="27" spans="1:11" ht="39" customHeight="1">
      <c r="A27" s="7">
        <v>46194</v>
      </c>
      <c r="B27" s="19">
        <v>0.21875</v>
      </c>
      <c r="C27" s="4">
        <v>3281529</v>
      </c>
      <c r="D27" s="4">
        <f t="shared" si="3"/>
        <v>2006</v>
      </c>
      <c r="E27" s="4">
        <v>8813929</v>
      </c>
      <c r="F27" s="4">
        <f t="shared" si="0"/>
        <v>6128</v>
      </c>
      <c r="G27" s="12">
        <v>13268</v>
      </c>
      <c r="H27" s="11">
        <f t="shared" si="1"/>
        <v>42</v>
      </c>
      <c r="I27" s="11">
        <v>11718</v>
      </c>
      <c r="J27" s="11">
        <f t="shared" si="2"/>
        <v>13</v>
      </c>
      <c r="K27" s="3"/>
    </row>
    <row r="28" spans="1:11" ht="39" customHeight="1">
      <c r="A28" s="7">
        <v>46195</v>
      </c>
      <c r="B28" s="19">
        <v>0.20833333333333334</v>
      </c>
      <c r="C28" s="5">
        <v>3283354</v>
      </c>
      <c r="D28" s="4">
        <f t="shared" si="3"/>
        <v>1825</v>
      </c>
      <c r="E28" s="4">
        <v>8818558</v>
      </c>
      <c r="F28" s="4">
        <f t="shared" si="0"/>
        <v>4629</v>
      </c>
      <c r="G28" s="13">
        <v>13309</v>
      </c>
      <c r="H28" s="11">
        <f t="shared" si="1"/>
        <v>41</v>
      </c>
      <c r="I28" s="11">
        <v>11745</v>
      </c>
      <c r="J28" s="11">
        <f t="shared" si="2"/>
        <v>27</v>
      </c>
      <c r="K28" s="3"/>
    </row>
    <row r="29" spans="1:11" ht="39" customHeight="1">
      <c r="A29" s="7">
        <v>46196</v>
      </c>
      <c r="B29" s="19">
        <v>0.21666666666666667</v>
      </c>
      <c r="C29" s="5">
        <v>3285217</v>
      </c>
      <c r="D29" s="4">
        <f t="shared" si="3"/>
        <v>1863</v>
      </c>
      <c r="E29" s="4">
        <v>8823424</v>
      </c>
      <c r="F29" s="4">
        <f t="shared" si="0"/>
        <v>4866</v>
      </c>
      <c r="G29" s="13">
        <v>13334</v>
      </c>
      <c r="H29" s="11">
        <f t="shared" si="1"/>
        <v>25</v>
      </c>
      <c r="I29" s="11">
        <v>11765</v>
      </c>
      <c r="J29" s="11">
        <f t="shared" si="2"/>
        <v>20</v>
      </c>
      <c r="K29" s="3"/>
    </row>
    <row r="30" spans="1:11" ht="39" customHeight="1">
      <c r="A30" s="7">
        <v>46197</v>
      </c>
      <c r="B30" s="19">
        <v>0.20833333333333334</v>
      </c>
      <c r="C30" s="5">
        <v>3287410</v>
      </c>
      <c r="D30" s="4">
        <f t="shared" si="3"/>
        <v>2193</v>
      </c>
      <c r="E30" s="4">
        <v>8828763</v>
      </c>
      <c r="F30" s="4">
        <f t="shared" si="0"/>
        <v>5339</v>
      </c>
      <c r="G30" s="13">
        <v>13376</v>
      </c>
      <c r="H30" s="11">
        <f t="shared" si="1"/>
        <v>42</v>
      </c>
      <c r="I30" s="11">
        <v>11824</v>
      </c>
      <c r="J30" s="11">
        <f t="shared" si="2"/>
        <v>59</v>
      </c>
      <c r="K30" s="3"/>
    </row>
    <row r="31" spans="1:11" ht="39" customHeight="1">
      <c r="A31" s="7">
        <v>46198</v>
      </c>
      <c r="B31" s="19">
        <v>0.22222222222222221</v>
      </c>
      <c r="C31" s="5">
        <v>3289514</v>
      </c>
      <c r="D31" s="4">
        <f t="shared" si="3"/>
        <v>2104</v>
      </c>
      <c r="E31" s="4">
        <v>8834302</v>
      </c>
      <c r="F31" s="4">
        <f t="shared" si="0"/>
        <v>5539</v>
      </c>
      <c r="G31" s="11">
        <v>13394</v>
      </c>
      <c r="H31" s="11">
        <f t="shared" si="1"/>
        <v>18</v>
      </c>
      <c r="I31" s="11">
        <v>11884</v>
      </c>
      <c r="J31" s="11">
        <f t="shared" si="2"/>
        <v>60</v>
      </c>
      <c r="K31" s="3"/>
    </row>
    <row r="32" spans="1:11" ht="39" customHeight="1">
      <c r="A32" s="7">
        <v>46199</v>
      </c>
      <c r="B32" s="19">
        <v>0.21527777777777779</v>
      </c>
      <c r="C32" s="4">
        <v>3291567</v>
      </c>
      <c r="D32" s="4">
        <f t="shared" si="3"/>
        <v>2053</v>
      </c>
      <c r="E32" s="4">
        <v>8840253</v>
      </c>
      <c r="F32" s="4">
        <f t="shared" si="0"/>
        <v>5951</v>
      </c>
      <c r="G32" s="11">
        <v>13428</v>
      </c>
      <c r="H32" s="11">
        <f t="shared" si="1"/>
        <v>34</v>
      </c>
      <c r="I32" s="11">
        <v>11934</v>
      </c>
      <c r="J32" s="11">
        <f t="shared" si="2"/>
        <v>50</v>
      </c>
      <c r="K32" s="3"/>
    </row>
    <row r="33" spans="1:11" ht="39" customHeight="1">
      <c r="A33" s="7">
        <v>46200</v>
      </c>
      <c r="B33" s="19">
        <v>0.22916666666666666</v>
      </c>
      <c r="C33" s="4">
        <v>3293611</v>
      </c>
      <c r="D33" s="4">
        <f t="shared" si="3"/>
        <v>2044</v>
      </c>
      <c r="E33" s="4">
        <v>8845889</v>
      </c>
      <c r="F33" s="4">
        <f t="shared" si="0"/>
        <v>5636</v>
      </c>
      <c r="G33" s="11">
        <v>13451</v>
      </c>
      <c r="H33" s="11">
        <f t="shared" si="1"/>
        <v>23</v>
      </c>
      <c r="I33" s="11">
        <v>11978</v>
      </c>
      <c r="J33" s="11">
        <f t="shared" si="2"/>
        <v>44</v>
      </c>
      <c r="K33" s="3"/>
    </row>
    <row r="34" spans="1:11" ht="39" customHeight="1">
      <c r="A34" s="7">
        <v>46201</v>
      </c>
      <c r="B34" s="19">
        <v>0.20833333333333334</v>
      </c>
      <c r="C34" s="4">
        <v>3295536</v>
      </c>
      <c r="D34" s="4">
        <f t="shared" si="3"/>
        <v>1925</v>
      </c>
      <c r="E34" s="4">
        <v>8851587</v>
      </c>
      <c r="F34" s="4">
        <f t="shared" si="0"/>
        <v>5698</v>
      </c>
      <c r="G34" s="11">
        <v>13492</v>
      </c>
      <c r="H34" s="11">
        <f t="shared" si="1"/>
        <v>41</v>
      </c>
      <c r="I34" s="11">
        <v>11986</v>
      </c>
      <c r="J34" s="11">
        <f t="shared" si="2"/>
        <v>8</v>
      </c>
      <c r="K34" s="3"/>
    </row>
    <row r="35" spans="1:11" ht="39" customHeight="1">
      <c r="A35" s="7">
        <v>46202</v>
      </c>
      <c r="B35" s="19">
        <v>0.21527777777777779</v>
      </c>
      <c r="C35" s="4">
        <v>3297805</v>
      </c>
      <c r="D35" s="4">
        <f t="shared" si="3"/>
        <v>2269</v>
      </c>
      <c r="E35" s="4">
        <v>8857506</v>
      </c>
      <c r="F35" s="4">
        <f t="shared" si="0"/>
        <v>5919</v>
      </c>
      <c r="G35" s="11">
        <v>13524</v>
      </c>
      <c r="H35" s="11">
        <f t="shared" si="1"/>
        <v>32</v>
      </c>
      <c r="I35" s="11">
        <v>12033</v>
      </c>
      <c r="J35" s="11">
        <f t="shared" si="2"/>
        <v>47</v>
      </c>
      <c r="K35" s="3"/>
    </row>
    <row r="36" spans="1:11" ht="39" customHeight="1">
      <c r="A36" s="7">
        <v>46203</v>
      </c>
      <c r="B36" s="19">
        <v>0.22222222222222221</v>
      </c>
      <c r="C36" s="4">
        <v>3299535</v>
      </c>
      <c r="D36" s="4">
        <f>C36-C35</f>
        <v>1730</v>
      </c>
      <c r="E36" s="4">
        <v>8863437</v>
      </c>
      <c r="F36" s="4">
        <f>E36-E35</f>
        <v>5931</v>
      </c>
      <c r="G36" s="11">
        <v>13551</v>
      </c>
      <c r="H36" s="11">
        <f t="shared" si="1"/>
        <v>27</v>
      </c>
      <c r="I36" s="11">
        <v>12081</v>
      </c>
      <c r="J36" s="11">
        <f>I36-I35</f>
        <v>48</v>
      </c>
      <c r="K36" s="3"/>
    </row>
    <row r="37" spans="1:11" ht="39" customHeight="1">
      <c r="A37" s="7"/>
      <c r="B37" s="19"/>
      <c r="C37" s="4"/>
      <c r="D37" s="4"/>
      <c r="E37" s="4"/>
      <c r="F37" s="4"/>
      <c r="G37" s="11"/>
      <c r="H37" s="11">
        <f t="shared" si="1"/>
        <v>-13551</v>
      </c>
      <c r="I37" s="11"/>
      <c r="J37" s="11">
        <f>I37-I36</f>
        <v>-12081</v>
      </c>
      <c r="K37" s="3"/>
    </row>
    <row r="38" spans="1:11">
      <c r="D38" s="1">
        <f>SUM(D6:D37)</f>
        <v>53890</v>
      </c>
      <c r="F38" s="1">
        <f>SUM(F6:F37)</f>
        <v>150026</v>
      </c>
      <c r="H38" s="1">
        <f>SUM(H6:H37)</f>
        <v>-12467</v>
      </c>
      <c r="J38" s="1">
        <f>SUM(J6:J37)</f>
        <v>-10880</v>
      </c>
    </row>
    <row r="39" spans="1:11">
      <c r="C39" s="1">
        <f>C34-C6</f>
        <v>49891</v>
      </c>
      <c r="E39" s="1">
        <f>E34-E6</f>
        <v>138176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Metadata/LabelInfo.xml><?xml version="1.0" encoding="utf-8"?>
<clbl:labelList xmlns:clbl="http://schemas.microsoft.com/office/2020/mipLabelMetadata">
  <clbl:label id="{a47fc36d-dc5d-4617-b467-14a51d2dca8e}" enabled="0" method="" siteId="{a47fc36d-dc5d-4617-b467-14a51d2dca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2026-07-09T13:33:28Z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