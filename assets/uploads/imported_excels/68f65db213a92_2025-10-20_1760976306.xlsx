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A96016A2-6734-4E0B-B75F-5EAAE4881456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externalReferences>
    <externalReference r:id="rId4"/>
  </externalReference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<sst xmlns="http://schemas.openxmlformats.org/spreadsheetml/2006/main" count="83" uniqueCount="41">
  <si>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</si>
  <si>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</si>
  <si>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</si>
  <si>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</si>
  <si>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</si>
  <si>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</si>
  <si>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</si>
  <si>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</si>
  <si>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</si>
  <si>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</si>
  <si>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</si>
  <si>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</si>
  <si>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</si>
  <si>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</si>
  <si>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</si>
  <si>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</si>
  <si>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</si>
  <si>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</si>
  <si>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</si>
  <si>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</si>
  <si>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</si>
  <si>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</si>
  <si>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</si>
  <si>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</si>
  <si>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</si>
  <si>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</si>
  <si>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</si>
  <si>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</si>
  <si>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</si>
  <si>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</si>
  <si>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</si>
  <si>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</si>
  <si>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</si>
  <si>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</si>
  <si>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</si>
  <si>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</si>
  <si>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Hudayriat</t>
  </si>
  <si>
    <t xml:space="preserve">LPG (Kg) </t>
  </si>
  <si>
    <t>LPG $/Kg</t>
  </si>
  <si>
    <t>Water Irrigation (m3) m3</t>
  </si>
  <si>
    <t>Water Irrigation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</si>
</sst>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2967668</xdr:colOff>
      <xdr:row>0</xdr:row>
      <xdr:rowOff>21306</xdr:rowOff>
    </xdr:from>
    <xdr:to>
      <xdr:col>8</xdr:col>
      <xdr:colOff>18625</xdr:colOff>
      <xdr:row>0</xdr:row>
      <xdr:rowOff>633628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0130" y="20955"/>
          <a:ext cx="3156585" cy="612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238060</xdr:colOff>
      <xdr:row>0</xdr:row>
      <xdr:rowOff>115660</xdr:rowOff>
    </xdr:from>
    <xdr:to>
      <xdr:col>8</xdr:col>
      <xdr:colOff>4259</xdr:colOff>
      <xdr:row>0</xdr:row>
      <xdr:rowOff>741589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7515" y="115570"/>
          <a:ext cx="3614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workbookViewId="0">
      <selection activeCell="G6" sqref="G6"/>
    </sheetView>
  </sheetViews>
  <sheetFormatPr defaultColWidth="11.5546875" defaultRowHeight="14.4"/>
  <cols>
    <col min="1" max="1" width="29.109375" style="42" bestFit="1" customWidth="1"/>
    <col min="2" max="3" width="11.5546875" style="37"/>
    <col min="4" max="4" width="13.44140625" style="37" customWidth="1"/>
    <col min="5" max="5" width="12.5546875" style="40" customWidth="1"/>
    <col min="6" max="6" width="12.5546875" style="39" customWidth="1"/>
    <col min="7" max="7" width="11.5546875" style="40"/>
    <col min="8" max="8" width="11.5546875" style="39"/>
    <col min="9" max="9" width="11.5546875" style="40"/>
    <col min="10" max="10" width="11.5546875" style="41"/>
    <col min="11" max="11" width="11.5546875" style="40"/>
    <col min="12" max="12" width="11.5546875" style="41"/>
    <col min="13" max="26" width="11.5546875" style="40"/>
    <col min="27" max="16384" width="11.5546875" style="43"/>
  </cols>
  <sheetData>
    <row r="1" spans="1:14" s="35" customFormat="1" ht="43.2">
      <c r="A1" s="31" t="s">
        <v>26</v>
      </c>
      <c r="B1" s="31" t="s">
        <v>27</v>
      </c>
      <c r="C1" s="31" t="s">
        <v>28</v>
      </c>
      <c r="D1" s="31" t="s">
        <v>29</v>
      </c>
      <c r="E1" s="32" t="s">
        <v>30</v>
      </c>
      <c r="F1" s="33" t="s">
        <v>31</v>
      </c>
      <c r="G1" s="32" t="s">
        <v>37</v>
      </c>
      <c r="H1" s="33" t="s">
        <v>38</v>
      </c>
      <c r="I1" s="32" t="s">
        <v>32</v>
      </c>
      <c r="J1" s="34" t="s">
        <v>33</v>
      </c>
      <c r="K1" s="32" t="s">
        <v>39</v>
      </c>
      <c r="L1" s="34" t="s">
        <v>40</v>
      </c>
      <c r="M1" s="32" t="s">
        <v>34</v>
      </c>
      <c r="N1" s="32" t="s">
        <v>35</v>
      </c>
    </row>
    <row r="2" spans="1:14">
      <c r="A2" s="36" t="s">
        <v>36</v>
      </c>
      <c r="B2" s="37">
        <v>1</v>
      </c>
      <c r="C2" s="37">
        <v>8</v>
      </c>
      <c r="D2" s="37">
        <v>2025</v>
      </c>
      <c r="E2" s="38">
        <f>IF('BAN Extension '!D6&gt;0,'BAN Extension '!D6,0)</f>
        <v>9397</v>
      </c>
      <c r="F2" s="39">
        <v>0.2</v>
      </c>
      <c r="G2" s="38"/>
      <c r="H2" s="39">
        <v>5.42</v>
      </c>
      <c r="I2" s="38">
        <f>IF('BAN - EXT- Extension '!D6+'BAN - EXT- Extension '!F6&gt;0,'BAN - EXT- Extension '!D6+'BAN - EXT- Extension '!F6,0)</f>
        <v>524</v>
      </c>
      <c r="J2" s="39">
        <v>7.84</v>
      </c>
      <c r="K2" s="38">
        <f>IF('BAN Extension '!F6&gt;0,'BAN Extension '!F6,0)</f>
        <v>164</v>
      </c>
      <c r="L2" s="39">
        <v>7.84</v>
      </c>
      <c r="M2" s="38"/>
      <c r="N2" s="38"/>
    </row>
    <row r="3" spans="1:14">
      <c r="A3" s="36" t="s">
        <v>36</v>
      </c>
      <c r="B3" s="37">
        <f>B2+1</f>
        <v>2</v>
      </c>
      <c r="C3" s="37">
        <v>8</v>
      </c>
      <c r="D3" s="37">
        <v>2025</v>
      </c>
      <c r="E3" s="38">
        <f>IF('BAN Extension '!D7&gt;0,'BAN Extension '!D7,0)</f>
        <v>9389</v>
      </c>
      <c r="F3" s="39">
        <v>0.2</v>
      </c>
      <c r="G3" s="38"/>
      <c r="H3" s="39">
        <v>5.42</v>
      </c>
      <c r="I3" s="38">
        <f>IF('BAN - EXT- Extension '!D7+'BAN - EXT- Extension '!F7&gt;0,'BAN - EXT- Extension '!D7+'BAN - EXT- Extension '!F7,0)</f>
        <v>475</v>
      </c>
      <c r="J3" s="39">
        <v>7.84</v>
      </c>
      <c r="K3" s="38">
        <f>IF('BAN Extension '!F7&gt;0,'BAN Extension '!F7,0)</f>
        <v>158</v>
      </c>
      <c r="L3" s="39">
        <v>7.84</v>
      </c>
      <c r="M3" s="38"/>
      <c r="N3" s="38"/>
    </row>
    <row r="4" spans="1:14">
      <c r="A4" s="36" t="s">
        <v>36</v>
      </c>
      <c r="B4" s="37">
        <f t="shared" ref="B4:B32" si="0">B3+1</f>
        <v>3</v>
      </c>
      <c r="C4" s="37">
        <v>8</v>
      </c>
      <c r="D4" s="37">
        <v>2025</v>
      </c>
      <c r="E4" s="38">
        <f>IF('BAN Extension '!D8&gt;0,'BAN Extension '!D8,0)</f>
        <v>8799</v>
      </c>
      <c r="F4" s="39">
        <v>0.2</v>
      </c>
      <c r="G4" s="38"/>
      <c r="H4" s="39">
        <v>5.42</v>
      </c>
      <c r="I4" s="38">
        <f>IF('BAN - EXT- Extension '!D8+'BAN - EXT- Extension '!F8&gt;0,'BAN - EXT- Extension '!D8+'BAN - EXT- Extension '!F8,0)</f>
        <v>434</v>
      </c>
      <c r="J4" s="39">
        <v>7.84</v>
      </c>
      <c r="K4" s="38">
        <f>IF('BAN Extension '!F8&gt;0,'BAN Extension '!F8,0)</f>
        <v>155</v>
      </c>
      <c r="L4" s="39">
        <v>7.84</v>
      </c>
      <c r="M4" s="38"/>
      <c r="N4" s="38"/>
    </row>
    <row r="5" spans="1:14">
      <c r="A5" s="36" t="s">
        <v>36</v>
      </c>
      <c r="B5" s="37">
        <f t="shared" si="0"/>
        <v>4</v>
      </c>
      <c r="C5" s="37">
        <v>8</v>
      </c>
      <c r="D5" s="37">
        <v>2025</v>
      </c>
      <c r="E5" s="38">
        <f>IF('BAN Extension '!D9&gt;0,'BAN Extension '!D9,0)</f>
        <v>9019</v>
      </c>
      <c r="F5" s="39">
        <v>0.2</v>
      </c>
      <c r="G5" s="38"/>
      <c r="H5" s="39">
        <v>5.42</v>
      </c>
      <c r="I5" s="38">
        <f>IF('BAN - EXT- Extension '!D9+'BAN - EXT- Extension '!F9&gt;0,'BAN - EXT- Extension '!D9+'BAN - EXT- Extension '!F9,0)</f>
        <v>478</v>
      </c>
      <c r="J5" s="39">
        <v>7.84</v>
      </c>
      <c r="K5" s="38">
        <f>IF('BAN Extension '!F9&gt;0,'BAN Extension '!F9,0)</f>
        <v>146</v>
      </c>
      <c r="L5" s="39">
        <v>7.84</v>
      </c>
      <c r="M5" s="38"/>
      <c r="N5" s="38"/>
    </row>
    <row r="6" spans="1:14">
      <c r="A6" s="36" t="s">
        <v>36</v>
      </c>
      <c r="B6" s="37">
        <f t="shared" si="0"/>
        <v>5</v>
      </c>
      <c r="C6" s="37">
        <v>8</v>
      </c>
      <c r="D6" s="37">
        <v>2025</v>
      </c>
      <c r="E6" s="38">
        <f>IF('BAN Extension '!D10&gt;0,'BAN Extension '!D10,0)</f>
        <v>8810</v>
      </c>
      <c r="F6" s="39">
        <v>0.2</v>
      </c>
      <c r="G6" s="38"/>
      <c r="H6" s="39">
        <v>5.42</v>
      </c>
      <c r="I6" s="38">
        <f>IF('BAN - EXT- Extension '!D10+'BAN - EXT- Extension '!F10&gt;0,'BAN - EXT- Extension '!D10+'BAN - EXT- Extension '!F10,0)</f>
        <v>516</v>
      </c>
      <c r="J6" s="39">
        <v>7.84</v>
      </c>
      <c r="K6" s="38">
        <f>IF('BAN Extension '!F10&gt;0,'BAN Extension '!F10,0)</f>
        <v>187</v>
      </c>
      <c r="L6" s="39">
        <v>7.84</v>
      </c>
      <c r="M6" s="38"/>
      <c r="N6" s="38"/>
    </row>
    <row r="7" spans="1:14">
      <c r="A7" s="36" t="s">
        <v>36</v>
      </c>
      <c r="B7" s="37">
        <f t="shared" si="0"/>
        <v>6</v>
      </c>
      <c r="C7" s="37">
        <v>8</v>
      </c>
      <c r="D7" s="37">
        <v>2025</v>
      </c>
      <c r="E7" s="38">
        <f>IF('BAN Extension '!D11&gt;0,'BAN Extension '!D11,0)</f>
        <v>8887</v>
      </c>
      <c r="F7" s="39">
        <v>0.2</v>
      </c>
      <c r="G7" s="38"/>
      <c r="H7" s="39">
        <v>5.42</v>
      </c>
      <c r="I7" s="38">
        <f>IF('BAN - EXT- Extension '!D11+'BAN - EXT- Extension '!F11&gt;0,'BAN - EXT- Extension '!D11+'BAN - EXT- Extension '!F11,0)</f>
        <v>562</v>
      </c>
      <c r="J7" s="39">
        <v>7.84</v>
      </c>
      <c r="K7" s="38">
        <f>IF('BAN Extension '!F11&gt;0,'BAN Extension '!F11,0)</f>
        <v>172</v>
      </c>
      <c r="L7" s="39">
        <v>7.84</v>
      </c>
      <c r="M7" s="38"/>
      <c r="N7" s="38"/>
    </row>
    <row r="8" spans="1:14">
      <c r="A8" s="36" t="s">
        <v>36</v>
      </c>
      <c r="B8" s="37">
        <f t="shared" si="0"/>
        <v>7</v>
      </c>
      <c r="C8" s="37">
        <v>8</v>
      </c>
      <c r="D8" s="37">
        <v>2025</v>
      </c>
      <c r="E8" s="38">
        <f>IF('BAN Extension '!D12&gt;0,'BAN Extension '!D12,0)</f>
        <v>8922</v>
      </c>
      <c r="F8" s="39">
        <v>0.2</v>
      </c>
      <c r="G8" s="38"/>
      <c r="H8" s="39">
        <v>5.42</v>
      </c>
      <c r="I8" s="38">
        <f>IF('BAN - EXT- Extension '!D12+'BAN - EXT- Extension '!F12&gt;0,'BAN - EXT- Extension '!D12+'BAN - EXT- Extension '!F12,0)</f>
        <v>503</v>
      </c>
      <c r="J8" s="39">
        <v>7.84</v>
      </c>
      <c r="K8" s="38">
        <f>IF('BAN Extension '!F12&gt;0,'BAN Extension '!F12,0)</f>
        <v>116</v>
      </c>
      <c r="L8" s="39">
        <v>7.84</v>
      </c>
      <c r="M8" s="38"/>
      <c r="N8" s="38"/>
    </row>
    <row r="9" spans="1:14">
      <c r="A9" s="36" t="s">
        <v>36</v>
      </c>
      <c r="B9" s="37">
        <f t="shared" si="0"/>
        <v>8</v>
      </c>
      <c r="C9" s="37">
        <v>8</v>
      </c>
      <c r="D9" s="37">
        <v>2025</v>
      </c>
      <c r="E9" s="38">
        <f>IF('BAN Extension '!D13&gt;0,'BAN Extension '!D13,0)</f>
        <v>8341</v>
      </c>
      <c r="F9" s="39">
        <v>0.2</v>
      </c>
      <c r="G9" s="38"/>
      <c r="H9" s="39">
        <v>5.42</v>
      </c>
      <c r="I9" s="38">
        <f>IF('BAN - EXT- Extension '!D13+'BAN - EXT- Extension '!F13&gt;0,'BAN - EXT- Extension '!D13+'BAN - EXT- Extension '!F13,0)</f>
        <v>662</v>
      </c>
      <c r="J9" s="39">
        <v>7.84</v>
      </c>
      <c r="K9" s="38">
        <f>IF('BAN Extension '!F13&gt;0,'BAN Extension '!F13,0)</f>
        <v>138</v>
      </c>
      <c r="L9" s="39">
        <v>7.84</v>
      </c>
      <c r="M9" s="38"/>
      <c r="N9" s="38"/>
    </row>
    <row r="10" spans="1:14">
      <c r="A10" s="36" t="s">
        <v>36</v>
      </c>
      <c r="B10" s="37">
        <f t="shared" si="0"/>
        <v>9</v>
      </c>
      <c r="C10" s="37">
        <v>8</v>
      </c>
      <c r="D10" s="37">
        <v>2025</v>
      </c>
      <c r="E10" s="38">
        <f>IF('BAN Extension '!D14&gt;0,'BAN Extension '!D14,0)</f>
        <v>8469</v>
      </c>
      <c r="F10" s="39">
        <v>0.2</v>
      </c>
      <c r="G10" s="38"/>
      <c r="H10" s="39">
        <v>5.42</v>
      </c>
      <c r="I10" s="38">
        <f>IF('BAN - EXT- Extension '!D14+'BAN - EXT- Extension '!F14&gt;0,'BAN - EXT- Extension '!D14+'BAN - EXT- Extension '!F14,0)</f>
        <v>1040</v>
      </c>
      <c r="J10" s="39">
        <v>7.84</v>
      </c>
      <c r="K10" s="38">
        <f>IF('BAN Extension '!F14&gt;0,'BAN Extension '!F14,0)</f>
        <v>90</v>
      </c>
      <c r="L10" s="39">
        <v>7.84</v>
      </c>
      <c r="M10" s="38"/>
      <c r="N10" s="38"/>
    </row>
    <row r="11" spans="1:14">
      <c r="A11" s="36" t="s">
        <v>36</v>
      </c>
      <c r="B11" s="37">
        <f t="shared" si="0"/>
        <v>10</v>
      </c>
      <c r="C11" s="37">
        <v>8</v>
      </c>
      <c r="D11" s="37">
        <v>2025</v>
      </c>
      <c r="E11" s="38">
        <f>IF('BAN Extension '!D15&gt;0,'BAN Extension '!D15,0)</f>
        <v>8322</v>
      </c>
      <c r="F11" s="39">
        <v>0.2</v>
      </c>
      <c r="G11" s="38"/>
      <c r="H11" s="39">
        <v>5.42</v>
      </c>
      <c r="I11" s="38">
        <f>IF('BAN - EXT- Extension '!D15+'BAN - EXT- Extension '!F15&gt;0,'BAN - EXT- Extension '!D15+'BAN - EXT- Extension '!F15,0)</f>
        <v>860</v>
      </c>
      <c r="J11" s="39">
        <v>7.84</v>
      </c>
      <c r="K11" s="38">
        <f>IF('BAN Extension '!F15&gt;0,'BAN Extension '!F15,0)</f>
        <v>182</v>
      </c>
      <c r="L11" s="39">
        <v>7.84</v>
      </c>
      <c r="M11" s="38"/>
      <c r="N11" s="38"/>
    </row>
    <row r="12" spans="1:14">
      <c r="A12" s="36" t="s">
        <v>36</v>
      </c>
      <c r="B12" s="37">
        <f t="shared" si="0"/>
        <v>11</v>
      </c>
      <c r="C12" s="37">
        <v>8</v>
      </c>
      <c r="D12" s="37">
        <v>2025</v>
      </c>
      <c r="E12" s="38">
        <f>IF('BAN Extension '!D16&gt;0,'BAN Extension '!D16,0)</f>
        <v>8472</v>
      </c>
      <c r="F12" s="39">
        <v>0.2</v>
      </c>
      <c r="G12" s="38"/>
      <c r="H12" s="39">
        <v>5.42</v>
      </c>
      <c r="I12" s="38">
        <f>IF('BAN - EXT- Extension '!D16+'BAN - EXT- Extension '!F16&gt;0,'BAN - EXT- Extension '!D16+'BAN - EXT- Extension '!F16,0)</f>
        <v>607</v>
      </c>
      <c r="J12" s="39">
        <v>7.84</v>
      </c>
      <c r="K12" s="38">
        <f>IF('BAN Extension '!F16&gt;0,'BAN Extension '!F16,0)</f>
        <v>160</v>
      </c>
      <c r="L12" s="39">
        <v>7.84</v>
      </c>
      <c r="M12" s="38"/>
      <c r="N12" s="38"/>
    </row>
    <row r="13" spans="1:14">
      <c r="A13" s="36" t="s">
        <v>36</v>
      </c>
      <c r="B13" s="37">
        <f t="shared" si="0"/>
        <v>12</v>
      </c>
      <c r="C13" s="37">
        <v>8</v>
      </c>
      <c r="D13" s="37">
        <v>2025</v>
      </c>
      <c r="E13" s="38">
        <f>IF('BAN Extension '!D17&gt;0,'BAN Extension '!D17,0)</f>
        <v>8690</v>
      </c>
      <c r="F13" s="39">
        <v>0.2</v>
      </c>
      <c r="G13" s="38"/>
      <c r="H13" s="39">
        <v>5.42</v>
      </c>
      <c r="I13" s="38">
        <f>IF('BAN - EXT- Extension '!D17+'BAN - EXT- Extension '!F17&gt;0,'BAN - EXT- Extension '!D17+'BAN - EXT- Extension '!F17,0)</f>
        <v>590</v>
      </c>
      <c r="J13" s="39">
        <v>7.84</v>
      </c>
      <c r="K13" s="38">
        <f>IF('BAN Extension '!F17&gt;0,'BAN Extension '!F17,0)</f>
        <v>149</v>
      </c>
      <c r="L13" s="39">
        <v>7.84</v>
      </c>
      <c r="M13" s="38"/>
      <c r="N13" s="38"/>
    </row>
    <row r="14" spans="1:14">
      <c r="A14" s="36" t="s">
        <v>36</v>
      </c>
      <c r="B14" s="37">
        <f t="shared" si="0"/>
        <v>13</v>
      </c>
      <c r="C14" s="37">
        <v>8</v>
      </c>
      <c r="D14" s="37">
        <v>2025</v>
      </c>
      <c r="E14" s="38">
        <f>IF('BAN Extension '!D18&gt;0,'BAN Extension '!D18,0)</f>
        <v>8744</v>
      </c>
      <c r="F14" s="39">
        <v>0.2</v>
      </c>
      <c r="G14" s="38"/>
      <c r="H14" s="39">
        <v>5.42</v>
      </c>
      <c r="I14" s="38">
        <f>IF('BAN - EXT- Extension '!D18+'BAN - EXT- Extension '!F18&gt;0,'BAN - EXT- Extension '!D18+'BAN - EXT- Extension '!F18,0)</f>
        <v>645</v>
      </c>
      <c r="J14" s="39">
        <v>7.84</v>
      </c>
      <c r="K14" s="38">
        <f>IF('BAN Extension '!F18&gt;0,'BAN Extension '!F18,0)</f>
        <v>138</v>
      </c>
      <c r="L14" s="39">
        <v>7.84</v>
      </c>
      <c r="M14" s="38"/>
      <c r="N14" s="38"/>
    </row>
    <row r="15" spans="1:14">
      <c r="A15" s="36" t="s">
        <v>36</v>
      </c>
      <c r="B15" s="37">
        <f t="shared" si="0"/>
        <v>14</v>
      </c>
      <c r="C15" s="37">
        <v>8</v>
      </c>
      <c r="D15" s="37">
        <v>2025</v>
      </c>
      <c r="E15" s="38">
        <f>IF('BAN Extension '!D19&gt;0,'BAN Extension '!D19,0)</f>
        <v>9102</v>
      </c>
      <c r="F15" s="39">
        <v>0.2</v>
      </c>
      <c r="G15" s="38"/>
      <c r="H15" s="39">
        <v>5.42</v>
      </c>
      <c r="I15" s="38">
        <f>IF('BAN - EXT- Extension '!D19+'BAN - EXT- Extension '!F19&gt;0,'BAN - EXT- Extension '!D19+'BAN - EXT- Extension '!F19,0)</f>
        <v>674</v>
      </c>
      <c r="J15" s="39">
        <v>7.84</v>
      </c>
      <c r="K15" s="38">
        <f>IF('BAN Extension '!F19&gt;0,'BAN Extension '!F19,0)</f>
        <v>151</v>
      </c>
      <c r="L15" s="39">
        <v>7.84</v>
      </c>
      <c r="M15" s="38"/>
      <c r="N15" s="38"/>
    </row>
    <row r="16" spans="1:14">
      <c r="A16" s="36" t="s">
        <v>36</v>
      </c>
      <c r="B16" s="37">
        <f t="shared" si="0"/>
        <v>15</v>
      </c>
      <c r="C16" s="37">
        <v>8</v>
      </c>
      <c r="D16" s="37">
        <v>2025</v>
      </c>
      <c r="E16" s="38">
        <f>IF('BAN Extension '!D20&gt;0,'BAN Extension '!D20,0)</f>
        <v>9366</v>
      </c>
      <c r="F16" s="39">
        <v>0.2</v>
      </c>
      <c r="G16" s="38"/>
      <c r="H16" s="39">
        <v>5.42</v>
      </c>
      <c r="I16" s="38">
        <f>IF('BAN - EXT- Extension '!D20+'BAN - EXT- Extension '!F20&gt;0,'BAN - EXT- Extension '!D20+'BAN - EXT- Extension '!F20,0)</f>
        <v>679</v>
      </c>
      <c r="J16" s="39">
        <v>7.84</v>
      </c>
      <c r="K16" s="38">
        <f>IF('BAN Extension '!F20&gt;0,'BAN Extension '!F20,0)</f>
        <v>138</v>
      </c>
      <c r="L16" s="39">
        <v>7.84</v>
      </c>
      <c r="M16" s="38"/>
      <c r="N16" s="38"/>
    </row>
    <row r="17" spans="1:14">
      <c r="A17" s="36" t="s">
        <v>36</v>
      </c>
      <c r="B17" s="37">
        <f t="shared" si="0"/>
        <v>16</v>
      </c>
      <c r="C17" s="37">
        <v>8</v>
      </c>
      <c r="D17" s="37">
        <v>2025</v>
      </c>
      <c r="E17" s="38">
        <f>IF('BAN Extension '!D21&gt;0,'BAN Extension '!D21,0)</f>
        <v>9075</v>
      </c>
      <c r="F17" s="39">
        <v>0.2</v>
      </c>
      <c r="G17" s="38"/>
      <c r="H17" s="39">
        <v>5.42</v>
      </c>
      <c r="I17" s="38">
        <f>IF('BAN - EXT- Extension '!D21+'BAN - EXT- Extension '!F21&gt;0,'BAN - EXT- Extension '!D21+'BAN - EXT- Extension '!F21,0)</f>
        <v>783</v>
      </c>
      <c r="J17" s="39">
        <v>7.84</v>
      </c>
      <c r="K17" s="38">
        <f>IF('BAN Extension '!F21&gt;0,'BAN Extension '!F21,0)</f>
        <v>150</v>
      </c>
      <c r="L17" s="39">
        <v>7.84</v>
      </c>
      <c r="M17" s="38"/>
      <c r="N17" s="38"/>
    </row>
    <row r="18" spans="1:14">
      <c r="A18" s="36" t="s">
        <v>36</v>
      </c>
      <c r="B18" s="37">
        <f t="shared" si="0"/>
        <v>17</v>
      </c>
      <c r="C18" s="37">
        <v>8</v>
      </c>
      <c r="D18" s="37">
        <v>2025</v>
      </c>
      <c r="E18" s="38">
        <f>IF('BAN Extension '!D22&gt;0,'BAN Extension '!D22,0)</f>
        <v>9040</v>
      </c>
      <c r="F18" s="39">
        <v>0.2</v>
      </c>
      <c r="G18" s="38"/>
      <c r="H18" s="39">
        <v>5.42</v>
      </c>
      <c r="I18" s="38">
        <f>IF('BAN - EXT- Extension '!D22+'BAN - EXT- Extension '!F22&gt;0,'BAN - EXT- Extension '!D22+'BAN - EXT- Extension '!F22,0)</f>
        <v>568</v>
      </c>
      <c r="J18" s="39">
        <v>7.84</v>
      </c>
      <c r="K18" s="38">
        <f>IF('BAN Extension '!F22&gt;0,'BAN Extension '!F22,0)</f>
        <v>181</v>
      </c>
      <c r="L18" s="39">
        <v>7.84</v>
      </c>
      <c r="M18" s="38"/>
      <c r="N18" s="38"/>
    </row>
    <row r="19" spans="1:14">
      <c r="A19" s="36" t="s">
        <v>36</v>
      </c>
      <c r="B19" s="37">
        <f t="shared" si="0"/>
        <v>18</v>
      </c>
      <c r="C19" s="37">
        <v>8</v>
      </c>
      <c r="D19" s="37">
        <v>2025</v>
      </c>
      <c r="E19" s="38">
        <f>IF('BAN Extension '!D23&gt;0,'BAN Extension '!D23,0)</f>
        <v>8739</v>
      </c>
      <c r="F19" s="39">
        <v>0.2</v>
      </c>
      <c r="G19" s="38"/>
      <c r="H19" s="39">
        <v>5.42</v>
      </c>
      <c r="I19" s="38">
        <f>IF('BAN - EXT- Extension '!D23+'BAN - EXT- Extension '!F23&gt;0,'BAN - EXT- Extension '!D23+'BAN - EXT- Extension '!F23,0)</f>
        <v>735</v>
      </c>
      <c r="J19" s="39">
        <v>7.84</v>
      </c>
      <c r="K19" s="38">
        <f>IF('BAN Extension '!F23&gt;0,'BAN Extension '!F23,0)</f>
        <v>136</v>
      </c>
      <c r="L19" s="39">
        <v>7.84</v>
      </c>
      <c r="M19" s="38"/>
      <c r="N19" s="38"/>
    </row>
    <row r="20" spans="1:14">
      <c r="A20" s="36" t="s">
        <v>36</v>
      </c>
      <c r="B20" s="37">
        <f t="shared" si="0"/>
        <v>19</v>
      </c>
      <c r="C20" s="37">
        <v>8</v>
      </c>
      <c r="D20" s="37">
        <v>2025</v>
      </c>
      <c r="E20" s="38">
        <f>IF('BAN Extension '!D24&gt;0,'BAN Extension '!D24,0)</f>
        <v>8813</v>
      </c>
      <c r="F20" s="39">
        <v>0.2</v>
      </c>
      <c r="G20" s="38"/>
      <c r="H20" s="39">
        <v>5.42</v>
      </c>
      <c r="I20" s="38">
        <f>IF('BAN - EXT- Extension '!D24+'BAN - EXT- Extension '!F24&gt;0,'BAN - EXT- Extension '!D24+'BAN - EXT- Extension '!F24,0)</f>
        <v>638</v>
      </c>
      <c r="J20" s="39">
        <v>7.84</v>
      </c>
      <c r="K20" s="38">
        <f>IF('BAN Extension '!F24&gt;0,'BAN Extension '!F24,0)</f>
        <v>150</v>
      </c>
      <c r="L20" s="39">
        <v>7.84</v>
      </c>
      <c r="M20" s="38"/>
      <c r="N20" s="38"/>
    </row>
    <row r="21" spans="1:14">
      <c r="A21" s="36" t="s">
        <v>36</v>
      </c>
      <c r="B21" s="37">
        <f t="shared" si="0"/>
        <v>20</v>
      </c>
      <c r="C21" s="37">
        <v>8</v>
      </c>
      <c r="D21" s="37">
        <v>2025</v>
      </c>
      <c r="E21" s="38">
        <f>IF('BAN Extension '!D25&gt;0,'BAN Extension '!D25,0)</f>
        <v>8396</v>
      </c>
      <c r="F21" s="39">
        <v>0.2</v>
      </c>
      <c r="G21" s="38"/>
      <c r="H21" s="39">
        <v>5.42</v>
      </c>
      <c r="I21" s="38">
        <f>IF('BAN - EXT- Extension '!D25+'BAN - EXT- Extension '!F25&gt;0,'BAN - EXT- Extension '!D25+'BAN - EXT- Extension '!F25,0)</f>
        <v>538</v>
      </c>
      <c r="J21" s="39">
        <v>7.84</v>
      </c>
      <c r="K21" s="38">
        <f>IF('BAN Extension '!F25&gt;0,'BAN Extension '!F25,0)</f>
        <v>183</v>
      </c>
      <c r="L21" s="39">
        <v>7.84</v>
      </c>
      <c r="M21" s="38"/>
      <c r="N21" s="38"/>
    </row>
    <row r="22" spans="1:14">
      <c r="A22" s="36" t="s">
        <v>36</v>
      </c>
      <c r="B22" s="37">
        <f t="shared" si="0"/>
        <v>21</v>
      </c>
      <c r="C22" s="37">
        <v>8</v>
      </c>
      <c r="D22" s="37">
        <v>2025</v>
      </c>
      <c r="E22" s="38">
        <f>IF('BAN Extension '!D26&gt;0,'BAN Extension '!D26,0)</f>
        <v>10</v>
      </c>
      <c r="F22" s="39">
        <v>0.2</v>
      </c>
      <c r="G22" s="38"/>
      <c r="H22" s="39">
        <v>5.42</v>
      </c>
      <c r="I22" s="38">
        <f>IF('BAN - EXT- Extension '!D26+'BAN - EXT- Extension '!F26&gt;0,'BAN - EXT- Extension '!D26+'BAN - EXT- Extension '!F26,0)</f>
        <v>479</v>
      </c>
      <c r="J22" s="39">
        <v>7.84</v>
      </c>
      <c r="K22" s="38">
        <f>IF('BAN Extension '!F26&gt;0,'BAN Extension '!F26,0)</f>
        <v>44</v>
      </c>
      <c r="L22" s="39">
        <v>7.84</v>
      </c>
      <c r="M22" s="38"/>
      <c r="N22" s="38"/>
    </row>
    <row r="23" spans="1:14">
      <c r="A23" s="36" t="s">
        <v>36</v>
      </c>
      <c r="B23" s="37">
        <f t="shared" si="0"/>
        <v>22</v>
      </c>
      <c r="C23" s="37">
        <v>8</v>
      </c>
      <c r="D23" s="37">
        <v>2025</v>
      </c>
      <c r="E23" s="38">
        <f>IF('BAN Extension '!D27&gt;0,'BAN Extension '!D27,0)</f>
        <v>18258</v>
      </c>
      <c r="F23" s="39">
        <v>0.2</v>
      </c>
      <c r="G23" s="38"/>
      <c r="H23" s="39">
        <v>5.42</v>
      </c>
      <c r="I23" s="38">
        <f>IF('BAN - EXT- Extension '!D27+'BAN - EXT- Extension '!F27&gt;0,'BAN - EXT- Extension '!D27+'BAN - EXT- Extension '!F27,0)</f>
        <v>564</v>
      </c>
      <c r="J23" s="39">
        <v>7.84</v>
      </c>
      <c r="K23" s="38">
        <f>IF('BAN Extension '!F27&gt;0,'BAN Extension '!F27,0)</f>
        <v>218</v>
      </c>
      <c r="L23" s="39">
        <v>7.84</v>
      </c>
      <c r="M23" s="38"/>
      <c r="N23" s="38"/>
    </row>
    <row r="24" spans="1:14">
      <c r="A24" s="36" t="s">
        <v>36</v>
      </c>
      <c r="B24" s="37">
        <f t="shared" si="0"/>
        <v>23</v>
      </c>
      <c r="C24" s="37">
        <v>8</v>
      </c>
      <c r="D24" s="37">
        <v>2025</v>
      </c>
      <c r="E24" s="38">
        <f>IF('BAN Extension '!D28&gt;0,'BAN Extension '!D28,0)</f>
        <v>15179</v>
      </c>
      <c r="F24" s="39">
        <v>0.2</v>
      </c>
      <c r="G24" s="38"/>
      <c r="H24" s="39">
        <v>5.42</v>
      </c>
      <c r="I24" s="38">
        <f>IF('BAN - EXT- Extension '!D28+'BAN - EXT- Extension '!F28&gt;0,'BAN - EXT- Extension '!D28+'BAN - EXT- Extension '!F28,0)</f>
        <v>467</v>
      </c>
      <c r="J24" s="39">
        <v>7.84</v>
      </c>
      <c r="K24" s="38">
        <f>IF('BAN Extension '!F28&gt;0,'BAN Extension '!F28,0)</f>
        <v>9</v>
      </c>
      <c r="L24" s="39">
        <v>7.84</v>
      </c>
      <c r="M24" s="38"/>
      <c r="N24" s="38"/>
    </row>
    <row r="25" spans="1:14">
      <c r="A25" s="36" t="s">
        <v>36</v>
      </c>
      <c r="B25" s="37">
        <f t="shared" si="0"/>
        <v>24</v>
      </c>
      <c r="C25" s="37">
        <v>8</v>
      </c>
      <c r="D25" s="37">
        <v>2025</v>
      </c>
      <c r="E25" s="38">
        <f>IF('BAN Extension '!D29&gt;0,'BAN Extension '!D29,0)</f>
        <v>1073</v>
      </c>
      <c r="F25" s="39">
        <v>0.2</v>
      </c>
      <c r="G25" s="38"/>
      <c r="H25" s="39">
        <v>5.42</v>
      </c>
      <c r="I25" s="38">
        <f>IF('BAN - EXT- Extension '!D29+'BAN - EXT- Extension '!F29&gt;0,'BAN - EXT- Extension '!D29+'BAN - EXT- Extension '!F29,0)</f>
        <v>587</v>
      </c>
      <c r="J25" s="39">
        <v>7.84</v>
      </c>
      <c r="K25" s="38">
        <f>IF('BAN Extension '!F29&gt;0,'BAN Extension '!F29,0)</f>
        <v>300</v>
      </c>
      <c r="L25" s="39">
        <v>7.84</v>
      </c>
      <c r="M25" s="38"/>
      <c r="N25" s="38"/>
    </row>
    <row r="26" spans="1:14">
      <c r="A26" s="36" t="s">
        <v>36</v>
      </c>
      <c r="B26" s="37">
        <f>B25+1</f>
        <v>25</v>
      </c>
      <c r="C26" s="37">
        <v>8</v>
      </c>
      <c r="D26" s="37">
        <v>2025</v>
      </c>
      <c r="E26" s="38">
        <f>IF('BAN Extension '!D30&gt;0,'BAN Extension '!D30,0)</f>
        <v>7846</v>
      </c>
      <c r="F26" s="39">
        <v>0.2</v>
      </c>
      <c r="G26" s="38"/>
      <c r="H26" s="39">
        <v>5.42</v>
      </c>
      <c r="I26" s="38">
        <f>IF('BAN - EXT- Extension '!D30+'BAN - EXT- Extension '!F30&gt;0,'BAN - EXT- Extension '!D30+'BAN - EXT- Extension '!F30,0)</f>
        <v>424</v>
      </c>
      <c r="J26" s="39">
        <v>7.84</v>
      </c>
      <c r="K26" s="38">
        <f>IF('BAN Extension '!F30&gt;0,'BAN Extension '!F30,0)</f>
        <v>144</v>
      </c>
      <c r="L26" s="39">
        <v>7.84</v>
      </c>
      <c r="M26" s="38"/>
      <c r="N26" s="38"/>
    </row>
    <row r="27" spans="1:14">
      <c r="A27" s="36" t="s">
        <v>36</v>
      </c>
      <c r="B27" s="37">
        <f t="shared" si="0"/>
        <v>26</v>
      </c>
      <c r="C27" s="37">
        <v>8</v>
      </c>
      <c r="D27" s="37">
        <v>2025</v>
      </c>
      <c r="E27" s="38">
        <f>IF('BAN Extension '!D31&gt;0,'BAN Extension '!D31,0)</f>
        <v>8723</v>
      </c>
      <c r="F27" s="39">
        <v>0.2</v>
      </c>
      <c r="G27" s="38"/>
      <c r="H27" s="39">
        <v>5.42</v>
      </c>
      <c r="I27" s="38">
        <f>IF('BAN - EXT- Extension '!D31+'BAN - EXT- Extension '!F31&gt;0,'BAN - EXT- Extension '!D31+'BAN - EXT- Extension '!F31,0)</f>
        <v>525</v>
      </c>
      <c r="J27" s="39">
        <v>7.84</v>
      </c>
      <c r="K27" s="38">
        <f>IF('BAN Extension '!F31&gt;0,'BAN Extension '!F31,0)</f>
        <v>196</v>
      </c>
      <c r="L27" s="39">
        <v>7.84</v>
      </c>
      <c r="M27" s="38"/>
      <c r="N27" s="38"/>
    </row>
    <row r="28" spans="1:14">
      <c r="A28" s="36" t="s">
        <v>36</v>
      </c>
      <c r="B28" s="37">
        <f t="shared" si="0"/>
        <v>27</v>
      </c>
      <c r="C28" s="37">
        <v>8</v>
      </c>
      <c r="D28" s="37">
        <v>2025</v>
      </c>
      <c r="E28" s="38">
        <f>IF('BAN Extension '!D32&gt;0,'BAN Extension '!D32,0)</f>
        <v>8580</v>
      </c>
      <c r="F28" s="39">
        <v>0.2</v>
      </c>
      <c r="G28" s="38"/>
      <c r="H28" s="39">
        <v>5.42</v>
      </c>
      <c r="I28" s="38">
        <f>IF('BAN - EXT- Extension '!D32+'BAN - EXT- Extension '!F32&gt;0,'BAN - EXT- Extension '!D32+'BAN - EXT- Extension '!F32,0)</f>
        <v>527</v>
      </c>
      <c r="J28" s="39">
        <v>7.84</v>
      </c>
      <c r="K28" s="38">
        <f>IF('BAN Extension '!F32&gt;0,'BAN Extension '!F32,0)</f>
        <v>169</v>
      </c>
      <c r="L28" s="39">
        <v>7.84</v>
      </c>
      <c r="M28" s="38"/>
      <c r="N28" s="38"/>
    </row>
    <row r="29" spans="1:14">
      <c r="A29" s="36" t="s">
        <v>36</v>
      </c>
      <c r="B29" s="37">
        <f t="shared" si="0"/>
        <v>28</v>
      </c>
      <c r="C29" s="37">
        <v>8</v>
      </c>
      <c r="D29" s="37">
        <v>2025</v>
      </c>
      <c r="E29" s="38">
        <f>IF('BAN Extension '!D33&gt;0,'BAN Extension '!D33,0)</f>
        <v>9170</v>
      </c>
      <c r="F29" s="39">
        <v>0.2</v>
      </c>
      <c r="G29" s="38"/>
      <c r="H29" s="39">
        <v>5.42</v>
      </c>
      <c r="I29" s="38">
        <f>IF('BAN - EXT- Extension '!D33+'BAN - EXT- Extension '!F33&gt;0,'BAN - EXT- Extension '!D33+'BAN - EXT- Extension '!F33,0)</f>
        <v>604</v>
      </c>
      <c r="J29" s="39">
        <v>7.84</v>
      </c>
      <c r="K29" s="38">
        <f>IF('BAN Extension '!F33&gt;0,'BAN Extension '!F33,0)</f>
        <v>141</v>
      </c>
      <c r="L29" s="39">
        <v>7.84</v>
      </c>
      <c r="M29" s="38"/>
      <c r="N29" s="38"/>
    </row>
    <row r="30" spans="1:14">
      <c r="A30" s="36" t="s">
        <v>36</v>
      </c>
      <c r="B30" s="37">
        <f t="shared" si="0"/>
        <v>29</v>
      </c>
      <c r="C30" s="37">
        <v>8</v>
      </c>
      <c r="D30" s="37">
        <v>2025</v>
      </c>
      <c r="E30" s="38">
        <f>IF('BAN Extension '!D34&gt;0,'BAN Extension '!D34,0)</f>
        <v>8961</v>
      </c>
      <c r="F30" s="39">
        <v>0.2</v>
      </c>
      <c r="G30" s="38"/>
      <c r="H30" s="39">
        <v>5.42</v>
      </c>
      <c r="I30" s="38">
        <f>IF('BAN - EXT- Extension '!D34+'BAN - EXT- Extension '!F34&gt;0,'BAN - EXT- Extension '!D34+'BAN - EXT- Extension '!F34,0)</f>
        <v>544</v>
      </c>
      <c r="J30" s="39">
        <v>7.84</v>
      </c>
      <c r="K30" s="38">
        <f>IF('BAN Extension '!F34&gt;0,'BAN Extension '!F34,0)</f>
        <v>150</v>
      </c>
      <c r="L30" s="39">
        <v>7.84</v>
      </c>
      <c r="M30" s="38"/>
      <c r="N30" s="38"/>
    </row>
    <row r="31" spans="1:14">
      <c r="A31" s="36" t="s">
        <v>36</v>
      </c>
      <c r="B31" s="37">
        <f t="shared" si="0"/>
        <v>30</v>
      </c>
      <c r="C31" s="37">
        <v>8</v>
      </c>
      <c r="D31" s="37">
        <v>2025</v>
      </c>
      <c r="E31" s="38">
        <f>IF('BAN Extension '!D35&gt;0,'BAN Extension '!D35,0)</f>
        <v>9168</v>
      </c>
      <c r="F31" s="39">
        <v>0.2</v>
      </c>
      <c r="G31" s="38"/>
      <c r="H31" s="39">
        <v>5.42</v>
      </c>
      <c r="I31" s="38">
        <f>IF('BAN - EXT- Extension '!D35+'BAN - EXT- Extension '!F35&gt;0,'BAN - EXT- Extension '!D35+'BAN - EXT- Extension '!F35,0)</f>
        <v>438</v>
      </c>
      <c r="J31" s="39">
        <v>7.84</v>
      </c>
      <c r="K31" s="38">
        <f>IF('BAN Extension '!F35&gt;0,'BAN Extension '!F35,0)</f>
        <v>108</v>
      </c>
      <c r="L31" s="39">
        <v>7.84</v>
      </c>
      <c r="M31" s="38"/>
      <c r="N31" s="38"/>
    </row>
    <row r="32" spans="1:14">
      <c r="A32" s="36" t="s">
        <v>36</v>
      </c>
      <c r="B32" s="37">
        <f t="shared" si="0"/>
        <v>31</v>
      </c>
      <c r="C32" s="37">
        <v>8</v>
      </c>
      <c r="D32" s="37">
        <v>2025</v>
      </c>
      <c r="E32" s="38">
        <f>IF('BAN Extension '!D36&gt;0,'BAN Extension '!D36,0)</f>
        <v>0</v>
      </c>
      <c r="F32" s="39">
        <v>0.2</v>
      </c>
      <c r="G32" s="38"/>
      <c r="H32" s="39">
        <v>5.42</v>
      </c>
      <c r="I32" s="38">
        <f>IF('BAN - EXT- Extension '!D36+'BAN - EXT- Extension '!F36&gt;0,'BAN - EXT- Extension '!D36+'BAN - EXT- Extension '!F36,0)</f>
        <v>0</v>
      </c>
      <c r="J32" s="39">
        <v>7.84</v>
      </c>
      <c r="K32" s="38">
        <f>IF('BAN Extension '!F36&gt;0,'BAN Extension '!F36,0)</f>
        <v>0</v>
      </c>
      <c r="L32" s="39">
        <v>7.84</v>
      </c>
      <c r="M32" s="38"/>
      <c r="N32" s="38"/>
    </row>
    <row r="33" spans="7:9">
      <c r="G33" s="38"/>
      <c r="I3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5546875" style="1" customWidth="1"/>
    <col min="7" max="7" width="46.44140625" style="1" customWidth="1"/>
    <col min="8" max="8" width="45.109375" style="1" customWidth="1"/>
  </cols>
  <sheetData>
    <row r="1" spans="1:8" ht="57.7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 ht="22.5" customHeight="1">
      <c r="A2" s="2" t="s">
        <v>1</v>
      </c>
      <c r="B2" s="2" t="s">
        <v>2</v>
      </c>
      <c r="C2" s="2" t="s">
        <v>3</v>
      </c>
      <c r="D2" s="2"/>
      <c r="E2" s="2" t="s">
        <v>3</v>
      </c>
      <c r="F2" s="2"/>
      <c r="G2" s="24" t="s">
        <v>4</v>
      </c>
      <c r="H2" s="24" t="s">
        <v>5</v>
      </c>
    </row>
    <row r="3" spans="1:8" ht="22.5" customHeight="1">
      <c r="A3" s="2" t="s">
        <v>6</v>
      </c>
      <c r="B3" s="2"/>
      <c r="C3" s="2" t="s">
        <v>7</v>
      </c>
      <c r="D3" s="2"/>
      <c r="E3" s="2" t="s">
        <v>8</v>
      </c>
      <c r="F3" s="2"/>
      <c r="G3" s="26"/>
      <c r="H3" s="26"/>
    </row>
    <row r="4" spans="1:8" ht="22.5" customHeight="1">
      <c r="A4" s="24" t="s">
        <v>9</v>
      </c>
      <c r="B4" s="5"/>
      <c r="C4" s="2" t="s">
        <v>10</v>
      </c>
      <c r="D4" s="2" t="s">
        <v>11</v>
      </c>
      <c r="E4" s="2" t="s">
        <v>12</v>
      </c>
      <c r="F4" s="2" t="s">
        <v>11</v>
      </c>
      <c r="G4" s="26"/>
      <c r="H4" s="26"/>
    </row>
    <row r="5" spans="1:8" ht="22.5" customHeight="1">
      <c r="A5" s="25"/>
      <c r="B5" s="6"/>
      <c r="C5" s="5" t="s">
        <v>13</v>
      </c>
      <c r="D5" s="5" t="s">
        <v>13</v>
      </c>
      <c r="E5" s="14" t="s">
        <v>13</v>
      </c>
      <c r="F5" s="5" t="s">
        <v>13</v>
      </c>
      <c r="G5" s="25"/>
      <c r="H5" s="25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14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36" sqref="D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23"/>
      <c r="D1" s="23"/>
      <c r="E1" s="23"/>
      <c r="F1" s="23"/>
      <c r="G1" s="23"/>
      <c r="H1" s="23"/>
      <c r="K1" s="13"/>
    </row>
    <row r="2" spans="1:11" s="1" customFormat="1" ht="54.75" customHeight="1">
      <c r="A2" s="2" t="s">
        <v>1</v>
      </c>
      <c r="B2" s="2" t="s">
        <v>2</v>
      </c>
      <c r="C2" s="3" t="s">
        <v>15</v>
      </c>
      <c r="D2" s="27" t="s">
        <v>16</v>
      </c>
      <c r="E2" s="3" t="s">
        <v>17</v>
      </c>
      <c r="F2" s="27" t="s">
        <v>18</v>
      </c>
      <c r="G2" s="28" t="s">
        <v>19</v>
      </c>
      <c r="H2" s="28" t="s">
        <v>5</v>
      </c>
    </row>
    <row r="3" spans="1:11" ht="24.9" customHeight="1">
      <c r="A3" s="2" t="s">
        <v>20</v>
      </c>
      <c r="B3" s="2"/>
      <c r="C3" s="3" t="s">
        <v>21</v>
      </c>
      <c r="D3" s="27"/>
      <c r="E3" s="3"/>
      <c r="F3" s="27"/>
      <c r="G3" s="29"/>
      <c r="H3" s="29" t="s">
        <v>5</v>
      </c>
    </row>
    <row r="4" spans="1:11" ht="46.5" customHeight="1">
      <c r="A4" s="24" t="s">
        <v>9</v>
      </c>
      <c r="B4" s="5"/>
      <c r="C4" s="3" t="s">
        <v>22</v>
      </c>
      <c r="D4" s="27"/>
      <c r="E4" s="4" t="s">
        <v>23</v>
      </c>
      <c r="F4" s="27"/>
      <c r="G4" s="29"/>
      <c r="H4" s="29"/>
    </row>
    <row r="5" spans="1:11" ht="24.9" customHeight="1">
      <c r="A5" s="25"/>
      <c r="B5" s="6"/>
      <c r="C5" s="7" t="s">
        <v>24</v>
      </c>
      <c r="D5" s="7" t="s">
        <v>24</v>
      </c>
      <c r="E5" s="7" t="s">
        <v>25</v>
      </c>
      <c r="F5" s="7" t="s">
        <v>25</v>
      </c>
      <c r="G5" s="30"/>
      <c r="H5" s="30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2025-06-12T01:59:00Z</cp:lastPrinted>
  <dcterms:created xsi:type="dcterms:W3CDTF">2018-12-27T05:07:00Z</dcterms:created>
  <dcterms:modified xsi:type="dcterms:W3CDTF">2025-10-20T16:04:43Z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