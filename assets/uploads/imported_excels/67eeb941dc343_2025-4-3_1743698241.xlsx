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Y:\Admin\UTILITY\HEP 2025\CAMAD\"/>
    </mc:Choice>
  </mc:AlternateContent>
  <xr:revisionPtr revIDLastSave="0" documentId="13_ncr:1_{D71CED53-BCEE-447F-90F8-6E4D3A4F60B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Total" sheetId="2" r:id="rId1"/>
    <sheet name="Consum." sheetId="1" r:id="rId2"/>
  </sheets>
  <definedNames>
    <definedName name="_xlnm.Print_Area" localSheetId="1">'Consum.'!$L$36:$L$37</definedName>
  </definedNames>
  <calcPr calcId="191029" calcOnSave="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J35" i="1"/>
  <c r="F35" i="1"/>
  <c r="J34" i="1"/>
  <c r="F34" i="1"/>
  <c r="J33" i="1"/>
  <c r="F33" i="1"/>
  <c r="C33" i="1"/>
  <c r="J32" i="1"/>
  <c r="F32" i="1"/>
  <c r="C32" i="1"/>
  <c r="J31" i="1"/>
  <c r="K31" i="1" s="1"/>
  <c r="I25" i="2" s="1"/>
  <c r="F31" i="1"/>
  <c r="C31" i="1"/>
  <c r="J30" i="1"/>
  <c r="F30" i="1"/>
  <c r="C30" i="1"/>
  <c r="J29" i="1"/>
  <c r="F29" i="1"/>
  <c r="C29" i="1"/>
  <c r="J28" i="1"/>
  <c r="F28" i="1"/>
  <c r="C28" i="1"/>
  <c r="J27" i="1"/>
  <c r="K27" i="1" s="1"/>
  <c r="I21" i="2" s="1"/>
  <c r="F27" i="1"/>
  <c r="C27" i="1"/>
  <c r="J26" i="1"/>
  <c r="F26" i="1"/>
  <c r="C26" i="1"/>
  <c r="J25" i="1"/>
  <c r="F25" i="1"/>
  <c r="C25" i="1"/>
  <c r="J24" i="1"/>
  <c r="F24" i="1"/>
  <c r="C24" i="1"/>
  <c r="J23" i="1"/>
  <c r="K23" i="1" s="1"/>
  <c r="I17" i="2" s="1"/>
  <c r="F23" i="1"/>
  <c r="C23" i="1"/>
  <c r="J22" i="1"/>
  <c r="F22" i="1"/>
  <c r="C22" i="1"/>
  <c r="J21" i="1"/>
  <c r="F21" i="1"/>
  <c r="C21" i="1"/>
  <c r="J20" i="1"/>
  <c r="F20" i="1"/>
  <c r="C20" i="1"/>
  <c r="J19" i="1"/>
  <c r="K19" i="1" s="1"/>
  <c r="I13" i="2" s="1"/>
  <c r="F19" i="1"/>
  <c r="C19" i="1"/>
  <c r="J18" i="1"/>
  <c r="F18" i="1"/>
  <c r="C18" i="1"/>
  <c r="J17" i="1"/>
  <c r="F17" i="1"/>
  <c r="C17" i="1"/>
  <c r="J16" i="1"/>
  <c r="F16" i="1"/>
  <c r="C16" i="1"/>
  <c r="J15" i="1"/>
  <c r="K15" i="1" s="1"/>
  <c r="I9" i="2" s="1"/>
  <c r="F15" i="1"/>
  <c r="C15" i="1"/>
  <c r="J14" i="1"/>
  <c r="F14" i="1"/>
  <c r="C14" i="1"/>
  <c r="J13" i="1"/>
  <c r="F13" i="1"/>
  <c r="C13" i="1"/>
  <c r="J12" i="1"/>
  <c r="F12" i="1"/>
  <c r="C12" i="1"/>
  <c r="J11" i="1"/>
  <c r="K11" i="1" s="1"/>
  <c r="I5" i="2" s="1"/>
  <c r="F11" i="1"/>
  <c r="C11" i="1"/>
  <c r="J10" i="1"/>
  <c r="F10" i="1"/>
  <c r="C10" i="1"/>
  <c r="J9" i="1"/>
  <c r="F9" i="1"/>
  <c r="C9" i="1"/>
  <c r="J8" i="1"/>
  <c r="F8" i="1"/>
  <c r="C8" i="1"/>
  <c r="J7" i="1"/>
  <c r="K7" i="1" s="1"/>
  <c r="F7" i="1"/>
  <c r="G7" i="1" s="1"/>
  <c r="K34" i="1" l="1"/>
  <c r="I28" i="2" s="1"/>
  <c r="G9" i="1"/>
  <c r="G13" i="1"/>
  <c r="G17" i="1"/>
  <c r="G21" i="1"/>
  <c r="G25" i="1"/>
  <c r="G29" i="1"/>
  <c r="G33" i="1"/>
  <c r="K35" i="1"/>
  <c r="I29" i="2" s="1"/>
  <c r="G16" i="1"/>
  <c r="G28" i="1"/>
  <c r="G8" i="1"/>
  <c r="E2" i="2" s="1"/>
  <c r="K10" i="1"/>
  <c r="I4" i="2" s="1"/>
  <c r="K14" i="1"/>
  <c r="I8" i="2" s="1"/>
  <c r="K18" i="1"/>
  <c r="I12" i="2" s="1"/>
  <c r="K22" i="1"/>
  <c r="I16" i="2" s="1"/>
  <c r="K26" i="1"/>
  <c r="I20" i="2" s="1"/>
  <c r="K30" i="1"/>
  <c r="I24" i="2" s="1"/>
  <c r="K33" i="1"/>
  <c r="I27" i="2" s="1"/>
  <c r="G11" i="1"/>
  <c r="G19" i="1"/>
  <c r="G23" i="1"/>
  <c r="G31" i="1"/>
  <c r="G35" i="1"/>
  <c r="G12" i="1"/>
  <c r="G20" i="1"/>
  <c r="G24" i="1"/>
  <c r="G32" i="1"/>
  <c r="K9" i="1"/>
  <c r="I3" i="2" s="1"/>
  <c r="K13" i="1"/>
  <c r="I7" i="2" s="1"/>
  <c r="G15" i="1"/>
  <c r="K17" i="1"/>
  <c r="I11" i="2" s="1"/>
  <c r="K21" i="1"/>
  <c r="I15" i="2" s="1"/>
  <c r="K25" i="1"/>
  <c r="I19" i="2" s="1"/>
  <c r="G27" i="1"/>
  <c r="K29" i="1"/>
  <c r="I23" i="2" s="1"/>
  <c r="G34" i="1"/>
  <c r="K12" i="1"/>
  <c r="I6" i="2" s="1"/>
  <c r="G14" i="1"/>
  <c r="K16" i="1"/>
  <c r="I10" i="2" s="1"/>
  <c r="G18" i="1"/>
  <c r="K20" i="1"/>
  <c r="I14" i="2" s="1"/>
  <c r="G22" i="1"/>
  <c r="K24" i="1"/>
  <c r="I18" i="2" s="1"/>
  <c r="G26" i="1"/>
  <c r="K28" i="1"/>
  <c r="I22" i="2" s="1"/>
  <c r="G30" i="1"/>
  <c r="K32" i="1"/>
  <c r="I26" i="2" s="1"/>
  <c r="G10" i="1"/>
  <c r="E23" i="2" l="1"/>
  <c r="E22" i="2"/>
  <c r="E10" i="2"/>
  <c r="E11" i="2"/>
  <c r="E14" i="2"/>
  <c r="E15" i="2"/>
  <c r="E4" i="2"/>
  <c r="E5" i="2"/>
  <c r="E20" i="2"/>
  <c r="E21" i="2"/>
  <c r="E28" i="2"/>
  <c r="E29" i="2"/>
  <c r="E7" i="2"/>
  <c r="E6" i="2"/>
  <c r="E26" i="2"/>
  <c r="E27" i="2"/>
  <c r="E12" i="2"/>
  <c r="E13" i="2"/>
  <c r="E24" i="2"/>
  <c r="E25" i="2"/>
  <c r="E16" i="2"/>
  <c r="E17" i="2"/>
  <c r="E8" i="2"/>
  <c r="E9" i="2"/>
  <c r="E18" i="2"/>
  <c r="E19" i="2"/>
  <c r="E3" i="2" l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</calcChain>
</file>

<file path=xl/sharedStrings.xml><?xml version="1.0" encoding="utf-8"?>
<sst xmlns="http://schemas.openxmlformats.org/spreadsheetml/2006/main" count="65" uniqueCount="31">
  <si>
    <t>Date</t>
  </si>
  <si>
    <t>Occupancy</t>
  </si>
  <si>
    <t>Total</t>
  </si>
  <si>
    <t>Electricity   (KW)</t>
  </si>
  <si>
    <t>Lit</t>
  </si>
  <si>
    <t>L.P.G</t>
  </si>
  <si>
    <t>Refill</t>
  </si>
  <si>
    <t>ALT 11D100053</t>
  </si>
  <si>
    <t>Consum</t>
  </si>
  <si>
    <t>4010D610084</t>
  </si>
  <si>
    <t>4010D610038</t>
  </si>
  <si>
    <t>Water     (M³)</t>
  </si>
  <si>
    <t>%</t>
  </si>
  <si>
    <t>Room</t>
  </si>
  <si>
    <t>ALT 11D100051</t>
  </si>
  <si>
    <t>CENTRO AL MANHAL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</si>
  <si>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</si>
  <si>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</si>
  <si>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</si>
  <si>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</si>
  <si>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</si>
  <si>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</si>
  <si>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</si>
  <si>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</si>
  <si>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</si>
  <si>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</si>
  <si>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</si>
  <si>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</si>
  <si>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Centro Al Manhal</t>
  </si>
  <si>
    <t xml:space="preserve">Month :  Feb -2025          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</si>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</sst>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1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Univers"/>
      <family val="2"/>
    </font>
    <font>
      <sz val="10"/>
      <color rgb="FFFF0000"/>
      <name val="Calibri"/>
      <family val="2"/>
      <scheme val="minor"/>
    </font>
    <font>
      <sz val="24"/>
      <color theme="1"/>
      <name val="RotanaBold"/>
      <family val="1"/>
    </font>
    <font>
      <i/>
      <sz val="11"/>
      <color theme="0"/>
      <name val="Calibri"/>
      <family val="2"/>
      <scheme val="minor"/>
    </font>
    <font>
      <b/>
      <sz val="16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4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10" fillId="0" borderId="0" xfId="1" applyFont="1" applyAlignment="1">
      <alignment horizontal="center" vertical="center"/>
    </xf>
    <xf numFmtId="0" fontId="12" fillId="0" borderId="0" xfId="1" applyFont="1" applyAlignment="1">
      <alignment horizontal="center"/>
    </xf>
    <xf numFmtId="0" fontId="10" fillId="0" borderId="0" xfId="1" applyFont="1" applyAlignment="1">
      <alignment horizontal="center"/>
    </xf>
    <xf numFmtId="1" fontId="8" fillId="0" borderId="0" xfId="1" applyNumberFormat="1" applyAlignment="1">
      <alignment horizontal="center"/>
    </xf>
    <xf numFmtId="2" fontId="9" fillId="0" borderId="0" xfId="1" applyNumberFormat="1" applyFont="1" applyAlignment="1">
      <alignment horizontal="center"/>
    </xf>
    <xf numFmtId="165" fontId="9" fillId="0" borderId="0" xfId="1" applyNumberFormat="1" applyFont="1" applyAlignment="1">
      <alignment horizontal="center"/>
    </xf>
    <xf numFmtId="0" fontId="8" fillId="0" borderId="0" xfId="1" applyAlignment="1">
      <alignment horizontal="center"/>
    </xf>
    <xf numFmtId="0" fontId="10" fillId="0" borderId="0" xfId="1" applyFont="1"/>
    <xf numFmtId="0" fontId="9" fillId="0" borderId="0" xfId="1" applyFont="1" applyAlignment="1">
      <alignment horizontal="center"/>
    </xf>
    <xf numFmtId="0" fontId="8" fillId="0" borderId="0" xfId="1"/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" fontId="0" fillId="0" borderId="1" xfId="0" applyNumberFormat="1" applyBorder="1"/>
    <xf numFmtId="2" fontId="0" fillId="0" borderId="1" xfId="0" applyNumberFormat="1" applyBorder="1"/>
    <xf numFmtId="14" fontId="6" fillId="6" borderId="1" xfId="0" applyNumberFormat="1" applyFont="1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1" fontId="2" fillId="6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</cellXfs>
  <cellStyles count="2">
    <cellStyle name="Normal" xfId="0" builtinId="0"/>
    <cellStyle name="Normal 3" xfId="1" xr:uid="{71A3BBA3-108D-464E-89A6-0C49F51B6325}"/>
  </cellStyles>
  <dxfs count="0"/>
  <tableStyles count="0" defaultTableStyle="TableStyleMedium9" defaultPivotStyle="PivotStyleLight16"/>
  <colors>
    <mruColors>
      <color rgb="FFFF5050"/>
      <color rgb="FFCC6600"/>
      <color rgb="FFFEFE5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F60AF-9531-4C30-B50E-6270635A9915}">
  <dimension ref="A1:X33"/>
  <sheetViews>
    <sheetView tabSelected="1" topLeftCell="A4" workbookViewId="0">
      <selection activeCell="G27" sqref="A27:G27"/>
    </sheetView>
  </sheetViews>
  <sheetFormatPr defaultColWidth="11.5703125" defaultRowHeight="15"/>
  <cols>
    <col min="1" max="1" width="29.140625" style="16" bestFit="1" customWidth="1"/>
    <col min="2" max="3" width="11.5703125" style="11"/>
    <col min="4" max="4" width="13.42578125" style="11" customWidth="1"/>
    <col min="5" max="5" width="12.5703125" style="15" customWidth="1"/>
    <col min="6" max="6" width="12.5703125" style="13" customWidth="1"/>
    <col min="7" max="7" width="11.5703125" style="15"/>
    <col min="8" max="8" width="11.5703125" style="13"/>
    <col min="9" max="9" width="11.5703125" style="15"/>
    <col min="10" max="10" width="11.5703125" style="17"/>
    <col min="11" max="24" width="11.5703125" style="15"/>
    <col min="25" max="16384" width="11.5703125" style="18"/>
  </cols>
  <sheetData>
    <row r="1" spans="1:12" s="9" customFormat="1" ht="60">
      <c r="A1" s="5" t="s">
        <v>16</v>
      </c>
      <c r="B1" s="5" t="s">
        <v>17</v>
      </c>
      <c r="C1" s="5" t="s">
        <v>18</v>
      </c>
      <c r="D1" s="5" t="s">
        <v>19</v>
      </c>
      <c r="E1" s="6" t="s">
        <v>20</v>
      </c>
      <c r="F1" s="7" t="s">
        <v>21</v>
      </c>
      <c r="G1" s="6" t="s">
        <v>22</v>
      </c>
      <c r="H1" s="7" t="s">
        <v>23</v>
      </c>
      <c r="I1" s="6" t="s">
        <v>24</v>
      </c>
      <c r="J1" s="8" t="s">
        <v>25</v>
      </c>
      <c r="K1" s="6" t="s">
        <v>26</v>
      </c>
      <c r="L1" s="6" t="s">
        <v>27</v>
      </c>
    </row>
    <row r="2" spans="1:12">
      <c r="A2" s="10" t="s">
        <v>28</v>
      </c>
      <c r="B2" s="11">
        <v>1</v>
      </c>
      <c r="C2" s="11">
        <v>2</v>
      </c>
      <c r="D2" s="11">
        <v>2025</v>
      </c>
      <c r="E2" s="12">
        <f>'Consum.'!G8</f>
        <v>9829</v>
      </c>
      <c r="F2" s="13">
        <v>0.2</v>
      </c>
      <c r="G2" s="12"/>
      <c r="I2" s="12">
        <f>'Consum.'!K8</f>
        <v>67</v>
      </c>
      <c r="J2" s="14">
        <v>7.84</v>
      </c>
      <c r="K2" s="12">
        <v>220</v>
      </c>
      <c r="L2" s="12">
        <v>288</v>
      </c>
    </row>
    <row r="3" spans="1:12">
      <c r="A3" s="10" t="s">
        <v>28</v>
      </c>
      <c r="B3" s="11">
        <f>B2+1</f>
        <v>2</v>
      </c>
      <c r="C3" s="11">
        <v>2</v>
      </c>
      <c r="D3" s="11">
        <v>2025</v>
      </c>
      <c r="E3" s="12">
        <f>'Consum.'!G8</f>
        <v>9829</v>
      </c>
      <c r="F3" s="13">
        <v>0.2</v>
      </c>
      <c r="G3" s="12"/>
      <c r="I3" s="12">
        <f>'Consum.'!K9</f>
        <v>48</v>
      </c>
      <c r="J3" s="14">
        <v>7.84</v>
      </c>
      <c r="K3" s="12">
        <v>219</v>
      </c>
      <c r="L3" s="12">
        <v>272</v>
      </c>
    </row>
    <row r="4" spans="1:12">
      <c r="A4" s="10" t="s">
        <v>28</v>
      </c>
      <c r="B4" s="11">
        <f t="shared" ref="B4:B32" si="0">B3+1</f>
        <v>3</v>
      </c>
      <c r="C4" s="11">
        <v>2</v>
      </c>
      <c r="D4" s="11">
        <v>2025</v>
      </c>
      <c r="E4" s="12">
        <f>'Consum.'!G10</f>
        <v>9687</v>
      </c>
      <c r="F4" s="13">
        <v>0.2</v>
      </c>
      <c r="G4" s="12"/>
      <c r="I4" s="12">
        <f>'Consum.'!K10</f>
        <v>89</v>
      </c>
      <c r="J4" s="14">
        <v>7.84</v>
      </c>
      <c r="K4" s="12">
        <v>229</v>
      </c>
      <c r="L4" s="12">
        <v>280</v>
      </c>
    </row>
    <row r="5" spans="1:12">
      <c r="A5" s="10" t="s">
        <v>28</v>
      </c>
      <c r="B5" s="11">
        <f t="shared" si="0"/>
        <v>4</v>
      </c>
      <c r="C5" s="11">
        <v>2</v>
      </c>
      <c r="D5" s="11">
        <v>2025</v>
      </c>
      <c r="E5" s="12">
        <f>'Consum.'!G10</f>
        <v>9687</v>
      </c>
      <c r="F5" s="13">
        <v>0.2</v>
      </c>
      <c r="G5" s="12"/>
      <c r="I5" s="12">
        <f>'Consum.'!K11</f>
        <v>53</v>
      </c>
      <c r="J5" s="14">
        <v>7.84</v>
      </c>
      <c r="K5" s="12">
        <v>228</v>
      </c>
      <c r="L5" s="12">
        <v>301</v>
      </c>
    </row>
    <row r="6" spans="1:12">
      <c r="A6" s="10" t="s">
        <v>28</v>
      </c>
      <c r="B6" s="11">
        <f t="shared" si="0"/>
        <v>5</v>
      </c>
      <c r="C6" s="11">
        <v>2</v>
      </c>
      <c r="D6" s="11">
        <v>2025</v>
      </c>
      <c r="E6" s="12">
        <f>'Consum.'!G12</f>
        <v>14010</v>
      </c>
      <c r="F6" s="13">
        <v>0.2</v>
      </c>
      <c r="G6" s="12"/>
      <c r="I6" s="12">
        <f>'Consum.'!K12</f>
        <v>49</v>
      </c>
      <c r="J6" s="14">
        <v>7.84</v>
      </c>
      <c r="K6" s="12">
        <v>229</v>
      </c>
      <c r="L6" s="12">
        <v>307</v>
      </c>
    </row>
    <row r="7" spans="1:12">
      <c r="A7" s="10" t="s">
        <v>28</v>
      </c>
      <c r="B7" s="11">
        <f t="shared" si="0"/>
        <v>6</v>
      </c>
      <c r="C7" s="11">
        <v>2</v>
      </c>
      <c r="D7" s="11">
        <v>2025</v>
      </c>
      <c r="E7" s="12">
        <f>'Consum.'!G12</f>
        <v>14010</v>
      </c>
      <c r="F7" s="13">
        <v>0.2</v>
      </c>
      <c r="G7" s="12"/>
      <c r="I7" s="12">
        <f>'Consum.'!K13</f>
        <v>49</v>
      </c>
      <c r="J7" s="14">
        <v>7.84</v>
      </c>
      <c r="K7" s="12">
        <v>223</v>
      </c>
      <c r="L7" s="12">
        <v>292</v>
      </c>
    </row>
    <row r="8" spans="1:12">
      <c r="A8" s="10" t="s">
        <v>28</v>
      </c>
      <c r="B8" s="11">
        <f t="shared" si="0"/>
        <v>7</v>
      </c>
      <c r="C8" s="11">
        <v>2</v>
      </c>
      <c r="D8" s="11">
        <v>2025</v>
      </c>
      <c r="E8" s="12">
        <f>'Consum.'!G14</f>
        <v>11140</v>
      </c>
      <c r="F8" s="13">
        <v>0.2</v>
      </c>
      <c r="G8" s="12"/>
      <c r="I8" s="12">
        <f>'Consum.'!K14</f>
        <v>59</v>
      </c>
      <c r="J8" s="14">
        <v>7.84</v>
      </c>
      <c r="K8" s="12">
        <v>227</v>
      </c>
      <c r="L8" s="12">
        <v>298</v>
      </c>
    </row>
    <row r="9" spans="1:12">
      <c r="A9" s="10" t="s">
        <v>28</v>
      </c>
      <c r="B9" s="11">
        <f t="shared" si="0"/>
        <v>8</v>
      </c>
      <c r="C9" s="11">
        <v>2</v>
      </c>
      <c r="D9" s="11">
        <v>2025</v>
      </c>
      <c r="E9" s="12">
        <f>'Consum.'!G14</f>
        <v>11140</v>
      </c>
      <c r="F9" s="13">
        <v>0.2</v>
      </c>
      <c r="G9" s="12"/>
      <c r="I9" s="12">
        <f>'Consum.'!K15</f>
        <v>38</v>
      </c>
      <c r="J9" s="14">
        <v>7.84</v>
      </c>
      <c r="K9" s="12">
        <v>219</v>
      </c>
      <c r="L9" s="12">
        <v>306</v>
      </c>
    </row>
    <row r="10" spans="1:12">
      <c r="A10" s="10" t="s">
        <v>28</v>
      </c>
      <c r="B10" s="11">
        <f t="shared" si="0"/>
        <v>9</v>
      </c>
      <c r="C10" s="11">
        <v>2</v>
      </c>
      <c r="D10" s="11">
        <v>2025</v>
      </c>
      <c r="E10" s="12">
        <f>'Consum.'!G16</f>
        <v>9214</v>
      </c>
      <c r="F10" s="13">
        <v>0.2</v>
      </c>
      <c r="G10" s="12"/>
      <c r="I10" s="12">
        <f>'Consum.'!K16</f>
        <v>77</v>
      </c>
      <c r="J10" s="14">
        <v>7.84</v>
      </c>
      <c r="K10" s="12">
        <v>223</v>
      </c>
      <c r="L10" s="12">
        <v>277</v>
      </c>
    </row>
    <row r="11" spans="1:12">
      <c r="A11" s="10" t="s">
        <v>28</v>
      </c>
      <c r="B11" s="11">
        <f t="shared" si="0"/>
        <v>10</v>
      </c>
      <c r="C11" s="11">
        <v>2</v>
      </c>
      <c r="D11" s="11">
        <v>2025</v>
      </c>
      <c r="E11" s="12">
        <f>'Consum.'!G16</f>
        <v>9214</v>
      </c>
      <c r="F11" s="13">
        <v>0.2</v>
      </c>
      <c r="G11" s="12"/>
      <c r="I11" s="12">
        <f>'Consum.'!K17</f>
        <v>50</v>
      </c>
      <c r="J11" s="14">
        <v>7.84</v>
      </c>
      <c r="K11" s="12">
        <v>229</v>
      </c>
      <c r="L11" s="12">
        <v>276</v>
      </c>
    </row>
    <row r="12" spans="1:12">
      <c r="A12" s="10" t="s">
        <v>28</v>
      </c>
      <c r="B12" s="11">
        <f t="shared" si="0"/>
        <v>11</v>
      </c>
      <c r="C12" s="11">
        <v>2</v>
      </c>
      <c r="D12" s="11">
        <v>2025</v>
      </c>
      <c r="E12" s="12">
        <f>'Consum.'!G18</f>
        <v>9682</v>
      </c>
      <c r="F12" s="13">
        <v>0.2</v>
      </c>
      <c r="G12" s="12"/>
      <c r="I12" s="12">
        <f>'Consum.'!K18</f>
        <v>64</v>
      </c>
      <c r="J12" s="14">
        <v>7.84</v>
      </c>
      <c r="K12" s="12">
        <v>229</v>
      </c>
      <c r="L12" s="12">
        <v>285</v>
      </c>
    </row>
    <row r="13" spans="1:12">
      <c r="A13" s="10" t="s">
        <v>28</v>
      </c>
      <c r="B13" s="11">
        <f t="shared" si="0"/>
        <v>12</v>
      </c>
      <c r="C13" s="11">
        <v>2</v>
      </c>
      <c r="D13" s="11">
        <v>2025</v>
      </c>
      <c r="E13" s="12">
        <f>'Consum.'!G18</f>
        <v>9682</v>
      </c>
      <c r="F13" s="13">
        <v>0.2</v>
      </c>
      <c r="G13" s="12"/>
      <c r="I13" s="12">
        <f>'Consum.'!K19</f>
        <v>56</v>
      </c>
      <c r="J13" s="14">
        <v>7.84</v>
      </c>
      <c r="K13" s="12">
        <v>229</v>
      </c>
      <c r="L13" s="12">
        <v>282</v>
      </c>
    </row>
    <row r="14" spans="1:12">
      <c r="A14" s="10" t="s">
        <v>28</v>
      </c>
      <c r="B14" s="11">
        <f t="shared" si="0"/>
        <v>13</v>
      </c>
      <c r="C14" s="11">
        <v>2</v>
      </c>
      <c r="D14" s="11">
        <v>2025</v>
      </c>
      <c r="E14" s="12">
        <f>'Consum.'!G20</f>
        <v>11084</v>
      </c>
      <c r="F14" s="13">
        <v>0.2</v>
      </c>
      <c r="G14" s="12"/>
      <c r="I14" s="12">
        <f>'Consum.'!K20</f>
        <v>38</v>
      </c>
      <c r="J14" s="14">
        <v>7.84</v>
      </c>
      <c r="K14" s="12">
        <v>219</v>
      </c>
      <c r="L14" s="12">
        <v>297</v>
      </c>
    </row>
    <row r="15" spans="1:12">
      <c r="A15" s="10" t="s">
        <v>28</v>
      </c>
      <c r="B15" s="11">
        <f t="shared" si="0"/>
        <v>14</v>
      </c>
      <c r="C15" s="11">
        <v>2</v>
      </c>
      <c r="D15" s="11">
        <v>2025</v>
      </c>
      <c r="E15" s="12">
        <f>'Consum.'!G20</f>
        <v>11084</v>
      </c>
      <c r="F15" s="13">
        <v>0.2</v>
      </c>
      <c r="G15" s="12"/>
      <c r="I15" s="12">
        <f>'Consum.'!K21</f>
        <v>65</v>
      </c>
      <c r="J15" s="14">
        <v>7.84</v>
      </c>
      <c r="K15" s="12">
        <v>229</v>
      </c>
      <c r="L15" s="12">
        <v>317</v>
      </c>
    </row>
    <row r="16" spans="1:12">
      <c r="A16" s="10" t="s">
        <v>28</v>
      </c>
      <c r="B16" s="11">
        <f t="shared" si="0"/>
        <v>15</v>
      </c>
      <c r="C16" s="11">
        <v>2</v>
      </c>
      <c r="D16" s="11">
        <v>2025</v>
      </c>
      <c r="E16" s="12">
        <f>'Consum.'!G22</f>
        <v>10857</v>
      </c>
      <c r="F16" s="13">
        <v>0.2</v>
      </c>
      <c r="G16" s="12"/>
      <c r="I16" s="12">
        <f>'Consum.'!K22</f>
        <v>71</v>
      </c>
      <c r="J16" s="14">
        <v>7.84</v>
      </c>
      <c r="K16" s="12">
        <v>229</v>
      </c>
      <c r="L16" s="12">
        <v>312</v>
      </c>
    </row>
    <row r="17" spans="1:12">
      <c r="A17" s="10" t="s">
        <v>28</v>
      </c>
      <c r="B17" s="11">
        <f t="shared" si="0"/>
        <v>16</v>
      </c>
      <c r="C17" s="11">
        <v>2</v>
      </c>
      <c r="D17" s="11">
        <v>2025</v>
      </c>
      <c r="E17" s="12">
        <f>'Consum.'!G22</f>
        <v>10857</v>
      </c>
      <c r="F17" s="13">
        <v>0.2</v>
      </c>
      <c r="G17" s="12"/>
      <c r="I17" s="12">
        <f>'Consum.'!K23</f>
        <v>86</v>
      </c>
      <c r="J17" s="14">
        <v>7.84</v>
      </c>
      <c r="K17" s="12">
        <v>229</v>
      </c>
      <c r="L17" s="12">
        <v>283</v>
      </c>
    </row>
    <row r="18" spans="1:12">
      <c r="A18" s="10" t="s">
        <v>28</v>
      </c>
      <c r="B18" s="11">
        <f t="shared" si="0"/>
        <v>17</v>
      </c>
      <c r="C18" s="11">
        <v>2</v>
      </c>
      <c r="D18" s="11">
        <v>2025</v>
      </c>
      <c r="E18" s="12">
        <f>'Consum.'!G24</f>
        <v>10766</v>
      </c>
      <c r="F18" s="13">
        <v>0.2</v>
      </c>
      <c r="G18" s="12"/>
      <c r="I18" s="12">
        <f>'Consum.'!K24</f>
        <v>36</v>
      </c>
      <c r="J18" s="14">
        <v>7.84</v>
      </c>
      <c r="K18" s="12">
        <v>229</v>
      </c>
      <c r="L18" s="12">
        <v>284</v>
      </c>
    </row>
    <row r="19" spans="1:12">
      <c r="A19" s="10" t="s">
        <v>28</v>
      </c>
      <c r="B19" s="11">
        <f t="shared" si="0"/>
        <v>18</v>
      </c>
      <c r="C19" s="11">
        <v>2</v>
      </c>
      <c r="D19" s="11">
        <v>2025</v>
      </c>
      <c r="E19" s="12">
        <f>'Consum.'!G24</f>
        <v>10766</v>
      </c>
      <c r="F19" s="13">
        <v>0.2</v>
      </c>
      <c r="G19" s="12"/>
      <c r="I19" s="12">
        <f>'Consum.'!K25</f>
        <v>77</v>
      </c>
      <c r="J19" s="14">
        <v>7.84</v>
      </c>
      <c r="K19" s="12">
        <v>229</v>
      </c>
      <c r="L19" s="12">
        <v>283</v>
      </c>
    </row>
    <row r="20" spans="1:12">
      <c r="A20" s="10" t="s">
        <v>28</v>
      </c>
      <c r="B20" s="11">
        <f t="shared" si="0"/>
        <v>19</v>
      </c>
      <c r="C20" s="11">
        <v>2</v>
      </c>
      <c r="D20" s="11">
        <v>2025</v>
      </c>
      <c r="E20" s="12">
        <f>'Consum.'!G26</f>
        <v>11054</v>
      </c>
      <c r="F20" s="13">
        <v>0.2</v>
      </c>
      <c r="G20" s="12"/>
      <c r="I20" s="12">
        <f>'Consum.'!K26</f>
        <v>54</v>
      </c>
      <c r="J20" s="14">
        <v>7.84</v>
      </c>
      <c r="K20" s="12">
        <v>229</v>
      </c>
      <c r="L20" s="12">
        <v>285</v>
      </c>
    </row>
    <row r="21" spans="1:12">
      <c r="A21" s="10" t="s">
        <v>28</v>
      </c>
      <c r="B21" s="11">
        <f t="shared" si="0"/>
        <v>20</v>
      </c>
      <c r="C21" s="11">
        <v>2</v>
      </c>
      <c r="D21" s="11">
        <v>2025</v>
      </c>
      <c r="E21" s="12">
        <f>'Consum.'!G26</f>
        <v>11054</v>
      </c>
      <c r="F21" s="13">
        <v>0.2</v>
      </c>
      <c r="G21" s="12"/>
      <c r="I21" s="12">
        <f>'Consum.'!K27</f>
        <v>31</v>
      </c>
      <c r="J21" s="14">
        <v>7.84</v>
      </c>
      <c r="K21" s="12">
        <v>229</v>
      </c>
      <c r="L21" s="12">
        <v>299</v>
      </c>
    </row>
    <row r="22" spans="1:12">
      <c r="A22" s="10" t="s">
        <v>28</v>
      </c>
      <c r="B22" s="11">
        <f t="shared" si="0"/>
        <v>21</v>
      </c>
      <c r="C22" s="11">
        <v>2</v>
      </c>
      <c r="D22" s="11">
        <v>2025</v>
      </c>
      <c r="E22" s="12">
        <f>'Consum.'!G28</f>
        <v>10557</v>
      </c>
      <c r="F22" s="13">
        <v>0.2</v>
      </c>
      <c r="G22" s="12"/>
      <c r="I22" s="12">
        <f>'Consum.'!K28</f>
        <v>81</v>
      </c>
      <c r="J22" s="14">
        <v>7.84</v>
      </c>
      <c r="K22" s="12">
        <v>209</v>
      </c>
      <c r="L22" s="12">
        <v>277</v>
      </c>
    </row>
    <row r="23" spans="1:12">
      <c r="A23" s="10" t="s">
        <v>28</v>
      </c>
      <c r="B23" s="11">
        <f t="shared" si="0"/>
        <v>22</v>
      </c>
      <c r="C23" s="11">
        <v>2</v>
      </c>
      <c r="D23" s="11">
        <v>2025</v>
      </c>
      <c r="E23" s="12">
        <f>'Consum.'!G28</f>
        <v>10557</v>
      </c>
      <c r="F23" s="13">
        <v>0.2</v>
      </c>
      <c r="G23" s="12"/>
      <c r="I23" s="12">
        <f>'Consum.'!K29</f>
        <v>35</v>
      </c>
      <c r="J23" s="14">
        <v>7.84</v>
      </c>
      <c r="K23" s="12">
        <v>226</v>
      </c>
      <c r="L23" s="12">
        <v>324</v>
      </c>
    </row>
    <row r="24" spans="1:12">
      <c r="A24" s="10" t="s">
        <v>28</v>
      </c>
      <c r="B24" s="11">
        <f t="shared" si="0"/>
        <v>23</v>
      </c>
      <c r="C24" s="11">
        <v>2</v>
      </c>
      <c r="D24" s="11">
        <v>2025</v>
      </c>
      <c r="E24" s="12">
        <f>'Consum.'!G30</f>
        <v>10283</v>
      </c>
      <c r="F24" s="13">
        <v>0.2</v>
      </c>
      <c r="G24" s="12"/>
      <c r="I24" s="12">
        <f>'Consum.'!K30</f>
        <v>60</v>
      </c>
      <c r="J24" s="14">
        <v>7.84</v>
      </c>
      <c r="K24" s="12">
        <v>217</v>
      </c>
      <c r="L24" s="12">
        <v>296</v>
      </c>
    </row>
    <row r="25" spans="1:12">
      <c r="A25" s="10" t="s">
        <v>28</v>
      </c>
      <c r="B25" s="11">
        <f t="shared" si="0"/>
        <v>24</v>
      </c>
      <c r="C25" s="11">
        <v>2</v>
      </c>
      <c r="D25" s="11">
        <v>2025</v>
      </c>
      <c r="E25" s="12">
        <f>'Consum.'!G30</f>
        <v>10283</v>
      </c>
      <c r="F25" s="13">
        <v>0.2</v>
      </c>
      <c r="G25" s="12"/>
      <c r="I25" s="12">
        <f>'Consum.'!K31</f>
        <v>60</v>
      </c>
      <c r="J25" s="14">
        <v>7.84</v>
      </c>
      <c r="K25" s="12">
        <v>229</v>
      </c>
      <c r="L25" s="12">
        <v>289</v>
      </c>
    </row>
    <row r="26" spans="1:12">
      <c r="A26" s="10" t="s">
        <v>28</v>
      </c>
      <c r="B26" s="11">
        <f>B25+1</f>
        <v>25</v>
      </c>
      <c r="C26" s="11">
        <v>2</v>
      </c>
      <c r="D26" s="11">
        <v>2025</v>
      </c>
      <c r="E26" s="12">
        <f>'Consum.'!G32</f>
        <v>10832</v>
      </c>
      <c r="F26" s="13">
        <v>0.2</v>
      </c>
      <c r="G26" s="12"/>
      <c r="I26" s="12">
        <f>'Consum.'!K32</f>
        <v>13</v>
      </c>
      <c r="J26" s="14">
        <v>7.84</v>
      </c>
      <c r="K26" s="12">
        <v>229</v>
      </c>
      <c r="L26" s="12">
        <v>282</v>
      </c>
    </row>
    <row r="27" spans="1:12">
      <c r="A27" s="10" t="s">
        <v>28</v>
      </c>
      <c r="B27" s="11">
        <f t="shared" si="0"/>
        <v>26</v>
      </c>
      <c r="C27" s="11">
        <v>2</v>
      </c>
      <c r="D27" s="11">
        <v>2025</v>
      </c>
      <c r="E27" s="12">
        <f>'Consum.'!G32</f>
        <v>10832</v>
      </c>
      <c r="F27" s="13">
        <v>0.2</v>
      </c>
      <c r="G27" s="12">
        <v>1800</v>
      </c>
      <c r="H27" s="13">
        <v>1.89</v>
      </c>
      <c r="I27" s="12">
        <f>'Consum.'!K33</f>
        <v>0</v>
      </c>
      <c r="J27" s="14">
        <v>7.84</v>
      </c>
      <c r="K27" s="12">
        <v>229</v>
      </c>
      <c r="L27" s="12">
        <v>282</v>
      </c>
    </row>
    <row r="28" spans="1:12">
      <c r="A28" s="10" t="s">
        <v>28</v>
      </c>
      <c r="B28" s="11">
        <f t="shared" si="0"/>
        <v>27</v>
      </c>
      <c r="C28" s="11">
        <v>2</v>
      </c>
      <c r="D28" s="11">
        <v>2025</v>
      </c>
      <c r="E28" s="12">
        <f>'Consum.'!G34</f>
        <v>9502</v>
      </c>
      <c r="F28" s="13">
        <v>0.2</v>
      </c>
      <c r="G28" s="12"/>
      <c r="I28" s="12">
        <f>'Consum.'!K34</f>
        <v>68</v>
      </c>
      <c r="J28" s="14">
        <v>7.84</v>
      </c>
      <c r="K28" s="12">
        <v>229</v>
      </c>
      <c r="L28" s="12">
        <v>282</v>
      </c>
    </row>
    <row r="29" spans="1:12">
      <c r="A29" s="10" t="s">
        <v>28</v>
      </c>
      <c r="B29" s="11">
        <f t="shared" si="0"/>
        <v>28</v>
      </c>
      <c r="C29" s="11">
        <v>2</v>
      </c>
      <c r="D29" s="11">
        <v>2025</v>
      </c>
      <c r="E29" s="12">
        <f>'Consum.'!G34</f>
        <v>9502</v>
      </c>
      <c r="F29" s="13">
        <v>0.2</v>
      </c>
      <c r="G29" s="12"/>
      <c r="I29" s="12">
        <f>'Consum.'!K35</f>
        <v>170</v>
      </c>
      <c r="J29" s="14">
        <v>7.84</v>
      </c>
      <c r="K29" s="12">
        <v>208</v>
      </c>
      <c r="L29" s="12">
        <v>263</v>
      </c>
    </row>
    <row r="30" spans="1:12">
      <c r="A30" s="10" t="s">
        <v>28</v>
      </c>
      <c r="B30" s="11">
        <f t="shared" si="0"/>
        <v>29</v>
      </c>
      <c r="C30" s="11">
        <v>2</v>
      </c>
      <c r="D30" s="11">
        <v>2025</v>
      </c>
      <c r="E30" s="12">
        <v>0</v>
      </c>
      <c r="G30" s="12"/>
      <c r="I30" s="12">
        <v>0</v>
      </c>
      <c r="J30" s="14"/>
      <c r="K30" s="12"/>
      <c r="L30" s="12"/>
    </row>
    <row r="31" spans="1:12">
      <c r="A31" s="10" t="s">
        <v>28</v>
      </c>
      <c r="B31" s="11">
        <f t="shared" si="0"/>
        <v>30</v>
      </c>
      <c r="C31" s="11">
        <v>2</v>
      </c>
      <c r="D31" s="11">
        <v>2025</v>
      </c>
      <c r="E31" s="12">
        <v>0</v>
      </c>
      <c r="G31" s="12"/>
      <c r="I31" s="12">
        <v>0</v>
      </c>
      <c r="J31" s="14"/>
      <c r="K31" s="12"/>
      <c r="L31" s="12"/>
    </row>
    <row r="32" spans="1:12">
      <c r="A32" s="10" t="s">
        <v>28</v>
      </c>
      <c r="B32" s="11">
        <f t="shared" si="0"/>
        <v>31</v>
      </c>
      <c r="C32" s="11">
        <v>2</v>
      </c>
      <c r="D32" s="11">
        <v>2025</v>
      </c>
      <c r="E32" s="12">
        <v>0</v>
      </c>
      <c r="G32" s="12"/>
      <c r="I32" s="12">
        <v>0</v>
      </c>
      <c r="J32" s="14"/>
      <c r="K32" s="12"/>
      <c r="L32" s="12"/>
    </row>
    <row r="33" spans="7:7">
      <c r="G33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2"/>
  <sheetViews>
    <sheetView zoomScale="70" zoomScaleNormal="70" zoomScaleSheetLayoutView="100" workbookViewId="0">
      <selection activeCell="A2" sqref="A2:M2"/>
    </sheetView>
  </sheetViews>
  <sheetFormatPr defaultRowHeight="15"/>
  <cols>
    <col min="1" max="1" width="6" style="1" customWidth="1"/>
    <col min="2" max="2" width="7.5703125" style="2" hidden="1" customWidth="1"/>
    <col min="3" max="3" width="7.7109375" style="3" hidden="1" customWidth="1"/>
    <col min="4" max="5" width="20.7109375" customWidth="1"/>
    <col min="6" max="6" width="14.42578125" style="1" customWidth="1"/>
    <col min="7" max="7" width="13.28515625" customWidth="1"/>
    <col min="8" max="9" width="20.7109375" customWidth="1"/>
    <col min="10" max="10" width="15.7109375" customWidth="1"/>
    <col min="11" max="11" width="15.7109375" style="1" customWidth="1"/>
    <col min="12" max="12" width="17.28515625" customWidth="1"/>
    <col min="13" max="13" width="13.85546875" customWidth="1"/>
  </cols>
  <sheetData>
    <row r="1" spans="1:13" ht="49.5" customHeight="1" thickBot="1">
      <c r="A1" s="19" t="s">
        <v>15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3" ht="96.75" customHeight="1">
      <c r="A2" s="43" t="s">
        <v>29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13" s="4" customFormat="1" ht="15.2" customHeight="1">
      <c r="A3" s="24" t="s">
        <v>0</v>
      </c>
      <c r="B3" s="25" t="s">
        <v>1</v>
      </c>
      <c r="C3" s="25"/>
      <c r="D3" s="26" t="s">
        <v>3</v>
      </c>
      <c r="E3" s="26"/>
      <c r="F3" s="26"/>
      <c r="G3" s="26"/>
      <c r="H3" s="27" t="s">
        <v>11</v>
      </c>
      <c r="I3" s="27"/>
      <c r="J3" s="27"/>
      <c r="K3" s="27"/>
      <c r="L3" s="21" t="s">
        <v>5</v>
      </c>
      <c r="M3" s="21" t="s">
        <v>5</v>
      </c>
    </row>
    <row r="4" spans="1:13" s="4" customFormat="1" ht="15" customHeight="1">
      <c r="A4" s="24"/>
      <c r="B4" s="25"/>
      <c r="C4" s="25"/>
      <c r="D4" s="26"/>
      <c r="E4" s="26"/>
      <c r="F4" s="26"/>
      <c r="G4" s="26"/>
      <c r="H4" s="27"/>
      <c r="I4" s="27"/>
      <c r="J4" s="27"/>
      <c r="K4" s="27"/>
      <c r="L4" s="21" t="s">
        <v>6</v>
      </c>
      <c r="M4" s="21" t="s">
        <v>30</v>
      </c>
    </row>
    <row r="5" spans="1:13" s="4" customFormat="1">
      <c r="A5" s="28"/>
      <c r="B5" s="29" t="s">
        <v>12</v>
      </c>
      <c r="C5" s="30" t="s">
        <v>13</v>
      </c>
      <c r="D5" s="31" t="s">
        <v>14</v>
      </c>
      <c r="E5" s="31" t="s">
        <v>7</v>
      </c>
      <c r="F5" s="32" t="s">
        <v>2</v>
      </c>
      <c r="G5" s="32" t="s">
        <v>8</v>
      </c>
      <c r="H5" s="33" t="s">
        <v>9</v>
      </c>
      <c r="I5" s="33" t="s">
        <v>10</v>
      </c>
      <c r="J5" s="33" t="s">
        <v>2</v>
      </c>
      <c r="K5" s="33" t="s">
        <v>8</v>
      </c>
      <c r="L5" s="21" t="s">
        <v>4</v>
      </c>
      <c r="M5" s="21" t="s">
        <v>4</v>
      </c>
    </row>
    <row r="6" spans="1:13" s="4" customFormat="1">
      <c r="A6" s="28"/>
      <c r="B6" s="29"/>
      <c r="C6" s="30"/>
      <c r="D6" s="31"/>
      <c r="E6" s="31"/>
      <c r="F6" s="32"/>
      <c r="G6" s="32"/>
      <c r="H6" s="33"/>
      <c r="I6" s="33"/>
      <c r="J6" s="33"/>
      <c r="K6" s="33"/>
      <c r="L6" s="21"/>
      <c r="M6" s="21"/>
    </row>
    <row r="7" spans="1:13">
      <c r="A7" s="34">
        <v>31</v>
      </c>
      <c r="B7" s="35"/>
      <c r="C7" s="36"/>
      <c r="D7" s="37">
        <v>21487115</v>
      </c>
      <c r="E7" s="37">
        <v>5777534</v>
      </c>
      <c r="F7" s="36">
        <f t="shared" ref="F7:F35" si="0">(D7+E7)</f>
        <v>27264649</v>
      </c>
      <c r="G7" s="36">
        <f t="shared" ref="G7" si="1">(F7-F6)</f>
        <v>27264649</v>
      </c>
      <c r="H7" s="37">
        <v>24090</v>
      </c>
      <c r="I7" s="37">
        <v>44449</v>
      </c>
      <c r="J7" s="36">
        <f>H7+I7</f>
        <v>68539</v>
      </c>
      <c r="K7" s="36">
        <f t="shared" ref="K7" si="2">(J7-J6)</f>
        <v>68539</v>
      </c>
      <c r="L7" s="35"/>
      <c r="M7" s="22"/>
    </row>
    <row r="8" spans="1:13" ht="18.75" customHeight="1">
      <c r="A8" s="34">
        <v>1</v>
      </c>
      <c r="B8" s="35"/>
      <c r="C8" s="36">
        <f t="shared" ref="C8:C33" si="3">(229/100*B8)</f>
        <v>0</v>
      </c>
      <c r="D8" s="37">
        <v>21494329</v>
      </c>
      <c r="E8" s="37">
        <v>5780149</v>
      </c>
      <c r="F8" s="36">
        <f t="shared" si="0"/>
        <v>27274478</v>
      </c>
      <c r="G8" s="38">
        <f>(F8-F7)</f>
        <v>9829</v>
      </c>
      <c r="H8" s="39">
        <v>24123</v>
      </c>
      <c r="I8" s="39">
        <v>44475</v>
      </c>
      <c r="J8" s="36">
        <f>H8+I8</f>
        <v>68598</v>
      </c>
      <c r="K8" s="36">
        <v>67</v>
      </c>
      <c r="L8" s="37"/>
      <c r="M8" s="22"/>
    </row>
    <row r="9" spans="1:13" ht="18" customHeight="1">
      <c r="A9" s="34">
        <v>2</v>
      </c>
      <c r="B9" s="35"/>
      <c r="C9" s="36">
        <f t="shared" si="3"/>
        <v>0</v>
      </c>
      <c r="D9" s="40">
        <v>21501321</v>
      </c>
      <c r="E9" s="40">
        <v>5782687</v>
      </c>
      <c r="F9" s="36">
        <f t="shared" si="0"/>
        <v>27284008</v>
      </c>
      <c r="G9" s="36">
        <f t="shared" ref="G9:G35" si="4">(F9-F8)</f>
        <v>9530</v>
      </c>
      <c r="H9" s="39">
        <v>24150</v>
      </c>
      <c r="I9" s="39">
        <v>44496</v>
      </c>
      <c r="J9" s="36">
        <f t="shared" ref="J9:J35" si="5">H9+I9</f>
        <v>68646</v>
      </c>
      <c r="K9" s="36">
        <f t="shared" ref="K9:K35" si="6">(J9-J8)</f>
        <v>48</v>
      </c>
      <c r="L9" s="37"/>
      <c r="M9" s="22"/>
    </row>
    <row r="10" spans="1:13" ht="17.100000000000001" customHeight="1">
      <c r="A10" s="34">
        <v>3</v>
      </c>
      <c r="B10" s="35"/>
      <c r="C10" s="36">
        <f t="shared" si="3"/>
        <v>0</v>
      </c>
      <c r="D10" s="40">
        <v>21508396</v>
      </c>
      <c r="E10" s="37">
        <v>5785299</v>
      </c>
      <c r="F10" s="36">
        <f t="shared" si="0"/>
        <v>27293695</v>
      </c>
      <c r="G10" s="36">
        <f>(F10-F9)</f>
        <v>9687</v>
      </c>
      <c r="H10" s="37">
        <v>24201</v>
      </c>
      <c r="I10" s="37">
        <v>44534</v>
      </c>
      <c r="J10" s="36">
        <f t="shared" si="5"/>
        <v>68735</v>
      </c>
      <c r="K10" s="36">
        <f t="shared" si="6"/>
        <v>89</v>
      </c>
      <c r="L10" s="37"/>
      <c r="M10" s="22"/>
    </row>
    <row r="11" spans="1:13" ht="17.100000000000001" customHeight="1">
      <c r="A11" s="34">
        <v>4</v>
      </c>
      <c r="B11" s="35"/>
      <c r="C11" s="36">
        <f t="shared" si="3"/>
        <v>0</v>
      </c>
      <c r="D11" s="37">
        <v>21515382</v>
      </c>
      <c r="E11" s="37">
        <v>5787836</v>
      </c>
      <c r="F11" s="36">
        <f t="shared" si="0"/>
        <v>27303218</v>
      </c>
      <c r="G11" s="36">
        <f t="shared" si="4"/>
        <v>9523</v>
      </c>
      <c r="H11" s="37">
        <v>24230</v>
      </c>
      <c r="I11" s="37">
        <v>44558</v>
      </c>
      <c r="J11" s="36">
        <f t="shared" si="5"/>
        <v>68788</v>
      </c>
      <c r="K11" s="36">
        <f t="shared" si="6"/>
        <v>53</v>
      </c>
      <c r="L11" s="37"/>
      <c r="M11" s="22"/>
    </row>
    <row r="12" spans="1:13" ht="17.100000000000001" customHeight="1">
      <c r="A12" s="34">
        <v>5</v>
      </c>
      <c r="B12" s="35"/>
      <c r="C12" s="36">
        <f t="shared" si="3"/>
        <v>0</v>
      </c>
      <c r="D12" s="37">
        <v>21526727</v>
      </c>
      <c r="E12" s="37">
        <v>5790501</v>
      </c>
      <c r="F12" s="36">
        <f t="shared" si="0"/>
        <v>27317228</v>
      </c>
      <c r="G12" s="36">
        <f t="shared" si="4"/>
        <v>14010</v>
      </c>
      <c r="H12" s="37">
        <v>24258</v>
      </c>
      <c r="I12" s="37">
        <v>44579</v>
      </c>
      <c r="J12" s="36">
        <f t="shared" si="5"/>
        <v>68837</v>
      </c>
      <c r="K12" s="36">
        <f t="shared" si="6"/>
        <v>49</v>
      </c>
      <c r="L12" s="37"/>
      <c r="M12" s="22"/>
    </row>
    <row r="13" spans="1:13" ht="17.100000000000001" customHeight="1">
      <c r="A13" s="34">
        <v>6</v>
      </c>
      <c r="B13" s="35"/>
      <c r="C13" s="36">
        <f t="shared" si="3"/>
        <v>0</v>
      </c>
      <c r="D13" s="37">
        <v>21529893</v>
      </c>
      <c r="E13" s="37">
        <v>5793158</v>
      </c>
      <c r="F13" s="36">
        <f t="shared" si="0"/>
        <v>27323051</v>
      </c>
      <c r="G13" s="36">
        <f t="shared" si="4"/>
        <v>5823</v>
      </c>
      <c r="H13" s="37">
        <v>24289</v>
      </c>
      <c r="I13" s="37">
        <v>44597</v>
      </c>
      <c r="J13" s="36">
        <f t="shared" si="5"/>
        <v>68886</v>
      </c>
      <c r="K13" s="36">
        <f t="shared" si="6"/>
        <v>49</v>
      </c>
      <c r="L13" s="37"/>
      <c r="M13" s="22"/>
    </row>
    <row r="14" spans="1:13" ht="17.100000000000001" customHeight="1">
      <c r="A14" s="34">
        <v>7</v>
      </c>
      <c r="B14" s="35"/>
      <c r="C14" s="36">
        <f t="shared" si="3"/>
        <v>0</v>
      </c>
      <c r="D14" s="37">
        <v>21538198</v>
      </c>
      <c r="E14" s="37">
        <v>5795993</v>
      </c>
      <c r="F14" s="36">
        <f t="shared" si="0"/>
        <v>27334191</v>
      </c>
      <c r="G14" s="36">
        <f t="shared" si="4"/>
        <v>11140</v>
      </c>
      <c r="H14" s="37">
        <v>24318</v>
      </c>
      <c r="I14" s="37">
        <v>44627</v>
      </c>
      <c r="J14" s="36">
        <f t="shared" si="5"/>
        <v>68945</v>
      </c>
      <c r="K14" s="36">
        <f t="shared" si="6"/>
        <v>59</v>
      </c>
      <c r="L14" s="37"/>
      <c r="M14" s="22"/>
    </row>
    <row r="15" spans="1:13" ht="17.100000000000001" customHeight="1">
      <c r="A15" s="34">
        <v>8</v>
      </c>
      <c r="B15" s="35"/>
      <c r="C15" s="36">
        <f t="shared" si="3"/>
        <v>0</v>
      </c>
      <c r="D15" s="37">
        <v>21545951</v>
      </c>
      <c r="E15" s="37">
        <v>5798557</v>
      </c>
      <c r="F15" s="36">
        <f t="shared" si="0"/>
        <v>27344508</v>
      </c>
      <c r="G15" s="36">
        <f t="shared" si="4"/>
        <v>10317</v>
      </c>
      <c r="H15" s="37">
        <v>24336</v>
      </c>
      <c r="I15" s="37">
        <v>44647</v>
      </c>
      <c r="J15" s="36">
        <f t="shared" si="5"/>
        <v>68983</v>
      </c>
      <c r="K15" s="36">
        <f t="shared" si="6"/>
        <v>38</v>
      </c>
      <c r="L15" s="37"/>
      <c r="M15" s="22"/>
    </row>
    <row r="16" spans="1:13" ht="17.100000000000001" customHeight="1">
      <c r="A16" s="34">
        <v>9</v>
      </c>
      <c r="B16" s="35"/>
      <c r="C16" s="36">
        <f t="shared" si="3"/>
        <v>0</v>
      </c>
      <c r="D16" s="37">
        <v>21552848</v>
      </c>
      <c r="E16" s="37">
        <v>5800874</v>
      </c>
      <c r="F16" s="36">
        <f t="shared" si="0"/>
        <v>27353722</v>
      </c>
      <c r="G16" s="36">
        <f t="shared" si="4"/>
        <v>9214</v>
      </c>
      <c r="H16" s="37">
        <v>24382</v>
      </c>
      <c r="I16" s="37">
        <v>44678</v>
      </c>
      <c r="J16" s="36">
        <f t="shared" si="5"/>
        <v>69060</v>
      </c>
      <c r="K16" s="36">
        <f t="shared" si="6"/>
        <v>77</v>
      </c>
      <c r="L16" s="37"/>
      <c r="M16" s="22"/>
    </row>
    <row r="17" spans="1:13" ht="17.100000000000001" customHeight="1">
      <c r="A17" s="34">
        <v>10</v>
      </c>
      <c r="B17" s="35"/>
      <c r="C17" s="36">
        <f t="shared" si="3"/>
        <v>0</v>
      </c>
      <c r="D17" s="37">
        <v>21560470</v>
      </c>
      <c r="E17" s="37">
        <v>5803656</v>
      </c>
      <c r="F17" s="36">
        <f t="shared" si="0"/>
        <v>27364126</v>
      </c>
      <c r="G17" s="36">
        <f t="shared" si="4"/>
        <v>10404</v>
      </c>
      <c r="H17" s="37">
        <v>24410</v>
      </c>
      <c r="I17" s="37">
        <v>44700</v>
      </c>
      <c r="J17" s="36">
        <f t="shared" si="5"/>
        <v>69110</v>
      </c>
      <c r="K17" s="36">
        <f t="shared" si="6"/>
        <v>50</v>
      </c>
      <c r="L17" s="37"/>
      <c r="M17" s="22"/>
    </row>
    <row r="18" spans="1:13" ht="17.100000000000001" customHeight="1">
      <c r="A18" s="34">
        <v>11</v>
      </c>
      <c r="B18" s="35"/>
      <c r="C18" s="36">
        <f t="shared" si="3"/>
        <v>0</v>
      </c>
      <c r="D18" s="37">
        <v>21567575</v>
      </c>
      <c r="E18" s="37">
        <v>5806233</v>
      </c>
      <c r="F18" s="36">
        <f t="shared" si="0"/>
        <v>27373808</v>
      </c>
      <c r="G18" s="36">
        <f t="shared" si="4"/>
        <v>9682</v>
      </c>
      <c r="H18" s="37">
        <v>24446</v>
      </c>
      <c r="I18" s="37">
        <v>44728</v>
      </c>
      <c r="J18" s="36">
        <f t="shared" si="5"/>
        <v>69174</v>
      </c>
      <c r="K18" s="36">
        <f t="shared" si="6"/>
        <v>64</v>
      </c>
      <c r="L18" s="37"/>
      <c r="M18" s="22"/>
    </row>
    <row r="19" spans="1:13" ht="17.100000000000001" customHeight="1">
      <c r="A19" s="34">
        <v>12</v>
      </c>
      <c r="B19" s="35"/>
      <c r="C19" s="36">
        <f t="shared" si="3"/>
        <v>0</v>
      </c>
      <c r="D19" s="37">
        <v>21575143</v>
      </c>
      <c r="E19" s="37">
        <v>5808905</v>
      </c>
      <c r="F19" s="36">
        <f t="shared" si="0"/>
        <v>27384048</v>
      </c>
      <c r="G19" s="36">
        <f t="shared" si="4"/>
        <v>10240</v>
      </c>
      <c r="H19" s="37">
        <v>24477</v>
      </c>
      <c r="I19" s="37">
        <v>44753</v>
      </c>
      <c r="J19" s="36">
        <f t="shared" si="5"/>
        <v>69230</v>
      </c>
      <c r="K19" s="36">
        <f t="shared" si="6"/>
        <v>56</v>
      </c>
      <c r="L19" s="37"/>
      <c r="M19" s="22"/>
    </row>
    <row r="20" spans="1:13" ht="17.100000000000001" customHeight="1">
      <c r="A20" s="34">
        <v>13</v>
      </c>
      <c r="B20" s="35"/>
      <c r="C20" s="36">
        <f t="shared" si="3"/>
        <v>0</v>
      </c>
      <c r="D20" s="37">
        <v>21583533</v>
      </c>
      <c r="E20" s="37">
        <v>5811599</v>
      </c>
      <c r="F20" s="36">
        <f t="shared" si="0"/>
        <v>27395132</v>
      </c>
      <c r="G20" s="36">
        <f t="shared" si="4"/>
        <v>11084</v>
      </c>
      <c r="H20" s="37">
        <v>24498</v>
      </c>
      <c r="I20" s="37">
        <v>44770</v>
      </c>
      <c r="J20" s="36">
        <f t="shared" si="5"/>
        <v>69268</v>
      </c>
      <c r="K20" s="36">
        <f t="shared" si="6"/>
        <v>38</v>
      </c>
      <c r="L20" s="37"/>
      <c r="M20" s="22"/>
    </row>
    <row r="21" spans="1:13" ht="17.100000000000001" customHeight="1">
      <c r="A21" s="34">
        <v>14</v>
      </c>
      <c r="B21" s="35"/>
      <c r="C21" s="36">
        <f t="shared" si="3"/>
        <v>0</v>
      </c>
      <c r="D21" s="37">
        <v>21591988</v>
      </c>
      <c r="E21" s="37">
        <v>5814166</v>
      </c>
      <c r="F21" s="36">
        <f t="shared" si="0"/>
        <v>27406154</v>
      </c>
      <c r="G21" s="36">
        <f t="shared" si="4"/>
        <v>11022</v>
      </c>
      <c r="H21" s="37">
        <v>24533</v>
      </c>
      <c r="I21" s="37">
        <v>44800</v>
      </c>
      <c r="J21" s="36">
        <f t="shared" si="5"/>
        <v>69333</v>
      </c>
      <c r="K21" s="36">
        <f t="shared" si="6"/>
        <v>65</v>
      </c>
      <c r="L21" s="37"/>
      <c r="M21" s="22"/>
    </row>
    <row r="22" spans="1:13" ht="17.100000000000001" customHeight="1">
      <c r="A22" s="34">
        <v>15</v>
      </c>
      <c r="B22" s="35"/>
      <c r="C22" s="36">
        <f t="shared" si="3"/>
        <v>0</v>
      </c>
      <c r="D22" s="37">
        <v>21600211</v>
      </c>
      <c r="E22" s="37">
        <v>5816800</v>
      </c>
      <c r="F22" s="36">
        <f t="shared" si="0"/>
        <v>27417011</v>
      </c>
      <c r="G22" s="36">
        <f t="shared" si="4"/>
        <v>10857</v>
      </c>
      <c r="H22" s="37">
        <v>24573</v>
      </c>
      <c r="I22" s="37">
        <v>44831</v>
      </c>
      <c r="J22" s="36">
        <f t="shared" si="5"/>
        <v>69404</v>
      </c>
      <c r="K22" s="36">
        <f t="shared" si="6"/>
        <v>71</v>
      </c>
      <c r="L22" s="35"/>
      <c r="M22" s="22"/>
    </row>
    <row r="23" spans="1:13" ht="17.100000000000001" customHeight="1">
      <c r="A23" s="34">
        <v>16</v>
      </c>
      <c r="B23" s="35"/>
      <c r="C23" s="36">
        <f t="shared" si="3"/>
        <v>0</v>
      </c>
      <c r="D23" s="37">
        <v>21608766</v>
      </c>
      <c r="E23" s="37">
        <v>5819388</v>
      </c>
      <c r="F23" s="36">
        <f t="shared" si="0"/>
        <v>27428154</v>
      </c>
      <c r="G23" s="36">
        <f t="shared" si="4"/>
        <v>11143</v>
      </c>
      <c r="H23" s="37">
        <v>24621</v>
      </c>
      <c r="I23" s="37">
        <v>44869</v>
      </c>
      <c r="J23" s="36">
        <f t="shared" si="5"/>
        <v>69490</v>
      </c>
      <c r="K23" s="36">
        <f t="shared" si="6"/>
        <v>86</v>
      </c>
      <c r="L23" s="41"/>
      <c r="M23" s="22"/>
    </row>
    <row r="24" spans="1:13" ht="16.5" customHeight="1">
      <c r="A24" s="34">
        <v>17</v>
      </c>
      <c r="B24" s="35"/>
      <c r="C24" s="36">
        <f t="shared" si="3"/>
        <v>0</v>
      </c>
      <c r="D24" s="37">
        <v>21617068</v>
      </c>
      <c r="E24" s="37">
        <v>5821852</v>
      </c>
      <c r="F24" s="36">
        <f t="shared" si="0"/>
        <v>27438920</v>
      </c>
      <c r="G24" s="36">
        <f t="shared" si="4"/>
        <v>10766</v>
      </c>
      <c r="H24" s="37">
        <v>24640</v>
      </c>
      <c r="I24" s="37">
        <v>44886</v>
      </c>
      <c r="J24" s="36">
        <f t="shared" si="5"/>
        <v>69526</v>
      </c>
      <c r="K24" s="36">
        <f t="shared" si="6"/>
        <v>36</v>
      </c>
      <c r="L24" s="37"/>
      <c r="M24" s="22"/>
    </row>
    <row r="25" spans="1:13" ht="17.100000000000001" customHeight="1">
      <c r="A25" s="34">
        <v>18</v>
      </c>
      <c r="B25" s="35"/>
      <c r="C25" s="36">
        <f t="shared" si="3"/>
        <v>0</v>
      </c>
      <c r="D25" s="37">
        <v>21625665</v>
      </c>
      <c r="E25" s="37">
        <v>5824547</v>
      </c>
      <c r="F25" s="36">
        <f t="shared" si="0"/>
        <v>27450212</v>
      </c>
      <c r="G25" s="36">
        <f t="shared" si="4"/>
        <v>11292</v>
      </c>
      <c r="H25" s="37">
        <v>24684</v>
      </c>
      <c r="I25" s="37">
        <v>44919</v>
      </c>
      <c r="J25" s="36">
        <f t="shared" si="5"/>
        <v>69603</v>
      </c>
      <c r="K25" s="36">
        <f t="shared" si="6"/>
        <v>77</v>
      </c>
      <c r="L25" s="37"/>
      <c r="M25" s="22"/>
    </row>
    <row r="26" spans="1:13" ht="17.100000000000001" customHeight="1">
      <c r="A26" s="34">
        <v>19</v>
      </c>
      <c r="B26" s="35"/>
      <c r="C26" s="36">
        <f t="shared" si="3"/>
        <v>0</v>
      </c>
      <c r="D26" s="37">
        <v>21634052</v>
      </c>
      <c r="E26" s="37">
        <v>5827214</v>
      </c>
      <c r="F26" s="36">
        <f t="shared" si="0"/>
        <v>27461266</v>
      </c>
      <c r="G26" s="36">
        <f t="shared" si="4"/>
        <v>11054</v>
      </c>
      <c r="H26" s="37">
        <v>24714</v>
      </c>
      <c r="I26" s="37">
        <v>44943</v>
      </c>
      <c r="J26" s="36">
        <f t="shared" si="5"/>
        <v>69657</v>
      </c>
      <c r="K26" s="36">
        <f t="shared" si="6"/>
        <v>54</v>
      </c>
      <c r="L26" s="37"/>
      <c r="M26" s="22"/>
    </row>
    <row r="27" spans="1:13" ht="17.100000000000001" customHeight="1">
      <c r="A27" s="34">
        <v>20</v>
      </c>
      <c r="B27" s="35"/>
      <c r="C27" s="36">
        <f t="shared" si="3"/>
        <v>0</v>
      </c>
      <c r="D27" s="37">
        <v>21641653</v>
      </c>
      <c r="E27" s="42">
        <v>5829863</v>
      </c>
      <c r="F27" s="36">
        <f t="shared" si="0"/>
        <v>27471516</v>
      </c>
      <c r="G27" s="36">
        <f t="shared" si="4"/>
        <v>10250</v>
      </c>
      <c r="H27" s="37">
        <v>24732</v>
      </c>
      <c r="I27" s="37">
        <v>44956</v>
      </c>
      <c r="J27" s="36">
        <f t="shared" si="5"/>
        <v>69688</v>
      </c>
      <c r="K27" s="36">
        <f t="shared" si="6"/>
        <v>31</v>
      </c>
      <c r="L27" s="37"/>
      <c r="M27" s="22"/>
    </row>
    <row r="28" spans="1:13" ht="17.100000000000001" customHeight="1">
      <c r="A28" s="34">
        <v>21</v>
      </c>
      <c r="B28" s="35"/>
      <c r="C28" s="36">
        <f t="shared" si="3"/>
        <v>0</v>
      </c>
      <c r="D28" s="42">
        <v>21649571</v>
      </c>
      <c r="E28" s="37">
        <v>5832502</v>
      </c>
      <c r="F28" s="36">
        <f t="shared" si="0"/>
        <v>27482073</v>
      </c>
      <c r="G28" s="36">
        <f t="shared" si="4"/>
        <v>10557</v>
      </c>
      <c r="H28" s="37">
        <v>24778</v>
      </c>
      <c r="I28" s="37">
        <v>44991</v>
      </c>
      <c r="J28" s="36">
        <f t="shared" si="5"/>
        <v>69769</v>
      </c>
      <c r="K28" s="36">
        <f t="shared" si="6"/>
        <v>81</v>
      </c>
      <c r="L28" s="37"/>
      <c r="M28" s="22"/>
    </row>
    <row r="29" spans="1:13" ht="17.100000000000001" customHeight="1">
      <c r="A29" s="34">
        <v>22</v>
      </c>
      <c r="B29" s="35"/>
      <c r="C29" s="36">
        <f t="shared" si="3"/>
        <v>0</v>
      </c>
      <c r="D29" s="37">
        <v>21657953</v>
      </c>
      <c r="E29" s="37">
        <v>5835234</v>
      </c>
      <c r="F29" s="36">
        <f t="shared" si="0"/>
        <v>27493187</v>
      </c>
      <c r="G29" s="36">
        <f t="shared" si="4"/>
        <v>11114</v>
      </c>
      <c r="H29" s="37">
        <v>24796</v>
      </c>
      <c r="I29" s="37">
        <v>45008</v>
      </c>
      <c r="J29" s="36">
        <f t="shared" si="5"/>
        <v>69804</v>
      </c>
      <c r="K29" s="36">
        <f t="shared" si="6"/>
        <v>35</v>
      </c>
      <c r="L29" s="37"/>
      <c r="M29" s="22"/>
    </row>
    <row r="30" spans="1:13" ht="17.100000000000001" customHeight="1">
      <c r="A30" s="34">
        <v>23</v>
      </c>
      <c r="B30" s="35"/>
      <c r="C30" s="36">
        <f t="shared" si="3"/>
        <v>0</v>
      </c>
      <c r="D30" s="37">
        <v>21665757</v>
      </c>
      <c r="E30" s="37">
        <v>5837713</v>
      </c>
      <c r="F30" s="36">
        <f t="shared" si="0"/>
        <v>27503470</v>
      </c>
      <c r="G30" s="36">
        <f t="shared" si="4"/>
        <v>10283</v>
      </c>
      <c r="H30" s="37">
        <v>24834</v>
      </c>
      <c r="I30" s="37">
        <v>45030</v>
      </c>
      <c r="J30" s="36">
        <f t="shared" si="5"/>
        <v>69864</v>
      </c>
      <c r="K30" s="36">
        <f>(J30-J29)</f>
        <v>60</v>
      </c>
      <c r="L30" s="37"/>
      <c r="M30" s="22"/>
    </row>
    <row r="31" spans="1:13" ht="17.100000000000001" customHeight="1">
      <c r="A31" s="34">
        <v>24</v>
      </c>
      <c r="B31" s="35"/>
      <c r="C31" s="36">
        <f t="shared" si="3"/>
        <v>0</v>
      </c>
      <c r="D31" s="37">
        <v>21674676</v>
      </c>
      <c r="E31" s="37">
        <v>5840321</v>
      </c>
      <c r="F31" s="36">
        <f t="shared" si="0"/>
        <v>27514997</v>
      </c>
      <c r="G31" s="36">
        <f t="shared" si="4"/>
        <v>11527</v>
      </c>
      <c r="H31" s="37">
        <v>24868</v>
      </c>
      <c r="I31" s="37">
        <v>45056</v>
      </c>
      <c r="J31" s="36">
        <f t="shared" si="5"/>
        <v>69924</v>
      </c>
      <c r="K31" s="36">
        <f t="shared" si="6"/>
        <v>60</v>
      </c>
      <c r="L31" s="37"/>
      <c r="M31" s="23"/>
    </row>
    <row r="32" spans="1:13" ht="17.100000000000001" customHeight="1">
      <c r="A32" s="34">
        <v>25</v>
      </c>
      <c r="B32" s="35"/>
      <c r="C32" s="36">
        <f t="shared" si="3"/>
        <v>0</v>
      </c>
      <c r="D32" s="37">
        <v>21682856</v>
      </c>
      <c r="E32" s="37">
        <v>5842973</v>
      </c>
      <c r="F32" s="36">
        <f t="shared" si="0"/>
        <v>27525829</v>
      </c>
      <c r="G32" s="36">
        <f t="shared" si="4"/>
        <v>10832</v>
      </c>
      <c r="H32" s="37">
        <v>24875</v>
      </c>
      <c r="I32" s="37">
        <v>45062</v>
      </c>
      <c r="J32" s="36">
        <f t="shared" si="5"/>
        <v>69937</v>
      </c>
      <c r="K32" s="36">
        <f t="shared" si="6"/>
        <v>13</v>
      </c>
      <c r="L32" s="37"/>
      <c r="M32" s="22"/>
    </row>
    <row r="33" spans="1:13" ht="17.100000000000001" customHeight="1">
      <c r="A33" s="34">
        <v>26</v>
      </c>
      <c r="B33" s="35"/>
      <c r="C33" s="36">
        <f t="shared" si="3"/>
        <v>0</v>
      </c>
      <c r="D33" s="37">
        <v>21690427</v>
      </c>
      <c r="E33" s="37">
        <v>5845653</v>
      </c>
      <c r="F33" s="36">
        <f t="shared" si="0"/>
        <v>27536080</v>
      </c>
      <c r="G33" s="36">
        <f t="shared" si="4"/>
        <v>10251</v>
      </c>
      <c r="H33" s="37">
        <v>24875</v>
      </c>
      <c r="I33" s="37">
        <v>45062</v>
      </c>
      <c r="J33" s="36">
        <f t="shared" si="5"/>
        <v>69937</v>
      </c>
      <c r="K33" s="36">
        <f t="shared" si="6"/>
        <v>0</v>
      </c>
      <c r="L33" s="37">
        <v>1800</v>
      </c>
      <c r="M33" s="23">
        <v>1.89</v>
      </c>
    </row>
    <row r="34" spans="1:13" ht="17.100000000000001" customHeight="1">
      <c r="A34" s="34">
        <v>27</v>
      </c>
      <c r="B34" s="35"/>
      <c r="C34" s="36"/>
      <c r="D34" s="37">
        <v>21697453</v>
      </c>
      <c r="E34" s="37">
        <v>5848129</v>
      </c>
      <c r="F34" s="36">
        <f t="shared" si="0"/>
        <v>27545582</v>
      </c>
      <c r="G34" s="36">
        <f t="shared" si="4"/>
        <v>9502</v>
      </c>
      <c r="H34" s="37">
        <v>24914</v>
      </c>
      <c r="I34" s="37">
        <v>45091</v>
      </c>
      <c r="J34" s="36">
        <f t="shared" si="5"/>
        <v>70005</v>
      </c>
      <c r="K34" s="36">
        <f t="shared" si="6"/>
        <v>68</v>
      </c>
      <c r="L34" s="37"/>
      <c r="M34" s="22"/>
    </row>
    <row r="35" spans="1:13" ht="17.100000000000001" customHeight="1">
      <c r="A35" s="34">
        <v>28</v>
      </c>
      <c r="B35" s="35"/>
      <c r="C35" s="36"/>
      <c r="D35" s="37">
        <v>21705723</v>
      </c>
      <c r="E35" s="37">
        <v>5850956</v>
      </c>
      <c r="F35" s="36">
        <f t="shared" si="0"/>
        <v>27556679</v>
      </c>
      <c r="G35" s="36">
        <f t="shared" si="4"/>
        <v>11097</v>
      </c>
      <c r="H35" s="37">
        <v>25014</v>
      </c>
      <c r="I35" s="37">
        <v>45161</v>
      </c>
      <c r="J35" s="36">
        <f t="shared" si="5"/>
        <v>70175</v>
      </c>
      <c r="K35" s="36">
        <f t="shared" si="6"/>
        <v>170</v>
      </c>
      <c r="L35" s="37"/>
      <c r="M35" s="22"/>
    </row>
    <row r="37" spans="1:13">
      <c r="J37" s="1"/>
      <c r="K37"/>
    </row>
    <row r="38" spans="1:13">
      <c r="J38" s="1"/>
      <c r="K38"/>
    </row>
    <row r="39" spans="1:13">
      <c r="J39" s="1"/>
      <c r="K39"/>
    </row>
    <row r="40" spans="1:13">
      <c r="J40" s="1"/>
      <c r="K40"/>
    </row>
    <row r="41" spans="1:13">
      <c r="J41" s="1"/>
      <c r="K41"/>
    </row>
    <row r="42" spans="1:13">
      <c r="J42" s="1"/>
      <c r="K42"/>
    </row>
    <row r="43" spans="1:13">
      <c r="J43" s="1"/>
      <c r="K43"/>
    </row>
    <row r="44" spans="1:13">
      <c r="J44" s="1"/>
      <c r="K44"/>
    </row>
    <row r="45" spans="1:13">
      <c r="J45" s="1"/>
      <c r="K45"/>
    </row>
    <row r="46" spans="1:13">
      <c r="J46" s="1"/>
      <c r="K46"/>
    </row>
    <row r="47" spans="1:13">
      <c r="J47" s="1"/>
      <c r="K47"/>
    </row>
    <row r="48" spans="1:13">
      <c r="J48" s="1"/>
      <c r="K48"/>
    </row>
    <row r="49" spans="10:11">
      <c r="J49" s="1"/>
      <c r="K49"/>
    </row>
    <row r="50" spans="10:11">
      <c r="J50" s="1"/>
      <c r="K50"/>
    </row>
    <row r="51" spans="10:11">
      <c r="J51" s="1"/>
      <c r="K51"/>
    </row>
    <row r="52" spans="10:11">
      <c r="J52" s="1"/>
      <c r="K52"/>
    </row>
    <row r="53" spans="10:11">
      <c r="J53" s="1"/>
      <c r="K53"/>
    </row>
    <row r="54" spans="10:11">
      <c r="J54" s="1"/>
      <c r="K54"/>
    </row>
    <row r="55" spans="10:11">
      <c r="J55" s="1"/>
      <c r="K55"/>
    </row>
    <row r="56" spans="10:11">
      <c r="J56" s="1"/>
      <c r="K56"/>
    </row>
    <row r="57" spans="10:11">
      <c r="J57" s="1"/>
      <c r="K57"/>
    </row>
    <row r="58" spans="10:11">
      <c r="J58" s="1"/>
      <c r="K58"/>
    </row>
    <row r="59" spans="10:11">
      <c r="J59" s="1"/>
      <c r="K59"/>
    </row>
    <row r="60" spans="10:11">
      <c r="J60" s="1"/>
      <c r="K60"/>
    </row>
    <row r="61" spans="10:11">
      <c r="J61" s="1"/>
      <c r="K61"/>
    </row>
    <row r="62" spans="10:11">
      <c r="J62" s="1"/>
      <c r="K62"/>
    </row>
  </sheetData>
  <mergeCells count="5">
    <mergeCell ref="A2:M2"/>
    <mergeCell ref="A1:L1"/>
    <mergeCell ref="H3:K4"/>
    <mergeCell ref="B3:C4"/>
    <mergeCell ref="D3:G4"/>
  </mergeCells>
  <printOptions verticalCentered="1"/>
  <pageMargins left="4" right="0" top="0.25" bottom="0.23" header="0" footer="0"/>
  <pageSetup paperSize="8" scale="95" orientation="portrait" r:id="rId1"/>
  <headerFooter>
    <oddFooter>&amp;RConsum.02.08.xlsx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Total</vt:lpstr>
      <vt:lpstr>Consum.</vt:lpstr>
      <vt:lpstr>Consum.!Print_Area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engineering</dc:creator>
  <cp:lastModifiedBy>Rangana Peiris</cp:lastModifiedBy>
  <cp:lastPrinted>2025-02-01T09:55:38Z</cp:lastPrinted>
  <dcterms:created xsi:type="dcterms:W3CDTF">2008-02-19T08:39:03Z</dcterms:created>
  <dcterms:modified xsi:type="dcterms:W3CDTF">2025-04-03T16:25:50Z</dcterms:modified>
</cp:coreProperties>
</file>