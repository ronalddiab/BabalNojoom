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27" documentId="8_{8847650D-614C-4264-8C87-30D8B5EB4252}" xr6:coauthVersionLast="47" xr6:coauthVersionMax="47" xr10:uidLastSave="{12BF2577-A2C0-4391-8FEC-BEE797F9039F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14" i="5" l="1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<sst xmlns="http://schemas.openxmlformats.org/spreadsheetml/2006/main" count="122" uniqueCount="87">
  <si>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</si>
  <si>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</si>
  <si>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</si>
  <si>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</si>
  <si>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</si>
  <si>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</si>
  <si>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</si>
  <si>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</si>
  <si>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</si>
  <si>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</si>
  <si>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</si>
  <si>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</si>
  <si>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</si>
  <si>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</si>
  <si>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</si>
  <si>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</si>
  <si>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</si>
  <si>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</si>
  <si>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</si>
  <si>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</si>
  <si>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</si>
  <si>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</si>
  <si>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</si>
  <si>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</si>
  <si>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</si>
  <si>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</si>
  <si>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</si>
  <si>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</si>
  <si>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</si>
  <si>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</si>
  <si>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</si>
  <si>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</si>
  <si>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</si>
  <si>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</si>
  <si>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</si>
  <si>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</si>
  <si>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</si>
  <si>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</si>
  <si>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</si>
  <si>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</si>
  <si>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</si>
  <si>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</si>
  <si>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</si>
  <si>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</si>
  <si>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</si>
  <si>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</si>
  <si>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</si>
  <si>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</si>
  <si>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</si>
  <si>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</si>
  <si>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</si>
  <si>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</si>
  <si>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</si>
  <si>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</si>
  <si>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</si>
  <si>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</si>
  <si>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</si>
  <si>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</si>
  <si>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</si>
  <si>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</si>
  <si>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</si>
  <si>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</si>
  <si>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</si>
  <si>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</si>
  <si>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</si>
  <si>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</si>
  <si>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</si>
  <si>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</si>
  <si>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</si>
  <si>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</si>
  <si>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</si>
  <si>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</si>
  <si>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</si>
  <si>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</si>
  <si>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</si>
  <si>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</si>
  <si>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</si>
  <si>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</si>
  <si>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</si>
  <si>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</si>
  <si>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</si>
  <si>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</si>
  <si>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</si>
  <si>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JUNE 2024</t>
  </si>
  <si>
    <t>DAILY GAS METER READINGS &amp; CONSUMPTION (Liters) JUNE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</si>
  <si>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JUNE  2024</t>
    </r>
  </si>
  <si>
    <t>Occupied Room &amp; Number of Guest
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</si>
</sst>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#,##0.0"/>
    <numFmt numFmtId="168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7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5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8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0" fontId="0" fillId="6" borderId="0" xfId="0" applyFill="1"/>
    <xf numFmtId="165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6</v>
      </c>
      <c r="D2" s="10">
        <v>2024</v>
      </c>
      <c r="E2" s="4" cm="1">
        <f t="array" ref="E2:E32">TRANSPOSE(Electricity!E21:AI21)</f>
        <v>44093.2</v>
      </c>
      <c r="F2" s="11">
        <v>0.2</v>
      </c>
      <c r="G2" s="4">
        <f>LPG!C4</f>
        <v>2021.1</v>
      </c>
      <c r="H2" s="11">
        <v>1.54</v>
      </c>
      <c r="I2" s="4" cm="1">
        <f t="array" ref="I2:I32">TRANSPOSE(Water!E15:AI15)</f>
        <v>426.71399999999971</v>
      </c>
      <c r="J2" s="11">
        <v>7.84</v>
      </c>
      <c r="K2" s="4">
        <f>'Occupied &amp; No. of Guest'!B3</f>
        <v>353</v>
      </c>
      <c r="L2" s="4">
        <f>'Occupied &amp; No. of Guest'!C3</f>
        <v>492</v>
      </c>
    </row>
    <row r="3" spans="1:12" x14ac:dyDescent="0.25">
      <c r="A3" s="9" t="s">
        <v>52</v>
      </c>
      <c r="B3" s="10">
        <f>B2+1</f>
        <v>2</v>
      </c>
      <c r="C3" s="10">
        <v>6</v>
      </c>
      <c r="D3" s="10">
        <v>2024</v>
      </c>
      <c r="E3" s="4">
        <v>43981.2</v>
      </c>
      <c r="F3" s="11">
        <v>0.2</v>
      </c>
      <c r="G3" s="4">
        <f>LPG!C5</f>
        <v>2021.1</v>
      </c>
      <c r="H3" s="11">
        <v>1.54</v>
      </c>
      <c r="I3" s="4">
        <v>424.85899999999481</v>
      </c>
      <c r="J3" s="11">
        <v>7.84</v>
      </c>
      <c r="K3" s="4">
        <f>'Occupied &amp; No. of Guest'!B4</f>
        <v>378</v>
      </c>
      <c r="L3" s="4">
        <f>'Occupied &amp; No. of Guest'!C4</f>
        <v>534</v>
      </c>
    </row>
    <row r="4" spans="1:12" x14ac:dyDescent="0.25">
      <c r="A4" s="9" t="s">
        <v>52</v>
      </c>
      <c r="B4" s="10">
        <f t="shared" ref="B4:B32" si="0">B3+1</f>
        <v>3</v>
      </c>
      <c r="C4" s="10">
        <v>6</v>
      </c>
      <c r="D4" s="10">
        <v>2024</v>
      </c>
      <c r="E4" s="4">
        <v>43330.600000000006</v>
      </c>
      <c r="F4" s="11">
        <v>0.2</v>
      </c>
      <c r="G4" s="4">
        <f>LPG!C6</f>
        <v>2021.1</v>
      </c>
      <c r="H4" s="11">
        <v>1.54</v>
      </c>
      <c r="I4" s="4">
        <v>467.006000000016</v>
      </c>
      <c r="J4" s="11">
        <v>7.84</v>
      </c>
      <c r="K4" s="4">
        <f>'Occupied &amp; No. of Guest'!B5</f>
        <v>357</v>
      </c>
      <c r="L4" s="4">
        <f>'Occupied &amp; No. of Guest'!C5</f>
        <v>464</v>
      </c>
    </row>
    <row r="5" spans="1:12" x14ac:dyDescent="0.25">
      <c r="A5" s="9" t="s">
        <v>52</v>
      </c>
      <c r="B5" s="10">
        <f t="shared" si="0"/>
        <v>4</v>
      </c>
      <c r="C5" s="10">
        <v>6</v>
      </c>
      <c r="D5" s="10">
        <v>2024</v>
      </c>
      <c r="E5" s="4">
        <v>44090</v>
      </c>
      <c r="F5" s="11">
        <v>0.2</v>
      </c>
      <c r="G5" s="4">
        <f>LPG!C7</f>
        <v>2021.1</v>
      </c>
      <c r="H5" s="11">
        <v>1.54</v>
      </c>
      <c r="I5" s="4">
        <v>504.61299999998948</v>
      </c>
      <c r="J5" s="11">
        <v>7.84</v>
      </c>
      <c r="K5" s="4">
        <f>'Occupied &amp; No. of Guest'!B6</f>
        <v>369</v>
      </c>
      <c r="L5" s="4">
        <f>'Occupied &amp; No. of Guest'!C6</f>
        <v>506</v>
      </c>
    </row>
    <row r="6" spans="1:12" x14ac:dyDescent="0.25">
      <c r="A6" s="9" t="s">
        <v>52</v>
      </c>
      <c r="B6" s="10">
        <f t="shared" si="0"/>
        <v>5</v>
      </c>
      <c r="C6" s="10">
        <v>6</v>
      </c>
      <c r="D6" s="10">
        <v>2024</v>
      </c>
      <c r="E6" s="4">
        <v>43683.199999999997</v>
      </c>
      <c r="F6" s="11">
        <v>0.2</v>
      </c>
      <c r="G6" s="4">
        <f>LPG!C8</f>
        <v>2021.1</v>
      </c>
      <c r="H6" s="11">
        <v>1.54</v>
      </c>
      <c r="I6" s="4">
        <v>455.50199999999995</v>
      </c>
      <c r="J6" s="11">
        <v>7.84</v>
      </c>
      <c r="K6" s="4">
        <f>'Occupied &amp; No. of Guest'!B7</f>
        <v>360</v>
      </c>
      <c r="L6" s="4">
        <f>'Occupied &amp; No. of Guest'!C7</f>
        <v>479</v>
      </c>
    </row>
    <row r="7" spans="1:12" x14ac:dyDescent="0.25">
      <c r="A7" s="9" t="s">
        <v>52</v>
      </c>
      <c r="B7" s="10">
        <f t="shared" si="0"/>
        <v>6</v>
      </c>
      <c r="C7" s="10">
        <v>6</v>
      </c>
      <c r="D7" s="10">
        <v>2024</v>
      </c>
      <c r="E7" s="4">
        <v>39412.600000000006</v>
      </c>
      <c r="F7" s="11">
        <v>0.2</v>
      </c>
      <c r="G7" s="4">
        <f>LPG!C9</f>
        <v>2021.1</v>
      </c>
      <c r="H7" s="11">
        <v>1.54</v>
      </c>
      <c r="I7" s="4">
        <v>390.27900000000517</v>
      </c>
      <c r="J7" s="11">
        <v>7.84</v>
      </c>
      <c r="K7" s="4">
        <f>'Occupied &amp; No. of Guest'!B8</f>
        <v>303</v>
      </c>
      <c r="L7" s="4">
        <f>'Occupied &amp; No. of Guest'!C8</f>
        <v>381</v>
      </c>
    </row>
    <row r="8" spans="1:12" x14ac:dyDescent="0.25">
      <c r="A8" s="9" t="s">
        <v>52</v>
      </c>
      <c r="B8" s="10">
        <f t="shared" si="0"/>
        <v>7</v>
      </c>
      <c r="C8" s="10">
        <v>6</v>
      </c>
      <c r="D8" s="10">
        <v>2024</v>
      </c>
      <c r="E8" s="4">
        <v>43428.600000000006</v>
      </c>
      <c r="F8" s="11">
        <v>0.2</v>
      </c>
      <c r="G8" s="4">
        <f>LPG!C10</f>
        <v>2021.1</v>
      </c>
      <c r="H8" s="11">
        <v>1.54</v>
      </c>
      <c r="I8" s="4">
        <v>456.1289999999949</v>
      </c>
      <c r="J8" s="11">
        <v>7.84</v>
      </c>
      <c r="K8" s="4">
        <f>'Occupied &amp; No. of Guest'!B9</f>
        <v>299</v>
      </c>
      <c r="L8" s="4">
        <f>'Occupied &amp; No. of Guest'!C9</f>
        <v>382</v>
      </c>
    </row>
    <row r="9" spans="1:12" x14ac:dyDescent="0.25">
      <c r="A9" s="9" t="s">
        <v>52</v>
      </c>
      <c r="B9" s="10">
        <f t="shared" si="0"/>
        <v>8</v>
      </c>
      <c r="C9" s="10">
        <v>6</v>
      </c>
      <c r="D9" s="10">
        <v>2024</v>
      </c>
      <c r="E9" s="4">
        <v>42464.800000000003</v>
      </c>
      <c r="F9" s="11">
        <v>0.2</v>
      </c>
      <c r="G9" s="4">
        <f>LPG!C11</f>
        <v>2021.1</v>
      </c>
      <c r="H9" s="11">
        <v>1.54</v>
      </c>
      <c r="I9" s="4">
        <v>336.67200000001037</v>
      </c>
      <c r="J9" s="11">
        <v>7.84</v>
      </c>
      <c r="K9" s="4">
        <f>'Occupied &amp; No. of Guest'!B10</f>
        <v>280</v>
      </c>
      <c r="L9" s="4">
        <f>'Occupied &amp; No. of Guest'!C10</f>
        <v>396</v>
      </c>
    </row>
    <row r="10" spans="1:12" x14ac:dyDescent="0.25">
      <c r="A10" s="9" t="s">
        <v>52</v>
      </c>
      <c r="B10" s="10">
        <f t="shared" si="0"/>
        <v>9</v>
      </c>
      <c r="C10" s="10">
        <v>6</v>
      </c>
      <c r="D10" s="10">
        <v>2024</v>
      </c>
      <c r="E10" s="4">
        <v>43700.4</v>
      </c>
      <c r="F10" s="11">
        <v>0.2</v>
      </c>
      <c r="G10" s="4">
        <f>LPG!C12</f>
        <v>2021.1</v>
      </c>
      <c r="H10" s="11">
        <v>1.54</v>
      </c>
      <c r="I10" s="4">
        <v>426.85099999997914</v>
      </c>
      <c r="J10" s="11">
        <v>7.84</v>
      </c>
      <c r="K10" s="4">
        <f>'Occupied &amp; No. of Guest'!B11</f>
        <v>328</v>
      </c>
      <c r="L10" s="4">
        <f>'Occupied &amp; No. of Guest'!C11</f>
        <v>416</v>
      </c>
    </row>
    <row r="11" spans="1:12" x14ac:dyDescent="0.25">
      <c r="A11" s="9" t="s">
        <v>52</v>
      </c>
      <c r="B11" s="10">
        <f t="shared" si="0"/>
        <v>10</v>
      </c>
      <c r="C11" s="10">
        <v>6</v>
      </c>
      <c r="D11" s="10">
        <v>2024</v>
      </c>
      <c r="E11" s="4">
        <v>43806</v>
      </c>
      <c r="F11" s="11">
        <v>0.2</v>
      </c>
      <c r="G11" s="4">
        <f>LPG!C13</f>
        <v>2021.1</v>
      </c>
      <c r="H11" s="11">
        <v>1.54</v>
      </c>
      <c r="I11" s="4">
        <v>492.61900000000509</v>
      </c>
      <c r="J11" s="11">
        <v>7.84</v>
      </c>
      <c r="K11" s="4">
        <f>'Occupied &amp; No. of Guest'!B12</f>
        <v>389</v>
      </c>
      <c r="L11" s="4">
        <f>'Occupied &amp; No. of Guest'!C12</f>
        <v>513</v>
      </c>
    </row>
    <row r="12" spans="1:12" x14ac:dyDescent="0.25">
      <c r="A12" s="9" t="s">
        <v>52</v>
      </c>
      <c r="B12" s="10">
        <f t="shared" si="0"/>
        <v>11</v>
      </c>
      <c r="C12" s="10">
        <v>6</v>
      </c>
      <c r="D12" s="10">
        <v>2024</v>
      </c>
      <c r="E12" s="4">
        <v>44919</v>
      </c>
      <c r="F12" s="11">
        <v>0.2</v>
      </c>
      <c r="G12" s="4">
        <f>LPG!C14</f>
        <v>2021.1</v>
      </c>
      <c r="H12" s="11">
        <v>1.54</v>
      </c>
      <c r="I12" s="4">
        <v>492.97200000001061</v>
      </c>
      <c r="J12" s="11">
        <v>7.84</v>
      </c>
      <c r="K12" s="4">
        <f>'Occupied &amp; No. of Guest'!B13</f>
        <v>398</v>
      </c>
      <c r="L12" s="4">
        <f>'Occupied &amp; No. of Guest'!C13</f>
        <v>528</v>
      </c>
    </row>
    <row r="13" spans="1:12" x14ac:dyDescent="0.25">
      <c r="A13" s="9" t="s">
        <v>52</v>
      </c>
      <c r="B13" s="10">
        <f t="shared" si="0"/>
        <v>12</v>
      </c>
      <c r="C13" s="10">
        <v>6</v>
      </c>
      <c r="D13" s="10">
        <v>2024</v>
      </c>
      <c r="E13" s="4">
        <v>44699.4</v>
      </c>
      <c r="F13" s="11">
        <v>0.2</v>
      </c>
      <c r="G13" s="4">
        <f>LPG!C15</f>
        <v>2021.1</v>
      </c>
      <c r="H13" s="11">
        <v>1.54</v>
      </c>
      <c r="I13" s="4">
        <v>471.37299999999482</v>
      </c>
      <c r="J13" s="11">
        <v>7.84</v>
      </c>
      <c r="K13" s="4">
        <f>'Occupied &amp; No. of Guest'!B14</f>
        <v>376</v>
      </c>
      <c r="L13" s="4">
        <f>'Occupied &amp; No. of Guest'!C14</f>
        <v>494</v>
      </c>
    </row>
    <row r="14" spans="1:12" x14ac:dyDescent="0.25">
      <c r="A14" s="9" t="s">
        <v>52</v>
      </c>
      <c r="B14" s="10">
        <f t="shared" si="0"/>
        <v>13</v>
      </c>
      <c r="C14" s="10">
        <v>6</v>
      </c>
      <c r="D14" s="10">
        <v>2024</v>
      </c>
      <c r="E14" s="4">
        <v>45301.4</v>
      </c>
      <c r="F14" s="11">
        <v>0.2</v>
      </c>
      <c r="G14" s="4">
        <f>LPG!C16</f>
        <v>2021.1</v>
      </c>
      <c r="H14" s="11">
        <v>1.54</v>
      </c>
      <c r="I14" s="4">
        <v>465.53600000001029</v>
      </c>
      <c r="J14" s="11">
        <v>7.84</v>
      </c>
      <c r="K14" s="4">
        <f>'Occupied &amp; No. of Guest'!B15</f>
        <v>336</v>
      </c>
      <c r="L14" s="4">
        <f>'Occupied &amp; No. of Guest'!C15</f>
        <v>463</v>
      </c>
    </row>
    <row r="15" spans="1:12" x14ac:dyDescent="0.25">
      <c r="A15" s="9" t="s">
        <v>52</v>
      </c>
      <c r="B15" s="10">
        <f t="shared" si="0"/>
        <v>14</v>
      </c>
      <c r="C15" s="10">
        <v>6</v>
      </c>
      <c r="D15" s="10">
        <v>2024</v>
      </c>
      <c r="E15" s="4">
        <v>43495.4</v>
      </c>
      <c r="F15" s="11">
        <v>0.2</v>
      </c>
      <c r="G15" s="4">
        <f>LPG!C17</f>
        <v>2021.1</v>
      </c>
      <c r="H15" s="11">
        <v>1.54</v>
      </c>
      <c r="I15" s="4">
        <v>412.42499999998955</v>
      </c>
      <c r="J15" s="11">
        <v>7.84</v>
      </c>
      <c r="K15" s="4">
        <f>'Occupied &amp; No. of Guest'!B16</f>
        <v>316</v>
      </c>
      <c r="L15" s="4">
        <f>'Occupied &amp; No. of Guest'!C16</f>
        <v>435</v>
      </c>
    </row>
    <row r="16" spans="1:12" x14ac:dyDescent="0.25">
      <c r="A16" s="9" t="s">
        <v>52</v>
      </c>
      <c r="B16" s="10">
        <f t="shared" si="0"/>
        <v>15</v>
      </c>
      <c r="C16" s="10">
        <v>6</v>
      </c>
      <c r="D16" s="10">
        <v>2024</v>
      </c>
      <c r="E16" s="4">
        <v>39581.199999999997</v>
      </c>
      <c r="F16" s="11">
        <v>0.2</v>
      </c>
      <c r="G16" s="4">
        <f>LPG!C18</f>
        <v>2021.1</v>
      </c>
      <c r="H16" s="11">
        <v>1.54</v>
      </c>
      <c r="I16" s="4">
        <v>399.84700000000527</v>
      </c>
      <c r="J16" s="11">
        <v>7.84</v>
      </c>
      <c r="K16" s="4">
        <f>'Occupied &amp; No. of Guest'!B17</f>
        <v>330</v>
      </c>
      <c r="L16" s="4">
        <f>'Occupied &amp; No. of Guest'!C17</f>
        <v>487</v>
      </c>
    </row>
    <row r="17" spans="1:12" x14ac:dyDescent="0.25">
      <c r="A17" s="9" t="s">
        <v>52</v>
      </c>
      <c r="B17" s="10">
        <f t="shared" si="0"/>
        <v>16</v>
      </c>
      <c r="C17" s="10">
        <v>6</v>
      </c>
      <c r="D17" s="10">
        <v>2024</v>
      </c>
      <c r="E17" s="4">
        <v>40509.800000000003</v>
      </c>
      <c r="F17" s="11">
        <v>0.2</v>
      </c>
      <c r="G17" s="4">
        <f>LPG!C19</f>
        <v>2021.1</v>
      </c>
      <c r="H17" s="11">
        <v>1.54</v>
      </c>
      <c r="I17" s="4">
        <v>361.00999999998982</v>
      </c>
      <c r="J17" s="11">
        <v>7.84</v>
      </c>
      <c r="K17" s="4">
        <f>'Occupied &amp; No. of Guest'!B18</f>
        <v>356</v>
      </c>
      <c r="L17" s="4">
        <f>'Occupied &amp; No. of Guest'!C18</f>
        <v>563</v>
      </c>
    </row>
    <row r="18" spans="1:12" x14ac:dyDescent="0.25">
      <c r="A18" s="9" t="s">
        <v>52</v>
      </c>
      <c r="B18" s="10">
        <f t="shared" si="0"/>
        <v>17</v>
      </c>
      <c r="C18" s="10">
        <v>6</v>
      </c>
      <c r="D18" s="10">
        <v>2024</v>
      </c>
      <c r="E18" s="4">
        <v>44256.4</v>
      </c>
      <c r="F18" s="11">
        <v>0.2</v>
      </c>
      <c r="G18" s="4">
        <f>LPG!C20</f>
        <v>2021.1</v>
      </c>
      <c r="H18" s="11">
        <v>1.54</v>
      </c>
      <c r="I18" s="4">
        <v>419.38900000000484</v>
      </c>
      <c r="J18" s="11">
        <v>7.84</v>
      </c>
      <c r="K18" s="4">
        <f>'Occupied &amp; No. of Guest'!B19</f>
        <v>393</v>
      </c>
      <c r="L18" s="4">
        <f>'Occupied &amp; No. of Guest'!C19</f>
        <v>614</v>
      </c>
    </row>
    <row r="19" spans="1:12" x14ac:dyDescent="0.25">
      <c r="A19" s="9" t="s">
        <v>52</v>
      </c>
      <c r="B19" s="10">
        <f t="shared" si="0"/>
        <v>18</v>
      </c>
      <c r="C19" s="10">
        <v>6</v>
      </c>
      <c r="D19" s="10">
        <v>2024</v>
      </c>
      <c r="E19" s="4">
        <v>44086.600000000006</v>
      </c>
      <c r="F19" s="11">
        <v>0.2</v>
      </c>
      <c r="G19" s="4">
        <f>LPG!C21</f>
        <v>2021.1</v>
      </c>
      <c r="H19" s="11">
        <v>1.54</v>
      </c>
      <c r="I19" s="4">
        <v>420.55199999999496</v>
      </c>
      <c r="J19" s="11">
        <v>7.84</v>
      </c>
      <c r="K19" s="4">
        <f>'Occupied &amp; No. of Guest'!B20</f>
        <v>369</v>
      </c>
      <c r="L19" s="4">
        <f>'Occupied &amp; No. of Guest'!C20</f>
        <v>550</v>
      </c>
    </row>
    <row r="20" spans="1:12" x14ac:dyDescent="0.25">
      <c r="A20" s="9" t="s">
        <v>52</v>
      </c>
      <c r="B20" s="10">
        <f t="shared" si="0"/>
        <v>19</v>
      </c>
      <c r="C20" s="10">
        <v>6</v>
      </c>
      <c r="D20" s="10">
        <v>2024</v>
      </c>
      <c r="E20" s="4">
        <v>44767.600000000006</v>
      </c>
      <c r="F20" s="11">
        <v>0.2</v>
      </c>
      <c r="G20" s="4">
        <f>LPG!C22</f>
        <v>2021.1</v>
      </c>
      <c r="H20" s="11">
        <v>1.54</v>
      </c>
      <c r="I20" s="4">
        <v>430.94300000001533</v>
      </c>
      <c r="J20" s="11">
        <v>7.84</v>
      </c>
      <c r="K20" s="4">
        <f>'Occupied &amp; No. of Guest'!B21</f>
        <v>400</v>
      </c>
      <c r="L20" s="4">
        <f>'Occupied &amp; No. of Guest'!C21</f>
        <v>582</v>
      </c>
    </row>
    <row r="21" spans="1:12" x14ac:dyDescent="0.25">
      <c r="A21" s="9" t="s">
        <v>52</v>
      </c>
      <c r="B21" s="10">
        <f t="shared" si="0"/>
        <v>20</v>
      </c>
      <c r="C21" s="10">
        <v>6</v>
      </c>
      <c r="D21" s="10">
        <v>2024</v>
      </c>
      <c r="E21" s="4">
        <v>42402.400000000001</v>
      </c>
      <c r="F21" s="11">
        <v>0.2</v>
      </c>
      <c r="G21" s="4">
        <f>LPG!C23</f>
        <v>2021.1</v>
      </c>
      <c r="H21" s="11">
        <v>1.54</v>
      </c>
      <c r="I21" s="4">
        <v>487.21999999997928</v>
      </c>
      <c r="J21" s="11">
        <v>7.84</v>
      </c>
      <c r="K21" s="4">
        <f>'Occupied &amp; No. of Guest'!B22</f>
        <v>428</v>
      </c>
      <c r="L21" s="4">
        <f>'Occupied &amp; No. of Guest'!C22</f>
        <v>662</v>
      </c>
    </row>
    <row r="22" spans="1:12" x14ac:dyDescent="0.25">
      <c r="A22" s="9" t="s">
        <v>52</v>
      </c>
      <c r="B22" s="10">
        <f t="shared" si="0"/>
        <v>21</v>
      </c>
      <c r="C22" s="10">
        <v>6</v>
      </c>
      <c r="D22" s="10">
        <v>2024</v>
      </c>
      <c r="E22" s="4">
        <v>44155</v>
      </c>
      <c r="F22" s="11">
        <v>0.2</v>
      </c>
      <c r="G22" s="4">
        <f>LPG!C24</f>
        <v>2021.1</v>
      </c>
      <c r="H22" s="11">
        <v>1.54</v>
      </c>
      <c r="I22" s="4">
        <v>441.33600000000519</v>
      </c>
      <c r="J22" s="11">
        <v>7.84</v>
      </c>
      <c r="K22" s="4">
        <f>'Occupied &amp; No. of Guest'!B23</f>
        <v>360</v>
      </c>
      <c r="L22" s="4">
        <f>'Occupied &amp; No. of Guest'!C23</f>
        <v>514</v>
      </c>
    </row>
    <row r="23" spans="1:12" x14ac:dyDescent="0.25">
      <c r="A23" s="9" t="s">
        <v>52</v>
      </c>
      <c r="B23" s="10">
        <f t="shared" si="0"/>
        <v>22</v>
      </c>
      <c r="C23" s="10">
        <v>6</v>
      </c>
      <c r="D23" s="10">
        <v>2024</v>
      </c>
      <c r="E23" s="4">
        <v>46566.400000000001</v>
      </c>
      <c r="F23" s="11">
        <v>0.2</v>
      </c>
      <c r="G23" s="4">
        <f>LPG!C25</f>
        <v>2021.1</v>
      </c>
      <c r="H23" s="11">
        <v>1.54</v>
      </c>
      <c r="I23" s="4">
        <v>378.14000000001556</v>
      </c>
      <c r="J23" s="11">
        <v>7.84</v>
      </c>
      <c r="K23" s="4">
        <f>'Occupied &amp; No. of Guest'!B24</f>
        <v>387</v>
      </c>
      <c r="L23" s="4">
        <f>'Occupied &amp; No. of Guest'!C24</f>
        <v>551</v>
      </c>
    </row>
    <row r="24" spans="1:12" x14ac:dyDescent="0.25">
      <c r="A24" s="9" t="s">
        <v>52</v>
      </c>
      <c r="B24" s="10">
        <f t="shared" si="0"/>
        <v>23</v>
      </c>
      <c r="C24" s="10">
        <v>6</v>
      </c>
      <c r="D24" s="10">
        <v>2024</v>
      </c>
      <c r="E24" s="4">
        <v>47479</v>
      </c>
      <c r="F24" s="11">
        <v>0.2</v>
      </c>
      <c r="G24" s="4">
        <f>LPG!C26</f>
        <v>2021.1</v>
      </c>
      <c r="H24" s="11">
        <v>1.54</v>
      </c>
      <c r="I24" s="4">
        <v>440.82199999997931</v>
      </c>
      <c r="J24" s="11">
        <v>7.84</v>
      </c>
      <c r="K24" s="4">
        <f>'Occupied &amp; No. of Guest'!B25</f>
        <v>442</v>
      </c>
      <c r="L24" s="4">
        <f>'Occupied &amp; No. of Guest'!C25</f>
        <v>692</v>
      </c>
    </row>
    <row r="25" spans="1:12" x14ac:dyDescent="0.25">
      <c r="A25" s="9" t="s">
        <v>52</v>
      </c>
      <c r="B25" s="10">
        <f t="shared" si="0"/>
        <v>24</v>
      </c>
      <c r="C25" s="10">
        <v>6</v>
      </c>
      <c r="D25" s="10">
        <v>2024</v>
      </c>
      <c r="E25" s="4">
        <v>45482</v>
      </c>
      <c r="F25" s="11">
        <v>0.2</v>
      </c>
      <c r="G25" s="4">
        <f>LPG!C27</f>
        <v>2021.1</v>
      </c>
      <c r="H25" s="11">
        <v>1.54</v>
      </c>
      <c r="I25" s="4">
        <v>462.46400000001046</v>
      </c>
      <c r="J25" s="11">
        <v>7.84</v>
      </c>
      <c r="K25" s="4">
        <f>'Occupied &amp; No. of Guest'!B26</f>
        <v>319</v>
      </c>
      <c r="L25" s="4">
        <f>'Occupied &amp; No. of Guest'!C26</f>
        <v>466</v>
      </c>
    </row>
    <row r="26" spans="1:12" x14ac:dyDescent="0.25">
      <c r="A26" s="9" t="s">
        <v>52</v>
      </c>
      <c r="B26" s="10">
        <f>B25+1</f>
        <v>25</v>
      </c>
      <c r="C26" s="10">
        <v>6</v>
      </c>
      <c r="D26" s="10">
        <v>2024</v>
      </c>
      <c r="E26" s="4">
        <v>45307.199999999997</v>
      </c>
      <c r="F26" s="11">
        <v>0.2</v>
      </c>
      <c r="G26" s="4">
        <f>LPG!C28</f>
        <v>2021.1</v>
      </c>
      <c r="H26" s="11">
        <v>1.54</v>
      </c>
      <c r="I26" s="4">
        <v>454.18200000001036</v>
      </c>
      <c r="J26" s="11">
        <v>7.84</v>
      </c>
      <c r="K26" s="4">
        <f>'Occupied &amp; No. of Guest'!B27</f>
        <v>336</v>
      </c>
      <c r="L26" s="4">
        <f>'Occupied &amp; No. of Guest'!C27</f>
        <v>489</v>
      </c>
    </row>
    <row r="27" spans="1:12" x14ac:dyDescent="0.25">
      <c r="A27" s="9" t="s">
        <v>52</v>
      </c>
      <c r="B27" s="10">
        <f t="shared" si="0"/>
        <v>26</v>
      </c>
      <c r="C27" s="10">
        <v>6</v>
      </c>
      <c r="D27" s="10">
        <v>2024</v>
      </c>
      <c r="E27" s="4">
        <v>46811.600000000006</v>
      </c>
      <c r="F27" s="11">
        <v>0.2</v>
      </c>
      <c r="G27" s="4">
        <f>LPG!C29</f>
        <v>2021.1</v>
      </c>
      <c r="H27" s="11">
        <v>1.54</v>
      </c>
      <c r="I27" s="4">
        <v>341.05499999998995</v>
      </c>
      <c r="J27" s="11">
        <v>7.84</v>
      </c>
      <c r="K27" s="4">
        <f>'Occupied &amp; No. of Guest'!B28</f>
        <v>369</v>
      </c>
      <c r="L27" s="4">
        <f>'Occupied &amp; No. of Guest'!C28</f>
        <v>543</v>
      </c>
    </row>
    <row r="28" spans="1:12" x14ac:dyDescent="0.25">
      <c r="A28" s="9" t="s">
        <v>52</v>
      </c>
      <c r="B28" s="10">
        <f t="shared" si="0"/>
        <v>27</v>
      </c>
      <c r="C28" s="10">
        <v>6</v>
      </c>
      <c r="D28" s="10">
        <v>2024</v>
      </c>
      <c r="E28" s="4">
        <v>43118.400000000001</v>
      </c>
      <c r="F28" s="11">
        <v>0.2</v>
      </c>
      <c r="G28" s="4">
        <f>LPG!C30</f>
        <v>2021.1</v>
      </c>
      <c r="H28" s="11">
        <v>1.54</v>
      </c>
      <c r="I28" s="4">
        <v>523.85000000000502</v>
      </c>
      <c r="J28" s="11">
        <v>7.84</v>
      </c>
      <c r="K28" s="4">
        <f>'Occupied &amp; No. of Guest'!B29</f>
        <v>367</v>
      </c>
      <c r="L28" s="4">
        <f>'Occupied &amp; No. of Guest'!C29</f>
        <v>558</v>
      </c>
    </row>
    <row r="29" spans="1:12" x14ac:dyDescent="0.25">
      <c r="A29" s="9" t="s">
        <v>52</v>
      </c>
      <c r="B29" s="10">
        <f t="shared" si="0"/>
        <v>28</v>
      </c>
      <c r="C29" s="10">
        <v>6</v>
      </c>
      <c r="D29" s="10">
        <v>2024</v>
      </c>
      <c r="E29" s="4">
        <v>46864.2</v>
      </c>
      <c r="F29" s="11">
        <v>0.2</v>
      </c>
      <c r="G29" s="4">
        <f>LPG!C31</f>
        <v>2021.1</v>
      </c>
      <c r="H29" s="11">
        <v>1.54</v>
      </c>
      <c r="I29" s="4">
        <v>419.84899999999459</v>
      </c>
      <c r="J29" s="11">
        <v>7.84</v>
      </c>
      <c r="K29" s="4">
        <f>'Occupied &amp; No. of Guest'!B30</f>
        <v>328</v>
      </c>
      <c r="L29" s="4">
        <f>'Occupied &amp; No. of Guest'!C30</f>
        <v>535</v>
      </c>
    </row>
    <row r="30" spans="1:12" x14ac:dyDescent="0.25">
      <c r="A30" s="9" t="s">
        <v>52</v>
      </c>
      <c r="B30" s="10">
        <f t="shared" si="0"/>
        <v>29</v>
      </c>
      <c r="C30" s="10">
        <v>6</v>
      </c>
      <c r="D30" s="10">
        <v>2024</v>
      </c>
      <c r="E30" s="4">
        <v>46654.2</v>
      </c>
      <c r="F30" s="11">
        <v>0.2</v>
      </c>
      <c r="G30" s="4">
        <f>LPG!C32</f>
        <v>2021.1</v>
      </c>
      <c r="H30" s="11">
        <v>1.54</v>
      </c>
      <c r="I30" s="4">
        <v>235.80499999998992</v>
      </c>
      <c r="J30" s="11">
        <v>7.84</v>
      </c>
      <c r="K30" s="4">
        <f>'Occupied &amp; No. of Guest'!B31</f>
        <v>356</v>
      </c>
      <c r="L30" s="4">
        <f>'Occupied &amp; No. of Guest'!C31</f>
        <v>577</v>
      </c>
    </row>
    <row r="31" spans="1:12" x14ac:dyDescent="0.25">
      <c r="A31" s="9" t="s">
        <v>52</v>
      </c>
      <c r="B31" s="10">
        <f t="shared" si="0"/>
        <v>30</v>
      </c>
      <c r="C31" s="10">
        <v>6</v>
      </c>
      <c r="D31" s="10">
        <v>2024</v>
      </c>
      <c r="E31" s="4">
        <v>43637.600000000006</v>
      </c>
      <c r="F31" s="11">
        <v>0.2</v>
      </c>
      <c r="G31" s="4">
        <f>LPG!C33</f>
        <v>2021.1</v>
      </c>
      <c r="H31" s="11">
        <v>1.54</v>
      </c>
      <c r="I31" s="4">
        <v>368.05399999999952</v>
      </c>
      <c r="J31" s="11">
        <v>7.84</v>
      </c>
      <c r="K31" s="4">
        <f>'Occupied &amp; No. of Guest'!B32</f>
        <v>406</v>
      </c>
      <c r="L31" s="4">
        <f>'Occupied &amp; No. of Guest'!C32</f>
        <v>577</v>
      </c>
    </row>
    <row r="32" spans="1:12" x14ac:dyDescent="0.25">
      <c r="A32" s="9" t="s">
        <v>52</v>
      </c>
      <c r="B32" s="10">
        <f t="shared" si="0"/>
        <v>31</v>
      </c>
      <c r="C32" s="10">
        <v>6</v>
      </c>
      <c r="D32" s="10">
        <v>2024</v>
      </c>
      <c r="E32" s="4">
        <v>0</v>
      </c>
      <c r="F32" s="11">
        <v>0.2</v>
      </c>
      <c r="G32" s="4">
        <f>LPG!C34</f>
        <v>0</v>
      </c>
      <c r="H32" s="11">
        <v>1.54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5" t="s">
        <v>83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67" s="14" customFormat="1" ht="29.25" customHeight="1" thickBot="1" x14ac:dyDescent="0.3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67">
        <v>1</v>
      </c>
      <c r="B5" s="20" t="s">
        <v>14</v>
      </c>
      <c r="C5" s="69" t="s">
        <v>15</v>
      </c>
      <c r="D5" s="21">
        <v>10091408</v>
      </c>
      <c r="E5" s="21">
        <v>10113786</v>
      </c>
      <c r="F5" s="21">
        <v>10135682</v>
      </c>
      <c r="G5" s="21">
        <v>10157821</v>
      </c>
      <c r="H5" s="21">
        <v>10179952</v>
      </c>
      <c r="I5" s="21">
        <v>10202291</v>
      </c>
      <c r="J5" s="21">
        <v>10223837</v>
      </c>
      <c r="K5" s="21">
        <v>10246197</v>
      </c>
      <c r="L5" s="21">
        <v>10267996</v>
      </c>
      <c r="M5" s="21">
        <v>10289810</v>
      </c>
      <c r="N5" s="21">
        <v>10310833</v>
      </c>
      <c r="O5" s="21">
        <v>10332706</v>
      </c>
      <c r="P5" s="21">
        <v>10355161</v>
      </c>
      <c r="Q5" s="21">
        <v>10378062</v>
      </c>
      <c r="R5" s="21">
        <v>10399390</v>
      </c>
      <c r="S5" s="21">
        <v>10419978</v>
      </c>
      <c r="T5" s="21">
        <v>10440519</v>
      </c>
      <c r="U5" s="21">
        <v>10461460</v>
      </c>
      <c r="V5" s="21">
        <v>10482350</v>
      </c>
      <c r="W5" s="21">
        <v>10503371</v>
      </c>
      <c r="X5" s="21">
        <v>10524385</v>
      </c>
      <c r="Y5" s="21">
        <v>10545939</v>
      </c>
      <c r="Z5" s="21">
        <v>10567898</v>
      </c>
      <c r="AA5" s="21">
        <v>10589798</v>
      </c>
      <c r="AB5" s="21">
        <v>10611609</v>
      </c>
      <c r="AC5" s="21">
        <v>10633464</v>
      </c>
      <c r="AD5" s="21">
        <v>10656381</v>
      </c>
      <c r="AE5" s="21">
        <v>10677255</v>
      </c>
      <c r="AF5" s="21">
        <v>10698939</v>
      </c>
      <c r="AG5" s="21">
        <v>10720684</v>
      </c>
      <c r="AH5" s="21">
        <v>10742168</v>
      </c>
      <c r="AI5" s="21"/>
    </row>
    <row r="6" spans="1:67" s="24" customFormat="1" ht="21.75" customHeight="1" thickBot="1" x14ac:dyDescent="0.25">
      <c r="A6" s="68"/>
      <c r="B6" s="22"/>
      <c r="C6" s="70"/>
      <c r="D6" s="23"/>
      <c r="E6" s="23">
        <f t="shared" ref="E6:AH6" si="0">E5-D5</f>
        <v>22378</v>
      </c>
      <c r="F6" s="23">
        <f t="shared" si="0"/>
        <v>21896</v>
      </c>
      <c r="G6" s="23">
        <f t="shared" si="0"/>
        <v>22139</v>
      </c>
      <c r="H6" s="23">
        <f t="shared" si="0"/>
        <v>22131</v>
      </c>
      <c r="I6" s="23">
        <f t="shared" si="0"/>
        <v>22339</v>
      </c>
      <c r="J6" s="23">
        <f t="shared" si="0"/>
        <v>21546</v>
      </c>
      <c r="K6" s="23">
        <f>K5-J5</f>
        <v>22360</v>
      </c>
      <c r="L6" s="23">
        <f t="shared" si="0"/>
        <v>21799</v>
      </c>
      <c r="M6" s="23">
        <f t="shared" si="0"/>
        <v>21814</v>
      </c>
      <c r="N6" s="23">
        <f t="shared" si="0"/>
        <v>21023</v>
      </c>
      <c r="O6" s="23">
        <f t="shared" si="0"/>
        <v>21873</v>
      </c>
      <c r="P6" s="23">
        <f t="shared" si="0"/>
        <v>22455</v>
      </c>
      <c r="Q6" s="23">
        <f t="shared" si="0"/>
        <v>22901</v>
      </c>
      <c r="R6" s="23">
        <f t="shared" si="0"/>
        <v>21328</v>
      </c>
      <c r="S6" s="23">
        <f t="shared" si="0"/>
        <v>20588</v>
      </c>
      <c r="T6" s="23">
        <f t="shared" si="0"/>
        <v>20541</v>
      </c>
      <c r="U6" s="23">
        <f t="shared" si="0"/>
        <v>20941</v>
      </c>
      <c r="V6" s="23">
        <f t="shared" si="0"/>
        <v>20890</v>
      </c>
      <c r="W6" s="23">
        <f t="shared" si="0"/>
        <v>21021</v>
      </c>
      <c r="X6" s="23">
        <f t="shared" si="0"/>
        <v>21014</v>
      </c>
      <c r="Y6" s="23">
        <f t="shared" si="0"/>
        <v>21554</v>
      </c>
      <c r="Z6" s="23">
        <f t="shared" si="0"/>
        <v>21959</v>
      </c>
      <c r="AA6" s="23">
        <f t="shared" si="0"/>
        <v>21900</v>
      </c>
      <c r="AB6" s="23">
        <f t="shared" si="0"/>
        <v>21811</v>
      </c>
      <c r="AC6" s="23">
        <f t="shared" si="0"/>
        <v>21855</v>
      </c>
      <c r="AD6" s="23">
        <f t="shared" si="0"/>
        <v>22917</v>
      </c>
      <c r="AE6" s="23">
        <f t="shared" si="0"/>
        <v>20874</v>
      </c>
      <c r="AF6" s="23">
        <f t="shared" si="0"/>
        <v>21684</v>
      </c>
      <c r="AG6" s="23">
        <f t="shared" si="0"/>
        <v>21745</v>
      </c>
      <c r="AH6" s="23">
        <f t="shared" si="0"/>
        <v>21484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1">
        <v>2</v>
      </c>
      <c r="B7" s="25" t="s">
        <v>16</v>
      </c>
      <c r="C7" s="73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72"/>
      <c r="B8" s="22"/>
      <c r="C8" s="70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53</v>
      </c>
      <c r="C9" s="80" t="s">
        <v>54</v>
      </c>
      <c r="D9" s="21">
        <v>10447885</v>
      </c>
      <c r="E9" s="21">
        <v>10465232</v>
      </c>
      <c r="F9" s="21">
        <v>10482907</v>
      </c>
      <c r="G9" s="21">
        <v>10502939</v>
      </c>
      <c r="H9" s="21">
        <v>10524361</v>
      </c>
      <c r="I9" s="21">
        <v>10545593</v>
      </c>
      <c r="J9" s="21">
        <v>10567810</v>
      </c>
      <c r="K9" s="21">
        <v>10587756</v>
      </c>
      <c r="L9" s="21">
        <v>10608053</v>
      </c>
      <c r="M9" s="21">
        <v>10628831</v>
      </c>
      <c r="N9" s="21">
        <v>10650168</v>
      </c>
      <c r="O9" s="21">
        <v>10674079</v>
      </c>
      <c r="P9" s="21">
        <v>10697438</v>
      </c>
      <c r="Q9" s="21">
        <v>10720902</v>
      </c>
      <c r="R9" s="21">
        <v>10744489</v>
      </c>
      <c r="S9" s="21">
        <v>10766518</v>
      </c>
      <c r="T9" s="21">
        <v>10786315</v>
      </c>
      <c r="U9" s="21">
        <v>10812276</v>
      </c>
      <c r="V9" s="21">
        <v>10848779</v>
      </c>
      <c r="W9" s="21">
        <v>10885535</v>
      </c>
      <c r="X9" s="21">
        <v>10907689</v>
      </c>
      <c r="Y9" s="21">
        <v>10927695</v>
      </c>
      <c r="Z9" s="21">
        <v>10961120</v>
      </c>
      <c r="AA9" s="21">
        <v>10997778</v>
      </c>
      <c r="AB9" s="21">
        <v>11035176</v>
      </c>
      <c r="AC9" s="21">
        <v>11072389</v>
      </c>
      <c r="AD9" s="21">
        <v>11110087</v>
      </c>
      <c r="AE9" s="21">
        <v>11145634</v>
      </c>
      <c r="AF9" s="21">
        <v>11182820</v>
      </c>
      <c r="AG9" s="21">
        <v>11219672</v>
      </c>
      <c r="AH9" s="21">
        <v>11253854</v>
      </c>
      <c r="AI9" s="21"/>
    </row>
    <row r="10" spans="1:67" s="24" customFormat="1" ht="21.75" customHeight="1" thickBot="1" x14ac:dyDescent="0.25">
      <c r="A10" s="79"/>
      <c r="B10" s="37"/>
      <c r="C10" s="77"/>
      <c r="D10" s="23"/>
      <c r="E10" s="23">
        <f t="shared" ref="E10:AH10" si="2">E9-D9</f>
        <v>17347</v>
      </c>
      <c r="F10" s="23">
        <f t="shared" si="2"/>
        <v>17675</v>
      </c>
      <c r="G10" s="23">
        <f t="shared" si="2"/>
        <v>20032</v>
      </c>
      <c r="H10" s="23">
        <f t="shared" si="2"/>
        <v>21422</v>
      </c>
      <c r="I10" s="23">
        <f t="shared" si="2"/>
        <v>21232</v>
      </c>
      <c r="J10" s="23">
        <f t="shared" si="2"/>
        <v>22217</v>
      </c>
      <c r="K10" s="23">
        <f t="shared" si="2"/>
        <v>19946</v>
      </c>
      <c r="L10" s="23">
        <f t="shared" si="2"/>
        <v>20297</v>
      </c>
      <c r="M10" s="23">
        <f t="shared" si="2"/>
        <v>20778</v>
      </c>
      <c r="N10" s="23">
        <f t="shared" si="2"/>
        <v>21337</v>
      </c>
      <c r="O10" s="23">
        <f t="shared" si="2"/>
        <v>23911</v>
      </c>
      <c r="P10" s="23">
        <f t="shared" si="2"/>
        <v>23359</v>
      </c>
      <c r="Q10" s="23">
        <f t="shared" si="2"/>
        <v>23464</v>
      </c>
      <c r="R10" s="23">
        <f t="shared" si="2"/>
        <v>23587</v>
      </c>
      <c r="S10" s="23">
        <f t="shared" si="2"/>
        <v>22029</v>
      </c>
      <c r="T10" s="23">
        <f t="shared" si="2"/>
        <v>19797</v>
      </c>
      <c r="U10" s="23">
        <f t="shared" si="2"/>
        <v>25961</v>
      </c>
      <c r="V10" s="23">
        <f t="shared" si="2"/>
        <v>36503</v>
      </c>
      <c r="W10" s="23">
        <f t="shared" si="2"/>
        <v>36756</v>
      </c>
      <c r="X10" s="23">
        <f t="shared" si="2"/>
        <v>22154</v>
      </c>
      <c r="Y10" s="23">
        <f t="shared" si="2"/>
        <v>20006</v>
      </c>
      <c r="Z10" s="23">
        <f t="shared" si="2"/>
        <v>33425</v>
      </c>
      <c r="AA10" s="23">
        <f t="shared" si="2"/>
        <v>36658</v>
      </c>
      <c r="AB10" s="23">
        <f t="shared" si="2"/>
        <v>37398</v>
      </c>
      <c r="AC10" s="23">
        <f t="shared" si="2"/>
        <v>37213</v>
      </c>
      <c r="AD10" s="23">
        <f t="shared" si="2"/>
        <v>37698</v>
      </c>
      <c r="AE10" s="23">
        <f t="shared" si="2"/>
        <v>35547</v>
      </c>
      <c r="AF10" s="23">
        <f t="shared" si="2"/>
        <v>37186</v>
      </c>
      <c r="AG10" s="23">
        <f t="shared" si="2"/>
        <v>36852</v>
      </c>
      <c r="AH10" s="23">
        <f t="shared" si="2"/>
        <v>34182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4">
        <v>4</v>
      </c>
      <c r="B11" s="36" t="s">
        <v>55</v>
      </c>
      <c r="C11" s="80" t="s">
        <v>56</v>
      </c>
      <c r="D11" s="21">
        <v>6282943</v>
      </c>
      <c r="E11" s="21">
        <v>6319109</v>
      </c>
      <c r="F11" s="21">
        <v>6355877</v>
      </c>
      <c r="G11" s="21">
        <v>6388049</v>
      </c>
      <c r="H11" s="21">
        <v>6420752</v>
      </c>
      <c r="I11" s="21">
        <v>6452093</v>
      </c>
      <c r="J11" s="21">
        <v>6473755</v>
      </c>
      <c r="K11" s="21">
        <v>6505703</v>
      </c>
      <c r="L11" s="21">
        <v>6536298</v>
      </c>
      <c r="M11" s="21">
        <v>6569466</v>
      </c>
      <c r="N11" s="21">
        <v>6604334</v>
      </c>
      <c r="O11" s="21">
        <v>6637268</v>
      </c>
      <c r="P11" s="21">
        <v>6668750</v>
      </c>
      <c r="Q11" s="21">
        <v>6700557</v>
      </c>
      <c r="R11" s="21">
        <v>6731671</v>
      </c>
      <c r="S11" s="21">
        <v>6756365</v>
      </c>
      <c r="T11" s="21">
        <v>6785775</v>
      </c>
      <c r="U11" s="21">
        <v>6817395</v>
      </c>
      <c r="V11" s="21">
        <v>6838146</v>
      </c>
      <c r="W11" s="21">
        <v>6860039</v>
      </c>
      <c r="X11" s="21">
        <v>6890641</v>
      </c>
      <c r="Y11" s="21">
        <v>6926340</v>
      </c>
      <c r="Z11" s="21">
        <v>6953666</v>
      </c>
      <c r="AA11" s="21">
        <v>6980153</v>
      </c>
      <c r="AB11" s="21">
        <v>7001130</v>
      </c>
      <c r="AC11" s="21">
        <v>7021765</v>
      </c>
      <c r="AD11" s="21">
        <v>7043021</v>
      </c>
      <c r="AE11" s="21">
        <v>7062390</v>
      </c>
      <c r="AF11" s="21">
        <v>7087257</v>
      </c>
      <c r="AG11" s="21">
        <v>7111873</v>
      </c>
      <c r="AH11" s="21">
        <v>7132275</v>
      </c>
      <c r="AI11" s="21"/>
    </row>
    <row r="12" spans="1:67" s="38" customFormat="1" ht="21.75" customHeight="1" thickBot="1" x14ac:dyDescent="0.25">
      <c r="A12" s="75"/>
      <c r="B12" s="37"/>
      <c r="C12" s="77"/>
      <c r="D12" s="23"/>
      <c r="E12" s="23">
        <f t="shared" ref="E12:AH12" si="3">E11-D11</f>
        <v>36166</v>
      </c>
      <c r="F12" s="23">
        <f t="shared" si="3"/>
        <v>36768</v>
      </c>
      <c r="G12" s="23">
        <f t="shared" si="3"/>
        <v>32172</v>
      </c>
      <c r="H12" s="23">
        <f t="shared" si="3"/>
        <v>32703</v>
      </c>
      <c r="I12" s="23">
        <f t="shared" si="3"/>
        <v>31341</v>
      </c>
      <c r="J12" s="23">
        <f t="shared" si="3"/>
        <v>21662</v>
      </c>
      <c r="K12" s="23">
        <f t="shared" si="3"/>
        <v>31948</v>
      </c>
      <c r="L12" s="23">
        <f t="shared" si="3"/>
        <v>30595</v>
      </c>
      <c r="M12" s="23">
        <f t="shared" si="3"/>
        <v>33168</v>
      </c>
      <c r="N12" s="23">
        <f t="shared" si="3"/>
        <v>34868</v>
      </c>
      <c r="O12" s="23">
        <f t="shared" si="3"/>
        <v>32934</v>
      </c>
      <c r="P12" s="23">
        <f t="shared" si="3"/>
        <v>31482</v>
      </c>
      <c r="Q12" s="23">
        <f t="shared" si="3"/>
        <v>31807</v>
      </c>
      <c r="R12" s="23">
        <f t="shared" si="3"/>
        <v>31114</v>
      </c>
      <c r="S12" s="23">
        <f t="shared" si="3"/>
        <v>24694</v>
      </c>
      <c r="T12" s="23">
        <f t="shared" si="3"/>
        <v>29410</v>
      </c>
      <c r="U12" s="23">
        <f t="shared" si="3"/>
        <v>31620</v>
      </c>
      <c r="V12" s="23">
        <f t="shared" si="3"/>
        <v>20751</v>
      </c>
      <c r="W12" s="23">
        <f t="shared" si="3"/>
        <v>21893</v>
      </c>
      <c r="X12" s="23">
        <f t="shared" si="3"/>
        <v>30602</v>
      </c>
      <c r="Y12" s="23">
        <f t="shared" si="3"/>
        <v>35699</v>
      </c>
      <c r="Z12" s="23">
        <f t="shared" si="3"/>
        <v>27326</v>
      </c>
      <c r="AA12" s="23">
        <f t="shared" si="3"/>
        <v>26487</v>
      </c>
      <c r="AB12" s="23">
        <f t="shared" si="3"/>
        <v>20977</v>
      </c>
      <c r="AC12" s="23">
        <f t="shared" si="3"/>
        <v>20635</v>
      </c>
      <c r="AD12" s="23">
        <f t="shared" si="3"/>
        <v>21256</v>
      </c>
      <c r="AE12" s="23">
        <f t="shared" si="3"/>
        <v>19369</v>
      </c>
      <c r="AF12" s="23">
        <f t="shared" si="3"/>
        <v>24867</v>
      </c>
      <c r="AG12" s="23">
        <f t="shared" si="3"/>
        <v>24616</v>
      </c>
      <c r="AH12" s="23">
        <f t="shared" si="3"/>
        <v>20402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57</v>
      </c>
      <c r="C13" s="76" t="s">
        <v>58</v>
      </c>
      <c r="D13" s="40">
        <v>3233</v>
      </c>
      <c r="E13" s="40">
        <v>3233</v>
      </c>
      <c r="F13" s="40">
        <v>3233</v>
      </c>
      <c r="G13" s="40">
        <v>3233</v>
      </c>
      <c r="H13" s="40">
        <v>3233</v>
      </c>
      <c r="I13" s="40">
        <v>3233</v>
      </c>
      <c r="J13" s="40">
        <v>3233</v>
      </c>
      <c r="K13" s="40">
        <v>3233</v>
      </c>
      <c r="L13" s="40">
        <v>3234</v>
      </c>
      <c r="M13" s="40">
        <v>3234</v>
      </c>
      <c r="N13" s="40">
        <v>3234</v>
      </c>
      <c r="O13" s="40">
        <v>3234</v>
      </c>
      <c r="P13" s="40">
        <v>3236</v>
      </c>
      <c r="Q13" s="40">
        <v>3236</v>
      </c>
      <c r="R13" s="40">
        <v>3236</v>
      </c>
      <c r="S13" s="40">
        <v>3236</v>
      </c>
      <c r="T13" s="40">
        <v>3236</v>
      </c>
      <c r="U13" s="40">
        <v>3236</v>
      </c>
      <c r="V13" s="40">
        <v>3238</v>
      </c>
      <c r="W13" s="40">
        <v>3238</v>
      </c>
      <c r="X13" s="40">
        <v>3238</v>
      </c>
      <c r="Y13" s="40">
        <v>3238</v>
      </c>
      <c r="Z13" s="40">
        <v>3238</v>
      </c>
      <c r="AA13" s="40">
        <v>3238</v>
      </c>
      <c r="AB13" s="40">
        <v>3242</v>
      </c>
      <c r="AC13" s="40">
        <v>3242</v>
      </c>
      <c r="AD13" s="40">
        <v>3242</v>
      </c>
      <c r="AE13" s="40">
        <v>3248</v>
      </c>
      <c r="AF13" s="40">
        <v>3253</v>
      </c>
      <c r="AG13" s="40">
        <v>3253</v>
      </c>
      <c r="AH13" s="40">
        <v>3253</v>
      </c>
      <c r="AI13" s="40"/>
    </row>
    <row r="14" spans="1:67" s="24" customFormat="1" ht="21.75" customHeight="1" thickBot="1" x14ac:dyDescent="0.25">
      <c r="A14" s="79"/>
      <c r="B14" s="41"/>
      <c r="C14" s="77"/>
      <c r="D14" s="42"/>
      <c r="E14" s="42">
        <f t="shared" ref="E14:AH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1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2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2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4</v>
      </c>
      <c r="AC14" s="42">
        <f t="shared" si="4"/>
        <v>0</v>
      </c>
      <c r="AD14" s="42">
        <f t="shared" si="4"/>
        <v>0</v>
      </c>
      <c r="AE14" s="42">
        <f t="shared" si="4"/>
        <v>6</v>
      </c>
      <c r="AF14" s="42">
        <f t="shared" si="4"/>
        <v>5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4">
        <v>8</v>
      </c>
      <c r="B15" s="39" t="s">
        <v>59</v>
      </c>
      <c r="C15" s="76" t="s">
        <v>60</v>
      </c>
      <c r="D15" s="40">
        <v>460</v>
      </c>
      <c r="E15" s="40">
        <v>460</v>
      </c>
      <c r="F15" s="40">
        <v>460</v>
      </c>
      <c r="G15" s="40">
        <v>460</v>
      </c>
      <c r="H15" s="40">
        <v>460</v>
      </c>
      <c r="I15" s="40">
        <v>461</v>
      </c>
      <c r="J15" s="40">
        <v>461</v>
      </c>
      <c r="K15" s="40">
        <v>461</v>
      </c>
      <c r="L15" s="40">
        <v>461</v>
      </c>
      <c r="M15" s="40">
        <v>461</v>
      </c>
      <c r="N15" s="40">
        <v>461</v>
      </c>
      <c r="O15" s="40">
        <v>461</v>
      </c>
      <c r="P15" s="40">
        <v>461</v>
      </c>
      <c r="Q15" s="40">
        <v>461</v>
      </c>
      <c r="R15" s="40">
        <v>461</v>
      </c>
      <c r="S15" s="40">
        <v>461</v>
      </c>
      <c r="T15" s="40">
        <v>461</v>
      </c>
      <c r="U15" s="40">
        <v>461</v>
      </c>
      <c r="V15" s="40">
        <v>462</v>
      </c>
      <c r="W15" s="40">
        <v>462</v>
      </c>
      <c r="X15" s="40">
        <v>462</v>
      </c>
      <c r="Y15" s="40">
        <v>462</v>
      </c>
      <c r="Z15" s="40">
        <v>462</v>
      </c>
      <c r="AA15" s="40">
        <v>462</v>
      </c>
      <c r="AB15" s="40">
        <v>463</v>
      </c>
      <c r="AC15" s="40">
        <v>463</v>
      </c>
      <c r="AD15" s="40">
        <v>463</v>
      </c>
      <c r="AE15" s="40">
        <v>463</v>
      </c>
      <c r="AF15" s="40">
        <v>463</v>
      </c>
      <c r="AG15" s="40">
        <v>463</v>
      </c>
      <c r="AH15" s="40">
        <v>463</v>
      </c>
      <c r="AI15" s="40"/>
    </row>
    <row r="16" spans="1:67" s="24" customFormat="1" ht="21.75" customHeight="1" thickBot="1" x14ac:dyDescent="0.25">
      <c r="A16" s="75"/>
      <c r="B16" s="41"/>
      <c r="C16" s="77"/>
      <c r="D16" s="42"/>
      <c r="E16" s="42">
        <f t="shared" ref="E16:AH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1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0</v>
      </c>
      <c r="V16" s="42">
        <f t="shared" si="5"/>
        <v>1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1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4">
        <v>13</v>
      </c>
      <c r="B17" s="39" t="s">
        <v>61</v>
      </c>
      <c r="C17" s="76" t="s">
        <v>62</v>
      </c>
      <c r="D17" s="40">
        <v>1409950</v>
      </c>
      <c r="E17" s="40">
        <v>1410213</v>
      </c>
      <c r="F17" s="40">
        <v>1410477</v>
      </c>
      <c r="G17" s="40">
        <v>1410742</v>
      </c>
      <c r="H17" s="40">
        <v>1411007</v>
      </c>
      <c r="I17" s="40">
        <v>1411274</v>
      </c>
      <c r="J17" s="40">
        <v>1411545</v>
      </c>
      <c r="K17" s="40">
        <v>1411813</v>
      </c>
      <c r="L17" s="40">
        <v>1412075</v>
      </c>
      <c r="M17" s="40">
        <v>1412338</v>
      </c>
      <c r="N17" s="40">
        <v>1412595</v>
      </c>
      <c r="O17" s="40">
        <v>1412855</v>
      </c>
      <c r="P17" s="40">
        <v>1413117</v>
      </c>
      <c r="Q17" s="40">
        <v>1413367</v>
      </c>
      <c r="R17" s="40">
        <v>1413608</v>
      </c>
      <c r="S17" s="40">
        <v>1413870</v>
      </c>
      <c r="T17" s="40">
        <v>1414109</v>
      </c>
      <c r="U17" s="40">
        <v>1414346</v>
      </c>
      <c r="V17" s="40">
        <v>1414592</v>
      </c>
      <c r="W17" s="40">
        <v>1414833</v>
      </c>
      <c r="X17" s="40">
        <v>1415076</v>
      </c>
      <c r="Y17" s="40">
        <v>1415350</v>
      </c>
      <c r="Z17" s="40">
        <v>1415614</v>
      </c>
      <c r="AA17" s="40">
        <v>1415888</v>
      </c>
      <c r="AB17" s="40">
        <v>1416157</v>
      </c>
      <c r="AC17" s="40">
        <v>1416424</v>
      </c>
      <c r="AD17" s="40">
        <v>1416691</v>
      </c>
      <c r="AE17" s="40">
        <v>1416922</v>
      </c>
      <c r="AF17" s="40">
        <v>1417232</v>
      </c>
      <c r="AG17" s="40">
        <v>1417509</v>
      </c>
      <c r="AH17" s="40">
        <v>1417786</v>
      </c>
      <c r="AI17" s="40"/>
    </row>
    <row r="18" spans="1:35" ht="21.75" customHeight="1" thickBot="1" x14ac:dyDescent="0.25">
      <c r="A18" s="82"/>
      <c r="B18" s="43"/>
      <c r="C18" s="83"/>
      <c r="D18" s="42"/>
      <c r="E18" s="42">
        <f t="shared" ref="E18:AH18" si="6">E17-D17</f>
        <v>263</v>
      </c>
      <c r="F18" s="42">
        <f t="shared" si="6"/>
        <v>264</v>
      </c>
      <c r="G18" s="42">
        <f t="shared" si="6"/>
        <v>265</v>
      </c>
      <c r="H18" s="42">
        <f t="shared" si="6"/>
        <v>265</v>
      </c>
      <c r="I18" s="42">
        <f t="shared" si="6"/>
        <v>267</v>
      </c>
      <c r="J18" s="42">
        <f t="shared" si="6"/>
        <v>271</v>
      </c>
      <c r="K18" s="42">
        <f t="shared" si="6"/>
        <v>268</v>
      </c>
      <c r="L18" s="42">
        <f t="shared" si="6"/>
        <v>262</v>
      </c>
      <c r="M18" s="42">
        <f t="shared" si="6"/>
        <v>263</v>
      </c>
      <c r="N18" s="42">
        <f t="shared" si="6"/>
        <v>257</v>
      </c>
      <c r="O18" s="42">
        <f t="shared" si="6"/>
        <v>260</v>
      </c>
      <c r="P18" s="42">
        <f t="shared" si="6"/>
        <v>262</v>
      </c>
      <c r="Q18" s="42">
        <f t="shared" si="6"/>
        <v>250</v>
      </c>
      <c r="R18" s="42">
        <f t="shared" si="6"/>
        <v>241</v>
      </c>
      <c r="S18" s="42">
        <f t="shared" si="6"/>
        <v>262</v>
      </c>
      <c r="T18" s="42">
        <f t="shared" si="6"/>
        <v>239</v>
      </c>
      <c r="U18" s="42">
        <f t="shared" si="6"/>
        <v>237</v>
      </c>
      <c r="V18" s="42">
        <f t="shared" si="6"/>
        <v>246</v>
      </c>
      <c r="W18" s="42">
        <f t="shared" si="6"/>
        <v>241</v>
      </c>
      <c r="X18" s="42">
        <f t="shared" si="6"/>
        <v>243</v>
      </c>
      <c r="Y18" s="42">
        <f t="shared" si="6"/>
        <v>274</v>
      </c>
      <c r="Z18" s="42">
        <f t="shared" si="6"/>
        <v>264</v>
      </c>
      <c r="AA18" s="42">
        <f t="shared" si="6"/>
        <v>274</v>
      </c>
      <c r="AB18" s="42">
        <f t="shared" si="6"/>
        <v>269</v>
      </c>
      <c r="AC18" s="42">
        <f t="shared" si="6"/>
        <v>267</v>
      </c>
      <c r="AD18" s="42">
        <f t="shared" si="6"/>
        <v>267</v>
      </c>
      <c r="AE18" s="42">
        <f t="shared" si="6"/>
        <v>231</v>
      </c>
      <c r="AF18" s="42">
        <f t="shared" si="6"/>
        <v>310</v>
      </c>
      <c r="AG18" s="42">
        <f t="shared" si="6"/>
        <v>277</v>
      </c>
      <c r="AH18" s="42">
        <f t="shared" si="6"/>
        <v>277</v>
      </c>
      <c r="AI18" s="42"/>
    </row>
    <row r="19" spans="1:35" ht="21.75" customHeight="1" x14ac:dyDescent="0.2">
      <c r="A19" s="84">
        <v>14</v>
      </c>
      <c r="B19" s="39" t="s">
        <v>63</v>
      </c>
      <c r="C19" s="76" t="s">
        <v>64</v>
      </c>
      <c r="D19" s="40">
        <v>377523</v>
      </c>
      <c r="E19" s="40">
        <v>377570</v>
      </c>
      <c r="F19" s="40">
        <v>377614</v>
      </c>
      <c r="G19" s="40">
        <v>377659</v>
      </c>
      <c r="H19" s="40">
        <v>377703</v>
      </c>
      <c r="I19" s="40">
        <v>377750</v>
      </c>
      <c r="J19" s="40">
        <v>377794</v>
      </c>
      <c r="K19" s="40">
        <v>377837</v>
      </c>
      <c r="L19" s="40">
        <v>377883</v>
      </c>
      <c r="M19" s="40">
        <v>377928</v>
      </c>
      <c r="N19" s="40">
        <v>377972</v>
      </c>
      <c r="O19" s="40">
        <v>378020</v>
      </c>
      <c r="P19" s="40">
        <v>378064</v>
      </c>
      <c r="Q19" s="40">
        <v>378106</v>
      </c>
      <c r="R19" s="40">
        <v>378152</v>
      </c>
      <c r="S19" s="40">
        <v>378194</v>
      </c>
      <c r="T19" s="40">
        <v>378241</v>
      </c>
      <c r="U19" s="40">
        <v>378287</v>
      </c>
      <c r="V19" s="40">
        <v>378333</v>
      </c>
      <c r="W19" s="40">
        <v>378379</v>
      </c>
      <c r="X19" s="40">
        <v>378422</v>
      </c>
      <c r="Y19" s="40">
        <v>378467</v>
      </c>
      <c r="Z19" s="40">
        <v>378510</v>
      </c>
      <c r="AA19" s="40">
        <v>378557</v>
      </c>
      <c r="AB19" s="40">
        <v>378604</v>
      </c>
      <c r="AC19" s="40">
        <v>378650</v>
      </c>
      <c r="AD19" s="40">
        <v>378696</v>
      </c>
      <c r="AE19" s="40">
        <v>378737</v>
      </c>
      <c r="AF19" s="40">
        <v>378781</v>
      </c>
      <c r="AG19" s="40">
        <v>378826</v>
      </c>
      <c r="AH19" s="40">
        <v>378869</v>
      </c>
      <c r="AI19" s="40"/>
    </row>
    <row r="20" spans="1:35" ht="21.75" customHeight="1" thickBot="1" x14ac:dyDescent="0.25">
      <c r="A20" s="79"/>
      <c r="B20" s="43"/>
      <c r="C20" s="83"/>
      <c r="D20" s="42"/>
      <c r="E20" s="42">
        <f>E19-D19</f>
        <v>47</v>
      </c>
      <c r="F20" s="42">
        <f t="shared" ref="F20:AH20" si="7">F19-E19</f>
        <v>44</v>
      </c>
      <c r="G20" s="42">
        <f t="shared" si="7"/>
        <v>45</v>
      </c>
      <c r="H20" s="42">
        <f t="shared" si="7"/>
        <v>44</v>
      </c>
      <c r="I20" s="42">
        <f t="shared" si="7"/>
        <v>47</v>
      </c>
      <c r="J20" s="42">
        <f t="shared" si="7"/>
        <v>44</v>
      </c>
      <c r="K20" s="42">
        <f t="shared" si="7"/>
        <v>43</v>
      </c>
      <c r="L20" s="42">
        <f t="shared" si="7"/>
        <v>46</v>
      </c>
      <c r="M20" s="42">
        <f t="shared" si="7"/>
        <v>45</v>
      </c>
      <c r="N20" s="42">
        <f t="shared" si="7"/>
        <v>44</v>
      </c>
      <c r="O20" s="42">
        <f t="shared" si="7"/>
        <v>48</v>
      </c>
      <c r="P20" s="42">
        <f t="shared" si="7"/>
        <v>44</v>
      </c>
      <c r="Q20" s="42">
        <f t="shared" si="7"/>
        <v>42</v>
      </c>
      <c r="R20" s="42">
        <f t="shared" si="7"/>
        <v>46</v>
      </c>
      <c r="S20" s="42">
        <f t="shared" si="7"/>
        <v>42</v>
      </c>
      <c r="T20" s="42">
        <f t="shared" si="7"/>
        <v>47</v>
      </c>
      <c r="U20" s="42">
        <f t="shared" si="7"/>
        <v>46</v>
      </c>
      <c r="V20" s="42">
        <f t="shared" si="7"/>
        <v>46</v>
      </c>
      <c r="W20" s="42">
        <f t="shared" si="7"/>
        <v>46</v>
      </c>
      <c r="X20" s="42">
        <f t="shared" si="7"/>
        <v>43</v>
      </c>
      <c r="Y20" s="42">
        <f t="shared" si="7"/>
        <v>45</v>
      </c>
      <c r="Z20" s="42">
        <f t="shared" si="7"/>
        <v>43</v>
      </c>
      <c r="AA20" s="42">
        <f t="shared" si="7"/>
        <v>47</v>
      </c>
      <c r="AB20" s="42">
        <f t="shared" si="7"/>
        <v>47</v>
      </c>
      <c r="AC20" s="42">
        <f t="shared" si="7"/>
        <v>46</v>
      </c>
      <c r="AD20" s="42">
        <f t="shared" si="7"/>
        <v>46</v>
      </c>
      <c r="AE20" s="42">
        <f t="shared" si="7"/>
        <v>41</v>
      </c>
      <c r="AF20" s="42">
        <f t="shared" si="7"/>
        <v>44</v>
      </c>
      <c r="AG20" s="42">
        <f t="shared" si="7"/>
        <v>45</v>
      </c>
      <c r="AH20" s="42">
        <f t="shared" si="7"/>
        <v>43</v>
      </c>
      <c r="AI20" s="42"/>
    </row>
    <row r="21" spans="1:35" ht="27" customHeight="1" x14ac:dyDescent="0.3">
      <c r="B21" s="85" t="s">
        <v>65</v>
      </c>
      <c r="C21" s="85"/>
      <c r="D21" s="44"/>
      <c r="E21" s="60">
        <f>((E6+E8)+((E10+E12)*40%)+(E14+E16+E18+E20))</f>
        <v>44093.2</v>
      </c>
      <c r="F21" s="60">
        <f t="shared" ref="F21:AH21" si="8">((F6+F8)+((F10+F12)*40%)+(F14+F16+F18+F20))</f>
        <v>43981.2</v>
      </c>
      <c r="G21" s="60">
        <f t="shared" si="8"/>
        <v>43330.600000000006</v>
      </c>
      <c r="H21" s="60">
        <f t="shared" si="8"/>
        <v>44090</v>
      </c>
      <c r="I21" s="60">
        <f t="shared" si="8"/>
        <v>43683.199999999997</v>
      </c>
      <c r="J21" s="60">
        <f t="shared" si="8"/>
        <v>39412.600000000006</v>
      </c>
      <c r="K21" s="60">
        <f t="shared" si="8"/>
        <v>43428.600000000006</v>
      </c>
      <c r="L21" s="60">
        <f t="shared" si="8"/>
        <v>42464.800000000003</v>
      </c>
      <c r="M21" s="60">
        <f t="shared" si="8"/>
        <v>43700.4</v>
      </c>
      <c r="N21" s="60">
        <f t="shared" si="8"/>
        <v>43806</v>
      </c>
      <c r="O21" s="60">
        <f t="shared" si="8"/>
        <v>44919</v>
      </c>
      <c r="P21" s="60">
        <f t="shared" si="8"/>
        <v>44699.4</v>
      </c>
      <c r="Q21" s="60">
        <f t="shared" si="8"/>
        <v>45301.4</v>
      </c>
      <c r="R21" s="60">
        <f t="shared" si="8"/>
        <v>43495.4</v>
      </c>
      <c r="S21" s="60">
        <f t="shared" si="8"/>
        <v>39581.199999999997</v>
      </c>
      <c r="T21" s="60">
        <f t="shared" si="8"/>
        <v>40509.800000000003</v>
      </c>
      <c r="U21" s="60">
        <f t="shared" si="8"/>
        <v>44256.4</v>
      </c>
      <c r="V21" s="60">
        <f t="shared" si="8"/>
        <v>44086.600000000006</v>
      </c>
      <c r="W21" s="60">
        <f t="shared" si="8"/>
        <v>44767.600000000006</v>
      </c>
      <c r="X21" s="60">
        <f t="shared" si="8"/>
        <v>42402.400000000001</v>
      </c>
      <c r="Y21" s="60">
        <f t="shared" si="8"/>
        <v>44155</v>
      </c>
      <c r="Z21" s="60">
        <f t="shared" si="8"/>
        <v>46566.400000000001</v>
      </c>
      <c r="AA21" s="60">
        <f t="shared" si="8"/>
        <v>47479</v>
      </c>
      <c r="AB21" s="60">
        <f t="shared" si="8"/>
        <v>45482</v>
      </c>
      <c r="AC21" s="60">
        <f t="shared" si="8"/>
        <v>45307.199999999997</v>
      </c>
      <c r="AD21" s="60">
        <f t="shared" si="8"/>
        <v>46811.600000000006</v>
      </c>
      <c r="AE21" s="60">
        <f t="shared" si="8"/>
        <v>43118.400000000001</v>
      </c>
      <c r="AF21" s="60">
        <f t="shared" si="8"/>
        <v>46864.2</v>
      </c>
      <c r="AG21" s="60">
        <f t="shared" si="8"/>
        <v>46654.2</v>
      </c>
      <c r="AH21" s="60">
        <f t="shared" si="8"/>
        <v>43637.600000000006</v>
      </c>
      <c r="AI21" s="60"/>
    </row>
    <row r="22" spans="1:35" ht="27" customHeight="1" x14ac:dyDescent="0.3">
      <c r="B22" s="81" t="s">
        <v>66</v>
      </c>
      <c r="C22" s="81"/>
      <c r="D22" s="44"/>
      <c r="E22" s="60">
        <f>SUM(E21:AI21)</f>
        <v>1322085.4000000001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A37" sqref="A37:XFD39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6" t="s">
        <v>84</v>
      </c>
      <c r="B1" s="86"/>
      <c r="C1" s="86"/>
    </row>
    <row r="3" spans="1:7" ht="48" x14ac:dyDescent="0.25">
      <c r="A3" s="51" t="s">
        <v>19</v>
      </c>
      <c r="B3" s="52">
        <v>60633</v>
      </c>
      <c r="C3" s="53"/>
    </row>
    <row r="4" spans="1:7" ht="28.5" customHeight="1" x14ac:dyDescent="0.25">
      <c r="A4" s="54">
        <v>1</v>
      </c>
      <c r="B4" s="52"/>
      <c r="C4" s="53">
        <f>B3/30</f>
        <v>2021.1</v>
      </c>
    </row>
    <row r="5" spans="1:7" ht="28.5" customHeight="1" x14ac:dyDescent="0.25">
      <c r="A5" s="54">
        <v>2</v>
      </c>
      <c r="B5" s="52"/>
      <c r="C5" s="53">
        <v>2021.1</v>
      </c>
    </row>
    <row r="6" spans="1:7" ht="28.5" customHeight="1" x14ac:dyDescent="0.25">
      <c r="A6" s="55">
        <v>3</v>
      </c>
      <c r="B6" s="52"/>
      <c r="C6" s="53">
        <v>2021.1</v>
      </c>
    </row>
    <row r="7" spans="1:7" ht="28.5" customHeight="1" x14ac:dyDescent="0.25">
      <c r="A7" s="54">
        <v>4</v>
      </c>
      <c r="B7" s="52"/>
      <c r="C7" s="53">
        <v>2021.1</v>
      </c>
    </row>
    <row r="8" spans="1:7" ht="28.5" customHeight="1" x14ac:dyDescent="0.25">
      <c r="A8" s="54">
        <v>5</v>
      </c>
      <c r="B8" s="52"/>
      <c r="C8" s="53">
        <v>2021.1</v>
      </c>
    </row>
    <row r="9" spans="1:7" ht="28.5" customHeight="1" x14ac:dyDescent="0.25">
      <c r="A9" s="54">
        <v>6</v>
      </c>
      <c r="B9" s="52"/>
      <c r="C9" s="53">
        <v>2021.1</v>
      </c>
      <c r="G9" t="s">
        <v>75</v>
      </c>
    </row>
    <row r="10" spans="1:7" ht="28.5" customHeight="1" x14ac:dyDescent="0.25">
      <c r="A10" s="54">
        <v>7</v>
      </c>
      <c r="B10" s="52"/>
      <c r="C10" s="53">
        <v>2021.1</v>
      </c>
    </row>
    <row r="11" spans="1:7" ht="28.5" customHeight="1" x14ac:dyDescent="0.25">
      <c r="A11" s="54">
        <v>8</v>
      </c>
      <c r="B11" s="52"/>
      <c r="C11" s="53">
        <v>2021.1</v>
      </c>
    </row>
    <row r="12" spans="1:7" ht="28.5" customHeight="1" x14ac:dyDescent="0.25">
      <c r="A12" s="54">
        <v>9</v>
      </c>
      <c r="B12" s="52"/>
      <c r="C12" s="53">
        <v>2021.1</v>
      </c>
    </row>
    <row r="13" spans="1:7" ht="28.5" customHeight="1" x14ac:dyDescent="0.25">
      <c r="A13" s="54">
        <v>10</v>
      </c>
      <c r="B13" s="52"/>
      <c r="C13" s="53">
        <v>2021.1</v>
      </c>
    </row>
    <row r="14" spans="1:7" ht="28.5" customHeight="1" x14ac:dyDescent="0.25">
      <c r="A14" s="54">
        <v>11</v>
      </c>
      <c r="B14" s="52"/>
      <c r="C14" s="53">
        <v>2021.1</v>
      </c>
    </row>
    <row r="15" spans="1:7" ht="28.5" customHeight="1" x14ac:dyDescent="0.25">
      <c r="A15" s="54">
        <v>12</v>
      </c>
      <c r="B15" s="52"/>
      <c r="C15" s="53">
        <v>2021.1</v>
      </c>
    </row>
    <row r="16" spans="1:7" ht="28.5" customHeight="1" x14ac:dyDescent="0.25">
      <c r="A16" s="54">
        <v>13</v>
      </c>
      <c r="B16" s="52"/>
      <c r="C16" s="53">
        <v>2021.1</v>
      </c>
    </row>
    <row r="17" spans="1:4" ht="28.5" customHeight="1" x14ac:dyDescent="0.25">
      <c r="A17" s="54">
        <v>14</v>
      </c>
      <c r="B17" s="52"/>
      <c r="C17" s="53">
        <v>2021.1</v>
      </c>
    </row>
    <row r="18" spans="1:4" ht="28.5" customHeight="1" x14ac:dyDescent="0.25">
      <c r="A18" s="54">
        <v>15</v>
      </c>
      <c r="B18" s="52"/>
      <c r="C18" s="53">
        <v>2021.1</v>
      </c>
    </row>
    <row r="19" spans="1:4" ht="28.5" customHeight="1" x14ac:dyDescent="0.25">
      <c r="A19" s="54">
        <v>16</v>
      </c>
      <c r="B19" s="52"/>
      <c r="C19" s="53">
        <v>2021.1</v>
      </c>
    </row>
    <row r="20" spans="1:4" ht="28.5" customHeight="1" x14ac:dyDescent="0.25">
      <c r="A20" s="54">
        <v>17</v>
      </c>
      <c r="B20" s="52"/>
      <c r="C20" s="53">
        <v>2021.1</v>
      </c>
    </row>
    <row r="21" spans="1:4" ht="28.5" customHeight="1" x14ac:dyDescent="0.25">
      <c r="A21" s="54">
        <v>18</v>
      </c>
      <c r="B21" s="52"/>
      <c r="C21" s="53">
        <v>2021.1</v>
      </c>
    </row>
    <row r="22" spans="1:4" ht="28.5" customHeight="1" x14ac:dyDescent="0.25">
      <c r="A22" s="54">
        <v>19</v>
      </c>
      <c r="B22" s="52"/>
      <c r="C22" s="53">
        <v>2021.1</v>
      </c>
    </row>
    <row r="23" spans="1:4" ht="28.5" customHeight="1" x14ac:dyDescent="0.25">
      <c r="A23" s="54">
        <v>20</v>
      </c>
      <c r="B23" s="52"/>
      <c r="C23" s="53">
        <v>2021.1</v>
      </c>
    </row>
    <row r="24" spans="1:4" ht="28.5" customHeight="1" x14ac:dyDescent="0.25">
      <c r="A24" s="54">
        <v>21</v>
      </c>
      <c r="B24" s="52"/>
      <c r="C24" s="53">
        <v>2021.1</v>
      </c>
    </row>
    <row r="25" spans="1:4" ht="28.5" customHeight="1" x14ac:dyDescent="0.25">
      <c r="A25" s="54">
        <v>22</v>
      </c>
      <c r="B25" s="52"/>
      <c r="C25" s="53">
        <v>2021.1</v>
      </c>
    </row>
    <row r="26" spans="1:4" ht="28.5" customHeight="1" x14ac:dyDescent="0.25">
      <c r="A26" s="54">
        <v>23</v>
      </c>
      <c r="B26" s="56"/>
      <c r="C26" s="53">
        <v>2021.1</v>
      </c>
    </row>
    <row r="27" spans="1:4" ht="28.5" customHeight="1" x14ac:dyDescent="0.25">
      <c r="A27" s="54">
        <v>24</v>
      </c>
      <c r="B27" s="52"/>
      <c r="C27" s="53">
        <v>2021.1</v>
      </c>
    </row>
    <row r="28" spans="1:4" ht="28.5" customHeight="1" x14ac:dyDescent="0.25">
      <c r="A28" s="54">
        <v>25</v>
      </c>
      <c r="B28" s="52"/>
      <c r="C28" s="53">
        <v>2021.1</v>
      </c>
      <c r="D28" s="57"/>
    </row>
    <row r="29" spans="1:4" ht="28.5" customHeight="1" x14ac:dyDescent="0.25">
      <c r="A29" s="54">
        <v>26</v>
      </c>
      <c r="B29" s="52"/>
      <c r="C29" s="53">
        <v>2021.1</v>
      </c>
      <c r="D29" s="57"/>
    </row>
    <row r="30" spans="1:4" ht="28.5" customHeight="1" x14ac:dyDescent="0.25">
      <c r="A30" s="54">
        <v>27</v>
      </c>
      <c r="B30" s="52"/>
      <c r="C30" s="53">
        <v>2021.1</v>
      </c>
    </row>
    <row r="31" spans="1:4" ht="28.5" customHeight="1" x14ac:dyDescent="0.25">
      <c r="A31" s="54">
        <v>28</v>
      </c>
      <c r="B31" s="52"/>
      <c r="C31" s="53">
        <v>2021.1</v>
      </c>
    </row>
    <row r="32" spans="1:4" ht="28.5" customHeight="1" x14ac:dyDescent="0.25">
      <c r="A32" s="54">
        <v>29</v>
      </c>
      <c r="B32" s="56"/>
      <c r="C32" s="53">
        <v>2021.1</v>
      </c>
    </row>
    <row r="33" spans="1:3" ht="28.5" customHeight="1" x14ac:dyDescent="0.25">
      <c r="A33" s="54">
        <v>30</v>
      </c>
      <c r="B33" s="52"/>
      <c r="C33" s="53">
        <v>2021.1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87" t="s">
        <v>76</v>
      </c>
      <c r="B35" s="87"/>
      <c r="C35" s="58">
        <f>SUM(C4:C34)</f>
        <v>60632.999999999971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D7" sqref="D7:AH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0" t="s">
        <v>85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42" s="8" customFormat="1" ht="30" customHeight="1" thickBot="1" x14ac:dyDescent="0.3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/>
    </row>
    <row r="5" spans="1:42" s="8" customFormat="1" ht="40.5" customHeight="1" thickBot="1" x14ac:dyDescent="0.3">
      <c r="A5" s="93" t="s">
        <v>20</v>
      </c>
      <c r="B5" s="27" t="s">
        <v>48</v>
      </c>
      <c r="C5" s="95" t="s">
        <v>49</v>
      </c>
      <c r="D5" s="31">
        <v>121045</v>
      </c>
      <c r="E5" s="31">
        <v>121430</v>
      </c>
      <c r="F5" s="31">
        <v>121771</v>
      </c>
      <c r="G5" s="31">
        <v>122137</v>
      </c>
      <c r="H5" s="31">
        <v>122528</v>
      </c>
      <c r="I5" s="31">
        <v>122892</v>
      </c>
      <c r="J5" s="31">
        <v>123199</v>
      </c>
      <c r="K5" s="31">
        <v>123558</v>
      </c>
      <c r="L5" s="31">
        <v>123870</v>
      </c>
      <c r="M5" s="31">
        <v>124210</v>
      </c>
      <c r="N5" s="31">
        <v>124597</v>
      </c>
      <c r="O5" s="31">
        <v>124985</v>
      </c>
      <c r="P5" s="31">
        <v>125349</v>
      </c>
      <c r="Q5" s="31">
        <v>125718</v>
      </c>
      <c r="R5" s="31">
        <v>126032</v>
      </c>
      <c r="S5" s="31">
        <v>126329</v>
      </c>
      <c r="T5" s="31">
        <v>126624</v>
      </c>
      <c r="U5" s="31">
        <v>126951</v>
      </c>
      <c r="V5" s="31">
        <v>127332</v>
      </c>
      <c r="W5" s="31">
        <v>127661</v>
      </c>
      <c r="X5" s="31">
        <v>128042</v>
      </c>
      <c r="Y5" s="31">
        <v>128373</v>
      </c>
      <c r="Z5" s="31">
        <v>128723</v>
      </c>
      <c r="AA5" s="31">
        <v>129067</v>
      </c>
      <c r="AB5" s="31">
        <v>129440</v>
      </c>
      <c r="AC5" s="31">
        <v>129794</v>
      </c>
      <c r="AD5" s="31">
        <v>130018</v>
      </c>
      <c r="AE5" s="31">
        <v>130436</v>
      </c>
      <c r="AF5" s="31">
        <v>130748</v>
      </c>
      <c r="AG5" s="31">
        <v>130939</v>
      </c>
      <c r="AH5" s="31">
        <v>131209</v>
      </c>
      <c r="AI5" s="31"/>
    </row>
    <row r="6" spans="1:42" s="34" customFormat="1" ht="25.7" customHeight="1" thickBot="1" x14ac:dyDescent="0.3">
      <c r="A6" s="94"/>
      <c r="B6" s="32"/>
      <c r="C6" s="95"/>
      <c r="D6" s="33"/>
      <c r="E6" s="33">
        <f>E5-D5</f>
        <v>385</v>
      </c>
      <c r="F6" s="33">
        <f t="shared" ref="F6:AH6" si="0">F5-E5</f>
        <v>341</v>
      </c>
      <c r="G6" s="33">
        <f t="shared" si="0"/>
        <v>366</v>
      </c>
      <c r="H6" s="33">
        <f t="shared" si="0"/>
        <v>391</v>
      </c>
      <c r="I6" s="33">
        <f t="shared" si="0"/>
        <v>364</v>
      </c>
      <c r="J6" s="33">
        <f t="shared" si="0"/>
        <v>307</v>
      </c>
      <c r="K6" s="33">
        <f t="shared" si="0"/>
        <v>359</v>
      </c>
      <c r="L6" s="33">
        <f t="shared" si="0"/>
        <v>312</v>
      </c>
      <c r="M6" s="33">
        <f t="shared" si="0"/>
        <v>340</v>
      </c>
      <c r="N6" s="33">
        <f t="shared" si="0"/>
        <v>387</v>
      </c>
      <c r="O6" s="33">
        <f t="shared" si="0"/>
        <v>388</v>
      </c>
      <c r="P6" s="33">
        <f t="shared" si="0"/>
        <v>364</v>
      </c>
      <c r="Q6" s="33">
        <f t="shared" si="0"/>
        <v>369</v>
      </c>
      <c r="R6" s="33">
        <f t="shared" si="0"/>
        <v>314</v>
      </c>
      <c r="S6" s="33">
        <f t="shared" si="0"/>
        <v>297</v>
      </c>
      <c r="T6" s="33">
        <f t="shared" si="0"/>
        <v>295</v>
      </c>
      <c r="U6" s="33">
        <f t="shared" si="0"/>
        <v>327</v>
      </c>
      <c r="V6" s="33">
        <f t="shared" si="0"/>
        <v>381</v>
      </c>
      <c r="W6" s="33">
        <f t="shared" si="0"/>
        <v>329</v>
      </c>
      <c r="X6" s="33">
        <f t="shared" si="0"/>
        <v>381</v>
      </c>
      <c r="Y6" s="33">
        <f t="shared" si="0"/>
        <v>331</v>
      </c>
      <c r="Z6" s="33">
        <f t="shared" si="0"/>
        <v>350</v>
      </c>
      <c r="AA6" s="33">
        <f t="shared" si="0"/>
        <v>344</v>
      </c>
      <c r="AB6" s="33">
        <f t="shared" si="0"/>
        <v>373</v>
      </c>
      <c r="AC6" s="33">
        <f t="shared" si="0"/>
        <v>354</v>
      </c>
      <c r="AD6" s="33">
        <f t="shared" si="0"/>
        <v>224</v>
      </c>
      <c r="AE6" s="33">
        <f t="shared" si="0"/>
        <v>418</v>
      </c>
      <c r="AF6" s="33">
        <f t="shared" si="0"/>
        <v>312</v>
      </c>
      <c r="AG6" s="33">
        <f t="shared" si="0"/>
        <v>191</v>
      </c>
      <c r="AH6" s="33">
        <f t="shared" si="0"/>
        <v>270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3" t="s">
        <v>22</v>
      </c>
      <c r="B7" s="49" t="s">
        <v>69</v>
      </c>
      <c r="C7" s="95" t="s">
        <v>70</v>
      </c>
      <c r="D7" s="31">
        <v>402587.5</v>
      </c>
      <c r="E7" s="31">
        <v>402612.5</v>
      </c>
      <c r="F7" s="31">
        <v>402641.3</v>
      </c>
      <c r="G7" s="31">
        <v>402671.9</v>
      </c>
      <c r="H7" s="31">
        <v>402705.5</v>
      </c>
      <c r="I7" s="31">
        <v>402734.5</v>
      </c>
      <c r="J7" s="31">
        <v>402768.2</v>
      </c>
      <c r="K7" s="31">
        <v>402799.5</v>
      </c>
      <c r="L7" s="31">
        <v>402821.4</v>
      </c>
      <c r="M7" s="31">
        <v>402853.6</v>
      </c>
      <c r="N7" s="31">
        <v>402888.3</v>
      </c>
      <c r="O7" s="31">
        <v>402924.7</v>
      </c>
      <c r="P7" s="31">
        <v>402965.5</v>
      </c>
      <c r="Q7" s="31">
        <v>403004.9</v>
      </c>
      <c r="R7" s="31">
        <v>403043.5</v>
      </c>
      <c r="S7" s="31">
        <v>403081.7</v>
      </c>
      <c r="T7" s="31">
        <v>403112.8</v>
      </c>
      <c r="U7" s="31">
        <v>403146.5</v>
      </c>
      <c r="V7" s="31">
        <v>403177.3</v>
      </c>
      <c r="W7" s="31">
        <v>403213.4</v>
      </c>
      <c r="X7" s="31">
        <v>403247.1</v>
      </c>
      <c r="Y7" s="31">
        <v>403283.3</v>
      </c>
      <c r="Z7" s="31">
        <v>403309.9</v>
      </c>
      <c r="AA7" s="31">
        <v>403348.1</v>
      </c>
      <c r="AB7" s="31">
        <v>403389</v>
      </c>
      <c r="AC7" s="31">
        <v>403433.4</v>
      </c>
      <c r="AD7" s="31">
        <v>403479.5</v>
      </c>
      <c r="AE7" s="31">
        <v>403513.2</v>
      </c>
      <c r="AF7" s="31">
        <v>403552</v>
      </c>
      <c r="AG7" s="31">
        <v>403589.6</v>
      </c>
      <c r="AH7" s="31">
        <v>403623.1</v>
      </c>
      <c r="AI7" s="31"/>
    </row>
    <row r="8" spans="1:42" s="34" customFormat="1" ht="25.7" customHeight="1" thickBot="1" x14ac:dyDescent="0.3">
      <c r="A8" s="94"/>
      <c r="B8" s="47"/>
      <c r="C8" s="95"/>
      <c r="D8" s="33"/>
      <c r="E8" s="33">
        <f>E7-D7</f>
        <v>25</v>
      </c>
      <c r="F8" s="33">
        <f t="shared" ref="F8:AH8" si="1">F7-E7</f>
        <v>28.799999999988358</v>
      </c>
      <c r="G8" s="33">
        <f t="shared" si="1"/>
        <v>30.600000000034925</v>
      </c>
      <c r="H8" s="33">
        <f t="shared" si="1"/>
        <v>33.599999999976717</v>
      </c>
      <c r="I8" s="33">
        <f t="shared" si="1"/>
        <v>29</v>
      </c>
      <c r="J8" s="33">
        <f t="shared" si="1"/>
        <v>33.700000000011642</v>
      </c>
      <c r="K8" s="33">
        <f t="shared" si="1"/>
        <v>31.299999999988358</v>
      </c>
      <c r="L8" s="33">
        <f t="shared" si="1"/>
        <v>21.900000000023283</v>
      </c>
      <c r="M8" s="33">
        <f t="shared" si="1"/>
        <v>32.199999999953434</v>
      </c>
      <c r="N8" s="33">
        <f t="shared" si="1"/>
        <v>34.700000000011642</v>
      </c>
      <c r="O8" s="33">
        <f t="shared" si="1"/>
        <v>36.400000000023283</v>
      </c>
      <c r="P8" s="33">
        <f t="shared" si="1"/>
        <v>40.799999999988358</v>
      </c>
      <c r="Q8" s="33">
        <f t="shared" si="1"/>
        <v>39.400000000023283</v>
      </c>
      <c r="R8" s="33">
        <f t="shared" si="1"/>
        <v>38.599999999976717</v>
      </c>
      <c r="S8" s="33">
        <f t="shared" si="1"/>
        <v>38.200000000011642</v>
      </c>
      <c r="T8" s="33">
        <f t="shared" si="1"/>
        <v>31.099999999976717</v>
      </c>
      <c r="U8" s="33">
        <f t="shared" si="1"/>
        <v>33.700000000011642</v>
      </c>
      <c r="V8" s="33">
        <f t="shared" si="1"/>
        <v>30.799999999988358</v>
      </c>
      <c r="W8" s="33">
        <f t="shared" si="1"/>
        <v>36.100000000034925</v>
      </c>
      <c r="X8" s="33">
        <f t="shared" si="1"/>
        <v>33.699999999953434</v>
      </c>
      <c r="Y8" s="33">
        <f t="shared" si="1"/>
        <v>36.200000000011642</v>
      </c>
      <c r="Z8" s="33">
        <f t="shared" si="1"/>
        <v>26.600000000034925</v>
      </c>
      <c r="AA8" s="33">
        <f t="shared" si="1"/>
        <v>38.199999999953434</v>
      </c>
      <c r="AB8" s="33">
        <f t="shared" si="1"/>
        <v>40.900000000023283</v>
      </c>
      <c r="AC8" s="33">
        <f t="shared" si="1"/>
        <v>44.400000000023283</v>
      </c>
      <c r="AD8" s="33">
        <f t="shared" si="1"/>
        <v>46.099999999976717</v>
      </c>
      <c r="AE8" s="33">
        <f t="shared" si="1"/>
        <v>33.700000000011642</v>
      </c>
      <c r="AF8" s="33">
        <f t="shared" si="1"/>
        <v>38.799999999988358</v>
      </c>
      <c r="AG8" s="33">
        <f t="shared" si="1"/>
        <v>37.599999999976717</v>
      </c>
      <c r="AH8" s="33">
        <f t="shared" si="1"/>
        <v>33.5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3">
        <v>4</v>
      </c>
      <c r="B9" s="46" t="s">
        <v>67</v>
      </c>
      <c r="C9" s="95" t="s">
        <v>68</v>
      </c>
      <c r="D9" s="31">
        <v>1078</v>
      </c>
      <c r="E9" s="31">
        <v>1133</v>
      </c>
      <c r="F9" s="31">
        <v>1280</v>
      </c>
      <c r="G9" s="31">
        <v>1456</v>
      </c>
      <c r="H9" s="31">
        <v>1660</v>
      </c>
      <c r="I9" s="31">
        <v>1821</v>
      </c>
      <c r="J9" s="31">
        <v>1968</v>
      </c>
      <c r="K9" s="31">
        <v>2137</v>
      </c>
      <c r="L9" s="31">
        <v>2160</v>
      </c>
      <c r="M9" s="31">
        <v>2315</v>
      </c>
      <c r="N9" s="31">
        <v>2506</v>
      </c>
      <c r="O9" s="31">
        <v>2695</v>
      </c>
      <c r="P9" s="31">
        <v>2887</v>
      </c>
      <c r="Q9" s="31">
        <v>3057</v>
      </c>
      <c r="R9" s="31">
        <v>3233</v>
      </c>
      <c r="S9" s="31">
        <v>3416</v>
      </c>
      <c r="T9" s="31">
        <v>3517</v>
      </c>
      <c r="U9" s="31">
        <v>3679</v>
      </c>
      <c r="V9" s="31">
        <v>3725</v>
      </c>
      <c r="W9" s="31">
        <v>3905</v>
      </c>
      <c r="X9" s="31">
        <v>4096</v>
      </c>
      <c r="Y9" s="31">
        <v>4293</v>
      </c>
      <c r="Z9" s="31">
        <v>4313</v>
      </c>
      <c r="AA9" s="31">
        <v>4468</v>
      </c>
      <c r="AB9" s="31">
        <v>4618</v>
      </c>
      <c r="AC9" s="31">
        <v>4786</v>
      </c>
      <c r="AD9" s="31">
        <v>4991</v>
      </c>
      <c r="AE9" s="31">
        <v>5170</v>
      </c>
      <c r="AF9" s="31">
        <v>5362</v>
      </c>
      <c r="AG9" s="31">
        <v>5413</v>
      </c>
      <c r="AH9" s="31">
        <v>5589</v>
      </c>
      <c r="AI9" s="31"/>
    </row>
    <row r="10" spans="1:42" s="34" customFormat="1" ht="25.7" customHeight="1" thickBot="1" x14ac:dyDescent="0.3">
      <c r="A10" s="94"/>
      <c r="B10" s="47"/>
      <c r="C10" s="95"/>
      <c r="D10" s="33"/>
      <c r="E10" s="33">
        <f t="shared" ref="E10:AH10" si="2">E9-D9</f>
        <v>55</v>
      </c>
      <c r="F10" s="33">
        <f t="shared" si="2"/>
        <v>147</v>
      </c>
      <c r="G10" s="33">
        <f t="shared" si="2"/>
        <v>176</v>
      </c>
      <c r="H10" s="33">
        <f t="shared" si="2"/>
        <v>204</v>
      </c>
      <c r="I10" s="33">
        <f t="shared" si="2"/>
        <v>161</v>
      </c>
      <c r="J10" s="33">
        <f t="shared" si="2"/>
        <v>147</v>
      </c>
      <c r="K10" s="33">
        <f t="shared" si="2"/>
        <v>169</v>
      </c>
      <c r="L10" s="33">
        <f t="shared" si="2"/>
        <v>23</v>
      </c>
      <c r="M10" s="33">
        <f t="shared" si="2"/>
        <v>155</v>
      </c>
      <c r="N10" s="33">
        <f t="shared" si="2"/>
        <v>191</v>
      </c>
      <c r="O10" s="33">
        <f t="shared" si="2"/>
        <v>189</v>
      </c>
      <c r="P10" s="33">
        <f t="shared" si="2"/>
        <v>192</v>
      </c>
      <c r="Q10" s="33">
        <f t="shared" si="2"/>
        <v>170</v>
      </c>
      <c r="R10" s="33">
        <f t="shared" si="2"/>
        <v>176</v>
      </c>
      <c r="S10" s="33">
        <f t="shared" si="2"/>
        <v>183</v>
      </c>
      <c r="T10" s="33">
        <f t="shared" si="2"/>
        <v>101</v>
      </c>
      <c r="U10" s="33">
        <f t="shared" si="2"/>
        <v>162</v>
      </c>
      <c r="V10" s="33">
        <f t="shared" si="2"/>
        <v>46</v>
      </c>
      <c r="W10" s="33">
        <f t="shared" si="2"/>
        <v>180</v>
      </c>
      <c r="X10" s="33">
        <f t="shared" si="2"/>
        <v>191</v>
      </c>
      <c r="Y10" s="33">
        <f t="shared" si="2"/>
        <v>197</v>
      </c>
      <c r="Z10" s="33">
        <f t="shared" si="2"/>
        <v>20</v>
      </c>
      <c r="AA10" s="33">
        <f t="shared" si="2"/>
        <v>155</v>
      </c>
      <c r="AB10" s="33">
        <f t="shared" si="2"/>
        <v>150</v>
      </c>
      <c r="AC10" s="33">
        <f t="shared" si="2"/>
        <v>168</v>
      </c>
      <c r="AD10" s="33">
        <f t="shared" si="2"/>
        <v>205</v>
      </c>
      <c r="AE10" s="33">
        <f t="shared" si="2"/>
        <v>179</v>
      </c>
      <c r="AF10" s="33">
        <f t="shared" si="2"/>
        <v>192</v>
      </c>
      <c r="AG10" s="33">
        <f t="shared" si="2"/>
        <v>51</v>
      </c>
      <c r="AH10" s="33">
        <f t="shared" si="2"/>
        <v>176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6">
        <v>5</v>
      </c>
      <c r="B11" s="27">
        <v>68864837</v>
      </c>
      <c r="C11" s="95" t="s">
        <v>74</v>
      </c>
      <c r="D11" s="31">
        <v>2002.4480000000001</v>
      </c>
      <c r="E11" s="31">
        <v>2004.12</v>
      </c>
      <c r="F11" s="31">
        <v>2006.519</v>
      </c>
      <c r="G11" s="31">
        <v>2009.2550000000001</v>
      </c>
      <c r="H11" s="31">
        <v>2010.9480000000001</v>
      </c>
      <c r="I11" s="31">
        <v>2011.95</v>
      </c>
      <c r="J11" s="31">
        <v>2013.914</v>
      </c>
      <c r="K11" s="31">
        <v>2015.7380000000001</v>
      </c>
      <c r="L11" s="31">
        <v>2017.5</v>
      </c>
      <c r="M11" s="31">
        <v>2018.1659999999999</v>
      </c>
      <c r="N11" s="31">
        <v>2020.9110000000001</v>
      </c>
      <c r="O11" s="31">
        <v>2022.289</v>
      </c>
      <c r="P11" s="31">
        <v>2023.2260000000001</v>
      </c>
      <c r="Q11" s="31">
        <v>2024.412</v>
      </c>
      <c r="R11" s="31">
        <v>2025.566</v>
      </c>
      <c r="S11" s="31">
        <v>2026.6590000000001</v>
      </c>
      <c r="T11" s="31">
        <v>2029.2940000000001</v>
      </c>
      <c r="U11" s="31">
        <v>2030.2329999999999</v>
      </c>
      <c r="V11" s="31">
        <v>2032.249</v>
      </c>
      <c r="W11" s="31">
        <v>2033.7739999999999</v>
      </c>
      <c r="X11" s="31">
        <v>2035.115</v>
      </c>
      <c r="Y11" s="31">
        <v>2037.232</v>
      </c>
      <c r="Z11" s="31">
        <v>2040.097</v>
      </c>
      <c r="AA11" s="31">
        <v>2041.145</v>
      </c>
      <c r="AB11" s="31">
        <v>2042.32</v>
      </c>
      <c r="AC11" s="31">
        <v>2043.3689999999999</v>
      </c>
      <c r="AD11" s="31">
        <v>2044.66</v>
      </c>
      <c r="AE11" s="31">
        <v>2046.7560000000001</v>
      </c>
      <c r="AF11" s="31">
        <v>2048.241</v>
      </c>
      <c r="AG11" s="31">
        <v>2049.5410000000002</v>
      </c>
      <c r="AH11" s="31">
        <v>2050.8359999999998</v>
      </c>
      <c r="AI11" s="31"/>
    </row>
    <row r="12" spans="1:42" s="8" customFormat="1" ht="25.7" customHeight="1" thickBot="1" x14ac:dyDescent="0.3">
      <c r="A12" s="97"/>
      <c r="B12" s="48"/>
      <c r="C12" s="95"/>
      <c r="D12" s="33"/>
      <c r="E12" s="33">
        <f>E11-D11</f>
        <v>1.6719999999997981</v>
      </c>
      <c r="F12" s="33">
        <f t="shared" ref="F12:AH12" si="3">F11-E11</f>
        <v>2.3990000000001146</v>
      </c>
      <c r="G12" s="33">
        <f t="shared" si="3"/>
        <v>2.7360000000001037</v>
      </c>
      <c r="H12" s="33">
        <f t="shared" si="3"/>
        <v>1.6929999999999836</v>
      </c>
      <c r="I12" s="33">
        <f t="shared" si="3"/>
        <v>1.0019999999999527</v>
      </c>
      <c r="J12" s="33">
        <f t="shared" si="3"/>
        <v>1.9639999999999418</v>
      </c>
      <c r="K12" s="33">
        <f t="shared" si="3"/>
        <v>1.8240000000000691</v>
      </c>
      <c r="L12" s="33">
        <f t="shared" si="3"/>
        <v>1.7619999999999436</v>
      </c>
      <c r="M12" s="33">
        <f t="shared" si="3"/>
        <v>0.66599999999993997</v>
      </c>
      <c r="N12" s="33">
        <f t="shared" si="3"/>
        <v>2.7450000000001182</v>
      </c>
      <c r="O12" s="33">
        <f t="shared" si="3"/>
        <v>1.3779999999999291</v>
      </c>
      <c r="P12" s="33">
        <f t="shared" si="3"/>
        <v>0.93700000000012551</v>
      </c>
      <c r="Q12" s="33">
        <f t="shared" si="3"/>
        <v>1.1859999999999218</v>
      </c>
      <c r="R12" s="33">
        <f t="shared" si="3"/>
        <v>1.1539999999999964</v>
      </c>
      <c r="S12" s="33">
        <f t="shared" si="3"/>
        <v>1.0930000000000746</v>
      </c>
      <c r="T12" s="33">
        <f t="shared" si="3"/>
        <v>2.6349999999999909</v>
      </c>
      <c r="U12" s="33">
        <f t="shared" si="3"/>
        <v>0.93899999999985084</v>
      </c>
      <c r="V12" s="33">
        <f t="shared" si="3"/>
        <v>2.0160000000000764</v>
      </c>
      <c r="W12" s="33">
        <f t="shared" si="3"/>
        <v>1.5249999999998636</v>
      </c>
      <c r="X12" s="33">
        <f t="shared" si="3"/>
        <v>1.3410000000001219</v>
      </c>
      <c r="Y12" s="33">
        <f t="shared" si="3"/>
        <v>2.1169999999999618</v>
      </c>
      <c r="Z12" s="33">
        <f t="shared" si="3"/>
        <v>2.8650000000000091</v>
      </c>
      <c r="AA12" s="33">
        <f t="shared" si="3"/>
        <v>1.0480000000000018</v>
      </c>
      <c r="AB12" s="33">
        <f t="shared" si="3"/>
        <v>1.1749999999999545</v>
      </c>
      <c r="AC12" s="33">
        <f t="shared" si="3"/>
        <v>1.0489999999999782</v>
      </c>
      <c r="AD12" s="33">
        <f t="shared" si="3"/>
        <v>1.2910000000001673</v>
      </c>
      <c r="AE12" s="33">
        <f t="shared" si="3"/>
        <v>2.0960000000000036</v>
      </c>
      <c r="AF12" s="33">
        <f t="shared" si="3"/>
        <v>1.4849999999999</v>
      </c>
      <c r="AG12" s="33">
        <f t="shared" si="3"/>
        <v>1.3000000000001819</v>
      </c>
      <c r="AH12" s="33">
        <f t="shared" si="3"/>
        <v>1.294999999999618</v>
      </c>
      <c r="AI12" s="33"/>
    </row>
    <row r="13" spans="1:42" s="8" customFormat="1" ht="25.7" customHeight="1" thickBot="1" x14ac:dyDescent="0.3">
      <c r="A13" s="96">
        <v>6</v>
      </c>
      <c r="B13" s="27">
        <v>65296485</v>
      </c>
      <c r="C13" s="95" t="s">
        <v>73</v>
      </c>
      <c r="D13" s="31">
        <v>2473.808</v>
      </c>
      <c r="E13" s="31">
        <v>2477.85</v>
      </c>
      <c r="F13" s="31">
        <v>2480.1999999999998</v>
      </c>
      <c r="G13" s="31">
        <v>2485.5</v>
      </c>
      <c r="H13" s="31">
        <v>2490.5</v>
      </c>
      <c r="I13" s="31">
        <v>2495.5</v>
      </c>
      <c r="J13" s="31">
        <v>2495.5</v>
      </c>
      <c r="K13" s="31">
        <v>2500.67</v>
      </c>
      <c r="L13" s="31">
        <v>2503.375</v>
      </c>
      <c r="M13" s="31">
        <v>2505.3200000000002</v>
      </c>
      <c r="N13" s="31">
        <v>2506.6289999999999</v>
      </c>
      <c r="O13" s="31">
        <v>2508.7930000000001</v>
      </c>
      <c r="P13" s="31">
        <v>2510.4690000000001</v>
      </c>
      <c r="Q13" s="31">
        <v>2511.5889999999999</v>
      </c>
      <c r="R13" s="31">
        <v>2512.29</v>
      </c>
      <c r="S13" s="31">
        <v>2514.5039999999999</v>
      </c>
      <c r="T13" s="31">
        <v>2518.4340000000002</v>
      </c>
      <c r="U13" s="31">
        <v>2521.819</v>
      </c>
      <c r="V13" s="31">
        <v>2524.7950000000001</v>
      </c>
      <c r="W13" s="31">
        <v>2527.9679999999998</v>
      </c>
      <c r="X13" s="31">
        <v>2531.732</v>
      </c>
      <c r="Y13" s="31">
        <v>2535.011</v>
      </c>
      <c r="Z13" s="31">
        <v>2539.3159999999998</v>
      </c>
      <c r="AA13" s="31">
        <v>2548.15</v>
      </c>
      <c r="AB13" s="31">
        <v>2550.5340000000001</v>
      </c>
      <c r="AC13" s="31">
        <v>2554.087</v>
      </c>
      <c r="AD13" s="31">
        <v>2556.8560000000002</v>
      </c>
      <c r="AE13" s="31">
        <v>2564.895</v>
      </c>
      <c r="AF13" s="31">
        <v>2567.3989999999999</v>
      </c>
      <c r="AG13" s="31">
        <v>2571.0340000000001</v>
      </c>
      <c r="AH13" s="31">
        <v>2573.518</v>
      </c>
      <c r="AI13" s="31"/>
    </row>
    <row r="14" spans="1:42" s="8" customFormat="1" ht="25.7" customHeight="1" thickBot="1" x14ac:dyDescent="0.3">
      <c r="A14" s="97"/>
      <c r="B14" s="48"/>
      <c r="C14" s="95"/>
      <c r="D14" s="33"/>
      <c r="E14" s="33">
        <f>E13-D13</f>
        <v>4.0419999999999163</v>
      </c>
      <c r="F14" s="33">
        <f t="shared" ref="F14:AH14" si="4">F13-E13</f>
        <v>2.3499999999999091</v>
      </c>
      <c r="G14" s="33">
        <f t="shared" si="4"/>
        <v>5.3000000000001819</v>
      </c>
      <c r="H14" s="33">
        <f t="shared" si="4"/>
        <v>5</v>
      </c>
      <c r="I14" s="33">
        <f t="shared" si="4"/>
        <v>5</v>
      </c>
      <c r="J14" s="33">
        <f t="shared" si="4"/>
        <v>0</v>
      </c>
      <c r="K14" s="33">
        <f t="shared" si="4"/>
        <v>5.1700000000000728</v>
      </c>
      <c r="L14" s="33">
        <f t="shared" si="4"/>
        <v>2.7049999999999272</v>
      </c>
      <c r="M14" s="33">
        <f t="shared" si="4"/>
        <v>1.9450000000001637</v>
      </c>
      <c r="N14" s="33">
        <f t="shared" si="4"/>
        <v>1.3089999999997417</v>
      </c>
      <c r="O14" s="33">
        <f t="shared" si="4"/>
        <v>2.1640000000002146</v>
      </c>
      <c r="P14" s="33">
        <f t="shared" si="4"/>
        <v>1.6759999999999309</v>
      </c>
      <c r="Q14" s="33">
        <f t="shared" si="4"/>
        <v>1.1199999999998909</v>
      </c>
      <c r="R14" s="33">
        <f t="shared" si="4"/>
        <v>0.70100000000002183</v>
      </c>
      <c r="S14" s="33">
        <f t="shared" si="4"/>
        <v>2.2139999999999418</v>
      </c>
      <c r="T14" s="33">
        <f t="shared" si="4"/>
        <v>3.930000000000291</v>
      </c>
      <c r="U14" s="33">
        <f t="shared" si="4"/>
        <v>3.3849999999997635</v>
      </c>
      <c r="V14" s="33">
        <f t="shared" si="4"/>
        <v>2.9760000000001128</v>
      </c>
      <c r="W14" s="33">
        <f t="shared" si="4"/>
        <v>3.1729999999997744</v>
      </c>
      <c r="X14" s="33">
        <f t="shared" si="4"/>
        <v>3.7640000000001237</v>
      </c>
      <c r="Y14" s="33">
        <f t="shared" si="4"/>
        <v>3.2789999999999964</v>
      </c>
      <c r="Z14" s="33">
        <f t="shared" si="4"/>
        <v>4.3049999999998363</v>
      </c>
      <c r="AA14" s="33">
        <f t="shared" si="4"/>
        <v>8.8340000000002874</v>
      </c>
      <c r="AB14" s="33">
        <f t="shared" si="4"/>
        <v>2.3840000000000146</v>
      </c>
      <c r="AC14" s="33">
        <f t="shared" si="4"/>
        <v>3.5529999999998836</v>
      </c>
      <c r="AD14" s="33">
        <f t="shared" si="4"/>
        <v>2.7690000000002328</v>
      </c>
      <c r="AE14" s="33">
        <f t="shared" si="4"/>
        <v>8.0389999999997599</v>
      </c>
      <c r="AF14" s="33">
        <f t="shared" si="4"/>
        <v>2.5039999999999054</v>
      </c>
      <c r="AG14" s="33">
        <f t="shared" si="4"/>
        <v>3.6350000000002183</v>
      </c>
      <c r="AH14" s="33">
        <f t="shared" si="4"/>
        <v>2.4839999999999236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9" t="s">
        <v>71</v>
      </c>
      <c r="C15" s="89"/>
      <c r="D15" s="50"/>
      <c r="E15" s="59">
        <f>E6+((E8*45%)+(E10*45%)+(E12+E14))</f>
        <v>426.71399999999971</v>
      </c>
      <c r="F15" s="59">
        <f t="shared" ref="F15:AI15" si="5">F6+((F8*45%)+(F10*45%)+(F12+F14))</f>
        <v>424.85899999999481</v>
      </c>
      <c r="G15" s="59">
        <f t="shared" si="5"/>
        <v>467.006000000016</v>
      </c>
      <c r="H15" s="59">
        <f t="shared" si="5"/>
        <v>504.61299999998948</v>
      </c>
      <c r="I15" s="59">
        <f t="shared" si="5"/>
        <v>455.50199999999995</v>
      </c>
      <c r="J15" s="59">
        <f t="shared" si="5"/>
        <v>390.27900000000517</v>
      </c>
      <c r="K15" s="59">
        <f t="shared" si="5"/>
        <v>456.1289999999949</v>
      </c>
      <c r="L15" s="59">
        <f t="shared" si="5"/>
        <v>336.67200000001037</v>
      </c>
      <c r="M15" s="59">
        <f t="shared" si="5"/>
        <v>426.85099999997914</v>
      </c>
      <c r="N15" s="59">
        <f t="shared" si="5"/>
        <v>492.61900000000509</v>
      </c>
      <c r="O15" s="59">
        <f t="shared" si="5"/>
        <v>492.97200000001061</v>
      </c>
      <c r="P15" s="59">
        <f t="shared" si="5"/>
        <v>471.37299999999482</v>
      </c>
      <c r="Q15" s="59">
        <f t="shared" si="5"/>
        <v>465.53600000001029</v>
      </c>
      <c r="R15" s="59">
        <f t="shared" si="5"/>
        <v>412.42499999998955</v>
      </c>
      <c r="S15" s="59">
        <f t="shared" si="5"/>
        <v>399.84700000000527</v>
      </c>
      <c r="T15" s="59">
        <f t="shared" si="5"/>
        <v>361.00999999998982</v>
      </c>
      <c r="U15" s="59">
        <f t="shared" si="5"/>
        <v>419.38900000000484</v>
      </c>
      <c r="V15" s="59">
        <f t="shared" si="5"/>
        <v>420.55199999999496</v>
      </c>
      <c r="W15" s="59">
        <f t="shared" si="5"/>
        <v>430.94300000001533</v>
      </c>
      <c r="X15" s="59">
        <f t="shared" si="5"/>
        <v>487.21999999997928</v>
      </c>
      <c r="Y15" s="59">
        <f t="shared" si="5"/>
        <v>441.33600000000519</v>
      </c>
      <c r="Z15" s="59">
        <f t="shared" si="5"/>
        <v>378.14000000001556</v>
      </c>
      <c r="AA15" s="59">
        <f t="shared" si="5"/>
        <v>440.82199999997931</v>
      </c>
      <c r="AB15" s="59">
        <f t="shared" si="5"/>
        <v>462.46400000001046</v>
      </c>
      <c r="AC15" s="59">
        <f t="shared" si="5"/>
        <v>454.18200000001036</v>
      </c>
      <c r="AD15" s="59">
        <f t="shared" si="5"/>
        <v>341.05499999998995</v>
      </c>
      <c r="AE15" s="59">
        <f t="shared" si="5"/>
        <v>523.85000000000502</v>
      </c>
      <c r="AF15" s="59">
        <f t="shared" si="5"/>
        <v>419.84899999999459</v>
      </c>
      <c r="AG15" s="59">
        <f t="shared" si="5"/>
        <v>235.80499999998992</v>
      </c>
      <c r="AH15" s="59">
        <f t="shared" si="5"/>
        <v>368.05399999999952</v>
      </c>
      <c r="AI15" s="59">
        <f t="shared" si="5"/>
        <v>0</v>
      </c>
    </row>
    <row r="16" spans="1:42" ht="33" customHeight="1" x14ac:dyDescent="0.25">
      <c r="B16" s="88" t="s">
        <v>72</v>
      </c>
      <c r="C16" s="88"/>
      <c r="D16" s="50"/>
      <c r="E16" s="59">
        <f>SUM(E15:AI15)</f>
        <v>12808.06799999999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8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5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8" t="s">
        <v>86</v>
      </c>
      <c r="B1" s="98"/>
      <c r="C1" s="98"/>
    </row>
    <row r="2" spans="1:3" ht="24.95" customHeight="1" x14ac:dyDescent="0.25">
      <c r="A2" s="61" t="s">
        <v>81</v>
      </c>
      <c r="B2" s="61" t="s">
        <v>79</v>
      </c>
      <c r="C2" s="61" t="s">
        <v>80</v>
      </c>
    </row>
    <row r="3" spans="1:3" ht="24.95" customHeight="1" x14ac:dyDescent="0.25">
      <c r="A3" s="62">
        <v>45444</v>
      </c>
      <c r="B3" s="63">
        <v>353</v>
      </c>
      <c r="C3" s="63">
        <v>492</v>
      </c>
    </row>
    <row r="4" spans="1:3" ht="24.95" customHeight="1" x14ac:dyDescent="0.25">
      <c r="A4" s="62">
        <v>45445</v>
      </c>
      <c r="B4" s="63">
        <v>378</v>
      </c>
      <c r="C4" s="63">
        <v>534</v>
      </c>
    </row>
    <row r="5" spans="1:3" ht="24.95" customHeight="1" x14ac:dyDescent="0.25">
      <c r="A5" s="62">
        <v>45446</v>
      </c>
      <c r="B5" s="63">
        <v>357</v>
      </c>
      <c r="C5" s="63">
        <v>464</v>
      </c>
    </row>
    <row r="6" spans="1:3" ht="24.95" customHeight="1" x14ac:dyDescent="0.25">
      <c r="A6" s="62">
        <v>45447</v>
      </c>
      <c r="B6" s="63">
        <v>369</v>
      </c>
      <c r="C6" s="63">
        <v>506</v>
      </c>
    </row>
    <row r="7" spans="1:3" ht="24.95" customHeight="1" x14ac:dyDescent="0.25">
      <c r="A7" s="62">
        <v>45448</v>
      </c>
      <c r="B7" s="63">
        <v>360</v>
      </c>
      <c r="C7" s="63">
        <v>479</v>
      </c>
    </row>
    <row r="8" spans="1:3" ht="24.95" customHeight="1" x14ac:dyDescent="0.25">
      <c r="A8" s="62">
        <v>45449</v>
      </c>
      <c r="B8" s="63">
        <v>303</v>
      </c>
      <c r="C8" s="63">
        <v>381</v>
      </c>
    </row>
    <row r="9" spans="1:3" ht="24.95" customHeight="1" x14ac:dyDescent="0.25">
      <c r="A9" s="62">
        <v>45450</v>
      </c>
      <c r="B9" s="63">
        <v>299</v>
      </c>
      <c r="C9" s="63">
        <v>382</v>
      </c>
    </row>
    <row r="10" spans="1:3" ht="24.95" customHeight="1" x14ac:dyDescent="0.25">
      <c r="A10" s="62">
        <v>45451</v>
      </c>
      <c r="B10" s="63">
        <v>280</v>
      </c>
      <c r="C10" s="63">
        <v>396</v>
      </c>
    </row>
    <row r="11" spans="1:3" ht="24.95" customHeight="1" x14ac:dyDescent="0.25">
      <c r="A11" s="62">
        <v>45452</v>
      </c>
      <c r="B11" s="63">
        <v>328</v>
      </c>
      <c r="C11" s="63">
        <v>416</v>
      </c>
    </row>
    <row r="12" spans="1:3" ht="24.95" customHeight="1" x14ac:dyDescent="0.25">
      <c r="A12" s="62">
        <v>45453</v>
      </c>
      <c r="B12" s="63">
        <v>389</v>
      </c>
      <c r="C12" s="63">
        <v>513</v>
      </c>
    </row>
    <row r="13" spans="1:3" ht="24.95" customHeight="1" x14ac:dyDescent="0.25">
      <c r="A13" s="62">
        <v>45454</v>
      </c>
      <c r="B13" s="63">
        <v>398</v>
      </c>
      <c r="C13" s="63">
        <v>528</v>
      </c>
    </row>
    <row r="14" spans="1:3" ht="24.95" customHeight="1" x14ac:dyDescent="0.25">
      <c r="A14" s="62">
        <v>45455</v>
      </c>
      <c r="B14" s="63">
        <v>376</v>
      </c>
      <c r="C14" s="63">
        <v>494</v>
      </c>
    </row>
    <row r="15" spans="1:3" ht="24.95" customHeight="1" x14ac:dyDescent="0.25">
      <c r="A15" s="62">
        <v>45456</v>
      </c>
      <c r="B15" s="63">
        <v>336</v>
      </c>
      <c r="C15" s="63">
        <v>463</v>
      </c>
    </row>
    <row r="16" spans="1:3" ht="24.95" customHeight="1" x14ac:dyDescent="0.25">
      <c r="A16" s="62">
        <v>45457</v>
      </c>
      <c r="B16" s="63">
        <v>316</v>
      </c>
      <c r="C16" s="63">
        <v>435</v>
      </c>
    </row>
    <row r="17" spans="1:3" ht="24.95" customHeight="1" x14ac:dyDescent="0.25">
      <c r="A17" s="62">
        <v>45458</v>
      </c>
      <c r="B17" s="63">
        <v>330</v>
      </c>
      <c r="C17" s="63">
        <v>487</v>
      </c>
    </row>
    <row r="18" spans="1:3" ht="24.95" customHeight="1" x14ac:dyDescent="0.25">
      <c r="A18" s="62">
        <v>45459</v>
      </c>
      <c r="B18" s="63">
        <v>356</v>
      </c>
      <c r="C18" s="63">
        <v>563</v>
      </c>
    </row>
    <row r="19" spans="1:3" ht="24.95" customHeight="1" x14ac:dyDescent="0.25">
      <c r="A19" s="62">
        <v>45460</v>
      </c>
      <c r="B19" s="63">
        <v>393</v>
      </c>
      <c r="C19" s="63">
        <v>614</v>
      </c>
    </row>
    <row r="20" spans="1:3" ht="24.95" customHeight="1" x14ac:dyDescent="0.25">
      <c r="A20" s="62">
        <v>45461</v>
      </c>
      <c r="B20" s="63">
        <v>369</v>
      </c>
      <c r="C20" s="63">
        <v>550</v>
      </c>
    </row>
    <row r="21" spans="1:3" ht="24.95" customHeight="1" x14ac:dyDescent="0.25">
      <c r="A21" s="62">
        <v>45462</v>
      </c>
      <c r="B21" s="63">
        <v>400</v>
      </c>
      <c r="C21" s="63">
        <v>582</v>
      </c>
    </row>
    <row r="22" spans="1:3" ht="24.95" customHeight="1" x14ac:dyDescent="0.25">
      <c r="A22" s="62">
        <v>45463</v>
      </c>
      <c r="B22" s="63">
        <v>428</v>
      </c>
      <c r="C22" s="63">
        <v>662</v>
      </c>
    </row>
    <row r="23" spans="1:3" ht="24.95" customHeight="1" x14ac:dyDescent="0.25">
      <c r="A23" s="62">
        <v>45464</v>
      </c>
      <c r="B23" s="63">
        <v>360</v>
      </c>
      <c r="C23" s="63">
        <v>514</v>
      </c>
    </row>
    <row r="24" spans="1:3" ht="24.95" customHeight="1" x14ac:dyDescent="0.25">
      <c r="A24" s="62">
        <v>45465</v>
      </c>
      <c r="B24" s="63">
        <v>387</v>
      </c>
      <c r="C24" s="63">
        <v>551</v>
      </c>
    </row>
    <row r="25" spans="1:3" ht="24.95" customHeight="1" x14ac:dyDescent="0.25">
      <c r="A25" s="62">
        <v>45466</v>
      </c>
      <c r="B25" s="63">
        <v>442</v>
      </c>
      <c r="C25" s="63">
        <v>692</v>
      </c>
    </row>
    <row r="26" spans="1:3" ht="24.95" customHeight="1" x14ac:dyDescent="0.25">
      <c r="A26" s="62">
        <v>45467</v>
      </c>
      <c r="B26" s="63">
        <v>319</v>
      </c>
      <c r="C26" s="63">
        <v>466</v>
      </c>
    </row>
    <row r="27" spans="1:3" ht="24.95" customHeight="1" x14ac:dyDescent="0.25">
      <c r="A27" s="62">
        <v>45468</v>
      </c>
      <c r="B27" s="63">
        <v>336</v>
      </c>
      <c r="C27" s="63">
        <v>489</v>
      </c>
    </row>
    <row r="28" spans="1:3" ht="24.95" customHeight="1" x14ac:dyDescent="0.25">
      <c r="A28" s="62">
        <v>45469</v>
      </c>
      <c r="B28" s="63">
        <v>369</v>
      </c>
      <c r="C28" s="63">
        <v>543</v>
      </c>
    </row>
    <row r="29" spans="1:3" ht="24.95" customHeight="1" x14ac:dyDescent="0.25">
      <c r="A29" s="62">
        <v>45470</v>
      </c>
      <c r="B29" s="63">
        <v>367</v>
      </c>
      <c r="C29" s="63">
        <v>558</v>
      </c>
    </row>
    <row r="30" spans="1:3" ht="24.95" customHeight="1" x14ac:dyDescent="0.25">
      <c r="A30" s="62">
        <v>45471</v>
      </c>
      <c r="B30" s="63">
        <v>328</v>
      </c>
      <c r="C30" s="63">
        <v>535</v>
      </c>
    </row>
    <row r="31" spans="1:3" ht="24.95" customHeight="1" x14ac:dyDescent="0.25">
      <c r="A31" s="62">
        <v>45472</v>
      </c>
      <c r="B31" s="63">
        <v>356</v>
      </c>
      <c r="C31" s="63">
        <v>577</v>
      </c>
    </row>
    <row r="32" spans="1:3" ht="24.95" customHeight="1" x14ac:dyDescent="0.25">
      <c r="A32" s="62">
        <v>45473</v>
      </c>
      <c r="B32" s="63">
        <v>406</v>
      </c>
      <c r="C32" s="63">
        <v>577</v>
      </c>
    </row>
    <row r="33" spans="1:3" ht="24.95" customHeight="1" x14ac:dyDescent="0.25">
      <c r="A33" s="62"/>
      <c r="B33" s="63"/>
      <c r="C33" s="63"/>
    </row>
    <row r="34" spans="1:3" ht="30.75" customHeight="1" x14ac:dyDescent="0.25">
      <c r="A34" s="61" t="s">
        <v>82</v>
      </c>
      <c r="B34" s="64">
        <f>SUM(B3:B33)</f>
        <v>10788</v>
      </c>
      <c r="C34" s="64">
        <f>SUM(C3:C33)</f>
        <v>15443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Babu Alamkulath</cp:lastModifiedBy>
  <dcterms:created xsi:type="dcterms:W3CDTF">2019-05-13T11:08:30Z</dcterms:created>
  <dcterms:modified xsi:type="dcterms:W3CDTF">2025-03-14T13:53:03Z</dcterms:modified>
</cp:coreProperties>
</file>