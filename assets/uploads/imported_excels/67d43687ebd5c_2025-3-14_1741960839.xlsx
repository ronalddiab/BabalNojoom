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rotanahq-my.sharepoint.com/personal/bms_park_rotana_com/Documents/Engineering/29 HEP - Energy Portal/01 Daily/2024/"/>
    </mc:Choice>
  </mc:AlternateContent>
  <xr:revisionPtr revIDLastSave="640" documentId="8_{8847650D-614C-4264-8C87-30D8B5EB4252}" xr6:coauthVersionLast="47" xr6:coauthVersionMax="47" xr10:uidLastSave="{27897D80-5854-47A2-84A5-51299DAD457D}"/>
  <bookViews>
    <workbookView xWindow="-120" yWindow="-120" windowWidth="29040" windowHeight="15720" xr2:uid="{00000000-000D-0000-FFFF-FFFF00000000}"/>
  </bookViews>
  <sheets>
    <sheet name="Total" sheetId="2" r:id="rId1"/>
    <sheet name="Electricity" sheetId="3" r:id="rId2"/>
    <sheet name="LPG" sheetId="6" r:id="rId3"/>
    <sheet name="Water" sheetId="5" r:id="rId4"/>
    <sheet name="Occupied &amp; No. of Guest" sheetId="7" r:id="rId5"/>
  </sheets>
  <definedNames>
    <definedName name="_xlnm._FilterDatabase" localSheetId="2" hidden="1">LPG!$A$3:$C$3</definedName>
    <definedName name="_xlnm.Print_Area" localSheetId="2">LPG!$A$1:$C$36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2" i="2"/>
  <c r="C4" i="6"/>
  <c r="E16" i="5"/>
  <c r="T15" i="5"/>
  <c r="AF8" i="5"/>
  <c r="E6" i="3"/>
  <c r="AH14" i="5" l="1"/>
  <c r="AG14" i="5"/>
  <c r="AF14" i="5"/>
  <c r="AE14" i="5"/>
  <c r="AD14" i="5"/>
  <c r="AC14" i="5"/>
  <c r="AB14" i="5"/>
  <c r="AA14" i="5"/>
  <c r="Z14" i="5"/>
  <c r="Y14" i="5"/>
  <c r="X14" i="5"/>
  <c r="W14" i="5"/>
  <c r="V14" i="5"/>
  <c r="U14" i="5"/>
  <c r="T14" i="5"/>
  <c r="S14" i="5"/>
  <c r="R14" i="5"/>
  <c r="Q14" i="5"/>
  <c r="P14" i="5"/>
  <c r="O14" i="5"/>
  <c r="N14" i="5"/>
  <c r="M14" i="5"/>
  <c r="L14" i="5"/>
  <c r="K14" i="5"/>
  <c r="J14" i="5"/>
  <c r="I14" i="5"/>
  <c r="H14" i="5"/>
  <c r="G14" i="5"/>
  <c r="F14" i="5"/>
  <c r="E14" i="5"/>
  <c r="AH12" i="5"/>
  <c r="AG12" i="5"/>
  <c r="AF12" i="5"/>
  <c r="AE12" i="5"/>
  <c r="AD12" i="5"/>
  <c r="AC12" i="5"/>
  <c r="AB12" i="5"/>
  <c r="AA12" i="5"/>
  <c r="Z12" i="5"/>
  <c r="Y12" i="5"/>
  <c r="X12" i="5"/>
  <c r="W12" i="5"/>
  <c r="V12" i="5"/>
  <c r="U12" i="5"/>
  <c r="T12" i="5"/>
  <c r="S12" i="5"/>
  <c r="R12" i="5"/>
  <c r="Q12" i="5"/>
  <c r="P12" i="5"/>
  <c r="O12" i="5"/>
  <c r="N12" i="5"/>
  <c r="M12" i="5"/>
  <c r="L12" i="5"/>
  <c r="K12" i="5"/>
  <c r="J12" i="5"/>
  <c r="I12" i="5"/>
  <c r="H12" i="5"/>
  <c r="G12" i="5"/>
  <c r="F12" i="5"/>
  <c r="E12" i="5"/>
  <c r="AH10" i="5"/>
  <c r="AG10" i="5"/>
  <c r="AF10" i="5"/>
  <c r="AE10" i="5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AH8" i="5"/>
  <c r="AG8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O6" i="5"/>
  <c r="N6" i="5"/>
  <c r="L6" i="5"/>
  <c r="K6" i="5"/>
  <c r="J6" i="5"/>
  <c r="I6" i="5"/>
  <c r="H6" i="5"/>
  <c r="G6" i="5"/>
  <c r="F6" i="5"/>
  <c r="E6" i="5"/>
  <c r="AH20" i="3"/>
  <c r="AG20" i="3"/>
  <c r="AF20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AH18" i="3"/>
  <c r="AG18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AH16" i="3"/>
  <c r="AG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AH14" i="3"/>
  <c r="AG14" i="3"/>
  <c r="AF14" i="3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AH12" i="3"/>
  <c r="AG12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AH10" i="3"/>
  <c r="AG10" i="3"/>
  <c r="AF10" i="3"/>
  <c r="AE10" i="3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AH8" i="3"/>
  <c r="AG8" i="3"/>
  <c r="AF8" i="3"/>
  <c r="AE8" i="3"/>
  <c r="AD8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AH6" i="3"/>
  <c r="AG6" i="3"/>
  <c r="AF6" i="3"/>
  <c r="AE6" i="3"/>
  <c r="AD6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AH15" i="5" l="1"/>
  <c r="AH6" i="5"/>
  <c r="AG6" i="5"/>
  <c r="AF6" i="5"/>
  <c r="AE6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M6" i="5"/>
  <c r="K3" i="2"/>
  <c r="L3" i="2"/>
  <c r="K4" i="2"/>
  <c r="L4" i="2"/>
  <c r="K5" i="2"/>
  <c r="L5" i="2"/>
  <c r="K6" i="2"/>
  <c r="L6" i="2"/>
  <c r="K7" i="2"/>
  <c r="L7" i="2"/>
  <c r="K8" i="2"/>
  <c r="L8" i="2"/>
  <c r="K9" i="2"/>
  <c r="L9" i="2"/>
  <c r="K10" i="2"/>
  <c r="L10" i="2"/>
  <c r="K11" i="2"/>
  <c r="L11" i="2"/>
  <c r="K12" i="2"/>
  <c r="L12" i="2"/>
  <c r="K13" i="2"/>
  <c r="L13" i="2"/>
  <c r="K14" i="2"/>
  <c r="L14" i="2"/>
  <c r="K15" i="2"/>
  <c r="L15" i="2"/>
  <c r="K16" i="2"/>
  <c r="L16" i="2"/>
  <c r="K17" i="2"/>
  <c r="L17" i="2"/>
  <c r="K18" i="2"/>
  <c r="L18" i="2"/>
  <c r="K19" i="2"/>
  <c r="L19" i="2"/>
  <c r="K20" i="2"/>
  <c r="L20" i="2"/>
  <c r="K21" i="2"/>
  <c r="L21" i="2"/>
  <c r="K22" i="2"/>
  <c r="L22" i="2"/>
  <c r="K23" i="2"/>
  <c r="L23" i="2"/>
  <c r="K24" i="2"/>
  <c r="L24" i="2"/>
  <c r="K25" i="2"/>
  <c r="L25" i="2"/>
  <c r="K26" i="2"/>
  <c r="L26" i="2"/>
  <c r="K27" i="2"/>
  <c r="L27" i="2"/>
  <c r="K28" i="2"/>
  <c r="L28" i="2"/>
  <c r="K29" i="2"/>
  <c r="L29" i="2"/>
  <c r="K30" i="2"/>
  <c r="L30" i="2"/>
  <c r="K31" i="2"/>
  <c r="L31" i="2"/>
  <c r="K32" i="2"/>
  <c r="L32" i="2"/>
  <c r="L2" i="2"/>
  <c r="K2" i="2"/>
  <c r="C34" i="7"/>
  <c r="B34" i="7"/>
  <c r="AG15" i="5" l="1"/>
  <c r="AF15" i="5"/>
  <c r="AF21" i="3" l="1"/>
  <c r="AG21" i="3"/>
  <c r="AH21" i="3"/>
  <c r="C35" i="6" l="1"/>
  <c r="AI15" i="5" l="1"/>
  <c r="AE15" i="5"/>
  <c r="AD15" i="5"/>
  <c r="AC15" i="5"/>
  <c r="AB15" i="5"/>
  <c r="AA15" i="5"/>
  <c r="Z15" i="5"/>
  <c r="Y15" i="5"/>
  <c r="X15" i="5"/>
  <c r="W15" i="5"/>
  <c r="V15" i="5"/>
  <c r="U15" i="5"/>
  <c r="S15" i="5"/>
  <c r="R15" i="5"/>
  <c r="Q15" i="5"/>
  <c r="P15" i="5"/>
  <c r="O15" i="5"/>
  <c r="N15" i="5"/>
  <c r="M15" i="5"/>
  <c r="L15" i="5"/>
  <c r="K15" i="5"/>
  <c r="J15" i="5"/>
  <c r="I15" i="5"/>
  <c r="H15" i="5"/>
  <c r="G15" i="5"/>
  <c r="F15" i="5"/>
  <c r="E15" i="5"/>
  <c r="AI21" i="3"/>
  <c r="AE21" i="3"/>
  <c r="AD21" i="3"/>
  <c r="W21" i="3"/>
  <c r="V21" i="3"/>
  <c r="U21" i="3"/>
  <c r="T21" i="3"/>
  <c r="S21" i="3"/>
  <c r="R21" i="3"/>
  <c r="K21" i="3"/>
  <c r="J21" i="3"/>
  <c r="I21" i="3"/>
  <c r="H21" i="3"/>
  <c r="G21" i="3"/>
  <c r="F21" i="3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I2" i="2" l="1" a="1"/>
  <c r="I2" i="2" s="1"/>
  <c r="X21" i="3"/>
  <c r="Y21" i="3"/>
  <c r="L21" i="3"/>
  <c r="M21" i="3"/>
  <c r="N21" i="3"/>
  <c r="Z21" i="3"/>
  <c r="O21" i="3"/>
  <c r="AA21" i="3"/>
  <c r="P21" i="3"/>
  <c r="AB21" i="3"/>
  <c r="E21" i="3"/>
  <c r="Q21" i="3"/>
  <c r="AC21" i="3"/>
  <c r="E2" i="2" l="1" a="1"/>
  <c r="E2" i="2" s="1"/>
  <c r="E2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BMS Operator Park Rotana</author>
  </authors>
  <commentList>
    <comment ref="C5" authorId="0" shapeId="0" xr:uid="{BF8AF5D1-25BF-4947-BDAD-F7F7A728BCF1}">
      <text>
        <r>
          <rPr>
            <b/>
            <sz val="9"/>
            <color indexed="81"/>
            <rFont val="Tahoma"/>
            <family val="2"/>
          </rPr>
          <t>New Meter for Incomer 1 and 2 Hotel and Arjaan replaced on March 1, 2023. Megawatt change to kilowatt</t>
        </r>
      </text>
    </comment>
    <comment ref="C9" authorId="0" shapeId="0" xr:uid="{5FE99E23-FAC4-4837-88FD-C11E450EC330}">
      <text>
        <r>
          <rPr>
            <b/>
            <sz val="9"/>
            <color indexed="81"/>
            <rFont val="Tahoma"/>
            <family val="2"/>
          </rPr>
          <t>New meter installed on March 1, 2023. Megawatt change to kilowatt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BMS Operator Park Rotana</author>
  </authors>
  <commentList>
    <comment ref="B5" authorId="0" shapeId="0" xr:uid="{A094905B-3145-4E91-B966-D3C7F85E3C96}">
      <text>
        <r>
          <rPr>
            <b/>
            <sz val="9"/>
            <color indexed="81"/>
            <rFont val="Tahoma"/>
            <family val="2"/>
          </rPr>
          <t>New water meter replaced on April 13, 2023</t>
        </r>
      </text>
    </comment>
    <comment ref="B9" authorId="0" shapeId="0" xr:uid="{CE22F3E7-64FB-40B2-8E39-2202A3B38411}">
      <text>
        <r>
          <rPr>
            <b/>
            <sz val="9"/>
            <color indexed="81"/>
            <rFont val="Tahoma"/>
            <family val="2"/>
          </rPr>
          <t>BMS Operator Park Rotana:</t>
        </r>
        <r>
          <rPr>
            <sz val="9"/>
            <color indexed="81"/>
            <rFont val="Tahoma"/>
            <family val="2"/>
          </rPr>
          <t xml:space="preserve">
New meter installed on 26--10-2021
</t>
        </r>
      </text>
    </comment>
    <comment ref="B11" authorId="0" shapeId="0" xr:uid="{BD763E3D-3444-4579-8973-D00AB9A06EE4}">
      <text>
        <r>
          <rPr>
            <b/>
            <sz val="9"/>
            <color indexed="81"/>
            <rFont val="Tahoma"/>
            <family val="2"/>
          </rPr>
          <t>New Meter as of July 8, 2020 by Mohammad Habdeel Hamid from ADDC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3" authorId="0" shapeId="0" xr:uid="{E53EB796-BEFA-44EC-BFBB-E6DBBDAFCA14}">
      <text>
        <r>
          <rPr>
            <b/>
            <sz val="9"/>
            <color indexed="81"/>
            <rFont val="Tahoma"/>
            <family val="2"/>
          </rPr>
          <t>Replaced new water meter by ADDC on April 5, 2021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<sst xmlns="http://schemas.openxmlformats.org/spreadsheetml/2006/main" count="122" uniqueCount="87">
  <si>
    <t>Site Name</t>
  </si>
  <si>
    <t>Day</t>
  </si>
  <si>
    <t>Month</t>
  </si>
  <si>
    <t>Year</t>
  </si>
  <si>
    <t xml:space="preserve">Room Nights </t>
  </si>
  <si>
    <t xml:space="preserve">Total Guests </t>
  </si>
  <si>
    <t>Total Electricity Kwh</t>
  </si>
  <si>
    <t>Electricity Tariff ($/Kwh)</t>
  </si>
  <si>
    <t>Water Utility Supply (m3) m3</t>
  </si>
  <si>
    <t>Water Utility Supply (m3) $/m3</t>
  </si>
  <si>
    <t>S/N</t>
  </si>
  <si>
    <r>
      <t>METER NUMBER &amp;</t>
    </r>
    <r>
      <rPr>
        <b/>
        <sz val="9"/>
        <color rgb="FFFF0000"/>
        <rFont val="Arial Narrow"/>
        <family val="2"/>
      </rPr>
      <t>LOCATION</t>
    </r>
  </si>
  <si>
    <t>AREA SERVED</t>
  </si>
  <si>
    <t>Last Month Final Readings</t>
  </si>
  <si>
    <t>I5T18D002265/ No. 72039516</t>
  </si>
  <si>
    <t>Hotel &amp; Arjaan incomer 1 (Kilowatt)</t>
  </si>
  <si>
    <t>I5T18D002266/ No. 72039517</t>
  </si>
  <si>
    <t>Hotel &amp; Arjaan incomer 2 (Kilowatt)</t>
  </si>
  <si>
    <r>
      <t xml:space="preserve">METER NUMBER     &amp;                      </t>
    </r>
    <r>
      <rPr>
        <b/>
        <sz val="10"/>
        <color rgb="FFFF0000"/>
        <rFont val="Arial Narrow"/>
        <family val="2"/>
      </rPr>
      <t>LOCATION</t>
    </r>
  </si>
  <si>
    <t>LAST MONTH'S FINAL READING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</si>
  <si>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</si>
  <si>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</si>
  <si>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</si>
  <si>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</si>
  <si>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</si>
  <si>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</si>
  <si>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</si>
  <si>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</si>
  <si>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</si>
  <si>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</si>
  <si>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</si>
  <si>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</si>
  <si>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</si>
  <si>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</si>
  <si>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</si>
  <si>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</si>
  <si>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</si>
  <si>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</si>
  <si>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</si>
  <si>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</si>
  <si>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</si>
  <si>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</si>
  <si>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</si>
  <si>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</si>
  <si>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</si>
  <si>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</si>
  <si>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</si>
  <si>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</si>
  <si>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48242051 (Hotel &amp; Arjaan Main Meter)</t>
  </si>
  <si>
    <t>Hotel &amp; Arjaan / Raw Water Tank for Hotel,Arjaan,Kitchen,Laundry,Staff Locker,Hotel Swimming Pool</t>
  </si>
  <si>
    <t xml:space="preserve">LPG (Liters) </t>
  </si>
  <si>
    <t>LPG $/Liters</t>
  </si>
  <si>
    <t>Park Rotana and Park Arjaan Abu Dhabi</t>
  </si>
  <si>
    <t>I5T18D002318 / 72039569</t>
  </si>
  <si>
    <t>Chillers (SMDB CH 1) (Kilowatt)</t>
  </si>
  <si>
    <t>I5T18D002317 / 72039568</t>
  </si>
  <si>
    <t>Chillers (SMDB CH 2) (Kilowatt)</t>
  </si>
  <si>
    <t>E5T09D035490</t>
  </si>
  <si>
    <t>Fire Pump 2 S (Kwh)</t>
  </si>
  <si>
    <t>E5TO9D035489</t>
  </si>
  <si>
    <t>Fire Pump 1 S (Kwh)</t>
  </si>
  <si>
    <t>E5T09D034337</t>
  </si>
  <si>
    <t>SMDB Spa S (Kwh)</t>
  </si>
  <si>
    <t>E5T09D034327</t>
  </si>
  <si>
    <t>Hotel Gym S (Kwh)</t>
  </si>
  <si>
    <t>Total Daily Consumption (kw)</t>
  </si>
  <si>
    <t>Total Monthly Consumption (kw)</t>
  </si>
  <si>
    <t>2045000686(Sub Meter)</t>
  </si>
  <si>
    <t>Irrigation water Tank</t>
  </si>
  <si>
    <t>EMK17100DA17081056 (Cooling Tower Meter)</t>
  </si>
  <si>
    <t>Cooling Towers, Irrigation Tank,CHW Make up Line,Residence Pool, Cooling Tower Blow Down</t>
  </si>
  <si>
    <t>Total Daily Consumption (m3)</t>
  </si>
  <si>
    <t>Total Monthly Consumption (m3)</t>
  </si>
  <si>
    <t>Hotel  &amp; Arjaan Gym</t>
  </si>
  <si>
    <t>Hotel &amp; Arjaan Spa</t>
  </si>
  <si>
    <t xml:space="preserve">                                       </t>
  </si>
  <si>
    <t>TOTAL Consumption</t>
  </si>
  <si>
    <t>29</t>
  </si>
  <si>
    <t>30</t>
  </si>
  <si>
    <t>Occupied</t>
  </si>
  <si>
    <t># Guest</t>
  </si>
  <si>
    <t>Date</t>
  </si>
  <si>
    <t>TOTAL MTD</t>
  </si>
  <si>
    <t>DAILY ELECTRICITY METER READINGS &amp; CONSUMPTION APRIL 2024</t>
  </si>
  <si>
    <t>DAILY GAS METER READINGS &amp; CONSUMPTION (Liters) APRIL 2024</t>
  </si>
  <si>
    <r>
      <t>DAILY WATER METER READINGS &amp; CONSUMPTION (m</t>
    </r>
    <r>
      <rPr>
        <b/>
        <vertAlign val="superscript"/>
        <sz val="20"/>
        <color rgb="FF000000"/>
        <rFont val="Calibri"/>
        <family val="2"/>
      </rPr>
      <t>3</t>
    </r>
    <r>
      <rPr>
        <b/>
        <sz val="20"/>
        <color rgb="FF000000"/>
        <rFont val="Calibri"/>
        <family val="2"/>
      </rPr>
      <t>) APRIL  2024</t>
    </r>
  </si>
  <si>
    <t>Occupied Room &amp; Number of Guest - April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</si>
</sst>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0.000"/>
    <numFmt numFmtId="166" formatCode="#,##0.000"/>
    <numFmt numFmtId="167" formatCode="#,##0.0"/>
    <numFmt numFmtId="168" formatCode="0.0"/>
  </numFmts>
  <fonts count="29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Arial Narrow"/>
      <family val="2"/>
    </font>
    <font>
      <b/>
      <sz val="18"/>
      <color theme="1"/>
      <name val="Arial Narrow"/>
      <family val="2"/>
    </font>
    <font>
      <b/>
      <sz val="9"/>
      <color theme="1"/>
      <name val="Arial Narrow"/>
      <family val="2"/>
    </font>
    <font>
      <b/>
      <sz val="9"/>
      <color rgb="FFFF0000"/>
      <name val="Arial Narrow"/>
      <family val="2"/>
    </font>
    <font>
      <b/>
      <sz val="10"/>
      <color theme="1"/>
      <name val="Calibri"/>
      <family val="2"/>
      <scheme val="minor"/>
    </font>
    <font>
      <b/>
      <sz val="10"/>
      <color rgb="FFFF0000"/>
      <name val="Arial Narrow"/>
      <family val="2"/>
    </font>
    <font>
      <b/>
      <sz val="9"/>
      <color indexed="81"/>
      <name val="Tahoma"/>
      <family val="2"/>
    </font>
    <font>
      <b/>
      <sz val="20"/>
      <color rgb="FF000000"/>
      <name val="Calibri"/>
      <family val="2"/>
    </font>
    <font>
      <b/>
      <vertAlign val="superscript"/>
      <sz val="20"/>
      <color rgb="FF000000"/>
      <name val="Calibri"/>
      <family val="2"/>
    </font>
    <font>
      <b/>
      <sz val="20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9"/>
      <color theme="1"/>
      <name val="Arial Narrow"/>
      <family val="2"/>
    </font>
    <font>
      <sz val="9"/>
      <name val="Arial Narrow"/>
      <family val="2"/>
    </font>
    <font>
      <b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0070C0"/>
      <name val="Arial Narrow"/>
      <family val="2"/>
    </font>
    <font>
      <sz val="9"/>
      <color indexed="81"/>
      <name val="Tahoma"/>
      <family val="2"/>
    </font>
    <font>
      <b/>
      <sz val="11"/>
      <name val="Arial Narrow"/>
      <family val="2"/>
    </font>
    <font>
      <sz val="10"/>
      <color rgb="FFFF0000"/>
      <name val="Arial Narrow"/>
      <family val="2"/>
    </font>
    <font>
      <b/>
      <sz val="12"/>
      <color theme="1"/>
      <name val="Arial Narrow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66FF99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theme="0" tint="-0.3499862666707357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theme="0" tint="-0.34998626667073579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164" fontId="20" fillId="0" borderId="0" applyFont="0" applyFill="0" applyBorder="0" applyAlignment="0" applyProtection="0"/>
  </cellStyleXfs>
  <cellXfs count="100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1" fontId="5" fillId="3" borderId="2" xfId="0" applyNumberFormat="1" applyFont="1" applyFill="1" applyBorder="1" applyAlignment="1">
      <alignment horizontal="center" vertical="center" wrapText="1"/>
    </xf>
    <xf numFmtId="1" fontId="5" fillId="4" borderId="2" xfId="0" applyNumberFormat="1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/>
    </xf>
    <xf numFmtId="0" fontId="10" fillId="5" borderId="8" xfId="0" applyFont="1" applyFill="1" applyBorder="1" applyAlignment="1">
      <alignment horizontal="center" vertical="center" wrapText="1"/>
    </xf>
    <xf numFmtId="165" fontId="7" fillId="7" borderId="10" xfId="0" applyNumberFormat="1" applyFont="1" applyFill="1" applyBorder="1" applyAlignment="1">
      <alignment horizontal="center" vertical="center"/>
    </xf>
    <xf numFmtId="0" fontId="5" fillId="6" borderId="0" xfId="0" applyFont="1" applyFill="1"/>
    <xf numFmtId="0" fontId="5" fillId="5" borderId="1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1" fontId="5" fillId="9" borderId="2" xfId="0" quotePrefix="1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166" fontId="17" fillId="0" borderId="2" xfId="0" applyNumberFormat="1" applyFont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 wrapText="1"/>
    </xf>
    <xf numFmtId="167" fontId="18" fillId="10" borderId="2" xfId="0" applyNumberFormat="1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5" fillId="5" borderId="15" xfId="0" applyFont="1" applyFill="1" applyBorder="1" applyAlignment="1">
      <alignment horizontal="center" vertical="center" wrapText="1"/>
    </xf>
    <xf numFmtId="0" fontId="10" fillId="5" borderId="18" xfId="0" applyFont="1" applyFill="1" applyBorder="1" applyAlignment="1">
      <alignment horizontal="center" vertical="center" wrapText="1"/>
    </xf>
    <xf numFmtId="0" fontId="21" fillId="6" borderId="0" xfId="0" applyFont="1" applyFill="1"/>
    <xf numFmtId="0" fontId="5" fillId="2" borderId="15" xfId="0" applyFont="1" applyFill="1" applyBorder="1" applyAlignment="1">
      <alignment horizontal="center" vertical="center" wrapText="1"/>
    </xf>
    <xf numFmtId="0" fontId="9" fillId="6" borderId="10" xfId="0" applyFont="1" applyFill="1" applyBorder="1" applyAlignment="1">
      <alignment horizontal="center" vertical="center"/>
    </xf>
    <xf numFmtId="0" fontId="5" fillId="6" borderId="18" xfId="0" applyFont="1" applyFill="1" applyBorder="1" applyAlignment="1">
      <alignment horizontal="center" vertical="center" wrapText="1"/>
    </xf>
    <xf numFmtId="165" fontId="7" fillId="10" borderId="10" xfId="0" applyNumberFormat="1" applyFont="1" applyFill="1" applyBorder="1" applyAlignment="1">
      <alignment horizontal="center" vertical="center"/>
    </xf>
    <xf numFmtId="0" fontId="10" fillId="4" borderId="18" xfId="0" applyFont="1" applyFill="1" applyBorder="1" applyAlignment="1">
      <alignment horizontal="center" vertical="center" wrapText="1"/>
    </xf>
    <xf numFmtId="4" fontId="23" fillId="11" borderId="0" xfId="1" applyNumberFormat="1" applyFont="1" applyFill="1"/>
    <xf numFmtId="4" fontId="23" fillId="11" borderId="0" xfId="1" applyNumberFormat="1" applyFont="1" applyFill="1" applyAlignment="1">
      <alignment horizontal="center" vertical="center"/>
    </xf>
    <xf numFmtId="0" fontId="5" fillId="6" borderId="3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24" fillId="6" borderId="2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4" fontId="16" fillId="11" borderId="0" xfId="0" applyNumberFormat="1" applyFont="1" applyFill="1" applyAlignment="1">
      <alignment horizontal="center" vertical="center"/>
    </xf>
    <xf numFmtId="0" fontId="19" fillId="3" borderId="10" xfId="0" applyFont="1" applyFill="1" applyBorder="1" applyAlignment="1">
      <alignment horizontal="center" vertical="center" wrapText="1"/>
    </xf>
    <xf numFmtId="3" fontId="9" fillId="0" borderId="10" xfId="0" applyNumberFormat="1" applyFont="1" applyBorder="1" applyAlignment="1">
      <alignment horizontal="center" vertical="center"/>
    </xf>
    <xf numFmtId="168" fontId="19" fillId="7" borderId="10" xfId="0" applyNumberFormat="1" applyFont="1" applyFill="1" applyBorder="1" applyAlignment="1">
      <alignment horizontal="center" vertical="center"/>
    </xf>
    <xf numFmtId="1" fontId="9" fillId="3" borderId="10" xfId="0" applyNumberFormat="1" applyFont="1" applyFill="1" applyBorder="1" applyAlignment="1">
      <alignment horizontal="center" vertical="center" wrapText="1"/>
    </xf>
    <xf numFmtId="1" fontId="9" fillId="4" borderId="10" xfId="0" applyNumberFormat="1" applyFont="1" applyFill="1" applyBorder="1" applyAlignment="1">
      <alignment horizontal="center" vertical="center" wrapText="1"/>
    </xf>
    <xf numFmtId="0" fontId="0" fillId="6" borderId="0" xfId="0" applyFill="1"/>
    <xf numFmtId="165" fontId="2" fillId="0" borderId="0" xfId="0" applyNumberFormat="1" applyFont="1"/>
    <xf numFmtId="3" fontId="16" fillId="11" borderId="0" xfId="0" applyNumberFormat="1" applyFont="1" applyFill="1" applyAlignment="1">
      <alignment horizontal="center" vertical="center"/>
    </xf>
    <xf numFmtId="3" fontId="23" fillId="11" borderId="0" xfId="1" applyNumberFormat="1" applyFont="1" applyFill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15" fontId="0" fillId="0" borderId="10" xfId="0" applyNumberFormat="1" applyBorder="1" applyAlignment="1">
      <alignment horizontal="center" vertical="center"/>
    </xf>
    <xf numFmtId="3" fontId="0" fillId="0" borderId="10" xfId="0" applyNumberFormat="1" applyBorder="1" applyAlignment="1">
      <alignment horizontal="center" vertical="center"/>
    </xf>
    <xf numFmtId="3" fontId="2" fillId="0" borderId="10" xfId="0" applyNumberFormat="1" applyFont="1" applyBorder="1" applyAlignment="1">
      <alignment horizontal="center" vertical="center"/>
    </xf>
    <xf numFmtId="3" fontId="28" fillId="0" borderId="10" xfId="0" applyNumberFormat="1" applyFont="1" applyBorder="1" applyAlignment="1">
      <alignment horizontal="center" vertical="center"/>
    </xf>
    <xf numFmtId="166" fontId="17" fillId="5" borderId="2" xfId="0" applyNumberFormat="1" applyFont="1" applyFill="1" applyBorder="1" applyAlignment="1">
      <alignment horizontal="center" vertical="center"/>
    </xf>
    <xf numFmtId="4" fontId="23" fillId="11" borderId="0" xfId="1" applyNumberFormat="1" applyFont="1" applyFill="1" applyAlignment="1">
      <alignment horizontal="center" vertical="center" wrapText="1"/>
    </xf>
    <xf numFmtId="0" fontId="5" fillId="0" borderId="14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5" fillId="6" borderId="14" xfId="0" applyFont="1" applyFill="1" applyBorder="1" applyAlignment="1">
      <alignment horizontal="center" vertical="center" wrapText="1"/>
    </xf>
    <xf numFmtId="0" fontId="5" fillId="6" borderId="17" xfId="0" applyFont="1" applyFill="1" applyBorder="1" applyAlignment="1">
      <alignment horizontal="center" vertical="center" wrapText="1"/>
    </xf>
    <xf numFmtId="4" fontId="23" fillId="11" borderId="13" xfId="1" applyNumberFormat="1" applyFont="1" applyFill="1" applyBorder="1" applyAlignment="1">
      <alignment horizontal="center" vertical="center" wrapText="1"/>
    </xf>
    <xf numFmtId="0" fontId="5" fillId="6" borderId="17" xfId="0" applyFont="1" applyFill="1" applyBorder="1" applyAlignment="1">
      <alignment horizontal="center" vertical="center"/>
    </xf>
    <xf numFmtId="0" fontId="7" fillId="6" borderId="19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7" fillId="5" borderId="16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center" wrapText="1"/>
    </xf>
    <xf numFmtId="0" fontId="5" fillId="6" borderId="7" xfId="0" applyFont="1" applyFill="1" applyBorder="1" applyAlignment="1">
      <alignment horizontal="center" vertical="center" wrapText="1"/>
    </xf>
    <xf numFmtId="0" fontId="7" fillId="5" borderId="13" xfId="0" applyFont="1" applyFill="1" applyBorder="1" applyAlignment="1">
      <alignment horizontal="center" vertical="center" wrapText="1"/>
    </xf>
    <xf numFmtId="0" fontId="2" fillId="0" borderId="20" xfId="0" applyFont="1" applyBorder="1" applyAlignment="1">
      <alignment horizontal="center"/>
    </xf>
    <xf numFmtId="0" fontId="26" fillId="0" borderId="0" xfId="0" applyFont="1" applyAlignment="1">
      <alignment horizontal="center" vertical="center"/>
    </xf>
    <xf numFmtId="4" fontId="16" fillId="11" borderId="0" xfId="0" applyNumberFormat="1" applyFont="1" applyFill="1" applyAlignment="1">
      <alignment horizontal="center" vertical="center"/>
    </xf>
    <xf numFmtId="4" fontId="25" fillId="11" borderId="13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16" fillId="6" borderId="12" xfId="0" quotePrefix="1" applyFont="1" applyFill="1" applyBorder="1" applyAlignment="1">
      <alignment horizontal="center" vertical="center"/>
    </xf>
    <xf numFmtId="0" fontId="16" fillId="6" borderId="8" xfId="0" applyFont="1" applyFill="1" applyBorder="1" applyAlignment="1">
      <alignment horizontal="center" vertical="center"/>
    </xf>
    <xf numFmtId="0" fontId="17" fillId="8" borderId="2" xfId="0" applyFont="1" applyFill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66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1</xdr:row>
      <xdr:rowOff>57154</xdr:rowOff>
    </xdr:from>
    <xdr:to>
      <xdr:col>2</xdr:col>
      <xdr:colOff>200025</xdr:colOff>
      <xdr:row>2</xdr:row>
      <xdr:rowOff>342900</xdr:rowOff>
    </xdr:to>
    <xdr:pic>
      <xdr:nvPicPr>
        <xdr:cNvPr id="2" name="Picture 1" descr="Park Hotel">
          <a:extLst>
            <a:ext uri="{FF2B5EF4-FFF2-40B4-BE49-F238E27FC236}">
              <a16:creationId xmlns:a16="http://schemas.microsoft.com/office/drawing/2014/main" id="{9DDD8A2D-8435-4EE5-9251-D99B69BA0068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422914"/>
          <a:ext cx="1758315" cy="65150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30</xdr:col>
      <xdr:colOff>137747</xdr:colOff>
      <xdr:row>1</xdr:row>
      <xdr:rowOff>54284</xdr:rowOff>
    </xdr:from>
    <xdr:ext cx="1838325" cy="590550"/>
    <xdr:pic>
      <xdr:nvPicPr>
        <xdr:cNvPr id="3" name="Picture 2" descr="Arjaan Rotana">
          <a:extLst>
            <a:ext uri="{FF2B5EF4-FFF2-40B4-BE49-F238E27FC236}">
              <a16:creationId xmlns:a16="http://schemas.microsoft.com/office/drawing/2014/main" id="{885EC474-E378-49DB-A752-BBCE02E657EE}"/>
            </a:ext>
            <a:ext uri="{147F2762-F138-4A5C-976F-8EAC2B608ADB}">
              <a16:predDERef xmlns:a16="http://schemas.microsoft.com/office/drawing/2014/main" pred="{9D40EFC6-BAA9-4AC4-9296-204E786A57BF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0655847" y="420044"/>
          <a:ext cx="1838325" cy="590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57151</xdr:rowOff>
    </xdr:from>
    <xdr:to>
      <xdr:col>2</xdr:col>
      <xdr:colOff>0</xdr:colOff>
      <xdr:row>0</xdr:row>
      <xdr:rowOff>844826</xdr:rowOff>
    </xdr:to>
    <xdr:pic>
      <xdr:nvPicPr>
        <xdr:cNvPr id="2" name="Picture 1" descr="Park Hotel">
          <a:extLst>
            <a:ext uri="{FF2B5EF4-FFF2-40B4-BE49-F238E27FC236}">
              <a16:creationId xmlns:a16="http://schemas.microsoft.com/office/drawing/2014/main" id="{B5DDD607-CB1B-47F0-81CD-B4BBCFAE84EF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57151"/>
          <a:ext cx="1851660" cy="787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30</xdr:col>
      <xdr:colOff>170091</xdr:colOff>
      <xdr:row>0</xdr:row>
      <xdr:rowOff>49918</xdr:rowOff>
    </xdr:from>
    <xdr:to>
      <xdr:col>32</xdr:col>
      <xdr:colOff>614858</xdr:colOff>
      <xdr:row>0</xdr:row>
      <xdr:rowOff>836766</xdr:rowOff>
    </xdr:to>
    <xdr:pic>
      <xdr:nvPicPr>
        <xdr:cNvPr id="3" name="Picture 2" descr="Arjaan Rotana">
          <a:extLst>
            <a:ext uri="{FF2B5EF4-FFF2-40B4-BE49-F238E27FC236}">
              <a16:creationId xmlns:a16="http://schemas.microsoft.com/office/drawing/2014/main" id="{23C56294-5804-42BC-8869-E26CB2FDA511}"/>
            </a:ext>
            <a:ext uri="{147F2762-F138-4A5C-976F-8EAC2B608ADB}">
              <a16:predDERef xmlns:a16="http://schemas.microsoft.com/office/drawing/2014/main" pred="{650EFB77-1C68-4279-946F-FD273D2E21D6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359531" y="49918"/>
          <a:ext cx="1843534" cy="7868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3"/>
  <sheetViews>
    <sheetView tabSelected="1" workbookViewId="0">
      <selection activeCell="G2" sqref="G2:G32"/>
    </sheetView>
  </sheetViews>
  <sheetFormatPr defaultColWidth="11.5703125" defaultRowHeight="15" x14ac:dyDescent="0.25"/>
  <cols>
    <col min="1" max="1" width="29.140625" style="2" bestFit="1" customWidth="1"/>
    <col min="2" max="3" width="11.5703125" style="10"/>
    <col min="4" max="4" width="13.42578125" style="10" customWidth="1"/>
    <col min="5" max="5" width="12.5703125" style="3" customWidth="1"/>
    <col min="6" max="6" width="12.5703125" style="11" customWidth="1"/>
    <col min="7" max="7" width="11.5703125" style="3"/>
    <col min="8" max="8" width="11.5703125" style="11"/>
    <col min="9" max="9" width="11.5703125" style="3"/>
    <col min="10" max="10" width="11.5703125" style="12"/>
    <col min="11" max="24" width="11.5703125" style="3"/>
  </cols>
  <sheetData>
    <row r="1" spans="1:12" s="8" customFormat="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5" t="s">
        <v>6</v>
      </c>
      <c r="F1" s="6" t="s">
        <v>7</v>
      </c>
      <c r="G1" s="5" t="s">
        <v>50</v>
      </c>
      <c r="H1" s="6" t="s">
        <v>51</v>
      </c>
      <c r="I1" s="5" t="s">
        <v>8</v>
      </c>
      <c r="J1" s="7" t="s">
        <v>9</v>
      </c>
      <c r="K1" s="5" t="s">
        <v>4</v>
      </c>
      <c r="L1" s="5" t="s">
        <v>5</v>
      </c>
    </row>
    <row r="2" spans="1:12" x14ac:dyDescent="0.25">
      <c r="A2" s="9" t="s">
        <v>52</v>
      </c>
      <c r="B2" s="10">
        <v>1</v>
      </c>
      <c r="C2" s="10">
        <v>4</v>
      </c>
      <c r="D2" s="10">
        <v>2024</v>
      </c>
      <c r="E2" s="4" cm="1">
        <f t="array" ref="E2:E32">TRANSPOSE(Electricity!E21:AI21)</f>
        <v>29235.4</v>
      </c>
      <c r="F2" s="11">
        <v>0.2</v>
      </c>
      <c r="G2" s="4">
        <f>LPG!C4</f>
        <v>2273.6333333333332</v>
      </c>
      <c r="H2" s="11">
        <v>1.65</v>
      </c>
      <c r="I2" s="4" cm="1">
        <f t="array" ref="I2:I32">TRANSPOSE(Water!E15:AI15)</f>
        <v>272.13900000000029</v>
      </c>
      <c r="J2" s="11">
        <v>7.84</v>
      </c>
      <c r="K2" s="4">
        <f>'Occupied &amp; No. of Guest'!B3</f>
        <v>293</v>
      </c>
      <c r="L2" s="4">
        <f>'Occupied &amp; No. of Guest'!C3</f>
        <v>415</v>
      </c>
    </row>
    <row r="3" spans="1:12" x14ac:dyDescent="0.25">
      <c r="A3" s="9" t="s">
        <v>52</v>
      </c>
      <c r="B3" s="10">
        <f>B2+1</f>
        <v>2</v>
      </c>
      <c r="C3" s="10">
        <v>4</v>
      </c>
      <c r="D3" s="10">
        <v>2024</v>
      </c>
      <c r="E3" s="4">
        <v>26099.200000000001</v>
      </c>
      <c r="F3" s="11">
        <v>0.2</v>
      </c>
      <c r="G3" s="4">
        <f>LPG!C5</f>
        <v>2273.6333333333332</v>
      </c>
      <c r="H3" s="11">
        <v>1.65</v>
      </c>
      <c r="I3" s="4">
        <v>278.09099999999478</v>
      </c>
      <c r="J3" s="11">
        <v>7.84</v>
      </c>
      <c r="K3" s="4">
        <f>'Occupied &amp; No. of Guest'!B4</f>
        <v>318</v>
      </c>
      <c r="L3" s="4">
        <f>'Occupied &amp; No. of Guest'!C4</f>
        <v>451</v>
      </c>
    </row>
    <row r="4" spans="1:12" x14ac:dyDescent="0.25">
      <c r="A4" s="9" t="s">
        <v>52</v>
      </c>
      <c r="B4" s="10">
        <f t="shared" ref="B4:B32" si="0">B3+1</f>
        <v>3</v>
      </c>
      <c r="C4" s="10">
        <v>4</v>
      </c>
      <c r="D4" s="10">
        <v>2024</v>
      </c>
      <c r="E4" s="4">
        <v>32685.800000000003</v>
      </c>
      <c r="F4" s="11">
        <v>0.2</v>
      </c>
      <c r="G4" s="4">
        <f>LPG!C6</f>
        <v>2273.6333333333332</v>
      </c>
      <c r="H4" s="11">
        <v>1.65</v>
      </c>
      <c r="I4" s="4">
        <v>288.84699999999464</v>
      </c>
      <c r="J4" s="11">
        <v>7.84</v>
      </c>
      <c r="K4" s="4">
        <f>'Occupied &amp; No. of Guest'!B5</f>
        <v>291</v>
      </c>
      <c r="L4" s="4">
        <f>'Occupied &amp; No. of Guest'!C5</f>
        <v>419</v>
      </c>
    </row>
    <row r="5" spans="1:12" x14ac:dyDescent="0.25">
      <c r="A5" s="9" t="s">
        <v>52</v>
      </c>
      <c r="B5" s="10">
        <f t="shared" si="0"/>
        <v>4</v>
      </c>
      <c r="C5" s="10">
        <v>4</v>
      </c>
      <c r="D5" s="10">
        <v>2024</v>
      </c>
      <c r="E5" s="4">
        <v>30553.800000000003</v>
      </c>
      <c r="F5" s="11">
        <v>0.2</v>
      </c>
      <c r="G5" s="4">
        <f>LPG!C7</f>
        <v>2273.6333333333332</v>
      </c>
      <c r="H5" s="11">
        <v>1.65</v>
      </c>
      <c r="I5" s="4">
        <v>293.01499999998975</v>
      </c>
      <c r="J5" s="11">
        <v>7.84</v>
      </c>
      <c r="K5" s="4">
        <f>'Occupied &amp; No. of Guest'!B6</f>
        <v>275</v>
      </c>
      <c r="L5" s="4">
        <f>'Occupied &amp; No. of Guest'!C6</f>
        <v>402</v>
      </c>
    </row>
    <row r="6" spans="1:12" x14ac:dyDescent="0.25">
      <c r="A6" s="9" t="s">
        <v>52</v>
      </c>
      <c r="B6" s="10">
        <f t="shared" si="0"/>
        <v>5</v>
      </c>
      <c r="C6" s="10">
        <v>4</v>
      </c>
      <c r="D6" s="10">
        <v>2024</v>
      </c>
      <c r="E6" s="4">
        <v>29971.200000000001</v>
      </c>
      <c r="F6" s="11">
        <v>0.2</v>
      </c>
      <c r="G6" s="4">
        <f>LPG!C8</f>
        <v>2273.6333333333332</v>
      </c>
      <c r="H6" s="11">
        <v>1.65</v>
      </c>
      <c r="I6" s="4">
        <v>293.63600000000514</v>
      </c>
      <c r="J6" s="11">
        <v>7.84</v>
      </c>
      <c r="K6" s="4">
        <f>'Occupied &amp; No. of Guest'!B7</f>
        <v>236</v>
      </c>
      <c r="L6" s="4">
        <f>'Occupied &amp; No. of Guest'!C7</f>
        <v>359</v>
      </c>
    </row>
    <row r="7" spans="1:12" x14ac:dyDescent="0.25">
      <c r="A7" s="9" t="s">
        <v>52</v>
      </c>
      <c r="B7" s="10">
        <f t="shared" si="0"/>
        <v>6</v>
      </c>
      <c r="C7" s="10">
        <v>4</v>
      </c>
      <c r="D7" s="10">
        <v>2024</v>
      </c>
      <c r="E7" s="4">
        <v>30115</v>
      </c>
      <c r="F7" s="11">
        <v>0.2</v>
      </c>
      <c r="G7" s="4">
        <f>LPG!C9</f>
        <v>2273.6333333333332</v>
      </c>
      <c r="H7" s="11">
        <v>1.65</v>
      </c>
      <c r="I7" s="4">
        <v>262.36900000000526</v>
      </c>
      <c r="J7" s="11">
        <v>7.84</v>
      </c>
      <c r="K7" s="4">
        <f>'Occupied &amp; No. of Guest'!B8</f>
        <v>223</v>
      </c>
      <c r="L7" s="4">
        <f>'Occupied &amp; No. of Guest'!C8</f>
        <v>349</v>
      </c>
    </row>
    <row r="8" spans="1:12" x14ac:dyDescent="0.25">
      <c r="A8" s="9" t="s">
        <v>52</v>
      </c>
      <c r="B8" s="10">
        <f t="shared" si="0"/>
        <v>7</v>
      </c>
      <c r="C8" s="10">
        <v>4</v>
      </c>
      <c r="D8" s="10">
        <v>2024</v>
      </c>
      <c r="E8" s="4">
        <v>29121</v>
      </c>
      <c r="F8" s="11">
        <v>0.2</v>
      </c>
      <c r="G8" s="4">
        <f>LPG!C10</f>
        <v>2273.6333333333332</v>
      </c>
      <c r="H8" s="11">
        <v>1.65</v>
      </c>
      <c r="I8" s="4">
        <v>288.87199999999984</v>
      </c>
      <c r="J8" s="11">
        <v>7.84</v>
      </c>
      <c r="K8" s="4">
        <f>'Occupied &amp; No. of Guest'!B9</f>
        <v>220</v>
      </c>
      <c r="L8" s="4">
        <f>'Occupied &amp; No. of Guest'!C9</f>
        <v>331</v>
      </c>
    </row>
    <row r="9" spans="1:12" x14ac:dyDescent="0.25">
      <c r="A9" s="9" t="s">
        <v>52</v>
      </c>
      <c r="B9" s="10">
        <f t="shared" si="0"/>
        <v>8</v>
      </c>
      <c r="C9" s="10">
        <v>4</v>
      </c>
      <c r="D9" s="10">
        <v>2024</v>
      </c>
      <c r="E9" s="4">
        <v>29099</v>
      </c>
      <c r="F9" s="11">
        <v>0.2</v>
      </c>
      <c r="G9" s="4">
        <f>LPG!C11</f>
        <v>2273.6333333333332</v>
      </c>
      <c r="H9" s="11">
        <v>1.65</v>
      </c>
      <c r="I9" s="4">
        <v>253.82299999999992</v>
      </c>
      <c r="J9" s="11">
        <v>7.84</v>
      </c>
      <c r="K9" s="4">
        <f>'Occupied &amp; No. of Guest'!B10</f>
        <v>259</v>
      </c>
      <c r="L9" s="4">
        <f>'Occupied &amp; No. of Guest'!C10</f>
        <v>403</v>
      </c>
    </row>
    <row r="10" spans="1:12" x14ac:dyDescent="0.25">
      <c r="A10" s="9" t="s">
        <v>52</v>
      </c>
      <c r="B10" s="10">
        <f t="shared" si="0"/>
        <v>9</v>
      </c>
      <c r="C10" s="10">
        <v>4</v>
      </c>
      <c r="D10" s="10">
        <v>2024</v>
      </c>
      <c r="E10" s="4">
        <v>31965.200000000001</v>
      </c>
      <c r="F10" s="11">
        <v>0.2</v>
      </c>
      <c r="G10" s="4">
        <f>LPG!C12</f>
        <v>2273.6333333333332</v>
      </c>
      <c r="H10" s="11">
        <v>1.65</v>
      </c>
      <c r="I10" s="4">
        <v>321.97300000001081</v>
      </c>
      <c r="J10" s="11">
        <v>7.84</v>
      </c>
      <c r="K10" s="4">
        <f>'Occupied &amp; No. of Guest'!B11</f>
        <v>291</v>
      </c>
      <c r="L10" s="4">
        <f>'Occupied &amp; No. of Guest'!C11</f>
        <v>505</v>
      </c>
    </row>
    <row r="11" spans="1:12" x14ac:dyDescent="0.25">
      <c r="A11" s="9" t="s">
        <v>52</v>
      </c>
      <c r="B11" s="10">
        <f t="shared" si="0"/>
        <v>10</v>
      </c>
      <c r="C11" s="10">
        <v>4</v>
      </c>
      <c r="D11" s="10">
        <v>2024</v>
      </c>
      <c r="E11" s="4">
        <v>32277.200000000001</v>
      </c>
      <c r="F11" s="11">
        <v>0.2</v>
      </c>
      <c r="G11" s="4">
        <f>LPG!C13</f>
        <v>2273.6333333333332</v>
      </c>
      <c r="H11" s="11">
        <v>1.65</v>
      </c>
      <c r="I11" s="4">
        <v>297.47899999998413</v>
      </c>
      <c r="J11" s="11">
        <v>7.84</v>
      </c>
      <c r="K11" s="4">
        <f>'Occupied &amp; No. of Guest'!B12</f>
        <v>352</v>
      </c>
      <c r="L11" s="4">
        <f>'Occupied &amp; No. of Guest'!C12</f>
        <v>642</v>
      </c>
    </row>
    <row r="12" spans="1:12" x14ac:dyDescent="0.25">
      <c r="A12" s="9" t="s">
        <v>52</v>
      </c>
      <c r="B12" s="10">
        <f t="shared" si="0"/>
        <v>11</v>
      </c>
      <c r="C12" s="10">
        <v>4</v>
      </c>
      <c r="D12" s="10">
        <v>2024</v>
      </c>
      <c r="E12" s="4">
        <v>34984.6</v>
      </c>
      <c r="F12" s="11">
        <v>0.2</v>
      </c>
      <c r="G12" s="4">
        <f>LPG!C14</f>
        <v>2273.6333333333332</v>
      </c>
      <c r="H12" s="11">
        <v>1.65</v>
      </c>
      <c r="I12" s="4">
        <v>378.61899999999463</v>
      </c>
      <c r="J12" s="11">
        <v>7.84</v>
      </c>
      <c r="K12" s="4">
        <f>'Occupied &amp; No. of Guest'!B13</f>
        <v>462</v>
      </c>
      <c r="L12" s="4">
        <f>'Occupied &amp; No. of Guest'!C13</f>
        <v>887</v>
      </c>
    </row>
    <row r="13" spans="1:12" x14ac:dyDescent="0.25">
      <c r="A13" s="9" t="s">
        <v>52</v>
      </c>
      <c r="B13" s="10">
        <f t="shared" si="0"/>
        <v>12</v>
      </c>
      <c r="C13" s="10">
        <v>4</v>
      </c>
      <c r="D13" s="10">
        <v>2024</v>
      </c>
      <c r="E13" s="4">
        <v>36731</v>
      </c>
      <c r="F13" s="11">
        <v>0.2</v>
      </c>
      <c r="G13" s="4">
        <f>LPG!C15</f>
        <v>2273.6333333333332</v>
      </c>
      <c r="H13" s="11">
        <v>1.65</v>
      </c>
      <c r="I13" s="4">
        <v>420.00000000000517</v>
      </c>
      <c r="J13" s="11">
        <v>7.84</v>
      </c>
      <c r="K13" s="4">
        <f>'Occupied &amp; No. of Guest'!B14</f>
        <v>439</v>
      </c>
      <c r="L13" s="4">
        <f>'Occupied &amp; No. of Guest'!C14</f>
        <v>802</v>
      </c>
    </row>
    <row r="14" spans="1:12" x14ac:dyDescent="0.25">
      <c r="A14" s="9" t="s">
        <v>52</v>
      </c>
      <c r="B14" s="10">
        <f t="shared" si="0"/>
        <v>13</v>
      </c>
      <c r="C14" s="10">
        <v>4</v>
      </c>
      <c r="D14" s="10">
        <v>2024</v>
      </c>
      <c r="E14" s="4">
        <v>35024</v>
      </c>
      <c r="F14" s="11">
        <v>0.2</v>
      </c>
      <c r="G14" s="4">
        <f>LPG!C16</f>
        <v>2273.6333333333332</v>
      </c>
      <c r="H14" s="11">
        <v>1.65</v>
      </c>
      <c r="I14" s="4">
        <v>394.50299999999504</v>
      </c>
      <c r="J14" s="11">
        <v>7.84</v>
      </c>
      <c r="K14" s="4">
        <f>'Occupied &amp; No. of Guest'!B15</f>
        <v>422</v>
      </c>
      <c r="L14" s="4">
        <f>'Occupied &amp; No. of Guest'!C15</f>
        <v>684</v>
      </c>
    </row>
    <row r="15" spans="1:12" x14ac:dyDescent="0.25">
      <c r="A15" s="9" t="s">
        <v>52</v>
      </c>
      <c r="B15" s="10">
        <f t="shared" si="0"/>
        <v>14</v>
      </c>
      <c r="C15" s="10">
        <v>4</v>
      </c>
      <c r="D15" s="10">
        <v>2024</v>
      </c>
      <c r="E15" s="4">
        <v>34330.199999999997</v>
      </c>
      <c r="F15" s="11">
        <v>0.2</v>
      </c>
      <c r="G15" s="4">
        <f>LPG!C17</f>
        <v>2273.6333333333332</v>
      </c>
      <c r="H15" s="11">
        <v>1.65</v>
      </c>
      <c r="I15" s="4">
        <v>372.66100000000489</v>
      </c>
      <c r="J15" s="11">
        <v>7.84</v>
      </c>
      <c r="K15" s="4">
        <f>'Occupied &amp; No. of Guest'!B16</f>
        <v>336</v>
      </c>
      <c r="L15" s="4">
        <f>'Occupied &amp; No. of Guest'!C16</f>
        <v>509</v>
      </c>
    </row>
    <row r="16" spans="1:12" x14ac:dyDescent="0.25">
      <c r="A16" s="9" t="s">
        <v>52</v>
      </c>
      <c r="B16" s="10">
        <f t="shared" si="0"/>
        <v>15</v>
      </c>
      <c r="C16" s="10">
        <v>4</v>
      </c>
      <c r="D16" s="10">
        <v>2024</v>
      </c>
      <c r="E16" s="4">
        <v>34546.400000000001</v>
      </c>
      <c r="F16" s="11">
        <v>0.2</v>
      </c>
      <c r="G16" s="4">
        <f>LPG!C18</f>
        <v>2273.6333333333332</v>
      </c>
      <c r="H16" s="11">
        <v>1.65</v>
      </c>
      <c r="I16" s="4">
        <v>330.98600000000545</v>
      </c>
      <c r="J16" s="11">
        <v>7.84</v>
      </c>
      <c r="K16" s="4">
        <f>'Occupied &amp; No. of Guest'!B17</f>
        <v>432</v>
      </c>
      <c r="L16" s="4">
        <f>'Occupied &amp; No. of Guest'!C17</f>
        <v>533</v>
      </c>
    </row>
    <row r="17" spans="1:12" x14ac:dyDescent="0.25">
      <c r="A17" s="9" t="s">
        <v>52</v>
      </c>
      <c r="B17" s="10">
        <f t="shared" si="0"/>
        <v>16</v>
      </c>
      <c r="C17" s="10">
        <v>4</v>
      </c>
      <c r="D17" s="10">
        <v>2024</v>
      </c>
      <c r="E17" s="4">
        <v>32155.599999999999</v>
      </c>
      <c r="F17" s="11">
        <v>0.2</v>
      </c>
      <c r="G17" s="4">
        <f>LPG!C19</f>
        <v>2273.6333333333332</v>
      </c>
      <c r="H17" s="11">
        <v>1.65</v>
      </c>
      <c r="I17" s="4">
        <v>311.62999999999977</v>
      </c>
      <c r="J17" s="11">
        <v>7.84</v>
      </c>
      <c r="K17" s="4">
        <f>'Occupied &amp; No. of Guest'!B18</f>
        <v>464</v>
      </c>
      <c r="L17" s="4">
        <f>'Occupied &amp; No. of Guest'!C18</f>
        <v>586</v>
      </c>
    </row>
    <row r="18" spans="1:12" x14ac:dyDescent="0.25">
      <c r="A18" s="9" t="s">
        <v>52</v>
      </c>
      <c r="B18" s="10">
        <f t="shared" si="0"/>
        <v>17</v>
      </c>
      <c r="C18" s="10">
        <v>4</v>
      </c>
      <c r="D18" s="10">
        <v>2024</v>
      </c>
      <c r="E18" s="4">
        <v>32725.200000000001</v>
      </c>
      <c r="F18" s="11">
        <v>0.2</v>
      </c>
      <c r="G18" s="4">
        <f>LPG!C20</f>
        <v>2273.6333333333332</v>
      </c>
      <c r="H18" s="11">
        <v>1.65</v>
      </c>
      <c r="I18" s="4">
        <v>311.9280000000054</v>
      </c>
      <c r="J18" s="11">
        <v>7.84</v>
      </c>
      <c r="K18" s="4">
        <f>'Occupied &amp; No. of Guest'!B19</f>
        <v>470</v>
      </c>
      <c r="L18" s="4">
        <f>'Occupied &amp; No. of Guest'!C19</f>
        <v>582</v>
      </c>
    </row>
    <row r="19" spans="1:12" x14ac:dyDescent="0.25">
      <c r="A19" s="9" t="s">
        <v>52</v>
      </c>
      <c r="B19" s="10">
        <f t="shared" si="0"/>
        <v>18</v>
      </c>
      <c r="C19" s="10">
        <v>4</v>
      </c>
      <c r="D19" s="10">
        <v>2024</v>
      </c>
      <c r="E19" s="4">
        <v>33287.800000000003</v>
      </c>
      <c r="F19" s="11">
        <v>0.2</v>
      </c>
      <c r="G19" s="4">
        <f>LPG!C21</f>
        <v>2273.6333333333332</v>
      </c>
      <c r="H19" s="11">
        <v>1.65</v>
      </c>
      <c r="I19" s="4">
        <v>299.78799999999512</v>
      </c>
      <c r="J19" s="11">
        <v>7.84</v>
      </c>
      <c r="K19" s="4">
        <f>'Occupied &amp; No. of Guest'!B20</f>
        <v>392</v>
      </c>
      <c r="L19" s="4">
        <f>'Occupied &amp; No. of Guest'!C20</f>
        <v>539</v>
      </c>
    </row>
    <row r="20" spans="1:12" x14ac:dyDescent="0.25">
      <c r="A20" s="9" t="s">
        <v>52</v>
      </c>
      <c r="B20" s="10">
        <f t="shared" si="0"/>
        <v>19</v>
      </c>
      <c r="C20" s="10">
        <v>4</v>
      </c>
      <c r="D20" s="10">
        <v>2024</v>
      </c>
      <c r="E20" s="4">
        <v>34474</v>
      </c>
      <c r="F20" s="11">
        <v>0.2</v>
      </c>
      <c r="G20" s="4">
        <f>LPG!C22</f>
        <v>2273.6333333333332</v>
      </c>
      <c r="H20" s="11">
        <v>1.65</v>
      </c>
      <c r="I20" s="4">
        <v>367.5750000000051</v>
      </c>
      <c r="J20" s="11">
        <v>7.84</v>
      </c>
      <c r="K20" s="4">
        <f>'Occupied &amp; No. of Guest'!B21</f>
        <v>390</v>
      </c>
      <c r="L20" s="4">
        <f>'Occupied &amp; No. of Guest'!C21</f>
        <v>605</v>
      </c>
    </row>
    <row r="21" spans="1:12" x14ac:dyDescent="0.25">
      <c r="A21" s="9" t="s">
        <v>52</v>
      </c>
      <c r="B21" s="10">
        <f t="shared" si="0"/>
        <v>20</v>
      </c>
      <c r="C21" s="10">
        <v>4</v>
      </c>
      <c r="D21" s="10">
        <v>2024</v>
      </c>
      <c r="E21" s="4">
        <v>34942.400000000001</v>
      </c>
      <c r="F21" s="11">
        <v>0.2</v>
      </c>
      <c r="G21" s="4">
        <f>LPG!C23</f>
        <v>2273.6333333333332</v>
      </c>
      <c r="H21" s="11">
        <v>1.65</v>
      </c>
      <c r="I21" s="4">
        <v>382.07499999999982</v>
      </c>
      <c r="J21" s="11">
        <v>7.84</v>
      </c>
      <c r="K21" s="4">
        <f>'Occupied &amp; No. of Guest'!B22</f>
        <v>358</v>
      </c>
      <c r="L21" s="4">
        <f>'Occupied &amp; No. of Guest'!C22</f>
        <v>517</v>
      </c>
    </row>
    <row r="22" spans="1:12" x14ac:dyDescent="0.25">
      <c r="A22" s="9" t="s">
        <v>52</v>
      </c>
      <c r="B22" s="10">
        <f t="shared" si="0"/>
        <v>21</v>
      </c>
      <c r="C22" s="10">
        <v>4</v>
      </c>
      <c r="D22" s="10">
        <v>2024</v>
      </c>
      <c r="E22" s="4">
        <v>35044.6</v>
      </c>
      <c r="F22" s="11">
        <v>0.2</v>
      </c>
      <c r="G22" s="4">
        <f>LPG!C24</f>
        <v>2273.6333333333332</v>
      </c>
      <c r="H22" s="11">
        <v>1.65</v>
      </c>
      <c r="I22" s="4">
        <v>375.55499999998455</v>
      </c>
      <c r="J22" s="11">
        <v>7.84</v>
      </c>
      <c r="K22" s="4">
        <f>'Occupied &amp; No. of Guest'!B23</f>
        <v>356</v>
      </c>
      <c r="L22" s="4">
        <f>'Occupied &amp; No. of Guest'!C23</f>
        <v>467</v>
      </c>
    </row>
    <row r="23" spans="1:12" x14ac:dyDescent="0.25">
      <c r="A23" s="9" t="s">
        <v>52</v>
      </c>
      <c r="B23" s="10">
        <f t="shared" si="0"/>
        <v>22</v>
      </c>
      <c r="C23" s="10">
        <v>4</v>
      </c>
      <c r="D23" s="10">
        <v>2024</v>
      </c>
      <c r="E23" s="4">
        <v>33976</v>
      </c>
      <c r="F23" s="11">
        <v>0.2</v>
      </c>
      <c r="G23" s="4">
        <f>LPG!C25</f>
        <v>2273.6333333333332</v>
      </c>
      <c r="H23" s="11">
        <v>1.65</v>
      </c>
      <c r="I23" s="4">
        <v>251.57800000001021</v>
      </c>
      <c r="J23" s="11">
        <v>7.84</v>
      </c>
      <c r="K23" s="4">
        <f>'Occupied &amp; No. of Guest'!B24</f>
        <v>471</v>
      </c>
      <c r="L23" s="4">
        <f>'Occupied &amp; No. of Guest'!C24</f>
        <v>628</v>
      </c>
    </row>
    <row r="24" spans="1:12" x14ac:dyDescent="0.25">
      <c r="A24" s="9" t="s">
        <v>52</v>
      </c>
      <c r="B24" s="10">
        <f t="shared" si="0"/>
        <v>23</v>
      </c>
      <c r="C24" s="10">
        <v>4</v>
      </c>
      <c r="D24" s="10">
        <v>2024</v>
      </c>
      <c r="E24" s="4">
        <v>35149.199999999997</v>
      </c>
      <c r="F24" s="11">
        <v>0.2</v>
      </c>
      <c r="G24" s="4">
        <f>LPG!C26</f>
        <v>2273.6333333333332</v>
      </c>
      <c r="H24" s="11">
        <v>1.65</v>
      </c>
      <c r="I24" s="4">
        <v>169.35599999999991</v>
      </c>
      <c r="J24" s="11">
        <v>7.84</v>
      </c>
      <c r="K24" s="4">
        <f>'Occupied &amp; No. of Guest'!B25</f>
        <v>471</v>
      </c>
      <c r="L24" s="4">
        <f>'Occupied &amp; No. of Guest'!C25</f>
        <v>601</v>
      </c>
    </row>
    <row r="25" spans="1:12" x14ac:dyDescent="0.25">
      <c r="A25" s="9" t="s">
        <v>52</v>
      </c>
      <c r="B25" s="10">
        <f t="shared" si="0"/>
        <v>24</v>
      </c>
      <c r="C25" s="10">
        <v>4</v>
      </c>
      <c r="D25" s="10">
        <v>2024</v>
      </c>
      <c r="E25" s="4">
        <v>35095.599999999999</v>
      </c>
      <c r="F25" s="11">
        <v>0.2</v>
      </c>
      <c r="G25" s="4">
        <f>LPG!C27</f>
        <v>2273.6333333333332</v>
      </c>
      <c r="H25" s="11">
        <v>1.65</v>
      </c>
      <c r="I25" s="4">
        <v>162.42799999998942</v>
      </c>
      <c r="J25" s="11">
        <v>7.84</v>
      </c>
      <c r="K25" s="4">
        <f>'Occupied &amp; No. of Guest'!B26</f>
        <v>484</v>
      </c>
      <c r="L25" s="4">
        <f>'Occupied &amp; No. of Guest'!C26</f>
        <v>608</v>
      </c>
    </row>
    <row r="26" spans="1:12" x14ac:dyDescent="0.25">
      <c r="A26" s="9" t="s">
        <v>52</v>
      </c>
      <c r="B26" s="10">
        <f>B25+1</f>
        <v>25</v>
      </c>
      <c r="C26" s="10">
        <v>4</v>
      </c>
      <c r="D26" s="10">
        <v>2024</v>
      </c>
      <c r="E26" s="4">
        <v>35815.599999999999</v>
      </c>
      <c r="F26" s="11">
        <v>0.2</v>
      </c>
      <c r="G26" s="4">
        <f>LPG!C28</f>
        <v>2273.6333333333332</v>
      </c>
      <c r="H26" s="11">
        <v>1.65</v>
      </c>
      <c r="I26" s="4">
        <v>878.65200000000027</v>
      </c>
      <c r="J26" s="11">
        <v>7.84</v>
      </c>
      <c r="K26" s="4">
        <f>'Occupied &amp; No. of Guest'!B27</f>
        <v>458</v>
      </c>
      <c r="L26" s="4">
        <f>'Occupied &amp; No. of Guest'!C27</f>
        <v>573</v>
      </c>
    </row>
    <row r="27" spans="1:12" x14ac:dyDescent="0.25">
      <c r="A27" s="9" t="s">
        <v>52</v>
      </c>
      <c r="B27" s="10">
        <f t="shared" si="0"/>
        <v>26</v>
      </c>
      <c r="C27" s="10">
        <v>4</v>
      </c>
      <c r="D27" s="10">
        <v>2024</v>
      </c>
      <c r="E27" s="4">
        <v>36314.199999999997</v>
      </c>
      <c r="F27" s="11">
        <v>0.2</v>
      </c>
      <c r="G27" s="4">
        <f>LPG!C29</f>
        <v>2273.6333333333332</v>
      </c>
      <c r="H27" s="11">
        <v>1.65</v>
      </c>
      <c r="I27" s="4">
        <v>646.18799999999987</v>
      </c>
      <c r="J27" s="11">
        <v>7.84</v>
      </c>
      <c r="K27" s="4">
        <f>'Occupied &amp; No. of Guest'!B28</f>
        <v>460</v>
      </c>
      <c r="L27" s="4">
        <f>'Occupied &amp; No. of Guest'!C28</f>
        <v>597</v>
      </c>
    </row>
    <row r="28" spans="1:12" x14ac:dyDescent="0.25">
      <c r="A28" s="9" t="s">
        <v>52</v>
      </c>
      <c r="B28" s="10">
        <f t="shared" si="0"/>
        <v>27</v>
      </c>
      <c r="C28" s="10">
        <v>4</v>
      </c>
      <c r="D28" s="10">
        <v>2024</v>
      </c>
      <c r="E28" s="4">
        <v>37896.800000000003</v>
      </c>
      <c r="F28" s="11">
        <v>0.2</v>
      </c>
      <c r="G28" s="4">
        <f>LPG!C30</f>
        <v>2273.6333333333332</v>
      </c>
      <c r="H28" s="11">
        <v>1.65</v>
      </c>
      <c r="I28" s="4">
        <v>372.89499999999998</v>
      </c>
      <c r="J28" s="11">
        <v>7.84</v>
      </c>
      <c r="K28" s="4">
        <f>'Occupied &amp; No. of Guest'!B29</f>
        <v>473</v>
      </c>
      <c r="L28" s="4">
        <f>'Occupied &amp; No. of Guest'!C29</f>
        <v>629</v>
      </c>
    </row>
    <row r="29" spans="1:12" x14ac:dyDescent="0.25">
      <c r="A29" s="9" t="s">
        <v>52</v>
      </c>
      <c r="B29" s="10">
        <f t="shared" si="0"/>
        <v>28</v>
      </c>
      <c r="C29" s="10">
        <v>4</v>
      </c>
      <c r="D29" s="10">
        <v>2024</v>
      </c>
      <c r="E29" s="4">
        <v>37598</v>
      </c>
      <c r="F29" s="11">
        <v>0.2</v>
      </c>
      <c r="G29" s="4">
        <f>LPG!C31</f>
        <v>2273.6333333333332</v>
      </c>
      <c r="H29" s="11">
        <v>1.65</v>
      </c>
      <c r="I29" s="4">
        <v>410.75700000002081</v>
      </c>
      <c r="J29" s="11">
        <v>7.84</v>
      </c>
      <c r="K29" s="4">
        <f>'Occupied &amp; No. of Guest'!B30</f>
        <v>458</v>
      </c>
      <c r="L29" s="4">
        <f>'Occupied &amp; No. of Guest'!C30</f>
        <v>565</v>
      </c>
    </row>
    <row r="30" spans="1:12" x14ac:dyDescent="0.25">
      <c r="A30" s="9" t="s">
        <v>52</v>
      </c>
      <c r="B30" s="10">
        <f t="shared" si="0"/>
        <v>29</v>
      </c>
      <c r="C30" s="10">
        <v>4</v>
      </c>
      <c r="D30" s="10">
        <v>2024</v>
      </c>
      <c r="E30" s="4">
        <v>38255.599999999999</v>
      </c>
      <c r="F30" s="11">
        <v>0.2</v>
      </c>
      <c r="G30" s="4">
        <f>LPG!C32</f>
        <v>2273.6333333333332</v>
      </c>
      <c r="H30" s="11">
        <v>1.65</v>
      </c>
      <c r="I30" s="4">
        <v>365.11400000000037</v>
      </c>
      <c r="J30" s="11">
        <v>7.84</v>
      </c>
      <c r="K30" s="4">
        <f>'Occupied &amp; No. of Guest'!B31</f>
        <v>482</v>
      </c>
      <c r="L30" s="4">
        <f>'Occupied &amp; No. of Guest'!C31</f>
        <v>606</v>
      </c>
    </row>
    <row r="31" spans="1:12" x14ac:dyDescent="0.25">
      <c r="A31" s="9" t="s">
        <v>52</v>
      </c>
      <c r="B31" s="10">
        <f t="shared" si="0"/>
        <v>30</v>
      </c>
      <c r="C31" s="10">
        <v>4</v>
      </c>
      <c r="D31" s="10">
        <v>2024</v>
      </c>
      <c r="E31" s="4">
        <v>39337.4</v>
      </c>
      <c r="F31" s="11">
        <v>0.2</v>
      </c>
      <c r="G31" s="4">
        <f>LPG!C33</f>
        <v>2273.6333333333332</v>
      </c>
      <c r="H31" s="11">
        <v>1.65</v>
      </c>
      <c r="I31" s="4">
        <v>178.66399999998913</v>
      </c>
      <c r="J31" s="11">
        <v>7.84</v>
      </c>
      <c r="K31" s="4">
        <f>'Occupied &amp; No. of Guest'!B32</f>
        <v>471</v>
      </c>
      <c r="L31" s="4">
        <f>'Occupied &amp; No. of Guest'!C32</f>
        <v>611</v>
      </c>
    </row>
    <row r="32" spans="1:12" x14ac:dyDescent="0.25">
      <c r="A32" s="9" t="s">
        <v>52</v>
      </c>
      <c r="B32" s="10">
        <f t="shared" si="0"/>
        <v>31</v>
      </c>
      <c r="C32" s="10">
        <v>4</v>
      </c>
      <c r="D32" s="10">
        <v>2024</v>
      </c>
      <c r="E32" s="4">
        <v>0</v>
      </c>
      <c r="F32" s="11">
        <v>0.2</v>
      </c>
      <c r="G32" s="4">
        <f>LPG!C34</f>
        <v>0</v>
      </c>
      <c r="H32" s="11">
        <v>1.65</v>
      </c>
      <c r="I32" s="4">
        <v>0</v>
      </c>
      <c r="J32" s="11">
        <v>7.84</v>
      </c>
      <c r="K32" s="4">
        <f>'Occupied &amp; No. of Guest'!B33</f>
        <v>0</v>
      </c>
      <c r="L32" s="4">
        <f>'Occupied &amp; No. of Guest'!C33</f>
        <v>0</v>
      </c>
    </row>
    <row r="33" spans="7:7" x14ac:dyDescent="0.25">
      <c r="G3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C785D-AAE3-4932-B36D-B3428EA355C6}">
  <sheetPr>
    <pageSetUpPr fitToPage="1"/>
  </sheetPr>
  <dimension ref="A1:BO22"/>
  <sheetViews>
    <sheetView zoomScale="115" zoomScaleNormal="115" zoomScaleSheetLayoutView="85" workbookViewId="0">
      <pane xSplit="4" ySplit="4" topLeftCell="E12" activePane="bottomRight" state="frozen"/>
      <selection pane="topRight" activeCell="E1" sqref="E1"/>
      <selection pane="bottomLeft" activeCell="A5" sqref="A5"/>
      <selection pane="bottomRight" activeCell="G6" sqref="G6"/>
    </sheetView>
  </sheetViews>
  <sheetFormatPr defaultColWidth="9.140625" defaultRowHeight="27" customHeight="1" x14ac:dyDescent="0.2"/>
  <cols>
    <col min="1" max="1" width="5.7109375" style="13" customWidth="1"/>
    <col min="2" max="2" width="17.28515625" style="26" customWidth="1"/>
    <col min="3" max="3" width="21.42578125" style="26" customWidth="1"/>
    <col min="4" max="4" width="10.5703125" style="13" customWidth="1"/>
    <col min="5" max="6" width="15" style="14" customWidth="1"/>
    <col min="7" max="35" width="15" style="13" customWidth="1"/>
    <col min="36" max="16384" width="9.140625" style="13"/>
  </cols>
  <sheetData>
    <row r="1" spans="1:67" ht="29.25" customHeight="1" x14ac:dyDescent="0.2">
      <c r="B1" s="13"/>
      <c r="C1" s="14"/>
      <c r="D1" s="14"/>
      <c r="G1" s="14"/>
    </row>
    <row r="2" spans="1:67" s="14" customFormat="1" ht="29.25" customHeight="1" x14ac:dyDescent="0.25">
      <c r="A2" s="78" t="s">
        <v>83</v>
      </c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  <c r="AB2" s="78"/>
      <c r="AC2" s="78"/>
      <c r="AD2" s="78"/>
      <c r="AE2" s="78"/>
      <c r="AF2" s="78"/>
      <c r="AG2" s="78"/>
      <c r="AH2" s="78"/>
      <c r="AI2" s="78"/>
    </row>
    <row r="3" spans="1:67" s="14" customFormat="1" ht="29.25" customHeight="1" thickBot="1" x14ac:dyDescent="0.3"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  <c r="AD3" s="79"/>
      <c r="AE3" s="79"/>
      <c r="AF3" s="79"/>
      <c r="AG3" s="79"/>
      <c r="AH3" s="79"/>
      <c r="AI3" s="79"/>
    </row>
    <row r="4" spans="1:67" ht="39" thickBot="1" x14ac:dyDescent="0.25">
      <c r="A4" s="15" t="s">
        <v>10</v>
      </c>
      <c r="B4" s="16" t="s">
        <v>11</v>
      </c>
      <c r="C4" s="17" t="s">
        <v>12</v>
      </c>
      <c r="D4" s="18" t="s">
        <v>13</v>
      </c>
      <c r="E4" s="18">
        <v>1</v>
      </c>
      <c r="F4" s="18">
        <v>2</v>
      </c>
      <c r="G4" s="19">
        <v>3</v>
      </c>
      <c r="H4" s="18">
        <v>4</v>
      </c>
      <c r="I4" s="18">
        <v>5</v>
      </c>
      <c r="J4" s="18">
        <v>6</v>
      </c>
      <c r="K4" s="18">
        <v>7</v>
      </c>
      <c r="L4" s="18">
        <v>8</v>
      </c>
      <c r="M4" s="18">
        <v>9</v>
      </c>
      <c r="N4" s="18">
        <v>10</v>
      </c>
      <c r="O4" s="18">
        <v>11</v>
      </c>
      <c r="P4" s="18">
        <v>12</v>
      </c>
      <c r="Q4" s="18">
        <v>13</v>
      </c>
      <c r="R4" s="18">
        <v>14</v>
      </c>
      <c r="S4" s="18">
        <v>15</v>
      </c>
      <c r="T4" s="18">
        <v>16</v>
      </c>
      <c r="U4" s="18">
        <v>17</v>
      </c>
      <c r="V4" s="18">
        <v>18</v>
      </c>
      <c r="W4" s="18">
        <v>19</v>
      </c>
      <c r="X4" s="18">
        <v>20</v>
      </c>
      <c r="Y4" s="18">
        <v>21</v>
      </c>
      <c r="Z4" s="18">
        <v>22</v>
      </c>
      <c r="AA4" s="18">
        <v>23</v>
      </c>
      <c r="AB4" s="18">
        <v>24</v>
      </c>
      <c r="AC4" s="18">
        <v>25</v>
      </c>
      <c r="AD4" s="18">
        <v>26</v>
      </c>
      <c r="AE4" s="18">
        <v>27</v>
      </c>
      <c r="AF4" s="18">
        <v>28</v>
      </c>
      <c r="AG4" s="18">
        <v>29</v>
      </c>
      <c r="AH4" s="18">
        <v>30</v>
      </c>
      <c r="AI4" s="18">
        <v>31</v>
      </c>
    </row>
    <row r="5" spans="1:67" ht="26.25" customHeight="1" x14ac:dyDescent="0.2">
      <c r="A5" s="80">
        <v>1</v>
      </c>
      <c r="B5" s="20" t="s">
        <v>14</v>
      </c>
      <c r="C5" s="82" t="s">
        <v>15</v>
      </c>
      <c r="D5" s="21">
        <v>8757607</v>
      </c>
      <c r="E5" s="21">
        <v>8778130</v>
      </c>
      <c r="F5" s="21">
        <v>8795603</v>
      </c>
      <c r="G5" s="21">
        <v>8819255</v>
      </c>
      <c r="H5" s="21">
        <v>8840526</v>
      </c>
      <c r="I5" s="21">
        <v>8861242</v>
      </c>
      <c r="J5" s="21">
        <v>8881686</v>
      </c>
      <c r="K5" s="21">
        <v>8901608</v>
      </c>
      <c r="L5" s="21">
        <v>8921185</v>
      </c>
      <c r="M5" s="21">
        <v>8942488</v>
      </c>
      <c r="N5" s="21">
        <v>8963042</v>
      </c>
      <c r="O5" s="21">
        <v>8985018</v>
      </c>
      <c r="P5" s="21">
        <v>9007158</v>
      </c>
      <c r="Q5" s="21">
        <v>9028825</v>
      </c>
      <c r="R5" s="21">
        <v>9050613</v>
      </c>
      <c r="S5" s="21">
        <v>9072121</v>
      </c>
      <c r="T5" s="21">
        <v>9092864</v>
      </c>
      <c r="U5" s="21">
        <v>9113780</v>
      </c>
      <c r="V5" s="21">
        <v>9135607</v>
      </c>
      <c r="W5" s="21">
        <v>9157724</v>
      </c>
      <c r="X5" s="21">
        <v>9179585</v>
      </c>
      <c r="Y5" s="21">
        <v>9201364</v>
      </c>
      <c r="Z5" s="21">
        <v>9222820</v>
      </c>
      <c r="AA5" s="21">
        <v>9244761</v>
      </c>
      <c r="AB5" s="21">
        <v>9266414</v>
      </c>
      <c r="AC5" s="21">
        <v>9288888</v>
      </c>
      <c r="AD5" s="21">
        <v>9311110</v>
      </c>
      <c r="AE5" s="21">
        <v>9333908</v>
      </c>
      <c r="AF5" s="21">
        <v>9355897</v>
      </c>
      <c r="AG5" s="21">
        <v>9378640</v>
      </c>
      <c r="AH5" s="21">
        <v>9401020</v>
      </c>
      <c r="AI5" s="21"/>
    </row>
    <row r="6" spans="1:67" s="24" customFormat="1" ht="21.75" customHeight="1" thickBot="1" x14ac:dyDescent="0.25">
      <c r="A6" s="81"/>
      <c r="B6" s="22"/>
      <c r="C6" s="83"/>
      <c r="D6" s="23"/>
      <c r="E6" s="23">
        <f>E5-D5</f>
        <v>20523</v>
      </c>
      <c r="F6" s="23">
        <f t="shared" ref="F6:AH6" si="0">F5-E5</f>
        <v>17473</v>
      </c>
      <c r="G6" s="23">
        <f t="shared" si="0"/>
        <v>23652</v>
      </c>
      <c r="H6" s="23">
        <f t="shared" si="0"/>
        <v>21271</v>
      </c>
      <c r="I6" s="23">
        <f t="shared" si="0"/>
        <v>20716</v>
      </c>
      <c r="J6" s="23">
        <f t="shared" si="0"/>
        <v>20444</v>
      </c>
      <c r="K6" s="23">
        <f t="shared" si="0"/>
        <v>19922</v>
      </c>
      <c r="L6" s="23">
        <f t="shared" si="0"/>
        <v>19577</v>
      </c>
      <c r="M6" s="23">
        <f t="shared" si="0"/>
        <v>21303</v>
      </c>
      <c r="N6" s="23">
        <f t="shared" si="0"/>
        <v>20554</v>
      </c>
      <c r="O6" s="23">
        <f t="shared" si="0"/>
        <v>21976</v>
      </c>
      <c r="P6" s="23">
        <f t="shared" si="0"/>
        <v>22140</v>
      </c>
      <c r="Q6" s="23">
        <f t="shared" si="0"/>
        <v>21667</v>
      </c>
      <c r="R6" s="23">
        <f t="shared" si="0"/>
        <v>21788</v>
      </c>
      <c r="S6" s="23">
        <f t="shared" si="0"/>
        <v>21508</v>
      </c>
      <c r="T6" s="23">
        <f t="shared" si="0"/>
        <v>20743</v>
      </c>
      <c r="U6" s="23">
        <f t="shared" si="0"/>
        <v>20916</v>
      </c>
      <c r="V6" s="23">
        <f t="shared" si="0"/>
        <v>21827</v>
      </c>
      <c r="W6" s="23">
        <f t="shared" si="0"/>
        <v>22117</v>
      </c>
      <c r="X6" s="23">
        <f t="shared" si="0"/>
        <v>21861</v>
      </c>
      <c r="Y6" s="23">
        <f t="shared" si="0"/>
        <v>21779</v>
      </c>
      <c r="Z6" s="23">
        <f t="shared" si="0"/>
        <v>21456</v>
      </c>
      <c r="AA6" s="23">
        <f t="shared" si="0"/>
        <v>21941</v>
      </c>
      <c r="AB6" s="23">
        <f t="shared" si="0"/>
        <v>21653</v>
      </c>
      <c r="AC6" s="23">
        <f t="shared" si="0"/>
        <v>22474</v>
      </c>
      <c r="AD6" s="23">
        <f t="shared" si="0"/>
        <v>22222</v>
      </c>
      <c r="AE6" s="23">
        <f t="shared" si="0"/>
        <v>22798</v>
      </c>
      <c r="AF6" s="23">
        <f t="shared" si="0"/>
        <v>21989</v>
      </c>
      <c r="AG6" s="23">
        <f t="shared" si="0"/>
        <v>22743</v>
      </c>
      <c r="AH6" s="23">
        <f t="shared" si="0"/>
        <v>22380</v>
      </c>
      <c r="AI6" s="2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</row>
    <row r="7" spans="1:67" ht="22.5" customHeight="1" x14ac:dyDescent="0.2">
      <c r="A7" s="84">
        <v>2</v>
      </c>
      <c r="B7" s="25" t="s">
        <v>16</v>
      </c>
      <c r="C7" s="86" t="s">
        <v>17</v>
      </c>
      <c r="D7" s="21">
        <v>620</v>
      </c>
      <c r="E7" s="21">
        <v>620</v>
      </c>
      <c r="F7" s="21">
        <v>620</v>
      </c>
      <c r="G7" s="21">
        <v>620</v>
      </c>
      <c r="H7" s="21">
        <v>620</v>
      </c>
      <c r="I7" s="21">
        <v>620</v>
      </c>
      <c r="J7" s="21">
        <v>620</v>
      </c>
      <c r="K7" s="21">
        <v>620</v>
      </c>
      <c r="L7" s="21">
        <v>620</v>
      </c>
      <c r="M7" s="21">
        <v>620</v>
      </c>
      <c r="N7" s="21">
        <v>620</v>
      </c>
      <c r="O7" s="21">
        <v>620</v>
      </c>
      <c r="P7" s="21">
        <v>620</v>
      </c>
      <c r="Q7" s="21">
        <v>620</v>
      </c>
      <c r="R7" s="21">
        <v>620</v>
      </c>
      <c r="S7" s="21">
        <v>620</v>
      </c>
      <c r="T7" s="21">
        <v>620</v>
      </c>
      <c r="U7" s="21">
        <v>620</v>
      </c>
      <c r="V7" s="21">
        <v>620</v>
      </c>
      <c r="W7" s="21">
        <v>620</v>
      </c>
      <c r="X7" s="21">
        <v>620</v>
      </c>
      <c r="Y7" s="21">
        <v>620</v>
      </c>
      <c r="Z7" s="21">
        <v>620</v>
      </c>
      <c r="AA7" s="21">
        <v>620</v>
      </c>
      <c r="AB7" s="21">
        <v>620</v>
      </c>
      <c r="AC7" s="21">
        <v>620</v>
      </c>
      <c r="AD7" s="21">
        <v>620</v>
      </c>
      <c r="AE7" s="21">
        <v>620</v>
      </c>
      <c r="AF7" s="21">
        <v>620</v>
      </c>
      <c r="AG7" s="21">
        <v>620</v>
      </c>
      <c r="AH7" s="21">
        <v>620</v>
      </c>
      <c r="AI7" s="21"/>
    </row>
    <row r="8" spans="1:67" s="24" customFormat="1" ht="21.75" customHeight="1" thickBot="1" x14ac:dyDescent="0.25">
      <c r="A8" s="85"/>
      <c r="B8" s="22"/>
      <c r="C8" s="83"/>
      <c r="D8" s="23"/>
      <c r="E8" s="23">
        <f t="shared" ref="E8:AH8" si="1">E7-D7</f>
        <v>0</v>
      </c>
      <c r="F8" s="23">
        <f t="shared" si="1"/>
        <v>0</v>
      </c>
      <c r="G8" s="23">
        <f t="shared" si="1"/>
        <v>0</v>
      </c>
      <c r="H8" s="23">
        <f t="shared" si="1"/>
        <v>0</v>
      </c>
      <c r="I8" s="23">
        <f t="shared" si="1"/>
        <v>0</v>
      </c>
      <c r="J8" s="23">
        <f t="shared" si="1"/>
        <v>0</v>
      </c>
      <c r="K8" s="23">
        <f t="shared" si="1"/>
        <v>0</v>
      </c>
      <c r="L8" s="23">
        <f t="shared" si="1"/>
        <v>0</v>
      </c>
      <c r="M8" s="23">
        <f t="shared" si="1"/>
        <v>0</v>
      </c>
      <c r="N8" s="23">
        <f t="shared" si="1"/>
        <v>0</v>
      </c>
      <c r="O8" s="23">
        <f t="shared" si="1"/>
        <v>0</v>
      </c>
      <c r="P8" s="23">
        <f t="shared" si="1"/>
        <v>0</v>
      </c>
      <c r="Q8" s="23">
        <f t="shared" si="1"/>
        <v>0</v>
      </c>
      <c r="R8" s="23">
        <f t="shared" si="1"/>
        <v>0</v>
      </c>
      <c r="S8" s="23">
        <f t="shared" si="1"/>
        <v>0</v>
      </c>
      <c r="T8" s="23">
        <f t="shared" si="1"/>
        <v>0</v>
      </c>
      <c r="U8" s="23">
        <f t="shared" si="1"/>
        <v>0</v>
      </c>
      <c r="V8" s="23">
        <f t="shared" si="1"/>
        <v>0</v>
      </c>
      <c r="W8" s="23">
        <f t="shared" si="1"/>
        <v>0</v>
      </c>
      <c r="X8" s="23">
        <f t="shared" si="1"/>
        <v>0</v>
      </c>
      <c r="Y8" s="23">
        <f t="shared" si="1"/>
        <v>0</v>
      </c>
      <c r="Z8" s="23">
        <f t="shared" si="1"/>
        <v>0</v>
      </c>
      <c r="AA8" s="23">
        <f t="shared" si="1"/>
        <v>0</v>
      </c>
      <c r="AB8" s="23">
        <f t="shared" si="1"/>
        <v>0</v>
      </c>
      <c r="AC8" s="23">
        <f t="shared" si="1"/>
        <v>0</v>
      </c>
      <c r="AD8" s="23">
        <f t="shared" si="1"/>
        <v>0</v>
      </c>
      <c r="AE8" s="23">
        <f t="shared" si="1"/>
        <v>0</v>
      </c>
      <c r="AF8" s="23">
        <f t="shared" si="1"/>
        <v>0</v>
      </c>
      <c r="AG8" s="23">
        <f t="shared" si="1"/>
        <v>0</v>
      </c>
      <c r="AH8" s="23">
        <f t="shared" si="1"/>
        <v>0</v>
      </c>
      <c r="AI8" s="2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</row>
    <row r="9" spans="1:67" ht="21.75" customHeight="1" x14ac:dyDescent="0.2">
      <c r="A9" s="76">
        <v>3</v>
      </c>
      <c r="B9" s="36" t="s">
        <v>53</v>
      </c>
      <c r="C9" s="77" t="s">
        <v>54</v>
      </c>
      <c r="D9" s="21">
        <v>9507844</v>
      </c>
      <c r="E9" s="21">
        <v>9509222</v>
      </c>
      <c r="F9" s="21">
        <v>9510965</v>
      </c>
      <c r="G9" s="21">
        <v>9512799</v>
      </c>
      <c r="H9" s="21">
        <v>9514555</v>
      </c>
      <c r="I9" s="21">
        <v>9517351</v>
      </c>
      <c r="J9" s="21">
        <v>9521867</v>
      </c>
      <c r="K9" s="21">
        <v>9523542</v>
      </c>
      <c r="L9" s="21">
        <v>9526482</v>
      </c>
      <c r="M9" s="21">
        <v>9536438</v>
      </c>
      <c r="N9" s="21">
        <v>9551831</v>
      </c>
      <c r="O9" s="21">
        <v>9563465</v>
      </c>
      <c r="P9" s="21">
        <v>9580028</v>
      </c>
      <c r="Q9" s="21">
        <v>9593570</v>
      </c>
      <c r="R9" s="21">
        <v>9610187</v>
      </c>
      <c r="S9" s="21">
        <v>9629677</v>
      </c>
      <c r="T9" s="21">
        <v>9652827</v>
      </c>
      <c r="U9" s="21">
        <v>9675949</v>
      </c>
      <c r="V9" s="21">
        <v>9692557</v>
      </c>
      <c r="W9" s="21">
        <v>9709556</v>
      </c>
      <c r="X9" s="21">
        <v>9724168</v>
      </c>
      <c r="Y9" s="21">
        <v>9735626</v>
      </c>
      <c r="Z9" s="21">
        <v>9742834</v>
      </c>
      <c r="AA9" s="21">
        <v>9746092</v>
      </c>
      <c r="AB9" s="21">
        <v>9749655</v>
      </c>
      <c r="AC9" s="21">
        <v>9753176</v>
      </c>
      <c r="AD9" s="21">
        <v>9756694</v>
      </c>
      <c r="AE9" s="21">
        <v>9760532</v>
      </c>
      <c r="AF9" s="21">
        <v>9764532</v>
      </c>
      <c r="AG9" s="21">
        <v>9780043</v>
      </c>
      <c r="AH9" s="21">
        <v>9803407</v>
      </c>
      <c r="AI9" s="21"/>
    </row>
    <row r="10" spans="1:67" s="24" customFormat="1" ht="21.75" customHeight="1" thickBot="1" x14ac:dyDescent="0.25">
      <c r="A10" s="72"/>
      <c r="B10" s="37"/>
      <c r="C10" s="75"/>
      <c r="D10" s="23"/>
      <c r="E10" s="23">
        <f t="shared" ref="E10:AH10" si="2">E9-D9</f>
        <v>1378</v>
      </c>
      <c r="F10" s="23">
        <f t="shared" si="2"/>
        <v>1743</v>
      </c>
      <c r="G10" s="23">
        <f t="shared" si="2"/>
        <v>1834</v>
      </c>
      <c r="H10" s="23">
        <f t="shared" si="2"/>
        <v>1756</v>
      </c>
      <c r="I10" s="23">
        <f t="shared" si="2"/>
        <v>2796</v>
      </c>
      <c r="J10" s="23">
        <f t="shared" si="2"/>
        <v>4516</v>
      </c>
      <c r="K10" s="23">
        <f t="shared" si="2"/>
        <v>1675</v>
      </c>
      <c r="L10" s="23">
        <f t="shared" si="2"/>
        <v>2940</v>
      </c>
      <c r="M10" s="23">
        <f t="shared" si="2"/>
        <v>9956</v>
      </c>
      <c r="N10" s="23">
        <f t="shared" si="2"/>
        <v>15393</v>
      </c>
      <c r="O10" s="23">
        <f t="shared" si="2"/>
        <v>11634</v>
      </c>
      <c r="P10" s="23">
        <f t="shared" si="2"/>
        <v>16563</v>
      </c>
      <c r="Q10" s="23">
        <f t="shared" si="2"/>
        <v>13542</v>
      </c>
      <c r="R10" s="23">
        <f t="shared" si="2"/>
        <v>16617</v>
      </c>
      <c r="S10" s="23">
        <f t="shared" si="2"/>
        <v>19490</v>
      </c>
      <c r="T10" s="23">
        <f t="shared" si="2"/>
        <v>23150</v>
      </c>
      <c r="U10" s="23">
        <f t="shared" si="2"/>
        <v>23122</v>
      </c>
      <c r="V10" s="23">
        <f t="shared" si="2"/>
        <v>16608</v>
      </c>
      <c r="W10" s="23">
        <f t="shared" si="2"/>
        <v>16999</v>
      </c>
      <c r="X10" s="23">
        <f t="shared" si="2"/>
        <v>14612</v>
      </c>
      <c r="Y10" s="23">
        <f t="shared" si="2"/>
        <v>11458</v>
      </c>
      <c r="Z10" s="23">
        <f t="shared" si="2"/>
        <v>7208</v>
      </c>
      <c r="AA10" s="23">
        <f t="shared" si="2"/>
        <v>3258</v>
      </c>
      <c r="AB10" s="23">
        <f t="shared" si="2"/>
        <v>3563</v>
      </c>
      <c r="AC10" s="23">
        <f t="shared" si="2"/>
        <v>3521</v>
      </c>
      <c r="AD10" s="23">
        <f t="shared" si="2"/>
        <v>3518</v>
      </c>
      <c r="AE10" s="23">
        <f t="shared" si="2"/>
        <v>3838</v>
      </c>
      <c r="AF10" s="23">
        <f t="shared" si="2"/>
        <v>4000</v>
      </c>
      <c r="AG10" s="23">
        <f t="shared" si="2"/>
        <v>15511</v>
      </c>
      <c r="AH10" s="23">
        <f t="shared" si="2"/>
        <v>23364</v>
      </c>
      <c r="AI10" s="2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</row>
    <row r="11" spans="1:67" ht="21.75" customHeight="1" x14ac:dyDescent="0.2">
      <c r="A11" s="67">
        <v>4</v>
      </c>
      <c r="B11" s="36" t="s">
        <v>55</v>
      </c>
      <c r="C11" s="77" t="s">
        <v>56</v>
      </c>
      <c r="D11" s="21">
        <v>5008590</v>
      </c>
      <c r="E11" s="21">
        <v>5028263</v>
      </c>
      <c r="F11" s="21">
        <v>5047388</v>
      </c>
      <c r="G11" s="21">
        <v>5067451</v>
      </c>
      <c r="H11" s="21">
        <v>5088237</v>
      </c>
      <c r="I11" s="21">
        <v>5107869</v>
      </c>
      <c r="J11" s="21">
        <v>5126793</v>
      </c>
      <c r="K11" s="21">
        <v>5147393</v>
      </c>
      <c r="L11" s="21">
        <v>5167568</v>
      </c>
      <c r="M11" s="21">
        <v>5183620</v>
      </c>
      <c r="N11" s="21">
        <v>5196815</v>
      </c>
      <c r="O11" s="21">
        <v>5216910</v>
      </c>
      <c r="P11" s="21">
        <v>5236027</v>
      </c>
      <c r="Q11" s="21">
        <v>5255090</v>
      </c>
      <c r="R11" s="21">
        <v>5269021</v>
      </c>
      <c r="S11" s="21">
        <v>5281327</v>
      </c>
      <c r="T11" s="21">
        <v>5285961</v>
      </c>
      <c r="U11" s="21">
        <v>5291647</v>
      </c>
      <c r="V11" s="21">
        <v>5302891</v>
      </c>
      <c r="W11" s="21">
        <v>5316097</v>
      </c>
      <c r="X11" s="21">
        <v>5333366</v>
      </c>
      <c r="Y11" s="21">
        <v>5354192</v>
      </c>
      <c r="Z11" s="21">
        <v>5377454</v>
      </c>
      <c r="AA11" s="21">
        <v>5406414</v>
      </c>
      <c r="AB11" s="21">
        <v>5435675</v>
      </c>
      <c r="AC11" s="21">
        <v>5464623</v>
      </c>
      <c r="AD11" s="21">
        <v>5495583</v>
      </c>
      <c r="AE11" s="21">
        <v>5528627</v>
      </c>
      <c r="AF11" s="21">
        <v>5562817</v>
      </c>
      <c r="AG11" s="21">
        <v>5585260</v>
      </c>
      <c r="AH11" s="21">
        <v>5603502</v>
      </c>
      <c r="AI11" s="21"/>
    </row>
    <row r="12" spans="1:67" s="38" customFormat="1" ht="21.75" customHeight="1" thickBot="1" x14ac:dyDescent="0.25">
      <c r="A12" s="74"/>
      <c r="B12" s="37"/>
      <c r="C12" s="75"/>
      <c r="D12" s="23"/>
      <c r="E12" s="23">
        <f t="shared" ref="E12:AH12" si="3">E11-D11</f>
        <v>19673</v>
      </c>
      <c r="F12" s="23">
        <f t="shared" si="3"/>
        <v>19125</v>
      </c>
      <c r="G12" s="23">
        <f t="shared" si="3"/>
        <v>20063</v>
      </c>
      <c r="H12" s="23">
        <f t="shared" si="3"/>
        <v>20786</v>
      </c>
      <c r="I12" s="23">
        <f t="shared" si="3"/>
        <v>19632</v>
      </c>
      <c r="J12" s="23">
        <f t="shared" si="3"/>
        <v>18924</v>
      </c>
      <c r="K12" s="23">
        <f t="shared" si="3"/>
        <v>20600</v>
      </c>
      <c r="L12" s="23">
        <f t="shared" si="3"/>
        <v>20175</v>
      </c>
      <c r="M12" s="23">
        <f t="shared" si="3"/>
        <v>16052</v>
      </c>
      <c r="N12" s="23">
        <f t="shared" si="3"/>
        <v>13195</v>
      </c>
      <c r="O12" s="23">
        <f t="shared" si="3"/>
        <v>20095</v>
      </c>
      <c r="P12" s="23">
        <f t="shared" si="3"/>
        <v>19117</v>
      </c>
      <c r="Q12" s="23">
        <f t="shared" si="3"/>
        <v>19063</v>
      </c>
      <c r="R12" s="23">
        <f t="shared" si="3"/>
        <v>13931</v>
      </c>
      <c r="S12" s="23">
        <f t="shared" si="3"/>
        <v>12306</v>
      </c>
      <c r="T12" s="23">
        <f t="shared" si="3"/>
        <v>4634</v>
      </c>
      <c r="U12" s="23">
        <f t="shared" si="3"/>
        <v>5686</v>
      </c>
      <c r="V12" s="23">
        <f t="shared" si="3"/>
        <v>11244</v>
      </c>
      <c r="W12" s="23">
        <f t="shared" si="3"/>
        <v>13206</v>
      </c>
      <c r="X12" s="23">
        <f t="shared" si="3"/>
        <v>17269</v>
      </c>
      <c r="Y12" s="23">
        <f t="shared" si="3"/>
        <v>20826</v>
      </c>
      <c r="Z12" s="23">
        <f t="shared" si="3"/>
        <v>23262</v>
      </c>
      <c r="AA12" s="23">
        <f t="shared" si="3"/>
        <v>28960</v>
      </c>
      <c r="AB12" s="23">
        <f t="shared" si="3"/>
        <v>29261</v>
      </c>
      <c r="AC12" s="23">
        <f t="shared" si="3"/>
        <v>28948</v>
      </c>
      <c r="AD12" s="23">
        <f t="shared" si="3"/>
        <v>30960</v>
      </c>
      <c r="AE12" s="23">
        <f t="shared" si="3"/>
        <v>33044</v>
      </c>
      <c r="AF12" s="23">
        <f t="shared" si="3"/>
        <v>34190</v>
      </c>
      <c r="AG12" s="23">
        <f t="shared" si="3"/>
        <v>22443</v>
      </c>
      <c r="AH12" s="23">
        <f t="shared" si="3"/>
        <v>18242</v>
      </c>
      <c r="AI12" s="2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</row>
    <row r="13" spans="1:67" ht="21.75" customHeight="1" x14ac:dyDescent="0.2">
      <c r="A13" s="76">
        <v>7</v>
      </c>
      <c r="B13" s="39" t="s">
        <v>57</v>
      </c>
      <c r="C13" s="69" t="s">
        <v>58</v>
      </c>
      <c r="D13" s="40">
        <v>3221</v>
      </c>
      <c r="E13" s="40">
        <v>3221</v>
      </c>
      <c r="F13" s="40">
        <v>3222</v>
      </c>
      <c r="G13" s="40">
        <v>3222</v>
      </c>
      <c r="H13" s="40">
        <v>3222</v>
      </c>
      <c r="I13" s="40">
        <v>3222</v>
      </c>
      <c r="J13" s="40">
        <v>3222</v>
      </c>
      <c r="K13" s="40">
        <v>3222</v>
      </c>
      <c r="L13" s="40">
        <v>3222</v>
      </c>
      <c r="M13" s="40">
        <v>3222</v>
      </c>
      <c r="N13" s="40">
        <v>3222</v>
      </c>
      <c r="O13" s="40">
        <v>3222</v>
      </c>
      <c r="P13" s="40">
        <v>3222</v>
      </c>
      <c r="Q13" s="40">
        <v>3222</v>
      </c>
      <c r="R13" s="40">
        <v>3222</v>
      </c>
      <c r="S13" s="40">
        <v>3224</v>
      </c>
      <c r="T13" s="40">
        <v>3224</v>
      </c>
      <c r="U13" s="40">
        <v>3224</v>
      </c>
      <c r="V13" s="40">
        <v>3224</v>
      </c>
      <c r="W13" s="40">
        <v>3224</v>
      </c>
      <c r="X13" s="40">
        <v>3224</v>
      </c>
      <c r="Y13" s="40">
        <v>3224</v>
      </c>
      <c r="Z13" s="40">
        <v>3224</v>
      </c>
      <c r="AA13" s="40">
        <v>3224</v>
      </c>
      <c r="AB13" s="40">
        <v>3224</v>
      </c>
      <c r="AC13" s="40">
        <v>3224</v>
      </c>
      <c r="AD13" s="40">
        <v>3224</v>
      </c>
      <c r="AE13" s="40">
        <v>3224</v>
      </c>
      <c r="AF13" s="40">
        <v>3226</v>
      </c>
      <c r="AG13" s="40">
        <v>3226</v>
      </c>
      <c r="AH13" s="40">
        <v>3226</v>
      </c>
      <c r="AI13" s="40"/>
    </row>
    <row r="14" spans="1:67" s="24" customFormat="1" ht="21.75" customHeight="1" thickBot="1" x14ac:dyDescent="0.25">
      <c r="A14" s="72"/>
      <c r="B14" s="41"/>
      <c r="C14" s="75"/>
      <c r="D14" s="42"/>
      <c r="E14" s="42">
        <f t="shared" ref="E14:AH14" si="4">E13-D13</f>
        <v>0</v>
      </c>
      <c r="F14" s="42">
        <f t="shared" si="4"/>
        <v>1</v>
      </c>
      <c r="G14" s="42">
        <f t="shared" si="4"/>
        <v>0</v>
      </c>
      <c r="H14" s="42">
        <f t="shared" si="4"/>
        <v>0</v>
      </c>
      <c r="I14" s="42">
        <f t="shared" si="4"/>
        <v>0</v>
      </c>
      <c r="J14" s="42">
        <f t="shared" si="4"/>
        <v>0</v>
      </c>
      <c r="K14" s="42">
        <f t="shared" si="4"/>
        <v>0</v>
      </c>
      <c r="L14" s="42">
        <f t="shared" si="4"/>
        <v>0</v>
      </c>
      <c r="M14" s="42">
        <f t="shared" si="4"/>
        <v>0</v>
      </c>
      <c r="N14" s="42">
        <f t="shared" si="4"/>
        <v>0</v>
      </c>
      <c r="O14" s="42">
        <f t="shared" si="4"/>
        <v>0</v>
      </c>
      <c r="P14" s="42">
        <f t="shared" si="4"/>
        <v>0</v>
      </c>
      <c r="Q14" s="42">
        <f t="shared" si="4"/>
        <v>0</v>
      </c>
      <c r="R14" s="42">
        <f t="shared" si="4"/>
        <v>0</v>
      </c>
      <c r="S14" s="42">
        <f t="shared" si="4"/>
        <v>2</v>
      </c>
      <c r="T14" s="42">
        <f t="shared" si="4"/>
        <v>0</v>
      </c>
      <c r="U14" s="42">
        <f t="shared" si="4"/>
        <v>0</v>
      </c>
      <c r="V14" s="42">
        <f t="shared" si="4"/>
        <v>0</v>
      </c>
      <c r="W14" s="42">
        <f t="shared" si="4"/>
        <v>0</v>
      </c>
      <c r="X14" s="42">
        <f t="shared" si="4"/>
        <v>0</v>
      </c>
      <c r="Y14" s="42">
        <f t="shared" si="4"/>
        <v>0</v>
      </c>
      <c r="Z14" s="42">
        <f t="shared" si="4"/>
        <v>0</v>
      </c>
      <c r="AA14" s="42">
        <f t="shared" si="4"/>
        <v>0</v>
      </c>
      <c r="AB14" s="42">
        <f t="shared" si="4"/>
        <v>0</v>
      </c>
      <c r="AC14" s="42">
        <f t="shared" si="4"/>
        <v>0</v>
      </c>
      <c r="AD14" s="42">
        <f t="shared" si="4"/>
        <v>0</v>
      </c>
      <c r="AE14" s="42">
        <f t="shared" si="4"/>
        <v>0</v>
      </c>
      <c r="AF14" s="42">
        <f t="shared" si="4"/>
        <v>2</v>
      </c>
      <c r="AG14" s="42">
        <f t="shared" si="4"/>
        <v>0</v>
      </c>
      <c r="AH14" s="42">
        <f t="shared" si="4"/>
        <v>0</v>
      </c>
      <c r="AI14" s="42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</row>
    <row r="15" spans="1:67" ht="21.75" customHeight="1" x14ac:dyDescent="0.2">
      <c r="A15" s="67">
        <v>8</v>
      </c>
      <c r="B15" s="39" t="s">
        <v>59</v>
      </c>
      <c r="C15" s="69" t="s">
        <v>60</v>
      </c>
      <c r="D15" s="40">
        <v>451</v>
      </c>
      <c r="E15" s="40">
        <v>451</v>
      </c>
      <c r="F15" s="40">
        <v>451</v>
      </c>
      <c r="G15" s="40">
        <v>451</v>
      </c>
      <c r="H15" s="40">
        <v>451</v>
      </c>
      <c r="I15" s="40">
        <v>451</v>
      </c>
      <c r="J15" s="40">
        <v>451</v>
      </c>
      <c r="K15" s="40">
        <v>451</v>
      </c>
      <c r="L15" s="40">
        <v>451</v>
      </c>
      <c r="M15" s="40">
        <v>451</v>
      </c>
      <c r="N15" s="40">
        <v>451</v>
      </c>
      <c r="O15" s="40">
        <v>451</v>
      </c>
      <c r="P15" s="40">
        <v>451</v>
      </c>
      <c r="Q15" s="40">
        <v>451</v>
      </c>
      <c r="R15" s="40">
        <v>455</v>
      </c>
      <c r="S15" s="40">
        <v>455</v>
      </c>
      <c r="T15" s="40">
        <v>456</v>
      </c>
      <c r="U15" s="40">
        <v>456</v>
      </c>
      <c r="V15" s="40">
        <v>456</v>
      </c>
      <c r="W15" s="40">
        <v>456</v>
      </c>
      <c r="X15" s="40">
        <v>456</v>
      </c>
      <c r="Y15" s="40">
        <v>456</v>
      </c>
      <c r="Z15" s="40">
        <v>456</v>
      </c>
      <c r="AA15" s="40">
        <v>456</v>
      </c>
      <c r="AB15" s="40">
        <v>456</v>
      </c>
      <c r="AC15" s="40">
        <v>456</v>
      </c>
      <c r="AD15" s="40">
        <v>456</v>
      </c>
      <c r="AE15" s="40">
        <v>456</v>
      </c>
      <c r="AF15" s="40">
        <v>457</v>
      </c>
      <c r="AG15" s="40">
        <v>457</v>
      </c>
      <c r="AH15" s="40">
        <v>457</v>
      </c>
      <c r="AI15" s="40"/>
    </row>
    <row r="16" spans="1:67" s="24" customFormat="1" ht="21.75" customHeight="1" thickBot="1" x14ac:dyDescent="0.25">
      <c r="A16" s="74"/>
      <c r="B16" s="41"/>
      <c r="C16" s="75"/>
      <c r="D16" s="42"/>
      <c r="E16" s="42">
        <f t="shared" ref="E16:AH16" si="5">E15-D15</f>
        <v>0</v>
      </c>
      <c r="F16" s="42">
        <f t="shared" si="5"/>
        <v>0</v>
      </c>
      <c r="G16" s="42">
        <f t="shared" si="5"/>
        <v>0</v>
      </c>
      <c r="H16" s="42">
        <f t="shared" si="5"/>
        <v>0</v>
      </c>
      <c r="I16" s="42">
        <f t="shared" si="5"/>
        <v>0</v>
      </c>
      <c r="J16" s="42">
        <f t="shared" si="5"/>
        <v>0</v>
      </c>
      <c r="K16" s="42">
        <f t="shared" si="5"/>
        <v>0</v>
      </c>
      <c r="L16" s="42">
        <f t="shared" si="5"/>
        <v>0</v>
      </c>
      <c r="M16" s="42">
        <f t="shared" si="5"/>
        <v>0</v>
      </c>
      <c r="N16" s="42">
        <f t="shared" si="5"/>
        <v>0</v>
      </c>
      <c r="O16" s="42">
        <f t="shared" si="5"/>
        <v>0</v>
      </c>
      <c r="P16" s="42">
        <f t="shared" si="5"/>
        <v>0</v>
      </c>
      <c r="Q16" s="42">
        <f t="shared" si="5"/>
        <v>0</v>
      </c>
      <c r="R16" s="42">
        <f t="shared" si="5"/>
        <v>4</v>
      </c>
      <c r="S16" s="42">
        <f t="shared" si="5"/>
        <v>0</v>
      </c>
      <c r="T16" s="42">
        <f t="shared" si="5"/>
        <v>1</v>
      </c>
      <c r="U16" s="42">
        <f t="shared" si="5"/>
        <v>0</v>
      </c>
      <c r="V16" s="42">
        <f t="shared" si="5"/>
        <v>0</v>
      </c>
      <c r="W16" s="42">
        <f t="shared" si="5"/>
        <v>0</v>
      </c>
      <c r="X16" s="42">
        <f t="shared" si="5"/>
        <v>0</v>
      </c>
      <c r="Y16" s="42">
        <f t="shared" si="5"/>
        <v>0</v>
      </c>
      <c r="Z16" s="42">
        <f t="shared" si="5"/>
        <v>0</v>
      </c>
      <c r="AA16" s="42">
        <f t="shared" si="5"/>
        <v>0</v>
      </c>
      <c r="AB16" s="42">
        <f t="shared" si="5"/>
        <v>0</v>
      </c>
      <c r="AC16" s="42">
        <f t="shared" si="5"/>
        <v>0</v>
      </c>
      <c r="AD16" s="42">
        <f t="shared" si="5"/>
        <v>0</v>
      </c>
      <c r="AE16" s="42">
        <f t="shared" si="5"/>
        <v>0</v>
      </c>
      <c r="AF16" s="42">
        <f t="shared" si="5"/>
        <v>1</v>
      </c>
      <c r="AG16" s="42">
        <f t="shared" si="5"/>
        <v>0</v>
      </c>
      <c r="AH16" s="42">
        <f t="shared" si="5"/>
        <v>0</v>
      </c>
      <c r="AI16" s="42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</row>
    <row r="17" spans="1:35" ht="21.75" customHeight="1" x14ac:dyDescent="0.2">
      <c r="A17" s="67">
        <v>13</v>
      </c>
      <c r="B17" s="39" t="s">
        <v>61</v>
      </c>
      <c r="C17" s="69" t="s">
        <v>62</v>
      </c>
      <c r="D17" s="40">
        <v>1393679</v>
      </c>
      <c r="E17" s="40">
        <v>1393924</v>
      </c>
      <c r="F17" s="40">
        <v>1394155</v>
      </c>
      <c r="G17" s="40">
        <v>1394381</v>
      </c>
      <c r="H17" s="40">
        <v>1394599</v>
      </c>
      <c r="I17" s="40">
        <v>1394837</v>
      </c>
      <c r="J17" s="40">
        <v>1395087</v>
      </c>
      <c r="K17" s="40">
        <v>1395331</v>
      </c>
      <c r="L17" s="40">
        <v>1395562</v>
      </c>
      <c r="M17" s="40">
        <v>1395775</v>
      </c>
      <c r="N17" s="40">
        <v>1396019</v>
      </c>
      <c r="O17" s="40">
        <v>1396289</v>
      </c>
      <c r="P17" s="40">
        <v>1396559</v>
      </c>
      <c r="Q17" s="40">
        <v>1396826</v>
      </c>
      <c r="R17" s="40">
        <v>1397098</v>
      </c>
      <c r="S17" s="40">
        <v>1397370</v>
      </c>
      <c r="T17" s="40">
        <v>1397622</v>
      </c>
      <c r="U17" s="40">
        <v>1397862</v>
      </c>
      <c r="V17" s="40">
        <v>1398138</v>
      </c>
      <c r="W17" s="40">
        <v>1398364</v>
      </c>
      <c r="X17" s="40">
        <v>1398644</v>
      </c>
      <c r="Y17" s="40">
        <v>1398946</v>
      </c>
      <c r="Z17" s="40">
        <v>1399232</v>
      </c>
      <c r="AA17" s="40">
        <v>1399503</v>
      </c>
      <c r="AB17" s="40">
        <v>1399768</v>
      </c>
      <c r="AC17" s="40">
        <v>1400069</v>
      </c>
      <c r="AD17" s="40">
        <v>1400330</v>
      </c>
      <c r="AE17" s="40">
        <v>1400617</v>
      </c>
      <c r="AF17" s="40">
        <v>1400899</v>
      </c>
      <c r="AG17" s="40">
        <v>1401183</v>
      </c>
      <c r="AH17" s="40">
        <v>1401450</v>
      </c>
      <c r="AI17" s="40"/>
    </row>
    <row r="18" spans="1:35" ht="21.75" customHeight="1" thickBot="1" x14ac:dyDescent="0.25">
      <c r="A18" s="68"/>
      <c r="B18" s="43"/>
      <c r="C18" s="70"/>
      <c r="D18" s="42"/>
      <c r="E18" s="42">
        <f t="shared" ref="E18:AH18" si="6">E17-D17</f>
        <v>245</v>
      </c>
      <c r="F18" s="42">
        <f t="shared" si="6"/>
        <v>231</v>
      </c>
      <c r="G18" s="42">
        <f t="shared" si="6"/>
        <v>226</v>
      </c>
      <c r="H18" s="42">
        <f t="shared" si="6"/>
        <v>218</v>
      </c>
      <c r="I18" s="42">
        <f t="shared" si="6"/>
        <v>238</v>
      </c>
      <c r="J18" s="42">
        <f t="shared" si="6"/>
        <v>250</v>
      </c>
      <c r="K18" s="42">
        <f t="shared" si="6"/>
        <v>244</v>
      </c>
      <c r="L18" s="42">
        <f t="shared" si="6"/>
        <v>231</v>
      </c>
      <c r="M18" s="42">
        <f t="shared" si="6"/>
        <v>213</v>
      </c>
      <c r="N18" s="42">
        <f t="shared" si="6"/>
        <v>244</v>
      </c>
      <c r="O18" s="42">
        <f t="shared" si="6"/>
        <v>270</v>
      </c>
      <c r="P18" s="42">
        <f t="shared" si="6"/>
        <v>270</v>
      </c>
      <c r="Q18" s="42">
        <f t="shared" si="6"/>
        <v>267</v>
      </c>
      <c r="R18" s="42">
        <f t="shared" si="6"/>
        <v>272</v>
      </c>
      <c r="S18" s="42">
        <f t="shared" si="6"/>
        <v>272</v>
      </c>
      <c r="T18" s="42">
        <f t="shared" si="6"/>
        <v>252</v>
      </c>
      <c r="U18" s="42">
        <f t="shared" si="6"/>
        <v>240</v>
      </c>
      <c r="V18" s="42">
        <f t="shared" si="6"/>
        <v>276</v>
      </c>
      <c r="W18" s="42">
        <f t="shared" si="6"/>
        <v>226</v>
      </c>
      <c r="X18" s="42">
        <f t="shared" si="6"/>
        <v>280</v>
      </c>
      <c r="Y18" s="42">
        <f t="shared" si="6"/>
        <v>302</v>
      </c>
      <c r="Z18" s="42">
        <f t="shared" si="6"/>
        <v>286</v>
      </c>
      <c r="AA18" s="42">
        <f t="shared" si="6"/>
        <v>271</v>
      </c>
      <c r="AB18" s="42">
        <f t="shared" si="6"/>
        <v>265</v>
      </c>
      <c r="AC18" s="42">
        <f t="shared" si="6"/>
        <v>301</v>
      </c>
      <c r="AD18" s="42">
        <f t="shared" si="6"/>
        <v>261</v>
      </c>
      <c r="AE18" s="42">
        <f t="shared" si="6"/>
        <v>287</v>
      </c>
      <c r="AF18" s="42">
        <f t="shared" si="6"/>
        <v>282</v>
      </c>
      <c r="AG18" s="42">
        <f t="shared" si="6"/>
        <v>284</v>
      </c>
      <c r="AH18" s="42">
        <f t="shared" si="6"/>
        <v>267</v>
      </c>
      <c r="AI18" s="42"/>
    </row>
    <row r="19" spans="1:35" ht="21.75" customHeight="1" x14ac:dyDescent="0.2">
      <c r="A19" s="71">
        <v>14</v>
      </c>
      <c r="B19" s="39" t="s">
        <v>63</v>
      </c>
      <c r="C19" s="69" t="s">
        <v>64</v>
      </c>
      <c r="D19" s="40">
        <v>374610</v>
      </c>
      <c r="E19" s="40">
        <v>374657</v>
      </c>
      <c r="F19" s="40">
        <v>374704</v>
      </c>
      <c r="G19" s="40">
        <v>374753</v>
      </c>
      <c r="H19" s="40">
        <v>374801</v>
      </c>
      <c r="I19" s="40">
        <v>374847</v>
      </c>
      <c r="J19" s="40">
        <v>374892</v>
      </c>
      <c r="K19" s="40">
        <v>374937</v>
      </c>
      <c r="L19" s="40">
        <v>374982</v>
      </c>
      <c r="M19" s="40">
        <v>375028</v>
      </c>
      <c r="N19" s="40">
        <v>375072</v>
      </c>
      <c r="O19" s="40">
        <v>375119</v>
      </c>
      <c r="P19" s="40">
        <v>375168</v>
      </c>
      <c r="Q19" s="40">
        <v>375216</v>
      </c>
      <c r="R19" s="40">
        <v>375263</v>
      </c>
      <c r="S19" s="40">
        <v>375309</v>
      </c>
      <c r="T19" s="40">
        <v>375355</v>
      </c>
      <c r="U19" s="40">
        <v>375401</v>
      </c>
      <c r="V19" s="40">
        <v>375445</v>
      </c>
      <c r="W19" s="40">
        <v>375494</v>
      </c>
      <c r="X19" s="40">
        <v>375543</v>
      </c>
      <c r="Y19" s="40">
        <v>375593</v>
      </c>
      <c r="Z19" s="40">
        <v>375639</v>
      </c>
      <c r="AA19" s="40">
        <v>375689</v>
      </c>
      <c r="AB19" s="40">
        <v>375737</v>
      </c>
      <c r="AC19" s="40">
        <v>375790</v>
      </c>
      <c r="AD19" s="40">
        <v>375830</v>
      </c>
      <c r="AE19" s="40">
        <v>375889</v>
      </c>
      <c r="AF19" s="40">
        <v>375937</v>
      </c>
      <c r="AG19" s="40">
        <v>375984</v>
      </c>
      <c r="AH19" s="40">
        <v>376032</v>
      </c>
      <c r="AI19" s="40"/>
    </row>
    <row r="20" spans="1:35" ht="21.75" customHeight="1" thickBot="1" x14ac:dyDescent="0.25">
      <c r="A20" s="72"/>
      <c r="B20" s="43"/>
      <c r="C20" s="70"/>
      <c r="D20" s="42"/>
      <c r="E20" s="42">
        <f>E19-D19</f>
        <v>47</v>
      </c>
      <c r="F20" s="42">
        <f t="shared" ref="F20:AH20" si="7">F19-E19</f>
        <v>47</v>
      </c>
      <c r="G20" s="42">
        <f t="shared" si="7"/>
        <v>49</v>
      </c>
      <c r="H20" s="42">
        <f t="shared" si="7"/>
        <v>48</v>
      </c>
      <c r="I20" s="42">
        <f t="shared" si="7"/>
        <v>46</v>
      </c>
      <c r="J20" s="42">
        <f t="shared" si="7"/>
        <v>45</v>
      </c>
      <c r="K20" s="42">
        <f t="shared" si="7"/>
        <v>45</v>
      </c>
      <c r="L20" s="42">
        <f t="shared" si="7"/>
        <v>45</v>
      </c>
      <c r="M20" s="42">
        <f t="shared" si="7"/>
        <v>46</v>
      </c>
      <c r="N20" s="42">
        <f t="shared" si="7"/>
        <v>44</v>
      </c>
      <c r="O20" s="42">
        <f t="shared" si="7"/>
        <v>47</v>
      </c>
      <c r="P20" s="42">
        <f t="shared" si="7"/>
        <v>49</v>
      </c>
      <c r="Q20" s="42">
        <f t="shared" si="7"/>
        <v>48</v>
      </c>
      <c r="R20" s="42">
        <f t="shared" si="7"/>
        <v>47</v>
      </c>
      <c r="S20" s="42">
        <f t="shared" si="7"/>
        <v>46</v>
      </c>
      <c r="T20" s="42">
        <f t="shared" si="7"/>
        <v>46</v>
      </c>
      <c r="U20" s="42">
        <f t="shared" si="7"/>
        <v>46</v>
      </c>
      <c r="V20" s="42">
        <f t="shared" si="7"/>
        <v>44</v>
      </c>
      <c r="W20" s="42">
        <f t="shared" si="7"/>
        <v>49</v>
      </c>
      <c r="X20" s="42">
        <f t="shared" si="7"/>
        <v>49</v>
      </c>
      <c r="Y20" s="42">
        <f t="shared" si="7"/>
        <v>50</v>
      </c>
      <c r="Z20" s="42">
        <f t="shared" si="7"/>
        <v>46</v>
      </c>
      <c r="AA20" s="42">
        <f t="shared" si="7"/>
        <v>50</v>
      </c>
      <c r="AB20" s="42">
        <f t="shared" si="7"/>
        <v>48</v>
      </c>
      <c r="AC20" s="42">
        <f t="shared" si="7"/>
        <v>53</v>
      </c>
      <c r="AD20" s="42">
        <f t="shared" si="7"/>
        <v>40</v>
      </c>
      <c r="AE20" s="42">
        <f t="shared" si="7"/>
        <v>59</v>
      </c>
      <c r="AF20" s="42">
        <f t="shared" si="7"/>
        <v>48</v>
      </c>
      <c r="AG20" s="42">
        <f t="shared" si="7"/>
        <v>47</v>
      </c>
      <c r="AH20" s="42">
        <f t="shared" si="7"/>
        <v>48</v>
      </c>
      <c r="AI20" s="42"/>
    </row>
    <row r="21" spans="1:35" ht="27" customHeight="1" x14ac:dyDescent="0.3">
      <c r="B21" s="73" t="s">
        <v>65</v>
      </c>
      <c r="C21" s="73"/>
      <c r="D21" s="44"/>
      <c r="E21" s="59">
        <f>((E6+E8)+((E10+E12)*40%)+(E14+E16+E18+E20))</f>
        <v>29235.4</v>
      </c>
      <c r="F21" s="59">
        <f t="shared" ref="F21:AI21" si="8">((F6+F8)+((F10+F12)*40%)+(F14+F16+F18+F20))</f>
        <v>26099.200000000001</v>
      </c>
      <c r="G21" s="59">
        <f t="shared" si="8"/>
        <v>32685.800000000003</v>
      </c>
      <c r="H21" s="59">
        <f t="shared" si="8"/>
        <v>30553.800000000003</v>
      </c>
      <c r="I21" s="59">
        <f t="shared" si="8"/>
        <v>29971.200000000001</v>
      </c>
      <c r="J21" s="59">
        <f t="shared" si="8"/>
        <v>30115</v>
      </c>
      <c r="K21" s="59">
        <f t="shared" si="8"/>
        <v>29121</v>
      </c>
      <c r="L21" s="59">
        <f t="shared" si="8"/>
        <v>29099</v>
      </c>
      <c r="M21" s="59">
        <f t="shared" si="8"/>
        <v>31965.200000000001</v>
      </c>
      <c r="N21" s="59">
        <f t="shared" si="8"/>
        <v>32277.200000000001</v>
      </c>
      <c r="O21" s="59">
        <f t="shared" si="8"/>
        <v>34984.6</v>
      </c>
      <c r="P21" s="59">
        <f t="shared" si="8"/>
        <v>36731</v>
      </c>
      <c r="Q21" s="59">
        <f t="shared" si="8"/>
        <v>35024</v>
      </c>
      <c r="R21" s="59">
        <f t="shared" si="8"/>
        <v>34330.199999999997</v>
      </c>
      <c r="S21" s="59">
        <f t="shared" si="8"/>
        <v>34546.400000000001</v>
      </c>
      <c r="T21" s="59">
        <f t="shared" si="8"/>
        <v>32155.599999999999</v>
      </c>
      <c r="U21" s="59">
        <f t="shared" si="8"/>
        <v>32725.200000000001</v>
      </c>
      <c r="V21" s="59">
        <f t="shared" si="8"/>
        <v>33287.800000000003</v>
      </c>
      <c r="W21" s="59">
        <f t="shared" si="8"/>
        <v>34474</v>
      </c>
      <c r="X21" s="59">
        <f t="shared" si="8"/>
        <v>34942.400000000001</v>
      </c>
      <c r="Y21" s="59">
        <f t="shared" si="8"/>
        <v>35044.6</v>
      </c>
      <c r="Z21" s="59">
        <f t="shared" si="8"/>
        <v>33976</v>
      </c>
      <c r="AA21" s="59">
        <f t="shared" si="8"/>
        <v>35149.199999999997</v>
      </c>
      <c r="AB21" s="59">
        <f t="shared" si="8"/>
        <v>35095.599999999999</v>
      </c>
      <c r="AC21" s="59">
        <f t="shared" si="8"/>
        <v>35815.599999999999</v>
      </c>
      <c r="AD21" s="59">
        <f t="shared" si="8"/>
        <v>36314.199999999997</v>
      </c>
      <c r="AE21" s="59">
        <f t="shared" si="8"/>
        <v>37896.800000000003</v>
      </c>
      <c r="AF21" s="59">
        <f t="shared" si="8"/>
        <v>37598</v>
      </c>
      <c r="AG21" s="59">
        <f t="shared" si="8"/>
        <v>38255.599999999999</v>
      </c>
      <c r="AH21" s="59">
        <f t="shared" si="8"/>
        <v>39337.4</v>
      </c>
      <c r="AI21" s="59">
        <f t="shared" si="8"/>
        <v>0</v>
      </c>
    </row>
    <row r="22" spans="1:35" ht="27" customHeight="1" x14ac:dyDescent="0.3">
      <c r="B22" s="66" t="s">
        <v>66</v>
      </c>
      <c r="C22" s="66"/>
      <c r="D22" s="44"/>
      <c r="E22" s="59">
        <f>SUM(E21:AI21)</f>
        <v>1008807</v>
      </c>
      <c r="F22" s="45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</row>
  </sheetData>
  <mergeCells count="20">
    <mergeCell ref="A2:AI2"/>
    <mergeCell ref="C3:AI3"/>
    <mergeCell ref="A5:A6"/>
    <mergeCell ref="C5:C6"/>
    <mergeCell ref="A7:A8"/>
    <mergeCell ref="C7:C8"/>
    <mergeCell ref="A15:A16"/>
    <mergeCell ref="C15:C16"/>
    <mergeCell ref="A9:A10"/>
    <mergeCell ref="C9:C10"/>
    <mergeCell ref="A11:A12"/>
    <mergeCell ref="C11:C12"/>
    <mergeCell ref="A13:A14"/>
    <mergeCell ref="C13:C14"/>
    <mergeCell ref="B22:C22"/>
    <mergeCell ref="A17:A18"/>
    <mergeCell ref="C17:C18"/>
    <mergeCell ref="A19:A20"/>
    <mergeCell ref="C19:C20"/>
    <mergeCell ref="B21:C21"/>
  </mergeCells>
  <pageMargins left="0.25" right="0.25" top="0.75" bottom="0.75" header="0.3" footer="0.3"/>
  <pageSetup scale="19" orientation="portrait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28519-3124-402A-B866-B6A3B7F5FCE4}">
  <sheetPr>
    <pageSetUpPr fitToPage="1"/>
  </sheetPr>
  <dimension ref="A1:G35"/>
  <sheetViews>
    <sheetView zoomScaleNormal="100" workbookViewId="0">
      <pane ySplit="3" topLeftCell="A4" activePane="bottomLeft" state="frozen"/>
      <selection pane="bottomLeft" activeCell="A37" sqref="A37:XFD39"/>
    </sheetView>
  </sheetViews>
  <sheetFormatPr defaultRowHeight="15" x14ac:dyDescent="0.25"/>
  <cols>
    <col min="1" max="1" width="9.7109375" customWidth="1"/>
    <col min="2" max="2" width="10.7109375" customWidth="1"/>
    <col min="3" max="3" width="12.28515625" bestFit="1" customWidth="1"/>
  </cols>
  <sheetData>
    <row r="1" spans="1:7" ht="50.25" customHeight="1" x14ac:dyDescent="0.25">
      <c r="A1" s="88" t="s">
        <v>84</v>
      </c>
      <c r="B1" s="88"/>
      <c r="C1" s="88"/>
    </row>
    <row r="3" spans="1:7" ht="48" x14ac:dyDescent="0.25">
      <c r="A3" s="51" t="s">
        <v>19</v>
      </c>
      <c r="B3" s="52">
        <v>68209</v>
      </c>
      <c r="C3" s="53"/>
    </row>
    <row r="4" spans="1:7" ht="28.5" customHeight="1" x14ac:dyDescent="0.25">
      <c r="A4" s="54">
        <v>1</v>
      </c>
      <c r="B4" s="52"/>
      <c r="C4" s="53">
        <f>B3/30</f>
        <v>2273.6333333333332</v>
      </c>
    </row>
    <row r="5" spans="1:7" ht="28.5" customHeight="1" x14ac:dyDescent="0.25">
      <c r="A5" s="54">
        <v>2</v>
      </c>
      <c r="B5" s="52"/>
      <c r="C5" s="53">
        <v>2273.6333333333332</v>
      </c>
    </row>
    <row r="6" spans="1:7" ht="28.5" customHeight="1" x14ac:dyDescent="0.25">
      <c r="A6" s="55">
        <v>3</v>
      </c>
      <c r="B6" s="52"/>
      <c r="C6" s="53">
        <v>2273.6333333333332</v>
      </c>
    </row>
    <row r="7" spans="1:7" ht="28.5" customHeight="1" x14ac:dyDescent="0.25">
      <c r="A7" s="54">
        <v>4</v>
      </c>
      <c r="B7" s="52"/>
      <c r="C7" s="53">
        <v>2273.6333333333332</v>
      </c>
    </row>
    <row r="8" spans="1:7" ht="28.5" customHeight="1" x14ac:dyDescent="0.25">
      <c r="A8" s="54">
        <v>5</v>
      </c>
      <c r="B8" s="52"/>
      <c r="C8" s="53">
        <v>2273.6333333333332</v>
      </c>
    </row>
    <row r="9" spans="1:7" ht="28.5" customHeight="1" x14ac:dyDescent="0.25">
      <c r="A9" s="54">
        <v>6</v>
      </c>
      <c r="B9" s="52"/>
      <c r="C9" s="53">
        <v>2273.6333333333332</v>
      </c>
      <c r="G9" t="s">
        <v>75</v>
      </c>
    </row>
    <row r="10" spans="1:7" ht="28.5" customHeight="1" x14ac:dyDescent="0.25">
      <c r="A10" s="54">
        <v>7</v>
      </c>
      <c r="B10" s="52"/>
      <c r="C10" s="53">
        <v>2273.6333333333332</v>
      </c>
    </row>
    <row r="11" spans="1:7" ht="28.5" customHeight="1" x14ac:dyDescent="0.25">
      <c r="A11" s="54">
        <v>8</v>
      </c>
      <c r="B11" s="52"/>
      <c r="C11" s="53">
        <v>2273.6333333333332</v>
      </c>
    </row>
    <row r="12" spans="1:7" ht="28.5" customHeight="1" x14ac:dyDescent="0.25">
      <c r="A12" s="54">
        <v>9</v>
      </c>
      <c r="B12" s="52"/>
      <c r="C12" s="53">
        <v>2273.6333333333332</v>
      </c>
    </row>
    <row r="13" spans="1:7" ht="28.5" customHeight="1" x14ac:dyDescent="0.25">
      <c r="A13" s="54">
        <v>10</v>
      </c>
      <c r="B13" s="52"/>
      <c r="C13" s="53">
        <v>2273.6333333333332</v>
      </c>
    </row>
    <row r="14" spans="1:7" ht="28.5" customHeight="1" x14ac:dyDescent="0.25">
      <c r="A14" s="54">
        <v>11</v>
      </c>
      <c r="B14" s="64"/>
      <c r="C14" s="53">
        <v>2273.6333333333332</v>
      </c>
    </row>
    <row r="15" spans="1:7" ht="28.5" customHeight="1" x14ac:dyDescent="0.25">
      <c r="A15" s="54">
        <v>12</v>
      </c>
      <c r="B15" s="52"/>
      <c r="C15" s="53">
        <v>2273.6333333333332</v>
      </c>
    </row>
    <row r="16" spans="1:7" ht="28.5" customHeight="1" x14ac:dyDescent="0.25">
      <c r="A16" s="54">
        <v>13</v>
      </c>
      <c r="B16" s="52"/>
      <c r="C16" s="53">
        <v>2273.6333333333332</v>
      </c>
    </row>
    <row r="17" spans="1:4" ht="28.5" customHeight="1" x14ac:dyDescent="0.25">
      <c r="A17" s="54">
        <v>14</v>
      </c>
      <c r="B17" s="52"/>
      <c r="C17" s="53">
        <v>2273.6333333333332</v>
      </c>
    </row>
    <row r="18" spans="1:4" ht="28.5" customHeight="1" x14ac:dyDescent="0.25">
      <c r="A18" s="54">
        <v>15</v>
      </c>
      <c r="B18" s="52"/>
      <c r="C18" s="53">
        <v>2273.6333333333332</v>
      </c>
    </row>
    <row r="19" spans="1:4" ht="28.5" customHeight="1" x14ac:dyDescent="0.25">
      <c r="A19" s="54">
        <v>16</v>
      </c>
      <c r="B19" s="52"/>
      <c r="C19" s="53">
        <v>2273.6333333333332</v>
      </c>
    </row>
    <row r="20" spans="1:4" ht="28.5" customHeight="1" x14ac:dyDescent="0.25">
      <c r="A20" s="54">
        <v>17</v>
      </c>
      <c r="B20" s="52"/>
      <c r="C20" s="53">
        <v>2273.6333333333332</v>
      </c>
    </row>
    <row r="21" spans="1:4" ht="28.5" customHeight="1" x14ac:dyDescent="0.25">
      <c r="A21" s="54">
        <v>18</v>
      </c>
      <c r="B21" s="52"/>
      <c r="C21" s="53">
        <v>2273.6333333333332</v>
      </c>
    </row>
    <row r="22" spans="1:4" ht="28.5" customHeight="1" x14ac:dyDescent="0.25">
      <c r="A22" s="54">
        <v>19</v>
      </c>
      <c r="B22" s="52"/>
      <c r="C22" s="53">
        <v>2273.6333333333332</v>
      </c>
    </row>
    <row r="23" spans="1:4" ht="28.5" customHeight="1" x14ac:dyDescent="0.25">
      <c r="A23" s="54">
        <v>20</v>
      </c>
      <c r="B23" s="52"/>
      <c r="C23" s="53">
        <v>2273.6333333333332</v>
      </c>
    </row>
    <row r="24" spans="1:4" ht="28.5" customHeight="1" x14ac:dyDescent="0.25">
      <c r="A24" s="54">
        <v>21</v>
      </c>
      <c r="B24" s="52"/>
      <c r="C24" s="53">
        <v>2273.6333333333332</v>
      </c>
    </row>
    <row r="25" spans="1:4" ht="28.5" customHeight="1" x14ac:dyDescent="0.25">
      <c r="A25" s="54">
        <v>22</v>
      </c>
      <c r="B25" s="52"/>
      <c r="C25" s="53">
        <v>2273.6333333333332</v>
      </c>
    </row>
    <row r="26" spans="1:4" ht="28.5" customHeight="1" x14ac:dyDescent="0.25">
      <c r="A26" s="54">
        <v>23</v>
      </c>
      <c r="B26" s="64"/>
      <c r="C26" s="53">
        <v>2273.6333333333332</v>
      </c>
    </row>
    <row r="27" spans="1:4" ht="28.5" customHeight="1" x14ac:dyDescent="0.25">
      <c r="A27" s="54">
        <v>24</v>
      </c>
      <c r="B27" s="52"/>
      <c r="C27" s="53">
        <v>2273.6333333333332</v>
      </c>
    </row>
    <row r="28" spans="1:4" ht="28.5" customHeight="1" x14ac:dyDescent="0.25">
      <c r="A28" s="54">
        <v>25</v>
      </c>
      <c r="B28" s="52"/>
      <c r="C28" s="53">
        <v>2273.6333333333332</v>
      </c>
      <c r="D28" s="56"/>
    </row>
    <row r="29" spans="1:4" ht="28.5" customHeight="1" x14ac:dyDescent="0.25">
      <c r="A29" s="54">
        <v>26</v>
      </c>
      <c r="B29" s="52"/>
      <c r="C29" s="53">
        <v>2273.6333333333332</v>
      </c>
      <c r="D29" s="56"/>
    </row>
    <row r="30" spans="1:4" ht="28.5" customHeight="1" x14ac:dyDescent="0.25">
      <c r="A30" s="54">
        <v>27</v>
      </c>
      <c r="B30" s="52"/>
      <c r="C30" s="53">
        <v>2273.6333333333332</v>
      </c>
    </row>
    <row r="31" spans="1:4" ht="28.5" customHeight="1" x14ac:dyDescent="0.25">
      <c r="A31" s="54">
        <v>28</v>
      </c>
      <c r="B31" s="52"/>
      <c r="C31" s="53">
        <v>2273.6333333333332</v>
      </c>
    </row>
    <row r="32" spans="1:4" ht="28.5" customHeight="1" x14ac:dyDescent="0.25">
      <c r="A32" s="54">
        <v>29</v>
      </c>
      <c r="B32" s="64"/>
      <c r="C32" s="53">
        <v>2273.6333333333332</v>
      </c>
    </row>
    <row r="33" spans="1:3" ht="28.5" customHeight="1" x14ac:dyDescent="0.25">
      <c r="A33" s="54">
        <v>30</v>
      </c>
      <c r="B33" s="52"/>
      <c r="C33" s="53">
        <v>2273.6333333333332</v>
      </c>
    </row>
    <row r="34" spans="1:3" ht="28.5" customHeight="1" x14ac:dyDescent="0.25">
      <c r="A34" s="54">
        <v>31</v>
      </c>
      <c r="B34" s="52"/>
      <c r="C34" s="53"/>
    </row>
    <row r="35" spans="1:3" x14ac:dyDescent="0.25">
      <c r="A35" s="87" t="s">
        <v>76</v>
      </c>
      <c r="B35" s="87"/>
      <c r="C35" s="57">
        <f>SUM(C4:C34)</f>
        <v>68208.999999999956</v>
      </c>
    </row>
  </sheetData>
  <mergeCells count="2">
    <mergeCell ref="A1:C1"/>
    <mergeCell ref="A35:B35"/>
  </mergeCells>
  <printOptions horizontalCentered="1"/>
  <pageMargins left="0" right="0" top="0" bottom="0" header="0.3" footer="0.3"/>
  <pageSetup paperSize="9" scale="71"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95EAA-47F4-4B4C-AF06-1BB06658B4C9}">
  <sheetPr>
    <pageSetUpPr fitToPage="1"/>
  </sheetPr>
  <dimension ref="A2:AP29"/>
  <sheetViews>
    <sheetView zoomScale="115" zoomScaleNormal="115" workbookViewId="0">
      <pane xSplit="3" ySplit="4" topLeftCell="D9" activePane="bottomRight" state="frozen"/>
      <selection pane="topRight" activeCell="D1" sqref="D1"/>
      <selection pane="bottomLeft" activeCell="A5" sqref="A5"/>
      <selection pane="bottomRight" activeCell="E16" sqref="E16"/>
    </sheetView>
  </sheetViews>
  <sheetFormatPr defaultColWidth="9.140625" defaultRowHeight="70.5" customHeight="1" x14ac:dyDescent="0.25"/>
  <cols>
    <col min="1" max="1" width="5.7109375" style="2" customWidth="1"/>
    <col min="2" max="2" width="21.85546875" style="8" customWidth="1"/>
    <col min="3" max="3" width="23" style="35" customWidth="1"/>
    <col min="4" max="6" width="10.140625" style="8" customWidth="1"/>
    <col min="7" max="35" width="10.140625" style="2" customWidth="1"/>
    <col min="36" max="16384" width="9.140625" style="2"/>
  </cols>
  <sheetData>
    <row r="2" spans="1:42" s="8" customFormat="1" ht="25.7" customHeight="1" x14ac:dyDescent="0.4">
      <c r="B2" s="91" t="s">
        <v>85</v>
      </c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</row>
    <row r="3" spans="1:42" s="8" customFormat="1" ht="30" customHeight="1" thickBot="1" x14ac:dyDescent="0.3"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</row>
    <row r="4" spans="1:42" s="30" customFormat="1" ht="57.75" customHeight="1" thickBot="1" x14ac:dyDescent="0.3">
      <c r="A4" s="15" t="s">
        <v>10</v>
      </c>
      <c r="B4" s="27" t="s">
        <v>18</v>
      </c>
      <c r="C4" s="27" t="s">
        <v>12</v>
      </c>
      <c r="D4" s="28" t="s">
        <v>19</v>
      </c>
      <c r="E4" s="29" t="s">
        <v>20</v>
      </c>
      <c r="F4" s="29" t="s">
        <v>21</v>
      </c>
      <c r="G4" s="29" t="s">
        <v>22</v>
      </c>
      <c r="H4" s="29" t="s">
        <v>23</v>
      </c>
      <c r="I4" s="29" t="s">
        <v>24</v>
      </c>
      <c r="J4" s="29" t="s">
        <v>25</v>
      </c>
      <c r="K4" s="29" t="s">
        <v>26</v>
      </c>
      <c r="L4" s="29" t="s">
        <v>27</v>
      </c>
      <c r="M4" s="29" t="s">
        <v>28</v>
      </c>
      <c r="N4" s="29" t="s">
        <v>29</v>
      </c>
      <c r="O4" s="29" t="s">
        <v>30</v>
      </c>
      <c r="P4" s="29" t="s">
        <v>31</v>
      </c>
      <c r="Q4" s="29" t="s">
        <v>32</v>
      </c>
      <c r="R4" s="29" t="s">
        <v>33</v>
      </c>
      <c r="S4" s="29" t="s">
        <v>34</v>
      </c>
      <c r="T4" s="29" t="s">
        <v>35</v>
      </c>
      <c r="U4" s="29" t="s">
        <v>36</v>
      </c>
      <c r="V4" s="29" t="s">
        <v>37</v>
      </c>
      <c r="W4" s="29" t="s">
        <v>38</v>
      </c>
      <c r="X4" s="29" t="s">
        <v>39</v>
      </c>
      <c r="Y4" s="29" t="s">
        <v>40</v>
      </c>
      <c r="Z4" s="29" t="s">
        <v>41</v>
      </c>
      <c r="AA4" s="29" t="s">
        <v>42</v>
      </c>
      <c r="AB4" s="29" t="s">
        <v>43</v>
      </c>
      <c r="AC4" s="29" t="s">
        <v>44</v>
      </c>
      <c r="AD4" s="29" t="s">
        <v>45</v>
      </c>
      <c r="AE4" s="29" t="s">
        <v>46</v>
      </c>
      <c r="AF4" s="29" t="s">
        <v>47</v>
      </c>
      <c r="AG4" s="29" t="s">
        <v>77</v>
      </c>
      <c r="AH4" s="29" t="s">
        <v>78</v>
      </c>
      <c r="AI4" s="29"/>
    </row>
    <row r="5" spans="1:42" s="8" customFormat="1" ht="40.5" customHeight="1" thickBot="1" x14ac:dyDescent="0.3">
      <c r="A5" s="94" t="s">
        <v>20</v>
      </c>
      <c r="B5" s="27" t="s">
        <v>48</v>
      </c>
      <c r="C5" s="96" t="s">
        <v>49</v>
      </c>
      <c r="D5" s="31">
        <v>98143</v>
      </c>
      <c r="E5" s="31">
        <v>98404</v>
      </c>
      <c r="F5" s="31">
        <v>98673</v>
      </c>
      <c r="G5" s="31">
        <v>98951</v>
      </c>
      <c r="H5" s="31">
        <v>99233</v>
      </c>
      <c r="I5" s="31">
        <v>99515</v>
      </c>
      <c r="J5" s="31">
        <v>99766</v>
      </c>
      <c r="K5" s="31">
        <v>100043</v>
      </c>
      <c r="L5" s="31">
        <v>100287</v>
      </c>
      <c r="M5" s="31">
        <v>100595</v>
      </c>
      <c r="N5" s="31">
        <v>100881</v>
      </c>
      <c r="O5" s="31">
        <v>101249</v>
      </c>
      <c r="P5" s="31">
        <v>101650</v>
      </c>
      <c r="Q5" s="31">
        <v>102029</v>
      </c>
      <c r="R5" s="31">
        <v>102390</v>
      </c>
      <c r="S5" s="31">
        <v>102707</v>
      </c>
      <c r="T5" s="31">
        <v>103011</v>
      </c>
      <c r="U5" s="31">
        <v>103315</v>
      </c>
      <c r="V5" s="31">
        <v>103608</v>
      </c>
      <c r="W5" s="31">
        <v>103960</v>
      </c>
      <c r="X5" s="31">
        <v>104331</v>
      </c>
      <c r="Y5" s="31">
        <v>104694</v>
      </c>
      <c r="Z5" s="31">
        <v>104933</v>
      </c>
      <c r="AA5" s="31">
        <v>105090</v>
      </c>
      <c r="AB5" s="31">
        <v>105239</v>
      </c>
      <c r="AC5" s="31">
        <v>106109</v>
      </c>
      <c r="AD5" s="31">
        <v>106742</v>
      </c>
      <c r="AE5" s="31">
        <v>107098</v>
      </c>
      <c r="AF5" s="31">
        <v>107496</v>
      </c>
      <c r="AG5" s="31">
        <v>107847</v>
      </c>
      <c r="AH5" s="31">
        <v>108007</v>
      </c>
      <c r="AI5" s="31"/>
    </row>
    <row r="6" spans="1:42" s="34" customFormat="1" ht="25.7" customHeight="1" thickBot="1" x14ac:dyDescent="0.3">
      <c r="A6" s="95"/>
      <c r="B6" s="32"/>
      <c r="C6" s="96"/>
      <c r="D6" s="33"/>
      <c r="E6" s="33">
        <f t="shared" ref="E6:L6" si="0">E5-D5</f>
        <v>261</v>
      </c>
      <c r="F6" s="33">
        <f t="shared" si="0"/>
        <v>269</v>
      </c>
      <c r="G6" s="33">
        <f t="shared" si="0"/>
        <v>278</v>
      </c>
      <c r="H6" s="33">
        <f t="shared" si="0"/>
        <v>282</v>
      </c>
      <c r="I6" s="33">
        <f t="shared" si="0"/>
        <v>282</v>
      </c>
      <c r="J6" s="33">
        <f t="shared" si="0"/>
        <v>251</v>
      </c>
      <c r="K6" s="33">
        <f t="shared" si="0"/>
        <v>277</v>
      </c>
      <c r="L6" s="33">
        <f t="shared" si="0"/>
        <v>244</v>
      </c>
      <c r="M6" s="33">
        <f t="shared" ref="M6:AH6" si="1">M5-L5</f>
        <v>308</v>
      </c>
      <c r="N6" s="33">
        <f>N5-M5</f>
        <v>286</v>
      </c>
      <c r="O6" s="33">
        <f>O5-N5</f>
        <v>368</v>
      </c>
      <c r="P6" s="33">
        <f t="shared" si="1"/>
        <v>401</v>
      </c>
      <c r="Q6" s="33">
        <f t="shared" si="1"/>
        <v>379</v>
      </c>
      <c r="R6" s="33">
        <f t="shared" si="1"/>
        <v>361</v>
      </c>
      <c r="S6" s="33">
        <f t="shared" si="1"/>
        <v>317</v>
      </c>
      <c r="T6" s="33">
        <f t="shared" si="1"/>
        <v>304</v>
      </c>
      <c r="U6" s="33">
        <f>U5-T5</f>
        <v>304</v>
      </c>
      <c r="V6" s="33">
        <f t="shared" si="1"/>
        <v>293</v>
      </c>
      <c r="W6" s="33">
        <f t="shared" si="1"/>
        <v>352</v>
      </c>
      <c r="X6" s="33">
        <f t="shared" si="1"/>
        <v>371</v>
      </c>
      <c r="Y6" s="33">
        <f t="shared" si="1"/>
        <v>363</v>
      </c>
      <c r="Z6" s="33">
        <f t="shared" si="1"/>
        <v>239</v>
      </c>
      <c r="AA6" s="33">
        <f t="shared" si="1"/>
        <v>157</v>
      </c>
      <c r="AB6" s="33">
        <f t="shared" si="1"/>
        <v>149</v>
      </c>
      <c r="AC6" s="33">
        <f t="shared" si="1"/>
        <v>870</v>
      </c>
      <c r="AD6" s="33">
        <f t="shared" si="1"/>
        <v>633</v>
      </c>
      <c r="AE6" s="33">
        <f t="shared" si="1"/>
        <v>356</v>
      </c>
      <c r="AF6" s="33">
        <f t="shared" si="1"/>
        <v>398</v>
      </c>
      <c r="AG6" s="33">
        <f t="shared" si="1"/>
        <v>351</v>
      </c>
      <c r="AH6" s="33">
        <f t="shared" si="1"/>
        <v>160</v>
      </c>
      <c r="AI6" s="33"/>
      <c r="AJ6" s="8"/>
      <c r="AK6" s="8"/>
      <c r="AL6" s="8"/>
      <c r="AM6" s="8"/>
      <c r="AN6" s="8"/>
      <c r="AO6" s="8"/>
      <c r="AP6" s="8"/>
    </row>
    <row r="7" spans="1:42" s="8" customFormat="1" ht="39.75" customHeight="1" thickBot="1" x14ac:dyDescent="0.3">
      <c r="A7" s="94" t="s">
        <v>22</v>
      </c>
      <c r="B7" s="49" t="s">
        <v>69</v>
      </c>
      <c r="C7" s="96" t="s">
        <v>70</v>
      </c>
      <c r="D7" s="31">
        <v>401203.4</v>
      </c>
      <c r="E7" s="31">
        <v>401219.4</v>
      </c>
      <c r="F7" s="31">
        <v>401235.20000000001</v>
      </c>
      <c r="G7" s="31">
        <v>401252.5</v>
      </c>
      <c r="H7" s="31">
        <v>401270.1</v>
      </c>
      <c r="I7" s="31">
        <v>401288.3</v>
      </c>
      <c r="J7" s="31">
        <v>401301</v>
      </c>
      <c r="K7" s="31">
        <v>401320</v>
      </c>
      <c r="L7" s="31">
        <v>401339</v>
      </c>
      <c r="M7" s="31">
        <v>401361.9</v>
      </c>
      <c r="N7" s="31">
        <v>401375.3</v>
      </c>
      <c r="O7" s="31">
        <v>401391.6</v>
      </c>
      <c r="P7" s="31">
        <v>401414.8</v>
      </c>
      <c r="Q7" s="31">
        <v>401438.1</v>
      </c>
      <c r="R7" s="31">
        <v>401454.3</v>
      </c>
      <c r="S7" s="31">
        <v>401478.5</v>
      </c>
      <c r="T7" s="31">
        <v>401490.5</v>
      </c>
      <c r="U7" s="31">
        <v>401504.2</v>
      </c>
      <c r="V7" s="31">
        <v>401517.5</v>
      </c>
      <c r="W7" s="31">
        <v>401531.2</v>
      </c>
      <c r="X7" s="31">
        <v>401543.7</v>
      </c>
      <c r="Y7" s="31">
        <v>401560.6</v>
      </c>
      <c r="Z7" s="31">
        <v>401580</v>
      </c>
      <c r="AA7" s="31">
        <v>401602</v>
      </c>
      <c r="AB7" s="31">
        <v>401625.1</v>
      </c>
      <c r="AC7" s="31">
        <v>401635.1</v>
      </c>
      <c r="AD7" s="31">
        <v>401655.1</v>
      </c>
      <c r="AE7" s="31">
        <v>401685.1</v>
      </c>
      <c r="AF7" s="31">
        <v>401700.4</v>
      </c>
      <c r="AG7" s="31">
        <v>401718.4</v>
      </c>
      <c r="AH7" s="31">
        <v>401753</v>
      </c>
      <c r="AI7" s="31"/>
    </row>
    <row r="8" spans="1:42" s="34" customFormat="1" ht="25.7" customHeight="1" thickBot="1" x14ac:dyDescent="0.3">
      <c r="A8" s="95"/>
      <c r="B8" s="47"/>
      <c r="C8" s="96"/>
      <c r="D8" s="33"/>
      <c r="E8" s="33">
        <f>E7-D7</f>
        <v>16</v>
      </c>
      <c r="F8" s="33">
        <f t="shared" ref="F8:AH8" si="2">F7-E7</f>
        <v>15.799999999988358</v>
      </c>
      <c r="G8" s="33">
        <f t="shared" si="2"/>
        <v>17.299999999988358</v>
      </c>
      <c r="H8" s="33">
        <f t="shared" si="2"/>
        <v>17.599999999976717</v>
      </c>
      <c r="I8" s="33">
        <f t="shared" si="2"/>
        <v>18.200000000011642</v>
      </c>
      <c r="J8" s="33">
        <f t="shared" si="2"/>
        <v>12.700000000011642</v>
      </c>
      <c r="K8" s="33">
        <f t="shared" si="2"/>
        <v>19</v>
      </c>
      <c r="L8" s="33">
        <f t="shared" si="2"/>
        <v>19</v>
      </c>
      <c r="M8" s="33">
        <f t="shared" si="2"/>
        <v>22.900000000023283</v>
      </c>
      <c r="N8" s="33">
        <f t="shared" si="2"/>
        <v>13.399999999965075</v>
      </c>
      <c r="O8" s="33">
        <f t="shared" si="2"/>
        <v>16.299999999988358</v>
      </c>
      <c r="P8" s="33">
        <f t="shared" si="2"/>
        <v>23.200000000011642</v>
      </c>
      <c r="Q8" s="33">
        <f t="shared" si="2"/>
        <v>23.299999999988358</v>
      </c>
      <c r="R8" s="33">
        <f t="shared" si="2"/>
        <v>16.200000000011642</v>
      </c>
      <c r="S8" s="33">
        <f t="shared" si="2"/>
        <v>24.200000000011642</v>
      </c>
      <c r="T8" s="33">
        <f t="shared" si="2"/>
        <v>12</v>
      </c>
      <c r="U8" s="33">
        <f t="shared" si="2"/>
        <v>13.700000000011642</v>
      </c>
      <c r="V8" s="33">
        <f t="shared" si="2"/>
        <v>13.299999999988358</v>
      </c>
      <c r="W8" s="33">
        <f t="shared" si="2"/>
        <v>13.700000000011642</v>
      </c>
      <c r="X8" s="33">
        <f t="shared" si="2"/>
        <v>12.5</v>
      </c>
      <c r="Y8" s="33">
        <f t="shared" si="2"/>
        <v>16.899999999965075</v>
      </c>
      <c r="Z8" s="33">
        <f t="shared" si="2"/>
        <v>19.400000000023283</v>
      </c>
      <c r="AA8" s="33">
        <f t="shared" si="2"/>
        <v>22</v>
      </c>
      <c r="AB8" s="33">
        <f t="shared" si="2"/>
        <v>23.099999999976717</v>
      </c>
      <c r="AC8" s="33">
        <f t="shared" si="2"/>
        <v>10</v>
      </c>
      <c r="AD8" s="33">
        <f t="shared" si="2"/>
        <v>20</v>
      </c>
      <c r="AE8" s="33">
        <f t="shared" si="2"/>
        <v>30</v>
      </c>
      <c r="AF8" s="33">
        <f>AF7-AE7</f>
        <v>15.300000000046566</v>
      </c>
      <c r="AG8" s="33">
        <f t="shared" si="2"/>
        <v>18</v>
      </c>
      <c r="AH8" s="33">
        <f t="shared" si="2"/>
        <v>34.599999999976717</v>
      </c>
      <c r="AI8" s="33"/>
      <c r="AJ8" s="8"/>
      <c r="AK8" s="8"/>
      <c r="AL8" s="8"/>
      <c r="AM8" s="8"/>
      <c r="AN8" s="8"/>
      <c r="AO8" s="8"/>
      <c r="AP8" s="8"/>
    </row>
    <row r="9" spans="1:42" s="8" customFormat="1" ht="25.7" customHeight="1" thickBot="1" x14ac:dyDescent="0.3">
      <c r="A9" s="94">
        <v>4</v>
      </c>
      <c r="B9" s="46" t="s">
        <v>67</v>
      </c>
      <c r="C9" s="96" t="s">
        <v>68</v>
      </c>
      <c r="D9" s="65">
        <v>72069</v>
      </c>
      <c r="E9" s="65">
        <v>72069</v>
      </c>
      <c r="F9" s="65">
        <v>72069</v>
      </c>
      <c r="G9" s="65">
        <v>72069</v>
      </c>
      <c r="H9" s="65">
        <v>72069</v>
      </c>
      <c r="I9" s="65">
        <v>72069</v>
      </c>
      <c r="J9" s="65">
        <v>72069</v>
      </c>
      <c r="K9" s="65">
        <v>72070</v>
      </c>
      <c r="L9" s="65">
        <v>72070</v>
      </c>
      <c r="M9" s="65">
        <v>72070</v>
      </c>
      <c r="N9" s="65">
        <v>72070</v>
      </c>
      <c r="O9" s="65">
        <v>72070</v>
      </c>
      <c r="P9" s="65">
        <v>72070</v>
      </c>
      <c r="Q9" s="65">
        <v>72070</v>
      </c>
      <c r="R9" s="65">
        <v>72070</v>
      </c>
      <c r="S9" s="65">
        <v>72070</v>
      </c>
      <c r="T9" s="65">
        <v>72070</v>
      </c>
      <c r="U9" s="65">
        <v>72070</v>
      </c>
      <c r="V9" s="65">
        <v>72070</v>
      </c>
      <c r="W9" s="65">
        <v>72070</v>
      </c>
      <c r="X9" s="65">
        <v>72070</v>
      </c>
      <c r="Y9" s="65">
        <v>72070</v>
      </c>
      <c r="Z9" s="65">
        <v>72070</v>
      </c>
      <c r="AA9" s="65">
        <v>72070</v>
      </c>
      <c r="AB9" s="65">
        <v>72070</v>
      </c>
      <c r="AC9" s="65">
        <v>72070</v>
      </c>
      <c r="AD9" s="65">
        <v>72070</v>
      </c>
      <c r="AE9" s="65">
        <v>72070</v>
      </c>
      <c r="AF9" s="65">
        <v>72070</v>
      </c>
      <c r="AG9" s="65">
        <v>72070</v>
      </c>
      <c r="AH9" s="65">
        <v>72070</v>
      </c>
      <c r="AI9" s="31"/>
    </row>
    <row r="10" spans="1:42" s="34" customFormat="1" ht="25.7" customHeight="1" thickBot="1" x14ac:dyDescent="0.3">
      <c r="A10" s="95"/>
      <c r="B10" s="47"/>
      <c r="C10" s="96"/>
      <c r="D10" s="33"/>
      <c r="E10" s="33">
        <f t="shared" ref="E10:AH10" si="3">E9-D9</f>
        <v>0</v>
      </c>
      <c r="F10" s="33">
        <f t="shared" si="3"/>
        <v>0</v>
      </c>
      <c r="G10" s="33">
        <f t="shared" si="3"/>
        <v>0</v>
      </c>
      <c r="H10" s="33">
        <f t="shared" si="3"/>
        <v>0</v>
      </c>
      <c r="I10" s="33">
        <f t="shared" si="3"/>
        <v>0</v>
      </c>
      <c r="J10" s="33">
        <f t="shared" si="3"/>
        <v>0</v>
      </c>
      <c r="K10" s="33">
        <f t="shared" si="3"/>
        <v>1</v>
      </c>
      <c r="L10" s="33">
        <f t="shared" si="3"/>
        <v>0</v>
      </c>
      <c r="M10" s="33">
        <f t="shared" si="3"/>
        <v>0</v>
      </c>
      <c r="N10" s="33">
        <f t="shared" si="3"/>
        <v>0</v>
      </c>
      <c r="O10" s="33">
        <f t="shared" si="3"/>
        <v>0</v>
      </c>
      <c r="P10" s="33">
        <f t="shared" si="3"/>
        <v>0</v>
      </c>
      <c r="Q10" s="33">
        <f t="shared" si="3"/>
        <v>0</v>
      </c>
      <c r="R10" s="33">
        <f t="shared" si="3"/>
        <v>0</v>
      </c>
      <c r="S10" s="33">
        <f t="shared" si="3"/>
        <v>0</v>
      </c>
      <c r="T10" s="33">
        <f t="shared" si="3"/>
        <v>0</v>
      </c>
      <c r="U10" s="33">
        <f t="shared" si="3"/>
        <v>0</v>
      </c>
      <c r="V10" s="33">
        <f t="shared" si="3"/>
        <v>0</v>
      </c>
      <c r="W10" s="33">
        <f t="shared" si="3"/>
        <v>0</v>
      </c>
      <c r="X10" s="33">
        <f t="shared" si="3"/>
        <v>0</v>
      </c>
      <c r="Y10" s="33">
        <f t="shared" si="3"/>
        <v>0</v>
      </c>
      <c r="Z10" s="33">
        <f t="shared" si="3"/>
        <v>0</v>
      </c>
      <c r="AA10" s="33">
        <f t="shared" si="3"/>
        <v>0</v>
      </c>
      <c r="AB10" s="33">
        <f t="shared" si="3"/>
        <v>0</v>
      </c>
      <c r="AC10" s="33">
        <f t="shared" si="3"/>
        <v>0</v>
      </c>
      <c r="AD10" s="33">
        <f t="shared" si="3"/>
        <v>0</v>
      </c>
      <c r="AE10" s="33">
        <f t="shared" si="3"/>
        <v>0</v>
      </c>
      <c r="AF10" s="33">
        <f t="shared" si="3"/>
        <v>0</v>
      </c>
      <c r="AG10" s="33">
        <f t="shared" si="3"/>
        <v>0</v>
      </c>
      <c r="AH10" s="33">
        <f t="shared" si="3"/>
        <v>0</v>
      </c>
      <c r="AI10" s="33"/>
      <c r="AJ10" s="8"/>
      <c r="AK10" s="8"/>
      <c r="AL10" s="8"/>
      <c r="AM10" s="8"/>
      <c r="AN10" s="8"/>
      <c r="AO10" s="8"/>
      <c r="AP10" s="8"/>
    </row>
    <row r="11" spans="1:42" s="8" customFormat="1" ht="25.7" customHeight="1" thickBot="1" x14ac:dyDescent="0.3">
      <c r="A11" s="97">
        <v>5</v>
      </c>
      <c r="B11" s="27">
        <v>68864837</v>
      </c>
      <c r="C11" s="96" t="s">
        <v>74</v>
      </c>
      <c r="D11" s="31">
        <v>1891.146</v>
      </c>
      <c r="E11" s="31">
        <v>1892.61</v>
      </c>
      <c r="F11" s="31">
        <v>1893.5920000000001</v>
      </c>
      <c r="G11" s="31">
        <v>1894.3040000000001</v>
      </c>
      <c r="H11" s="31">
        <v>1894.942</v>
      </c>
      <c r="I11" s="31">
        <v>1895.808</v>
      </c>
      <c r="J11" s="31">
        <v>1897.4349999999999</v>
      </c>
      <c r="K11" s="31">
        <v>1898.6559999999999</v>
      </c>
      <c r="L11" s="31">
        <v>1899.115</v>
      </c>
      <c r="M11" s="31">
        <v>1899.873</v>
      </c>
      <c r="N11" s="31">
        <v>1900.43</v>
      </c>
      <c r="O11" s="31">
        <v>1901.7829999999999</v>
      </c>
      <c r="P11" s="31">
        <v>1905.5940000000001</v>
      </c>
      <c r="Q11" s="31">
        <v>1907.472</v>
      </c>
      <c r="R11" s="31">
        <v>1908.9829999999999</v>
      </c>
      <c r="S11" s="31">
        <v>1910.0050000000001</v>
      </c>
      <c r="T11" s="31">
        <v>1910.8889999999999</v>
      </c>
      <c r="U11" s="31">
        <v>1912.1759999999999</v>
      </c>
      <c r="V11" s="31">
        <v>1912.88</v>
      </c>
      <c r="W11" s="31">
        <v>1914.931</v>
      </c>
      <c r="X11" s="31">
        <v>1917.752</v>
      </c>
      <c r="Y11" s="31">
        <v>1920.364</v>
      </c>
      <c r="Z11" s="31">
        <v>1922.2929999999999</v>
      </c>
      <c r="AA11" s="31">
        <v>1923.7190000000001</v>
      </c>
      <c r="AB11" s="31">
        <v>1924.924</v>
      </c>
      <c r="AC11" s="31">
        <v>1925.9280000000001</v>
      </c>
      <c r="AD11" s="31">
        <v>1927.221</v>
      </c>
      <c r="AE11" s="31">
        <v>1928.62</v>
      </c>
      <c r="AF11" s="31">
        <v>1931.049</v>
      </c>
      <c r="AG11" s="31">
        <v>1932.874</v>
      </c>
      <c r="AH11" s="31">
        <v>1933.9849999999999</v>
      </c>
      <c r="AI11" s="31"/>
    </row>
    <row r="12" spans="1:42" s="8" customFormat="1" ht="25.7" customHeight="1" thickBot="1" x14ac:dyDescent="0.3">
      <c r="A12" s="98"/>
      <c r="B12" s="48"/>
      <c r="C12" s="96"/>
      <c r="D12" s="33"/>
      <c r="E12" s="33">
        <f>E11-D11</f>
        <v>1.4639999999999418</v>
      </c>
      <c r="F12" s="33">
        <f t="shared" ref="F12:AH12" si="4">F11-E11</f>
        <v>0.98200000000019827</v>
      </c>
      <c r="G12" s="33">
        <f t="shared" si="4"/>
        <v>0.71199999999998909</v>
      </c>
      <c r="H12" s="33">
        <f t="shared" si="4"/>
        <v>0.63799999999991996</v>
      </c>
      <c r="I12" s="33">
        <f t="shared" si="4"/>
        <v>0.86599999999998545</v>
      </c>
      <c r="J12" s="33">
        <f t="shared" si="4"/>
        <v>1.6269999999999527</v>
      </c>
      <c r="K12" s="33">
        <f t="shared" si="4"/>
        <v>1.2210000000000036</v>
      </c>
      <c r="L12" s="33">
        <f t="shared" si="4"/>
        <v>0.45900000000006003</v>
      </c>
      <c r="M12" s="33">
        <f t="shared" si="4"/>
        <v>0.7580000000000382</v>
      </c>
      <c r="N12" s="33">
        <f t="shared" si="4"/>
        <v>0.55700000000001637</v>
      </c>
      <c r="O12" s="33">
        <f t="shared" si="4"/>
        <v>1.3529999999998381</v>
      </c>
      <c r="P12" s="33">
        <f t="shared" si="4"/>
        <v>3.8110000000001492</v>
      </c>
      <c r="Q12" s="33">
        <f t="shared" si="4"/>
        <v>1.8779999999999291</v>
      </c>
      <c r="R12" s="33">
        <f t="shared" si="4"/>
        <v>1.5109999999999673</v>
      </c>
      <c r="S12" s="33">
        <f t="shared" si="4"/>
        <v>1.0220000000001619</v>
      </c>
      <c r="T12" s="33">
        <f t="shared" si="4"/>
        <v>0.88399999999978718</v>
      </c>
      <c r="U12" s="33">
        <f t="shared" si="4"/>
        <v>1.2870000000000346</v>
      </c>
      <c r="V12" s="33">
        <f t="shared" si="4"/>
        <v>0.70400000000017826</v>
      </c>
      <c r="W12" s="33">
        <f t="shared" si="4"/>
        <v>2.0509999999999309</v>
      </c>
      <c r="X12" s="33">
        <f t="shared" si="4"/>
        <v>2.8209999999999127</v>
      </c>
      <c r="Y12" s="33">
        <f t="shared" si="4"/>
        <v>2.61200000000008</v>
      </c>
      <c r="Z12" s="33">
        <f t="shared" si="4"/>
        <v>1.9289999999998599</v>
      </c>
      <c r="AA12" s="33">
        <f t="shared" si="4"/>
        <v>1.4260000000001583</v>
      </c>
      <c r="AB12" s="33">
        <f t="shared" si="4"/>
        <v>1.2049999999999272</v>
      </c>
      <c r="AC12" s="33">
        <f t="shared" si="4"/>
        <v>1.0040000000001328</v>
      </c>
      <c r="AD12" s="33">
        <f t="shared" si="4"/>
        <v>1.2929999999998927</v>
      </c>
      <c r="AE12" s="33">
        <f t="shared" si="4"/>
        <v>1.3989999999998872</v>
      </c>
      <c r="AF12" s="33">
        <f t="shared" si="4"/>
        <v>2.4290000000000873</v>
      </c>
      <c r="AG12" s="33">
        <f t="shared" si="4"/>
        <v>1.8250000000000455</v>
      </c>
      <c r="AH12" s="33">
        <f t="shared" si="4"/>
        <v>1.1109999999998763</v>
      </c>
      <c r="AI12" s="33"/>
    </row>
    <row r="13" spans="1:42" s="8" customFormat="1" ht="25.7" customHeight="1" thickBot="1" x14ac:dyDescent="0.3">
      <c r="A13" s="97">
        <v>6</v>
      </c>
      <c r="B13" s="27">
        <v>65296485</v>
      </c>
      <c r="C13" s="96" t="s">
        <v>73</v>
      </c>
      <c r="D13" s="31">
        <v>2290.0749999999998</v>
      </c>
      <c r="E13" s="31">
        <v>2292.5500000000002</v>
      </c>
      <c r="F13" s="31">
        <v>2293.549</v>
      </c>
      <c r="G13" s="31">
        <v>2295.8989999999999</v>
      </c>
      <c r="H13" s="31">
        <v>2298.3560000000002</v>
      </c>
      <c r="I13" s="31">
        <v>2300.9360000000001</v>
      </c>
      <c r="J13" s="31">
        <v>2304.9630000000002</v>
      </c>
      <c r="K13" s="31">
        <v>2306.614</v>
      </c>
      <c r="L13" s="31">
        <v>2307.4279999999999</v>
      </c>
      <c r="M13" s="31">
        <v>2310.3380000000002</v>
      </c>
      <c r="N13" s="31">
        <v>2315.23</v>
      </c>
      <c r="O13" s="31">
        <v>2317.1610000000001</v>
      </c>
      <c r="P13" s="31">
        <v>2321.91</v>
      </c>
      <c r="Q13" s="31">
        <v>2325.0500000000002</v>
      </c>
      <c r="R13" s="31">
        <v>2327.91</v>
      </c>
      <c r="S13" s="31">
        <v>2329.9839999999999</v>
      </c>
      <c r="T13" s="31">
        <v>2331.33</v>
      </c>
      <c r="U13" s="31">
        <v>2331.806</v>
      </c>
      <c r="V13" s="31">
        <v>2331.9050000000002</v>
      </c>
      <c r="W13" s="31">
        <v>2339.2640000000001</v>
      </c>
      <c r="X13" s="31">
        <v>2341.893</v>
      </c>
      <c r="Y13" s="31">
        <v>2344.2310000000002</v>
      </c>
      <c r="Z13" s="31">
        <v>2346.15</v>
      </c>
      <c r="AA13" s="31">
        <v>2347.1799999999998</v>
      </c>
      <c r="AB13" s="31">
        <v>2349.0079999999998</v>
      </c>
      <c r="AC13" s="31">
        <v>2352.1559999999999</v>
      </c>
      <c r="AD13" s="31">
        <v>2355.0509999999999</v>
      </c>
      <c r="AE13" s="31">
        <v>2357.047</v>
      </c>
      <c r="AF13" s="31">
        <v>2360.4899999999998</v>
      </c>
      <c r="AG13" s="31">
        <v>2364.6790000000001</v>
      </c>
      <c r="AH13" s="31">
        <v>2366.6619999999998</v>
      </c>
      <c r="AI13" s="31"/>
    </row>
    <row r="14" spans="1:42" s="8" customFormat="1" ht="25.7" customHeight="1" thickBot="1" x14ac:dyDescent="0.3">
      <c r="A14" s="98"/>
      <c r="B14" s="48"/>
      <c r="C14" s="96"/>
      <c r="D14" s="33"/>
      <c r="E14" s="33">
        <f>E13-D13</f>
        <v>2.4750000000003638</v>
      </c>
      <c r="F14" s="33">
        <f t="shared" ref="F14:AH14" si="5">F13-E13</f>
        <v>0.99899999999979627</v>
      </c>
      <c r="G14" s="33">
        <f t="shared" si="5"/>
        <v>2.3499999999999091</v>
      </c>
      <c r="H14" s="33">
        <f t="shared" si="5"/>
        <v>2.4570000000003347</v>
      </c>
      <c r="I14" s="33">
        <f t="shared" si="5"/>
        <v>2.5799999999999272</v>
      </c>
      <c r="J14" s="33">
        <f t="shared" si="5"/>
        <v>4.0270000000000437</v>
      </c>
      <c r="K14" s="33">
        <f t="shared" si="5"/>
        <v>1.6509999999998399</v>
      </c>
      <c r="L14" s="33">
        <f t="shared" si="5"/>
        <v>0.81399999999985084</v>
      </c>
      <c r="M14" s="33">
        <f t="shared" si="5"/>
        <v>2.9100000000003092</v>
      </c>
      <c r="N14" s="33">
        <f t="shared" si="5"/>
        <v>4.8919999999998254</v>
      </c>
      <c r="O14" s="33">
        <f t="shared" si="5"/>
        <v>1.93100000000004</v>
      </c>
      <c r="P14" s="33">
        <f t="shared" si="5"/>
        <v>4.7489999999997963</v>
      </c>
      <c r="Q14" s="33">
        <f t="shared" si="5"/>
        <v>3.1400000000003274</v>
      </c>
      <c r="R14" s="33">
        <f t="shared" si="5"/>
        <v>2.8599999999996726</v>
      </c>
      <c r="S14" s="33">
        <f t="shared" si="5"/>
        <v>2.0740000000000691</v>
      </c>
      <c r="T14" s="33">
        <f t="shared" si="5"/>
        <v>1.3460000000000036</v>
      </c>
      <c r="U14" s="33">
        <f t="shared" si="5"/>
        <v>0.47600000000011278</v>
      </c>
      <c r="V14" s="33">
        <f t="shared" si="5"/>
        <v>9.9000000000160071E-2</v>
      </c>
      <c r="W14" s="33">
        <f t="shared" si="5"/>
        <v>7.3589999999999236</v>
      </c>
      <c r="X14" s="33">
        <f t="shared" si="5"/>
        <v>2.6289999999999054</v>
      </c>
      <c r="Y14" s="33">
        <f t="shared" si="5"/>
        <v>2.3380000000001928</v>
      </c>
      <c r="Z14" s="33">
        <f t="shared" si="5"/>
        <v>1.918999999999869</v>
      </c>
      <c r="AA14" s="33">
        <f t="shared" si="5"/>
        <v>1.0299999999997453</v>
      </c>
      <c r="AB14" s="33">
        <f t="shared" si="5"/>
        <v>1.8279999999999745</v>
      </c>
      <c r="AC14" s="33">
        <f t="shared" si="5"/>
        <v>3.1480000000001382</v>
      </c>
      <c r="AD14" s="33">
        <f t="shared" si="5"/>
        <v>2.8949999999999818</v>
      </c>
      <c r="AE14" s="33">
        <f t="shared" si="5"/>
        <v>1.9960000000000946</v>
      </c>
      <c r="AF14" s="33">
        <f t="shared" si="5"/>
        <v>3.4429999999997563</v>
      </c>
      <c r="AG14" s="33">
        <f t="shared" si="5"/>
        <v>4.1890000000003056</v>
      </c>
      <c r="AH14" s="33">
        <f t="shared" si="5"/>
        <v>1.9829999999997199</v>
      </c>
      <c r="AI14" s="33"/>
      <c r="AJ14" s="2"/>
      <c r="AK14" s="2"/>
      <c r="AL14" s="2"/>
      <c r="AM14" s="2"/>
      <c r="AN14" s="2"/>
      <c r="AO14" s="2"/>
      <c r="AP14" s="2"/>
    </row>
    <row r="15" spans="1:42" ht="33" customHeight="1" x14ac:dyDescent="0.25">
      <c r="B15" s="90" t="s">
        <v>71</v>
      </c>
      <c r="C15" s="90"/>
      <c r="D15" s="50"/>
      <c r="E15" s="58">
        <f>E6+((E8*45%)+(E10*45%)+(E12+E14))</f>
        <v>272.13900000000029</v>
      </c>
      <c r="F15" s="58">
        <f t="shared" ref="F15:AI15" si="6">F6+((F8*45%)+(F10*45%)+(F12+F14))</f>
        <v>278.09099999999478</v>
      </c>
      <c r="G15" s="58">
        <f t="shared" si="6"/>
        <v>288.84699999999464</v>
      </c>
      <c r="H15" s="58">
        <f t="shared" si="6"/>
        <v>293.01499999998975</v>
      </c>
      <c r="I15" s="58">
        <f t="shared" si="6"/>
        <v>293.63600000000514</v>
      </c>
      <c r="J15" s="58">
        <f t="shared" si="6"/>
        <v>262.36900000000526</v>
      </c>
      <c r="K15" s="58">
        <f t="shared" si="6"/>
        <v>288.87199999999984</v>
      </c>
      <c r="L15" s="58">
        <f t="shared" si="6"/>
        <v>253.82299999999992</v>
      </c>
      <c r="M15" s="58">
        <f t="shared" si="6"/>
        <v>321.97300000001081</v>
      </c>
      <c r="N15" s="58">
        <f t="shared" si="6"/>
        <v>297.47899999998413</v>
      </c>
      <c r="O15" s="58">
        <f t="shared" si="6"/>
        <v>378.61899999999463</v>
      </c>
      <c r="P15" s="58">
        <f t="shared" si="6"/>
        <v>420.00000000000517</v>
      </c>
      <c r="Q15" s="58">
        <f t="shared" si="6"/>
        <v>394.50299999999504</v>
      </c>
      <c r="R15" s="58">
        <f t="shared" si="6"/>
        <v>372.66100000000489</v>
      </c>
      <c r="S15" s="58">
        <f t="shared" si="6"/>
        <v>330.98600000000545</v>
      </c>
      <c r="T15" s="58">
        <f>T6+((T8*45%)+(T10*45%)+(T12+T14))</f>
        <v>311.62999999999977</v>
      </c>
      <c r="U15" s="58">
        <f t="shared" si="6"/>
        <v>311.9280000000054</v>
      </c>
      <c r="V15" s="58">
        <f t="shared" si="6"/>
        <v>299.78799999999512</v>
      </c>
      <c r="W15" s="58">
        <f t="shared" si="6"/>
        <v>367.5750000000051</v>
      </c>
      <c r="X15" s="58">
        <f t="shared" si="6"/>
        <v>382.07499999999982</v>
      </c>
      <c r="Y15" s="58">
        <f t="shared" si="6"/>
        <v>375.55499999998455</v>
      </c>
      <c r="Z15" s="58">
        <f t="shared" si="6"/>
        <v>251.57800000001021</v>
      </c>
      <c r="AA15" s="58">
        <f t="shared" si="6"/>
        <v>169.35599999999991</v>
      </c>
      <c r="AB15" s="58">
        <f t="shared" si="6"/>
        <v>162.42799999998942</v>
      </c>
      <c r="AC15" s="58">
        <f t="shared" si="6"/>
        <v>878.65200000000027</v>
      </c>
      <c r="AD15" s="58">
        <f t="shared" si="6"/>
        <v>646.18799999999987</v>
      </c>
      <c r="AE15" s="58">
        <f t="shared" si="6"/>
        <v>372.89499999999998</v>
      </c>
      <c r="AF15" s="58">
        <f t="shared" si="6"/>
        <v>410.75700000002081</v>
      </c>
      <c r="AG15" s="58">
        <f t="shared" si="6"/>
        <v>365.11400000000037</v>
      </c>
      <c r="AH15" s="58">
        <f t="shared" si="6"/>
        <v>178.66399999998913</v>
      </c>
      <c r="AI15" s="58">
        <f t="shared" si="6"/>
        <v>0</v>
      </c>
    </row>
    <row r="16" spans="1:42" ht="33" customHeight="1" x14ac:dyDescent="0.25">
      <c r="B16" s="89" t="s">
        <v>72</v>
      </c>
      <c r="C16" s="89"/>
      <c r="D16" s="50"/>
      <c r="E16" s="58">
        <f>SUM(E15:AI15)</f>
        <v>10231.195999999991</v>
      </c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</row>
    <row r="21" s="2" customFormat="1" ht="70.5" customHeight="1" x14ac:dyDescent="0.25"/>
    <row r="22" s="2" customFormat="1" ht="70.5" customHeight="1" x14ac:dyDescent="0.25"/>
    <row r="23" s="2" customFormat="1" ht="70.5" customHeight="1" x14ac:dyDescent="0.25"/>
    <row r="24" s="2" customFormat="1" ht="70.5" customHeight="1" x14ac:dyDescent="0.25"/>
    <row r="25" s="2" customFormat="1" ht="70.5" customHeight="1" x14ac:dyDescent="0.25"/>
    <row r="26" s="2" customFormat="1" ht="70.5" customHeight="1" x14ac:dyDescent="0.25"/>
    <row r="27" s="2" customFormat="1" ht="70.5" customHeight="1" x14ac:dyDescent="0.25"/>
    <row r="28" s="2" customFormat="1" ht="70.5" customHeight="1" x14ac:dyDescent="0.25"/>
    <row r="29" s="2" customFormat="1" ht="70.5" customHeight="1" x14ac:dyDescent="0.25"/>
  </sheetData>
  <mergeCells count="14">
    <mergeCell ref="B16:C16"/>
    <mergeCell ref="B15:C15"/>
    <mergeCell ref="B2:AI2"/>
    <mergeCell ref="B3:AI3"/>
    <mergeCell ref="A5:A6"/>
    <mergeCell ref="C5:C6"/>
    <mergeCell ref="A9:A10"/>
    <mergeCell ref="C9:C10"/>
    <mergeCell ref="A11:A12"/>
    <mergeCell ref="C11:C12"/>
    <mergeCell ref="A13:A14"/>
    <mergeCell ref="C13:C14"/>
    <mergeCell ref="A7:A8"/>
    <mergeCell ref="C7:C8"/>
  </mergeCells>
  <phoneticPr fontId="27" type="noConversion"/>
  <printOptions horizontalCentered="1" verticalCentered="1"/>
  <pageMargins left="0.25" right="0.25" top="0.75" bottom="0.75" header="0.3" footer="0.3"/>
  <pageSetup paperSize="8" scale="49" orientation="landscape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35B19-7E3F-48ED-B7AD-3E9E86FFAF8F}">
  <dimension ref="A1:C34"/>
  <sheetViews>
    <sheetView zoomScaleNormal="100" workbookViewId="0">
      <selection activeCell="B34" sqref="B34"/>
    </sheetView>
  </sheetViews>
  <sheetFormatPr defaultRowHeight="15" x14ac:dyDescent="0.25"/>
  <cols>
    <col min="1" max="1" width="12.7109375" customWidth="1"/>
    <col min="2" max="2" width="17.42578125" customWidth="1"/>
    <col min="3" max="3" width="18" customWidth="1"/>
  </cols>
  <sheetData>
    <row r="1" spans="1:3" ht="35.25" customHeight="1" x14ac:dyDescent="0.25">
      <c r="A1" s="99" t="s">
        <v>86</v>
      </c>
      <c r="B1" s="99"/>
      <c r="C1" s="99"/>
    </row>
    <row r="2" spans="1:3" ht="24.95" customHeight="1" x14ac:dyDescent="0.25">
      <c r="A2" s="60" t="s">
        <v>81</v>
      </c>
      <c r="B2" s="60" t="s">
        <v>79</v>
      </c>
      <c r="C2" s="60" t="s">
        <v>80</v>
      </c>
    </row>
    <row r="3" spans="1:3" ht="24.95" customHeight="1" x14ac:dyDescent="0.25">
      <c r="A3" s="61">
        <v>45383</v>
      </c>
      <c r="B3" s="62">
        <v>293</v>
      </c>
      <c r="C3" s="62">
        <v>415</v>
      </c>
    </row>
    <row r="4" spans="1:3" ht="24.95" customHeight="1" x14ac:dyDescent="0.25">
      <c r="A4" s="61">
        <v>45384</v>
      </c>
      <c r="B4" s="62">
        <v>318</v>
      </c>
      <c r="C4" s="62">
        <v>451</v>
      </c>
    </row>
    <row r="5" spans="1:3" ht="24.95" customHeight="1" x14ac:dyDescent="0.25">
      <c r="A5" s="61">
        <v>45385</v>
      </c>
      <c r="B5" s="62">
        <v>291</v>
      </c>
      <c r="C5" s="62">
        <v>419</v>
      </c>
    </row>
    <row r="6" spans="1:3" ht="24.95" customHeight="1" x14ac:dyDescent="0.25">
      <c r="A6" s="61">
        <v>45386</v>
      </c>
      <c r="B6" s="62">
        <v>275</v>
      </c>
      <c r="C6" s="62">
        <v>402</v>
      </c>
    </row>
    <row r="7" spans="1:3" ht="24.95" customHeight="1" x14ac:dyDescent="0.25">
      <c r="A7" s="61">
        <v>45387</v>
      </c>
      <c r="B7" s="62">
        <v>236</v>
      </c>
      <c r="C7" s="62">
        <v>359</v>
      </c>
    </row>
    <row r="8" spans="1:3" ht="24.95" customHeight="1" x14ac:dyDescent="0.25">
      <c r="A8" s="61">
        <v>45388</v>
      </c>
      <c r="B8" s="62">
        <v>223</v>
      </c>
      <c r="C8" s="62">
        <v>349</v>
      </c>
    </row>
    <row r="9" spans="1:3" ht="24.95" customHeight="1" x14ac:dyDescent="0.25">
      <c r="A9" s="61">
        <v>45389</v>
      </c>
      <c r="B9" s="62">
        <v>220</v>
      </c>
      <c r="C9" s="62">
        <v>331</v>
      </c>
    </row>
    <row r="10" spans="1:3" ht="24.95" customHeight="1" x14ac:dyDescent="0.25">
      <c r="A10" s="61">
        <v>45390</v>
      </c>
      <c r="B10" s="62">
        <v>259</v>
      </c>
      <c r="C10" s="62">
        <v>403</v>
      </c>
    </row>
    <row r="11" spans="1:3" ht="24.95" customHeight="1" x14ac:dyDescent="0.25">
      <c r="A11" s="61">
        <v>45391</v>
      </c>
      <c r="B11" s="62">
        <v>291</v>
      </c>
      <c r="C11" s="62">
        <v>505</v>
      </c>
    </row>
    <row r="12" spans="1:3" ht="24.95" customHeight="1" x14ac:dyDescent="0.25">
      <c r="A12" s="61">
        <v>45392</v>
      </c>
      <c r="B12" s="62">
        <v>352</v>
      </c>
      <c r="C12" s="62">
        <v>642</v>
      </c>
    </row>
    <row r="13" spans="1:3" ht="24.95" customHeight="1" x14ac:dyDescent="0.25">
      <c r="A13" s="61">
        <v>45393</v>
      </c>
      <c r="B13" s="62">
        <v>462</v>
      </c>
      <c r="C13" s="62">
        <v>887</v>
      </c>
    </row>
    <row r="14" spans="1:3" ht="24.95" customHeight="1" x14ac:dyDescent="0.25">
      <c r="A14" s="61">
        <v>45394</v>
      </c>
      <c r="B14" s="62">
        <v>439</v>
      </c>
      <c r="C14" s="62">
        <v>802</v>
      </c>
    </row>
    <row r="15" spans="1:3" ht="24.95" customHeight="1" x14ac:dyDescent="0.25">
      <c r="A15" s="61">
        <v>45395</v>
      </c>
      <c r="B15" s="62">
        <v>422</v>
      </c>
      <c r="C15" s="62">
        <v>684</v>
      </c>
    </row>
    <row r="16" spans="1:3" ht="24.95" customHeight="1" x14ac:dyDescent="0.25">
      <c r="A16" s="61">
        <v>45396</v>
      </c>
      <c r="B16" s="62">
        <v>336</v>
      </c>
      <c r="C16" s="62">
        <v>509</v>
      </c>
    </row>
    <row r="17" spans="1:3" ht="24.95" customHeight="1" x14ac:dyDescent="0.25">
      <c r="A17" s="61">
        <v>45397</v>
      </c>
      <c r="B17" s="62">
        <v>432</v>
      </c>
      <c r="C17" s="62">
        <v>533</v>
      </c>
    </row>
    <row r="18" spans="1:3" ht="24.95" customHeight="1" x14ac:dyDescent="0.25">
      <c r="A18" s="61">
        <v>45398</v>
      </c>
      <c r="B18" s="62">
        <v>464</v>
      </c>
      <c r="C18" s="62">
        <v>586</v>
      </c>
    </row>
    <row r="19" spans="1:3" ht="24.95" customHeight="1" x14ac:dyDescent="0.25">
      <c r="A19" s="61">
        <v>45399</v>
      </c>
      <c r="B19" s="62">
        <v>470</v>
      </c>
      <c r="C19" s="62">
        <v>582</v>
      </c>
    </row>
    <row r="20" spans="1:3" ht="24.95" customHeight="1" x14ac:dyDescent="0.25">
      <c r="A20" s="61">
        <v>45400</v>
      </c>
      <c r="B20" s="62">
        <v>392</v>
      </c>
      <c r="C20" s="62">
        <v>539</v>
      </c>
    </row>
    <row r="21" spans="1:3" ht="24.95" customHeight="1" x14ac:dyDescent="0.25">
      <c r="A21" s="61">
        <v>45401</v>
      </c>
      <c r="B21" s="62">
        <v>390</v>
      </c>
      <c r="C21" s="62">
        <v>605</v>
      </c>
    </row>
    <row r="22" spans="1:3" ht="24.95" customHeight="1" x14ac:dyDescent="0.25">
      <c r="A22" s="61">
        <v>45402</v>
      </c>
      <c r="B22" s="62">
        <v>358</v>
      </c>
      <c r="C22" s="62">
        <v>517</v>
      </c>
    </row>
    <row r="23" spans="1:3" ht="24.95" customHeight="1" x14ac:dyDescent="0.25">
      <c r="A23" s="61">
        <v>45403</v>
      </c>
      <c r="B23" s="62">
        <v>356</v>
      </c>
      <c r="C23" s="62">
        <v>467</v>
      </c>
    </row>
    <row r="24" spans="1:3" ht="24.95" customHeight="1" x14ac:dyDescent="0.25">
      <c r="A24" s="61">
        <v>45404</v>
      </c>
      <c r="B24" s="62">
        <v>471</v>
      </c>
      <c r="C24" s="62">
        <v>628</v>
      </c>
    </row>
    <row r="25" spans="1:3" ht="24.95" customHeight="1" x14ac:dyDescent="0.25">
      <c r="A25" s="61">
        <v>45405</v>
      </c>
      <c r="B25" s="62">
        <v>471</v>
      </c>
      <c r="C25" s="62">
        <v>601</v>
      </c>
    </row>
    <row r="26" spans="1:3" ht="24.95" customHeight="1" x14ac:dyDescent="0.25">
      <c r="A26" s="61">
        <v>45406</v>
      </c>
      <c r="B26" s="62">
        <v>484</v>
      </c>
      <c r="C26" s="62">
        <v>608</v>
      </c>
    </row>
    <row r="27" spans="1:3" ht="24.95" customHeight="1" x14ac:dyDescent="0.25">
      <c r="A27" s="61">
        <v>45407</v>
      </c>
      <c r="B27" s="62">
        <v>458</v>
      </c>
      <c r="C27" s="62">
        <v>573</v>
      </c>
    </row>
    <row r="28" spans="1:3" ht="24.95" customHeight="1" x14ac:dyDescent="0.25">
      <c r="A28" s="61">
        <v>45408</v>
      </c>
      <c r="B28" s="62">
        <v>460</v>
      </c>
      <c r="C28" s="62">
        <v>597</v>
      </c>
    </row>
    <row r="29" spans="1:3" ht="24.95" customHeight="1" x14ac:dyDescent="0.25">
      <c r="A29" s="61">
        <v>45409</v>
      </c>
      <c r="B29" s="62">
        <v>473</v>
      </c>
      <c r="C29" s="62">
        <v>629</v>
      </c>
    </row>
    <row r="30" spans="1:3" ht="24.95" customHeight="1" x14ac:dyDescent="0.25">
      <c r="A30" s="61">
        <v>45410</v>
      </c>
      <c r="B30" s="62">
        <v>458</v>
      </c>
      <c r="C30" s="62">
        <v>565</v>
      </c>
    </row>
    <row r="31" spans="1:3" ht="24.95" customHeight="1" x14ac:dyDescent="0.25">
      <c r="A31" s="61">
        <v>45411</v>
      </c>
      <c r="B31" s="62">
        <v>482</v>
      </c>
      <c r="C31" s="62">
        <v>606</v>
      </c>
    </row>
    <row r="32" spans="1:3" ht="24.95" customHeight="1" x14ac:dyDescent="0.25">
      <c r="A32" s="61">
        <v>45412</v>
      </c>
      <c r="B32" s="62">
        <v>471</v>
      </c>
      <c r="C32" s="62">
        <v>611</v>
      </c>
    </row>
    <row r="33" spans="1:3" ht="24.95" customHeight="1" x14ac:dyDescent="0.25">
      <c r="A33" s="61"/>
      <c r="B33" s="62"/>
      <c r="C33" s="62"/>
    </row>
    <row r="34" spans="1:3" ht="30.75" customHeight="1" x14ac:dyDescent="0.25">
      <c r="A34" s="60" t="s">
        <v>82</v>
      </c>
      <c r="B34" s="63">
        <f>SUM(B3:B33)</f>
        <v>11507</v>
      </c>
      <c r="C34" s="63">
        <f>SUM(C3:C33)</f>
        <v>16405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Total</vt:lpstr>
      <vt:lpstr>Electricity</vt:lpstr>
      <vt:lpstr>LPG</vt:lpstr>
      <vt:lpstr>Water</vt:lpstr>
      <vt:lpstr>Occupied &amp; No. of Guest</vt:lpstr>
      <vt:lpstr>LPG!Print_Area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 Chitian</dc:creator>
  <cp:lastModifiedBy>Babu Alamkulath</cp:lastModifiedBy>
  <dcterms:created xsi:type="dcterms:W3CDTF">2019-05-13T11:08:30Z</dcterms:created>
  <dcterms:modified xsi:type="dcterms:W3CDTF">2025-03-14T13:54:58Z</dcterms:modified>
</cp:coreProperties>
</file>