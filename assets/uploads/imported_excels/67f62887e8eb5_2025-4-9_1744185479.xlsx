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bookViews>
    <workbookView xWindow="0" yWindow="0" windowWidth="19200" windowHeight="11340" tabRatio="948" firstSheet="1" activeTab="1"/>
  </bookViews>
  <sheets>
    <sheet name="OCT" sheetId="5" state="hidden" r:id="rId1"/>
    <sheet name="Jan 2025" sheetId="74" r:id="rId2"/>
  </sheets>
  <calcPr calcId="162913" calcOnSave="0"/>
</workbook>
</file>

<file path=xl/calcChain.xml><?xml version="1.0" encoding="utf-8"?>
<calcChain xmlns="http://schemas.openxmlformats.org/spreadsheetml/2006/main">
  <c r="D10" i="74" l="1"/>
  <c r="U22" i="74" l="1"/>
  <c r="Q22" i="74" l="1"/>
  <c r="T9" i="74" l="1"/>
  <c r="T10" i="74"/>
  <c r="T11" i="74"/>
  <c r="T12" i="74"/>
  <c r="T13" i="74"/>
  <c r="T14" i="74"/>
  <c r="T15" i="74"/>
  <c r="T16" i="74"/>
  <c r="T17" i="74"/>
  <c r="T18" i="74"/>
  <c r="T19" i="74"/>
  <c r="T20" i="74"/>
  <c r="T21" i="74"/>
  <c r="T22" i="74"/>
  <c r="T23" i="74"/>
  <c r="T24" i="74"/>
  <c r="T25" i="74"/>
  <c r="T26" i="74"/>
  <c r="T27" i="74"/>
  <c r="T28" i="74"/>
  <c r="T29" i="74"/>
  <c r="T30" i="74"/>
  <c r="T31" i="74"/>
  <c r="T32" i="74"/>
  <c r="T33" i="74"/>
  <c r="T34" i="74"/>
  <c r="T35" i="74"/>
  <c r="T36" i="74"/>
  <c r="T37" i="74"/>
  <c r="T38" i="74"/>
  <c r="T39" i="74"/>
  <c r="T8" i="74"/>
  <c r="F46" i="74" l="1"/>
  <c r="J46" i="74" s="1"/>
  <c r="U39" i="74"/>
  <c r="P39" i="74"/>
  <c r="Q39" i="74" s="1"/>
  <c r="L39" i="74"/>
  <c r="M39" i="74" s="1"/>
  <c r="H39" i="74"/>
  <c r="I39" i="74" s="1"/>
  <c r="D39" i="74"/>
  <c r="E39" i="74" s="1"/>
  <c r="U38" i="74"/>
  <c r="P38" i="74"/>
  <c r="Q38" i="74" s="1"/>
  <c r="L38" i="74"/>
  <c r="M38" i="74" s="1"/>
  <c r="H38" i="74"/>
  <c r="I38" i="74" s="1"/>
  <c r="D38" i="74"/>
  <c r="E38" i="74" s="1"/>
  <c r="U37" i="74"/>
  <c r="P37" i="74"/>
  <c r="Q37" i="74" s="1"/>
  <c r="L37" i="74"/>
  <c r="M37" i="74" s="1"/>
  <c r="H37" i="74"/>
  <c r="I37" i="74" s="1"/>
  <c r="D37" i="74"/>
  <c r="E37" i="74" s="1"/>
  <c r="U36" i="74"/>
  <c r="P36" i="74"/>
  <c r="Q36" i="74" s="1"/>
  <c r="L36" i="74"/>
  <c r="M36" i="74" s="1"/>
  <c r="H36" i="74"/>
  <c r="I36" i="74" s="1"/>
  <c r="D36" i="74"/>
  <c r="E36" i="74" s="1"/>
  <c r="U35" i="74"/>
  <c r="P35" i="74"/>
  <c r="Q35" i="74" s="1"/>
  <c r="L35" i="74"/>
  <c r="M35" i="74" s="1"/>
  <c r="H35" i="74"/>
  <c r="I35" i="74" s="1"/>
  <c r="D35" i="74"/>
  <c r="E35" i="74" s="1"/>
  <c r="U34" i="74"/>
  <c r="P34" i="74"/>
  <c r="Q34" i="74" s="1"/>
  <c r="L34" i="74"/>
  <c r="M34" i="74" s="1"/>
  <c r="H34" i="74"/>
  <c r="I34" i="74" s="1"/>
  <c r="D34" i="74"/>
  <c r="E34" i="74" s="1"/>
  <c r="U33" i="74"/>
  <c r="P33" i="74"/>
  <c r="Q33" i="74" s="1"/>
  <c r="L33" i="74"/>
  <c r="M33" i="74" s="1"/>
  <c r="H33" i="74"/>
  <c r="I33" i="74" s="1"/>
  <c r="D33" i="74"/>
  <c r="E33" i="74" s="1"/>
  <c r="U32" i="74"/>
  <c r="P32" i="74"/>
  <c r="Q32" i="74" s="1"/>
  <c r="L32" i="74"/>
  <c r="M32" i="74" s="1"/>
  <c r="H32" i="74"/>
  <c r="I32" i="74" s="1"/>
  <c r="D32" i="74"/>
  <c r="E32" i="74" s="1"/>
  <c r="U31" i="74"/>
  <c r="P31" i="74"/>
  <c r="Q31" i="74" s="1"/>
  <c r="L31" i="74"/>
  <c r="M31" i="74" s="1"/>
  <c r="H31" i="74"/>
  <c r="I31" i="74" s="1"/>
  <c r="D31" i="74"/>
  <c r="E31" i="74" s="1"/>
  <c r="U30" i="74"/>
  <c r="P30" i="74"/>
  <c r="Q30" i="74" s="1"/>
  <c r="L30" i="74"/>
  <c r="M30" i="74" s="1"/>
  <c r="H30" i="74"/>
  <c r="I30" i="74" s="1"/>
  <c r="D30" i="74"/>
  <c r="E30" i="74" s="1"/>
  <c r="U29" i="74"/>
  <c r="P29" i="74"/>
  <c r="Q29" i="74" s="1"/>
  <c r="L29" i="74"/>
  <c r="M29" i="74" s="1"/>
  <c r="H29" i="74"/>
  <c r="I29" i="74" s="1"/>
  <c r="D29" i="74"/>
  <c r="E29" i="74" s="1"/>
  <c r="U28" i="74"/>
  <c r="P28" i="74"/>
  <c r="Q28" i="74" s="1"/>
  <c r="L28" i="74"/>
  <c r="M28" i="74" s="1"/>
  <c r="H28" i="74"/>
  <c r="I28" i="74" s="1"/>
  <c r="D28" i="74"/>
  <c r="E28" i="74" s="1"/>
  <c r="U27" i="74"/>
  <c r="P27" i="74"/>
  <c r="Q27" i="74" s="1"/>
  <c r="L27" i="74"/>
  <c r="M27" i="74" s="1"/>
  <c r="H27" i="74"/>
  <c r="I27" i="74" s="1"/>
  <c r="D27" i="74"/>
  <c r="E27" i="74" s="1"/>
  <c r="U26" i="74"/>
  <c r="P26" i="74"/>
  <c r="Q26" i="74" s="1"/>
  <c r="L26" i="74"/>
  <c r="M26" i="74" s="1"/>
  <c r="H26" i="74"/>
  <c r="I26" i="74" s="1"/>
  <c r="D26" i="74"/>
  <c r="E26" i="74" s="1"/>
  <c r="U25" i="74"/>
  <c r="P25" i="74"/>
  <c r="Q25" i="74" s="1"/>
  <c r="L25" i="74"/>
  <c r="M25" i="74" s="1"/>
  <c r="H25" i="74"/>
  <c r="I25" i="74" s="1"/>
  <c r="D25" i="74"/>
  <c r="E25" i="74" s="1"/>
  <c r="U24" i="74"/>
  <c r="P24" i="74"/>
  <c r="Q24" i="74" s="1"/>
  <c r="L24" i="74"/>
  <c r="M24" i="74" s="1"/>
  <c r="H24" i="74"/>
  <c r="I24" i="74" s="1"/>
  <c r="D24" i="74"/>
  <c r="E24" i="74" s="1"/>
  <c r="U23" i="74"/>
  <c r="P23" i="74"/>
  <c r="Q23" i="74" s="1"/>
  <c r="L23" i="74"/>
  <c r="M23" i="74" s="1"/>
  <c r="H23" i="74"/>
  <c r="I23" i="74" s="1"/>
  <c r="D23" i="74"/>
  <c r="E23" i="74" s="1"/>
  <c r="P22" i="74"/>
  <c r="L22" i="74"/>
  <c r="M22" i="74" s="1"/>
  <c r="H22" i="74"/>
  <c r="I22" i="74" s="1"/>
  <c r="D22" i="74"/>
  <c r="E22" i="74" s="1"/>
  <c r="U21" i="74"/>
  <c r="P21" i="74"/>
  <c r="Q21" i="74" s="1"/>
  <c r="L21" i="74"/>
  <c r="M21" i="74" s="1"/>
  <c r="H21" i="74"/>
  <c r="I21" i="74" s="1"/>
  <c r="D21" i="74"/>
  <c r="E21" i="74" s="1"/>
  <c r="U20" i="74"/>
  <c r="P20" i="74"/>
  <c r="Q20" i="74" s="1"/>
  <c r="L20" i="74"/>
  <c r="M20" i="74" s="1"/>
  <c r="H20" i="74"/>
  <c r="I20" i="74" s="1"/>
  <c r="D20" i="74"/>
  <c r="E20" i="74" s="1"/>
  <c r="U19" i="74"/>
  <c r="P19" i="74"/>
  <c r="Q19" i="74" s="1"/>
  <c r="L19" i="74"/>
  <c r="M19" i="74" s="1"/>
  <c r="H19" i="74"/>
  <c r="I19" i="74" s="1"/>
  <c r="D19" i="74"/>
  <c r="E19" i="74" s="1"/>
  <c r="U18" i="74"/>
  <c r="P18" i="74"/>
  <c r="Q18" i="74" s="1"/>
  <c r="L18" i="74"/>
  <c r="M18" i="74" s="1"/>
  <c r="H18" i="74"/>
  <c r="I18" i="74" s="1"/>
  <c r="D18" i="74"/>
  <c r="E18" i="74" s="1"/>
  <c r="U17" i="74"/>
  <c r="P17" i="74"/>
  <c r="Q17" i="74" s="1"/>
  <c r="L17" i="74"/>
  <c r="M17" i="74" s="1"/>
  <c r="H17" i="74"/>
  <c r="I17" i="74" s="1"/>
  <c r="D17" i="74"/>
  <c r="E17" i="74" s="1"/>
  <c r="U16" i="74"/>
  <c r="P16" i="74"/>
  <c r="Q16" i="74" s="1"/>
  <c r="L16" i="74"/>
  <c r="M16" i="74" s="1"/>
  <c r="H16" i="74"/>
  <c r="I16" i="74" s="1"/>
  <c r="D16" i="74"/>
  <c r="E16" i="74" s="1"/>
  <c r="U15" i="74"/>
  <c r="P15" i="74"/>
  <c r="Q15" i="74" s="1"/>
  <c r="L15" i="74"/>
  <c r="M15" i="74" s="1"/>
  <c r="H15" i="74"/>
  <c r="I15" i="74" s="1"/>
  <c r="D15" i="74"/>
  <c r="E15" i="74" s="1"/>
  <c r="U14" i="74"/>
  <c r="P14" i="74"/>
  <c r="Q14" i="74" s="1"/>
  <c r="L14" i="74"/>
  <c r="M14" i="74" s="1"/>
  <c r="H14" i="74"/>
  <c r="I14" i="74" s="1"/>
  <c r="D14" i="74"/>
  <c r="E14" i="74" s="1"/>
  <c r="U13" i="74"/>
  <c r="P13" i="74"/>
  <c r="Q13" i="74" s="1"/>
  <c r="L13" i="74"/>
  <c r="M13" i="74" s="1"/>
  <c r="H13" i="74"/>
  <c r="I13" i="74" s="1"/>
  <c r="D13" i="74"/>
  <c r="E13" i="74" s="1"/>
  <c r="U12" i="74"/>
  <c r="P12" i="74"/>
  <c r="Q12" i="74" s="1"/>
  <c r="L12" i="74"/>
  <c r="M12" i="74" s="1"/>
  <c r="H12" i="74"/>
  <c r="I12" i="74" s="1"/>
  <c r="D12" i="74"/>
  <c r="E12" i="74" s="1"/>
  <c r="U11" i="74"/>
  <c r="P11" i="74"/>
  <c r="Q11" i="74" s="1"/>
  <c r="L11" i="74"/>
  <c r="M11" i="74" s="1"/>
  <c r="H11" i="74"/>
  <c r="I11" i="74" s="1"/>
  <c r="D11" i="74"/>
  <c r="E11" i="74" s="1"/>
  <c r="U10" i="74"/>
  <c r="P10" i="74"/>
  <c r="Q10" i="74" s="1"/>
  <c r="L10" i="74"/>
  <c r="M10" i="74" s="1"/>
  <c r="H10" i="74"/>
  <c r="I10" i="74" s="1"/>
  <c r="E10" i="74"/>
  <c r="U9" i="74"/>
  <c r="P9" i="74"/>
  <c r="Q9" i="74" s="1"/>
  <c r="L9" i="74"/>
  <c r="M9" i="74" s="1"/>
  <c r="H9" i="74"/>
  <c r="I9" i="74" s="1"/>
  <c r="D9" i="74"/>
  <c r="E9" i="74" s="1"/>
  <c r="U8" i="74"/>
  <c r="P8" i="74"/>
  <c r="L8" i="74"/>
  <c r="M8" i="74" s="1"/>
  <c r="H8" i="74"/>
  <c r="D8" i="74"/>
  <c r="E8" i="74" s="1"/>
  <c r="P40" i="74" l="1"/>
  <c r="F45" i="74" s="1"/>
  <c r="H40" i="74"/>
  <c r="L40" i="74"/>
  <c r="I8" i="74"/>
  <c r="I40" i="74" s="1"/>
  <c r="M40" i="74"/>
  <c r="U40" i="74"/>
  <c r="E40" i="74"/>
  <c r="D40" i="74"/>
  <c r="T40" i="74"/>
  <c r="Q8" i="74"/>
  <c r="Q40" i="74" s="1"/>
  <c r="J45" i="74" s="1"/>
  <c r="F44" i="74" l="1"/>
  <c r="J44" i="74"/>
  <c r="U38" i="5" l="1"/>
  <c r="T38" i="5"/>
  <c r="Q38" i="5"/>
  <c r="P38" i="5"/>
  <c r="L38" i="5"/>
  <c r="M38" i="5" s="1"/>
  <c r="H38" i="5"/>
  <c r="I38" i="5" s="1"/>
  <c r="E38" i="5"/>
  <c r="D38" i="5"/>
  <c r="T37" i="5"/>
  <c r="U37" i="5" s="1"/>
  <c r="P37" i="5"/>
  <c r="Q37" i="5" s="1"/>
  <c r="L37" i="5"/>
  <c r="M37" i="5" s="1"/>
  <c r="I37" i="5"/>
  <c r="H37" i="5"/>
  <c r="E37" i="5"/>
  <c r="D37" i="5"/>
  <c r="T36" i="5"/>
  <c r="U36" i="5" s="1"/>
  <c r="P36" i="5"/>
  <c r="Q36" i="5" s="1"/>
  <c r="M36" i="5"/>
  <c r="L36" i="5"/>
  <c r="I36" i="5"/>
  <c r="H36" i="5"/>
  <c r="D36" i="5"/>
  <c r="E36" i="5" s="1"/>
  <c r="T35" i="5"/>
  <c r="U35" i="5" s="1"/>
  <c r="Q35" i="5"/>
  <c r="P35" i="5"/>
  <c r="M35" i="5"/>
  <c r="L35" i="5"/>
  <c r="H35" i="5"/>
  <c r="I35" i="5" s="1"/>
  <c r="D35" i="5"/>
  <c r="E35" i="5" s="1"/>
  <c r="U34" i="5"/>
  <c r="T34" i="5"/>
  <c r="P34" i="5"/>
  <c r="Q34" i="5" s="1"/>
  <c r="L34" i="5"/>
  <c r="M34" i="5" s="1"/>
  <c r="H34" i="5"/>
  <c r="I34" i="5" s="1"/>
  <c r="E34" i="5"/>
  <c r="D34" i="5"/>
  <c r="U33" i="5"/>
  <c r="T33" i="5"/>
  <c r="P33" i="5"/>
  <c r="Q33" i="5" s="1"/>
  <c r="L33" i="5"/>
  <c r="M33" i="5" s="1"/>
  <c r="I33" i="5"/>
  <c r="H33" i="5"/>
  <c r="E33" i="5"/>
  <c r="D33" i="5"/>
  <c r="T32" i="5"/>
  <c r="U32" i="5" s="1"/>
  <c r="P32" i="5"/>
  <c r="Q32" i="5" s="1"/>
  <c r="M32" i="5"/>
  <c r="L32" i="5"/>
  <c r="I32" i="5"/>
  <c r="H32" i="5"/>
  <c r="D32" i="5"/>
  <c r="E32" i="5" s="1"/>
  <c r="T31" i="5"/>
  <c r="U31" i="5" s="1"/>
  <c r="Q31" i="5"/>
  <c r="P31" i="5"/>
  <c r="L31" i="5"/>
  <c r="M31" i="5" s="1"/>
  <c r="H31" i="5"/>
  <c r="I31" i="5" s="1"/>
  <c r="D31" i="5"/>
  <c r="E31" i="5" s="1"/>
  <c r="U30" i="5"/>
  <c r="T30" i="5"/>
  <c r="Q30" i="5"/>
  <c r="P30" i="5"/>
  <c r="L30" i="5"/>
  <c r="M30" i="5" s="1"/>
  <c r="H30" i="5"/>
  <c r="I30" i="5" s="1"/>
  <c r="E30" i="5"/>
  <c r="D30" i="5"/>
  <c r="U29" i="5"/>
  <c r="T29" i="5"/>
  <c r="P29" i="5"/>
  <c r="Q29" i="5" s="1"/>
  <c r="L29" i="5"/>
  <c r="M29" i="5" s="1"/>
  <c r="I29" i="5"/>
  <c r="H29" i="5"/>
  <c r="E29" i="5"/>
  <c r="D29" i="5"/>
  <c r="T28" i="5"/>
  <c r="U28" i="5" s="1"/>
  <c r="P28" i="5"/>
  <c r="Q28" i="5" s="1"/>
  <c r="M28" i="5"/>
  <c r="L28" i="5"/>
  <c r="H28" i="5"/>
  <c r="I28" i="5" s="1"/>
  <c r="D28" i="5"/>
  <c r="E28" i="5" s="1"/>
  <c r="T27" i="5"/>
  <c r="U27" i="5" s="1"/>
  <c r="Q27" i="5"/>
  <c r="P27" i="5"/>
  <c r="M27" i="5"/>
  <c r="L27" i="5"/>
  <c r="H27" i="5"/>
  <c r="I27" i="5" s="1"/>
  <c r="D27" i="5"/>
  <c r="E27" i="5" s="1"/>
  <c r="U26" i="5"/>
  <c r="T26" i="5"/>
  <c r="Q26" i="5"/>
  <c r="P26" i="5"/>
  <c r="L26" i="5"/>
  <c r="M26" i="5" s="1"/>
  <c r="H26" i="5"/>
  <c r="I26" i="5" s="1"/>
  <c r="E26" i="5"/>
  <c r="D26" i="5"/>
  <c r="U25" i="5"/>
  <c r="T25" i="5"/>
  <c r="P25" i="5"/>
  <c r="Q25" i="5" s="1"/>
  <c r="L25" i="5"/>
  <c r="M25" i="5" s="1"/>
  <c r="I25" i="5"/>
  <c r="H25" i="5"/>
  <c r="D25" i="5"/>
  <c r="E25" i="5" s="1"/>
  <c r="T24" i="5"/>
  <c r="U24" i="5" s="1"/>
  <c r="P24" i="5"/>
  <c r="Q24" i="5" s="1"/>
  <c r="M24" i="5"/>
  <c r="L24" i="5"/>
  <c r="I24" i="5"/>
  <c r="H24" i="5"/>
  <c r="D24" i="5"/>
  <c r="E24" i="5" s="1"/>
  <c r="T23" i="5"/>
  <c r="U23" i="5" s="1"/>
  <c r="Q23" i="5"/>
  <c r="P23" i="5"/>
  <c r="M23" i="5"/>
  <c r="L23" i="5"/>
  <c r="H23" i="5"/>
  <c r="I23" i="5" s="1"/>
  <c r="D23" i="5"/>
  <c r="E23" i="5" s="1"/>
  <c r="U22" i="5"/>
  <c r="T22" i="5"/>
  <c r="Q22" i="5"/>
  <c r="P22" i="5"/>
  <c r="L22" i="5"/>
  <c r="M22" i="5" s="1"/>
  <c r="H22" i="5"/>
  <c r="I22" i="5" s="1"/>
  <c r="E22" i="5"/>
  <c r="D22" i="5"/>
  <c r="T21" i="5"/>
  <c r="U21" i="5" s="1"/>
  <c r="P21" i="5"/>
  <c r="Q21" i="5" s="1"/>
  <c r="L21" i="5"/>
  <c r="M21" i="5" s="1"/>
  <c r="I21" i="5"/>
  <c r="H21" i="5"/>
  <c r="E21" i="5"/>
  <c r="D21" i="5"/>
  <c r="T20" i="5"/>
  <c r="U20" i="5" s="1"/>
  <c r="P20" i="5"/>
  <c r="Q20" i="5" s="1"/>
  <c r="M20" i="5"/>
  <c r="L20" i="5"/>
  <c r="I20" i="5"/>
  <c r="H20" i="5"/>
  <c r="D20" i="5"/>
  <c r="E20" i="5" s="1"/>
  <c r="T19" i="5"/>
  <c r="U19" i="5" s="1"/>
  <c r="P19" i="5"/>
  <c r="Q19" i="5" s="1"/>
  <c r="M19" i="5"/>
  <c r="L19" i="5"/>
  <c r="H19" i="5"/>
  <c r="I19" i="5" s="1"/>
  <c r="D19" i="5"/>
  <c r="E19" i="5" s="1"/>
  <c r="U18" i="5"/>
  <c r="T18" i="5"/>
  <c r="P18" i="5"/>
  <c r="Q18" i="5" s="1"/>
  <c r="M18" i="5"/>
  <c r="L18" i="5"/>
  <c r="I18" i="5"/>
  <c r="H18" i="5"/>
  <c r="E18" i="5"/>
  <c r="D18" i="5"/>
  <c r="T17" i="5"/>
  <c r="U17" i="5" s="1"/>
  <c r="Q17" i="5"/>
  <c r="P17" i="5"/>
  <c r="M17" i="5"/>
  <c r="L17" i="5"/>
  <c r="I17" i="5"/>
  <c r="H17" i="5"/>
  <c r="D17" i="5"/>
  <c r="E17" i="5" s="1"/>
  <c r="U16" i="5"/>
  <c r="T16" i="5"/>
  <c r="Q16" i="5"/>
  <c r="P16" i="5"/>
  <c r="M16" i="5"/>
  <c r="L16" i="5"/>
  <c r="H16" i="5"/>
  <c r="I16" i="5" s="1"/>
  <c r="E16" i="5"/>
  <c r="D16" i="5"/>
  <c r="T15" i="5"/>
  <c r="U15" i="5" s="1"/>
  <c r="Q15" i="5"/>
  <c r="P15" i="5"/>
  <c r="L15" i="5"/>
  <c r="M15" i="5" s="1"/>
  <c r="I15" i="5"/>
  <c r="H15" i="5"/>
  <c r="D15" i="5"/>
  <c r="E15" i="5" s="1"/>
  <c r="U14" i="5"/>
  <c r="T14" i="5"/>
  <c r="P14" i="5"/>
  <c r="Q14" i="5" s="1"/>
  <c r="M14" i="5"/>
  <c r="L14" i="5"/>
  <c r="H14" i="5"/>
  <c r="I14" i="5" s="1"/>
  <c r="E14" i="5"/>
  <c r="D14" i="5"/>
  <c r="T13" i="5"/>
  <c r="U13" i="5" s="1"/>
  <c r="Q13" i="5"/>
  <c r="P13" i="5"/>
  <c r="L13" i="5"/>
  <c r="M13" i="5" s="1"/>
  <c r="I13" i="5"/>
  <c r="H13" i="5"/>
  <c r="D13" i="5"/>
  <c r="E13" i="5" s="1"/>
  <c r="U12" i="5"/>
  <c r="T12" i="5"/>
  <c r="P12" i="5"/>
  <c r="Q12" i="5" s="1"/>
  <c r="M12" i="5"/>
  <c r="L12" i="5"/>
  <c r="H12" i="5"/>
  <c r="I12" i="5" s="1"/>
  <c r="E12" i="5"/>
  <c r="D12" i="5"/>
  <c r="T11" i="5"/>
  <c r="U11" i="5" s="1"/>
  <c r="Q11" i="5"/>
  <c r="P11" i="5"/>
  <c r="L11" i="5"/>
  <c r="M11" i="5" s="1"/>
  <c r="I11" i="5"/>
  <c r="H11" i="5"/>
  <c r="D11" i="5"/>
  <c r="E11" i="5" s="1"/>
  <c r="U10" i="5"/>
  <c r="T10" i="5"/>
  <c r="P10" i="5"/>
  <c r="Q10" i="5" s="1"/>
  <c r="M10" i="5"/>
  <c r="L10" i="5"/>
  <c r="H10" i="5"/>
  <c r="I10" i="5" s="1"/>
  <c r="E10" i="5"/>
  <c r="D10" i="5"/>
  <c r="T9" i="5"/>
  <c r="U9" i="5" s="1"/>
  <c r="Q9" i="5"/>
  <c r="P9" i="5"/>
  <c r="L9" i="5"/>
  <c r="M9" i="5" s="1"/>
  <c r="I9" i="5"/>
  <c r="H9" i="5"/>
  <c r="D9" i="5"/>
  <c r="E9" i="5" s="1"/>
  <c r="U8" i="5"/>
  <c r="T8" i="5"/>
  <c r="P8" i="5"/>
  <c r="Q8" i="5" s="1"/>
  <c r="Q39" i="5" s="1"/>
  <c r="J44" i="5" s="1"/>
  <c r="M8" i="5"/>
  <c r="L8" i="5"/>
  <c r="L39" i="5" s="1"/>
  <c r="H8" i="5"/>
  <c r="H39" i="5" s="1"/>
  <c r="E8" i="5"/>
  <c r="D8" i="5"/>
  <c r="M39" i="5" l="1"/>
  <c r="I8" i="5"/>
  <c r="I39" i="5" s="1"/>
  <c r="P39" i="5"/>
  <c r="F44" i="5" s="1"/>
  <c r="D39" i="5"/>
  <c r="F43" i="5" s="1"/>
  <c r="T39" i="5"/>
  <c r="F45" i="5" s="1"/>
  <c r="E39" i="5"/>
  <c r="J43" i="5" s="1"/>
  <c r="U39" i="5"/>
  <c r="J45" i="5" s="1"/>
</calcChain>
</file>

<file path=xl/sharedStrings.xml><?xml version="1.0" encoding="utf-8"?>
<sst xmlns="http://schemas.openxmlformats.org/spreadsheetml/2006/main" count="81" uniqueCount="32">
  <si>
    <t>UTILITIES CONSUMPTION ( H.L.P)</t>
  </si>
  <si>
    <t>OCTOBER 2016</t>
  </si>
  <si>
    <t>ELECTRICITY COST / KWH</t>
  </si>
  <si>
    <t>WATER COST / M3</t>
  </si>
  <si>
    <t>LPG COST / LTR</t>
  </si>
  <si>
    <t>ELECTRIC METER 1</t>
  </si>
  <si>
    <t>ELCETRIC METER 2</t>
  </si>
  <si>
    <t>ELCETRIC METER 3</t>
  </si>
  <si>
    <t>WATER</t>
  </si>
  <si>
    <t>LPG</t>
  </si>
  <si>
    <t>DATE</t>
  </si>
  <si>
    <t>PREVIOUS</t>
  </si>
  <si>
    <t>PRESENT</t>
  </si>
  <si>
    <t>CONSP</t>
  </si>
  <si>
    <t>QAR</t>
  </si>
  <si>
    <t xml:space="preserve"> </t>
  </si>
  <si>
    <t>TOTAL</t>
  </si>
  <si>
    <t>TOTAL CONSUMPTION</t>
  </si>
  <si>
    <t>TOTAL QAR</t>
  </si>
  <si>
    <t xml:space="preserve">TOTAL ELECTRICITY (KWH) </t>
  </si>
  <si>
    <t>TOTAL WATER M3</t>
  </si>
  <si>
    <t>TOTAL LPG ( LTR)</t>
  </si>
  <si>
    <t>.</t>
  </si>
  <si>
    <t xml:space="preserve">ELECTRIC METER 1 </t>
  </si>
  <si>
    <t xml:space="preserve">ELCETRIC METER 2  </t>
  </si>
  <si>
    <t xml:space="preserve">ELCETRIC METER 3 </t>
  </si>
  <si>
    <t xml:space="preserve">WATER  </t>
  </si>
  <si>
    <t>#</t>
  </si>
  <si>
    <t>ACTUAL STOCK</t>
  </si>
  <si>
    <t>PURCHASE</t>
  </si>
  <si>
    <t>LAST MONTH STOCK</t>
  </si>
  <si>
    <t>January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</si>
</sst>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7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rgb="FFFFFF00"/>
      <name val="Verdana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25">
    <border>
      <left/>
      <right/>
      <top/>
      <bottom/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 style="medium">
        <color auto="1"/>
      </left>
      <right style="hair">
        <color rgb="FF92D050"/>
      </right>
      <top style="medium">
        <color auto="1"/>
      </top>
      <bottom style="hair">
        <color rgb="FF92D050"/>
      </bottom>
      <diagonal/>
    </border>
    <border>
      <left style="hair">
        <color rgb="FF92D050"/>
      </left>
      <right style="hair">
        <color rgb="FF92D050"/>
      </right>
      <top style="medium">
        <color auto="1"/>
      </top>
      <bottom style="hair">
        <color rgb="FF92D050"/>
      </bottom>
      <diagonal/>
    </border>
    <border>
      <left style="hair">
        <color rgb="FF92D050"/>
      </left>
      <right style="medium">
        <color auto="1"/>
      </right>
      <top style="medium">
        <color auto="1"/>
      </top>
      <bottom style="hair">
        <color rgb="FF92D050"/>
      </bottom>
      <diagonal/>
    </border>
    <border>
      <left style="medium">
        <color auto="1"/>
      </left>
      <right style="hair">
        <color rgb="FF92D050"/>
      </right>
      <top style="hair">
        <color rgb="FF92D050"/>
      </top>
      <bottom style="medium">
        <color auto="1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medium">
        <color auto="1"/>
      </bottom>
      <diagonal/>
    </border>
    <border>
      <left style="hair">
        <color rgb="FF92D050"/>
      </left>
      <right style="medium">
        <color auto="1"/>
      </right>
      <top style="hair">
        <color rgb="FF92D050"/>
      </top>
      <bottom style="medium">
        <color auto="1"/>
      </bottom>
      <diagonal/>
    </border>
    <border>
      <left style="medium">
        <color auto="1"/>
      </left>
      <right style="hair">
        <color rgb="FF92D050"/>
      </right>
      <top/>
      <bottom style="hair">
        <color rgb="FF92D050"/>
      </bottom>
      <diagonal/>
    </border>
    <border>
      <left style="hair">
        <color rgb="FF92D050"/>
      </left>
      <right style="hair">
        <color rgb="FF92D050"/>
      </right>
      <top/>
      <bottom style="hair">
        <color rgb="FF92D050"/>
      </bottom>
      <diagonal/>
    </border>
    <border>
      <left style="hair">
        <color rgb="FF92D050"/>
      </left>
      <right style="medium">
        <color auto="1"/>
      </right>
      <top/>
      <bottom style="hair">
        <color rgb="FF92D050"/>
      </bottom>
      <diagonal/>
    </border>
    <border>
      <left style="medium">
        <color auto="1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 style="medium">
        <color auto="1"/>
      </left>
      <right/>
      <top style="hair">
        <color rgb="FF92D050"/>
      </top>
      <bottom style="medium">
        <color auto="1"/>
      </bottom>
      <diagonal/>
    </border>
    <border>
      <left/>
      <right/>
      <top style="hair">
        <color rgb="FF92D05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rgb="FF92D050"/>
      </left>
      <right/>
      <top style="hair">
        <color rgb="FF92D050"/>
      </top>
      <bottom style="hair">
        <color rgb="FF92D050"/>
      </bottom>
      <diagonal/>
    </border>
    <border>
      <left/>
      <right/>
      <top style="hair">
        <color rgb="FF92D050"/>
      </top>
      <bottom style="hair">
        <color rgb="FF92D050"/>
      </bottom>
      <diagonal/>
    </border>
    <border>
      <left/>
      <right style="hair">
        <color rgb="FF92D050"/>
      </right>
      <top style="hair">
        <color rgb="FF92D050"/>
      </top>
      <bottom style="hair">
        <color rgb="FF92D050"/>
      </bottom>
      <diagonal/>
    </border>
    <border>
      <left/>
      <right style="hair">
        <color rgb="FF92D050"/>
      </right>
      <top style="medium">
        <color auto="1"/>
      </top>
      <bottom style="hair">
        <color rgb="FF92D050"/>
      </bottom>
      <diagonal/>
    </border>
    <border>
      <left/>
      <right style="hair">
        <color rgb="FF92D050"/>
      </right>
      <top style="hair">
        <color rgb="FF92D050"/>
      </top>
      <bottom style="medium">
        <color auto="1"/>
      </bottom>
      <diagonal/>
    </border>
    <border>
      <left style="hair">
        <color rgb="FF92D050"/>
      </left>
      <right style="medium">
        <color auto="1"/>
      </right>
      <top style="hair">
        <color rgb="FF92D050"/>
      </top>
      <bottom style="hair">
        <color rgb="FF92D050"/>
      </bottom>
      <diagonal/>
    </border>
    <border>
      <left/>
      <right/>
      <top style="hair">
        <color rgb="FF92D050"/>
      </top>
      <bottom/>
      <diagonal/>
    </border>
    <border>
      <left style="hair">
        <color rgb="FF92D050"/>
      </left>
      <right style="hair">
        <color rgb="FF92D050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43" fontId="4" fillId="4" borderId="10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43" fontId="7" fillId="5" borderId="14" xfId="0" applyNumberFormat="1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43" fontId="7" fillId="5" borderId="16" xfId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43" fontId="4" fillId="4" borderId="22" xfId="1" applyFont="1" applyFill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3" fontId="7" fillId="5" borderId="0" xfId="1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3" fontId="7" fillId="5" borderId="14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NumberFormat="1" applyFont="1" applyBorder="1" applyAlignment="1">
      <alignment horizontal="center" vertical="center"/>
    </xf>
    <xf numFmtId="0" fontId="4" fillId="0" borderId="18" xfId="0" applyNumberFormat="1" applyFont="1" applyBorder="1" applyAlignment="1">
      <alignment horizontal="center" vertical="center"/>
    </xf>
    <xf numFmtId="0" fontId="4" fillId="0" borderId="19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45"/>
  <sheetViews>
    <sheetView showGridLines="0" zoomScale="86" zoomScaleNormal="86" workbookViewId="0">
      <selection activeCell="S22" sqref="S22"/>
    </sheetView>
  </sheetViews>
  <sheetFormatPr defaultColWidth="9.140625" defaultRowHeight="12"/>
  <cols>
    <col min="1" max="8" width="9.140625" style="4"/>
    <col min="9" max="9" width="12.5703125" style="4" customWidth="1"/>
    <col min="10" max="10" width="9.140625" style="4"/>
    <col min="11" max="11" width="10.42578125" style="4" customWidth="1"/>
    <col min="12" max="12" width="9.140625" style="4"/>
    <col min="13" max="13" width="10.85546875" style="4" customWidth="1"/>
    <col min="14" max="16" width="9.140625" style="4"/>
    <col min="17" max="17" width="11.5703125" style="4" customWidth="1"/>
    <col min="18" max="19" width="9.140625" style="4"/>
    <col min="20" max="20" width="10.42578125" style="4" customWidth="1"/>
    <col min="21" max="16384" width="9.140625" style="4"/>
  </cols>
  <sheetData>
    <row r="1" spans="1:21" s="1" customFormat="1" ht="1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s="1" customFormat="1" ht="1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4" spans="1:21" ht="19.5" customHeight="1">
      <c r="A4" s="40" t="s">
        <v>2</v>
      </c>
      <c r="B4" s="40"/>
      <c r="C4" s="40"/>
      <c r="D4" s="40"/>
      <c r="E4" s="41">
        <v>0.14000000000000001</v>
      </c>
      <c r="F4" s="41"/>
      <c r="I4" s="40" t="s">
        <v>3</v>
      </c>
      <c r="J4" s="40"/>
      <c r="K4" s="40"/>
      <c r="L4" s="41">
        <v>5.8</v>
      </c>
      <c r="M4" s="41"/>
      <c r="Q4" s="40" t="s">
        <v>4</v>
      </c>
      <c r="R4" s="40"/>
      <c r="S4" s="40"/>
      <c r="T4" s="41">
        <v>0.78</v>
      </c>
      <c r="U4" s="41"/>
    </row>
    <row r="6" spans="1:21" s="2" customFormat="1" ht="26.25" customHeight="1">
      <c r="A6" s="42" t="s">
        <v>5</v>
      </c>
      <c r="B6" s="42"/>
      <c r="C6" s="42"/>
      <c r="D6" s="42"/>
      <c r="E6" s="42"/>
      <c r="F6" s="42" t="s">
        <v>6</v>
      </c>
      <c r="G6" s="42"/>
      <c r="H6" s="42"/>
      <c r="I6" s="42"/>
      <c r="J6" s="42" t="s">
        <v>7</v>
      </c>
      <c r="K6" s="42"/>
      <c r="L6" s="42"/>
      <c r="M6" s="42"/>
      <c r="N6" s="43" t="s">
        <v>8</v>
      </c>
      <c r="O6" s="43"/>
      <c r="P6" s="43"/>
      <c r="Q6" s="43"/>
      <c r="R6" s="44" t="s">
        <v>9</v>
      </c>
      <c r="S6" s="44"/>
      <c r="T6" s="44"/>
      <c r="U6" s="44"/>
    </row>
    <row r="7" spans="1:21" s="2" customFormat="1" ht="26.25" customHeight="1">
      <c r="A7" s="28" t="s">
        <v>10</v>
      </c>
      <c r="B7" s="28" t="s">
        <v>11</v>
      </c>
      <c r="C7" s="28" t="s">
        <v>12</v>
      </c>
      <c r="D7" s="28" t="s">
        <v>13</v>
      </c>
      <c r="E7" s="28" t="s">
        <v>14</v>
      </c>
      <c r="F7" s="28" t="s">
        <v>11</v>
      </c>
      <c r="G7" s="28" t="s">
        <v>12</v>
      </c>
      <c r="H7" s="28" t="s">
        <v>13</v>
      </c>
      <c r="I7" s="28" t="s">
        <v>14</v>
      </c>
      <c r="J7" s="28" t="s">
        <v>11</v>
      </c>
      <c r="K7" s="28" t="s">
        <v>12</v>
      </c>
      <c r="L7" s="28" t="s">
        <v>13</v>
      </c>
      <c r="M7" s="28" t="s">
        <v>14</v>
      </c>
      <c r="N7" s="31" t="s">
        <v>11</v>
      </c>
      <c r="O7" s="31" t="s">
        <v>12</v>
      </c>
      <c r="P7" s="31" t="s">
        <v>13</v>
      </c>
      <c r="Q7" s="31" t="s">
        <v>14</v>
      </c>
      <c r="R7" s="32" t="s">
        <v>11</v>
      </c>
      <c r="S7" s="32" t="s">
        <v>12</v>
      </c>
      <c r="T7" s="32" t="s">
        <v>13</v>
      </c>
      <c r="U7" s="32" t="s">
        <v>14</v>
      </c>
    </row>
    <row r="8" spans="1:21" ht="20.25" customHeight="1">
      <c r="A8" s="10">
        <v>1</v>
      </c>
      <c r="B8" s="13">
        <v>23100</v>
      </c>
      <c r="C8" s="13">
        <v>23180</v>
      </c>
      <c r="D8" s="13">
        <f>C8-B8</f>
        <v>80</v>
      </c>
      <c r="E8" s="5">
        <f t="shared" ref="E8:E38" si="0">D8*$E$4</f>
        <v>11.200000000000001</v>
      </c>
      <c r="F8" s="13">
        <v>1358900</v>
      </c>
      <c r="G8" s="13">
        <v>1363730</v>
      </c>
      <c r="H8" s="13">
        <f>G8-F8</f>
        <v>4830</v>
      </c>
      <c r="I8" s="5">
        <f>H8*$E$4</f>
        <v>676.2</v>
      </c>
      <c r="J8" s="13">
        <v>523920</v>
      </c>
      <c r="K8" s="13">
        <v>526650</v>
      </c>
      <c r="L8" s="13">
        <f>K8-J8</f>
        <v>2730</v>
      </c>
      <c r="M8" s="5">
        <f>L8*$E$4</f>
        <v>382.20000000000005</v>
      </c>
      <c r="N8" s="13">
        <v>6113</v>
      </c>
      <c r="O8" s="13">
        <v>6148</v>
      </c>
      <c r="P8" s="13">
        <f>O8-N8</f>
        <v>35</v>
      </c>
      <c r="Q8" s="5">
        <f>P8*$L$4</f>
        <v>203</v>
      </c>
      <c r="R8" s="13">
        <v>49</v>
      </c>
      <c r="S8" s="13">
        <v>45</v>
      </c>
      <c r="T8" s="13">
        <f>(R8-S8)*40</f>
        <v>160</v>
      </c>
      <c r="U8" s="5">
        <f>T8*$T$4</f>
        <v>124.80000000000001</v>
      </c>
    </row>
    <row r="9" spans="1:21" ht="20.25" customHeight="1">
      <c r="A9" s="10">
        <v>2</v>
      </c>
      <c r="B9" s="13">
        <v>23180</v>
      </c>
      <c r="C9" s="13">
        <v>23260</v>
      </c>
      <c r="D9" s="13">
        <f t="shared" ref="D9:D38" si="1">C9-B9</f>
        <v>80</v>
      </c>
      <c r="E9" s="5">
        <f t="shared" si="0"/>
        <v>11.200000000000001</v>
      </c>
      <c r="F9" s="13">
        <v>1363730</v>
      </c>
      <c r="G9" s="13">
        <v>1368460</v>
      </c>
      <c r="H9" s="13">
        <f t="shared" ref="H9:H38" si="2">G9-F9</f>
        <v>4730</v>
      </c>
      <c r="I9" s="5">
        <f t="shared" ref="I9:I38" si="3">H9*$E$4</f>
        <v>662.2</v>
      </c>
      <c r="J9" s="13">
        <v>526650</v>
      </c>
      <c r="K9" s="13">
        <v>529330</v>
      </c>
      <c r="L9" s="13">
        <f t="shared" ref="L9:L38" si="4">K9-J9</f>
        <v>2680</v>
      </c>
      <c r="M9" s="5">
        <f t="shared" ref="M9:M38" si="5">L9*$E$4</f>
        <v>375.20000000000005</v>
      </c>
      <c r="N9" s="13">
        <v>6148</v>
      </c>
      <c r="O9" s="13">
        <v>6184</v>
      </c>
      <c r="P9" s="13">
        <f t="shared" ref="P9:P38" si="6">O9-N9</f>
        <v>36</v>
      </c>
      <c r="Q9" s="5">
        <f t="shared" ref="Q9:Q38" si="7">P9*$L$4</f>
        <v>208.79999999999998</v>
      </c>
      <c r="R9" s="13">
        <v>45</v>
      </c>
      <c r="S9" s="13">
        <v>40</v>
      </c>
      <c r="T9" s="13">
        <f>(S9-R9)*23</f>
        <v>-115</v>
      </c>
      <c r="U9" s="5">
        <f t="shared" ref="U9:U38" si="8">T9*$T$4</f>
        <v>-89.7</v>
      </c>
    </row>
    <row r="10" spans="1:21" ht="20.25" customHeight="1">
      <c r="A10" s="10">
        <v>3</v>
      </c>
      <c r="B10" s="13">
        <v>23260</v>
      </c>
      <c r="C10" s="13">
        <v>23340</v>
      </c>
      <c r="D10" s="13">
        <f t="shared" si="1"/>
        <v>80</v>
      </c>
      <c r="E10" s="5">
        <f t="shared" si="0"/>
        <v>11.200000000000001</v>
      </c>
      <c r="F10" s="13">
        <v>1368460</v>
      </c>
      <c r="G10" s="13">
        <v>1372520</v>
      </c>
      <c r="H10" s="13">
        <f t="shared" si="2"/>
        <v>4060</v>
      </c>
      <c r="I10" s="5">
        <f t="shared" si="3"/>
        <v>568.40000000000009</v>
      </c>
      <c r="J10" s="13">
        <v>529330</v>
      </c>
      <c r="K10" s="13">
        <v>532290</v>
      </c>
      <c r="L10" s="13">
        <f t="shared" si="4"/>
        <v>2960</v>
      </c>
      <c r="M10" s="5">
        <f t="shared" si="5"/>
        <v>414.40000000000003</v>
      </c>
      <c r="N10" s="13">
        <v>6184</v>
      </c>
      <c r="O10" s="13">
        <v>6221</v>
      </c>
      <c r="P10" s="13">
        <f t="shared" si="6"/>
        <v>37</v>
      </c>
      <c r="Q10" s="5">
        <f t="shared" si="7"/>
        <v>214.6</v>
      </c>
      <c r="R10" s="13">
        <v>40</v>
      </c>
      <c r="S10" s="13">
        <v>37</v>
      </c>
      <c r="T10" s="13">
        <f t="shared" ref="T10:T38" si="9">(S10-R10)*23</f>
        <v>-69</v>
      </c>
      <c r="U10" s="5">
        <f t="shared" si="8"/>
        <v>-53.82</v>
      </c>
    </row>
    <row r="11" spans="1:21" ht="20.25" customHeight="1">
      <c r="A11" s="10">
        <v>4</v>
      </c>
      <c r="B11" s="13">
        <v>23340</v>
      </c>
      <c r="C11" s="13">
        <v>23430</v>
      </c>
      <c r="D11" s="13">
        <f t="shared" si="1"/>
        <v>90</v>
      </c>
      <c r="E11" s="5">
        <f t="shared" si="0"/>
        <v>12.600000000000001</v>
      </c>
      <c r="F11" s="13">
        <v>1372520</v>
      </c>
      <c r="G11" s="13">
        <v>1377320</v>
      </c>
      <c r="H11" s="13">
        <f t="shared" si="2"/>
        <v>4800</v>
      </c>
      <c r="I11" s="5">
        <f t="shared" si="3"/>
        <v>672.00000000000011</v>
      </c>
      <c r="J11" s="13">
        <v>532290</v>
      </c>
      <c r="K11" s="13">
        <v>535110</v>
      </c>
      <c r="L11" s="13">
        <f t="shared" si="4"/>
        <v>2820</v>
      </c>
      <c r="M11" s="5">
        <f t="shared" si="5"/>
        <v>394.8</v>
      </c>
      <c r="N11" s="13">
        <v>6221</v>
      </c>
      <c r="O11" s="13">
        <v>6258</v>
      </c>
      <c r="P11" s="13">
        <f t="shared" si="6"/>
        <v>37</v>
      </c>
      <c r="Q11" s="5">
        <f t="shared" si="7"/>
        <v>214.6</v>
      </c>
      <c r="R11" s="13">
        <v>37</v>
      </c>
      <c r="S11" s="13">
        <v>32</v>
      </c>
      <c r="T11" s="13">
        <f t="shared" si="9"/>
        <v>-115</v>
      </c>
      <c r="U11" s="5">
        <f t="shared" si="8"/>
        <v>-89.7</v>
      </c>
    </row>
    <row r="12" spans="1:21" ht="20.25" customHeight="1">
      <c r="A12" s="10">
        <v>5</v>
      </c>
      <c r="B12" s="13">
        <v>23430</v>
      </c>
      <c r="C12" s="13">
        <v>23510</v>
      </c>
      <c r="D12" s="13">
        <f t="shared" si="1"/>
        <v>80</v>
      </c>
      <c r="E12" s="5">
        <f t="shared" si="0"/>
        <v>11.200000000000001</v>
      </c>
      <c r="F12" s="13">
        <v>1377320</v>
      </c>
      <c r="G12" s="13">
        <v>1381980</v>
      </c>
      <c r="H12" s="13">
        <f t="shared" si="2"/>
        <v>4660</v>
      </c>
      <c r="I12" s="5">
        <f t="shared" si="3"/>
        <v>652.40000000000009</v>
      </c>
      <c r="J12" s="13">
        <v>535110</v>
      </c>
      <c r="K12" s="13">
        <v>537880</v>
      </c>
      <c r="L12" s="13">
        <f t="shared" si="4"/>
        <v>2770</v>
      </c>
      <c r="M12" s="5">
        <f t="shared" si="5"/>
        <v>387.8</v>
      </c>
      <c r="N12" s="13">
        <v>6258</v>
      </c>
      <c r="O12" s="13">
        <v>6295</v>
      </c>
      <c r="P12" s="13">
        <f t="shared" si="6"/>
        <v>37</v>
      </c>
      <c r="Q12" s="5">
        <f t="shared" si="7"/>
        <v>214.6</v>
      </c>
      <c r="R12" s="13">
        <v>32</v>
      </c>
      <c r="S12" s="13">
        <v>30</v>
      </c>
      <c r="T12" s="13">
        <f t="shared" si="9"/>
        <v>-46</v>
      </c>
      <c r="U12" s="5">
        <f t="shared" si="8"/>
        <v>-35.880000000000003</v>
      </c>
    </row>
    <row r="13" spans="1:21" ht="20.25" customHeight="1">
      <c r="A13" s="10">
        <v>6</v>
      </c>
      <c r="B13" s="13">
        <v>23510</v>
      </c>
      <c r="C13" s="13">
        <v>23590</v>
      </c>
      <c r="D13" s="13">
        <f t="shared" si="1"/>
        <v>80</v>
      </c>
      <c r="E13" s="5">
        <f t="shared" si="0"/>
        <v>11.200000000000001</v>
      </c>
      <c r="F13" s="13">
        <v>1381980</v>
      </c>
      <c r="G13" s="13">
        <v>1386700</v>
      </c>
      <c r="H13" s="13">
        <f t="shared" si="2"/>
        <v>4720</v>
      </c>
      <c r="I13" s="5">
        <f t="shared" si="3"/>
        <v>660.80000000000007</v>
      </c>
      <c r="J13" s="13">
        <v>537880</v>
      </c>
      <c r="K13" s="13">
        <v>540680</v>
      </c>
      <c r="L13" s="13">
        <f t="shared" si="4"/>
        <v>2800</v>
      </c>
      <c r="M13" s="5">
        <f t="shared" si="5"/>
        <v>392.00000000000006</v>
      </c>
      <c r="N13" s="13">
        <v>6295</v>
      </c>
      <c r="O13" s="13">
        <v>6333</v>
      </c>
      <c r="P13" s="13">
        <f t="shared" si="6"/>
        <v>38</v>
      </c>
      <c r="Q13" s="5">
        <f t="shared" si="7"/>
        <v>220.4</v>
      </c>
      <c r="R13" s="13">
        <v>28</v>
      </c>
      <c r="S13" s="13">
        <v>24</v>
      </c>
      <c r="T13" s="13">
        <f t="shared" si="9"/>
        <v>-92</v>
      </c>
      <c r="U13" s="5">
        <f t="shared" si="8"/>
        <v>-71.760000000000005</v>
      </c>
    </row>
    <row r="14" spans="1:21" ht="20.25" customHeight="1">
      <c r="A14" s="10">
        <v>7</v>
      </c>
      <c r="B14" s="13">
        <v>23590</v>
      </c>
      <c r="C14" s="13">
        <v>23670</v>
      </c>
      <c r="D14" s="13">
        <f t="shared" si="1"/>
        <v>80</v>
      </c>
      <c r="E14" s="5">
        <f t="shared" si="0"/>
        <v>11.200000000000001</v>
      </c>
      <c r="F14" s="13">
        <v>1386700</v>
      </c>
      <c r="G14" s="13">
        <v>1391480</v>
      </c>
      <c r="H14" s="13">
        <f t="shared" si="2"/>
        <v>4780</v>
      </c>
      <c r="I14" s="5">
        <f t="shared" si="3"/>
        <v>669.2</v>
      </c>
      <c r="J14" s="13">
        <v>540680</v>
      </c>
      <c r="K14" s="13">
        <v>543490</v>
      </c>
      <c r="L14" s="13">
        <f t="shared" si="4"/>
        <v>2810</v>
      </c>
      <c r="M14" s="5">
        <f t="shared" si="5"/>
        <v>393.40000000000003</v>
      </c>
      <c r="N14" s="13">
        <v>6333</v>
      </c>
      <c r="O14" s="13">
        <v>6370</v>
      </c>
      <c r="P14" s="13">
        <f t="shared" si="6"/>
        <v>37</v>
      </c>
      <c r="Q14" s="5">
        <f t="shared" si="7"/>
        <v>214.6</v>
      </c>
      <c r="R14" s="13">
        <v>74</v>
      </c>
      <c r="S14" s="13">
        <v>73</v>
      </c>
      <c r="T14" s="13">
        <f t="shared" si="9"/>
        <v>-23</v>
      </c>
      <c r="U14" s="5">
        <f t="shared" si="8"/>
        <v>-17.940000000000001</v>
      </c>
    </row>
    <row r="15" spans="1:21" ht="20.25" customHeight="1">
      <c r="A15" s="10">
        <v>8</v>
      </c>
      <c r="B15" s="13">
        <v>23670</v>
      </c>
      <c r="C15" s="13">
        <v>23750</v>
      </c>
      <c r="D15" s="13">
        <f t="shared" si="1"/>
        <v>80</v>
      </c>
      <c r="E15" s="5">
        <f t="shared" si="0"/>
        <v>11.200000000000001</v>
      </c>
      <c r="F15" s="13">
        <v>1391480</v>
      </c>
      <c r="G15" s="13">
        <v>1396130</v>
      </c>
      <c r="H15" s="13">
        <f t="shared" si="2"/>
        <v>4650</v>
      </c>
      <c r="I15" s="5">
        <f t="shared" si="3"/>
        <v>651.00000000000011</v>
      </c>
      <c r="J15" s="13">
        <v>543490</v>
      </c>
      <c r="K15" s="13">
        <v>546160</v>
      </c>
      <c r="L15" s="13">
        <f t="shared" si="4"/>
        <v>2670</v>
      </c>
      <c r="M15" s="5">
        <f t="shared" si="5"/>
        <v>373.8</v>
      </c>
      <c r="N15" s="13">
        <v>6370</v>
      </c>
      <c r="O15" s="13">
        <v>6408</v>
      </c>
      <c r="P15" s="13">
        <f t="shared" si="6"/>
        <v>38</v>
      </c>
      <c r="Q15" s="5">
        <f t="shared" si="7"/>
        <v>220.4</v>
      </c>
      <c r="R15" s="13">
        <v>73</v>
      </c>
      <c r="S15" s="13" t="s">
        <v>15</v>
      </c>
      <c r="T15" s="13" t="e">
        <f t="shared" si="9"/>
        <v>#VALUE!</v>
      </c>
      <c r="U15" s="5" t="e">
        <f t="shared" si="8"/>
        <v>#VALUE!</v>
      </c>
    </row>
    <row r="16" spans="1:21" ht="20.25" customHeight="1">
      <c r="A16" s="10">
        <v>9</v>
      </c>
      <c r="B16" s="13">
        <v>23750</v>
      </c>
      <c r="C16" s="13">
        <v>23830</v>
      </c>
      <c r="D16" s="13">
        <f t="shared" si="1"/>
        <v>80</v>
      </c>
      <c r="E16" s="5">
        <f t="shared" si="0"/>
        <v>11.200000000000001</v>
      </c>
      <c r="F16" s="13">
        <v>1396130</v>
      </c>
      <c r="G16" s="13">
        <v>1400270</v>
      </c>
      <c r="H16" s="13">
        <f t="shared" si="2"/>
        <v>4140</v>
      </c>
      <c r="I16" s="5">
        <f t="shared" si="3"/>
        <v>579.6</v>
      </c>
      <c r="J16" s="13">
        <v>546160</v>
      </c>
      <c r="K16" s="13">
        <v>549010</v>
      </c>
      <c r="L16" s="13">
        <f t="shared" si="4"/>
        <v>2850</v>
      </c>
      <c r="M16" s="5">
        <f t="shared" si="5"/>
        <v>399.00000000000006</v>
      </c>
      <c r="N16" s="13">
        <v>6408</v>
      </c>
      <c r="O16" s="13">
        <v>6444</v>
      </c>
      <c r="P16" s="13">
        <f t="shared" si="6"/>
        <v>36</v>
      </c>
      <c r="Q16" s="5">
        <f t="shared" si="7"/>
        <v>208.79999999999998</v>
      </c>
      <c r="R16" s="13"/>
      <c r="S16" s="13"/>
      <c r="T16" s="13">
        <f t="shared" si="9"/>
        <v>0</v>
      </c>
      <c r="U16" s="5">
        <f t="shared" si="8"/>
        <v>0</v>
      </c>
    </row>
    <row r="17" spans="1:21" ht="20.25" customHeight="1">
      <c r="A17" s="10">
        <v>10</v>
      </c>
      <c r="B17" s="13">
        <v>23830</v>
      </c>
      <c r="C17" s="13">
        <v>23910</v>
      </c>
      <c r="D17" s="13">
        <f t="shared" si="1"/>
        <v>80</v>
      </c>
      <c r="E17" s="5">
        <f t="shared" si="0"/>
        <v>11.200000000000001</v>
      </c>
      <c r="F17" s="13">
        <v>1400270</v>
      </c>
      <c r="G17" s="13">
        <v>1406500</v>
      </c>
      <c r="H17" s="13">
        <f t="shared" si="2"/>
        <v>6230</v>
      </c>
      <c r="I17" s="5">
        <f t="shared" si="3"/>
        <v>872.2</v>
      </c>
      <c r="J17" s="13">
        <v>549010</v>
      </c>
      <c r="K17" s="13">
        <v>551950</v>
      </c>
      <c r="L17" s="13">
        <f t="shared" si="4"/>
        <v>2940</v>
      </c>
      <c r="M17" s="5">
        <f t="shared" si="5"/>
        <v>411.6</v>
      </c>
      <c r="N17" s="13">
        <v>6444</v>
      </c>
      <c r="O17" s="13">
        <v>6476</v>
      </c>
      <c r="P17" s="13">
        <f t="shared" si="6"/>
        <v>32</v>
      </c>
      <c r="Q17" s="5">
        <f t="shared" si="7"/>
        <v>185.6</v>
      </c>
      <c r="R17" s="13"/>
      <c r="S17" s="13"/>
      <c r="T17" s="13">
        <f t="shared" si="9"/>
        <v>0</v>
      </c>
      <c r="U17" s="5">
        <f t="shared" si="8"/>
        <v>0</v>
      </c>
    </row>
    <row r="18" spans="1:21" ht="20.25" customHeight="1">
      <c r="A18" s="10">
        <v>11</v>
      </c>
      <c r="B18" s="13">
        <v>23910</v>
      </c>
      <c r="C18" s="13">
        <v>23990</v>
      </c>
      <c r="D18" s="13">
        <f t="shared" si="1"/>
        <v>80</v>
      </c>
      <c r="E18" s="5">
        <f t="shared" si="0"/>
        <v>11.200000000000001</v>
      </c>
      <c r="F18" s="13">
        <v>1406500</v>
      </c>
      <c r="G18" s="13">
        <v>1411710</v>
      </c>
      <c r="H18" s="13">
        <f t="shared" si="2"/>
        <v>5210</v>
      </c>
      <c r="I18" s="5">
        <f t="shared" si="3"/>
        <v>729.40000000000009</v>
      </c>
      <c r="J18" s="13">
        <v>551950</v>
      </c>
      <c r="K18" s="13">
        <v>554650</v>
      </c>
      <c r="L18" s="13">
        <f t="shared" si="4"/>
        <v>2700</v>
      </c>
      <c r="M18" s="5">
        <f t="shared" si="5"/>
        <v>378.00000000000006</v>
      </c>
      <c r="N18" s="13">
        <v>6476</v>
      </c>
      <c r="O18" s="13">
        <v>6505</v>
      </c>
      <c r="P18" s="13">
        <f t="shared" si="6"/>
        <v>29</v>
      </c>
      <c r="Q18" s="5">
        <f t="shared" si="7"/>
        <v>168.2</v>
      </c>
      <c r="R18" s="13"/>
      <c r="S18" s="13"/>
      <c r="T18" s="13">
        <f t="shared" si="9"/>
        <v>0</v>
      </c>
      <c r="U18" s="5">
        <f t="shared" si="8"/>
        <v>0</v>
      </c>
    </row>
    <row r="19" spans="1:21" ht="20.25" customHeight="1">
      <c r="A19" s="10">
        <v>12</v>
      </c>
      <c r="B19" s="13">
        <v>23990</v>
      </c>
      <c r="C19" s="13">
        <v>24070</v>
      </c>
      <c r="D19" s="13">
        <f t="shared" si="1"/>
        <v>80</v>
      </c>
      <c r="E19" s="5">
        <f t="shared" si="0"/>
        <v>11.200000000000001</v>
      </c>
      <c r="F19" s="13">
        <v>1411710</v>
      </c>
      <c r="G19" s="13">
        <v>1416850</v>
      </c>
      <c r="H19" s="13">
        <f t="shared" si="2"/>
        <v>5140</v>
      </c>
      <c r="I19" s="5">
        <f t="shared" si="3"/>
        <v>719.6</v>
      </c>
      <c r="J19" s="13">
        <v>554650</v>
      </c>
      <c r="K19" s="13">
        <v>557360</v>
      </c>
      <c r="L19" s="13">
        <f t="shared" si="4"/>
        <v>2710</v>
      </c>
      <c r="M19" s="5">
        <f t="shared" si="5"/>
        <v>379.40000000000003</v>
      </c>
      <c r="N19" s="13">
        <v>6505</v>
      </c>
      <c r="O19" s="13">
        <v>6541</v>
      </c>
      <c r="P19" s="13">
        <f t="shared" si="6"/>
        <v>36</v>
      </c>
      <c r="Q19" s="5">
        <f t="shared" si="7"/>
        <v>208.79999999999998</v>
      </c>
      <c r="R19" s="13"/>
      <c r="S19" s="13"/>
      <c r="T19" s="13">
        <f t="shared" si="9"/>
        <v>0</v>
      </c>
      <c r="U19" s="5">
        <f t="shared" si="8"/>
        <v>0</v>
      </c>
    </row>
    <row r="20" spans="1:21" ht="20.25" customHeight="1">
      <c r="A20" s="10">
        <v>13</v>
      </c>
      <c r="B20" s="13">
        <v>24070</v>
      </c>
      <c r="C20" s="13">
        <v>24160</v>
      </c>
      <c r="D20" s="13">
        <f t="shared" si="1"/>
        <v>90</v>
      </c>
      <c r="E20" s="5">
        <f t="shared" si="0"/>
        <v>12.600000000000001</v>
      </c>
      <c r="F20" s="13">
        <v>1416850</v>
      </c>
      <c r="G20" s="13">
        <v>1422050</v>
      </c>
      <c r="H20" s="13">
        <f t="shared" si="2"/>
        <v>5200</v>
      </c>
      <c r="I20" s="5">
        <f t="shared" si="3"/>
        <v>728.00000000000011</v>
      </c>
      <c r="J20" s="13">
        <v>557360</v>
      </c>
      <c r="K20" s="13">
        <v>560060</v>
      </c>
      <c r="L20" s="13">
        <f t="shared" si="4"/>
        <v>2700</v>
      </c>
      <c r="M20" s="5">
        <f t="shared" si="5"/>
        <v>378.00000000000006</v>
      </c>
      <c r="N20" s="13">
        <v>6541</v>
      </c>
      <c r="O20" s="13">
        <v>6572</v>
      </c>
      <c r="P20" s="13">
        <f t="shared" si="6"/>
        <v>31</v>
      </c>
      <c r="Q20" s="5">
        <f t="shared" si="7"/>
        <v>179.79999999999998</v>
      </c>
      <c r="R20" s="13"/>
      <c r="S20" s="13"/>
      <c r="T20" s="13">
        <f t="shared" si="9"/>
        <v>0</v>
      </c>
      <c r="U20" s="5">
        <f t="shared" si="8"/>
        <v>0</v>
      </c>
    </row>
    <row r="21" spans="1:21" ht="20.25" customHeight="1">
      <c r="A21" s="10">
        <v>14</v>
      </c>
      <c r="B21" s="13">
        <v>24160</v>
      </c>
      <c r="C21" s="13">
        <v>24240</v>
      </c>
      <c r="D21" s="13">
        <f t="shared" si="1"/>
        <v>80</v>
      </c>
      <c r="E21" s="5">
        <f t="shared" si="0"/>
        <v>11.200000000000001</v>
      </c>
      <c r="F21" s="13">
        <v>1422050</v>
      </c>
      <c r="G21" s="13">
        <v>1427430</v>
      </c>
      <c r="H21" s="13">
        <f t="shared" si="2"/>
        <v>5380</v>
      </c>
      <c r="I21" s="5">
        <f t="shared" si="3"/>
        <v>753.2</v>
      </c>
      <c r="J21" s="13">
        <v>560060</v>
      </c>
      <c r="K21" s="13">
        <v>562860</v>
      </c>
      <c r="L21" s="13">
        <f t="shared" si="4"/>
        <v>2800</v>
      </c>
      <c r="M21" s="5">
        <f t="shared" si="5"/>
        <v>392.00000000000006</v>
      </c>
      <c r="N21" s="13">
        <v>6572</v>
      </c>
      <c r="O21" s="13">
        <v>6605</v>
      </c>
      <c r="P21" s="13">
        <f t="shared" si="6"/>
        <v>33</v>
      </c>
      <c r="Q21" s="5">
        <f t="shared" si="7"/>
        <v>191.4</v>
      </c>
      <c r="R21" s="13"/>
      <c r="S21" s="13"/>
      <c r="T21" s="13">
        <f t="shared" si="9"/>
        <v>0</v>
      </c>
      <c r="U21" s="5">
        <f t="shared" si="8"/>
        <v>0</v>
      </c>
    </row>
    <row r="22" spans="1:21" ht="20.25" customHeight="1">
      <c r="A22" s="10">
        <v>15</v>
      </c>
      <c r="B22" s="13">
        <v>24240</v>
      </c>
      <c r="C22" s="13">
        <v>24330</v>
      </c>
      <c r="D22" s="13">
        <f t="shared" si="1"/>
        <v>90</v>
      </c>
      <c r="E22" s="5">
        <f t="shared" si="0"/>
        <v>12.600000000000001</v>
      </c>
      <c r="F22" s="13">
        <v>1427430</v>
      </c>
      <c r="G22" s="13">
        <v>1432720</v>
      </c>
      <c r="H22" s="13">
        <f t="shared" si="2"/>
        <v>5290</v>
      </c>
      <c r="I22" s="5">
        <f t="shared" si="3"/>
        <v>740.6</v>
      </c>
      <c r="J22" s="13">
        <v>562860</v>
      </c>
      <c r="K22" s="13">
        <v>565680</v>
      </c>
      <c r="L22" s="13">
        <f t="shared" si="4"/>
        <v>2820</v>
      </c>
      <c r="M22" s="5">
        <f t="shared" si="5"/>
        <v>394.8</v>
      </c>
      <c r="N22" s="13">
        <v>6605</v>
      </c>
      <c r="O22" s="13">
        <v>6639</v>
      </c>
      <c r="P22" s="13">
        <f t="shared" si="6"/>
        <v>34</v>
      </c>
      <c r="Q22" s="5">
        <f t="shared" si="7"/>
        <v>197.2</v>
      </c>
      <c r="R22" s="13"/>
      <c r="S22" s="13"/>
      <c r="T22" s="13">
        <f t="shared" si="9"/>
        <v>0</v>
      </c>
      <c r="U22" s="5">
        <f t="shared" si="8"/>
        <v>0</v>
      </c>
    </row>
    <row r="23" spans="1:21" ht="20.25" customHeight="1">
      <c r="A23" s="10">
        <v>16</v>
      </c>
      <c r="B23" s="13"/>
      <c r="C23" s="13"/>
      <c r="D23" s="13">
        <f t="shared" si="1"/>
        <v>0</v>
      </c>
      <c r="E23" s="5">
        <f t="shared" si="0"/>
        <v>0</v>
      </c>
      <c r="F23" s="13"/>
      <c r="G23" s="13"/>
      <c r="H23" s="13">
        <f t="shared" si="2"/>
        <v>0</v>
      </c>
      <c r="I23" s="5">
        <f t="shared" si="3"/>
        <v>0</v>
      </c>
      <c r="J23" s="13"/>
      <c r="K23" s="13"/>
      <c r="L23" s="13">
        <f t="shared" si="4"/>
        <v>0</v>
      </c>
      <c r="M23" s="5">
        <f t="shared" si="5"/>
        <v>0</v>
      </c>
      <c r="N23" s="13">
        <v>6639</v>
      </c>
      <c r="O23" s="13">
        <v>6669</v>
      </c>
      <c r="P23" s="13">
        <f t="shared" si="6"/>
        <v>30</v>
      </c>
      <c r="Q23" s="5">
        <f t="shared" si="7"/>
        <v>174</v>
      </c>
      <c r="R23" s="13"/>
      <c r="S23" s="13"/>
      <c r="T23" s="13">
        <f t="shared" si="9"/>
        <v>0</v>
      </c>
      <c r="U23" s="5">
        <f t="shared" si="8"/>
        <v>0</v>
      </c>
    </row>
    <row r="24" spans="1:21" ht="20.25" customHeight="1">
      <c r="A24" s="10">
        <v>17</v>
      </c>
      <c r="B24" s="13"/>
      <c r="C24" s="13"/>
      <c r="D24" s="13">
        <f t="shared" si="1"/>
        <v>0</v>
      </c>
      <c r="E24" s="5">
        <f t="shared" si="0"/>
        <v>0</v>
      </c>
      <c r="F24" s="13"/>
      <c r="G24" s="13"/>
      <c r="H24" s="13">
        <f t="shared" si="2"/>
        <v>0</v>
      </c>
      <c r="I24" s="5">
        <f t="shared" si="3"/>
        <v>0</v>
      </c>
      <c r="J24" s="13"/>
      <c r="K24" s="13"/>
      <c r="L24" s="13">
        <f t="shared" si="4"/>
        <v>0</v>
      </c>
      <c r="M24" s="5">
        <f t="shared" si="5"/>
        <v>0</v>
      </c>
      <c r="N24" s="13"/>
      <c r="O24" s="13"/>
      <c r="P24" s="13">
        <f t="shared" si="6"/>
        <v>0</v>
      </c>
      <c r="Q24" s="5">
        <f t="shared" si="7"/>
        <v>0</v>
      </c>
      <c r="R24" s="13"/>
      <c r="S24" s="13"/>
      <c r="T24" s="13">
        <f t="shared" si="9"/>
        <v>0</v>
      </c>
      <c r="U24" s="5">
        <f t="shared" si="8"/>
        <v>0</v>
      </c>
    </row>
    <row r="25" spans="1:21" ht="20.25" customHeight="1">
      <c r="A25" s="10">
        <v>18</v>
      </c>
      <c r="B25" s="13"/>
      <c r="C25" s="13"/>
      <c r="D25" s="13">
        <f t="shared" si="1"/>
        <v>0</v>
      </c>
      <c r="E25" s="5">
        <f t="shared" si="0"/>
        <v>0</v>
      </c>
      <c r="F25" s="13"/>
      <c r="G25" s="13"/>
      <c r="H25" s="13">
        <f t="shared" si="2"/>
        <v>0</v>
      </c>
      <c r="I25" s="5">
        <f t="shared" si="3"/>
        <v>0</v>
      </c>
      <c r="J25" s="13"/>
      <c r="K25" s="13"/>
      <c r="L25" s="13">
        <f t="shared" si="4"/>
        <v>0</v>
      </c>
      <c r="M25" s="5">
        <f t="shared" si="5"/>
        <v>0</v>
      </c>
      <c r="N25" s="13"/>
      <c r="O25" s="13"/>
      <c r="P25" s="13">
        <f t="shared" si="6"/>
        <v>0</v>
      </c>
      <c r="Q25" s="5">
        <f t="shared" si="7"/>
        <v>0</v>
      </c>
      <c r="R25" s="13"/>
      <c r="S25" s="13"/>
      <c r="T25" s="13">
        <f t="shared" si="9"/>
        <v>0</v>
      </c>
      <c r="U25" s="5">
        <f t="shared" si="8"/>
        <v>0</v>
      </c>
    </row>
    <row r="26" spans="1:21" ht="20.25" customHeight="1">
      <c r="A26" s="10">
        <v>19</v>
      </c>
      <c r="B26" s="13"/>
      <c r="C26" s="13"/>
      <c r="D26" s="13">
        <f t="shared" si="1"/>
        <v>0</v>
      </c>
      <c r="E26" s="5">
        <f t="shared" si="0"/>
        <v>0</v>
      </c>
      <c r="F26" s="13"/>
      <c r="G26" s="13"/>
      <c r="H26" s="13">
        <f t="shared" si="2"/>
        <v>0</v>
      </c>
      <c r="I26" s="5">
        <f t="shared" si="3"/>
        <v>0</v>
      </c>
      <c r="J26" s="13"/>
      <c r="K26" s="13"/>
      <c r="L26" s="13">
        <f t="shared" si="4"/>
        <v>0</v>
      </c>
      <c r="M26" s="5">
        <f t="shared" si="5"/>
        <v>0</v>
      </c>
      <c r="N26" s="13"/>
      <c r="O26" s="13"/>
      <c r="P26" s="13">
        <f t="shared" si="6"/>
        <v>0</v>
      </c>
      <c r="Q26" s="5">
        <f t="shared" si="7"/>
        <v>0</v>
      </c>
      <c r="R26" s="13"/>
      <c r="S26" s="13"/>
      <c r="T26" s="13">
        <f t="shared" si="9"/>
        <v>0</v>
      </c>
      <c r="U26" s="5">
        <f t="shared" si="8"/>
        <v>0</v>
      </c>
    </row>
    <row r="27" spans="1:21" ht="20.25" customHeight="1">
      <c r="A27" s="10">
        <v>20</v>
      </c>
      <c r="B27" s="13"/>
      <c r="C27" s="13"/>
      <c r="D27" s="13">
        <f t="shared" si="1"/>
        <v>0</v>
      </c>
      <c r="E27" s="5">
        <f t="shared" si="0"/>
        <v>0</v>
      </c>
      <c r="F27" s="13"/>
      <c r="G27" s="13"/>
      <c r="H27" s="13">
        <f t="shared" si="2"/>
        <v>0</v>
      </c>
      <c r="I27" s="5">
        <f t="shared" si="3"/>
        <v>0</v>
      </c>
      <c r="J27" s="13"/>
      <c r="K27" s="13"/>
      <c r="L27" s="13">
        <f t="shared" si="4"/>
        <v>0</v>
      </c>
      <c r="M27" s="5">
        <f t="shared" si="5"/>
        <v>0</v>
      </c>
      <c r="N27" s="13"/>
      <c r="O27" s="13"/>
      <c r="P27" s="13">
        <f t="shared" si="6"/>
        <v>0</v>
      </c>
      <c r="Q27" s="5">
        <f t="shared" si="7"/>
        <v>0</v>
      </c>
      <c r="R27" s="13"/>
      <c r="S27" s="13"/>
      <c r="T27" s="13">
        <f t="shared" si="9"/>
        <v>0</v>
      </c>
      <c r="U27" s="5">
        <f t="shared" si="8"/>
        <v>0</v>
      </c>
    </row>
    <row r="28" spans="1:21" ht="20.25" customHeight="1">
      <c r="A28" s="10">
        <v>21</v>
      </c>
      <c r="B28" s="13"/>
      <c r="C28" s="13"/>
      <c r="D28" s="13">
        <f t="shared" si="1"/>
        <v>0</v>
      </c>
      <c r="E28" s="5">
        <f t="shared" si="0"/>
        <v>0</v>
      </c>
      <c r="F28" s="13"/>
      <c r="G28" s="13"/>
      <c r="H28" s="13">
        <f t="shared" si="2"/>
        <v>0</v>
      </c>
      <c r="I28" s="5">
        <f t="shared" si="3"/>
        <v>0</v>
      </c>
      <c r="J28" s="13"/>
      <c r="K28" s="13"/>
      <c r="L28" s="13">
        <f t="shared" si="4"/>
        <v>0</v>
      </c>
      <c r="M28" s="5">
        <f t="shared" si="5"/>
        <v>0</v>
      </c>
      <c r="N28" s="13"/>
      <c r="O28" s="13"/>
      <c r="P28" s="13">
        <f t="shared" si="6"/>
        <v>0</v>
      </c>
      <c r="Q28" s="5">
        <f t="shared" si="7"/>
        <v>0</v>
      </c>
      <c r="R28" s="13"/>
      <c r="S28" s="13"/>
      <c r="T28" s="13">
        <f t="shared" si="9"/>
        <v>0</v>
      </c>
      <c r="U28" s="5">
        <f t="shared" si="8"/>
        <v>0</v>
      </c>
    </row>
    <row r="29" spans="1:21" ht="20.25" customHeight="1">
      <c r="A29" s="10">
        <v>22</v>
      </c>
      <c r="B29" s="13"/>
      <c r="C29" s="13"/>
      <c r="D29" s="13">
        <f t="shared" si="1"/>
        <v>0</v>
      </c>
      <c r="E29" s="5">
        <f t="shared" si="0"/>
        <v>0</v>
      </c>
      <c r="F29" s="13"/>
      <c r="G29" s="13"/>
      <c r="H29" s="13">
        <f t="shared" si="2"/>
        <v>0</v>
      </c>
      <c r="I29" s="5">
        <f t="shared" si="3"/>
        <v>0</v>
      </c>
      <c r="J29" s="13"/>
      <c r="K29" s="13"/>
      <c r="L29" s="13">
        <f t="shared" si="4"/>
        <v>0</v>
      </c>
      <c r="M29" s="5">
        <f t="shared" si="5"/>
        <v>0</v>
      </c>
      <c r="N29" s="13"/>
      <c r="O29" s="13"/>
      <c r="P29" s="13">
        <f t="shared" si="6"/>
        <v>0</v>
      </c>
      <c r="Q29" s="5">
        <f t="shared" si="7"/>
        <v>0</v>
      </c>
      <c r="R29" s="13"/>
      <c r="S29" s="13"/>
      <c r="T29" s="13">
        <f t="shared" si="9"/>
        <v>0</v>
      </c>
      <c r="U29" s="5">
        <f t="shared" si="8"/>
        <v>0</v>
      </c>
    </row>
    <row r="30" spans="1:21" ht="20.25" customHeight="1">
      <c r="A30" s="10">
        <v>23</v>
      </c>
      <c r="B30" s="13"/>
      <c r="C30" s="13"/>
      <c r="D30" s="13">
        <f t="shared" si="1"/>
        <v>0</v>
      </c>
      <c r="E30" s="5">
        <f t="shared" si="0"/>
        <v>0</v>
      </c>
      <c r="F30" s="13"/>
      <c r="G30" s="13"/>
      <c r="H30" s="13">
        <f t="shared" si="2"/>
        <v>0</v>
      </c>
      <c r="I30" s="5">
        <f t="shared" si="3"/>
        <v>0</v>
      </c>
      <c r="J30" s="13"/>
      <c r="K30" s="13"/>
      <c r="L30" s="13">
        <f t="shared" si="4"/>
        <v>0</v>
      </c>
      <c r="M30" s="5">
        <f t="shared" si="5"/>
        <v>0</v>
      </c>
      <c r="N30" s="13"/>
      <c r="O30" s="13"/>
      <c r="P30" s="13">
        <f t="shared" si="6"/>
        <v>0</v>
      </c>
      <c r="Q30" s="5">
        <f t="shared" si="7"/>
        <v>0</v>
      </c>
      <c r="R30" s="13"/>
      <c r="S30" s="13"/>
      <c r="T30" s="13">
        <f t="shared" si="9"/>
        <v>0</v>
      </c>
      <c r="U30" s="5">
        <f t="shared" si="8"/>
        <v>0</v>
      </c>
    </row>
    <row r="31" spans="1:21" ht="20.25" customHeight="1">
      <c r="A31" s="10">
        <v>24</v>
      </c>
      <c r="B31" s="13"/>
      <c r="C31" s="13"/>
      <c r="D31" s="13">
        <f t="shared" si="1"/>
        <v>0</v>
      </c>
      <c r="E31" s="5">
        <f t="shared" si="0"/>
        <v>0</v>
      </c>
      <c r="F31" s="13"/>
      <c r="G31" s="13"/>
      <c r="H31" s="13">
        <f t="shared" si="2"/>
        <v>0</v>
      </c>
      <c r="I31" s="5">
        <f t="shared" si="3"/>
        <v>0</v>
      </c>
      <c r="J31" s="13"/>
      <c r="K31" s="13"/>
      <c r="L31" s="13">
        <f t="shared" si="4"/>
        <v>0</v>
      </c>
      <c r="M31" s="5">
        <f t="shared" si="5"/>
        <v>0</v>
      </c>
      <c r="N31" s="13"/>
      <c r="O31" s="13"/>
      <c r="P31" s="13">
        <f t="shared" si="6"/>
        <v>0</v>
      </c>
      <c r="Q31" s="5">
        <f t="shared" si="7"/>
        <v>0</v>
      </c>
      <c r="R31" s="13"/>
      <c r="S31" s="13"/>
      <c r="T31" s="13">
        <f t="shared" si="9"/>
        <v>0</v>
      </c>
      <c r="U31" s="5">
        <f t="shared" si="8"/>
        <v>0</v>
      </c>
    </row>
    <row r="32" spans="1:21" ht="20.25" customHeight="1">
      <c r="A32" s="10">
        <v>25</v>
      </c>
      <c r="B32" s="13"/>
      <c r="C32" s="13"/>
      <c r="D32" s="13">
        <f t="shared" si="1"/>
        <v>0</v>
      </c>
      <c r="E32" s="5">
        <f t="shared" si="0"/>
        <v>0</v>
      </c>
      <c r="F32" s="13"/>
      <c r="G32" s="13"/>
      <c r="H32" s="13">
        <f t="shared" si="2"/>
        <v>0</v>
      </c>
      <c r="I32" s="5">
        <f t="shared" si="3"/>
        <v>0</v>
      </c>
      <c r="J32" s="13"/>
      <c r="K32" s="13"/>
      <c r="L32" s="13">
        <f t="shared" si="4"/>
        <v>0</v>
      </c>
      <c r="M32" s="5">
        <f t="shared" si="5"/>
        <v>0</v>
      </c>
      <c r="N32" s="13"/>
      <c r="O32" s="13"/>
      <c r="P32" s="13">
        <f t="shared" si="6"/>
        <v>0</v>
      </c>
      <c r="Q32" s="5">
        <f t="shared" si="7"/>
        <v>0</v>
      </c>
      <c r="R32" s="13"/>
      <c r="S32" s="13"/>
      <c r="T32" s="13">
        <f t="shared" si="9"/>
        <v>0</v>
      </c>
      <c r="U32" s="5">
        <f t="shared" si="8"/>
        <v>0</v>
      </c>
    </row>
    <row r="33" spans="1:21" ht="20.25" customHeight="1">
      <c r="A33" s="10">
        <v>26</v>
      </c>
      <c r="B33" s="13"/>
      <c r="C33" s="13"/>
      <c r="D33" s="13">
        <f t="shared" si="1"/>
        <v>0</v>
      </c>
      <c r="E33" s="5">
        <f t="shared" si="0"/>
        <v>0</v>
      </c>
      <c r="F33" s="13"/>
      <c r="G33" s="13"/>
      <c r="H33" s="13">
        <f t="shared" si="2"/>
        <v>0</v>
      </c>
      <c r="I33" s="5">
        <f t="shared" si="3"/>
        <v>0</v>
      </c>
      <c r="J33" s="13"/>
      <c r="K33" s="13"/>
      <c r="L33" s="13">
        <f t="shared" si="4"/>
        <v>0</v>
      </c>
      <c r="M33" s="5">
        <f t="shared" si="5"/>
        <v>0</v>
      </c>
      <c r="N33" s="13"/>
      <c r="O33" s="13"/>
      <c r="P33" s="13">
        <f t="shared" si="6"/>
        <v>0</v>
      </c>
      <c r="Q33" s="5">
        <f t="shared" si="7"/>
        <v>0</v>
      </c>
      <c r="R33" s="13"/>
      <c r="S33" s="13"/>
      <c r="T33" s="13">
        <f t="shared" si="9"/>
        <v>0</v>
      </c>
      <c r="U33" s="5">
        <f t="shared" si="8"/>
        <v>0</v>
      </c>
    </row>
    <row r="34" spans="1:21" ht="20.25" customHeight="1">
      <c r="A34" s="10">
        <v>27</v>
      </c>
      <c r="B34" s="13"/>
      <c r="C34" s="13"/>
      <c r="D34" s="13">
        <f t="shared" si="1"/>
        <v>0</v>
      </c>
      <c r="E34" s="5">
        <f t="shared" si="0"/>
        <v>0</v>
      </c>
      <c r="F34" s="13"/>
      <c r="G34" s="13"/>
      <c r="H34" s="13">
        <f t="shared" si="2"/>
        <v>0</v>
      </c>
      <c r="I34" s="5">
        <f t="shared" si="3"/>
        <v>0</v>
      </c>
      <c r="J34" s="13"/>
      <c r="K34" s="13"/>
      <c r="L34" s="13">
        <f t="shared" si="4"/>
        <v>0</v>
      </c>
      <c r="M34" s="5">
        <f t="shared" si="5"/>
        <v>0</v>
      </c>
      <c r="N34" s="13"/>
      <c r="O34" s="13"/>
      <c r="P34" s="13">
        <f t="shared" si="6"/>
        <v>0</v>
      </c>
      <c r="Q34" s="5">
        <f t="shared" si="7"/>
        <v>0</v>
      </c>
      <c r="R34" s="13"/>
      <c r="S34" s="13"/>
      <c r="T34" s="13">
        <f t="shared" si="9"/>
        <v>0</v>
      </c>
      <c r="U34" s="5">
        <f t="shared" si="8"/>
        <v>0</v>
      </c>
    </row>
    <row r="35" spans="1:21" ht="20.25" customHeight="1">
      <c r="A35" s="10">
        <v>28</v>
      </c>
      <c r="B35" s="13"/>
      <c r="C35" s="13"/>
      <c r="D35" s="13">
        <f t="shared" si="1"/>
        <v>0</v>
      </c>
      <c r="E35" s="5">
        <f t="shared" si="0"/>
        <v>0</v>
      </c>
      <c r="F35" s="13"/>
      <c r="G35" s="13"/>
      <c r="H35" s="13">
        <f t="shared" si="2"/>
        <v>0</v>
      </c>
      <c r="I35" s="5">
        <f t="shared" si="3"/>
        <v>0</v>
      </c>
      <c r="J35" s="13"/>
      <c r="K35" s="13"/>
      <c r="L35" s="13">
        <f t="shared" si="4"/>
        <v>0</v>
      </c>
      <c r="M35" s="5">
        <f t="shared" si="5"/>
        <v>0</v>
      </c>
      <c r="N35" s="13"/>
      <c r="O35" s="13"/>
      <c r="P35" s="13">
        <f t="shared" si="6"/>
        <v>0</v>
      </c>
      <c r="Q35" s="5">
        <f t="shared" si="7"/>
        <v>0</v>
      </c>
      <c r="R35" s="13"/>
      <c r="S35" s="13"/>
      <c r="T35" s="13">
        <f t="shared" si="9"/>
        <v>0</v>
      </c>
      <c r="U35" s="5">
        <f t="shared" si="8"/>
        <v>0</v>
      </c>
    </row>
    <row r="36" spans="1:21" ht="20.25" customHeight="1">
      <c r="A36" s="10">
        <v>29</v>
      </c>
      <c r="B36" s="13"/>
      <c r="C36" s="13"/>
      <c r="D36" s="13">
        <f t="shared" si="1"/>
        <v>0</v>
      </c>
      <c r="E36" s="5">
        <f t="shared" si="0"/>
        <v>0</v>
      </c>
      <c r="F36" s="13"/>
      <c r="G36" s="13"/>
      <c r="H36" s="13">
        <f t="shared" si="2"/>
        <v>0</v>
      </c>
      <c r="I36" s="5">
        <f t="shared" si="3"/>
        <v>0</v>
      </c>
      <c r="J36" s="13"/>
      <c r="K36" s="13"/>
      <c r="L36" s="13">
        <f t="shared" si="4"/>
        <v>0</v>
      </c>
      <c r="M36" s="5">
        <f t="shared" si="5"/>
        <v>0</v>
      </c>
      <c r="N36" s="13"/>
      <c r="O36" s="13"/>
      <c r="P36" s="13">
        <f t="shared" si="6"/>
        <v>0</v>
      </c>
      <c r="Q36" s="5">
        <f t="shared" si="7"/>
        <v>0</v>
      </c>
      <c r="R36" s="13"/>
      <c r="S36" s="13"/>
      <c r="T36" s="13">
        <f t="shared" si="9"/>
        <v>0</v>
      </c>
      <c r="U36" s="5">
        <f t="shared" si="8"/>
        <v>0</v>
      </c>
    </row>
    <row r="37" spans="1:21" ht="20.25" customHeight="1">
      <c r="A37" s="10">
        <v>30</v>
      </c>
      <c r="B37" s="13"/>
      <c r="C37" s="13"/>
      <c r="D37" s="13">
        <f t="shared" si="1"/>
        <v>0</v>
      </c>
      <c r="E37" s="5">
        <f t="shared" si="0"/>
        <v>0</v>
      </c>
      <c r="F37" s="13"/>
      <c r="G37" s="13"/>
      <c r="H37" s="13">
        <f t="shared" si="2"/>
        <v>0</v>
      </c>
      <c r="I37" s="5">
        <f t="shared" si="3"/>
        <v>0</v>
      </c>
      <c r="J37" s="13"/>
      <c r="K37" s="13"/>
      <c r="L37" s="13">
        <f t="shared" si="4"/>
        <v>0</v>
      </c>
      <c r="M37" s="5">
        <f t="shared" si="5"/>
        <v>0</v>
      </c>
      <c r="N37" s="13"/>
      <c r="O37" s="13"/>
      <c r="P37" s="13">
        <f t="shared" si="6"/>
        <v>0</v>
      </c>
      <c r="Q37" s="5">
        <f t="shared" si="7"/>
        <v>0</v>
      </c>
      <c r="R37" s="13"/>
      <c r="S37" s="13"/>
      <c r="T37" s="13">
        <f t="shared" si="9"/>
        <v>0</v>
      </c>
      <c r="U37" s="5">
        <f t="shared" si="8"/>
        <v>0</v>
      </c>
    </row>
    <row r="38" spans="1:21" ht="20.25" customHeight="1">
      <c r="A38" s="10">
        <v>31</v>
      </c>
      <c r="B38" s="13"/>
      <c r="C38" s="13"/>
      <c r="D38" s="13">
        <f t="shared" si="1"/>
        <v>0</v>
      </c>
      <c r="E38" s="5">
        <f t="shared" si="0"/>
        <v>0</v>
      </c>
      <c r="F38" s="13"/>
      <c r="G38" s="13"/>
      <c r="H38" s="13">
        <f t="shared" si="2"/>
        <v>0</v>
      </c>
      <c r="I38" s="5">
        <f t="shared" si="3"/>
        <v>0</v>
      </c>
      <c r="J38" s="13"/>
      <c r="K38" s="13"/>
      <c r="L38" s="13">
        <f t="shared" si="4"/>
        <v>0</v>
      </c>
      <c r="M38" s="5">
        <f t="shared" si="5"/>
        <v>0</v>
      </c>
      <c r="N38" s="13"/>
      <c r="O38" s="13"/>
      <c r="P38" s="13">
        <f t="shared" si="6"/>
        <v>0</v>
      </c>
      <c r="Q38" s="5">
        <f t="shared" si="7"/>
        <v>0</v>
      </c>
      <c r="R38" s="13"/>
      <c r="S38" s="13"/>
      <c r="T38" s="13">
        <f t="shared" si="9"/>
        <v>0</v>
      </c>
      <c r="U38" s="5">
        <f t="shared" si="8"/>
        <v>0</v>
      </c>
    </row>
    <row r="39" spans="1:21" ht="18" customHeight="1">
      <c r="A39" s="45" t="s">
        <v>16</v>
      </c>
      <c r="B39" s="45"/>
      <c r="C39" s="45"/>
      <c r="D39" s="29">
        <f>SUM(D8:D38)</f>
        <v>1230</v>
      </c>
      <c r="E39" s="30">
        <f>SUM(E8:E38)</f>
        <v>172.2</v>
      </c>
      <c r="F39" s="29"/>
      <c r="G39" s="29"/>
      <c r="H39" s="29">
        <f>SUM(H8:H38)</f>
        <v>73820</v>
      </c>
      <c r="I39" s="30">
        <f>SUM(I8:I38)</f>
        <v>10334.800000000003</v>
      </c>
      <c r="J39" s="29"/>
      <c r="K39" s="29"/>
      <c r="L39" s="29">
        <f>SUM(L8:L38)</f>
        <v>41760</v>
      </c>
      <c r="M39" s="30">
        <f>SUM(M8:M38)</f>
        <v>5846.4000000000005</v>
      </c>
      <c r="N39" s="29"/>
      <c r="O39" s="29"/>
      <c r="P39" s="29">
        <f>SUM(P8:P38)</f>
        <v>556</v>
      </c>
      <c r="Q39" s="30">
        <f>SUM(Q8:Q38)</f>
        <v>3224.8</v>
      </c>
      <c r="R39" s="29"/>
      <c r="S39" s="29"/>
      <c r="T39" s="29" t="e">
        <f>SUM(T8:T38)</f>
        <v>#VALUE!</v>
      </c>
      <c r="U39" s="30" t="e">
        <f>SUM(U8:U38)</f>
        <v>#VALUE!</v>
      </c>
    </row>
    <row r="42" spans="1:21">
      <c r="F42" s="46" t="s">
        <v>17</v>
      </c>
      <c r="G42" s="46"/>
      <c r="H42" s="46"/>
      <c r="I42" s="46"/>
      <c r="J42" s="46" t="s">
        <v>18</v>
      </c>
      <c r="K42" s="46"/>
      <c r="L42" s="46"/>
      <c r="M42" s="46"/>
    </row>
    <row r="43" spans="1:21" ht="15">
      <c r="A43" s="47" t="s">
        <v>19</v>
      </c>
      <c r="B43" s="47"/>
      <c r="C43" s="47"/>
      <c r="D43" s="47"/>
      <c r="E43" s="47"/>
      <c r="F43" s="46">
        <f>+D39+H39+L39</f>
        <v>116810</v>
      </c>
      <c r="G43" s="46"/>
      <c r="H43" s="46"/>
      <c r="I43" s="46"/>
      <c r="J43" s="48">
        <f>+E39+I39+M39</f>
        <v>16353.400000000005</v>
      </c>
      <c r="K43" s="46"/>
      <c r="L43" s="46"/>
      <c r="M43" s="46"/>
    </row>
    <row r="44" spans="1:21" ht="15">
      <c r="A44" s="47" t="s">
        <v>20</v>
      </c>
      <c r="B44" s="47"/>
      <c r="C44" s="47"/>
      <c r="D44" s="47"/>
      <c r="E44" s="47"/>
      <c r="F44" s="46">
        <f>+P39</f>
        <v>556</v>
      </c>
      <c r="G44" s="46"/>
      <c r="H44" s="46"/>
      <c r="I44" s="46"/>
      <c r="J44" s="48">
        <f>+Q39</f>
        <v>3224.8</v>
      </c>
      <c r="K44" s="46"/>
      <c r="L44" s="46"/>
      <c r="M44" s="46"/>
    </row>
    <row r="45" spans="1:21" ht="15">
      <c r="A45" s="47" t="s">
        <v>21</v>
      </c>
      <c r="B45" s="47"/>
      <c r="C45" s="47"/>
      <c r="D45" s="47"/>
      <c r="E45" s="47"/>
      <c r="F45" s="46" t="e">
        <f>+T39</f>
        <v>#VALUE!</v>
      </c>
      <c r="G45" s="46"/>
      <c r="H45" s="46"/>
      <c r="I45" s="46"/>
      <c r="J45" s="48" t="e">
        <f>+U39</f>
        <v>#VALUE!</v>
      </c>
      <c r="K45" s="46"/>
      <c r="L45" s="46"/>
      <c r="M45" s="46"/>
    </row>
  </sheetData>
  <mergeCells count="25">
    <mergeCell ref="A44:E44"/>
    <mergeCell ref="F44:I44"/>
    <mergeCell ref="J44:M44"/>
    <mergeCell ref="A45:E45"/>
    <mergeCell ref="F45:I45"/>
    <mergeCell ref="J45:M45"/>
    <mergeCell ref="A39:C39"/>
    <mergeCell ref="F42:I42"/>
    <mergeCell ref="J42:M42"/>
    <mergeCell ref="A43:E43"/>
    <mergeCell ref="F43:I43"/>
    <mergeCell ref="J43:M43"/>
    <mergeCell ref="A6:E6"/>
    <mergeCell ref="F6:I6"/>
    <mergeCell ref="J6:M6"/>
    <mergeCell ref="N6:Q6"/>
    <mergeCell ref="R6:U6"/>
    <mergeCell ref="A1:U1"/>
    <mergeCell ref="A2:U2"/>
    <mergeCell ref="A4:D4"/>
    <mergeCell ref="E4:F4"/>
    <mergeCell ref="I4:K4"/>
    <mergeCell ref="L4:M4"/>
    <mergeCell ref="Q4:S4"/>
    <mergeCell ref="T4:U4"/>
  </mergeCells>
  <printOptions horizontalCentered="1"/>
  <pageMargins left="0.25" right="0.25" top="0.75" bottom="0.75" header="0.3" footer="0.3"/>
  <pageSetup scale="61" orientation="landscape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49"/>
  <sheetViews>
    <sheetView tabSelected="1" zoomScale="89" zoomScaleNormal="89" workbookViewId="0">
      <selection activeCell="I47" sqref="I47"/>
    </sheetView>
  </sheetViews>
  <sheetFormatPr defaultRowHeight="15"/>
  <cols>
    <col min="2" max="2" width="9.5703125" bestFit="1" customWidth="1"/>
    <col min="5" max="5" width="9.7109375" customWidth="1"/>
    <col min="9" max="9" width="10.85546875" customWidth="1"/>
    <col min="13" max="13" width="12" customWidth="1"/>
    <col min="17" max="17" width="10.85546875" customWidth="1"/>
    <col min="21" max="21" width="10.140625" customWidth="1"/>
  </cols>
  <sheetData>
    <row r="1" spans="1:21" ht="18.7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</row>
    <row r="2" spans="1:21" ht="18.75">
      <c r="A2" s="68" t="s">
        <v>31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</row>
    <row r="3" spans="1:21">
      <c r="A3" s="4" t="s">
        <v>22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>
      <c r="A4" s="40" t="s">
        <v>2</v>
      </c>
      <c r="B4" s="40"/>
      <c r="C4" s="40"/>
      <c r="D4" s="40"/>
      <c r="E4" s="41">
        <v>0.15</v>
      </c>
      <c r="F4" s="41"/>
      <c r="G4" s="4"/>
      <c r="H4" s="4"/>
      <c r="I4" s="40" t="s">
        <v>3</v>
      </c>
      <c r="J4" s="40"/>
      <c r="K4" s="40"/>
      <c r="L4" s="41">
        <v>6.96</v>
      </c>
      <c r="M4" s="41"/>
      <c r="N4" s="4"/>
      <c r="O4" s="4"/>
      <c r="P4" s="4"/>
      <c r="Q4" s="40" t="s">
        <v>4</v>
      </c>
      <c r="R4" s="40"/>
      <c r="S4" s="40"/>
      <c r="T4" s="41">
        <v>0.69616</v>
      </c>
      <c r="U4" s="41"/>
    </row>
    <row r="5" spans="1:21" ht="15.75" thickBo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56" t="s">
        <v>23</v>
      </c>
      <c r="B6" s="57"/>
      <c r="C6" s="57"/>
      <c r="D6" s="57"/>
      <c r="E6" s="58"/>
      <c r="F6" s="56" t="s">
        <v>24</v>
      </c>
      <c r="G6" s="57"/>
      <c r="H6" s="57"/>
      <c r="I6" s="58"/>
      <c r="J6" s="56" t="s">
        <v>25</v>
      </c>
      <c r="K6" s="57"/>
      <c r="L6" s="57"/>
      <c r="M6" s="58"/>
      <c r="N6" s="59" t="s">
        <v>26</v>
      </c>
      <c r="O6" s="60"/>
      <c r="P6" s="60"/>
      <c r="Q6" s="61"/>
      <c r="R6" s="62" t="s">
        <v>9</v>
      </c>
      <c r="S6" s="63"/>
      <c r="T6" s="63"/>
      <c r="U6" s="64"/>
    </row>
    <row r="7" spans="1:21" ht="15.75" thickBot="1">
      <c r="A7" s="6" t="s">
        <v>10</v>
      </c>
      <c r="B7" s="7" t="s">
        <v>11</v>
      </c>
      <c r="C7" s="7" t="s">
        <v>12</v>
      </c>
      <c r="D7" s="7" t="s">
        <v>13</v>
      </c>
      <c r="E7" s="8" t="s">
        <v>14</v>
      </c>
      <c r="F7" s="6" t="s">
        <v>11</v>
      </c>
      <c r="G7" s="7" t="s">
        <v>12</v>
      </c>
      <c r="H7" s="7" t="s">
        <v>13</v>
      </c>
      <c r="I7" s="8" t="s">
        <v>14</v>
      </c>
      <c r="J7" s="6" t="s">
        <v>11</v>
      </c>
      <c r="K7" s="7" t="s">
        <v>12</v>
      </c>
      <c r="L7" s="7" t="s">
        <v>13</v>
      </c>
      <c r="M7" s="8" t="s">
        <v>14</v>
      </c>
      <c r="N7" s="19" t="s">
        <v>11</v>
      </c>
      <c r="O7" s="20" t="s">
        <v>12</v>
      </c>
      <c r="P7" s="20" t="s">
        <v>13</v>
      </c>
      <c r="Q7" s="22" t="s">
        <v>14</v>
      </c>
      <c r="R7" s="23" t="s">
        <v>11</v>
      </c>
      <c r="S7" s="24" t="s">
        <v>12</v>
      </c>
      <c r="T7" s="24" t="s">
        <v>13</v>
      </c>
      <c r="U7" s="25" t="s">
        <v>14</v>
      </c>
    </row>
    <row r="8" spans="1:21">
      <c r="A8" s="9">
        <v>1</v>
      </c>
      <c r="B8" s="37">
        <v>3625</v>
      </c>
      <c r="C8" s="27">
        <v>3852</v>
      </c>
      <c r="D8" s="27">
        <f>C8-B8</f>
        <v>227</v>
      </c>
      <c r="E8" s="12">
        <f>D8*E4</f>
        <v>34.049999999999997</v>
      </c>
      <c r="F8" s="37">
        <v>28332</v>
      </c>
      <c r="G8" s="27">
        <v>30211</v>
      </c>
      <c r="H8" s="27">
        <f>G8-F8</f>
        <v>1879</v>
      </c>
      <c r="I8" s="12">
        <f>H8*E4</f>
        <v>281.84999999999997</v>
      </c>
      <c r="J8" s="37">
        <v>42921</v>
      </c>
      <c r="K8" s="27">
        <v>45575</v>
      </c>
      <c r="L8" s="27">
        <f>K8-J8</f>
        <v>2654</v>
      </c>
      <c r="M8" s="12">
        <f>L8*E4</f>
        <v>398.09999999999997</v>
      </c>
      <c r="N8" s="37">
        <v>143134</v>
      </c>
      <c r="O8" s="27">
        <v>143192</v>
      </c>
      <c r="P8" s="27">
        <f>O8-N8</f>
        <v>58</v>
      </c>
      <c r="Q8" s="12">
        <f>P8*L4</f>
        <v>403.68</v>
      </c>
      <c r="R8" s="37">
        <v>5000</v>
      </c>
      <c r="S8" s="14">
        <v>4880</v>
      </c>
      <c r="T8" s="14">
        <f>R8-S8</f>
        <v>120</v>
      </c>
      <c r="U8" s="12">
        <f>T8*$T$4</f>
        <v>83.539199999999994</v>
      </c>
    </row>
    <row r="9" spans="1:21">
      <c r="A9" s="15">
        <v>2</v>
      </c>
      <c r="B9" s="27">
        <v>3852</v>
      </c>
      <c r="C9" s="35">
        <v>4078</v>
      </c>
      <c r="D9" s="11">
        <f>C9-B9</f>
        <v>226</v>
      </c>
      <c r="E9" s="12">
        <f>D9*E4</f>
        <v>33.9</v>
      </c>
      <c r="F9" s="27">
        <v>30211</v>
      </c>
      <c r="G9" s="35">
        <v>31654</v>
      </c>
      <c r="H9" s="14">
        <f>G9-F9</f>
        <v>1443</v>
      </c>
      <c r="I9" s="12">
        <f>H9*E4</f>
        <v>216.45</v>
      </c>
      <c r="J9" s="27">
        <v>45575</v>
      </c>
      <c r="K9" s="14">
        <v>48151</v>
      </c>
      <c r="L9" s="14">
        <f t="shared" ref="L9:L39" si="0">K9-J9</f>
        <v>2576</v>
      </c>
      <c r="M9" s="12">
        <f>L9*E4</f>
        <v>386.4</v>
      </c>
      <c r="N9" s="27">
        <v>143192</v>
      </c>
      <c r="O9" s="35">
        <v>143275</v>
      </c>
      <c r="P9" s="14">
        <f t="shared" ref="P9:P39" si="1">O9-N9</f>
        <v>83</v>
      </c>
      <c r="Q9" s="12">
        <f>P9*L4</f>
        <v>577.67999999999995</v>
      </c>
      <c r="R9" s="14">
        <v>4880</v>
      </c>
      <c r="S9" s="35">
        <v>4760</v>
      </c>
      <c r="T9" s="14">
        <f t="shared" ref="T9:T39" si="2">R9-S9</f>
        <v>120</v>
      </c>
      <c r="U9" s="26">
        <f t="shared" ref="U9:U39" si="3">T9*$T$4</f>
        <v>83.539199999999994</v>
      </c>
    </row>
    <row r="10" spans="1:21">
      <c r="A10" s="15">
        <v>3</v>
      </c>
      <c r="B10" s="35">
        <v>4078</v>
      </c>
      <c r="C10" s="35">
        <v>4304</v>
      </c>
      <c r="D10" s="11">
        <f>C10-B10</f>
        <v>226</v>
      </c>
      <c r="E10" s="12">
        <f>D10*E4</f>
        <v>33.9</v>
      </c>
      <c r="F10" s="35">
        <v>31654</v>
      </c>
      <c r="G10" s="35">
        <v>33222</v>
      </c>
      <c r="H10" s="14">
        <f>G10-F10</f>
        <v>1568</v>
      </c>
      <c r="I10" s="12">
        <f>H10*E4</f>
        <v>235.2</v>
      </c>
      <c r="J10" s="14">
        <v>48151</v>
      </c>
      <c r="K10" s="35">
        <v>50684</v>
      </c>
      <c r="L10" s="14">
        <f t="shared" si="0"/>
        <v>2533</v>
      </c>
      <c r="M10" s="12">
        <f>L10*E4</f>
        <v>379.95</v>
      </c>
      <c r="N10" s="35">
        <v>143275</v>
      </c>
      <c r="O10" s="35">
        <v>143339</v>
      </c>
      <c r="P10" s="14">
        <f t="shared" si="1"/>
        <v>64</v>
      </c>
      <c r="Q10" s="12">
        <f>P10*L4</f>
        <v>445.44</v>
      </c>
      <c r="R10" s="35">
        <v>4760</v>
      </c>
      <c r="S10" s="35">
        <v>4520</v>
      </c>
      <c r="T10" s="14">
        <f t="shared" si="2"/>
        <v>240</v>
      </c>
      <c r="U10" s="26">
        <f t="shared" si="3"/>
        <v>167.07839999999999</v>
      </c>
    </row>
    <row r="11" spans="1:21">
      <c r="A11" s="9">
        <v>4</v>
      </c>
      <c r="B11" s="35">
        <v>4304</v>
      </c>
      <c r="C11" s="35">
        <v>4528</v>
      </c>
      <c r="D11" s="11">
        <f t="shared" ref="D11:D39" si="4">C11-B11</f>
        <v>224</v>
      </c>
      <c r="E11" s="12">
        <f>D11*E4</f>
        <v>33.6</v>
      </c>
      <c r="F11" s="35">
        <v>33222</v>
      </c>
      <c r="G11" s="35">
        <v>34712</v>
      </c>
      <c r="H11" s="14">
        <f t="shared" ref="H11:H39" si="5">G11-F11</f>
        <v>1490</v>
      </c>
      <c r="I11" s="12">
        <f>H11*E4</f>
        <v>223.5</v>
      </c>
      <c r="J11" s="35">
        <v>50684</v>
      </c>
      <c r="K11" s="35">
        <v>53297</v>
      </c>
      <c r="L11" s="14">
        <f t="shared" si="0"/>
        <v>2613</v>
      </c>
      <c r="M11" s="12">
        <f>L11*E4</f>
        <v>391.95</v>
      </c>
      <c r="N11" s="35">
        <v>143339</v>
      </c>
      <c r="O11" s="35">
        <v>143423</v>
      </c>
      <c r="P11" s="14">
        <f t="shared" si="1"/>
        <v>84</v>
      </c>
      <c r="Q11" s="12">
        <f>P11*L4</f>
        <v>584.64</v>
      </c>
      <c r="R11" s="35">
        <v>4520</v>
      </c>
      <c r="S11" s="35">
        <v>4240</v>
      </c>
      <c r="T11" s="14">
        <f t="shared" si="2"/>
        <v>280</v>
      </c>
      <c r="U11" s="26">
        <f t="shared" si="3"/>
        <v>194.9248</v>
      </c>
    </row>
    <row r="12" spans="1:21">
      <c r="A12" s="15">
        <v>5</v>
      </c>
      <c r="B12" s="35">
        <v>4528</v>
      </c>
      <c r="C12" s="35">
        <v>4742</v>
      </c>
      <c r="D12" s="11">
        <f t="shared" si="4"/>
        <v>214</v>
      </c>
      <c r="E12" s="12">
        <f>D12*E4</f>
        <v>32.1</v>
      </c>
      <c r="F12" s="35">
        <v>34712</v>
      </c>
      <c r="G12" s="35">
        <v>35961</v>
      </c>
      <c r="H12" s="14">
        <f t="shared" si="5"/>
        <v>1249</v>
      </c>
      <c r="I12" s="12">
        <f>H12*E4</f>
        <v>187.35</v>
      </c>
      <c r="J12" s="35">
        <v>53297</v>
      </c>
      <c r="K12" s="35">
        <v>55900</v>
      </c>
      <c r="L12" s="14">
        <f t="shared" si="0"/>
        <v>2603</v>
      </c>
      <c r="M12" s="12">
        <f>L12*E4</f>
        <v>390.45</v>
      </c>
      <c r="N12" s="35">
        <v>143423</v>
      </c>
      <c r="O12" s="35">
        <v>143497</v>
      </c>
      <c r="P12" s="14">
        <f t="shared" si="1"/>
        <v>74</v>
      </c>
      <c r="Q12" s="12">
        <f>P12*L4</f>
        <v>515.04</v>
      </c>
      <c r="R12" s="36">
        <v>4240</v>
      </c>
      <c r="S12" s="35">
        <v>4000</v>
      </c>
      <c r="T12" s="14">
        <f t="shared" si="2"/>
        <v>240</v>
      </c>
      <c r="U12" s="26">
        <f t="shared" si="3"/>
        <v>167.07839999999999</v>
      </c>
    </row>
    <row r="13" spans="1:21">
      <c r="A13" s="15">
        <v>6</v>
      </c>
      <c r="B13" s="35">
        <v>4742</v>
      </c>
      <c r="C13" s="35">
        <v>4958</v>
      </c>
      <c r="D13" s="11">
        <f t="shared" si="4"/>
        <v>216</v>
      </c>
      <c r="E13" s="12">
        <f>D13*E4</f>
        <v>32.4</v>
      </c>
      <c r="F13" s="35">
        <v>35961</v>
      </c>
      <c r="G13" s="35">
        <v>37675</v>
      </c>
      <c r="H13" s="14">
        <f t="shared" si="5"/>
        <v>1714</v>
      </c>
      <c r="I13" s="12">
        <f>H13*E4</f>
        <v>257.09999999999997</v>
      </c>
      <c r="J13" s="35">
        <v>55900</v>
      </c>
      <c r="K13" s="35">
        <v>58501</v>
      </c>
      <c r="L13" s="14">
        <f t="shared" si="0"/>
        <v>2601</v>
      </c>
      <c r="M13" s="12">
        <f>L13*E4</f>
        <v>390.15</v>
      </c>
      <c r="N13" s="35">
        <v>143497</v>
      </c>
      <c r="O13" s="35">
        <v>143598</v>
      </c>
      <c r="P13" s="14">
        <f t="shared" si="1"/>
        <v>101</v>
      </c>
      <c r="Q13" s="12">
        <f>P13*L4</f>
        <v>702.96</v>
      </c>
      <c r="R13" s="36">
        <v>4000</v>
      </c>
      <c r="S13" s="35">
        <v>3800</v>
      </c>
      <c r="T13" s="14">
        <f t="shared" si="2"/>
        <v>200</v>
      </c>
      <c r="U13" s="26">
        <f t="shared" si="3"/>
        <v>139.232</v>
      </c>
    </row>
    <row r="14" spans="1:21">
      <c r="A14" s="9">
        <v>7</v>
      </c>
      <c r="B14" s="35">
        <v>4958</v>
      </c>
      <c r="C14" s="35">
        <v>5179</v>
      </c>
      <c r="D14" s="11">
        <f t="shared" si="4"/>
        <v>221</v>
      </c>
      <c r="E14" s="12">
        <f>D14*E4</f>
        <v>33.15</v>
      </c>
      <c r="F14" s="35">
        <v>37675</v>
      </c>
      <c r="G14" s="35">
        <v>39405</v>
      </c>
      <c r="H14" s="14">
        <f t="shared" si="5"/>
        <v>1730</v>
      </c>
      <c r="I14" s="12">
        <f>H14*E4</f>
        <v>259.5</v>
      </c>
      <c r="J14" s="35">
        <v>58501</v>
      </c>
      <c r="K14" s="35">
        <v>61128</v>
      </c>
      <c r="L14" s="14">
        <f t="shared" si="0"/>
        <v>2627</v>
      </c>
      <c r="M14" s="12">
        <f>L14*E4</f>
        <v>394.05</v>
      </c>
      <c r="N14" s="35">
        <v>143598</v>
      </c>
      <c r="O14" s="35">
        <v>143658</v>
      </c>
      <c r="P14" s="14">
        <f t="shared" si="1"/>
        <v>60</v>
      </c>
      <c r="Q14" s="12">
        <f>P14*L4</f>
        <v>417.6</v>
      </c>
      <c r="R14" s="36">
        <v>3800</v>
      </c>
      <c r="S14" s="35">
        <v>3640</v>
      </c>
      <c r="T14" s="14">
        <f t="shared" si="2"/>
        <v>160</v>
      </c>
      <c r="U14" s="26">
        <f t="shared" si="3"/>
        <v>111.3856</v>
      </c>
    </row>
    <row r="15" spans="1:21">
      <c r="A15" s="15">
        <v>8</v>
      </c>
      <c r="B15" s="35">
        <v>5179</v>
      </c>
      <c r="C15" s="35">
        <v>5401</v>
      </c>
      <c r="D15" s="11">
        <f t="shared" si="4"/>
        <v>222</v>
      </c>
      <c r="E15" s="12">
        <f>D15*E4</f>
        <v>33.299999999999997</v>
      </c>
      <c r="F15" s="35">
        <v>39405</v>
      </c>
      <c r="G15" s="35">
        <v>41230</v>
      </c>
      <c r="H15" s="14">
        <f t="shared" si="5"/>
        <v>1825</v>
      </c>
      <c r="I15" s="12">
        <f>H15*E4</f>
        <v>273.75</v>
      </c>
      <c r="J15" s="35">
        <v>61128</v>
      </c>
      <c r="K15" s="35">
        <v>63801</v>
      </c>
      <c r="L15" s="14">
        <f t="shared" si="0"/>
        <v>2673</v>
      </c>
      <c r="M15" s="12">
        <f>L15*E4</f>
        <v>400.95</v>
      </c>
      <c r="N15" s="35">
        <v>143658</v>
      </c>
      <c r="O15" s="35">
        <v>143729</v>
      </c>
      <c r="P15" s="14">
        <f t="shared" si="1"/>
        <v>71</v>
      </c>
      <c r="Q15" s="12">
        <f>P15*L4</f>
        <v>494.16</v>
      </c>
      <c r="R15" s="36">
        <v>3640</v>
      </c>
      <c r="S15" s="35">
        <v>3400</v>
      </c>
      <c r="T15" s="14">
        <f t="shared" si="2"/>
        <v>240</v>
      </c>
      <c r="U15" s="26">
        <f t="shared" si="3"/>
        <v>167.07839999999999</v>
      </c>
    </row>
    <row r="16" spans="1:21">
      <c r="A16" s="15">
        <v>9</v>
      </c>
      <c r="B16" s="35">
        <v>5401</v>
      </c>
      <c r="C16" s="35">
        <v>5630</v>
      </c>
      <c r="D16" s="11">
        <f t="shared" si="4"/>
        <v>229</v>
      </c>
      <c r="E16" s="12">
        <f>D16*E4</f>
        <v>34.35</v>
      </c>
      <c r="F16" s="35">
        <v>41230</v>
      </c>
      <c r="G16" s="35">
        <v>42922</v>
      </c>
      <c r="H16" s="14">
        <f t="shared" si="5"/>
        <v>1692</v>
      </c>
      <c r="I16" s="12">
        <f>H16*E4</f>
        <v>253.79999999999998</v>
      </c>
      <c r="J16" s="35">
        <v>63801</v>
      </c>
      <c r="K16" s="35">
        <v>66532</v>
      </c>
      <c r="L16" s="14">
        <f t="shared" si="0"/>
        <v>2731</v>
      </c>
      <c r="M16" s="12">
        <f>L16*E4</f>
        <v>409.65</v>
      </c>
      <c r="N16" s="35">
        <v>143729</v>
      </c>
      <c r="O16" s="35">
        <v>143840</v>
      </c>
      <c r="P16" s="14">
        <f t="shared" si="1"/>
        <v>111</v>
      </c>
      <c r="Q16" s="12">
        <f>P16*L4</f>
        <v>772.56</v>
      </c>
      <c r="R16" s="36">
        <v>3400</v>
      </c>
      <c r="S16" s="35">
        <v>3240</v>
      </c>
      <c r="T16" s="14">
        <f t="shared" si="2"/>
        <v>160</v>
      </c>
      <c r="U16" s="26">
        <f t="shared" si="3"/>
        <v>111.3856</v>
      </c>
    </row>
    <row r="17" spans="1:21">
      <c r="A17" s="9">
        <v>10</v>
      </c>
      <c r="B17" s="35">
        <v>5630</v>
      </c>
      <c r="C17" s="35">
        <v>5840</v>
      </c>
      <c r="D17" s="11">
        <f t="shared" si="4"/>
        <v>210</v>
      </c>
      <c r="E17" s="12">
        <f>D17*E4</f>
        <v>31.5</v>
      </c>
      <c r="F17" s="35">
        <v>42922</v>
      </c>
      <c r="G17" s="35">
        <v>44513</v>
      </c>
      <c r="H17" s="14">
        <f t="shared" si="5"/>
        <v>1591</v>
      </c>
      <c r="I17" s="12">
        <f>H17*E4</f>
        <v>238.64999999999998</v>
      </c>
      <c r="J17" s="35">
        <v>66539</v>
      </c>
      <c r="K17" s="35">
        <v>69027</v>
      </c>
      <c r="L17" s="14">
        <f t="shared" si="0"/>
        <v>2488</v>
      </c>
      <c r="M17" s="12">
        <f>L17*E4</f>
        <v>373.2</v>
      </c>
      <c r="N17" s="35">
        <v>143840</v>
      </c>
      <c r="O17" s="35">
        <v>143910</v>
      </c>
      <c r="P17" s="14">
        <f t="shared" si="1"/>
        <v>70</v>
      </c>
      <c r="Q17" s="12">
        <f>P17*L4</f>
        <v>487.2</v>
      </c>
      <c r="R17" s="36">
        <v>3240</v>
      </c>
      <c r="S17" s="35">
        <v>3080</v>
      </c>
      <c r="T17" s="14">
        <f t="shared" si="2"/>
        <v>160</v>
      </c>
      <c r="U17" s="26">
        <f t="shared" si="3"/>
        <v>111.3856</v>
      </c>
    </row>
    <row r="18" spans="1:21">
      <c r="A18" s="15">
        <v>11</v>
      </c>
      <c r="B18" s="35">
        <v>5840</v>
      </c>
      <c r="C18" s="35">
        <v>6069</v>
      </c>
      <c r="D18" s="11">
        <f t="shared" si="4"/>
        <v>229</v>
      </c>
      <c r="E18" s="12">
        <f>D18*E4</f>
        <v>34.35</v>
      </c>
      <c r="F18" s="35">
        <v>44513</v>
      </c>
      <c r="G18" s="35">
        <v>46152</v>
      </c>
      <c r="H18" s="14">
        <f t="shared" si="5"/>
        <v>1639</v>
      </c>
      <c r="I18" s="12">
        <f>H18*E4</f>
        <v>245.85</v>
      </c>
      <c r="J18" s="35">
        <v>69027</v>
      </c>
      <c r="K18" s="35">
        <v>71677</v>
      </c>
      <c r="L18" s="14">
        <f t="shared" si="0"/>
        <v>2650</v>
      </c>
      <c r="M18" s="12">
        <f>L18*E4</f>
        <v>397.5</v>
      </c>
      <c r="N18" s="35">
        <v>143910</v>
      </c>
      <c r="O18" s="35">
        <v>143979</v>
      </c>
      <c r="P18" s="14">
        <f t="shared" si="1"/>
        <v>69</v>
      </c>
      <c r="Q18" s="12">
        <f>P18*L4</f>
        <v>480.24</v>
      </c>
      <c r="R18" s="36">
        <v>3080</v>
      </c>
      <c r="S18" s="35">
        <v>2920</v>
      </c>
      <c r="T18" s="14">
        <f t="shared" si="2"/>
        <v>160</v>
      </c>
      <c r="U18" s="26">
        <f t="shared" si="3"/>
        <v>111.3856</v>
      </c>
    </row>
    <row r="19" spans="1:21">
      <c r="A19" s="15">
        <v>12</v>
      </c>
      <c r="B19" s="10">
        <v>6069</v>
      </c>
      <c r="C19" s="11">
        <v>6291</v>
      </c>
      <c r="D19" s="11">
        <f t="shared" si="4"/>
        <v>222</v>
      </c>
      <c r="E19" s="12">
        <f>D19*E4</f>
        <v>33.299999999999997</v>
      </c>
      <c r="F19" s="35">
        <v>46152</v>
      </c>
      <c r="G19" s="14">
        <v>47765</v>
      </c>
      <c r="H19" s="14">
        <f t="shared" si="5"/>
        <v>1613</v>
      </c>
      <c r="I19" s="12">
        <f>H19*E4</f>
        <v>241.95</v>
      </c>
      <c r="J19" s="35">
        <v>71677</v>
      </c>
      <c r="K19" s="14">
        <v>74336</v>
      </c>
      <c r="L19" s="14">
        <f t="shared" si="0"/>
        <v>2659</v>
      </c>
      <c r="M19" s="12">
        <f>L19*E4</f>
        <v>398.84999999999997</v>
      </c>
      <c r="N19" s="35">
        <v>143979</v>
      </c>
      <c r="O19" s="14">
        <v>144050</v>
      </c>
      <c r="P19" s="14">
        <f t="shared" si="1"/>
        <v>71</v>
      </c>
      <c r="Q19" s="12">
        <f>P19*L4</f>
        <v>494.16</v>
      </c>
      <c r="R19" s="35">
        <v>2920</v>
      </c>
      <c r="S19" s="35">
        <v>2720</v>
      </c>
      <c r="T19" s="14">
        <f t="shared" si="2"/>
        <v>200</v>
      </c>
      <c r="U19" s="26">
        <f t="shared" si="3"/>
        <v>139.232</v>
      </c>
    </row>
    <row r="20" spans="1:21">
      <c r="A20" s="9">
        <v>13</v>
      </c>
      <c r="B20" s="11">
        <v>6291</v>
      </c>
      <c r="C20" s="35">
        <v>6508</v>
      </c>
      <c r="D20" s="11">
        <f t="shared" si="4"/>
        <v>217</v>
      </c>
      <c r="E20" s="12">
        <f>D20*E4</f>
        <v>32.549999999999997</v>
      </c>
      <c r="F20" s="14">
        <v>47765</v>
      </c>
      <c r="G20" s="35">
        <v>49314</v>
      </c>
      <c r="H20" s="14">
        <f t="shared" si="5"/>
        <v>1549</v>
      </c>
      <c r="I20" s="12">
        <f>H20*E4</f>
        <v>232.35</v>
      </c>
      <c r="J20" s="14">
        <v>74336</v>
      </c>
      <c r="K20" s="35">
        <v>76900</v>
      </c>
      <c r="L20" s="14">
        <f t="shared" si="0"/>
        <v>2564</v>
      </c>
      <c r="M20" s="12">
        <f>L20*E4</f>
        <v>384.59999999999997</v>
      </c>
      <c r="N20" s="14">
        <v>144050</v>
      </c>
      <c r="O20" s="35">
        <v>144113</v>
      </c>
      <c r="P20" s="14">
        <f>O20-N20</f>
        <v>63</v>
      </c>
      <c r="Q20" s="12">
        <f>P20*L4</f>
        <v>438.48</v>
      </c>
      <c r="R20" s="36">
        <v>2720</v>
      </c>
      <c r="S20" s="35">
        <v>2520</v>
      </c>
      <c r="T20" s="14">
        <f t="shared" si="2"/>
        <v>200</v>
      </c>
      <c r="U20" s="26">
        <f t="shared" si="3"/>
        <v>139.232</v>
      </c>
    </row>
    <row r="21" spans="1:21">
      <c r="A21" s="15">
        <v>14</v>
      </c>
      <c r="B21" s="35">
        <v>6508</v>
      </c>
      <c r="C21" s="35">
        <v>6726</v>
      </c>
      <c r="D21" s="11">
        <f t="shared" si="4"/>
        <v>218</v>
      </c>
      <c r="E21" s="12">
        <f>D21*E4</f>
        <v>32.699999999999996</v>
      </c>
      <c r="F21" s="35">
        <v>49314</v>
      </c>
      <c r="G21" s="35">
        <v>50731</v>
      </c>
      <c r="H21" s="14">
        <f t="shared" si="5"/>
        <v>1417</v>
      </c>
      <c r="I21" s="12">
        <f>H21*E4</f>
        <v>212.54999999999998</v>
      </c>
      <c r="J21" s="35">
        <v>76900</v>
      </c>
      <c r="K21" s="35">
        <v>79334</v>
      </c>
      <c r="L21" s="14">
        <f t="shared" si="0"/>
        <v>2434</v>
      </c>
      <c r="M21" s="12">
        <f>L21*E4</f>
        <v>365.09999999999997</v>
      </c>
      <c r="N21" s="35">
        <v>144113</v>
      </c>
      <c r="O21" s="35">
        <v>144167</v>
      </c>
      <c r="P21" s="14">
        <f t="shared" si="1"/>
        <v>54</v>
      </c>
      <c r="Q21" s="12">
        <f>P21*L4</f>
        <v>375.84</v>
      </c>
      <c r="R21" s="35">
        <v>2520</v>
      </c>
      <c r="S21" s="36">
        <v>2320</v>
      </c>
      <c r="T21" s="14">
        <f t="shared" si="2"/>
        <v>200</v>
      </c>
      <c r="U21" s="26">
        <f t="shared" si="3"/>
        <v>139.232</v>
      </c>
    </row>
    <row r="22" spans="1:21">
      <c r="A22" s="15">
        <v>15</v>
      </c>
      <c r="B22" s="35">
        <v>6726</v>
      </c>
      <c r="C22" s="35">
        <v>6946</v>
      </c>
      <c r="D22" s="11">
        <f t="shared" si="4"/>
        <v>220</v>
      </c>
      <c r="E22" s="12">
        <f>D22*E4</f>
        <v>33</v>
      </c>
      <c r="F22" s="35">
        <v>50731</v>
      </c>
      <c r="G22" s="35">
        <v>52295</v>
      </c>
      <c r="H22" s="14">
        <f t="shared" si="5"/>
        <v>1564</v>
      </c>
      <c r="I22" s="12">
        <f>H22*E4</f>
        <v>234.6</v>
      </c>
      <c r="J22" s="35">
        <v>79334</v>
      </c>
      <c r="K22" s="35">
        <v>81839</v>
      </c>
      <c r="L22" s="14">
        <f t="shared" si="0"/>
        <v>2505</v>
      </c>
      <c r="M22" s="12">
        <f>L22*E4</f>
        <v>375.75</v>
      </c>
      <c r="N22" s="35">
        <v>144167</v>
      </c>
      <c r="O22" s="35">
        <v>144233</v>
      </c>
      <c r="P22" s="14">
        <f t="shared" si="1"/>
        <v>66</v>
      </c>
      <c r="Q22" s="12">
        <f>P22*L4</f>
        <v>459.36</v>
      </c>
      <c r="R22" s="35">
        <v>2320</v>
      </c>
      <c r="S22" s="35">
        <v>2120</v>
      </c>
      <c r="T22" s="14">
        <f t="shared" si="2"/>
        <v>200</v>
      </c>
      <c r="U22" s="26">
        <f>T22*T4</f>
        <v>139.232</v>
      </c>
    </row>
    <row r="23" spans="1:21">
      <c r="A23" s="9">
        <v>16</v>
      </c>
      <c r="B23" s="35">
        <v>6946</v>
      </c>
      <c r="C23" s="35">
        <v>7160</v>
      </c>
      <c r="D23" s="11">
        <f>C23-B23</f>
        <v>214</v>
      </c>
      <c r="E23" s="12">
        <f>D23*E4</f>
        <v>32.1</v>
      </c>
      <c r="F23" s="35">
        <v>52295</v>
      </c>
      <c r="G23" s="35">
        <v>53845</v>
      </c>
      <c r="H23" s="14">
        <f t="shared" si="5"/>
        <v>1550</v>
      </c>
      <c r="I23" s="12">
        <f>H23*E4</f>
        <v>232.5</v>
      </c>
      <c r="J23" s="35">
        <v>81839</v>
      </c>
      <c r="K23" s="35">
        <v>84395</v>
      </c>
      <c r="L23" s="14">
        <f t="shared" si="0"/>
        <v>2556</v>
      </c>
      <c r="M23" s="12">
        <f>L23*E4</f>
        <v>383.4</v>
      </c>
      <c r="N23" s="35">
        <v>144233</v>
      </c>
      <c r="O23" s="35">
        <v>144295</v>
      </c>
      <c r="P23" s="14">
        <f t="shared" si="1"/>
        <v>62</v>
      </c>
      <c r="Q23" s="12">
        <f>P23*L4</f>
        <v>431.52</v>
      </c>
      <c r="R23" s="36">
        <v>2120</v>
      </c>
      <c r="S23" s="35">
        <v>1960</v>
      </c>
      <c r="T23" s="14">
        <f t="shared" si="2"/>
        <v>160</v>
      </c>
      <c r="U23" s="26">
        <f t="shared" si="3"/>
        <v>111.3856</v>
      </c>
    </row>
    <row r="24" spans="1:21">
      <c r="A24" s="15">
        <v>17</v>
      </c>
      <c r="B24" s="35">
        <v>7160</v>
      </c>
      <c r="C24" s="35">
        <v>7383</v>
      </c>
      <c r="D24" s="11">
        <f t="shared" si="4"/>
        <v>223</v>
      </c>
      <c r="E24" s="12">
        <f>D24*E4</f>
        <v>33.449999999999996</v>
      </c>
      <c r="F24" s="35">
        <v>53845</v>
      </c>
      <c r="G24" s="35">
        <v>55703</v>
      </c>
      <c r="H24" s="14">
        <f t="shared" si="5"/>
        <v>1858</v>
      </c>
      <c r="I24" s="12">
        <f>H24*E4</f>
        <v>278.7</v>
      </c>
      <c r="J24" s="35">
        <v>84395</v>
      </c>
      <c r="K24" s="35">
        <v>87043</v>
      </c>
      <c r="L24" s="14">
        <f t="shared" si="0"/>
        <v>2648</v>
      </c>
      <c r="M24" s="12">
        <f>L24*E4</f>
        <v>397.2</v>
      </c>
      <c r="N24" s="35">
        <v>144295</v>
      </c>
      <c r="O24" s="35">
        <v>144357</v>
      </c>
      <c r="P24" s="14">
        <f t="shared" si="1"/>
        <v>62</v>
      </c>
      <c r="Q24" s="12">
        <f>P24*L4</f>
        <v>431.52</v>
      </c>
      <c r="R24" s="36">
        <v>1960</v>
      </c>
      <c r="S24" s="35">
        <v>1720</v>
      </c>
      <c r="T24" s="14">
        <f t="shared" si="2"/>
        <v>240</v>
      </c>
      <c r="U24" s="26">
        <f t="shared" si="3"/>
        <v>167.07839999999999</v>
      </c>
    </row>
    <row r="25" spans="1:21">
      <c r="A25" s="15">
        <v>18</v>
      </c>
      <c r="B25" s="35">
        <v>7383</v>
      </c>
      <c r="C25" s="35">
        <v>7605</v>
      </c>
      <c r="D25" s="11">
        <f t="shared" si="4"/>
        <v>222</v>
      </c>
      <c r="E25" s="12">
        <f>D25*E4</f>
        <v>33.299999999999997</v>
      </c>
      <c r="F25" s="35">
        <v>55703</v>
      </c>
      <c r="G25" s="35">
        <v>57273</v>
      </c>
      <c r="H25" s="14">
        <f t="shared" si="5"/>
        <v>1570</v>
      </c>
      <c r="I25" s="12">
        <f>H25*E4</f>
        <v>235.5</v>
      </c>
      <c r="J25" s="35">
        <v>87043</v>
      </c>
      <c r="K25" s="35">
        <v>89636</v>
      </c>
      <c r="L25" s="14">
        <f t="shared" si="0"/>
        <v>2593</v>
      </c>
      <c r="M25" s="12">
        <f>L25*E4</f>
        <v>388.95</v>
      </c>
      <c r="N25" s="35">
        <v>144357</v>
      </c>
      <c r="O25" s="35">
        <v>144414</v>
      </c>
      <c r="P25" s="14">
        <f t="shared" si="1"/>
        <v>57</v>
      </c>
      <c r="Q25" s="12">
        <f>P25*L4</f>
        <v>396.71999999999997</v>
      </c>
      <c r="R25" s="36">
        <v>5880</v>
      </c>
      <c r="S25" s="35">
        <v>5720</v>
      </c>
      <c r="T25" s="14">
        <f t="shared" si="2"/>
        <v>160</v>
      </c>
      <c r="U25" s="26">
        <f t="shared" si="3"/>
        <v>111.3856</v>
      </c>
    </row>
    <row r="26" spans="1:21">
      <c r="A26" s="9">
        <v>19</v>
      </c>
      <c r="B26" s="35">
        <v>7605</v>
      </c>
      <c r="C26" s="35">
        <v>7821</v>
      </c>
      <c r="D26" s="11">
        <f>C26-B26</f>
        <v>216</v>
      </c>
      <c r="E26" s="12">
        <f>D26*E4</f>
        <v>32.4</v>
      </c>
      <c r="F26" s="35">
        <v>57273</v>
      </c>
      <c r="G26" s="35">
        <v>58854</v>
      </c>
      <c r="H26" s="14">
        <f t="shared" si="5"/>
        <v>1581</v>
      </c>
      <c r="I26" s="12">
        <f>H26*E4</f>
        <v>237.14999999999998</v>
      </c>
      <c r="J26" s="35">
        <v>89636</v>
      </c>
      <c r="K26" s="35">
        <v>92179</v>
      </c>
      <c r="L26" s="14">
        <f t="shared" si="0"/>
        <v>2543</v>
      </c>
      <c r="M26" s="12">
        <f>L26*E4</f>
        <v>381.45</v>
      </c>
      <c r="N26" s="35">
        <v>144414</v>
      </c>
      <c r="O26" s="35">
        <v>144472</v>
      </c>
      <c r="P26" s="14">
        <f t="shared" si="1"/>
        <v>58</v>
      </c>
      <c r="Q26" s="12">
        <f>P26*L4</f>
        <v>403.68</v>
      </c>
      <c r="R26" s="35">
        <v>5720</v>
      </c>
      <c r="S26" s="35">
        <v>5560</v>
      </c>
      <c r="T26" s="14">
        <f t="shared" si="2"/>
        <v>160</v>
      </c>
      <c r="U26" s="26">
        <f t="shared" si="3"/>
        <v>111.3856</v>
      </c>
    </row>
    <row r="27" spans="1:21">
      <c r="A27" s="15">
        <v>20</v>
      </c>
      <c r="B27" s="35">
        <v>7821</v>
      </c>
      <c r="C27" s="35">
        <v>8033</v>
      </c>
      <c r="D27" s="11">
        <f t="shared" si="4"/>
        <v>212</v>
      </c>
      <c r="E27" s="12">
        <f>D27*E4</f>
        <v>31.799999999999997</v>
      </c>
      <c r="F27" s="35">
        <v>58854</v>
      </c>
      <c r="G27" s="33">
        <v>60028</v>
      </c>
      <c r="H27" s="14">
        <f t="shared" si="5"/>
        <v>1174</v>
      </c>
      <c r="I27" s="12">
        <f>H27*E4</f>
        <v>176.1</v>
      </c>
      <c r="J27" s="35">
        <v>92179</v>
      </c>
      <c r="K27" s="35">
        <v>94723</v>
      </c>
      <c r="L27" s="14">
        <f t="shared" si="0"/>
        <v>2544</v>
      </c>
      <c r="M27" s="12">
        <f>L27*E4</f>
        <v>381.59999999999997</v>
      </c>
      <c r="N27" s="35">
        <v>144472</v>
      </c>
      <c r="O27" s="35">
        <v>144526</v>
      </c>
      <c r="P27" s="14">
        <f t="shared" si="1"/>
        <v>54</v>
      </c>
      <c r="Q27" s="12">
        <f>P27*L4</f>
        <v>375.84</v>
      </c>
      <c r="R27" s="36">
        <v>5560</v>
      </c>
      <c r="S27" s="35">
        <v>5360</v>
      </c>
      <c r="T27" s="14">
        <f t="shared" si="2"/>
        <v>200</v>
      </c>
      <c r="U27" s="26">
        <f t="shared" si="3"/>
        <v>139.232</v>
      </c>
    </row>
    <row r="28" spans="1:21">
      <c r="A28" s="15">
        <v>21</v>
      </c>
      <c r="B28" s="35">
        <v>8033</v>
      </c>
      <c r="C28" s="35">
        <v>8257</v>
      </c>
      <c r="D28" s="11">
        <f t="shared" si="4"/>
        <v>224</v>
      </c>
      <c r="E28" s="12">
        <f>D28*E4</f>
        <v>33.6</v>
      </c>
      <c r="F28" s="33">
        <v>60028</v>
      </c>
      <c r="G28" s="35">
        <v>61416</v>
      </c>
      <c r="H28" s="14">
        <f t="shared" si="5"/>
        <v>1388</v>
      </c>
      <c r="I28" s="12">
        <f>H28*E4</f>
        <v>208.2</v>
      </c>
      <c r="J28" s="35">
        <v>94723</v>
      </c>
      <c r="K28" s="35">
        <v>97331</v>
      </c>
      <c r="L28" s="14">
        <f t="shared" si="0"/>
        <v>2608</v>
      </c>
      <c r="M28" s="12">
        <f>L28*E4</f>
        <v>391.2</v>
      </c>
      <c r="N28" s="35">
        <v>144526</v>
      </c>
      <c r="O28" s="35">
        <v>144595</v>
      </c>
      <c r="P28" s="14">
        <f t="shared" si="1"/>
        <v>69</v>
      </c>
      <c r="Q28" s="12">
        <f>P28*L4</f>
        <v>480.24</v>
      </c>
      <c r="R28" s="36">
        <v>5360</v>
      </c>
      <c r="S28" s="35">
        <v>5160</v>
      </c>
      <c r="T28" s="14">
        <f t="shared" si="2"/>
        <v>200</v>
      </c>
      <c r="U28" s="26">
        <f t="shared" si="3"/>
        <v>139.232</v>
      </c>
    </row>
    <row r="29" spans="1:21">
      <c r="A29" s="9">
        <v>22</v>
      </c>
      <c r="B29" s="35">
        <v>8257</v>
      </c>
      <c r="C29" s="35">
        <v>8475</v>
      </c>
      <c r="D29" s="11">
        <f t="shared" si="4"/>
        <v>218</v>
      </c>
      <c r="E29" s="12">
        <f>D29*E4</f>
        <v>32.699999999999996</v>
      </c>
      <c r="F29" s="35">
        <v>61416</v>
      </c>
      <c r="G29" s="35">
        <v>62870</v>
      </c>
      <c r="H29" s="14">
        <f t="shared" si="5"/>
        <v>1454</v>
      </c>
      <c r="I29" s="12">
        <f>H29*E4</f>
        <v>218.1</v>
      </c>
      <c r="J29" s="35">
        <v>97331</v>
      </c>
      <c r="K29" s="35">
        <v>99872</v>
      </c>
      <c r="L29" s="14">
        <f t="shared" si="0"/>
        <v>2541</v>
      </c>
      <c r="M29" s="12">
        <f>L29*E4</f>
        <v>381.15</v>
      </c>
      <c r="N29" s="35">
        <v>144595</v>
      </c>
      <c r="O29" s="35">
        <v>144647</v>
      </c>
      <c r="P29" s="14">
        <f t="shared" si="1"/>
        <v>52</v>
      </c>
      <c r="Q29" s="12">
        <f>P29*L4</f>
        <v>361.92</v>
      </c>
      <c r="R29" s="36">
        <v>5160</v>
      </c>
      <c r="S29" s="35">
        <v>4960</v>
      </c>
      <c r="T29" s="14">
        <f t="shared" si="2"/>
        <v>200</v>
      </c>
      <c r="U29" s="26">
        <f t="shared" si="3"/>
        <v>139.232</v>
      </c>
    </row>
    <row r="30" spans="1:21">
      <c r="A30" s="15">
        <v>23</v>
      </c>
      <c r="B30" s="35">
        <v>8475</v>
      </c>
      <c r="C30" s="35">
        <v>8693</v>
      </c>
      <c r="D30" s="11">
        <f t="shared" si="4"/>
        <v>218</v>
      </c>
      <c r="E30" s="12">
        <f>D30*E4</f>
        <v>32.699999999999996</v>
      </c>
      <c r="F30" s="35">
        <v>62870</v>
      </c>
      <c r="G30" s="35">
        <v>64352</v>
      </c>
      <c r="H30" s="14">
        <f t="shared" si="5"/>
        <v>1482</v>
      </c>
      <c r="I30" s="12">
        <f>H30*E4</f>
        <v>222.29999999999998</v>
      </c>
      <c r="J30" s="35">
        <v>99872</v>
      </c>
      <c r="K30" s="35">
        <v>102410</v>
      </c>
      <c r="L30" s="14">
        <f t="shared" si="0"/>
        <v>2538</v>
      </c>
      <c r="M30" s="12">
        <f>L30*E4</f>
        <v>380.7</v>
      </c>
      <c r="N30" s="35">
        <v>144647</v>
      </c>
      <c r="O30" s="35">
        <v>144716</v>
      </c>
      <c r="P30" s="14">
        <f t="shared" si="1"/>
        <v>69</v>
      </c>
      <c r="Q30" s="12">
        <f>P30*L4</f>
        <v>480.24</v>
      </c>
      <c r="R30" s="36">
        <v>4960</v>
      </c>
      <c r="S30" s="35">
        <v>4720</v>
      </c>
      <c r="T30" s="14">
        <f t="shared" si="2"/>
        <v>240</v>
      </c>
      <c r="U30" s="26">
        <f t="shared" si="3"/>
        <v>167.07839999999999</v>
      </c>
    </row>
    <row r="31" spans="1:21">
      <c r="A31" s="15">
        <v>24</v>
      </c>
      <c r="B31" s="35">
        <v>8693</v>
      </c>
      <c r="C31" s="35">
        <v>8916</v>
      </c>
      <c r="D31" s="11">
        <f t="shared" si="4"/>
        <v>223</v>
      </c>
      <c r="E31" s="12">
        <f>D31*E4</f>
        <v>33.449999999999996</v>
      </c>
      <c r="F31" s="35">
        <v>64352</v>
      </c>
      <c r="G31" s="35">
        <v>66053</v>
      </c>
      <c r="H31" s="14">
        <f t="shared" si="5"/>
        <v>1701</v>
      </c>
      <c r="I31" s="12">
        <f>H31*E4</f>
        <v>255.14999999999998</v>
      </c>
      <c r="J31" s="35">
        <v>102410</v>
      </c>
      <c r="K31" s="35">
        <v>105066</v>
      </c>
      <c r="L31" s="14">
        <f t="shared" si="0"/>
        <v>2656</v>
      </c>
      <c r="M31" s="12">
        <f>L31*E4</f>
        <v>398.4</v>
      </c>
      <c r="N31" s="35">
        <v>144716</v>
      </c>
      <c r="O31" s="35">
        <v>144781</v>
      </c>
      <c r="P31" s="14">
        <f t="shared" si="1"/>
        <v>65</v>
      </c>
      <c r="Q31" s="12">
        <f>P31*L4</f>
        <v>452.4</v>
      </c>
      <c r="R31" s="36">
        <v>4720</v>
      </c>
      <c r="S31" s="35">
        <v>4520</v>
      </c>
      <c r="T31" s="14">
        <f t="shared" si="2"/>
        <v>200</v>
      </c>
      <c r="U31" s="26">
        <f t="shared" si="3"/>
        <v>139.232</v>
      </c>
    </row>
    <row r="32" spans="1:21">
      <c r="A32" s="9">
        <v>25</v>
      </c>
      <c r="B32" s="35">
        <v>8916</v>
      </c>
      <c r="C32" s="35">
        <v>9131</v>
      </c>
      <c r="D32" s="11">
        <f t="shared" si="4"/>
        <v>215</v>
      </c>
      <c r="E32" s="12">
        <f>D32*E4</f>
        <v>32.25</v>
      </c>
      <c r="F32" s="35">
        <v>66053</v>
      </c>
      <c r="G32" s="35">
        <v>67499</v>
      </c>
      <c r="H32" s="14">
        <f t="shared" si="5"/>
        <v>1446</v>
      </c>
      <c r="I32" s="12">
        <f>H32*E4</f>
        <v>216.9</v>
      </c>
      <c r="J32" s="35">
        <v>105066</v>
      </c>
      <c r="K32" s="35">
        <v>107630</v>
      </c>
      <c r="L32" s="14">
        <f t="shared" si="0"/>
        <v>2564</v>
      </c>
      <c r="M32" s="12">
        <f>L32*E4</f>
        <v>384.59999999999997</v>
      </c>
      <c r="N32" s="35">
        <v>144781</v>
      </c>
      <c r="O32" s="35">
        <v>144854</v>
      </c>
      <c r="P32" s="14">
        <f t="shared" si="1"/>
        <v>73</v>
      </c>
      <c r="Q32" s="12">
        <f>P32*L4</f>
        <v>508.08</v>
      </c>
      <c r="R32" s="36">
        <v>4520</v>
      </c>
      <c r="S32" s="35">
        <v>4320</v>
      </c>
      <c r="T32" s="14">
        <f t="shared" si="2"/>
        <v>200</v>
      </c>
      <c r="U32" s="26">
        <f t="shared" si="3"/>
        <v>139.232</v>
      </c>
    </row>
    <row r="33" spans="1:21">
      <c r="A33" s="15">
        <v>26</v>
      </c>
      <c r="B33" s="35">
        <v>9131</v>
      </c>
      <c r="C33" s="35">
        <v>9350</v>
      </c>
      <c r="D33" s="11">
        <f t="shared" si="4"/>
        <v>219</v>
      </c>
      <c r="E33" s="12">
        <f>D33*E4</f>
        <v>32.85</v>
      </c>
      <c r="F33" s="35">
        <v>67499</v>
      </c>
      <c r="G33" s="35">
        <v>69308</v>
      </c>
      <c r="H33" s="14">
        <f t="shared" si="5"/>
        <v>1809</v>
      </c>
      <c r="I33" s="12">
        <f>H33*E4</f>
        <v>271.34999999999997</v>
      </c>
      <c r="J33" s="35">
        <v>107630</v>
      </c>
      <c r="K33" s="35">
        <v>110287</v>
      </c>
      <c r="L33" s="14">
        <f t="shared" si="0"/>
        <v>2657</v>
      </c>
      <c r="M33" s="12">
        <f>L33*E4</f>
        <v>398.55</v>
      </c>
      <c r="N33" s="35">
        <v>144854</v>
      </c>
      <c r="O33" s="35">
        <v>144930</v>
      </c>
      <c r="P33" s="14">
        <f t="shared" si="1"/>
        <v>76</v>
      </c>
      <c r="Q33" s="12">
        <f>P33*L4</f>
        <v>528.96</v>
      </c>
      <c r="R33" s="36">
        <v>4320</v>
      </c>
      <c r="S33" s="35">
        <v>4160</v>
      </c>
      <c r="T33" s="14">
        <f t="shared" si="2"/>
        <v>160</v>
      </c>
      <c r="U33" s="26">
        <f t="shared" si="3"/>
        <v>111.3856</v>
      </c>
    </row>
    <row r="34" spans="1:21">
      <c r="A34" s="15">
        <v>27</v>
      </c>
      <c r="B34" s="35">
        <v>9350</v>
      </c>
      <c r="C34" s="35">
        <v>9567</v>
      </c>
      <c r="D34" s="11">
        <f t="shared" si="4"/>
        <v>217</v>
      </c>
      <c r="E34" s="12">
        <f>D34*E4</f>
        <v>32.549999999999997</v>
      </c>
      <c r="F34" s="35">
        <v>69308</v>
      </c>
      <c r="G34" s="35">
        <v>70947</v>
      </c>
      <c r="H34" s="14">
        <f t="shared" si="5"/>
        <v>1639</v>
      </c>
      <c r="I34" s="12">
        <f>H34*E4</f>
        <v>245.85</v>
      </c>
      <c r="J34" s="35">
        <v>110287</v>
      </c>
      <c r="K34" s="35">
        <v>112862</v>
      </c>
      <c r="L34" s="14">
        <f t="shared" si="0"/>
        <v>2575</v>
      </c>
      <c r="M34" s="12">
        <f>L34*E4</f>
        <v>386.25</v>
      </c>
      <c r="N34" s="35">
        <v>144930</v>
      </c>
      <c r="O34" s="35">
        <v>144991</v>
      </c>
      <c r="P34" s="14">
        <f t="shared" si="1"/>
        <v>61</v>
      </c>
      <c r="Q34" s="12">
        <f>P34*L4</f>
        <v>424.56</v>
      </c>
      <c r="R34" s="36">
        <v>4160</v>
      </c>
      <c r="S34" s="35">
        <v>4000</v>
      </c>
      <c r="T34" s="14">
        <f t="shared" si="2"/>
        <v>160</v>
      </c>
      <c r="U34" s="26">
        <f t="shared" si="3"/>
        <v>111.3856</v>
      </c>
    </row>
    <row r="35" spans="1:21">
      <c r="A35" s="9">
        <v>28</v>
      </c>
      <c r="B35" s="35">
        <v>9567</v>
      </c>
      <c r="C35" s="35">
        <v>9786</v>
      </c>
      <c r="D35" s="11">
        <f t="shared" si="4"/>
        <v>219</v>
      </c>
      <c r="E35" s="12">
        <f>D35*E4</f>
        <v>32.85</v>
      </c>
      <c r="F35" s="35">
        <v>70947</v>
      </c>
      <c r="G35" s="35">
        <v>72570</v>
      </c>
      <c r="H35" s="14">
        <f t="shared" si="5"/>
        <v>1623</v>
      </c>
      <c r="I35" s="12">
        <f>H35*E4</f>
        <v>243.45</v>
      </c>
      <c r="J35" s="35">
        <v>112862</v>
      </c>
      <c r="K35" s="35">
        <v>115428</v>
      </c>
      <c r="L35" s="14">
        <f t="shared" si="0"/>
        <v>2566</v>
      </c>
      <c r="M35" s="12">
        <f>L35*E4</f>
        <v>384.9</v>
      </c>
      <c r="N35" s="35">
        <v>144991</v>
      </c>
      <c r="O35" s="35">
        <v>145052</v>
      </c>
      <c r="P35" s="14">
        <f t="shared" si="1"/>
        <v>61</v>
      </c>
      <c r="Q35" s="12">
        <f>P35*L4</f>
        <v>424.56</v>
      </c>
      <c r="R35" s="36">
        <v>4000</v>
      </c>
      <c r="S35" s="35">
        <v>3840</v>
      </c>
      <c r="T35" s="14">
        <f t="shared" si="2"/>
        <v>160</v>
      </c>
      <c r="U35" s="26">
        <f t="shared" si="3"/>
        <v>111.3856</v>
      </c>
    </row>
    <row r="36" spans="1:21">
      <c r="A36" s="15">
        <v>29</v>
      </c>
      <c r="B36" s="35">
        <v>9786</v>
      </c>
      <c r="C36" s="35">
        <v>10003</v>
      </c>
      <c r="D36" s="11">
        <f t="shared" si="4"/>
        <v>217</v>
      </c>
      <c r="E36" s="12">
        <f>D36*E4</f>
        <v>32.549999999999997</v>
      </c>
      <c r="F36" s="35">
        <v>72570</v>
      </c>
      <c r="G36" s="35">
        <v>74223</v>
      </c>
      <c r="H36" s="14">
        <f t="shared" si="5"/>
        <v>1653</v>
      </c>
      <c r="I36" s="12">
        <f>H36*E4</f>
        <v>247.95</v>
      </c>
      <c r="J36" s="35">
        <v>115428</v>
      </c>
      <c r="K36" s="35">
        <v>117999</v>
      </c>
      <c r="L36" s="14">
        <f t="shared" si="0"/>
        <v>2571</v>
      </c>
      <c r="M36" s="12">
        <f>L36*E4</f>
        <v>385.65</v>
      </c>
      <c r="N36" s="35">
        <v>145052</v>
      </c>
      <c r="O36" s="35">
        <v>145116</v>
      </c>
      <c r="P36" s="14">
        <f t="shared" si="1"/>
        <v>64</v>
      </c>
      <c r="Q36" s="12">
        <f>P36*L4</f>
        <v>445.44</v>
      </c>
      <c r="R36" s="36">
        <v>3840</v>
      </c>
      <c r="S36" s="35">
        <v>3600</v>
      </c>
      <c r="T36" s="14">
        <f t="shared" si="2"/>
        <v>240</v>
      </c>
      <c r="U36" s="26">
        <f t="shared" si="3"/>
        <v>167.07839999999999</v>
      </c>
    </row>
    <row r="37" spans="1:21">
      <c r="A37" s="15">
        <v>30</v>
      </c>
      <c r="B37" s="35">
        <v>10003</v>
      </c>
      <c r="C37" s="35">
        <v>10219</v>
      </c>
      <c r="D37" s="11">
        <f t="shared" si="4"/>
        <v>216</v>
      </c>
      <c r="E37" s="12">
        <f>D37*E4</f>
        <v>32.4</v>
      </c>
      <c r="F37" s="35">
        <v>74223</v>
      </c>
      <c r="G37" s="35">
        <v>75815</v>
      </c>
      <c r="H37" s="14">
        <f t="shared" si="5"/>
        <v>1592</v>
      </c>
      <c r="I37" s="12">
        <f>H37*E4</f>
        <v>238.79999999999998</v>
      </c>
      <c r="J37" s="35">
        <v>117999</v>
      </c>
      <c r="K37" s="35">
        <v>120558</v>
      </c>
      <c r="L37" s="14">
        <f t="shared" si="0"/>
        <v>2559</v>
      </c>
      <c r="M37" s="12">
        <f>L37*E4</f>
        <v>383.84999999999997</v>
      </c>
      <c r="N37" s="35">
        <v>145116</v>
      </c>
      <c r="O37" s="35">
        <v>145196</v>
      </c>
      <c r="P37" s="14">
        <f t="shared" si="1"/>
        <v>80</v>
      </c>
      <c r="Q37" s="12">
        <f>P37*L4</f>
        <v>556.79999999999995</v>
      </c>
      <c r="R37" s="36">
        <v>3600</v>
      </c>
      <c r="S37" s="35">
        <v>3360</v>
      </c>
      <c r="T37" s="14">
        <f t="shared" si="2"/>
        <v>240</v>
      </c>
      <c r="U37" s="26">
        <f t="shared" si="3"/>
        <v>167.07839999999999</v>
      </c>
    </row>
    <row r="38" spans="1:21">
      <c r="A38" s="9">
        <v>31</v>
      </c>
      <c r="B38" s="35">
        <v>10219</v>
      </c>
      <c r="C38" s="35">
        <v>10423</v>
      </c>
      <c r="D38" s="11">
        <f t="shared" si="4"/>
        <v>204</v>
      </c>
      <c r="E38" s="12">
        <f>D38*E4</f>
        <v>30.599999999999998</v>
      </c>
      <c r="F38" s="35">
        <v>75815</v>
      </c>
      <c r="G38" s="35">
        <v>77317</v>
      </c>
      <c r="H38" s="14">
        <f t="shared" si="5"/>
        <v>1502</v>
      </c>
      <c r="I38" s="12">
        <f>H38*E4</f>
        <v>225.29999999999998</v>
      </c>
      <c r="J38" s="35">
        <v>120558</v>
      </c>
      <c r="K38" s="35">
        <v>123196</v>
      </c>
      <c r="L38" s="14">
        <f t="shared" si="0"/>
        <v>2638</v>
      </c>
      <c r="M38" s="12">
        <f>L38*E4</f>
        <v>395.7</v>
      </c>
      <c r="N38" s="35">
        <v>145196</v>
      </c>
      <c r="O38" s="35">
        <v>145266</v>
      </c>
      <c r="P38" s="14">
        <f t="shared" si="1"/>
        <v>70</v>
      </c>
      <c r="Q38" s="12">
        <f>P38*L4</f>
        <v>487.2</v>
      </c>
      <c r="R38" s="36">
        <v>3360</v>
      </c>
      <c r="S38" s="35">
        <v>3160</v>
      </c>
      <c r="T38" s="14">
        <f t="shared" si="2"/>
        <v>200</v>
      </c>
      <c r="U38" s="26">
        <f t="shared" si="3"/>
        <v>139.232</v>
      </c>
    </row>
    <row r="39" spans="1:21">
      <c r="A39" s="15"/>
      <c r="B39" s="35"/>
      <c r="C39" s="35"/>
      <c r="D39" s="11">
        <f t="shared" si="4"/>
        <v>0</v>
      </c>
      <c r="E39" s="12">
        <f>D39*E4</f>
        <v>0</v>
      </c>
      <c r="F39" s="35"/>
      <c r="G39" s="35"/>
      <c r="H39" s="14">
        <f t="shared" si="5"/>
        <v>0</v>
      </c>
      <c r="I39" s="12">
        <f>H39*E4</f>
        <v>0</v>
      </c>
      <c r="J39" s="35"/>
      <c r="K39" s="35"/>
      <c r="L39" s="14">
        <f t="shared" si="0"/>
        <v>0</v>
      </c>
      <c r="M39" s="12">
        <f>L39*E4</f>
        <v>0</v>
      </c>
      <c r="N39" s="35"/>
      <c r="O39" s="35"/>
      <c r="P39" s="14">
        <f t="shared" si="1"/>
        <v>0</v>
      </c>
      <c r="Q39" s="12">
        <f>P39*L4</f>
        <v>0</v>
      </c>
      <c r="R39" s="36"/>
      <c r="S39" s="35"/>
      <c r="T39" s="14">
        <f t="shared" si="2"/>
        <v>0</v>
      </c>
      <c r="U39" s="26">
        <f t="shared" si="3"/>
        <v>0</v>
      </c>
    </row>
    <row r="40" spans="1:21" ht="15.75" thickBot="1">
      <c r="A40" s="65" t="s">
        <v>16</v>
      </c>
      <c r="B40" s="66"/>
      <c r="C40" s="66"/>
      <c r="D40" s="34">
        <f>SUM(D8:D39)</f>
        <v>6798</v>
      </c>
      <c r="E40" s="17">
        <f>SUM(E8:E39)</f>
        <v>1019.7</v>
      </c>
      <c r="F40" s="18"/>
      <c r="G40" s="16"/>
      <c r="H40" s="16">
        <f>SUM(H8:H39)</f>
        <v>48985</v>
      </c>
      <c r="I40" s="21">
        <f>SUM(I8:I39)</f>
        <v>7347.75</v>
      </c>
      <c r="J40" s="18"/>
      <c r="K40" s="16"/>
      <c r="L40" s="16">
        <f>SUM(L8:L39)</f>
        <v>80268</v>
      </c>
      <c r="M40" s="21">
        <f>SUM(M8:M39)</f>
        <v>12040.2</v>
      </c>
      <c r="N40" s="18"/>
      <c r="O40" s="16"/>
      <c r="P40" s="16">
        <f>SUM(P8:P39)</f>
        <v>2132</v>
      </c>
      <c r="Q40" s="21">
        <f>SUM(Q8:Q39)</f>
        <v>14838.72</v>
      </c>
      <c r="R40" s="16"/>
      <c r="S40" s="16"/>
      <c r="T40" s="16">
        <f>SUM(T8:T39)</f>
        <v>6000</v>
      </c>
      <c r="U40" s="21">
        <f>SUM(U8:U39)</f>
        <v>4176.96</v>
      </c>
    </row>
    <row r="41" spans="1:2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s="4"/>
      <c r="B43" s="4"/>
      <c r="C43" s="4"/>
      <c r="D43" s="4"/>
      <c r="E43" s="4"/>
      <c r="F43" s="46" t="s">
        <v>17</v>
      </c>
      <c r="G43" s="46"/>
      <c r="H43" s="46"/>
      <c r="I43" s="46"/>
      <c r="J43" s="46" t="s">
        <v>18</v>
      </c>
      <c r="K43" s="46"/>
      <c r="L43" s="46"/>
      <c r="M43" s="46"/>
      <c r="N43" s="4"/>
      <c r="O43" s="4"/>
      <c r="P43" s="4"/>
      <c r="Q43" s="4"/>
      <c r="R43" s="4"/>
      <c r="S43" s="4"/>
      <c r="T43" s="4"/>
      <c r="U43" s="4"/>
    </row>
    <row r="44" spans="1:21">
      <c r="A44" s="47" t="s">
        <v>19</v>
      </c>
      <c r="B44" s="47"/>
      <c r="C44" s="47"/>
      <c r="D44" s="47"/>
      <c r="E44" s="47"/>
      <c r="F44" s="46">
        <f>D40+H40+L40</f>
        <v>136051</v>
      </c>
      <c r="G44" s="46"/>
      <c r="H44" s="46"/>
      <c r="I44" s="46"/>
      <c r="J44" s="48">
        <f>E40+I40+M40</f>
        <v>20407.650000000001</v>
      </c>
      <c r="K44" s="46"/>
      <c r="L44" s="46"/>
      <c r="M44" s="46"/>
      <c r="N44" s="4"/>
      <c r="O44" s="4"/>
      <c r="P44" s="4"/>
      <c r="Q44" s="4"/>
      <c r="R44" s="4"/>
      <c r="S44" s="4"/>
      <c r="T44" s="4"/>
      <c r="U44" s="4"/>
    </row>
    <row r="45" spans="1:21">
      <c r="A45" s="47" t="s">
        <v>20</v>
      </c>
      <c r="B45" s="47"/>
      <c r="C45" s="47"/>
      <c r="D45" s="47"/>
      <c r="E45" s="47"/>
      <c r="F45" s="46">
        <f>P40</f>
        <v>2132</v>
      </c>
      <c r="G45" s="46"/>
      <c r="H45" s="46"/>
      <c r="I45" s="46"/>
      <c r="J45" s="48">
        <f>+Q40</f>
        <v>14838.72</v>
      </c>
      <c r="K45" s="46"/>
      <c r="L45" s="46"/>
      <c r="M45" s="46"/>
      <c r="N45" s="4"/>
      <c r="O45" s="4"/>
      <c r="P45" s="4"/>
      <c r="Q45" s="4"/>
      <c r="R45" s="4"/>
      <c r="S45" s="4"/>
      <c r="T45" s="4"/>
      <c r="U45" s="4"/>
    </row>
    <row r="46" spans="1:21">
      <c r="A46" s="47" t="s">
        <v>21</v>
      </c>
      <c r="B46" s="47"/>
      <c r="C46" s="47"/>
      <c r="D46" s="47"/>
      <c r="E46" s="47"/>
      <c r="F46" s="46">
        <f>N49+J49-F49</f>
        <v>6241</v>
      </c>
      <c r="G46" s="46"/>
      <c r="H46" s="46"/>
      <c r="I46" s="46"/>
      <c r="J46" s="48">
        <f>F46*T4</f>
        <v>4344.7345599999999</v>
      </c>
      <c r="K46" s="46"/>
      <c r="L46" s="46"/>
      <c r="M46" s="46"/>
      <c r="N46" s="4"/>
      <c r="O46" s="4"/>
      <c r="P46" s="4"/>
      <c r="Q46" s="4"/>
      <c r="R46" s="4"/>
      <c r="S46" s="4"/>
      <c r="T46" s="4"/>
      <c r="U46" s="4"/>
    </row>
    <row r="47" spans="1:2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s="55" t="s">
        <v>27</v>
      </c>
      <c r="B48" s="55"/>
      <c r="C48" s="55"/>
      <c r="D48" s="55"/>
      <c r="E48" s="55"/>
      <c r="F48" s="40" t="s">
        <v>28</v>
      </c>
      <c r="G48" s="40"/>
      <c r="H48" s="40"/>
      <c r="I48" s="40"/>
      <c r="J48" s="40" t="s">
        <v>29</v>
      </c>
      <c r="K48" s="40"/>
      <c r="L48" s="40"/>
      <c r="M48" s="40"/>
      <c r="N48" s="40" t="s">
        <v>30</v>
      </c>
      <c r="O48" s="40"/>
      <c r="P48" s="40"/>
      <c r="Q48" s="40"/>
      <c r="R48" s="3"/>
      <c r="S48" s="3"/>
      <c r="T48" s="3"/>
      <c r="U48" s="3"/>
    </row>
    <row r="49" spans="1:21">
      <c r="A49" s="47" t="s">
        <v>9</v>
      </c>
      <c r="B49" s="47"/>
      <c r="C49" s="47"/>
      <c r="D49" s="47"/>
      <c r="E49" s="47"/>
      <c r="F49" s="49">
        <v>3160</v>
      </c>
      <c r="G49" s="50"/>
      <c r="H49" s="50"/>
      <c r="I49" s="51"/>
      <c r="J49" s="52">
        <v>4401</v>
      </c>
      <c r="K49" s="53"/>
      <c r="L49" s="53"/>
      <c r="M49" s="54"/>
      <c r="N49" s="49">
        <v>5000</v>
      </c>
      <c r="O49" s="50"/>
      <c r="P49" s="50"/>
      <c r="Q49" s="51"/>
      <c r="R49" s="4"/>
      <c r="S49" s="4"/>
      <c r="T49" s="4"/>
      <c r="U49" s="4"/>
    </row>
  </sheetData>
  <mergeCells count="33">
    <mergeCell ref="N6:Q6"/>
    <mergeCell ref="R6:U6"/>
    <mergeCell ref="A40:C40"/>
    <mergeCell ref="A1:U1"/>
    <mergeCell ref="A2:U2"/>
    <mergeCell ref="A4:D4"/>
    <mergeCell ref="E4:F4"/>
    <mergeCell ref="I4:K4"/>
    <mergeCell ref="L4:M4"/>
    <mergeCell ref="Q4:S4"/>
    <mergeCell ref="T4:U4"/>
    <mergeCell ref="A45:E45"/>
    <mergeCell ref="F45:I45"/>
    <mergeCell ref="J45:M45"/>
    <mergeCell ref="A6:E6"/>
    <mergeCell ref="F6:I6"/>
    <mergeCell ref="J6:M6"/>
    <mergeCell ref="F43:I43"/>
    <mergeCell ref="J43:M43"/>
    <mergeCell ref="A44:E44"/>
    <mergeCell ref="F44:I44"/>
    <mergeCell ref="J44:M44"/>
    <mergeCell ref="A46:E46"/>
    <mergeCell ref="F46:I46"/>
    <mergeCell ref="J46:M46"/>
    <mergeCell ref="A48:E48"/>
    <mergeCell ref="F48:I48"/>
    <mergeCell ref="J48:M48"/>
    <mergeCell ref="N48:Q48"/>
    <mergeCell ref="A49:E49"/>
    <mergeCell ref="F49:I49"/>
    <mergeCell ref="J49:M49"/>
    <mergeCell ref="N49:Q49"/>
  </mergeCells>
  <pageMargins left="0.7" right="0.7" top="0.75" bottom="0.75" header="0.3" footer="0.3"/>
  <pageSetup orientation="portrait" r:id="rId1"/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i="http://www.w3.org/2001/XMLSchema-instance" xmlns:xsd="http://www.w3.org/2001/XMLSchema" xmlns="http://www.infor.com/qaa/DrillPath">
  <CurrentDrillPath>
    <DrillPathNode AnalysisType="NONE" Id="0dd774e9-8fd8-487f-a5cb-8709c883524d" Name="Sheet2" HandleSummaryReportOnly="false">
      <SuppressZero>false</SuppressZero>
      <Children/>
    </DrillPathNode>
    <DrillPathNode AnalysisType="NONE" Id="c5d791d1-36e9-4b20-97f7-93eaa0bbf6b1" Name="DEC 2023" HandleSummaryReportOnly="false">
      <SuppressZero>false</SuppressZero>
      <Children/>
    </DrillPathNode>
    <DrillPathNode AnalysisType="NONE" Id="c517e961-d25d-40ee-bfbe-00a049912300" Name="Jan 2024" HandleSummaryReportOnly="false">
      <SuppressZero>false</SuppressZero>
      <Children/>
    </DrillPathNode>
    <DrillPathNode AnalysisType="NONE" Id="15f6eda1-9edc-4424-9779-07ccead6e8ce" Name="Feb 2024" HandleSummaryReportOnly="false">
      <SuppressZero>false</SuppressZero>
      <Children/>
    </DrillPathNode>
    <DrillPathNode AnalysisType="NONE" Id="8264ce51-d07b-4f6f-bd9d-c4bb2d1839a0" Name="Mar 2024" HandleSummaryReportOnly="false">
      <SuppressZero>false</SuppressZero>
      <Children/>
    </DrillPathNode>
    <DrillPathNode AnalysisType="NONE" Id="3d0ffdb7-1cd8-4ef5-aa16-cf2484072506" Name="April 2024" HandleSummaryReportOnly="false" Source="">
      <SuppressZero>false</SuppressZero>
      <Children/>
    </DrillPathNode>
    <DrillPathNode AnalysisType="NONE" Id="3fa0f93a-cc46-4c08-8a38-e178b30c2577" Name="May 2024" HandleSummaryReportOnly="false">
      <SuppressZero>false</SuppressZero>
      <Children/>
    </DrillPathNode>
    <DrillPathNode AnalysisType="NONE" Id="4e44e6f0-fea8-44bc-b3b5-30d4e40824d8" Name="June 2024" HandleSummaryReportOnly="false">
      <SuppressZero>false</SuppressZero>
      <Children/>
    </DrillPathNode>
    <DrillPathNode AnalysisType="NONE" Id="abb18133-3bb1-4430-9547-edd4a9ffb660" Name="June 2024 (2)" HandleSummaryReportOnly="false" Source="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DFD14ECF-70AC-4995-B3B4-4EFCF95BEA97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</vt:lpstr>
      <vt:lpstr>Jan 2025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Rotana</dc:creator>
  <cp:lastModifiedBy>Duty Engineer - Centro Capital Doha</cp:lastModifiedBy>
  <cp:lastPrinted>2025-04-02T09:20:01Z</cp:lastPrinted>
  <dcterms:created xsi:type="dcterms:W3CDTF">2016-06-30T11:26:00Z</dcterms:created>
  <dcterms:modified xsi:type="dcterms:W3CDTF">2025-04-08T19:06:04Z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CEFC1E7E5F11464E9AF566901321270E_12</vt:lpwstr>
  </property>
  <property fmtid="{D5CDD505-2E9C-101B-9397-08002B2CF9AE}" pid="3" name="KSOProductBuildVer">
    <vt:lpwstr>2057-12.2.0.13266</vt:lpwstr>
  </property>
</Properties>
</file>