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Utility Check\Daily Utility Cost Sheet 2024\"/>
    </mc:Choice>
  </mc:AlternateContent>
  <xr:revisionPtr revIDLastSave="0" documentId="13_ncr:1_{33AAFADE-C72E-430C-BA6B-A4462C6BC8DF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October-31" sheetId="1321" r:id="rId3"/>
    <sheet name="October-30" sheetId="1320" r:id="rId4"/>
    <sheet name="October-29" sheetId="1319" r:id="rId5"/>
    <sheet name="October-28" sheetId="1318" r:id="rId6"/>
    <sheet name="October-27" sheetId="1317" r:id="rId7"/>
    <sheet name="October-26" sheetId="1316" r:id="rId8"/>
    <sheet name="October-25" sheetId="1315" r:id="rId9"/>
    <sheet name="October-24" sheetId="1314" r:id="rId10"/>
    <sheet name="October-23" sheetId="1313" r:id="rId11"/>
    <sheet name="October-22" sheetId="1312" r:id="rId12"/>
    <sheet name="October-21" sheetId="1311" r:id="rId13"/>
    <sheet name="October-20" sheetId="1310" r:id="rId14"/>
    <sheet name="October-19" sheetId="1309" r:id="rId15"/>
    <sheet name="October-18" sheetId="1308" r:id="rId16"/>
    <sheet name="October-17" sheetId="1307" r:id="rId17"/>
    <sheet name="October-16" sheetId="1306" r:id="rId18"/>
    <sheet name="October-15" sheetId="1304" r:id="rId19"/>
    <sheet name="October-14" sheetId="1303" r:id="rId20"/>
    <sheet name="October-13" sheetId="1302" r:id="rId21"/>
    <sheet name="October-12" sheetId="1301" r:id="rId22"/>
    <sheet name="October-11" sheetId="1300" r:id="rId23"/>
    <sheet name="October-10" sheetId="1299" r:id="rId24"/>
    <sheet name="October-09" sheetId="1298" r:id="rId25"/>
    <sheet name="October-08" sheetId="1297" r:id="rId26"/>
    <sheet name="October-07" sheetId="1296" r:id="rId27"/>
    <sheet name="October-06" sheetId="1295" r:id="rId28"/>
    <sheet name="October-05" sheetId="1294" r:id="rId29"/>
    <sheet name="October-04" sheetId="1293" r:id="rId30"/>
    <sheet name="October-03" sheetId="1292" r:id="rId31"/>
    <sheet name="October-02" sheetId="1291" r:id="rId32"/>
    <sheet name="October-01" sheetId="1290" r:id="rId33"/>
  </sheets>
  <definedNames>
    <definedName name="_xlnm._FilterDatabase" localSheetId="1" hidden="1">'MTD Utility Sheet'!$A$1:$J$35</definedName>
    <definedName name="_xlnm.Print_Area" localSheetId="1">'MTD Utility Sheet'!$A$1:$J$60</definedName>
    <definedName name="_xlnm.Print_Area" localSheetId="32">'October-01'!$A$1:$H$36</definedName>
    <definedName name="_xlnm.Print_Area" localSheetId="31">'October-02'!$A$1:$H$36</definedName>
    <definedName name="_xlnm.Print_Area" localSheetId="30">'October-03'!$A$1:$H$36</definedName>
    <definedName name="_xlnm.Print_Area" localSheetId="29">'October-04'!$A$1:$H$36</definedName>
    <definedName name="_xlnm.Print_Area" localSheetId="28">'October-05'!$A$1:$H$36</definedName>
    <definedName name="_xlnm.Print_Area" localSheetId="27">'October-06'!$A$1:$H$36</definedName>
    <definedName name="_xlnm.Print_Area" localSheetId="26">'October-07'!$A$1:$H$36</definedName>
    <definedName name="_xlnm.Print_Area" localSheetId="25">'October-08'!$A$1:$H$36</definedName>
    <definedName name="_xlnm.Print_Area" localSheetId="24">'October-09'!$A$1:$H$36</definedName>
    <definedName name="_xlnm.Print_Area" localSheetId="23">'October-10'!$A$1:$H$36</definedName>
    <definedName name="_xlnm.Print_Area" localSheetId="22">'October-11'!$A$1:$H$36</definedName>
    <definedName name="_xlnm.Print_Area" localSheetId="21">'October-12'!$A$1:$H$36</definedName>
    <definedName name="_xlnm.Print_Area" localSheetId="20">'October-13'!$A$1:$H$36</definedName>
    <definedName name="_xlnm.Print_Area" localSheetId="19">'October-14'!$A$1:$H$36</definedName>
    <definedName name="_xlnm.Print_Area" localSheetId="18">'October-15'!$A$1:$H$36</definedName>
    <definedName name="_xlnm.Print_Area" localSheetId="17">'October-16'!$A$1:$H$36</definedName>
    <definedName name="_xlnm.Print_Area" localSheetId="16">'October-17'!$A$1:$H$36</definedName>
    <definedName name="_xlnm.Print_Area" localSheetId="15">'October-18'!$A$1:$H$36</definedName>
    <definedName name="_xlnm.Print_Area" localSheetId="14">'October-19'!$A$1:$H$36</definedName>
    <definedName name="_xlnm.Print_Area" localSheetId="13">'October-20'!$A$1:$H$36</definedName>
    <definedName name="_xlnm.Print_Area" localSheetId="12">'October-21'!$A$1:$H$36</definedName>
    <definedName name="_xlnm.Print_Area" localSheetId="11">'October-22'!$A$1:$H$36</definedName>
    <definedName name="_xlnm.Print_Area" localSheetId="10">'October-23'!$A$1:$H$36</definedName>
    <definedName name="_xlnm.Print_Area" localSheetId="9">'October-24'!$A$1:$H$36</definedName>
    <definedName name="_xlnm.Print_Area" localSheetId="8">'October-25'!$A$1:$H$36</definedName>
    <definedName name="_xlnm.Print_Area" localSheetId="7">'October-26'!$A$1:$H$36</definedName>
    <definedName name="_xlnm.Print_Area" localSheetId="6">'October-27'!$A$1:$H$36</definedName>
    <definedName name="_xlnm.Print_Area" localSheetId="5">'October-28'!$A$1:$H$36</definedName>
    <definedName name="_xlnm.Print_Area" localSheetId="4">'October-29'!$A$1:$H$36</definedName>
    <definedName name="_xlnm.Print_Area" localSheetId="3">'October-30'!$A$1:$H$36</definedName>
    <definedName name="_xlnm.Print_Area" localSheetId="2">'October-31'!$A$1:$H$36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321" l="1"/>
  <c r="H35" i="1321" s="1"/>
  <c r="H33" i="1321"/>
  <c r="F24" i="1321"/>
  <c r="H24" i="1321" s="1"/>
  <c r="H13" i="1321"/>
  <c r="H12" i="1321"/>
  <c r="H11" i="1321"/>
  <c r="F4" i="1321"/>
  <c r="H4" i="1321" s="1"/>
  <c r="D7" i="1321" s="1"/>
  <c r="H14" i="1321" l="1"/>
  <c r="H15" i="1321" s="1"/>
  <c r="D30" i="1321"/>
  <c r="D28" i="1321"/>
  <c r="D29" i="1321"/>
  <c r="D21" i="1321"/>
  <c r="D20" i="1321"/>
  <c r="D6" i="1321"/>
  <c r="D9" i="1321" s="1"/>
  <c r="J31" i="133"/>
  <c r="H34" i="1320"/>
  <c r="H33" i="1320"/>
  <c r="F24" i="1320"/>
  <c r="H24" i="1320" s="1"/>
  <c r="D30" i="1320" s="1"/>
  <c r="H13" i="1320"/>
  <c r="H12" i="1320"/>
  <c r="H11" i="1320"/>
  <c r="F4" i="1320"/>
  <c r="H4" i="1320" s="1"/>
  <c r="H35" i="1320" l="1"/>
  <c r="D31" i="1321"/>
  <c r="D22" i="1321"/>
  <c r="H14" i="1320"/>
  <c r="H15" i="1320" s="1"/>
  <c r="D21" i="1320" s="1"/>
  <c r="D6" i="1320"/>
  <c r="D7" i="1320"/>
  <c r="D28" i="1320"/>
  <c r="D29" i="1320"/>
  <c r="H34" i="1319"/>
  <c r="H33" i="1319"/>
  <c r="F24" i="1319"/>
  <c r="H24" i="1319" s="1"/>
  <c r="H13" i="1319"/>
  <c r="H12" i="1319"/>
  <c r="H11" i="1319"/>
  <c r="F4" i="1319"/>
  <c r="H4" i="1319" s="1"/>
  <c r="D7" i="1319" s="1"/>
  <c r="H35" i="1319" l="1"/>
  <c r="H36" i="1321"/>
  <c r="D20" i="1320"/>
  <c r="D22" i="1320" s="1"/>
  <c r="D31" i="1320"/>
  <c r="D9" i="1320"/>
  <c r="H14" i="1319"/>
  <c r="H15" i="1319" s="1"/>
  <c r="D20" i="1319" s="1"/>
  <c r="D29" i="1319"/>
  <c r="D28" i="1319"/>
  <c r="D30" i="1319"/>
  <c r="D21" i="1319"/>
  <c r="D6" i="1319"/>
  <c r="D9" i="1319" s="1"/>
  <c r="H34" i="1318"/>
  <c r="H35" i="1318" s="1"/>
  <c r="H33" i="1318"/>
  <c r="F24" i="1318"/>
  <c r="H24" i="1318" s="1"/>
  <c r="H13" i="1318"/>
  <c r="H12" i="1318"/>
  <c r="H11" i="1318"/>
  <c r="F4" i="1318"/>
  <c r="H4" i="1318" s="1"/>
  <c r="D7" i="1318" s="1"/>
  <c r="H36" i="1320" l="1"/>
  <c r="D22" i="1319"/>
  <c r="D31" i="1319"/>
  <c r="H14" i="1318"/>
  <c r="H15" i="1318" s="1"/>
  <c r="D21" i="1318" s="1"/>
  <c r="D29" i="1318"/>
  <c r="D28" i="1318"/>
  <c r="D30" i="1318"/>
  <c r="D6" i="1318"/>
  <c r="D9" i="1318" s="1"/>
  <c r="H34" i="1317"/>
  <c r="H35" i="1317" s="1"/>
  <c r="H33" i="1317"/>
  <c r="F24" i="1317"/>
  <c r="H24" i="1317" s="1"/>
  <c r="H13" i="1317"/>
  <c r="H12" i="1317"/>
  <c r="H11" i="1317"/>
  <c r="F4" i="1317"/>
  <c r="H4" i="1317" s="1"/>
  <c r="D7" i="1317" s="1"/>
  <c r="H36" i="1319" l="1"/>
  <c r="D20" i="1318"/>
  <c r="D22" i="1318" s="1"/>
  <c r="D31" i="1318"/>
  <c r="H14" i="1317"/>
  <c r="H15" i="1317" s="1"/>
  <c r="D20" i="1317" s="1"/>
  <c r="D29" i="1317"/>
  <c r="D28" i="1317"/>
  <c r="D30" i="1317"/>
  <c r="D21" i="1317"/>
  <c r="D6" i="1317"/>
  <c r="D9" i="1317" s="1"/>
  <c r="C36" i="133"/>
  <c r="H34" i="1316"/>
  <c r="H33" i="1316"/>
  <c r="F24" i="1316"/>
  <c r="H24" i="1316" s="1"/>
  <c r="H13" i="1316"/>
  <c r="H12" i="1316"/>
  <c r="H11" i="1316"/>
  <c r="F4" i="1316"/>
  <c r="H4" i="1316" s="1"/>
  <c r="D7" i="1316" s="1"/>
  <c r="H35" i="1316" l="1"/>
  <c r="H36" i="1318"/>
  <c r="D22" i="1317"/>
  <c r="D31" i="1317"/>
  <c r="H14" i="1316"/>
  <c r="H15" i="1316" s="1"/>
  <c r="D20" i="1316" s="1"/>
  <c r="D29" i="1316"/>
  <c r="D28" i="1316"/>
  <c r="D30" i="1316"/>
  <c r="D6" i="1316"/>
  <c r="D9" i="1316" s="1"/>
  <c r="H34" i="1315"/>
  <c r="H33" i="1315"/>
  <c r="F24" i="1315"/>
  <c r="H24" i="1315" s="1"/>
  <c r="D30" i="1315" s="1"/>
  <c r="H13" i="1315"/>
  <c r="H12" i="1315"/>
  <c r="H11" i="1315"/>
  <c r="F4" i="1315"/>
  <c r="H4" i="1315" s="1"/>
  <c r="H36" i="1317" l="1"/>
  <c r="H35" i="1315"/>
  <c r="D21" i="1316"/>
  <c r="D22" i="1316" s="1"/>
  <c r="D31" i="1316"/>
  <c r="H14" i="1315"/>
  <c r="H15" i="1315" s="1"/>
  <c r="D21" i="1315" s="1"/>
  <c r="D7" i="1315"/>
  <c r="D6" i="1315"/>
  <c r="D29" i="1315"/>
  <c r="D28" i="1315"/>
  <c r="H34" i="1314"/>
  <c r="H33" i="1314"/>
  <c r="F24" i="1314"/>
  <c r="H24" i="1314" s="1"/>
  <c r="D30" i="1314" s="1"/>
  <c r="H13" i="1314"/>
  <c r="H12" i="1314"/>
  <c r="H11" i="1314"/>
  <c r="F4" i="1314"/>
  <c r="H4" i="1314" s="1"/>
  <c r="H36" i="1316" l="1"/>
  <c r="D31" i="1315"/>
  <c r="D20" i="1315"/>
  <c r="D22" i="1315" s="1"/>
  <c r="D9" i="1315"/>
  <c r="H35" i="1314"/>
  <c r="H14" i="1314"/>
  <c r="H15" i="1314" s="1"/>
  <c r="D21" i="1314" s="1"/>
  <c r="D7" i="1314"/>
  <c r="D6" i="1314"/>
  <c r="D28" i="1314"/>
  <c r="D29" i="1314"/>
  <c r="H34" i="1313"/>
  <c r="H33" i="1313"/>
  <c r="H35" i="1313" s="1"/>
  <c r="F24" i="1313"/>
  <c r="H24" i="1313" s="1"/>
  <c r="H13" i="1313"/>
  <c r="H12" i="1313"/>
  <c r="H11" i="1313"/>
  <c r="F4" i="1313"/>
  <c r="H4" i="1313" s="1"/>
  <c r="D7" i="1313" s="1"/>
  <c r="D9" i="1314" l="1"/>
  <c r="H36" i="1315"/>
  <c r="D20" i="1314"/>
  <c r="D22" i="1314" s="1"/>
  <c r="D31" i="1314"/>
  <c r="H14" i="1313"/>
  <c r="H15" i="1313" s="1"/>
  <c r="D21" i="1313" s="1"/>
  <c r="D29" i="1313"/>
  <c r="D28" i="1313"/>
  <c r="D30" i="1313"/>
  <c r="D6" i="1313"/>
  <c r="D9" i="1313" s="1"/>
  <c r="H34" i="1312"/>
  <c r="H33" i="1312"/>
  <c r="F24" i="1312"/>
  <c r="H24" i="1312" s="1"/>
  <c r="H13" i="1312"/>
  <c r="H12" i="1312"/>
  <c r="H11" i="1312"/>
  <c r="F4" i="1312"/>
  <c r="H4" i="1312" s="1"/>
  <c r="D7" i="1312" s="1"/>
  <c r="H35" i="1312" l="1"/>
  <c r="H36" i="1314"/>
  <c r="D20" i="1313"/>
  <c r="D22" i="1313" s="1"/>
  <c r="D31" i="1313"/>
  <c r="H14" i="1312"/>
  <c r="H15" i="1312" s="1"/>
  <c r="D20" i="1312" s="1"/>
  <c r="D29" i="1312"/>
  <c r="D28" i="1312"/>
  <c r="D30" i="1312"/>
  <c r="D6" i="1312"/>
  <c r="D9" i="1312" s="1"/>
  <c r="H34" i="1311"/>
  <c r="H33" i="1311"/>
  <c r="F24" i="1311"/>
  <c r="H24" i="1311" s="1"/>
  <c r="H13" i="1311"/>
  <c r="H12" i="1311"/>
  <c r="H11" i="1311"/>
  <c r="F4" i="1311"/>
  <c r="H4" i="1311" s="1"/>
  <c r="D7" i="1311" s="1"/>
  <c r="H35" i="1311" l="1"/>
  <c r="D21" i="1312"/>
  <c r="H36" i="1313"/>
  <c r="D22" i="1312"/>
  <c r="D31" i="1312"/>
  <c r="H14" i="1311"/>
  <c r="H15" i="1311" s="1"/>
  <c r="D20" i="1311" s="1"/>
  <c r="D29" i="1311"/>
  <c r="D28" i="1311"/>
  <c r="D30" i="1311"/>
  <c r="D6" i="1311"/>
  <c r="D9" i="1311" s="1"/>
  <c r="H34" i="1310"/>
  <c r="H35" i="1310" s="1"/>
  <c r="H33" i="1310"/>
  <c r="F24" i="1310"/>
  <c r="H24" i="1310" s="1"/>
  <c r="H13" i="1310"/>
  <c r="H12" i="1310"/>
  <c r="H11" i="1310"/>
  <c r="H14" i="1310" s="1"/>
  <c r="H15" i="1310" s="1"/>
  <c r="F4" i="1310"/>
  <c r="H4" i="1310" s="1"/>
  <c r="D7" i="1310" s="1"/>
  <c r="D21" i="1311" l="1"/>
  <c r="D22" i="1311" s="1"/>
  <c r="H36" i="1312"/>
  <c r="D31" i="1311"/>
  <c r="D29" i="1310"/>
  <c r="D28" i="1310"/>
  <c r="D30" i="1310"/>
  <c r="D21" i="1310"/>
  <c r="D20" i="1310"/>
  <c r="D6" i="1310"/>
  <c r="D9" i="1310" s="1"/>
  <c r="H34" i="1309"/>
  <c r="H33" i="1309"/>
  <c r="F24" i="1309"/>
  <c r="H24" i="1309" s="1"/>
  <c r="H13" i="1309"/>
  <c r="H12" i="1309"/>
  <c r="H11" i="1309"/>
  <c r="F4" i="1309"/>
  <c r="H4" i="1309" s="1"/>
  <c r="H36" i="1311" l="1"/>
  <c r="D22" i="1310"/>
  <c r="D31" i="1310"/>
  <c r="H14" i="1309"/>
  <c r="H15" i="1309" s="1"/>
  <c r="D21" i="1309" s="1"/>
  <c r="H35" i="1309"/>
  <c r="D28" i="1309"/>
  <c r="D30" i="1309"/>
  <c r="D29" i="1309"/>
  <c r="D7" i="1309"/>
  <c r="D6" i="1309"/>
  <c r="D9" i="1309" s="1"/>
  <c r="H34" i="1308"/>
  <c r="H33" i="1308"/>
  <c r="F24" i="1308"/>
  <c r="H24" i="1308" s="1"/>
  <c r="D30" i="1308" s="1"/>
  <c r="H13" i="1308"/>
  <c r="H12" i="1308"/>
  <c r="H11" i="1308"/>
  <c r="F4" i="1308"/>
  <c r="H4" i="1308" s="1"/>
  <c r="H35" i="1308" l="1"/>
  <c r="H36" i="1310"/>
  <c r="D20" i="1309"/>
  <c r="D22" i="1309"/>
  <c r="D31" i="1309"/>
  <c r="H14" i="1308"/>
  <c r="H15" i="1308" s="1"/>
  <c r="D20" i="1308" s="1"/>
  <c r="D7" i="1308"/>
  <c r="D6" i="1308"/>
  <c r="D28" i="1308"/>
  <c r="D29" i="1308"/>
  <c r="H34" i="1307"/>
  <c r="H33" i="1307"/>
  <c r="F24" i="1307"/>
  <c r="H24" i="1307" s="1"/>
  <c r="D30" i="1307" s="1"/>
  <c r="H13" i="1307"/>
  <c r="H12" i="1307"/>
  <c r="H11" i="1307"/>
  <c r="F4" i="1307"/>
  <c r="H4" i="1307" s="1"/>
  <c r="H34" i="1306"/>
  <c r="H33" i="1306"/>
  <c r="F24" i="1306"/>
  <c r="H24" i="1306" s="1"/>
  <c r="D30" i="1306" s="1"/>
  <c r="H13" i="1306"/>
  <c r="H12" i="1306"/>
  <c r="H11" i="1306"/>
  <c r="F4" i="1306"/>
  <c r="H4" i="1306" s="1"/>
  <c r="D9" i="1308" l="1"/>
  <c r="H36" i="1309"/>
  <c r="D21" i="1308"/>
  <c r="D22" i="1308" s="1"/>
  <c r="D31" i="1308"/>
  <c r="H35" i="1306"/>
  <c r="H35" i="1307"/>
  <c r="H14" i="1307"/>
  <c r="H15" i="1307" s="1"/>
  <c r="D21" i="1307" s="1"/>
  <c r="D7" i="1307"/>
  <c r="D6" i="1307"/>
  <c r="D28" i="1307"/>
  <c r="D29" i="1307"/>
  <c r="H14" i="1306"/>
  <c r="H15" i="1306" s="1"/>
  <c r="D20" i="1306" s="1"/>
  <c r="D6" i="1306"/>
  <c r="D7" i="1306"/>
  <c r="D28" i="1306"/>
  <c r="D29" i="1306"/>
  <c r="H34" i="1304"/>
  <c r="H33" i="1304"/>
  <c r="F24" i="1304"/>
  <c r="H24" i="1304" s="1"/>
  <c r="H13" i="1304"/>
  <c r="H12" i="1304"/>
  <c r="H11" i="1304"/>
  <c r="F4" i="1304"/>
  <c r="H4" i="1304" s="1"/>
  <c r="D7" i="1304" s="1"/>
  <c r="H14" i="1304" l="1"/>
  <c r="H15" i="1304" s="1"/>
  <c r="D31" i="1307"/>
  <c r="H36" i="1308"/>
  <c r="D20" i="1307"/>
  <c r="D22" i="1307" s="1"/>
  <c r="H35" i="1304"/>
  <c r="D9" i="1307"/>
  <c r="D21" i="1306"/>
  <c r="D22" i="1306" s="1"/>
  <c r="D31" i="1306"/>
  <c r="D9" i="1306"/>
  <c r="D21" i="1304"/>
  <c r="D20" i="1304"/>
  <c r="D22" i="1304" s="1"/>
  <c r="D29" i="1304"/>
  <c r="D28" i="1304"/>
  <c r="D30" i="1304"/>
  <c r="D6" i="1304"/>
  <c r="D9" i="1304" s="1"/>
  <c r="H34" i="1303"/>
  <c r="H33" i="1303"/>
  <c r="F24" i="1303"/>
  <c r="H24" i="1303" s="1"/>
  <c r="H13" i="1303"/>
  <c r="H12" i="1303"/>
  <c r="H11" i="1303"/>
  <c r="F4" i="1303"/>
  <c r="H4" i="1303" s="1"/>
  <c r="D7" i="1303" s="1"/>
  <c r="H36" i="1307" l="1"/>
  <c r="H35" i="1303"/>
  <c r="H36" i="1306"/>
  <c r="D31" i="1304"/>
  <c r="H36" i="1304" s="1"/>
  <c r="H14" i="1303"/>
  <c r="H15" i="1303" s="1"/>
  <c r="D20" i="1303" s="1"/>
  <c r="D29" i="1303"/>
  <c r="D28" i="1303"/>
  <c r="D30" i="1303"/>
  <c r="D6" i="1303"/>
  <c r="D9" i="1303" s="1"/>
  <c r="H34" i="1302"/>
  <c r="H33" i="1302"/>
  <c r="F24" i="1302"/>
  <c r="H24" i="1302" s="1"/>
  <c r="D30" i="1302" s="1"/>
  <c r="H13" i="1302"/>
  <c r="H12" i="1302"/>
  <c r="H11" i="1302"/>
  <c r="F4" i="1302"/>
  <c r="H4" i="1302" s="1"/>
  <c r="D21" i="1303" l="1"/>
  <c r="D22" i="1303" s="1"/>
  <c r="D31" i="1303"/>
  <c r="H14" i="1302"/>
  <c r="H15" i="1302" s="1"/>
  <c r="D21" i="1302" s="1"/>
  <c r="H35" i="1302"/>
  <c r="D6" i="1302"/>
  <c r="D7" i="1302"/>
  <c r="D28" i="1302"/>
  <c r="D29" i="1302"/>
  <c r="H34" i="1301"/>
  <c r="H33" i="1301"/>
  <c r="F24" i="1301"/>
  <c r="H24" i="1301" s="1"/>
  <c r="D30" i="1301" s="1"/>
  <c r="H13" i="1301"/>
  <c r="H12" i="1301"/>
  <c r="H11" i="1301"/>
  <c r="F4" i="1301"/>
  <c r="H4" i="1301" s="1"/>
  <c r="H14" i="1301" l="1"/>
  <c r="H15" i="1301" s="1"/>
  <c r="D20" i="1301" s="1"/>
  <c r="H36" i="1303"/>
  <c r="D20" i="1302"/>
  <c r="D31" i="1302"/>
  <c r="D22" i="1302"/>
  <c r="D9" i="1302"/>
  <c r="H35" i="1301"/>
  <c r="D21" i="1301"/>
  <c r="D7" i="1301"/>
  <c r="D6" i="1301"/>
  <c r="D9" i="1301" s="1"/>
  <c r="D28" i="1301"/>
  <c r="D29" i="1301"/>
  <c r="H34" i="1300"/>
  <c r="H33" i="1300"/>
  <c r="F24" i="1300"/>
  <c r="H24" i="1300" s="1"/>
  <c r="D30" i="1300" s="1"/>
  <c r="H13" i="1300"/>
  <c r="H12" i="1300"/>
  <c r="H11" i="1300"/>
  <c r="F4" i="1300"/>
  <c r="H4" i="1300" s="1"/>
  <c r="D31" i="1301" l="1"/>
  <c r="H35" i="1300"/>
  <c r="H36" i="1302"/>
  <c r="D22" i="1301"/>
  <c r="H36" i="1301" s="1"/>
  <c r="H14" i="1300"/>
  <c r="H15" i="1300" s="1"/>
  <c r="D20" i="1300" s="1"/>
  <c r="D7" i="1300"/>
  <c r="D6" i="1300"/>
  <c r="D28" i="1300"/>
  <c r="D29" i="1300"/>
  <c r="H34" i="1299"/>
  <c r="H33" i="1299"/>
  <c r="F24" i="1299"/>
  <c r="H24" i="1299" s="1"/>
  <c r="H13" i="1299"/>
  <c r="H12" i="1299"/>
  <c r="H11" i="1299"/>
  <c r="F4" i="1299"/>
  <c r="H4" i="1299" s="1"/>
  <c r="D7" i="1299" s="1"/>
  <c r="H35" i="1299" l="1"/>
  <c r="D21" i="1300"/>
  <c r="D22" i="1300" s="1"/>
  <c r="D31" i="1300"/>
  <c r="D9" i="1300"/>
  <c r="H14" i="1299"/>
  <c r="H15" i="1299" s="1"/>
  <c r="D20" i="1299" s="1"/>
  <c r="D29" i="1299"/>
  <c r="D28" i="1299"/>
  <c r="D30" i="1299"/>
  <c r="D6" i="1299"/>
  <c r="D9" i="1299" s="1"/>
  <c r="H34" i="1298"/>
  <c r="H33" i="1298"/>
  <c r="F24" i="1298"/>
  <c r="H24" i="1298" s="1"/>
  <c r="H13" i="1298"/>
  <c r="H12" i="1298"/>
  <c r="H11" i="1298"/>
  <c r="F4" i="1298"/>
  <c r="H4" i="1298" s="1"/>
  <c r="D7" i="1298" s="1"/>
  <c r="H35" i="1298" l="1"/>
  <c r="H36" i="1300"/>
  <c r="D21" i="1299"/>
  <c r="D22" i="1299" s="1"/>
  <c r="D31" i="1299"/>
  <c r="H14" i="1298"/>
  <c r="H15" i="1298" s="1"/>
  <c r="D20" i="1298" s="1"/>
  <c r="D29" i="1298"/>
  <c r="D28" i="1298"/>
  <c r="D30" i="1298"/>
  <c r="D6" i="1298"/>
  <c r="D9" i="1298" s="1"/>
  <c r="H34" i="1297"/>
  <c r="H33" i="1297"/>
  <c r="F24" i="1297"/>
  <c r="H24" i="1297" s="1"/>
  <c r="H13" i="1297"/>
  <c r="H12" i="1297"/>
  <c r="H11" i="1297"/>
  <c r="F4" i="1297"/>
  <c r="H4" i="1297" s="1"/>
  <c r="D7" i="1297" s="1"/>
  <c r="H35" i="1297" l="1"/>
  <c r="H36" i="1299"/>
  <c r="D21" i="1298"/>
  <c r="D22" i="1298" s="1"/>
  <c r="D31" i="1298"/>
  <c r="H14" i="1297"/>
  <c r="H15" i="1297" s="1"/>
  <c r="D21" i="1297" s="1"/>
  <c r="D29" i="1297"/>
  <c r="D28" i="1297"/>
  <c r="D30" i="1297"/>
  <c r="D6" i="1297"/>
  <c r="D9" i="1297" s="1"/>
  <c r="H34" i="1296"/>
  <c r="H33" i="1296"/>
  <c r="F24" i="1296"/>
  <c r="H24" i="1296" s="1"/>
  <c r="H13" i="1296"/>
  <c r="H12" i="1296"/>
  <c r="H11" i="1296"/>
  <c r="F4" i="1296"/>
  <c r="H4" i="1296" s="1"/>
  <c r="D7" i="1296" s="1"/>
  <c r="H35" i="1296" l="1"/>
  <c r="H36" i="1298"/>
  <c r="D20" i="1297"/>
  <c r="D22" i="1297" s="1"/>
  <c r="D31" i="1297"/>
  <c r="H14" i="1296"/>
  <c r="H15" i="1296" s="1"/>
  <c r="D20" i="1296" s="1"/>
  <c r="D29" i="1296"/>
  <c r="D28" i="1296"/>
  <c r="D30" i="1296"/>
  <c r="D6" i="1296"/>
  <c r="D9" i="1296" s="1"/>
  <c r="H34" i="1295"/>
  <c r="H33" i="1295"/>
  <c r="F24" i="1295"/>
  <c r="H24" i="1295" s="1"/>
  <c r="D29" i="1295" s="1"/>
  <c r="H13" i="1295"/>
  <c r="H12" i="1295"/>
  <c r="H11" i="1295"/>
  <c r="F4" i="1295"/>
  <c r="H4" i="1295" s="1"/>
  <c r="D7" i="1295" s="1"/>
  <c r="D21" i="1296" l="1"/>
  <c r="D22" i="1296" s="1"/>
  <c r="H35" i="1295"/>
  <c r="H36" i="1297"/>
  <c r="D31" i="1296"/>
  <c r="H14" i="1295"/>
  <c r="H15" i="1295" s="1"/>
  <c r="D21" i="1295" s="1"/>
  <c r="D30" i="1295"/>
  <c r="D6" i="1295"/>
  <c r="D9" i="1295" s="1"/>
  <c r="D28" i="1295"/>
  <c r="H34" i="1294"/>
  <c r="H33" i="1294"/>
  <c r="F24" i="1294"/>
  <c r="H24" i="1294" s="1"/>
  <c r="D30" i="1294" s="1"/>
  <c r="H13" i="1294"/>
  <c r="H12" i="1294"/>
  <c r="H11" i="1294"/>
  <c r="F4" i="1294"/>
  <c r="H4" i="1294" s="1"/>
  <c r="H36" i="1296" l="1"/>
  <c r="H35" i="1294"/>
  <c r="D31" i="1295"/>
  <c r="D20" i="1295"/>
  <c r="D22" i="1295" s="1"/>
  <c r="D28" i="1294"/>
  <c r="H14" i="1294"/>
  <c r="H15" i="1294" s="1"/>
  <c r="D20" i="1294" s="1"/>
  <c r="D6" i="1294"/>
  <c r="D7" i="1294"/>
  <c r="D29" i="1294"/>
  <c r="H34" i="1293"/>
  <c r="H33" i="1293"/>
  <c r="F24" i="1293"/>
  <c r="H24" i="1293" s="1"/>
  <c r="H13" i="1293"/>
  <c r="H12" i="1293"/>
  <c r="H11" i="1293"/>
  <c r="F4" i="1293"/>
  <c r="H4" i="1293" s="1"/>
  <c r="D31" i="1294" l="1"/>
  <c r="H36" i="1295"/>
  <c r="D21" i="1294"/>
  <c r="D22" i="1294" s="1"/>
  <c r="D9" i="1294"/>
  <c r="H35" i="1293"/>
  <c r="D30" i="1293"/>
  <c r="D28" i="1293"/>
  <c r="H14" i="1293"/>
  <c r="H15" i="1293" s="1"/>
  <c r="D21" i="1293" s="1"/>
  <c r="D6" i="1293"/>
  <c r="D7" i="1293"/>
  <c r="D29" i="1293"/>
  <c r="H34" i="1292"/>
  <c r="H33" i="1292"/>
  <c r="F24" i="1292"/>
  <c r="H24" i="1292" s="1"/>
  <c r="H13" i="1292"/>
  <c r="H12" i="1292"/>
  <c r="H11" i="1292"/>
  <c r="F4" i="1292"/>
  <c r="H4" i="1292" s="1"/>
  <c r="H36" i="1294" l="1"/>
  <c r="D31" i="1293"/>
  <c r="D20" i="1293"/>
  <c r="D22" i="1293" s="1"/>
  <c r="D9" i="1293"/>
  <c r="H35" i="1292"/>
  <c r="H14" i="1292"/>
  <c r="H15" i="1292" s="1"/>
  <c r="D20" i="1292" s="1"/>
  <c r="D6" i="1292"/>
  <c r="D7" i="1292"/>
  <c r="D30" i="1292"/>
  <c r="D29" i="1292"/>
  <c r="D28" i="1292"/>
  <c r="E32" i="1094"/>
  <c r="G32" i="1094"/>
  <c r="H32" i="1094"/>
  <c r="I32" i="1094"/>
  <c r="K32" i="1094"/>
  <c r="L32" i="1094" s="1"/>
  <c r="M32" i="1094"/>
  <c r="H34" i="1291"/>
  <c r="H33" i="1291"/>
  <c r="F24" i="1291"/>
  <c r="H24" i="1291" s="1"/>
  <c r="H13" i="1291"/>
  <c r="H12" i="1291"/>
  <c r="H11" i="1291"/>
  <c r="F4" i="1291"/>
  <c r="H4" i="1291" s="1"/>
  <c r="H36" i="1293" l="1"/>
  <c r="D31" i="1292"/>
  <c r="D21" i="1292"/>
  <c r="D22" i="1292" s="1"/>
  <c r="D9" i="1292"/>
  <c r="H35" i="1291"/>
  <c r="H14" i="1291"/>
  <c r="H15" i="1291" s="1"/>
  <c r="D21" i="1291" s="1"/>
  <c r="D7" i="1291"/>
  <c r="D6" i="1291"/>
  <c r="D28" i="1291"/>
  <c r="D30" i="1291"/>
  <c r="D29" i="1291"/>
  <c r="H34" i="1290"/>
  <c r="H33" i="1290"/>
  <c r="F24" i="1290"/>
  <c r="H24" i="1290" s="1"/>
  <c r="D30" i="1290" s="1"/>
  <c r="H13" i="1290"/>
  <c r="H12" i="1290"/>
  <c r="H11" i="1290"/>
  <c r="F4" i="1290"/>
  <c r="H4" i="1290" s="1"/>
  <c r="H35" i="1290" l="1"/>
  <c r="H36" i="1292"/>
  <c r="D20" i="1291"/>
  <c r="D22" i="1291" s="1"/>
  <c r="D31" i="1291"/>
  <c r="D9" i="1291"/>
  <c r="H14" i="1290"/>
  <c r="H15" i="1290" s="1"/>
  <c r="D20" i="1290" s="1"/>
  <c r="D7" i="1290"/>
  <c r="D6" i="1290"/>
  <c r="D28" i="1290"/>
  <c r="D29" i="1290"/>
  <c r="H36" i="1291" l="1"/>
  <c r="D9" i="1290"/>
  <c r="D21" i="1290"/>
  <c r="D22" i="1290" s="1"/>
  <c r="D31" i="1290"/>
  <c r="H36" i="1290" l="1"/>
  <c r="F35" i="133" l="1"/>
  <c r="F36" i="133" s="1"/>
  <c r="G35" i="133"/>
  <c r="G36" i="133" s="1"/>
  <c r="H35" i="133"/>
  <c r="H36" i="133" s="1"/>
  <c r="I35" i="133"/>
  <c r="I36" i="133" s="1"/>
  <c r="B36" i="133"/>
  <c r="D36" i="133"/>
  <c r="E36" i="133"/>
  <c r="J34" i="133" l="1"/>
  <c r="J33" i="133"/>
  <c r="J32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</calcChain>
</file>

<file path=xl/sharedStrings.xml><?xml version="1.0" encoding="utf-8"?>
<sst xmlns="http://schemas.openxmlformats.org/spreadsheetml/2006/main" count="1885" uniqueCount="113">
  <si>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</si>
  <si>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</si>
  <si>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</si>
  <si>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</si>
  <si>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</si>
  <si>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</si>
  <si>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</si>
  <si>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</si>
  <si>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</si>
  <si>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</si>
  <si>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</si>
  <si>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</si>
  <si>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</si>
  <si>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</si>
  <si>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</si>
  <si>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</si>
  <si>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</si>
  <si>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</si>
  <si>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</si>
  <si>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</si>
  <si>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</si>
  <si>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</si>
  <si>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</si>
  <si>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</si>
  <si>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</si>
  <si>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</si>
  <si>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</si>
  <si>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</si>
  <si>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</si>
  <si>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</si>
  <si>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</si>
  <si>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</si>
  <si>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</si>
  <si>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</si>
  <si>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</si>
  <si>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</si>
  <si>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</si>
  <si>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</si>
  <si>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</si>
  <si>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</si>
  <si>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</si>
  <si>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</si>
  <si>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</si>
  <si>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</si>
  <si>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</si>
  <si>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</si>
  <si>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</si>
  <si>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</si>
  <si>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</si>
  <si>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</si>
  <si>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</si>
  <si>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</si>
  <si>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</si>
  <si>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</si>
  <si>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</si>
  <si>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</si>
  <si>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</si>
  <si>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</si>
  <si>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</si>
  <si>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</si>
  <si>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</si>
  <si>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</si>
  <si>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</si>
  <si>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</si>
  <si>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</si>
  <si>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</si>
  <si>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</si>
  <si>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</si>
  <si>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</si>
  <si>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</si>
  <si>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</si>
  <si>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01.10.2024</t>
  </si>
  <si>
    <t>Daily Utilities October-2024</t>
  </si>
  <si>
    <t>02.10.2024</t>
  </si>
  <si>
    <t>38.0c</t>
  </si>
  <si>
    <t>37.0c</t>
  </si>
  <si>
    <t>03.10.2024</t>
  </si>
  <si>
    <t>04.10.2024</t>
  </si>
  <si>
    <t>37c</t>
  </si>
  <si>
    <t>83..72%</t>
  </si>
  <si>
    <t>05.10.2024</t>
  </si>
  <si>
    <t>36c</t>
  </si>
  <si>
    <t>06.10.2024</t>
  </si>
  <si>
    <t>07.10.2024</t>
  </si>
  <si>
    <t>38c</t>
  </si>
  <si>
    <t>08.10.2024</t>
  </si>
  <si>
    <t>39c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</si>
  <si>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</si>
  <si>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</si>
  <si>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</si>
  <si>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</si>
  <si>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</si>
  <si>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</si>
  <si>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</si>
  <si>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</si>
  <si>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</si>
  <si>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</si>
  <si>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</si>
  <si>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</si>
  <si>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</si>
  <si>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</si>
  <si>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</si>
  <si>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</si>
  <si>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</si>
  <si>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</si>
  <si>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</si>
  <si>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36.0c</t>
  </si>
  <si>
    <t>28.10.2024</t>
  </si>
  <si>
    <t>29.10.2024</t>
  </si>
  <si>
    <t>30.10.2024</t>
  </si>
  <si>
    <t>36.5c</t>
  </si>
  <si>
    <t>31.10.2024</t>
  </si>
  <si>
    <t>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</si>
</sst>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1" formatCode="_-* #,##0_-;\-* #,##0_-;_-* &quot;-&quot;_-;_-@_-"/>
    <numFmt numFmtId="43" formatCode="_-* #,##0.00_-;\-* #,##0.00_-;_-* &quot;-&quot;??_-;_-@_-"/>
    <numFmt numFmtId="164" formatCode="&quot;$&quot;#,##0.00_);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"/>
    <numFmt numFmtId="173" formatCode="#,##0.0"/>
    <numFmt numFmtId="174" formatCode="0.0%"/>
    <numFmt numFmtId="175" formatCode="_-* #,##0_-;\-* #,##0_-;_-* &quot;-&quot;??_-;_-@_-"/>
    <numFmt numFmtId="176" formatCode="_(* #,##0_);_(* \(#,##0\);_(* &quot;-&quot;??_);_(@_)"/>
    <numFmt numFmtId="177" formatCode="0.00000"/>
    <numFmt numFmtId="178" formatCode="dddd\,\ dd/mm/yyyy"/>
    <numFmt numFmtId="179" formatCode="##,##0.00"/>
    <numFmt numFmtId="180" formatCode="_(* #,##0.0_);_(* \(#,##0.0\);_(* &quot;-&quot;??_);_(@_)"/>
    <numFmt numFmtId="181" formatCode="mmmm\-yyyy"/>
    <numFmt numFmtId="182" formatCode="_-[$€]* #,##0.00_-;\-[$€]* #,##0.00_-;_-[$€]* &quot;-&quot;??_-;_-@_-"/>
    <numFmt numFmtId="183" formatCode="#,##0.0_);[Red]\(#,##0.0\)"/>
    <numFmt numFmtId="184" formatCode="#,##0.0;[Red]\(#,##0.0\)"/>
    <numFmt numFmtId="185" formatCode="0_)"/>
    <numFmt numFmtId="186" formatCode="0.0\ &quot;Year&quot;"/>
    <numFmt numFmtId="187" formatCode="0\ &quot;Year&quot;"/>
    <numFmt numFmtId="188" formatCode="\£#,##0_);\(\£#,##0\)"/>
    <numFmt numFmtId="189" formatCode="0.000\ &quot;Years     &quot;"/>
    <numFmt numFmtId="190" formatCode="0.00\ &quot;Years&quot;"/>
    <numFmt numFmtId="191" formatCode="&quot;$&quot;#,##0.00"/>
    <numFmt numFmtId="192" formatCode="0.0\ &quot;Years     &quot;"/>
    <numFmt numFmtId="193" formatCode="#,##0;\(#,##0\)"/>
    <numFmt numFmtId="194" formatCode="#,##0;\-#,##0;\-"/>
    <numFmt numFmtId="195" formatCode="_-* #,##0\ &quot;F&quot;_-;\-* #,##0\ &quot;F&quot;_-;_-* &quot;-&quot;\ &quot;F&quot;_-;_-@_-"/>
    <numFmt numFmtId="196" formatCode="0.00_)"/>
    <numFmt numFmtId="197" formatCode="0.000_)"/>
    <numFmt numFmtId="198" formatCode="0.000000%"/>
    <numFmt numFmtId="199" formatCode="[$-409]mmmmm;@"/>
    <numFmt numFmtId="200" formatCode="* \(#,##0\);* #,##0_);&quot;-&quot;??_);@"/>
    <numFmt numFmtId="201" formatCode="#,##0;[Red]\(#,##0\)"/>
    <numFmt numFmtId="202" formatCode="0.00_);\(0.00\);0.00"/>
    <numFmt numFmtId="203" formatCode="0.00\ &quot;Years     &quot;"/>
    <numFmt numFmtId="204" formatCode="dd\ mmm\ yyyy_);;;&quot;  &quot;@"/>
    <numFmt numFmtId="205" formatCode="0.0;[Red]\(0.0\)"/>
    <numFmt numFmtId="206" formatCode="_-* #,##0\ _D_M_-;\-* #,##0\ _D_M_-;_-* &quot;-&quot;\ _D_M_-;_-@_-"/>
    <numFmt numFmtId="207" formatCode="_-* #,##0.00\ _D_M_-;\-* #,##0.00\ _D_M_-;_-* &quot;-&quot;??\ _D_M_-;_-@_-"/>
    <numFmt numFmtId="208" formatCode="* #,##0_%;* \-#,##0_%;* #,##0_%;@_%"/>
    <numFmt numFmtId="209" formatCode="_(&quot;€&quot;* #,##0.00_);_(&quot;€&quot;* \(#,##0.00\);_(&quot;€&quot;* &quot;-&quot;??_);_(@_)"/>
    <numFmt numFmtId="210" formatCode="_-* #,##0.00\ &quot;€&quot;_-;\-* #,##0.00\ &quot;€&quot;_-;_-* &quot;-&quot;??\ &quot;€&quot;_-;_-@_-"/>
    <numFmt numFmtId="211" formatCode="#,##0.000_);[Red]\(#,##0.000\)"/>
    <numFmt numFmtId="212" formatCode="0_);[Red]\(0\)"/>
    <numFmt numFmtId="213" formatCode="0.000%"/>
    <numFmt numFmtId="214" formatCode="#,##0_);\(#,##0\);\-_)"/>
    <numFmt numFmtId="215" formatCode="0.00_);\(0.00\)"/>
    <numFmt numFmtId="216" formatCode="_(* #,##0.0000_);_(* \(#,##0.0000\);_(* &quot;-&quot;??_);_(@_)"/>
    <numFmt numFmtId="217" formatCode="&quot;$&quot;#,##0.0_);\(&quot;$&quot;#,##0.0\)"/>
    <numFmt numFmtId="218" formatCode="0\ &quot;days&quot;"/>
    <numFmt numFmtId="219" formatCode="0\ &quot;Years     &quot;"/>
    <numFmt numFmtId="220" formatCode="_(&quot;$&quot;* #,##0.000_);_(&quot;$&quot;* \(#,##0.000\);_(&quot;$&quot;* &quot;-&quot;??_);_(@_)"/>
    <numFmt numFmtId="221" formatCode="&quot;$&quot;#,##0.0\);[Red]\(&quot;$&quot;#,##0.0\)"/>
    <numFmt numFmtId="222" formatCode="General_);[Red]\-General_)"/>
    <numFmt numFmtId="223" formatCode="_(#,##0.0,,_);[Red]\(#,##0.0,,\);_(&quot;-&quot;_);_-@_-"/>
    <numFmt numFmtId="224" formatCode="General_)"/>
    <numFmt numFmtId="225" formatCode="0.0_)"/>
    <numFmt numFmtId="226" formatCode="#,##0.0000_);\(#,##0.0000\)"/>
    <numFmt numFmtId="227" formatCode="0.0000000%"/>
    <numFmt numFmtId="228" formatCode="#,##0.00000_);\(#,##0.00000\)"/>
    <numFmt numFmtId="229" formatCode="0.00\%;\-0.00\%;0.00\%"/>
    <numFmt numFmtId="230" formatCode="0.00\x;\-0.00\x;0.00\x"/>
    <numFmt numFmtId="231" formatCode="mm/dd/yy"/>
    <numFmt numFmtId="232" formatCode="##0.00000"/>
    <numFmt numFmtId="233" formatCode="#,##0.0\);\(#,##0.0\)"/>
    <numFmt numFmtId="234" formatCode="0.0000_)"/>
    <numFmt numFmtId="235" formatCode="_-&quot;F&quot;\ * #,##0_-;_-&quot;F&quot;\ * #,##0\-;_-&quot;F&quot;\ * &quot;-&quot;_-;_-@_-"/>
    <numFmt numFmtId="236" formatCode="_-&quot;F&quot;\ * #,##0.00_-;_-&quot;F&quot;\ * #,##0.00\-;_-&quot;F&quot;\ * &quot;-&quot;??_-;_-@_-"/>
    <numFmt numFmtId="237" formatCode="_-* #,##0\ &quot;DM&quot;_-;\-* #,##0\ &quot;DM&quot;_-;_-* &quot;-&quot;\ &quot;DM&quot;_-;_-@_-"/>
    <numFmt numFmtId="238" formatCode="_-* #,##0.00\ &quot;DM&quot;_-;\-* #,##0.00\ &quot;DM&quot;_-;_-* &quot;-&quot;??\ &quot;DM&quot;_-;_-@_-"/>
    <numFmt numFmtId="239" formatCode="\¥#,##0_);\(\¥#,##0\)"/>
    <numFmt numFmtId="240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166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Border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2" fillId="0" borderId="0"/>
    <xf numFmtId="0" fontId="18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167" fontId="2" fillId="0" borderId="0" applyFont="0" applyFill="0" applyBorder="0" applyAlignment="0" applyProtection="0"/>
    <xf numFmtId="183" fontId="20" fillId="0" borderId="14"/>
    <xf numFmtId="10" fontId="21" fillId="0" borderId="0"/>
    <xf numFmtId="9" fontId="22" fillId="0" borderId="0"/>
    <xf numFmtId="174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4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4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5" fontId="25" fillId="0" borderId="20" applyNumberFormat="0" applyFill="0" applyProtection="0">
      <alignment horizontal="center"/>
    </xf>
    <xf numFmtId="185" fontId="25" fillId="0" borderId="0" applyNumberFormat="0" applyFill="0" applyBorder="0" applyProtection="0">
      <alignment horizontal="left"/>
    </xf>
    <xf numFmtId="185" fontId="26" fillId="0" borderId="0" applyNumberFormat="0" applyFill="0" applyBorder="0" applyProtection="0">
      <alignment horizontal="centerContinuous"/>
    </xf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80" fontId="13" fillId="7" borderId="0">
      <alignment horizontal="right"/>
    </xf>
    <xf numFmtId="180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164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8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21" fillId="0" borderId="0"/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91" fontId="44" fillId="0" borderId="0" applyFill="0"/>
    <xf numFmtId="191" fontId="44" fillId="0" borderId="0">
      <alignment horizontal="center"/>
    </xf>
    <xf numFmtId="0" fontId="44" fillId="0" borderId="0" applyFill="0">
      <alignment horizontal="center"/>
    </xf>
    <xf numFmtId="191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91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91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91" fontId="13" fillId="0" borderId="0" applyFill="0"/>
    <xf numFmtId="191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91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91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91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2" fontId="13" fillId="0" borderId="0"/>
    <xf numFmtId="192" fontId="13" fillId="0" borderId="0"/>
    <xf numFmtId="193" fontId="13" fillId="32" borderId="26" applyNumberFormat="0">
      <alignment vertical="center"/>
    </xf>
    <xf numFmtId="194" fontId="13" fillId="33" borderId="26" applyNumberFormat="0">
      <alignment vertical="center"/>
    </xf>
    <xf numFmtId="194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5" borderId="26" applyNumberFormat="0">
      <alignment vertical="center"/>
    </xf>
    <xf numFmtId="193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3" fontId="13" fillId="32" borderId="26" applyNumberFormat="0">
      <alignment vertical="center"/>
    </xf>
    <xf numFmtId="193" fontId="13" fillId="32" borderId="26" applyNumberFormat="0">
      <alignment vertical="center"/>
    </xf>
    <xf numFmtId="195" fontId="13" fillId="0" borderId="0" applyFill="0" applyBorder="0" applyAlignment="0"/>
    <xf numFmtId="195" fontId="13" fillId="0" borderId="0" applyFill="0" applyBorder="0" applyAlignment="0"/>
    <xf numFmtId="0" fontId="35" fillId="14" borderId="22" applyNumberFormat="0" applyAlignment="0" applyProtection="0"/>
    <xf numFmtId="196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6" fontId="22" fillId="0" borderId="0"/>
    <xf numFmtId="0" fontId="30" fillId="0" borderId="0">
      <alignment horizontal="center" wrapText="1"/>
      <protection hidden="1"/>
    </xf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66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9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200" fontId="18" fillId="0" borderId="0" applyFill="0" applyBorder="0" applyProtection="0"/>
    <xf numFmtId="201" fontId="64" fillId="7" borderId="0">
      <alignment horizontal="right"/>
    </xf>
    <xf numFmtId="202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80" fontId="21" fillId="0" borderId="0">
      <alignment horizontal="right"/>
    </xf>
    <xf numFmtId="20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37" fontId="21" fillId="0" borderId="0" applyProtection="0">
      <protection locked="0"/>
    </xf>
    <xf numFmtId="205" fontId="18" fillId="0" borderId="7">
      <alignment horizontal="center"/>
      <protection locked="0"/>
    </xf>
    <xf numFmtId="37" fontId="41" fillId="0" borderId="28"/>
    <xf numFmtId="206" fontId="65" fillId="0" borderId="0" applyFont="0" applyFill="0" applyBorder="0" applyAlignment="0" applyProtection="0"/>
    <xf numFmtId="207" fontId="65" fillId="0" borderId="0" applyFont="0" applyFill="0" applyBorder="0" applyAlignment="0" applyProtection="0"/>
    <xf numFmtId="208" fontId="13" fillId="0" borderId="0"/>
    <xf numFmtId="208" fontId="13" fillId="0" borderId="0"/>
    <xf numFmtId="165" fontId="66" fillId="0" borderId="0" applyFill="0" applyBorder="0" applyAlignment="0" applyProtection="0"/>
    <xf numFmtId="174" fontId="67" fillId="0" borderId="0">
      <alignment horizontal="right"/>
    </xf>
    <xf numFmtId="180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9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80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6" fontId="33" fillId="0" borderId="0">
      <alignment horizontal="right"/>
    </xf>
    <xf numFmtId="211" fontId="13" fillId="0" borderId="0">
      <protection locked="0"/>
    </xf>
    <xf numFmtId="211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2" fontId="13" fillId="39" borderId="0" applyFill="0" applyBorder="0">
      <alignment horizontal="right"/>
    </xf>
    <xf numFmtId="212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5" fontId="78" fillId="0" borderId="7" applyFill="0" applyBorder="0">
      <alignment horizontal="center"/>
    </xf>
    <xf numFmtId="205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4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3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5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21" fontId="30" fillId="0" borderId="0">
      <alignment vertical="center"/>
    </xf>
    <xf numFmtId="196" fontId="30" fillId="0" borderId="10" applyFill="0" applyBorder="0" applyAlignment="0">
      <alignment horizontal="right"/>
    </xf>
    <xf numFmtId="166" fontId="99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99" fillId="0" borderId="0" applyFont="0" applyFill="0" applyBorder="0" applyAlignment="0" applyProtection="0"/>
    <xf numFmtId="222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3" fillId="0" borderId="0" applyFont="0" applyFill="0" applyBorder="0" applyAlignment="0" applyProtection="0"/>
    <xf numFmtId="225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6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4" fontId="106" fillId="0" borderId="0" applyNumberFormat="0" applyFont="0" applyBorder="0"/>
    <xf numFmtId="228" fontId="13" fillId="0" borderId="0">
      <alignment horizontal="right"/>
    </xf>
    <xf numFmtId="228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4" fontId="108" fillId="43" borderId="12" applyNumberFormat="0" applyAlignment="0">
      <alignment horizontal="left"/>
      <protection locked="0"/>
    </xf>
    <xf numFmtId="174" fontId="67" fillId="0" borderId="0">
      <alignment horizontal="right"/>
    </xf>
    <xf numFmtId="174" fontId="33" fillId="0" borderId="0"/>
    <xf numFmtId="174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9" fontId="30" fillId="0" borderId="0" applyFill="0" applyBorder="0">
      <alignment horizontal="right"/>
      <protection locked="0"/>
    </xf>
    <xf numFmtId="0" fontId="33" fillId="0" borderId="0" applyNumberFormat="0" applyFont="0"/>
    <xf numFmtId="174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80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91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30" fontId="30" fillId="0" borderId="0">
      <alignment horizontal="right"/>
      <protection locked="0"/>
    </xf>
    <xf numFmtId="231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80" fontId="33" fillId="0" borderId="16">
      <alignment horizontal="right"/>
    </xf>
    <xf numFmtId="180" fontId="33" fillId="0" borderId="16">
      <alignment horizontal="right"/>
    </xf>
    <xf numFmtId="180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2" fontId="120" fillId="0" borderId="0" applyFill="0" applyBorder="0">
      <alignment horizontal="right"/>
      <protection hidden="1"/>
    </xf>
    <xf numFmtId="0" fontId="121" fillId="0" borderId="0">
      <protection locked="0"/>
    </xf>
    <xf numFmtId="221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6" fontId="30" fillId="0" borderId="10" applyFill="0" applyBorder="0" applyAlignment="0">
      <alignment horizontal="right"/>
    </xf>
    <xf numFmtId="196" fontId="30" fillId="0" borderId="10" applyFill="0" applyBorder="0" applyAlignment="0"/>
    <xf numFmtId="233" fontId="13" fillId="0" borderId="10" applyFill="0" applyBorder="0" applyAlignment="0">
      <alignment horizontal="right"/>
    </xf>
    <xf numFmtId="234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165" fontId="42" fillId="0" borderId="0" applyFill="0" applyBorder="0" applyAlignment="0" applyProtection="0"/>
    <xf numFmtId="0" fontId="126" fillId="0" borderId="24">
      <alignment horizontal="center"/>
    </xf>
    <xf numFmtId="180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5" fontId="13" fillId="0" borderId="43" applyFill="0" applyBorder="0" applyAlignment="0"/>
    <xf numFmtId="175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3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3" fontId="45" fillId="0" borderId="0" applyNumberFormat="0">
      <alignment vertical="center"/>
    </xf>
    <xf numFmtId="193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9" fillId="0" borderId="0">
      <alignment horizontal="centerContinuous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165" fontId="99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9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5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91" fontId="45" fillId="0" borderId="25" applyFill="0"/>
    <xf numFmtId="0" fontId="59" fillId="25" borderId="27" applyNumberFormat="0" applyAlignment="0" applyProtection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43" fontId="2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91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3" fontId="11" fillId="2" borderId="4" xfId="0" applyNumberFormat="1" applyFont="1" applyFill="1" applyBorder="1" applyAlignment="1">
      <alignment horizontal="center" vertical="center" wrapText="1"/>
    </xf>
    <xf numFmtId="173" fontId="11" fillId="2" borderId="4" xfId="0" applyNumberFormat="1" applyFont="1" applyFill="1" applyBorder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174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3" fontId="11" fillId="0" borderId="0" xfId="0" applyNumberFormat="1" applyFont="1" applyAlignment="1">
      <alignment horizontal="center" vertical="center"/>
    </xf>
    <xf numFmtId="173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40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40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13" xfId="0" applyFont="1" applyFill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October- 2024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October-2024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0.8</c:v>
                </c:pt>
                <c:pt idx="1">
                  <c:v>0.79400000000000004</c:v>
                </c:pt>
                <c:pt idx="2">
                  <c:v>0.76739999999999997</c:v>
                </c:pt>
                <c:pt idx="3">
                  <c:v>0</c:v>
                </c:pt>
                <c:pt idx="4">
                  <c:v>0.86</c:v>
                </c:pt>
                <c:pt idx="5">
                  <c:v>0.84</c:v>
                </c:pt>
                <c:pt idx="6">
                  <c:v>0.88</c:v>
                </c:pt>
                <c:pt idx="7">
                  <c:v>0.87</c:v>
                </c:pt>
                <c:pt idx="8">
                  <c:v>0.88</c:v>
                </c:pt>
                <c:pt idx="9">
                  <c:v>0.9</c:v>
                </c:pt>
                <c:pt idx="10">
                  <c:v>0.94</c:v>
                </c:pt>
                <c:pt idx="11">
                  <c:v>0.88400000000000001</c:v>
                </c:pt>
                <c:pt idx="12">
                  <c:v>0.88700000000000001</c:v>
                </c:pt>
                <c:pt idx="13">
                  <c:v>0.97</c:v>
                </c:pt>
                <c:pt idx="14">
                  <c:v>0.96599999999999997</c:v>
                </c:pt>
                <c:pt idx="15">
                  <c:v>0.98</c:v>
                </c:pt>
                <c:pt idx="16">
                  <c:v>0.99670000000000003</c:v>
                </c:pt>
                <c:pt idx="17">
                  <c:v>0.98</c:v>
                </c:pt>
                <c:pt idx="18">
                  <c:v>0.92</c:v>
                </c:pt>
                <c:pt idx="19">
                  <c:v>0.88</c:v>
                </c:pt>
                <c:pt idx="20">
                  <c:v>0.84</c:v>
                </c:pt>
                <c:pt idx="21">
                  <c:v>0.83</c:v>
                </c:pt>
                <c:pt idx="22">
                  <c:v>0.84</c:v>
                </c:pt>
                <c:pt idx="23">
                  <c:v>0.86</c:v>
                </c:pt>
                <c:pt idx="24">
                  <c:v>0.93</c:v>
                </c:pt>
                <c:pt idx="25">
                  <c:v>0.92</c:v>
                </c:pt>
                <c:pt idx="26">
                  <c:v>0.93689999999999996</c:v>
                </c:pt>
                <c:pt idx="27">
                  <c:v>0.98</c:v>
                </c:pt>
                <c:pt idx="28">
                  <c:v>0.99670000000000003</c:v>
                </c:pt>
                <c:pt idx="29">
                  <c:v>1</c:v>
                </c:pt>
                <c:pt idx="30">
                  <c:v>0.98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October-2024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October-2024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0.68</c:v>
                </c:pt>
                <c:pt idx="1">
                  <c:v>0.74</c:v>
                </c:pt>
                <c:pt idx="2">
                  <c:v>0.79</c:v>
                </c:pt>
                <c:pt idx="3">
                  <c:v>0.68</c:v>
                </c:pt>
                <c:pt idx="4">
                  <c:v>0.72</c:v>
                </c:pt>
                <c:pt idx="5">
                  <c:v>0.68</c:v>
                </c:pt>
                <c:pt idx="6">
                  <c:v>0.64</c:v>
                </c:pt>
                <c:pt idx="7">
                  <c:v>0.57999999999999996</c:v>
                </c:pt>
                <c:pt idx="8">
                  <c:v>0.68</c:v>
                </c:pt>
                <c:pt idx="9">
                  <c:v>0.81</c:v>
                </c:pt>
                <c:pt idx="10">
                  <c:v>0.72</c:v>
                </c:pt>
                <c:pt idx="11">
                  <c:v>0.64</c:v>
                </c:pt>
                <c:pt idx="12">
                  <c:v>0.68</c:v>
                </c:pt>
                <c:pt idx="13">
                  <c:v>0.57999999999999996</c:v>
                </c:pt>
                <c:pt idx="14">
                  <c:v>0.62</c:v>
                </c:pt>
                <c:pt idx="15">
                  <c:v>0.68</c:v>
                </c:pt>
                <c:pt idx="16">
                  <c:v>0.65</c:v>
                </c:pt>
                <c:pt idx="17">
                  <c:v>0.72</c:v>
                </c:pt>
                <c:pt idx="18">
                  <c:v>0.68</c:v>
                </c:pt>
                <c:pt idx="19">
                  <c:v>0.73</c:v>
                </c:pt>
                <c:pt idx="20">
                  <c:v>0.64</c:v>
                </c:pt>
                <c:pt idx="21">
                  <c:v>0.72</c:v>
                </c:pt>
                <c:pt idx="22">
                  <c:v>0.6</c:v>
                </c:pt>
                <c:pt idx="23">
                  <c:v>0.72</c:v>
                </c:pt>
                <c:pt idx="24">
                  <c:v>0.73</c:v>
                </c:pt>
                <c:pt idx="25">
                  <c:v>0.63</c:v>
                </c:pt>
                <c:pt idx="26">
                  <c:v>0.67</c:v>
                </c:pt>
                <c:pt idx="27">
                  <c:v>0.59</c:v>
                </c:pt>
                <c:pt idx="28">
                  <c:v>0.6</c:v>
                </c:pt>
                <c:pt idx="29">
                  <c:v>0.79</c:v>
                </c:pt>
                <c:pt idx="30">
                  <c:v>0.68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October-2024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10084.41</c:v>
                </c:pt>
                <c:pt idx="1">
                  <c:v>10749.93</c:v>
                </c:pt>
                <c:pt idx="2">
                  <c:v>11300.27</c:v>
                </c:pt>
                <c:pt idx="3">
                  <c:v>11501.39</c:v>
                </c:pt>
                <c:pt idx="4">
                  <c:v>10161.200000000001</c:v>
                </c:pt>
                <c:pt idx="5">
                  <c:v>9848.5499999999993</c:v>
                </c:pt>
                <c:pt idx="6">
                  <c:v>9364.0300000000007</c:v>
                </c:pt>
                <c:pt idx="7">
                  <c:v>9490.19</c:v>
                </c:pt>
                <c:pt idx="8">
                  <c:v>9603.5499999999993</c:v>
                </c:pt>
                <c:pt idx="9">
                  <c:v>10214.219999999999</c:v>
                </c:pt>
                <c:pt idx="10">
                  <c:v>9329.2900000000009</c:v>
                </c:pt>
                <c:pt idx="11">
                  <c:v>9905.23</c:v>
                </c:pt>
                <c:pt idx="12">
                  <c:v>9515.7800000000007</c:v>
                </c:pt>
                <c:pt idx="13">
                  <c:v>8877.68</c:v>
                </c:pt>
                <c:pt idx="14">
                  <c:v>9122.68</c:v>
                </c:pt>
                <c:pt idx="15">
                  <c:v>9133.65</c:v>
                </c:pt>
                <c:pt idx="16">
                  <c:v>9691.31</c:v>
                </c:pt>
                <c:pt idx="17">
                  <c:v>10431.799999999999</c:v>
                </c:pt>
                <c:pt idx="18">
                  <c:v>10415.34</c:v>
                </c:pt>
                <c:pt idx="19">
                  <c:v>10375.120000000001</c:v>
                </c:pt>
                <c:pt idx="20">
                  <c:v>10386.09</c:v>
                </c:pt>
                <c:pt idx="21">
                  <c:v>10228.85</c:v>
                </c:pt>
                <c:pt idx="22">
                  <c:v>9799.18</c:v>
                </c:pt>
                <c:pt idx="23">
                  <c:v>9526.75</c:v>
                </c:pt>
                <c:pt idx="24">
                  <c:v>10077.09</c:v>
                </c:pt>
                <c:pt idx="25">
                  <c:v>10408.030000000001</c:v>
                </c:pt>
                <c:pt idx="26">
                  <c:v>10075.26</c:v>
                </c:pt>
                <c:pt idx="27">
                  <c:v>9007.5</c:v>
                </c:pt>
                <c:pt idx="28">
                  <c:v>8729.58</c:v>
                </c:pt>
                <c:pt idx="29">
                  <c:v>8182.9</c:v>
                </c:pt>
                <c:pt idx="30">
                  <c:v>8510.18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October-2024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7074.14</c:v>
                </c:pt>
                <c:pt idx="1">
                  <c:v>7074.14</c:v>
                </c:pt>
                <c:pt idx="2">
                  <c:v>7074.14</c:v>
                </c:pt>
                <c:pt idx="3">
                  <c:v>6859.78</c:v>
                </c:pt>
                <c:pt idx="4">
                  <c:v>7074.14</c:v>
                </c:pt>
                <c:pt idx="5">
                  <c:v>6859.78</c:v>
                </c:pt>
                <c:pt idx="6">
                  <c:v>6645.41</c:v>
                </c:pt>
                <c:pt idx="7">
                  <c:v>6859.78</c:v>
                </c:pt>
                <c:pt idx="8">
                  <c:v>6645.41</c:v>
                </c:pt>
                <c:pt idx="9">
                  <c:v>6645.41</c:v>
                </c:pt>
                <c:pt idx="10">
                  <c:v>7074.14</c:v>
                </c:pt>
                <c:pt idx="11">
                  <c:v>6645.41</c:v>
                </c:pt>
                <c:pt idx="12">
                  <c:v>6645.41</c:v>
                </c:pt>
                <c:pt idx="13">
                  <c:v>6431.04</c:v>
                </c:pt>
                <c:pt idx="14">
                  <c:v>6859.78</c:v>
                </c:pt>
                <c:pt idx="15">
                  <c:v>6645.41</c:v>
                </c:pt>
                <c:pt idx="16">
                  <c:v>6859.78</c:v>
                </c:pt>
                <c:pt idx="17">
                  <c:v>7074.14</c:v>
                </c:pt>
                <c:pt idx="18">
                  <c:v>6859.78</c:v>
                </c:pt>
                <c:pt idx="19">
                  <c:v>6645.41</c:v>
                </c:pt>
                <c:pt idx="20">
                  <c:v>6859.78</c:v>
                </c:pt>
                <c:pt idx="21">
                  <c:v>6645.41</c:v>
                </c:pt>
                <c:pt idx="22">
                  <c:v>6859.78</c:v>
                </c:pt>
                <c:pt idx="23">
                  <c:v>6645.41</c:v>
                </c:pt>
                <c:pt idx="24">
                  <c:v>6645.41</c:v>
                </c:pt>
                <c:pt idx="25">
                  <c:v>6859.78</c:v>
                </c:pt>
                <c:pt idx="26">
                  <c:v>6645.41</c:v>
                </c:pt>
                <c:pt idx="27">
                  <c:v>6645.41</c:v>
                </c:pt>
                <c:pt idx="28">
                  <c:v>6859.78</c:v>
                </c:pt>
                <c:pt idx="29">
                  <c:v>6645.41</c:v>
                </c:pt>
                <c:pt idx="30">
                  <c:v>6431.04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October-2024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2588.8000000000002</c:v>
                </c:pt>
                <c:pt idx="1">
                  <c:v>2430.4</c:v>
                </c:pt>
                <c:pt idx="2">
                  <c:v>2549.1999999999998</c:v>
                </c:pt>
                <c:pt idx="3">
                  <c:v>2232.4</c:v>
                </c:pt>
                <c:pt idx="4">
                  <c:v>2232.4</c:v>
                </c:pt>
                <c:pt idx="5">
                  <c:v>2364.4</c:v>
                </c:pt>
                <c:pt idx="6">
                  <c:v>2417.1999999999998</c:v>
                </c:pt>
                <c:pt idx="7">
                  <c:v>2272</c:v>
                </c:pt>
                <c:pt idx="8">
                  <c:v>2456.8000000000002</c:v>
                </c:pt>
                <c:pt idx="9">
                  <c:v>2549.1999999999998</c:v>
                </c:pt>
                <c:pt idx="10">
                  <c:v>2536</c:v>
                </c:pt>
                <c:pt idx="11">
                  <c:v>2311.6</c:v>
                </c:pt>
                <c:pt idx="12">
                  <c:v>2404</c:v>
                </c:pt>
                <c:pt idx="13">
                  <c:v>2509.6</c:v>
                </c:pt>
                <c:pt idx="14">
                  <c:v>2470</c:v>
                </c:pt>
                <c:pt idx="15">
                  <c:v>2958.4</c:v>
                </c:pt>
                <c:pt idx="16">
                  <c:v>2707.6</c:v>
                </c:pt>
                <c:pt idx="17">
                  <c:v>2602</c:v>
                </c:pt>
                <c:pt idx="18">
                  <c:v>2588.8000000000002</c:v>
                </c:pt>
                <c:pt idx="19">
                  <c:v>2668</c:v>
                </c:pt>
                <c:pt idx="20">
                  <c:v>2496.4</c:v>
                </c:pt>
                <c:pt idx="21">
                  <c:v>2588.8000000000002</c:v>
                </c:pt>
                <c:pt idx="22">
                  <c:v>2747.2</c:v>
                </c:pt>
                <c:pt idx="23">
                  <c:v>2668</c:v>
                </c:pt>
                <c:pt idx="24">
                  <c:v>2522.8000000000002</c:v>
                </c:pt>
                <c:pt idx="25">
                  <c:v>2588.8000000000002</c:v>
                </c:pt>
                <c:pt idx="26">
                  <c:v>2628.4</c:v>
                </c:pt>
                <c:pt idx="27">
                  <c:v>2734</c:v>
                </c:pt>
                <c:pt idx="28">
                  <c:v>2734</c:v>
                </c:pt>
                <c:pt idx="29">
                  <c:v>2932</c:v>
                </c:pt>
                <c:pt idx="30">
                  <c:v>3631.6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October-2024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355.26</c:v>
                </c:pt>
                <c:pt idx="2">
                  <c:v>488.49</c:v>
                </c:pt>
                <c:pt idx="3">
                  <c:v>355</c:v>
                </c:pt>
                <c:pt idx="4">
                  <c:v>355.26</c:v>
                </c:pt>
                <c:pt idx="5">
                  <c:v>355.26</c:v>
                </c:pt>
                <c:pt idx="6">
                  <c:v>355.26</c:v>
                </c:pt>
                <c:pt idx="7">
                  <c:v>444.08</c:v>
                </c:pt>
                <c:pt idx="8">
                  <c:v>355.26</c:v>
                </c:pt>
                <c:pt idx="9">
                  <c:v>310.86</c:v>
                </c:pt>
                <c:pt idx="10">
                  <c:v>355.26</c:v>
                </c:pt>
                <c:pt idx="11">
                  <c:v>310.86</c:v>
                </c:pt>
                <c:pt idx="12">
                  <c:v>444.08</c:v>
                </c:pt>
                <c:pt idx="13">
                  <c:v>444.08</c:v>
                </c:pt>
                <c:pt idx="14">
                  <c:v>444.08</c:v>
                </c:pt>
                <c:pt idx="15">
                  <c:v>444.08</c:v>
                </c:pt>
                <c:pt idx="16">
                  <c:v>444.08</c:v>
                </c:pt>
                <c:pt idx="17">
                  <c:v>444.08</c:v>
                </c:pt>
                <c:pt idx="18">
                  <c:v>444.08</c:v>
                </c:pt>
                <c:pt idx="19">
                  <c:v>444.08</c:v>
                </c:pt>
                <c:pt idx="20">
                  <c:v>399.67</c:v>
                </c:pt>
                <c:pt idx="21">
                  <c:v>355.26</c:v>
                </c:pt>
                <c:pt idx="22">
                  <c:v>399.67</c:v>
                </c:pt>
                <c:pt idx="23">
                  <c:v>355.26</c:v>
                </c:pt>
                <c:pt idx="24">
                  <c:v>399.67</c:v>
                </c:pt>
                <c:pt idx="25">
                  <c:v>444.08</c:v>
                </c:pt>
                <c:pt idx="26">
                  <c:v>355.26</c:v>
                </c:pt>
                <c:pt idx="27">
                  <c:v>399.67</c:v>
                </c:pt>
                <c:pt idx="28">
                  <c:v>444</c:v>
                </c:pt>
                <c:pt idx="29">
                  <c:v>355.26</c:v>
                </c:pt>
                <c:pt idx="30">
                  <c:v>399.67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October-2024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20191.43</c:v>
                </c:pt>
                <c:pt idx="1">
                  <c:v>20609.73</c:v>
                </c:pt>
                <c:pt idx="2">
                  <c:v>21412.100000000002</c:v>
                </c:pt>
                <c:pt idx="3">
                  <c:v>20948.57</c:v>
                </c:pt>
                <c:pt idx="4">
                  <c:v>19823</c:v>
                </c:pt>
                <c:pt idx="5">
                  <c:v>19427.989999999998</c:v>
                </c:pt>
                <c:pt idx="6">
                  <c:v>18781.899999999998</c:v>
                </c:pt>
                <c:pt idx="7">
                  <c:v>19066.050000000003</c:v>
                </c:pt>
                <c:pt idx="8">
                  <c:v>19061.019999999997</c:v>
                </c:pt>
                <c:pt idx="9">
                  <c:v>19719.689999999999</c:v>
                </c:pt>
                <c:pt idx="10">
                  <c:v>19294.689999999999</c:v>
                </c:pt>
                <c:pt idx="11">
                  <c:v>19173.099999999999</c:v>
                </c:pt>
                <c:pt idx="12">
                  <c:v>19009.270000000004</c:v>
                </c:pt>
                <c:pt idx="13">
                  <c:v>18262.400000000001</c:v>
                </c:pt>
                <c:pt idx="14">
                  <c:v>18896.54</c:v>
                </c:pt>
                <c:pt idx="15">
                  <c:v>19181.54</c:v>
                </c:pt>
                <c:pt idx="16">
                  <c:v>19702.77</c:v>
                </c:pt>
                <c:pt idx="17">
                  <c:v>20552.02</c:v>
                </c:pt>
                <c:pt idx="18">
                  <c:v>20308</c:v>
                </c:pt>
                <c:pt idx="19">
                  <c:v>20132.61</c:v>
                </c:pt>
                <c:pt idx="20">
                  <c:v>20141.939999999999</c:v>
                </c:pt>
                <c:pt idx="21">
                  <c:v>19818.32</c:v>
                </c:pt>
                <c:pt idx="22">
                  <c:v>19805.829999999998</c:v>
                </c:pt>
                <c:pt idx="23">
                  <c:v>19195.419999999998</c:v>
                </c:pt>
                <c:pt idx="24">
                  <c:v>19644.969999999998</c:v>
                </c:pt>
                <c:pt idx="25">
                  <c:v>20300.690000000002</c:v>
                </c:pt>
                <c:pt idx="26">
                  <c:v>19704.329999999998</c:v>
                </c:pt>
                <c:pt idx="27">
                  <c:v>18786.579999999998</c:v>
                </c:pt>
                <c:pt idx="28">
                  <c:v>18767.36</c:v>
                </c:pt>
                <c:pt idx="29">
                  <c:v>18115.569999999996</c:v>
                </c:pt>
                <c:pt idx="30">
                  <c:v>18972.489999999998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672079072"/>
        <c:axId val="-672078528"/>
        <c:extLst/>
      </c:lineChart>
      <c:catAx>
        <c:axId val="-67207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2078528"/>
        <c:crosses val="autoZero"/>
        <c:auto val="1"/>
        <c:lblAlgn val="ctr"/>
        <c:lblOffset val="100"/>
        <c:noMultiLvlLbl val="0"/>
      </c:catAx>
      <c:valAx>
        <c:axId val="-672078528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207907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2"/>
  <sheetViews>
    <sheetView tabSelected="1" workbookViewId="0">
      <selection activeCell="D28" sqref="D28:D32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10</v>
      </c>
      <c r="D2" s="40">
        <v>2024</v>
      </c>
      <c r="E2" s="42">
        <f>'MTD Utility Sheet'!G4/0.439</f>
        <v>16114.214123006834</v>
      </c>
      <c r="F2" s="43">
        <v>0.439</v>
      </c>
      <c r="G2" s="42">
        <f>('MTD Utility Sheet'!I4/1.82)/0.5</f>
        <v>487.99999999999994</v>
      </c>
      <c r="H2" s="44">
        <f>1.82*0.5</f>
        <v>0.91</v>
      </c>
      <c r="I2" s="42">
        <f>'MTD Utility Sheet'!H4/12.38</f>
        <v>209.11147011308563</v>
      </c>
      <c r="J2" s="43">
        <v>12.38</v>
      </c>
      <c r="K2" s="45">
        <f>IF(('MTD Utility Sheet'!F4-2866)&lt;0,"0",('MTD Utility Sheet'!F4-2866)/(0.568+0.075))</f>
        <v>11226.143079315709</v>
      </c>
      <c r="L2" s="43">
        <f>'MTD Utility Sheet'!F4/K2</f>
        <v>0.8982969421243735</v>
      </c>
      <c r="M2" s="42">
        <f>'MTD Utility Sheet'!B4*301</f>
        <v>240.8</v>
      </c>
      <c r="N2" s="40" t="s">
        <v>67</v>
      </c>
      <c r="O2" s="38"/>
    </row>
    <row r="3" spans="1:15">
      <c r="A3" s="39" t="s">
        <v>68</v>
      </c>
      <c r="B3" s="40">
        <f t="shared" ref="B3:B32" si="0">B2+1</f>
        <v>2</v>
      </c>
      <c r="C3" s="41">
        <v>10</v>
      </c>
      <c r="D3" s="40">
        <v>2024</v>
      </c>
      <c r="E3" s="42">
        <f>'MTD Utility Sheet'!G5/0.439</f>
        <v>16114.214123006834</v>
      </c>
      <c r="F3" s="43">
        <v>0.439</v>
      </c>
      <c r="G3" s="42">
        <f>('MTD Utility Sheet'!I5/1.82)/0.5</f>
        <v>390.39560439560438</v>
      </c>
      <c r="H3" s="44">
        <f t="shared" ref="H3:H32" si="1">1.82*0.5</f>
        <v>0.91</v>
      </c>
      <c r="I3" s="42">
        <f>'MTD Utility Sheet'!H5/12.38</f>
        <v>196.31663974151857</v>
      </c>
      <c r="J3" s="43">
        <v>12.38</v>
      </c>
      <c r="K3" s="45">
        <f>IF(('MTD Utility Sheet'!F5-2866)&lt;0,"0",('MTD Utility Sheet'!F5-2866)/(0.568+0.075))</f>
        <v>12261.166407465011</v>
      </c>
      <c r="L3" s="43">
        <f>'MTD Utility Sheet'!F5/K3</f>
        <v>0.87674611393048885</v>
      </c>
      <c r="M3" s="42">
        <f>'MTD Utility Sheet'!B5*301</f>
        <v>238.994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10</v>
      </c>
      <c r="D4" s="40">
        <v>2024</v>
      </c>
      <c r="E4" s="42">
        <f>'MTD Utility Sheet'!G6/0.439</f>
        <v>16114.214123006834</v>
      </c>
      <c r="F4" s="43">
        <v>0.439</v>
      </c>
      <c r="G4" s="42">
        <f>('MTD Utility Sheet'!I6/1.82)/0.5</f>
        <v>536.80219780219784</v>
      </c>
      <c r="H4" s="44">
        <f t="shared" si="1"/>
        <v>0.91</v>
      </c>
      <c r="I4" s="42">
        <f>'MTD Utility Sheet'!H6/12.38</f>
        <v>205.91276252019384</v>
      </c>
      <c r="J4" s="43">
        <v>12.38</v>
      </c>
      <c r="K4" s="45">
        <f>IF(('MTD Utility Sheet'!F6-2866)&lt;0,"0",('MTD Utility Sheet'!F6-2866)/(0.568+0.075))</f>
        <v>13117.060653188182</v>
      </c>
      <c r="L4" s="43">
        <f>'MTD Utility Sheet'!F6/K4</f>
        <v>0.86149407239749254</v>
      </c>
      <c r="M4" s="42">
        <f>'MTD Utility Sheet'!B6*301</f>
        <v>230.98739999999998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10</v>
      </c>
      <c r="D5" s="40">
        <v>2024</v>
      </c>
      <c r="E5" s="42">
        <f>'MTD Utility Sheet'!G7/0.439</f>
        <v>15625.922551252846</v>
      </c>
      <c r="F5" s="43">
        <v>0.439</v>
      </c>
      <c r="G5" s="42">
        <f>('MTD Utility Sheet'!I7/1.82)/0.5</f>
        <v>390.1098901098901</v>
      </c>
      <c r="H5" s="44">
        <f t="shared" si="1"/>
        <v>0.91</v>
      </c>
      <c r="I5" s="42">
        <f>'MTD Utility Sheet'!H7/12.38</f>
        <v>180.32310177705978</v>
      </c>
      <c r="J5" s="43">
        <v>12.38</v>
      </c>
      <c r="K5" s="45">
        <f>IF(('MTD Utility Sheet'!F7-2866)&lt;0,"0",('MTD Utility Sheet'!F7-2866)/(0.568+0.075))</f>
        <v>13429.844479004667</v>
      </c>
      <c r="L5" s="43">
        <f>'MTD Utility Sheet'!F7/K5</f>
        <v>0.85640530074495758</v>
      </c>
      <c r="M5" s="42" t="e">
        <f>'MTD Utility Sheet'!B7*301</f>
        <v>#VALUE!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10</v>
      </c>
      <c r="D6" s="40">
        <v>2024</v>
      </c>
      <c r="E6" s="42">
        <f>'MTD Utility Sheet'!G8/0.439</f>
        <v>16114.214123006834</v>
      </c>
      <c r="F6" s="43">
        <v>0.439</v>
      </c>
      <c r="G6" s="42">
        <f>('MTD Utility Sheet'!I8/1.82)/0.5</f>
        <v>390.39560439560438</v>
      </c>
      <c r="H6" s="44">
        <f t="shared" si="1"/>
        <v>0.91</v>
      </c>
      <c r="I6" s="42">
        <f>'MTD Utility Sheet'!H8/12.38</f>
        <v>180.32310177705978</v>
      </c>
      <c r="J6" s="43">
        <v>12.38</v>
      </c>
      <c r="K6" s="45">
        <f>IF(('MTD Utility Sheet'!F8-2866)&lt;0,"0",('MTD Utility Sheet'!F8-2866)/(0.568+0.075))</f>
        <v>11345.567651632973</v>
      </c>
      <c r="L6" s="43">
        <f>'MTD Utility Sheet'!F8/K6</f>
        <v>0.89560966114705542</v>
      </c>
      <c r="M6" s="42">
        <f>'MTD Utility Sheet'!B8*301</f>
        <v>258.86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10</v>
      </c>
      <c r="D7" s="40">
        <v>2024</v>
      </c>
      <c r="E7" s="42">
        <f>'MTD Utility Sheet'!G9/0.439</f>
        <v>15625.922551252846</v>
      </c>
      <c r="F7" s="43">
        <v>0.439</v>
      </c>
      <c r="G7" s="42">
        <f>('MTD Utility Sheet'!I9/1.82)/0.5</f>
        <v>390.39560439560438</v>
      </c>
      <c r="H7" s="44">
        <f t="shared" si="1"/>
        <v>0.91</v>
      </c>
      <c r="I7" s="42">
        <f>'MTD Utility Sheet'!H9/12.38</f>
        <v>190.9854604200323</v>
      </c>
      <c r="J7" s="43">
        <v>12.38</v>
      </c>
      <c r="K7" s="45">
        <f>IF(('MTD Utility Sheet'!F9-2866)&lt;0,"0",('MTD Utility Sheet'!F9-2866)/(0.568+0.075))</f>
        <v>10859.331259720062</v>
      </c>
      <c r="L7" s="43">
        <f>'MTD Utility Sheet'!F9/K7</f>
        <v>0.90692048750098453</v>
      </c>
      <c r="M7" s="42">
        <f>'MTD Utility Sheet'!B9*301</f>
        <v>252.84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10</v>
      </c>
      <c r="D8" s="40">
        <v>2024</v>
      </c>
      <c r="E8" s="42">
        <f>'MTD Utility Sheet'!G10/0.439</f>
        <v>15137.608200455581</v>
      </c>
      <c r="F8" s="43">
        <v>0.439</v>
      </c>
      <c r="G8" s="42">
        <f>('MTD Utility Sheet'!I10/1.82)/0.5</f>
        <v>390.39560439560438</v>
      </c>
      <c r="H8" s="44">
        <f t="shared" si="1"/>
        <v>0.91</v>
      </c>
      <c r="I8" s="42">
        <f>'MTD Utility Sheet'!H10/12.38</f>
        <v>195.25040387722129</v>
      </c>
      <c r="J8" s="43">
        <v>12.38</v>
      </c>
      <c r="K8" s="45">
        <f>IF(('MTD Utility Sheet'!F10-2866)&lt;0,"0",('MTD Utility Sheet'!F10-2866)/(0.568+0.075))</f>
        <v>10105.800933125975</v>
      </c>
      <c r="L8" s="43">
        <f>'MTD Utility Sheet'!F10/K8</f>
        <v>0.92659949092263327</v>
      </c>
      <c r="M8" s="42">
        <f>'MTD Utility Sheet'!B10*301</f>
        <v>264.88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10</v>
      </c>
      <c r="D9" s="40">
        <v>2024</v>
      </c>
      <c r="E9" s="42">
        <f>'MTD Utility Sheet'!G11/0.439</f>
        <v>15625.922551252846</v>
      </c>
      <c r="F9" s="43">
        <v>0.439</v>
      </c>
      <c r="G9" s="42">
        <f>('MTD Utility Sheet'!I11/1.82)/0.5</f>
        <v>487.99999999999994</v>
      </c>
      <c r="H9" s="44">
        <f t="shared" si="1"/>
        <v>0.91</v>
      </c>
      <c r="I9" s="42">
        <f>'MTD Utility Sheet'!H11/12.38</f>
        <v>183.52180936995151</v>
      </c>
      <c r="J9" s="43">
        <v>12.38</v>
      </c>
      <c r="K9" s="45">
        <f>IF(('MTD Utility Sheet'!F11-2866)&lt;0,"0",('MTD Utility Sheet'!F11-2866)/(0.568+0.075))</f>
        <v>10302.006220839816</v>
      </c>
      <c r="L9" s="43">
        <f>'MTD Utility Sheet'!F11/K9</f>
        <v>0.92119824008671236</v>
      </c>
      <c r="M9" s="42">
        <f>'MTD Utility Sheet'!B11*301</f>
        <v>261.87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10</v>
      </c>
      <c r="D10" s="40">
        <v>2024</v>
      </c>
      <c r="E10" s="42">
        <f>'MTD Utility Sheet'!G12/0.439</f>
        <v>15137.608200455581</v>
      </c>
      <c r="F10" s="43">
        <v>0.439</v>
      </c>
      <c r="G10" s="42">
        <f>('MTD Utility Sheet'!I12/1.82)/0.5</f>
        <v>390.39560439560438</v>
      </c>
      <c r="H10" s="44">
        <f t="shared" si="1"/>
        <v>0.91</v>
      </c>
      <c r="I10" s="42">
        <f>'MTD Utility Sheet'!H12/12.38</f>
        <v>198.44911147011308</v>
      </c>
      <c r="J10" s="43">
        <v>12.38</v>
      </c>
      <c r="K10" s="45">
        <f>IF(('MTD Utility Sheet'!F12-2866)&lt;0,"0",('MTD Utility Sheet'!F12-2866)/(0.568+0.075))</f>
        <v>10478.304821150856</v>
      </c>
      <c r="L10" s="43">
        <f>'MTD Utility Sheet'!F12/K10</f>
        <v>0.9165175249163271</v>
      </c>
      <c r="M10" s="42">
        <f>'MTD Utility Sheet'!B12*301</f>
        <v>264.88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10</v>
      </c>
      <c r="D11" s="40">
        <v>2024</v>
      </c>
      <c r="E11" s="42">
        <f>'MTD Utility Sheet'!G13/0.439</f>
        <v>15137.608200455581</v>
      </c>
      <c r="F11" s="43">
        <v>0.439</v>
      </c>
      <c r="G11" s="42">
        <f>('MTD Utility Sheet'!I13/1.82)/0.5</f>
        <v>341.60439560439562</v>
      </c>
      <c r="H11" s="44">
        <f t="shared" si="1"/>
        <v>0.91</v>
      </c>
      <c r="I11" s="42">
        <f>'MTD Utility Sheet'!H13/12.38</f>
        <v>205.91276252019384</v>
      </c>
      <c r="J11" s="43">
        <v>12.38</v>
      </c>
      <c r="K11" s="45">
        <f>IF(('MTD Utility Sheet'!F13-2866)&lt;0,"0",('MTD Utility Sheet'!F13-2866)/(0.568+0.075))</f>
        <v>11428.024883359254</v>
      </c>
      <c r="L11" s="43">
        <f>'MTD Utility Sheet'!F13/K11</f>
        <v>0.89378699331266609</v>
      </c>
      <c r="M11" s="42">
        <f>'MTD Utility Sheet'!B13*301</f>
        <v>270.90000000000003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10</v>
      </c>
      <c r="D12" s="40">
        <v>2024</v>
      </c>
      <c r="E12" s="42">
        <f>'MTD Utility Sheet'!G14/0.439</f>
        <v>16114.214123006834</v>
      </c>
      <c r="F12" s="43">
        <v>0.439</v>
      </c>
      <c r="G12" s="42">
        <f>('MTD Utility Sheet'!I14/1.82)/0.5</f>
        <v>390.39560439560438</v>
      </c>
      <c r="H12" s="44">
        <f t="shared" si="1"/>
        <v>0.91</v>
      </c>
      <c r="I12" s="42">
        <f>'MTD Utility Sheet'!H14/12.38</f>
        <v>204.84652665589658</v>
      </c>
      <c r="J12" s="43">
        <v>12.38</v>
      </c>
      <c r="K12" s="45">
        <f>IF(('MTD Utility Sheet'!F14-2866)&lt;0,"0",('MTD Utility Sheet'!F14-2866)/(0.568+0.075))</f>
        <v>10051.772939346814</v>
      </c>
      <c r="L12" s="43">
        <f>'MTD Utility Sheet'!F14/K12</f>
        <v>0.9281238301236675</v>
      </c>
      <c r="M12" s="42">
        <f>'MTD Utility Sheet'!B14*301</f>
        <v>282.94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10</v>
      </c>
      <c r="D13" s="40">
        <v>2024</v>
      </c>
      <c r="E13" s="42">
        <f>'MTD Utility Sheet'!G15/0.439</f>
        <v>15137.608200455581</v>
      </c>
      <c r="F13" s="43">
        <v>0.439</v>
      </c>
      <c r="G13" s="42">
        <f>('MTD Utility Sheet'!I15/1.82)/0.5</f>
        <v>341.60439560439562</v>
      </c>
      <c r="H13" s="44">
        <f t="shared" si="1"/>
        <v>0.91</v>
      </c>
      <c r="I13" s="42">
        <f>'MTD Utility Sheet'!H15/12.38</f>
        <v>186.72051696284328</v>
      </c>
      <c r="J13" s="43">
        <v>12.38</v>
      </c>
      <c r="K13" s="45">
        <f>IF(('MTD Utility Sheet'!F15-2866)&lt;0,"0",('MTD Utility Sheet'!F15-2866)/(0.568+0.075))</f>
        <v>10947.480559875585</v>
      </c>
      <c r="L13" s="43">
        <f>'MTD Utility Sheet'!F15/K13</f>
        <v>0.90479539523498997</v>
      </c>
      <c r="M13" s="42">
        <f>'MTD Utility Sheet'!B15*301</f>
        <v>266.084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10</v>
      </c>
      <c r="D14" s="40">
        <v>2024</v>
      </c>
      <c r="E14" s="42">
        <f>'MTD Utility Sheet'!G16/0.439</f>
        <v>15137.608200455581</v>
      </c>
      <c r="F14" s="43">
        <v>0.439</v>
      </c>
      <c r="G14" s="42">
        <f>('MTD Utility Sheet'!I16/1.82)/0.5</f>
        <v>487.99999999999994</v>
      </c>
      <c r="H14" s="44">
        <f t="shared" si="1"/>
        <v>0.91</v>
      </c>
      <c r="I14" s="42">
        <f>'MTD Utility Sheet'!H16/12.38</f>
        <v>194.18416801292406</v>
      </c>
      <c r="J14" s="43">
        <v>12.38</v>
      </c>
      <c r="K14" s="45">
        <f>IF(('MTD Utility Sheet'!F16-2866)&lt;0,"0",('MTD Utility Sheet'!F16-2866)/(0.568+0.075))</f>
        <v>10341.804043545881</v>
      </c>
      <c r="L14" s="43">
        <f>'MTD Utility Sheet'!F16/K14</f>
        <v>0.92012766437385884</v>
      </c>
      <c r="M14" s="42">
        <f>'MTD Utility Sheet'!B16*301</f>
        <v>266.98700000000002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10</v>
      </c>
      <c r="D15" s="40">
        <v>2024</v>
      </c>
      <c r="E15" s="42">
        <f>'MTD Utility Sheet'!G17/0.439</f>
        <v>14649.293849658314</v>
      </c>
      <c r="F15" s="43">
        <v>0.439</v>
      </c>
      <c r="G15" s="42">
        <f>('MTD Utility Sheet'!I17/1.82)/0.5</f>
        <v>487.99999999999994</v>
      </c>
      <c r="H15" s="44">
        <f t="shared" si="1"/>
        <v>0.91</v>
      </c>
      <c r="I15" s="42">
        <f>'MTD Utility Sheet'!H17/12.38</f>
        <v>202.71405492730207</v>
      </c>
      <c r="J15" s="43">
        <v>12.38</v>
      </c>
      <c r="K15" s="45">
        <f>IF(('MTD Utility Sheet'!F17-2866)&lt;0,"0",('MTD Utility Sheet'!F17-2866)/(0.568+0.075))</f>
        <v>9349.4245723172644</v>
      </c>
      <c r="L15" s="43">
        <f>'MTD Utility Sheet'!F17/K15</f>
        <v>0.94954292976339383</v>
      </c>
      <c r="M15" s="42">
        <f>'MTD Utility Sheet'!B17*301</f>
        <v>291.96999999999997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10</v>
      </c>
      <c r="D16" s="40">
        <v>2024</v>
      </c>
      <c r="E16" s="42">
        <f>'MTD Utility Sheet'!G18/0.439</f>
        <v>15625.922551252846</v>
      </c>
      <c r="F16" s="43">
        <v>0.439</v>
      </c>
      <c r="G16" s="42">
        <f>('MTD Utility Sheet'!I18/1.82)/0.5</f>
        <v>487.99999999999994</v>
      </c>
      <c r="H16" s="44">
        <f t="shared" si="1"/>
        <v>0.91</v>
      </c>
      <c r="I16" s="42">
        <f>'MTD Utility Sheet'!H18/12.38</f>
        <v>199.51534733441034</v>
      </c>
      <c r="J16" s="43">
        <v>12.38</v>
      </c>
      <c r="K16" s="45">
        <f>IF(('MTD Utility Sheet'!F18-2866)&lt;0,"0",('MTD Utility Sheet'!F18-2866)/(0.568+0.075))</f>
        <v>9730.4510108864724</v>
      </c>
      <c r="L16" s="43">
        <f>'MTD Utility Sheet'!F18/K16</f>
        <v>0.93753927642136059</v>
      </c>
      <c r="M16" s="42">
        <f>'MTD Utility Sheet'!B18*301</f>
        <v>290.76599999999996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10</v>
      </c>
      <c r="D17" s="40">
        <v>2024</v>
      </c>
      <c r="E17" s="42">
        <f>'MTD Utility Sheet'!G19/0.439</f>
        <v>15137.608200455581</v>
      </c>
      <c r="F17" s="43">
        <v>0.439</v>
      </c>
      <c r="G17" s="42">
        <f>('MTD Utility Sheet'!I19/1.82)/0.5</f>
        <v>487.99999999999994</v>
      </c>
      <c r="H17" s="44">
        <f t="shared" si="1"/>
        <v>0.91</v>
      </c>
      <c r="I17" s="42">
        <f>'MTD Utility Sheet'!H19/12.38</f>
        <v>238.96607431340871</v>
      </c>
      <c r="J17" s="43">
        <v>12.38</v>
      </c>
      <c r="K17" s="45">
        <f>IF(('MTD Utility Sheet'!F19-2866)&lt;0,"0",('MTD Utility Sheet'!F19-2866)/(0.568+0.075))</f>
        <v>9747.511664074651</v>
      </c>
      <c r="L17" s="43">
        <f>'MTD Utility Sheet'!F19/K17</f>
        <v>0.93702375691048467</v>
      </c>
      <c r="M17" s="42">
        <f>'MTD Utility Sheet'!B19*301</f>
        <v>294.98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10</v>
      </c>
      <c r="D18" s="40">
        <v>2024</v>
      </c>
      <c r="E18" s="42">
        <f>'MTD Utility Sheet'!G20/0.439</f>
        <v>15625.922551252846</v>
      </c>
      <c r="F18" s="43">
        <v>0.439</v>
      </c>
      <c r="G18" s="42">
        <f>('MTD Utility Sheet'!I20/1.82)/0.5</f>
        <v>487.99999999999994</v>
      </c>
      <c r="H18" s="44">
        <f t="shared" si="1"/>
        <v>0.91</v>
      </c>
      <c r="I18" s="42">
        <f>'MTD Utility Sheet'!H20/12.38</f>
        <v>218.7075928917609</v>
      </c>
      <c r="J18" s="43">
        <v>12.38</v>
      </c>
      <c r="K18" s="45">
        <f>IF(('MTD Utility Sheet'!F20-2866)&lt;0,"0",('MTD Utility Sheet'!F20-2866)/(0.568+0.075))</f>
        <v>10614.790046656299</v>
      </c>
      <c r="L18" s="43">
        <f>'MTD Utility Sheet'!F20/K18</f>
        <v>0.91300063000801424</v>
      </c>
      <c r="M18" s="42">
        <f>'MTD Utility Sheet'!B20*301</f>
        <v>300.00670000000002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10</v>
      </c>
      <c r="D19" s="40">
        <v>2024</v>
      </c>
      <c r="E19" s="42">
        <f>'MTD Utility Sheet'!G21/0.439</f>
        <v>16114.214123006834</v>
      </c>
      <c r="F19" s="43">
        <v>0.439</v>
      </c>
      <c r="G19" s="42">
        <f>('MTD Utility Sheet'!I21/1.82)/0.5</f>
        <v>487.99999999999994</v>
      </c>
      <c r="H19" s="44">
        <f t="shared" si="1"/>
        <v>0.91</v>
      </c>
      <c r="I19" s="42">
        <f>'MTD Utility Sheet'!H21/12.38</f>
        <v>210.17770597738286</v>
      </c>
      <c r="J19" s="43">
        <v>12.38</v>
      </c>
      <c r="K19" s="45">
        <f>IF(('MTD Utility Sheet'!F21-2866)&lt;0,"0",('MTD Utility Sheet'!F21-2866)/(0.568+0.075))</f>
        <v>11766.407465007776</v>
      </c>
      <c r="L19" s="43">
        <f>'MTD Utility Sheet'!F21/K19</f>
        <v>0.88657477067857982</v>
      </c>
      <c r="M19" s="42">
        <f>'MTD Utility Sheet'!B21*301</f>
        <v>294.98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10</v>
      </c>
      <c r="D20" s="40">
        <v>2024</v>
      </c>
      <c r="E20" s="42">
        <f>'MTD Utility Sheet'!G22/0.439</f>
        <v>15625.922551252846</v>
      </c>
      <c r="F20" s="43">
        <v>0.439</v>
      </c>
      <c r="G20" s="42">
        <f>('MTD Utility Sheet'!I22/1.82)/0.5</f>
        <v>487.99999999999994</v>
      </c>
      <c r="H20" s="44">
        <f t="shared" si="1"/>
        <v>0.91</v>
      </c>
      <c r="I20" s="42">
        <f>'MTD Utility Sheet'!H22/12.38</f>
        <v>209.11147011308563</v>
      </c>
      <c r="J20" s="43">
        <v>12.38</v>
      </c>
      <c r="K20" s="45">
        <f>IF(('MTD Utility Sheet'!F22-2866)&lt;0,"0",('MTD Utility Sheet'!F22-2866)/(0.568+0.075))</f>
        <v>11740.808709175741</v>
      </c>
      <c r="L20" s="43">
        <f>'MTD Utility Sheet'!F22/K20</f>
        <v>0.88710584236502776</v>
      </c>
      <c r="M20" s="42">
        <f>'MTD Utility Sheet'!B22*301</f>
        <v>276.92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10</v>
      </c>
      <c r="D21" s="40">
        <v>2024</v>
      </c>
      <c r="E21" s="42">
        <f>'MTD Utility Sheet'!G23/0.439</f>
        <v>15137.608200455581</v>
      </c>
      <c r="F21" s="43">
        <v>0.439</v>
      </c>
      <c r="G21" s="42">
        <f>('MTD Utility Sheet'!I23/1.82)/0.5</f>
        <v>487.99999999999994</v>
      </c>
      <c r="H21" s="44">
        <f t="shared" si="1"/>
        <v>0.91</v>
      </c>
      <c r="I21" s="42">
        <f>'MTD Utility Sheet'!H23/12.38</f>
        <v>215.50888529886913</v>
      </c>
      <c r="J21" s="43">
        <v>12.38</v>
      </c>
      <c r="K21" s="45">
        <f>IF(('MTD Utility Sheet'!F23-2866)&lt;0,"0",('MTD Utility Sheet'!F23-2866)/(0.568+0.075))</f>
        <v>11678.258164852257</v>
      </c>
      <c r="L21" s="43">
        <f>'MTD Utility Sheet'!F23/K21</f>
        <v>0.88841331074746432</v>
      </c>
      <c r="M21" s="42">
        <f>'MTD Utility Sheet'!B23*301</f>
        <v>264.88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10</v>
      </c>
      <c r="D22" s="40">
        <v>2024</v>
      </c>
      <c r="E22" s="42">
        <f>'MTD Utility Sheet'!G24/0.439</f>
        <v>15625.922551252846</v>
      </c>
      <c r="F22" s="43">
        <v>0.439</v>
      </c>
      <c r="G22" s="42">
        <f>('MTD Utility Sheet'!I24/1.82)/0.5</f>
        <v>439.19780219780222</v>
      </c>
      <c r="H22" s="44">
        <f t="shared" si="1"/>
        <v>0.91</v>
      </c>
      <c r="I22" s="42">
        <f>'MTD Utility Sheet'!H24/12.38</f>
        <v>201.64781906300485</v>
      </c>
      <c r="J22" s="43">
        <v>12.38</v>
      </c>
      <c r="K22" s="45">
        <f>IF(('MTD Utility Sheet'!F24-2866)&lt;0,"0",('MTD Utility Sheet'!F24-2866)/(0.568+0.075))</f>
        <v>11695.318818040438</v>
      </c>
      <c r="L22" s="43">
        <f>'MTD Utility Sheet'!F24/K22</f>
        <v>0.88805531183802311</v>
      </c>
      <c r="M22" s="42">
        <f>'MTD Utility Sheet'!B24*301</f>
        <v>252.84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10</v>
      </c>
      <c r="D23" s="40">
        <v>2024</v>
      </c>
      <c r="E23" s="42">
        <f>'MTD Utility Sheet'!G25/0.439</f>
        <v>15137.608200455581</v>
      </c>
      <c r="F23" s="43">
        <v>0.439</v>
      </c>
      <c r="G23" s="42">
        <f>('MTD Utility Sheet'!I25/1.82)/0.5</f>
        <v>390.39560439560438</v>
      </c>
      <c r="H23" s="44">
        <f t="shared" si="1"/>
        <v>0.91</v>
      </c>
      <c r="I23" s="42">
        <f>'MTD Utility Sheet'!H25/12.38</f>
        <v>209.11147011308563</v>
      </c>
      <c r="J23" s="43">
        <v>12.38</v>
      </c>
      <c r="K23" s="45">
        <f>IF(('MTD Utility Sheet'!F25-2866)&lt;0,"0",('MTD Utility Sheet'!F25-2866)/(0.568+0.075))</f>
        <v>11450.777604976674</v>
      </c>
      <c r="L23" s="43">
        <f>'MTD Utility Sheet'!F25/K23</f>
        <v>0.89328867897621145</v>
      </c>
      <c r="M23" s="42">
        <f>'MTD Utility Sheet'!B25*301</f>
        <v>249.82999999999998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10</v>
      </c>
      <c r="D24" s="40">
        <v>2024</v>
      </c>
      <c r="E24" s="42">
        <f>'MTD Utility Sheet'!G26/0.439</f>
        <v>15625.922551252846</v>
      </c>
      <c r="F24" s="43">
        <v>0.439</v>
      </c>
      <c r="G24" s="42">
        <f>('MTD Utility Sheet'!I26/1.82)/0.5</f>
        <v>439.19780219780222</v>
      </c>
      <c r="H24" s="44">
        <f t="shared" si="1"/>
        <v>0.91</v>
      </c>
      <c r="I24" s="42">
        <f>'MTD Utility Sheet'!H26/12.38</f>
        <v>221.90630048465263</v>
      </c>
      <c r="J24" s="43">
        <v>12.38</v>
      </c>
      <c r="K24" s="45">
        <f>IF(('MTD Utility Sheet'!F26-2866)&lt;0,"0",('MTD Utility Sheet'!F26-2866)/(0.568+0.075))</f>
        <v>10782.550544323485</v>
      </c>
      <c r="L24" s="43">
        <f>'MTD Utility Sheet'!F26/K24</f>
        <v>0.90879982057295483</v>
      </c>
      <c r="M24" s="42">
        <f>'MTD Utility Sheet'!B26*301</f>
        <v>252.84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10</v>
      </c>
      <c r="D25" s="40">
        <v>2024</v>
      </c>
      <c r="E25" s="42">
        <f>'MTD Utility Sheet'!G27/0.439</f>
        <v>15137.608200455581</v>
      </c>
      <c r="F25" s="43">
        <v>0.439</v>
      </c>
      <c r="G25" s="42">
        <f>('MTD Utility Sheet'!I27/1.82)/0.5</f>
        <v>390.39560439560438</v>
      </c>
      <c r="H25" s="44">
        <f t="shared" si="1"/>
        <v>0.91</v>
      </c>
      <c r="I25" s="42">
        <f>'MTD Utility Sheet'!H27/12.38</f>
        <v>215.50888529886913</v>
      </c>
      <c r="J25" s="43">
        <v>12.38</v>
      </c>
      <c r="K25" s="45">
        <f>IF(('MTD Utility Sheet'!F27-2866)&lt;0,"0",('MTD Utility Sheet'!F27-2866)/(0.568+0.075))</f>
        <v>10358.864696734061</v>
      </c>
      <c r="L25" s="43">
        <f>'MTD Utility Sheet'!F27/K25</f>
        <v>0.91967124573058567</v>
      </c>
      <c r="M25" s="42">
        <f>'MTD Utility Sheet'!B27*301</f>
        <v>258.86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10</v>
      </c>
      <c r="D26" s="40">
        <v>2024</v>
      </c>
      <c r="E26" s="42">
        <f>'MTD Utility Sheet'!G28/0.439</f>
        <v>15137.608200455581</v>
      </c>
      <c r="F26" s="43">
        <v>0.439</v>
      </c>
      <c r="G26" s="42">
        <f>('MTD Utility Sheet'!I28/1.82)/0.5</f>
        <v>439.19780219780222</v>
      </c>
      <c r="H26" s="44">
        <f t="shared" si="1"/>
        <v>0.91</v>
      </c>
      <c r="I26" s="42">
        <f>'MTD Utility Sheet'!H28/12.38</f>
        <v>203.78029079159936</v>
      </c>
      <c r="J26" s="43">
        <v>12.38</v>
      </c>
      <c r="K26" s="45">
        <f>IF(('MTD Utility Sheet'!F28-2866)&lt;0,"0",('MTD Utility Sheet'!F28-2866)/(0.568+0.075))</f>
        <v>11214.758942457234</v>
      </c>
      <c r="L26" s="43">
        <f>'MTD Utility Sheet'!F28/K26</f>
        <v>0.89855609484835142</v>
      </c>
      <c r="M26" s="42">
        <f>'MTD Utility Sheet'!B28*301</f>
        <v>279.93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10</v>
      </c>
      <c r="D27" s="40">
        <v>2024</v>
      </c>
      <c r="E27" s="42">
        <f>'MTD Utility Sheet'!G29/0.439</f>
        <v>15625.922551252846</v>
      </c>
      <c r="F27" s="43">
        <v>0.439</v>
      </c>
      <c r="G27" s="42">
        <f>('MTD Utility Sheet'!I29/1.82)/0.5</f>
        <v>487.99999999999994</v>
      </c>
      <c r="H27" s="44">
        <f t="shared" si="1"/>
        <v>0.91</v>
      </c>
      <c r="I27" s="42">
        <f>'MTD Utility Sheet'!H29/12.38</f>
        <v>209.11147011308563</v>
      </c>
      <c r="J27" s="43">
        <v>12.38</v>
      </c>
      <c r="K27" s="45">
        <f>IF(('MTD Utility Sheet'!F29-2866)&lt;0,"0",('MTD Utility Sheet'!F29-2866)/(0.568+0.075))</f>
        <v>11729.440124416798</v>
      </c>
      <c r="L27" s="43">
        <f>'MTD Utility Sheet'!F29/K27</f>
        <v>0.88734243830904935</v>
      </c>
      <c r="M27" s="42">
        <f>'MTD Utility Sheet'!B29*301</f>
        <v>276.92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10</v>
      </c>
      <c r="D28" s="40">
        <v>2024</v>
      </c>
      <c r="E28" s="42">
        <f>'MTD Utility Sheet'!G30/0.439</f>
        <v>15137.608200455581</v>
      </c>
      <c r="F28" s="43">
        <v>0.439</v>
      </c>
      <c r="G28" s="42">
        <f>('MTD Utility Sheet'!I30/1.82)/0.5</f>
        <v>390.39560439560438</v>
      </c>
      <c r="H28" s="44">
        <f t="shared" si="1"/>
        <v>0.91</v>
      </c>
      <c r="I28" s="42">
        <f>'MTD Utility Sheet'!H30/12.38</f>
        <v>212.31017770597737</v>
      </c>
      <c r="J28" s="43">
        <v>12.38</v>
      </c>
      <c r="K28" s="45">
        <f>IF(('MTD Utility Sheet'!F30-2866)&lt;0,"0",('MTD Utility Sheet'!F30-2866)/(0.568+0.075))</f>
        <v>11211.912908242615</v>
      </c>
      <c r="L28" s="43">
        <f>'MTD Utility Sheet'!F30/K28</f>
        <v>0.89862096525857005</v>
      </c>
      <c r="M28" s="42">
        <f>'MTD Utility Sheet'!B30*301</f>
        <v>282.00689999999997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10</v>
      </c>
      <c r="D29" s="40">
        <v>2024</v>
      </c>
      <c r="E29" s="42">
        <f>'MTD Utility Sheet'!G31/0.439</f>
        <v>15137.608200455581</v>
      </c>
      <c r="F29" s="43">
        <v>0.439</v>
      </c>
      <c r="G29" s="42">
        <f>('MTD Utility Sheet'!I31/1.82)/0.5</f>
        <v>439.19780219780222</v>
      </c>
      <c r="H29" s="44">
        <f t="shared" si="1"/>
        <v>0.91</v>
      </c>
      <c r="I29" s="42">
        <f>'MTD Utility Sheet'!H31/12.38</f>
        <v>220.84006462035541</v>
      </c>
      <c r="J29" s="43">
        <v>12.38</v>
      </c>
      <c r="K29" s="45">
        <f>IF(('MTD Utility Sheet'!F31-2866)&lt;0,"0",('MTD Utility Sheet'!F31-2866)/(0.568+0.075))</f>
        <v>9551.3219284603438</v>
      </c>
      <c r="L29" s="43">
        <f>'MTD Utility Sheet'!F31/K29</f>
        <v>0.94306317674835127</v>
      </c>
      <c r="M29" s="42">
        <f>'MTD Utility Sheet'!B31*301</f>
        <v>294.98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10</v>
      </c>
      <c r="D30" s="40">
        <v>2024</v>
      </c>
      <c r="E30" s="42">
        <f>'MTD Utility Sheet'!G32/0.439</f>
        <v>15625.922551252846</v>
      </c>
      <c r="F30" s="43">
        <v>0.439</v>
      </c>
      <c r="G30" s="42">
        <f>('MTD Utility Sheet'!I32/1.82)/0.5</f>
        <v>487.91208791208788</v>
      </c>
      <c r="H30" s="44">
        <f t="shared" si="1"/>
        <v>0.91</v>
      </c>
      <c r="I30" s="42">
        <f>'MTD Utility Sheet'!H32/12.38</f>
        <v>220.84006462035541</v>
      </c>
      <c r="J30" s="43">
        <v>12.38</v>
      </c>
      <c r="K30" s="45">
        <f>IF(('MTD Utility Sheet'!F32-2866)&lt;0,"0",('MTD Utility Sheet'!F32-2866)/(0.568+0.075))</f>
        <v>9119.0979782270624</v>
      </c>
      <c r="L30" s="43">
        <f>'MTD Utility Sheet'!F32/K30</f>
        <v>0.95728547065103553</v>
      </c>
      <c r="M30" s="42">
        <f>'MTD Utility Sheet'!B32*301</f>
        <v>300.00670000000002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10</v>
      </c>
      <c r="D31" s="40">
        <v>2024</v>
      </c>
      <c r="E31" s="42">
        <f>'MTD Utility Sheet'!G33/0.439</f>
        <v>15137.608200455581</v>
      </c>
      <c r="F31" s="43">
        <v>0.439</v>
      </c>
      <c r="G31" s="42">
        <f>('MTD Utility Sheet'!I33/1.82)/0.5</f>
        <v>390.39560439560438</v>
      </c>
      <c r="H31" s="44">
        <f t="shared" si="1"/>
        <v>0.91</v>
      </c>
      <c r="I31" s="42">
        <f>'MTD Utility Sheet'!H33/12.38</f>
        <v>236.8336025848142</v>
      </c>
      <c r="J31" s="43">
        <v>12.38</v>
      </c>
      <c r="K31" s="45">
        <f>IF(('MTD Utility Sheet'!F33-2866)&lt;0,"0",('MTD Utility Sheet'!F33-2866)/(0.568+0.075))</f>
        <v>8268.8958009331272</v>
      </c>
      <c r="L31" s="43">
        <f>'MTD Utility Sheet'!F33/K31</f>
        <v>0.98960008651657905</v>
      </c>
      <c r="M31" s="42">
        <f>'MTD Utility Sheet'!B33*301</f>
        <v>301</v>
      </c>
    </row>
    <row r="32" spans="1:14">
      <c r="A32" s="39" t="s">
        <v>68</v>
      </c>
      <c r="B32" s="40">
        <f t="shared" si="0"/>
        <v>31</v>
      </c>
      <c r="C32" s="41">
        <v>10</v>
      </c>
      <c r="D32" s="40">
        <v>2024</v>
      </c>
      <c r="E32" s="42">
        <f>'MTD Utility Sheet'!G34/0.439</f>
        <v>14649.293849658314</v>
      </c>
      <c r="F32" s="43">
        <v>1.4390000000000001</v>
      </c>
      <c r="G32" s="42">
        <f>('MTD Utility Sheet'!I34/1.82)/0.5</f>
        <v>439.19780219780222</v>
      </c>
      <c r="H32" s="44">
        <f t="shared" si="1"/>
        <v>0.91</v>
      </c>
      <c r="I32" s="42">
        <f>'MTD Utility Sheet'!H34/12.38</f>
        <v>293.34410339256863</v>
      </c>
      <c r="J32" s="43">
        <v>13.38</v>
      </c>
      <c r="K32" s="45">
        <f>IF(('MTD Utility Sheet'!F34-2866)&lt;0,"0",('MTD Utility Sheet'!F34-2866)/(0.568+0.075))</f>
        <v>8777.8849144634551</v>
      </c>
      <c r="L32" s="43">
        <f>'MTD Utility Sheet'!F34/K32</f>
        <v>0.96950234400745527</v>
      </c>
      <c r="M32" s="42">
        <f>'MTD Utility Sheet'!B34*301</f>
        <v>294.98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7"/>
  <sheetViews>
    <sheetView zoomScaleNormal="100" zoomScaleSheetLayoutView="100" workbookViewId="0">
      <pane ySplit="3" topLeftCell="A28" activePane="bottomLeft" state="frozen"/>
      <selection activeCell="A5" sqref="A5:H5"/>
      <selection pane="bottomLeft" activeCell="B34" sqref="B34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7" t="s">
        <v>72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0.8</v>
      </c>
      <c r="C4" s="55" t="s">
        <v>75</v>
      </c>
      <c r="D4" s="50">
        <v>0.68</v>
      </c>
      <c r="E4" s="51">
        <v>1176</v>
      </c>
      <c r="F4" s="52">
        <v>10084.41</v>
      </c>
      <c r="G4" s="52">
        <v>7074.14</v>
      </c>
      <c r="H4" s="52">
        <v>2588.8000000000002</v>
      </c>
      <c r="I4" s="52">
        <v>444.08</v>
      </c>
      <c r="J4" s="19">
        <f t="shared" ref="J4:J34" si="0">SUM(F4+G4+H4+I4)</f>
        <v>20191.43</v>
      </c>
    </row>
    <row r="5" spans="1:10" s="4" customFormat="1" ht="21" customHeight="1">
      <c r="A5" s="18">
        <v>2</v>
      </c>
      <c r="B5" s="50">
        <v>0.79400000000000004</v>
      </c>
      <c r="C5" s="55" t="s">
        <v>74</v>
      </c>
      <c r="D5" s="50">
        <v>0.74</v>
      </c>
      <c r="E5" s="51">
        <v>1170</v>
      </c>
      <c r="F5" s="52">
        <v>10749.93</v>
      </c>
      <c r="G5" s="52">
        <v>7074.14</v>
      </c>
      <c r="H5" s="52">
        <v>2430.4</v>
      </c>
      <c r="I5" s="52">
        <v>355.26</v>
      </c>
      <c r="J5" s="19">
        <f t="shared" si="0"/>
        <v>20609.73</v>
      </c>
    </row>
    <row r="6" spans="1:10" s="4" customFormat="1" ht="21" customHeight="1">
      <c r="A6" s="18">
        <v>3</v>
      </c>
      <c r="B6" s="50">
        <v>0.76739999999999997</v>
      </c>
      <c r="C6" s="55" t="s">
        <v>74</v>
      </c>
      <c r="D6" s="50">
        <v>0.79</v>
      </c>
      <c r="E6" s="51">
        <v>1278</v>
      </c>
      <c r="F6" s="52">
        <v>11300.27</v>
      </c>
      <c r="G6" s="52">
        <v>7074.14</v>
      </c>
      <c r="H6" s="52">
        <v>2549.1999999999998</v>
      </c>
      <c r="I6" s="52">
        <v>488.49</v>
      </c>
      <c r="J6" s="19">
        <f t="shared" si="0"/>
        <v>21412.100000000002</v>
      </c>
    </row>
    <row r="7" spans="1:10" s="4" customFormat="1" ht="21" customHeight="1">
      <c r="A7" s="18">
        <v>4</v>
      </c>
      <c r="B7" s="50" t="s">
        <v>79</v>
      </c>
      <c r="C7" s="55" t="s">
        <v>78</v>
      </c>
      <c r="D7" s="50">
        <v>0.68</v>
      </c>
      <c r="E7" s="51">
        <v>1295</v>
      </c>
      <c r="F7" s="52">
        <v>11501.39</v>
      </c>
      <c r="G7" s="52">
        <v>6859.78</v>
      </c>
      <c r="H7" s="52">
        <v>2232.4</v>
      </c>
      <c r="I7" s="52">
        <v>355</v>
      </c>
      <c r="J7" s="19">
        <f t="shared" si="0"/>
        <v>20948.57</v>
      </c>
    </row>
    <row r="8" spans="1:10" s="4" customFormat="1" ht="21" customHeight="1">
      <c r="A8" s="18">
        <v>5</v>
      </c>
      <c r="B8" s="50">
        <v>0.86</v>
      </c>
      <c r="C8" s="55" t="s">
        <v>81</v>
      </c>
      <c r="D8" s="50">
        <v>0.72</v>
      </c>
      <c r="E8" s="51">
        <v>1383</v>
      </c>
      <c r="F8" s="52">
        <v>10161.200000000001</v>
      </c>
      <c r="G8" s="52">
        <v>7074.14</v>
      </c>
      <c r="H8" s="52">
        <v>2232.4</v>
      </c>
      <c r="I8" s="52">
        <v>355.26</v>
      </c>
      <c r="J8" s="19">
        <f t="shared" si="0"/>
        <v>19823</v>
      </c>
    </row>
    <row r="9" spans="1:10" s="4" customFormat="1" ht="21" customHeight="1">
      <c r="A9" s="18">
        <v>6</v>
      </c>
      <c r="B9" s="50">
        <v>0.84</v>
      </c>
      <c r="C9" s="55" t="s">
        <v>81</v>
      </c>
      <c r="D9" s="50">
        <v>0.68</v>
      </c>
      <c r="E9" s="51">
        <v>1296</v>
      </c>
      <c r="F9" s="52">
        <v>9848.5499999999993</v>
      </c>
      <c r="G9" s="52">
        <v>6859.78</v>
      </c>
      <c r="H9" s="52">
        <v>2364.4</v>
      </c>
      <c r="I9" s="52">
        <v>355.26</v>
      </c>
      <c r="J9" s="19">
        <f t="shared" si="0"/>
        <v>19427.989999999998</v>
      </c>
    </row>
    <row r="10" spans="1:10" s="4" customFormat="1" ht="21" customHeight="1">
      <c r="A10" s="18">
        <v>7</v>
      </c>
      <c r="B10" s="50">
        <v>0.88</v>
      </c>
      <c r="C10" s="55" t="s">
        <v>84</v>
      </c>
      <c r="D10" s="50">
        <v>0.64</v>
      </c>
      <c r="E10" s="51">
        <v>1310</v>
      </c>
      <c r="F10" s="52">
        <v>9364.0300000000007</v>
      </c>
      <c r="G10" s="52">
        <v>6645.41</v>
      </c>
      <c r="H10" s="52">
        <v>2417.1999999999998</v>
      </c>
      <c r="I10" s="52">
        <v>355.26</v>
      </c>
      <c r="J10" s="19">
        <f t="shared" si="0"/>
        <v>18781.899999999998</v>
      </c>
    </row>
    <row r="11" spans="1:10" s="4" customFormat="1" ht="21" customHeight="1">
      <c r="A11" s="18">
        <v>8</v>
      </c>
      <c r="B11" s="50">
        <v>0.87</v>
      </c>
      <c r="C11" s="55" t="s">
        <v>86</v>
      </c>
      <c r="D11" s="50">
        <v>0.57999999999999996</v>
      </c>
      <c r="E11" s="51">
        <v>1315</v>
      </c>
      <c r="F11" s="52">
        <v>9490.19</v>
      </c>
      <c r="G11" s="52">
        <v>6859.78</v>
      </c>
      <c r="H11" s="52">
        <v>2272</v>
      </c>
      <c r="I11" s="52">
        <v>444.08</v>
      </c>
      <c r="J11" s="19">
        <f t="shared" si="0"/>
        <v>19066.050000000003</v>
      </c>
    </row>
    <row r="12" spans="1:10" s="4" customFormat="1" ht="21" customHeight="1">
      <c r="A12" s="18">
        <v>9</v>
      </c>
      <c r="B12" s="50">
        <v>0.88</v>
      </c>
      <c r="C12" s="55" t="s">
        <v>78</v>
      </c>
      <c r="D12" s="50">
        <v>0.68</v>
      </c>
      <c r="E12" s="51">
        <v>1220</v>
      </c>
      <c r="F12" s="52">
        <v>9603.5499999999993</v>
      </c>
      <c r="G12" s="52">
        <v>6645.41</v>
      </c>
      <c r="H12" s="52">
        <v>2456.8000000000002</v>
      </c>
      <c r="I12" s="52">
        <v>355.26</v>
      </c>
      <c r="J12" s="19">
        <f t="shared" si="0"/>
        <v>19061.019999999997</v>
      </c>
    </row>
    <row r="13" spans="1:10" s="4" customFormat="1" ht="21" customHeight="1">
      <c r="A13" s="18">
        <v>10</v>
      </c>
      <c r="B13" s="50">
        <v>0.9</v>
      </c>
      <c r="C13" s="55" t="s">
        <v>74</v>
      </c>
      <c r="D13" s="50">
        <v>0.81</v>
      </c>
      <c r="E13" s="51">
        <v>1377</v>
      </c>
      <c r="F13" s="52">
        <v>10214.219999999999</v>
      </c>
      <c r="G13" s="52">
        <v>6645.41</v>
      </c>
      <c r="H13" s="52">
        <v>2549.1999999999998</v>
      </c>
      <c r="I13" s="52">
        <v>310.86</v>
      </c>
      <c r="J13" s="19">
        <f t="shared" si="0"/>
        <v>19719.689999999999</v>
      </c>
    </row>
    <row r="14" spans="1:10" s="4" customFormat="1" ht="21" customHeight="1">
      <c r="A14" s="18">
        <v>11</v>
      </c>
      <c r="B14" s="50">
        <v>0.94</v>
      </c>
      <c r="C14" s="55" t="s">
        <v>75</v>
      </c>
      <c r="D14" s="50">
        <v>0.72</v>
      </c>
      <c r="E14" s="51">
        <v>1404</v>
      </c>
      <c r="F14" s="52">
        <v>9329.2900000000009</v>
      </c>
      <c r="G14" s="52">
        <v>7074.14</v>
      </c>
      <c r="H14" s="52">
        <v>2536</v>
      </c>
      <c r="I14" s="52">
        <v>355.26</v>
      </c>
      <c r="J14" s="19">
        <f t="shared" si="0"/>
        <v>19294.689999999999</v>
      </c>
    </row>
    <row r="15" spans="1:10" s="4" customFormat="1" ht="21" customHeight="1">
      <c r="A15" s="18">
        <v>12</v>
      </c>
      <c r="B15" s="50">
        <v>0.88400000000000001</v>
      </c>
      <c r="C15" s="55" t="s">
        <v>84</v>
      </c>
      <c r="D15" s="50">
        <v>0.64</v>
      </c>
      <c r="E15" s="51">
        <v>1394</v>
      </c>
      <c r="F15" s="52">
        <v>9905.23</v>
      </c>
      <c r="G15" s="52">
        <v>6645.41</v>
      </c>
      <c r="H15" s="52">
        <v>2311.6</v>
      </c>
      <c r="I15" s="52">
        <v>310.86</v>
      </c>
      <c r="J15" s="19">
        <f t="shared" si="0"/>
        <v>19173.099999999999</v>
      </c>
    </row>
    <row r="16" spans="1:10" s="4" customFormat="1" ht="21" customHeight="1">
      <c r="A16" s="18">
        <v>13</v>
      </c>
      <c r="B16" s="50">
        <v>0.88700000000000001</v>
      </c>
      <c r="C16" s="55" t="s">
        <v>81</v>
      </c>
      <c r="D16" s="50">
        <v>0.68</v>
      </c>
      <c r="E16" s="51">
        <v>1294</v>
      </c>
      <c r="F16" s="52">
        <v>9515.7800000000007</v>
      </c>
      <c r="G16" s="52">
        <v>6645.41</v>
      </c>
      <c r="H16" s="52">
        <v>2404</v>
      </c>
      <c r="I16" s="52">
        <v>444.08</v>
      </c>
      <c r="J16" s="19">
        <f t="shared" si="0"/>
        <v>19009.270000000004</v>
      </c>
    </row>
    <row r="17" spans="1:10" s="4" customFormat="1" ht="21" customHeight="1">
      <c r="A17" s="18">
        <v>14</v>
      </c>
      <c r="B17" s="50">
        <v>0.97</v>
      </c>
      <c r="C17" s="55" t="s">
        <v>86</v>
      </c>
      <c r="D17" s="50">
        <v>0.57999999999999996</v>
      </c>
      <c r="E17" s="51">
        <v>1287</v>
      </c>
      <c r="F17" s="52">
        <v>8877.68</v>
      </c>
      <c r="G17" s="52">
        <v>6431.04</v>
      </c>
      <c r="H17" s="52">
        <v>2509.6</v>
      </c>
      <c r="I17" s="52">
        <v>444.08</v>
      </c>
      <c r="J17" s="19">
        <f t="shared" si="0"/>
        <v>18262.400000000001</v>
      </c>
    </row>
    <row r="18" spans="1:10" s="4" customFormat="1" ht="21" customHeight="1">
      <c r="A18" s="18">
        <v>15</v>
      </c>
      <c r="B18" s="50">
        <v>0.96599999999999997</v>
      </c>
      <c r="C18" s="55" t="s">
        <v>84</v>
      </c>
      <c r="D18" s="50">
        <v>0.62</v>
      </c>
      <c r="E18" s="51">
        <v>1289</v>
      </c>
      <c r="F18" s="52">
        <v>9122.68</v>
      </c>
      <c r="G18" s="52">
        <v>6859.78</v>
      </c>
      <c r="H18" s="52">
        <v>2470</v>
      </c>
      <c r="I18" s="52">
        <v>444.08</v>
      </c>
      <c r="J18" s="19">
        <f t="shared" si="0"/>
        <v>18896.54</v>
      </c>
    </row>
    <row r="19" spans="1:10" s="4" customFormat="1" ht="21" customHeight="1">
      <c r="A19" s="18">
        <v>16</v>
      </c>
      <c r="B19" s="50">
        <v>0.98</v>
      </c>
      <c r="C19" s="55" t="s">
        <v>78</v>
      </c>
      <c r="D19" s="50">
        <v>0.68</v>
      </c>
      <c r="E19" s="51">
        <v>1288</v>
      </c>
      <c r="F19" s="52">
        <v>9133.65</v>
      </c>
      <c r="G19" s="52">
        <v>6645.41</v>
      </c>
      <c r="H19" s="52">
        <v>2958.4</v>
      </c>
      <c r="I19" s="52">
        <v>444.08</v>
      </c>
      <c r="J19" s="19">
        <f t="shared" si="0"/>
        <v>19181.54</v>
      </c>
    </row>
    <row r="20" spans="1:10" s="4" customFormat="1" ht="21" customHeight="1">
      <c r="A20" s="18">
        <v>17</v>
      </c>
      <c r="B20" s="50">
        <v>0.99670000000000003</v>
      </c>
      <c r="C20" s="55" t="s">
        <v>78</v>
      </c>
      <c r="D20" s="50">
        <v>0.65</v>
      </c>
      <c r="E20" s="51">
        <v>1319</v>
      </c>
      <c r="F20" s="52">
        <v>9691.31</v>
      </c>
      <c r="G20" s="52">
        <v>6859.78</v>
      </c>
      <c r="H20" s="52">
        <v>2707.6</v>
      </c>
      <c r="I20" s="52">
        <v>444.08</v>
      </c>
      <c r="J20" s="19">
        <f t="shared" si="0"/>
        <v>19702.77</v>
      </c>
    </row>
    <row r="21" spans="1:10" s="4" customFormat="1" ht="21" customHeight="1">
      <c r="A21" s="18">
        <v>18</v>
      </c>
      <c r="B21" s="50">
        <v>0.98</v>
      </c>
      <c r="C21" s="55" t="s">
        <v>81</v>
      </c>
      <c r="D21" s="50">
        <v>0.72</v>
      </c>
      <c r="E21" s="51">
        <v>1512</v>
      </c>
      <c r="F21" s="52">
        <v>10431.799999999999</v>
      </c>
      <c r="G21" s="52">
        <v>7074.14</v>
      </c>
      <c r="H21" s="52">
        <v>2602</v>
      </c>
      <c r="I21" s="52">
        <v>444.08</v>
      </c>
      <c r="J21" s="19">
        <f t="shared" si="0"/>
        <v>20552.02</v>
      </c>
    </row>
    <row r="22" spans="1:10" s="4" customFormat="1" ht="21" customHeight="1">
      <c r="A22" s="18">
        <v>19</v>
      </c>
      <c r="B22" s="50">
        <v>0.92</v>
      </c>
      <c r="C22" s="55" t="s">
        <v>78</v>
      </c>
      <c r="D22" s="50">
        <v>0.68</v>
      </c>
      <c r="E22" s="51">
        <v>1471</v>
      </c>
      <c r="F22" s="52">
        <v>10415.34</v>
      </c>
      <c r="G22" s="52">
        <v>6859.78</v>
      </c>
      <c r="H22" s="52">
        <v>2588.8000000000002</v>
      </c>
      <c r="I22" s="52">
        <v>444.08</v>
      </c>
      <c r="J22" s="19">
        <f t="shared" si="0"/>
        <v>20308</v>
      </c>
    </row>
    <row r="23" spans="1:10" s="4" customFormat="1" ht="21" customHeight="1">
      <c r="A23" s="18">
        <v>20</v>
      </c>
      <c r="B23" s="50">
        <v>0.88</v>
      </c>
      <c r="C23" s="55" t="s">
        <v>78</v>
      </c>
      <c r="D23" s="50">
        <v>0.73</v>
      </c>
      <c r="E23" s="51">
        <v>1368</v>
      </c>
      <c r="F23" s="52">
        <v>10375.120000000001</v>
      </c>
      <c r="G23" s="52">
        <v>6645.41</v>
      </c>
      <c r="H23" s="52">
        <v>2668</v>
      </c>
      <c r="I23" s="52">
        <v>444.08</v>
      </c>
      <c r="J23" s="19">
        <f t="shared" si="0"/>
        <v>20132.61</v>
      </c>
    </row>
    <row r="24" spans="1:10" s="4" customFormat="1" ht="21" customHeight="1">
      <c r="A24" s="18">
        <v>21</v>
      </c>
      <c r="B24" s="50">
        <v>0.84</v>
      </c>
      <c r="C24" s="55" t="s">
        <v>84</v>
      </c>
      <c r="D24" s="50">
        <v>0.64</v>
      </c>
      <c r="E24" s="51">
        <v>1194</v>
      </c>
      <c r="F24" s="52">
        <v>10386.09</v>
      </c>
      <c r="G24" s="52">
        <v>6859.78</v>
      </c>
      <c r="H24" s="52">
        <v>2496.4</v>
      </c>
      <c r="I24" s="52">
        <v>399.67</v>
      </c>
      <c r="J24" s="19">
        <f t="shared" si="0"/>
        <v>20141.939999999999</v>
      </c>
    </row>
    <row r="25" spans="1:10" s="4" customFormat="1" ht="21" customHeight="1">
      <c r="A25" s="18">
        <v>22</v>
      </c>
      <c r="B25" s="50">
        <v>0.83</v>
      </c>
      <c r="C25" s="55" t="s">
        <v>78</v>
      </c>
      <c r="D25" s="50">
        <v>0.72</v>
      </c>
      <c r="E25" s="51">
        <v>1186</v>
      </c>
      <c r="F25" s="52">
        <v>10228.85</v>
      </c>
      <c r="G25" s="52">
        <v>6645.41</v>
      </c>
      <c r="H25" s="52">
        <v>2588.8000000000002</v>
      </c>
      <c r="I25" s="52">
        <v>355.26</v>
      </c>
      <c r="J25" s="19">
        <f t="shared" si="0"/>
        <v>19818.32</v>
      </c>
    </row>
    <row r="26" spans="1:10" s="4" customFormat="1" ht="21" customHeight="1">
      <c r="A26" s="18">
        <v>23</v>
      </c>
      <c r="B26" s="50">
        <v>0.84</v>
      </c>
      <c r="C26" s="55" t="s">
        <v>84</v>
      </c>
      <c r="D26" s="50">
        <v>0.6</v>
      </c>
      <c r="E26" s="51">
        <v>1399</v>
      </c>
      <c r="F26" s="52">
        <v>9799.18</v>
      </c>
      <c r="G26" s="52">
        <v>6859.78</v>
      </c>
      <c r="H26" s="52">
        <v>2747.2</v>
      </c>
      <c r="I26" s="52">
        <v>399.67</v>
      </c>
      <c r="J26" s="19">
        <f t="shared" si="0"/>
        <v>19805.829999999998</v>
      </c>
    </row>
    <row r="27" spans="1:10" s="4" customFormat="1" ht="21" customHeight="1">
      <c r="A27" s="18">
        <v>24</v>
      </c>
      <c r="B27" s="50">
        <v>0.86</v>
      </c>
      <c r="C27" s="55" t="s">
        <v>74</v>
      </c>
      <c r="D27" s="50">
        <v>0.72</v>
      </c>
      <c r="E27" s="51">
        <v>1184</v>
      </c>
      <c r="F27" s="52">
        <v>9526.75</v>
      </c>
      <c r="G27" s="52">
        <v>6645.41</v>
      </c>
      <c r="H27" s="52">
        <v>2668</v>
      </c>
      <c r="I27" s="52">
        <v>355.26</v>
      </c>
      <c r="J27" s="19">
        <f t="shared" si="0"/>
        <v>19195.419999999998</v>
      </c>
    </row>
    <row r="28" spans="1:10" s="4" customFormat="1" ht="21" customHeight="1">
      <c r="A28" s="18">
        <v>25</v>
      </c>
      <c r="B28" s="50">
        <v>0.93</v>
      </c>
      <c r="C28" s="55" t="s">
        <v>75</v>
      </c>
      <c r="D28" s="50">
        <v>0.73</v>
      </c>
      <c r="E28" s="51">
        <v>1447</v>
      </c>
      <c r="F28" s="52">
        <v>10077.09</v>
      </c>
      <c r="G28" s="52">
        <v>6645.41</v>
      </c>
      <c r="H28" s="52">
        <v>2522.8000000000002</v>
      </c>
      <c r="I28" s="52">
        <v>399.67</v>
      </c>
      <c r="J28" s="19">
        <f t="shared" si="0"/>
        <v>19644.969999999998</v>
      </c>
    </row>
    <row r="29" spans="1:10" s="4" customFormat="1" ht="21" customHeight="1">
      <c r="A29" s="18">
        <v>26</v>
      </c>
      <c r="B29" s="50">
        <v>0.92</v>
      </c>
      <c r="C29" s="55" t="s">
        <v>75</v>
      </c>
      <c r="D29" s="50">
        <v>0.63</v>
      </c>
      <c r="E29" s="51">
        <v>1527</v>
      </c>
      <c r="F29" s="52">
        <v>10408.030000000001</v>
      </c>
      <c r="G29" s="52">
        <v>6859.78</v>
      </c>
      <c r="H29" s="52">
        <v>2588.8000000000002</v>
      </c>
      <c r="I29" s="52">
        <v>444.08</v>
      </c>
      <c r="J29" s="19">
        <f t="shared" si="0"/>
        <v>20300.690000000002</v>
      </c>
    </row>
    <row r="30" spans="1:10" s="4" customFormat="1" ht="21" customHeight="1">
      <c r="A30" s="18">
        <v>27</v>
      </c>
      <c r="B30" s="50">
        <v>0.93689999999999996</v>
      </c>
      <c r="C30" s="55" t="s">
        <v>106</v>
      </c>
      <c r="D30" s="50">
        <v>0.67</v>
      </c>
      <c r="E30" s="51">
        <v>1488</v>
      </c>
      <c r="F30" s="52">
        <v>10075.26</v>
      </c>
      <c r="G30" s="52">
        <v>6645.41</v>
      </c>
      <c r="H30" s="52">
        <v>2628.4</v>
      </c>
      <c r="I30" s="52">
        <v>355.26</v>
      </c>
      <c r="J30" s="52">
        <f t="shared" si="0"/>
        <v>19704.329999999998</v>
      </c>
    </row>
    <row r="31" spans="1:10" s="4" customFormat="1" ht="21" customHeight="1">
      <c r="A31" s="18">
        <v>28</v>
      </c>
      <c r="B31" s="50">
        <v>0.98</v>
      </c>
      <c r="C31" s="55" t="s">
        <v>106</v>
      </c>
      <c r="D31" s="50">
        <v>0.59</v>
      </c>
      <c r="E31" s="51">
        <v>1626</v>
      </c>
      <c r="F31" s="52">
        <v>9007.5</v>
      </c>
      <c r="G31" s="52">
        <v>6645.41</v>
      </c>
      <c r="H31" s="52">
        <v>2734</v>
      </c>
      <c r="I31" s="52">
        <v>399.67</v>
      </c>
      <c r="J31" s="52">
        <f>SUM(F31+G31+H31+I31)</f>
        <v>18786.579999999998</v>
      </c>
    </row>
    <row r="32" spans="1:10" s="4" customFormat="1" ht="21" customHeight="1">
      <c r="A32" s="18">
        <v>29</v>
      </c>
      <c r="B32" s="50">
        <v>0.99670000000000003</v>
      </c>
      <c r="C32" s="55" t="s">
        <v>106</v>
      </c>
      <c r="D32" s="50">
        <v>0.6</v>
      </c>
      <c r="E32" s="51">
        <v>1537</v>
      </c>
      <c r="F32" s="52">
        <v>8729.58</v>
      </c>
      <c r="G32" s="52">
        <v>6859.78</v>
      </c>
      <c r="H32" s="52">
        <v>2734</v>
      </c>
      <c r="I32" s="52">
        <v>444</v>
      </c>
      <c r="J32" s="52">
        <f t="shared" si="0"/>
        <v>18767.36</v>
      </c>
    </row>
    <row r="33" spans="1:10" s="4" customFormat="1" ht="21" customHeight="1">
      <c r="A33" s="20">
        <v>30</v>
      </c>
      <c r="B33" s="50">
        <v>1</v>
      </c>
      <c r="C33" s="55" t="s">
        <v>110</v>
      </c>
      <c r="D33" s="50">
        <v>0.79</v>
      </c>
      <c r="E33" s="51">
        <v>1469</v>
      </c>
      <c r="F33" s="52">
        <v>8182.9</v>
      </c>
      <c r="G33" s="52">
        <v>6645.41</v>
      </c>
      <c r="H33" s="52">
        <v>2932</v>
      </c>
      <c r="I33" s="52">
        <v>355.26</v>
      </c>
      <c r="J33" s="52">
        <f t="shared" si="0"/>
        <v>18115.569999999996</v>
      </c>
    </row>
    <row r="34" spans="1:10" s="4" customFormat="1" ht="21" customHeight="1">
      <c r="A34" s="18">
        <v>31</v>
      </c>
      <c r="B34" s="50">
        <v>0.98</v>
      </c>
      <c r="C34" s="55" t="s">
        <v>112</v>
      </c>
      <c r="D34" s="50">
        <v>0.68</v>
      </c>
      <c r="E34" s="51"/>
      <c r="F34" s="52">
        <v>8510.18</v>
      </c>
      <c r="G34" s="52">
        <v>6431.04</v>
      </c>
      <c r="H34" s="52">
        <v>3631.6</v>
      </c>
      <c r="I34" s="52">
        <v>399.67</v>
      </c>
      <c r="J34" s="52">
        <f t="shared" si="0"/>
        <v>18972.489999999998</v>
      </c>
    </row>
    <row r="35" spans="1:10" s="5" customFormat="1" ht="22.5" customHeight="1">
      <c r="A35" s="11" t="s">
        <v>47</v>
      </c>
      <c r="B35" s="12"/>
      <c r="C35" s="56"/>
      <c r="D35" s="12"/>
      <c r="E35" s="13"/>
      <c r="F35" s="6">
        <f>SUM(F4:F34)</f>
        <v>304047.02999999997</v>
      </c>
      <c r="G35" s="6">
        <f>SUM(G4:G34)</f>
        <v>210295.05000000002</v>
      </c>
      <c r="H35" s="6">
        <f>SUM(H4:H34)</f>
        <v>80120.800000000017</v>
      </c>
      <c r="I35" s="6">
        <f>SUM(I4:I34)</f>
        <v>12345.039999999999</v>
      </c>
      <c r="J35" s="6">
        <f t="shared" ref="J35" si="1">SUM(J4:J34)</f>
        <v>606807.91999999993</v>
      </c>
    </row>
    <row r="36" spans="1:10" s="9" customFormat="1" ht="22.5" customHeight="1">
      <c r="A36" s="7" t="s">
        <v>48</v>
      </c>
      <c r="B36" s="14">
        <f>AVERAGE(B4:B34)</f>
        <v>0.90362333333333344</v>
      </c>
      <c r="C36" s="8" t="e">
        <f>AVERAGE(C4:C34)</f>
        <v>#DIV/0!</v>
      </c>
      <c r="D36" s="14">
        <f>AVERAGE(D4:D34)</f>
        <v>0.67967741935483872</v>
      </c>
      <c r="E36" s="8">
        <f>SUM(E4:E34)</f>
        <v>40503</v>
      </c>
      <c r="F36" s="8">
        <f>F35*0.38</f>
        <v>115537.87139999999</v>
      </c>
      <c r="G36" s="8">
        <f>G35/12.9</f>
        <v>16301.941860465116</v>
      </c>
      <c r="H36" s="8">
        <f>H35/0.92</f>
        <v>87087.826086956542</v>
      </c>
      <c r="I36" s="8">
        <f>I35/1.76</f>
        <v>7014.2272727272721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111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69399.61</v>
      </c>
      <c r="C4" s="54" t="s">
        <v>15</v>
      </c>
      <c r="D4" s="25">
        <v>69430.48</v>
      </c>
      <c r="E4" s="54" t="s">
        <v>16</v>
      </c>
      <c r="F4" s="54">
        <f>D4-B4</f>
        <v>30.869999999995343</v>
      </c>
      <c r="G4" s="54" t="s">
        <v>17</v>
      </c>
      <c r="H4" s="54">
        <f>F4*284.35</f>
        <v>8777.8844999986759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4985.838395999247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658.34133749990065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8510.1797334991479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43002</v>
      </c>
      <c r="E11" s="54" t="s">
        <v>23</v>
      </c>
      <c r="F11" s="25">
        <v>43009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71270</v>
      </c>
      <c r="E12" s="54" t="s">
        <v>23</v>
      </c>
      <c r="F12" s="25">
        <v>71282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72137</v>
      </c>
      <c r="E13" s="54" t="s">
        <v>23</v>
      </c>
      <c r="F13" s="25">
        <v>72148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297400</v>
      </c>
      <c r="C24" s="54" t="s">
        <v>1</v>
      </c>
      <c r="D24" s="26">
        <v>297688</v>
      </c>
      <c r="E24" s="54" t="s">
        <v>33</v>
      </c>
      <c r="F24" s="54">
        <f>D24-B24</f>
        <v>288</v>
      </c>
      <c r="G24" s="54" t="s">
        <v>34</v>
      </c>
      <c r="H24" s="54">
        <f>F24*220</f>
        <v>63360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1994.56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253.44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633.6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3631.6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84</v>
      </c>
      <c r="E34" s="54" t="s">
        <v>42</v>
      </c>
      <c r="F34" s="21">
        <v>75</v>
      </c>
      <c r="G34" s="54" t="s">
        <v>43</v>
      </c>
      <c r="H34" s="49">
        <f>(D34-F34)*48.8</f>
        <v>439.2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18972.491733499148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3" zoomScale="115" zoomScaleNormal="115" workbookViewId="0">
      <selection activeCell="D38" sqref="D3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109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69370.53</v>
      </c>
      <c r="C4" s="54" t="s">
        <v>15</v>
      </c>
      <c r="D4" s="25">
        <v>69399.61</v>
      </c>
      <c r="E4" s="54" t="s">
        <v>16</v>
      </c>
      <c r="F4" s="54">
        <f>D4-B4</f>
        <v>29.080000000001746</v>
      </c>
      <c r="G4" s="54" t="s">
        <v>17</v>
      </c>
      <c r="H4" s="54">
        <f>F4*284.35</f>
        <v>8268.8980000004976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4696.7340640002822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620.16735000003735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8182.9014140003192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42995</v>
      </c>
      <c r="E11" s="54" t="s">
        <v>23</v>
      </c>
      <c r="F11" s="25">
        <v>43002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71257</v>
      </c>
      <c r="E12" s="54" t="s">
        <v>23</v>
      </c>
      <c r="F12" s="25">
        <v>71270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72126</v>
      </c>
      <c r="E13" s="54" t="s">
        <v>23</v>
      </c>
      <c r="F13" s="25">
        <v>72137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297165</v>
      </c>
      <c r="C24" s="54" t="s">
        <v>1</v>
      </c>
      <c r="D24" s="26">
        <v>297400</v>
      </c>
      <c r="E24" s="54" t="s">
        <v>33</v>
      </c>
      <c r="F24" s="54">
        <f>D24-B24</f>
        <v>235</v>
      </c>
      <c r="G24" s="54" t="s">
        <v>34</v>
      </c>
      <c r="H24" s="54">
        <f>F24*220</f>
        <v>51700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1458.2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206.8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517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2932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38</v>
      </c>
      <c r="E34" s="54" t="s">
        <v>42</v>
      </c>
      <c r="F34" s="21">
        <v>30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18115.573414000319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9" zoomScale="115" zoomScaleNormal="115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69338.460000000006</v>
      </c>
      <c r="C4" s="54" t="s">
        <v>15</v>
      </c>
      <c r="D4" s="25">
        <v>69370.53</v>
      </c>
      <c r="E4" s="54" t="s">
        <v>16</v>
      </c>
      <c r="F4" s="54">
        <f>D4-B4</f>
        <v>32.069999999992433</v>
      </c>
      <c r="G4" s="54" t="s">
        <v>17</v>
      </c>
      <c r="H4" s="54">
        <f>F4*284.35</f>
        <v>9119.1044999978494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5179.6513559987779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683.93283749983868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8729.5841934986165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42987</v>
      </c>
      <c r="E11" s="54" t="s">
        <v>23</v>
      </c>
      <c r="F11" s="25">
        <v>42995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71244</v>
      </c>
      <c r="E12" s="54" t="s">
        <v>23</v>
      </c>
      <c r="F12" s="25">
        <v>71257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72115</v>
      </c>
      <c r="E13" s="54" t="s">
        <v>23</v>
      </c>
      <c r="F13" s="25">
        <v>72126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296945</v>
      </c>
      <c r="C24" s="54" t="s">
        <v>1</v>
      </c>
      <c r="D24" s="26">
        <v>297165</v>
      </c>
      <c r="E24" s="54" t="s">
        <v>33</v>
      </c>
      <c r="F24" s="54">
        <f>D24-B24</f>
        <v>220</v>
      </c>
      <c r="G24" s="54" t="s">
        <v>34</v>
      </c>
      <c r="H24" s="54">
        <f>F24*220</f>
        <v>48400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1306.4000000000001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193.6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484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2734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48</v>
      </c>
      <c r="E34" s="54" t="s">
        <v>42</v>
      </c>
      <c r="F34" s="21">
        <v>38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18767.440193498616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9" zoomScale="115" zoomScaleNormal="115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69304.87</v>
      </c>
      <c r="C4" s="54" t="s">
        <v>15</v>
      </c>
      <c r="D4" s="25">
        <v>69338.460000000006</v>
      </c>
      <c r="E4" s="54" t="s">
        <v>16</v>
      </c>
      <c r="F4" s="54">
        <f>D4-B4</f>
        <v>33.590000000011059</v>
      </c>
      <c r="G4" s="54" t="s">
        <v>17</v>
      </c>
      <c r="H4" s="54">
        <f>F4*284.35</f>
        <v>9551.3165000031458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5425.1477720017865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716.34873750023587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9007.4965095020234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42980</v>
      </c>
      <c r="E11" s="54" t="s">
        <v>23</v>
      </c>
      <c r="F11" s="25">
        <v>42987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71231</v>
      </c>
      <c r="E12" s="54" t="s">
        <v>23</v>
      </c>
      <c r="F12" s="25">
        <v>71244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72104</v>
      </c>
      <c r="E13" s="54" t="s">
        <v>23</v>
      </c>
      <c r="F13" s="25">
        <v>72115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296725</v>
      </c>
      <c r="C24" s="54" t="s">
        <v>1</v>
      </c>
      <c r="D24" s="26">
        <v>296945</v>
      </c>
      <c r="E24" s="54" t="s">
        <v>33</v>
      </c>
      <c r="F24" s="54">
        <f>D24-B24</f>
        <v>220</v>
      </c>
      <c r="G24" s="54" t="s">
        <v>34</v>
      </c>
      <c r="H24" s="54">
        <f>F24*220</f>
        <v>48400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1306.4000000000001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193.6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484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2734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57</v>
      </c>
      <c r="E34" s="54" t="s">
        <v>42</v>
      </c>
      <c r="F34" s="21">
        <v>48</v>
      </c>
      <c r="G34" s="54" t="s">
        <v>43</v>
      </c>
      <c r="H34" s="49">
        <f>(D34-F34)*48.8</f>
        <v>439.2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18786.576509502025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opLeftCell="A16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69265.440000000002</v>
      </c>
      <c r="C4" s="54" t="s">
        <v>15</v>
      </c>
      <c r="D4" s="25">
        <v>69304.87</v>
      </c>
      <c r="E4" s="54" t="s">
        <v>16</v>
      </c>
      <c r="F4" s="54">
        <f>D4-B4</f>
        <v>39.429999999993015</v>
      </c>
      <c r="G4" s="54" t="s">
        <v>17</v>
      </c>
      <c r="H4" s="54">
        <f>F4*284.35</f>
        <v>11211.920499998014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6368.3708439988714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840.89403749985104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10075.264881498722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42973</v>
      </c>
      <c r="E11" s="54" t="s">
        <v>23</v>
      </c>
      <c r="F11" s="25">
        <v>42980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71219</v>
      </c>
      <c r="E12" s="54" t="s">
        <v>23</v>
      </c>
      <c r="F12" s="25">
        <v>71231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72092</v>
      </c>
      <c r="E13" s="54" t="s">
        <v>23</v>
      </c>
      <c r="F13" s="25">
        <v>72104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296513</v>
      </c>
      <c r="C24" s="54" t="s">
        <v>1</v>
      </c>
      <c r="D24" s="26">
        <v>296725</v>
      </c>
      <c r="E24" s="54" t="s">
        <v>33</v>
      </c>
      <c r="F24" s="54">
        <f>D24-B24</f>
        <v>212</v>
      </c>
      <c r="G24" s="54" t="s">
        <v>34</v>
      </c>
      <c r="H24" s="54">
        <f>F24*220</f>
        <v>46640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1225.44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186.56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466.40000000000003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2628.4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65</v>
      </c>
      <c r="E34" s="54" t="s">
        <v>42</v>
      </c>
      <c r="F34" s="21">
        <v>57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19704.336881498723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25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104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69224.19</v>
      </c>
      <c r="C4" s="54" t="s">
        <v>15</v>
      </c>
      <c r="D4" s="25">
        <v>69265.440000000002</v>
      </c>
      <c r="E4" s="54" t="s">
        <v>16</v>
      </c>
      <c r="F4" s="54">
        <f>D4-B4</f>
        <v>41.25</v>
      </c>
      <c r="G4" s="54" t="s">
        <v>17</v>
      </c>
      <c r="H4" s="54">
        <f>F4*284.35</f>
        <v>11729.437500000002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6662.3205000000007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879.70781250000016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10408.028312500001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42966</v>
      </c>
      <c r="E11" s="54" t="s">
        <v>23</v>
      </c>
      <c r="F11" s="25">
        <v>42973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71206</v>
      </c>
      <c r="E12" s="54" t="s">
        <v>23</v>
      </c>
      <c r="F12" s="25">
        <v>71219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72080</v>
      </c>
      <c r="E13" s="54" t="s">
        <v>23</v>
      </c>
      <c r="F13" s="25">
        <v>72092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296304</v>
      </c>
      <c r="C24" s="54" t="s">
        <v>1</v>
      </c>
      <c r="D24" s="26">
        <v>296513</v>
      </c>
      <c r="E24" s="54" t="s">
        <v>33</v>
      </c>
      <c r="F24" s="54">
        <f>D24-B24</f>
        <v>209</v>
      </c>
      <c r="G24" s="54" t="s">
        <v>34</v>
      </c>
      <c r="H24" s="54">
        <f>F24*220</f>
        <v>45980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1195.08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183.92000000000002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459.8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2588.8000000000002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75</v>
      </c>
      <c r="E34" s="54" t="s">
        <v>42</v>
      </c>
      <c r="F34" s="21">
        <v>65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20300.684312499998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zoomScale="115" zoomScaleNormal="115" workbookViewId="0">
      <selection activeCell="D39" sqref="D3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69184.75</v>
      </c>
      <c r="C4" s="54" t="s">
        <v>15</v>
      </c>
      <c r="D4" s="25">
        <v>69224.19</v>
      </c>
      <c r="E4" s="54" t="s">
        <v>16</v>
      </c>
      <c r="F4" s="54">
        <f>D4-B4</f>
        <v>39.440000000002328</v>
      </c>
      <c r="G4" s="54" t="s">
        <v>17</v>
      </c>
      <c r="H4" s="54">
        <f>F4*284.35</f>
        <v>11214.764000000663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6369.9859520003765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841.10730000004969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10077.093252000426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42958</v>
      </c>
      <c r="E11" s="54" t="s">
        <v>23</v>
      </c>
      <c r="F11" s="25">
        <v>42966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71194</v>
      </c>
      <c r="E12" s="54" t="s">
        <v>23</v>
      </c>
      <c r="F12" s="25">
        <v>71206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72069</v>
      </c>
      <c r="E13" s="54" t="s">
        <v>23</v>
      </c>
      <c r="F13" s="25">
        <v>72080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296100</v>
      </c>
      <c r="C24" s="54" t="s">
        <v>1</v>
      </c>
      <c r="D24" s="26">
        <v>296304</v>
      </c>
      <c r="E24" s="54" t="s">
        <v>33</v>
      </c>
      <c r="F24" s="54">
        <f>D24-B24</f>
        <v>204</v>
      </c>
      <c r="G24" s="54" t="s">
        <v>34</v>
      </c>
      <c r="H24" s="54">
        <f>F24*220</f>
        <v>44880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1144.48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179.52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448.8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2522.8000000000002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84</v>
      </c>
      <c r="E34" s="54" t="s">
        <v>42</v>
      </c>
      <c r="F34" s="21">
        <v>75</v>
      </c>
      <c r="G34" s="54" t="s">
        <v>43</v>
      </c>
      <c r="H34" s="49">
        <f>(D34-F34)*48.8</f>
        <v>439.2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19644.973252000425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9" zoomScale="115" zoomScaleNormal="115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102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69148.320000000007</v>
      </c>
      <c r="C4" s="54" t="s">
        <v>15</v>
      </c>
      <c r="D4" s="25">
        <v>69184.75</v>
      </c>
      <c r="E4" s="54" t="s">
        <v>16</v>
      </c>
      <c r="F4" s="54">
        <f>D4-B4</f>
        <v>36.429999999993015</v>
      </c>
      <c r="G4" s="54" t="s">
        <v>17</v>
      </c>
      <c r="H4" s="54">
        <f>F4*284.35</f>
        <v>10358.870499998015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5883.8384439988713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776.91528749985105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9526.7537314987221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42951</v>
      </c>
      <c r="E11" s="54" t="s">
        <v>23</v>
      </c>
      <c r="F11" s="25">
        <v>42958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71181</v>
      </c>
      <c r="E12" s="54" t="s">
        <v>23</v>
      </c>
      <c r="F12" s="25">
        <v>71194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72058</v>
      </c>
      <c r="E13" s="54" t="s">
        <v>23</v>
      </c>
      <c r="F13" s="25">
        <v>72069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295885</v>
      </c>
      <c r="C24" s="54" t="s">
        <v>1</v>
      </c>
      <c r="D24" s="26">
        <v>296100</v>
      </c>
      <c r="E24" s="54" t="s">
        <v>33</v>
      </c>
      <c r="F24" s="54">
        <f>D24-B24</f>
        <v>215</v>
      </c>
      <c r="G24" s="54" t="s">
        <v>34</v>
      </c>
      <c r="H24" s="54">
        <f>F24*220</f>
        <v>47300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1255.8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189.20000000000002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2668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72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19195.425731498723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69110.399999999994</v>
      </c>
      <c r="C4" s="54" t="s">
        <v>15</v>
      </c>
      <c r="D4" s="25">
        <v>69148.320000000007</v>
      </c>
      <c r="E4" s="54" t="s">
        <v>16</v>
      </c>
      <c r="F4" s="54">
        <f>D4-B4</f>
        <v>37.920000000012806</v>
      </c>
      <c r="G4" s="54" t="s">
        <v>17</v>
      </c>
      <c r="H4" s="54">
        <f>F4*284.35</f>
        <v>10782.552000003641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6124.4895360020673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808.69140000027312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9799.1809360023399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42943</v>
      </c>
      <c r="E11" s="54" t="s">
        <v>23</v>
      </c>
      <c r="F11" s="25">
        <v>42951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71169</v>
      </c>
      <c r="E12" s="54" t="s">
        <v>23</v>
      </c>
      <c r="F12" s="25">
        <v>71181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72046</v>
      </c>
      <c r="E13" s="54" t="s">
        <v>23</v>
      </c>
      <c r="F13" s="25">
        <v>72058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295664</v>
      </c>
      <c r="C24" s="54" t="s">
        <v>1</v>
      </c>
      <c r="D24" s="26">
        <v>295885</v>
      </c>
      <c r="E24" s="54" t="s">
        <v>33</v>
      </c>
      <c r="F24" s="54">
        <f>D24-B24</f>
        <v>221</v>
      </c>
      <c r="G24" s="54" t="s">
        <v>34</v>
      </c>
      <c r="H24" s="54">
        <f>F24*220</f>
        <v>48620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1316.52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194.48000000000002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486.2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2747.2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28</v>
      </c>
      <c r="E33" s="54" t="s">
        <v>42</v>
      </c>
      <c r="F33" s="21">
        <v>19</v>
      </c>
      <c r="G33" s="54" t="s">
        <v>43</v>
      </c>
      <c r="H33" s="49">
        <f>(D33-F33)*48.8</f>
        <v>439.2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19805.828936002341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100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69070.13</v>
      </c>
      <c r="C4" s="54" t="s">
        <v>15</v>
      </c>
      <c r="D4" s="25">
        <v>69110.399999999994</v>
      </c>
      <c r="E4" s="54" t="s">
        <v>16</v>
      </c>
      <c r="F4" s="54">
        <f>D4-B4</f>
        <v>40.269999999989523</v>
      </c>
      <c r="G4" s="54" t="s">
        <v>17</v>
      </c>
      <c r="H4" s="54">
        <f>F4*284.35</f>
        <v>11450.774499997022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6504.0399159983081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858.80808749977666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10228.848003498086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42936</v>
      </c>
      <c r="E11" s="54" t="s">
        <v>23</v>
      </c>
      <c r="F11" s="25">
        <v>42943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71156</v>
      </c>
      <c r="E12" s="54" t="s">
        <v>23</v>
      </c>
      <c r="F12" s="25">
        <v>71169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72035</v>
      </c>
      <c r="E13" s="54" t="s">
        <v>23</v>
      </c>
      <c r="F13" s="25">
        <v>72046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295455</v>
      </c>
      <c r="C24" s="54" t="s">
        <v>1</v>
      </c>
      <c r="D24" s="26">
        <v>295664</v>
      </c>
      <c r="E24" s="54" t="s">
        <v>33</v>
      </c>
      <c r="F24" s="54">
        <f>D24-B24</f>
        <v>209</v>
      </c>
      <c r="G24" s="54" t="s">
        <v>34</v>
      </c>
      <c r="H24" s="54">
        <f>F24*220</f>
        <v>45980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1195.08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183.92000000000002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459.8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2588.8000000000002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36</v>
      </c>
      <c r="E33" s="54" t="s">
        <v>42</v>
      </c>
      <c r="F33" s="21">
        <v>28</v>
      </c>
      <c r="G33" s="54" t="s">
        <v>43</v>
      </c>
      <c r="H33" s="49">
        <f>(D33-F33)*48.8</f>
        <v>390.4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19818.320003498084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7" zoomScale="115" zoomScaleNormal="115" workbookViewId="0">
      <selection activeCell="H24" sqref="H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99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69029</v>
      </c>
      <c r="C4" s="54" t="s">
        <v>15</v>
      </c>
      <c r="D4" s="25">
        <v>69070.13</v>
      </c>
      <c r="E4" s="54" t="s">
        <v>16</v>
      </c>
      <c r="F4" s="54">
        <f>D4-B4</f>
        <v>41.130000000004657</v>
      </c>
      <c r="G4" s="54" t="s">
        <v>17</v>
      </c>
      <c r="H4" s="54">
        <f>F4*284.35</f>
        <v>11695.315500001325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6642.9392040007515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877.14866250009936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10386.087866500851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42928</v>
      </c>
      <c r="E11" s="54" t="s">
        <v>23</v>
      </c>
      <c r="F11" s="25">
        <v>42936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71143</v>
      </c>
      <c r="E12" s="54" t="s">
        <v>23</v>
      </c>
      <c r="F12" s="25">
        <v>71156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72024</v>
      </c>
      <c r="E13" s="54" t="s">
        <v>23</v>
      </c>
      <c r="F13" s="25">
        <v>72035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295253</v>
      </c>
      <c r="C24" s="54" t="s">
        <v>1</v>
      </c>
      <c r="D24" s="26">
        <v>295455</v>
      </c>
      <c r="E24" s="54" t="s">
        <v>33</v>
      </c>
      <c r="F24" s="54">
        <f>D24-B24</f>
        <v>202</v>
      </c>
      <c r="G24" s="54" t="s">
        <v>34</v>
      </c>
      <c r="H24" s="54">
        <f>F24*220</f>
        <v>44440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1124.24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177.76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444.40000000000003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2496.4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45</v>
      </c>
      <c r="E33" s="54" t="s">
        <v>42</v>
      </c>
      <c r="F33" s="21">
        <v>36</v>
      </c>
      <c r="G33" s="54" t="s">
        <v>43</v>
      </c>
      <c r="H33" s="49">
        <f>(D33-F33)*48.8</f>
        <v>439.2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399.67200000000003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20141.935866500855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68987.929999999993</v>
      </c>
      <c r="C4" s="54" t="s">
        <v>15</v>
      </c>
      <c r="D4" s="25">
        <v>69029</v>
      </c>
      <c r="E4" s="54" t="s">
        <v>16</v>
      </c>
      <c r="F4" s="54">
        <f>D4-B4</f>
        <v>41.070000000006985</v>
      </c>
      <c r="G4" s="54" t="s">
        <v>17</v>
      </c>
      <c r="H4" s="54">
        <f>F4*284.35</f>
        <v>11678.254500001987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6633.2485560011282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875.86908750014902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10375.117643501279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42921</v>
      </c>
      <c r="E11" s="54" t="s">
        <v>23</v>
      </c>
      <c r="F11" s="25">
        <v>42928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71130</v>
      </c>
      <c r="E12" s="54" t="s">
        <v>23</v>
      </c>
      <c r="F12" s="25">
        <v>71143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72013</v>
      </c>
      <c r="E13" s="54" t="s">
        <v>23</v>
      </c>
      <c r="F13" s="25">
        <v>72024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295038</v>
      </c>
      <c r="C24" s="54" t="s">
        <v>1</v>
      </c>
      <c r="D24" s="26">
        <v>295253</v>
      </c>
      <c r="E24" s="54" t="s">
        <v>33</v>
      </c>
      <c r="F24" s="54">
        <f>D24-B24</f>
        <v>215</v>
      </c>
      <c r="G24" s="54" t="s">
        <v>34</v>
      </c>
      <c r="H24" s="54">
        <f>F24*220</f>
        <v>47300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1255.8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189.20000000000002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2668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55</v>
      </c>
      <c r="E33" s="54" t="s">
        <v>42</v>
      </c>
      <c r="F33" s="21">
        <v>45</v>
      </c>
      <c r="G33" s="54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20132.60564350128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68946.64</v>
      </c>
      <c r="C4" s="54" t="s">
        <v>15</v>
      </c>
      <c r="D4" s="25">
        <v>68987.929999999993</v>
      </c>
      <c r="E4" s="54" t="s">
        <v>16</v>
      </c>
      <c r="F4" s="54">
        <f>D4-B4</f>
        <v>41.289999999993597</v>
      </c>
      <c r="G4" s="54" t="s">
        <v>17</v>
      </c>
      <c r="H4" s="54">
        <f>F4*284.35</f>
        <v>11740.811499998181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6668.7809319989665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880.56086249986356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10415.34179449883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42914</v>
      </c>
      <c r="E11" s="54" t="s">
        <v>23</v>
      </c>
      <c r="F11" s="25">
        <v>42921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71117</v>
      </c>
      <c r="E12" s="54" t="s">
        <v>23</v>
      </c>
      <c r="F12" s="25">
        <v>71130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72001</v>
      </c>
      <c r="E13" s="54" t="s">
        <v>23</v>
      </c>
      <c r="F13" s="25">
        <v>72013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294829</v>
      </c>
      <c r="C24" s="54" t="s">
        <v>1</v>
      </c>
      <c r="D24" s="26">
        <v>295038</v>
      </c>
      <c r="E24" s="54" t="s">
        <v>33</v>
      </c>
      <c r="F24" s="54">
        <f>D24-B24</f>
        <v>209</v>
      </c>
      <c r="G24" s="54" t="s">
        <v>34</v>
      </c>
      <c r="H24" s="54">
        <f>F24*220</f>
        <v>45980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1195.08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183.92000000000002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459.8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2588.8000000000002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65</v>
      </c>
      <c r="E33" s="54" t="s">
        <v>42</v>
      </c>
      <c r="F33" s="21">
        <v>55</v>
      </c>
      <c r="G33" s="54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20307.997794498831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96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68905.259999999995</v>
      </c>
      <c r="C4" s="54" t="s">
        <v>15</v>
      </c>
      <c r="D4" s="25">
        <v>68946.64</v>
      </c>
      <c r="E4" s="54" t="s">
        <v>16</v>
      </c>
      <c r="F4" s="54">
        <f>D4-B4</f>
        <v>41.380000000004657</v>
      </c>
      <c r="G4" s="54" t="s">
        <v>17</v>
      </c>
      <c r="H4" s="54">
        <f>F4*284.35</f>
        <v>11766.403000001324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6683.3169040007515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882.48022500009927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10431.79712900085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42906</v>
      </c>
      <c r="E11" s="54" t="s">
        <v>23</v>
      </c>
      <c r="F11" s="25">
        <v>42914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71104</v>
      </c>
      <c r="E12" s="54" t="s">
        <v>23</v>
      </c>
      <c r="F12" s="25">
        <v>71117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71989</v>
      </c>
      <c r="E13" s="54" t="s">
        <v>23</v>
      </c>
      <c r="F13" s="25">
        <v>72001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294619</v>
      </c>
      <c r="C24" s="54" t="s">
        <v>1</v>
      </c>
      <c r="D24" s="26">
        <v>294829</v>
      </c>
      <c r="E24" s="54" t="s">
        <v>33</v>
      </c>
      <c r="F24" s="54">
        <f>D24-B24</f>
        <v>210</v>
      </c>
      <c r="G24" s="54" t="s">
        <v>34</v>
      </c>
      <c r="H24" s="54">
        <f>F24*220</f>
        <v>46200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1205.2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184.8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462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2602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75</v>
      </c>
      <c r="E33" s="54" t="s">
        <v>42</v>
      </c>
      <c r="F33" s="21">
        <v>65</v>
      </c>
      <c r="G33" s="54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20552.021129000852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zoomScale="115" zoomScaleNormal="115" workbookViewId="0">
      <selection activeCell="E37" sqref="E3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68867.929999999993</v>
      </c>
      <c r="C4" s="54" t="s">
        <v>15</v>
      </c>
      <c r="D4" s="25">
        <v>68905.259999999995</v>
      </c>
      <c r="E4" s="54" t="s">
        <v>16</v>
      </c>
      <c r="F4" s="54">
        <f>D4-B4</f>
        <v>37.330000000001746</v>
      </c>
      <c r="G4" s="54" t="s">
        <v>17</v>
      </c>
      <c r="H4" s="54">
        <f>F4*284.35</f>
        <v>10614.785500000497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6029.1981640002814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796.10891250003726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9691.3070765003176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42898</v>
      </c>
      <c r="E11" s="54" t="s">
        <v>23</v>
      </c>
      <c r="F11" s="25">
        <v>42906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71091</v>
      </c>
      <c r="E12" s="54" t="s">
        <v>23</v>
      </c>
      <c r="F12" s="25">
        <v>71104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71978</v>
      </c>
      <c r="E13" s="54" t="s">
        <v>23</v>
      </c>
      <c r="F13" s="25">
        <v>71989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294401</v>
      </c>
      <c r="C24" s="54" t="s">
        <v>1</v>
      </c>
      <c r="D24" s="26">
        <v>294619</v>
      </c>
      <c r="E24" s="54" t="s">
        <v>33</v>
      </c>
      <c r="F24" s="54">
        <f>D24-B24</f>
        <v>218</v>
      </c>
      <c r="G24" s="54" t="s">
        <v>34</v>
      </c>
      <c r="H24" s="54">
        <f>F24*220</f>
        <v>47960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1286.1600000000001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191.84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479.6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2707.6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85</v>
      </c>
      <c r="E33" s="54" t="s">
        <v>42</v>
      </c>
      <c r="F33" s="21">
        <v>75</v>
      </c>
      <c r="G33" s="54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19702.763076500316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94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68833.649999999994</v>
      </c>
      <c r="C4" s="54" t="s">
        <v>15</v>
      </c>
      <c r="D4" s="25">
        <v>68867.929999999993</v>
      </c>
      <c r="E4" s="54" t="s">
        <v>16</v>
      </c>
      <c r="F4" s="54">
        <f>D4-B4</f>
        <v>34.279999999998836</v>
      </c>
      <c r="G4" s="54" t="s">
        <v>17</v>
      </c>
      <c r="H4" s="54">
        <f>F4*284.35</f>
        <v>9747.517999999669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5536.5902239998113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731.0638499999751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9133.6540739997872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42891</v>
      </c>
      <c r="E11" s="54" t="s">
        <v>23</v>
      </c>
      <c r="F11" s="25">
        <v>42898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71078</v>
      </c>
      <c r="E12" s="54" t="s">
        <v>23</v>
      </c>
      <c r="F12" s="25">
        <v>71091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71967</v>
      </c>
      <c r="E13" s="54" t="s">
        <v>23</v>
      </c>
      <c r="F13" s="25">
        <v>71978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294164</v>
      </c>
      <c r="C24" s="54" t="s">
        <v>1</v>
      </c>
      <c r="D24" s="26">
        <v>294401</v>
      </c>
      <c r="E24" s="54" t="s">
        <v>33</v>
      </c>
      <c r="F24" s="54">
        <f>D24-B24</f>
        <v>237</v>
      </c>
      <c r="G24" s="54" t="s">
        <v>34</v>
      </c>
      <c r="H24" s="54">
        <f>F24*220</f>
        <v>52140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1478.44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208.56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521.4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2958.4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28</v>
      </c>
      <c r="E34" s="54" t="s">
        <v>42</v>
      </c>
      <c r="F34" s="21">
        <v>18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19181.542073999786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68799.429999999993</v>
      </c>
      <c r="C4" s="54" t="s">
        <v>15</v>
      </c>
      <c r="D4" s="25">
        <v>68833.649999999994</v>
      </c>
      <c r="E4" s="54" t="s">
        <v>16</v>
      </c>
      <c r="F4" s="54">
        <f>D4-B4</f>
        <v>34.220000000001164</v>
      </c>
      <c r="G4" s="54" t="s">
        <v>17</v>
      </c>
      <c r="H4" s="54">
        <f>F4*284.35</f>
        <v>9730.4570000003314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5526.8995760001881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729.78427500002488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9122.6838510002126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42883</v>
      </c>
      <c r="E11" s="54" t="s">
        <v>23</v>
      </c>
      <c r="F11" s="25">
        <v>42891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71065</v>
      </c>
      <c r="E12" s="54" t="s">
        <v>23</v>
      </c>
      <c r="F12" s="25">
        <v>71078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71956</v>
      </c>
      <c r="E13" s="54" t="s">
        <v>23</v>
      </c>
      <c r="F13" s="25">
        <v>71967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293964</v>
      </c>
      <c r="C24" s="54" t="s">
        <v>1</v>
      </c>
      <c r="D24" s="26">
        <v>294164</v>
      </c>
      <c r="E24" s="54" t="s">
        <v>33</v>
      </c>
      <c r="F24" s="54">
        <f>D24-B24</f>
        <v>200</v>
      </c>
      <c r="G24" s="54" t="s">
        <v>34</v>
      </c>
      <c r="H24" s="54">
        <f>F24*220</f>
        <v>44000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1104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440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2470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38</v>
      </c>
      <c r="E34" s="54" t="s">
        <v>42</v>
      </c>
      <c r="F34" s="21">
        <v>28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18896.539851000212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92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68766.55</v>
      </c>
      <c r="C4" s="54" t="s">
        <v>15</v>
      </c>
      <c r="D4" s="25">
        <v>68799.429999999993</v>
      </c>
      <c r="E4" s="54" t="s">
        <v>16</v>
      </c>
      <c r="F4" s="54">
        <f>D4-B4</f>
        <v>32.879999999990105</v>
      </c>
      <c r="G4" s="54" t="s">
        <v>17</v>
      </c>
      <c r="H4" s="54">
        <f>F4*284.35</f>
        <v>9349.4279999971877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5310.4751039984021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701.20709999978908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8877.6822039981907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42876</v>
      </c>
      <c r="E11" s="54" t="s">
        <v>23</v>
      </c>
      <c r="F11" s="25">
        <v>42883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71053</v>
      </c>
      <c r="E12" s="54" t="s">
        <v>23</v>
      </c>
      <c r="F12" s="25">
        <v>71065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71945</v>
      </c>
      <c r="E13" s="54" t="s">
        <v>23</v>
      </c>
      <c r="F13" s="25">
        <v>71956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30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14616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5554.08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876.95999999999992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6431.04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293761</v>
      </c>
      <c r="C24" s="54" t="s">
        <v>1</v>
      </c>
      <c r="D24" s="26">
        <v>293964</v>
      </c>
      <c r="E24" s="54" t="s">
        <v>33</v>
      </c>
      <c r="F24" s="54">
        <f>D24-B24</f>
        <v>203</v>
      </c>
      <c r="G24" s="54" t="s">
        <v>34</v>
      </c>
      <c r="H24" s="54">
        <f>F24*220</f>
        <v>44660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1134.3599999999999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178.64000000000001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446.6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2509.6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48</v>
      </c>
      <c r="E34" s="54" t="s">
        <v>42</v>
      </c>
      <c r="F34" s="21">
        <v>38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18262.40220399819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9" zoomScale="115" zoomScaleNormal="115" workbookViewId="0">
      <selection activeCell="K8" sqref="K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68730.179999999993</v>
      </c>
      <c r="C4" s="54" t="s">
        <v>15</v>
      </c>
      <c r="D4" s="25">
        <v>68766.55</v>
      </c>
      <c r="E4" s="54" t="s">
        <v>16</v>
      </c>
      <c r="F4" s="54">
        <f>D4-B4</f>
        <v>36.370000000009895</v>
      </c>
      <c r="G4" s="54" t="s">
        <v>17</v>
      </c>
      <c r="H4" s="54">
        <f>F4*284.35</f>
        <v>10341.809500002815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5874.1477960015982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775.63571250021107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9515.7835085018087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42868</v>
      </c>
      <c r="E11" s="54" t="s">
        <v>23</v>
      </c>
      <c r="F11" s="25">
        <v>42876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71041</v>
      </c>
      <c r="E12" s="54" t="s">
        <v>23</v>
      </c>
      <c r="F12" s="25">
        <v>71053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71934</v>
      </c>
      <c r="E13" s="54" t="s">
        <v>23</v>
      </c>
      <c r="F13" s="25">
        <v>71945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293566</v>
      </c>
      <c r="C24" s="54" t="s">
        <v>1</v>
      </c>
      <c r="D24" s="26">
        <v>293761</v>
      </c>
      <c r="E24" s="54" t="s">
        <v>33</v>
      </c>
      <c r="F24" s="54">
        <f>D24-B24</f>
        <v>195</v>
      </c>
      <c r="G24" s="54" t="s">
        <v>34</v>
      </c>
      <c r="H24" s="54">
        <f>F24*220</f>
        <v>42900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1053.4000000000001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171.6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429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2404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58</v>
      </c>
      <c r="E34" s="54" t="s">
        <v>42</v>
      </c>
      <c r="F34" s="21">
        <v>48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19009.271508501806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topLeftCell="B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90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68691.679999999993</v>
      </c>
      <c r="C4" s="54" t="s">
        <v>15</v>
      </c>
      <c r="D4" s="25">
        <v>68730.179999999993</v>
      </c>
      <c r="E4" s="54" t="s">
        <v>16</v>
      </c>
      <c r="F4" s="54">
        <f>D4-B4</f>
        <v>38.5</v>
      </c>
      <c r="G4" s="54" t="s">
        <v>17</v>
      </c>
      <c r="H4" s="54">
        <f>F4*284.35</f>
        <v>10947.475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6218.1657999999998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821.06062499999996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9905.2264250000007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42861</v>
      </c>
      <c r="E11" s="54" t="s">
        <v>23</v>
      </c>
      <c r="F11" s="25">
        <v>42868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71028</v>
      </c>
      <c r="E12" s="54" t="s">
        <v>23</v>
      </c>
      <c r="F12" s="25">
        <v>71041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71923</v>
      </c>
      <c r="E13" s="54" t="s">
        <v>23</v>
      </c>
      <c r="F13" s="25">
        <v>71934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293378</v>
      </c>
      <c r="C24" s="54" t="s">
        <v>1</v>
      </c>
      <c r="D24" s="26">
        <v>293566</v>
      </c>
      <c r="E24" s="54" t="s">
        <v>33</v>
      </c>
      <c r="F24" s="54">
        <f>D24-B24</f>
        <v>188</v>
      </c>
      <c r="G24" s="54" t="s">
        <v>34</v>
      </c>
      <c r="H24" s="54">
        <f>F24*220</f>
        <v>41360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982.56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165.44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413.6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2311.6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65</v>
      </c>
      <c r="E33" s="54" t="s">
        <v>42</v>
      </c>
      <c r="F33" s="21">
        <v>58</v>
      </c>
      <c r="G33" s="54" t="s">
        <v>43</v>
      </c>
      <c r="H33" s="49">
        <f>(D33-F33)*48.8</f>
        <v>341.59999999999997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310.85599999999999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19173.090424999999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topLeftCell="A19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89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68656.33</v>
      </c>
      <c r="C4" s="54" t="s">
        <v>15</v>
      </c>
      <c r="D4" s="25">
        <v>68691.679999999993</v>
      </c>
      <c r="E4" s="54" t="s">
        <v>16</v>
      </c>
      <c r="F4" s="54">
        <f>D4-B4</f>
        <v>35.349999999991269</v>
      </c>
      <c r="G4" s="54" t="s">
        <v>17</v>
      </c>
      <c r="H4" s="54">
        <f>F4*284.35</f>
        <v>10051.772499997518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5709.4067799985896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753.88293749981381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9329.2897174984028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42853</v>
      </c>
      <c r="E11" s="54" t="s">
        <v>23</v>
      </c>
      <c r="F11" s="25">
        <v>42861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71015</v>
      </c>
      <c r="E12" s="54" t="s">
        <v>23</v>
      </c>
      <c r="F12" s="25">
        <v>71028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71911</v>
      </c>
      <c r="E13" s="54" t="s">
        <v>23</v>
      </c>
      <c r="F13" s="25">
        <v>71923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293173</v>
      </c>
      <c r="C24" s="54" t="s">
        <v>1</v>
      </c>
      <c r="D24" s="26">
        <v>293378</v>
      </c>
      <c r="E24" s="54" t="s">
        <v>33</v>
      </c>
      <c r="F24" s="54">
        <f>D24-B24</f>
        <v>205</v>
      </c>
      <c r="G24" s="54" t="s">
        <v>34</v>
      </c>
      <c r="H24" s="54">
        <f>F24*220</f>
        <v>45100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1154.5999999999999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180.4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451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2536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73</v>
      </c>
      <c r="E33" s="54" t="s">
        <v>42</v>
      </c>
      <c r="F33" s="21">
        <v>65</v>
      </c>
      <c r="G33" s="54" t="s">
        <v>43</v>
      </c>
      <c r="H33" s="49">
        <f>(D33-F33)*48.8</f>
        <v>390.4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19294.697717498402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0" zoomScale="115" zoomScaleNormal="115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88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68616.14</v>
      </c>
      <c r="C4" s="54" t="s">
        <v>15</v>
      </c>
      <c r="D4" s="25">
        <v>68656.33</v>
      </c>
      <c r="E4" s="54" t="s">
        <v>16</v>
      </c>
      <c r="F4" s="54">
        <f>D4-B4</f>
        <v>40.190000000002328</v>
      </c>
      <c r="G4" s="54" t="s">
        <v>17</v>
      </c>
      <c r="H4" s="54">
        <f>F4*284.35</f>
        <v>11428.026500000664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6491.1190520003765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857.10198750004974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10214.221039500426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42846</v>
      </c>
      <c r="E11" s="54" t="s">
        <v>23</v>
      </c>
      <c r="F11" s="25">
        <v>42853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71002</v>
      </c>
      <c r="E12" s="54" t="s">
        <v>23</v>
      </c>
      <c r="F12" s="25">
        <v>71015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71900</v>
      </c>
      <c r="E13" s="54" t="s">
        <v>23</v>
      </c>
      <c r="F13" s="25">
        <v>71911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292967</v>
      </c>
      <c r="C24" s="54" t="s">
        <v>1</v>
      </c>
      <c r="D24" s="26">
        <v>293173</v>
      </c>
      <c r="E24" s="54" t="s">
        <v>33</v>
      </c>
      <c r="F24" s="54">
        <f>D24-B24</f>
        <v>206</v>
      </c>
      <c r="G24" s="54" t="s">
        <v>34</v>
      </c>
      <c r="H24" s="54">
        <f>F24*220</f>
        <v>45320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1164.72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181.28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453.2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2549.1999999999998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73</v>
      </c>
      <c r="G33" s="54" t="s">
        <v>43</v>
      </c>
      <c r="H33" s="49">
        <f>(D33-F33)*48.8</f>
        <v>341.59999999999997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310.85599999999999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19719.685039500426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topLeftCell="A19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68579.289999999994</v>
      </c>
      <c r="C4" s="54" t="s">
        <v>15</v>
      </c>
      <c r="D4" s="25">
        <v>68616.14</v>
      </c>
      <c r="E4" s="54" t="s">
        <v>16</v>
      </c>
      <c r="F4" s="54">
        <f>D4-B4</f>
        <v>36.850000000005821</v>
      </c>
      <c r="G4" s="54" t="s">
        <v>17</v>
      </c>
      <c r="H4" s="54">
        <f>F4*284.35</f>
        <v>10478.297500001656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5951.6729800009398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785.87231250012417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9603.545292501065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42839</v>
      </c>
      <c r="E11" s="54" t="s">
        <v>23</v>
      </c>
      <c r="F11" s="25">
        <v>42846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70990</v>
      </c>
      <c r="E12" s="54" t="s">
        <v>23</v>
      </c>
      <c r="F12" s="25">
        <v>71002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71888</v>
      </c>
      <c r="E13" s="54" t="s">
        <v>23</v>
      </c>
      <c r="F13" s="25">
        <v>71900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292768</v>
      </c>
      <c r="C24" s="54" t="s">
        <v>1</v>
      </c>
      <c r="D24" s="26">
        <v>292967</v>
      </c>
      <c r="E24" s="54" t="s">
        <v>33</v>
      </c>
      <c r="F24" s="54">
        <f>D24-B24</f>
        <v>199</v>
      </c>
      <c r="G24" s="54" t="s">
        <v>34</v>
      </c>
      <c r="H24" s="54">
        <f>F24*220</f>
        <v>43780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1093.8799999999999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175.12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437.8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2456.8000000000002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38</v>
      </c>
      <c r="E34" s="54" t="s">
        <v>42</v>
      </c>
      <c r="F34" s="21">
        <v>30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19061.017292501063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85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68543.06</v>
      </c>
      <c r="C4" s="54" t="s">
        <v>15</v>
      </c>
      <c r="D4" s="25">
        <v>68579.289999999994</v>
      </c>
      <c r="E4" s="54" t="s">
        <v>16</v>
      </c>
      <c r="F4" s="54">
        <f>D4-B4</f>
        <v>36.229999999995925</v>
      </c>
      <c r="G4" s="54" t="s">
        <v>17</v>
      </c>
      <c r="H4" s="54">
        <f>F4*284.35</f>
        <v>10302.000499998841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5851.5362839993413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772.65003749991308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9490.1863214992554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42831</v>
      </c>
      <c r="E11" s="54" t="s">
        <v>23</v>
      </c>
      <c r="F11" s="25">
        <v>42839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70977</v>
      </c>
      <c r="E12" s="54" t="s">
        <v>23</v>
      </c>
      <c r="F12" s="25">
        <v>70990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71877</v>
      </c>
      <c r="E13" s="54" t="s">
        <v>23</v>
      </c>
      <c r="F13" s="25">
        <v>71888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292583</v>
      </c>
      <c r="C24" s="54" t="s">
        <v>1</v>
      </c>
      <c r="D24" s="26">
        <v>292768</v>
      </c>
      <c r="E24" s="54" t="s">
        <v>33</v>
      </c>
      <c r="F24" s="54">
        <f>D24-B24</f>
        <v>185</v>
      </c>
      <c r="G24" s="54" t="s">
        <v>34</v>
      </c>
      <c r="H24" s="54">
        <f>F24*220</f>
        <v>40700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952.19999999999993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162.80000000000001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407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2272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48</v>
      </c>
      <c r="E34" s="54" t="s">
        <v>42</v>
      </c>
      <c r="F34" s="21">
        <v>38</v>
      </c>
      <c r="G34" s="54" t="s">
        <v>43</v>
      </c>
      <c r="H34" s="49">
        <f>(D34-F34)*48.8</f>
        <v>488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19066.042321499255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68507.520000000004</v>
      </c>
      <c r="C4" s="54" t="s">
        <v>15</v>
      </c>
      <c r="D4" s="25">
        <v>68543.06</v>
      </c>
      <c r="E4" s="54" t="s">
        <v>16</v>
      </c>
      <c r="F4" s="54">
        <f>D4-B4</f>
        <v>35.539999999993597</v>
      </c>
      <c r="G4" s="54" t="s">
        <v>17</v>
      </c>
      <c r="H4" s="54">
        <f>F4*284.35</f>
        <v>10105.79899999818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5740.0938319989655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757.93492499986348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9364.0287569988286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42823</v>
      </c>
      <c r="E11" s="54" t="s">
        <v>23</v>
      </c>
      <c r="F11" s="25">
        <v>42831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70965</v>
      </c>
      <c r="E12" s="54" t="s">
        <v>23</v>
      </c>
      <c r="F12" s="25">
        <v>70977</v>
      </c>
      <c r="G12" s="54" t="s">
        <v>24</v>
      </c>
      <c r="H12" s="54">
        <f>F12-D12</f>
        <v>12</v>
      </c>
    </row>
    <row r="13" spans="1:8" ht="16.5" customHeight="1">
      <c r="A13" s="72" t="s">
        <v>26</v>
      </c>
      <c r="B13" s="72"/>
      <c r="C13" s="47" t="s">
        <v>22</v>
      </c>
      <c r="D13" s="25">
        <v>71866</v>
      </c>
      <c r="E13" s="54" t="s">
        <v>23</v>
      </c>
      <c r="F13" s="25">
        <v>71877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31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15103.199999999999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5739.2159999999994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906.19199999999989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6645.4079999999994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292387</v>
      </c>
      <c r="C24" s="54" t="s">
        <v>1</v>
      </c>
      <c r="D24" s="26">
        <v>292583</v>
      </c>
      <c r="E24" s="54" t="s">
        <v>33</v>
      </c>
      <c r="F24" s="54">
        <f>D24-B24</f>
        <v>196</v>
      </c>
      <c r="G24" s="54" t="s">
        <v>34</v>
      </c>
      <c r="H24" s="54">
        <f>F24*220</f>
        <v>43120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1063.52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172.48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431.2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2417.1999999999998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56</v>
      </c>
      <c r="E34" s="54" t="s">
        <v>42</v>
      </c>
      <c r="F34" s="21">
        <v>48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18781.900756998828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zoomScale="115" zoomScaleNormal="115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82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68469.33</v>
      </c>
      <c r="C4" s="54" t="s">
        <v>15</v>
      </c>
      <c r="D4" s="25">
        <v>68507.520000000004</v>
      </c>
      <c r="E4" s="54" t="s">
        <v>16</v>
      </c>
      <c r="F4" s="54">
        <f>D4-B4</f>
        <v>38.190000000002328</v>
      </c>
      <c r="G4" s="54" t="s">
        <v>17</v>
      </c>
      <c r="H4" s="54">
        <f>F4*284.35</f>
        <v>10859.326500000663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6168.0974520003765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814.44948750004971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9848.5469395004257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42816</v>
      </c>
      <c r="E11" s="54" t="s">
        <v>23</v>
      </c>
      <c r="F11" s="25">
        <v>42823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70952</v>
      </c>
      <c r="E12" s="54" t="s">
        <v>23</v>
      </c>
      <c r="F12" s="25">
        <v>70965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71854</v>
      </c>
      <c r="E13" s="54" t="s">
        <v>23</v>
      </c>
      <c r="F13" s="25">
        <v>71866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292195</v>
      </c>
      <c r="C24" s="54" t="s">
        <v>1</v>
      </c>
      <c r="D24" s="26">
        <v>292387</v>
      </c>
      <c r="E24" s="54" t="s">
        <v>33</v>
      </c>
      <c r="F24" s="54">
        <f>D24-B24</f>
        <v>192</v>
      </c>
      <c r="G24" s="54" t="s">
        <v>34</v>
      </c>
      <c r="H24" s="54">
        <f>F24*220</f>
        <v>42240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1023.04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168.96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422.40000000000003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2364.4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64</v>
      </c>
      <c r="E34" s="54" t="s">
        <v>42</v>
      </c>
      <c r="F34" s="21">
        <v>56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19427.986939500428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zoomScale="115" zoomScaleNormal="115" workbookViewId="0">
      <selection activeCell="D24" sqref="D2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80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68429.429999999993</v>
      </c>
      <c r="C4" s="54" t="s">
        <v>15</v>
      </c>
      <c r="D4" s="25">
        <v>68469.33</v>
      </c>
      <c r="E4" s="54" t="s">
        <v>16</v>
      </c>
      <c r="F4" s="54">
        <f>D4-B4</f>
        <v>39.900000000008731</v>
      </c>
      <c r="G4" s="54" t="s">
        <v>17</v>
      </c>
      <c r="H4" s="54">
        <f>F4*284.35</f>
        <v>11345.565000002483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6444.2809200014099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850.91737500018621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10161.198295001595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42808</v>
      </c>
      <c r="E11" s="54" t="s">
        <v>23</v>
      </c>
      <c r="F11" s="25">
        <v>42816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70938</v>
      </c>
      <c r="E12" s="54" t="s">
        <v>23</v>
      </c>
      <c r="F12" s="25">
        <v>70952</v>
      </c>
      <c r="G12" s="54" t="s">
        <v>24</v>
      </c>
      <c r="H12" s="54">
        <f>F12-D12</f>
        <v>14</v>
      </c>
    </row>
    <row r="13" spans="1:8" ht="16.5" customHeight="1">
      <c r="A13" s="72" t="s">
        <v>26</v>
      </c>
      <c r="B13" s="72"/>
      <c r="C13" s="47" t="s">
        <v>22</v>
      </c>
      <c r="D13" s="25">
        <v>71843</v>
      </c>
      <c r="E13" s="54" t="s">
        <v>23</v>
      </c>
      <c r="F13" s="25">
        <v>71854</v>
      </c>
      <c r="G13" s="54" t="s">
        <v>24</v>
      </c>
      <c r="H13" s="54">
        <f>F13-D13</f>
        <v>11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292013</v>
      </c>
      <c r="C24" s="54" t="s">
        <v>1</v>
      </c>
      <c r="D24" s="26">
        <v>292195</v>
      </c>
      <c r="E24" s="54" t="s">
        <v>33</v>
      </c>
      <c r="F24" s="54">
        <f>D24-B24</f>
        <v>182</v>
      </c>
      <c r="G24" s="54" t="s">
        <v>34</v>
      </c>
      <c r="H24" s="54">
        <f>F24*220</f>
        <v>40040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921.84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160.16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400.40000000000003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2232.4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72</v>
      </c>
      <c r="E34" s="54" t="s">
        <v>42</v>
      </c>
      <c r="F34" s="21">
        <v>64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19823.006295001596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zoomScale="115" zoomScaleNormal="115" workbookViewId="0">
      <selection activeCell="A36" sqref="A36:G3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77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68382.2</v>
      </c>
      <c r="C4" s="54" t="s">
        <v>15</v>
      </c>
      <c r="D4" s="25">
        <v>68429.429999999993</v>
      </c>
      <c r="E4" s="54" t="s">
        <v>16</v>
      </c>
      <c r="F4" s="54">
        <f>D4-B4</f>
        <v>47.229999999995925</v>
      </c>
      <c r="G4" s="54" t="s">
        <v>17</v>
      </c>
      <c r="H4" s="54">
        <f>F4*284.35</f>
        <v>13429.850499998842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7628.1550839993415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1007.2387874999131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11501.393871499255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42801</v>
      </c>
      <c r="E11" s="54" t="s">
        <v>23</v>
      </c>
      <c r="F11" s="25">
        <v>42808</v>
      </c>
      <c r="G11" s="54" t="s">
        <v>24</v>
      </c>
      <c r="H11" s="54">
        <f>F11-D11</f>
        <v>7</v>
      </c>
    </row>
    <row r="12" spans="1:8" ht="16.5" customHeight="1">
      <c r="A12" s="72" t="s">
        <v>25</v>
      </c>
      <c r="B12" s="72"/>
      <c r="C12" s="47" t="s">
        <v>22</v>
      </c>
      <c r="D12" s="25">
        <v>70925</v>
      </c>
      <c r="E12" s="54" t="s">
        <v>23</v>
      </c>
      <c r="F12" s="25">
        <v>70938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71831</v>
      </c>
      <c r="E13" s="54" t="s">
        <v>23</v>
      </c>
      <c r="F13" s="25">
        <v>71843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32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15590.4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5924.3519999999999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935.42399999999998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6859.7759999999998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291831</v>
      </c>
      <c r="C24" s="54" t="s">
        <v>1</v>
      </c>
      <c r="D24" s="26">
        <v>292013</v>
      </c>
      <c r="E24" s="54" t="s">
        <v>33</v>
      </c>
      <c r="F24" s="54">
        <f>D24-B24</f>
        <v>182</v>
      </c>
      <c r="G24" s="54" t="s">
        <v>34</v>
      </c>
      <c r="H24" s="54">
        <f>F24*220</f>
        <v>40040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921.84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160.16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400.40000000000003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2232.4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80</v>
      </c>
      <c r="E33" s="54" t="s">
        <v>42</v>
      </c>
      <c r="F33" s="21">
        <v>80</v>
      </c>
      <c r="G33" s="54" t="s">
        <v>43</v>
      </c>
      <c r="H33" s="49">
        <f>(D33-F33)*48.8</f>
        <v>0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72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20948.833871499257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76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68336.070000000007</v>
      </c>
      <c r="C4" s="54" t="s">
        <v>15</v>
      </c>
      <c r="D4" s="25">
        <v>68382.2</v>
      </c>
      <c r="E4" s="54" t="s">
        <v>16</v>
      </c>
      <c r="F4" s="54">
        <f>D4-B4</f>
        <v>46.129999999990105</v>
      </c>
      <c r="G4" s="54" t="s">
        <v>17</v>
      </c>
      <c r="H4" s="54">
        <f>F4*284.35</f>
        <v>13117.065499997187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7450.4932039984014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983.77991249978891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11300.273116498191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42793</v>
      </c>
      <c r="E11" s="54" t="s">
        <v>23</v>
      </c>
      <c r="F11" s="25">
        <v>42801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70912</v>
      </c>
      <c r="E12" s="54" t="s">
        <v>23</v>
      </c>
      <c r="F12" s="25">
        <v>70925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71819</v>
      </c>
      <c r="E13" s="54" t="s">
        <v>23</v>
      </c>
      <c r="F13" s="25">
        <v>71831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291625</v>
      </c>
      <c r="C24" s="54" t="s">
        <v>1</v>
      </c>
      <c r="D24" s="26">
        <v>291831</v>
      </c>
      <c r="E24" s="54" t="s">
        <v>33</v>
      </c>
      <c r="F24" s="54">
        <f>D24-B24</f>
        <v>206</v>
      </c>
      <c r="G24" s="54" t="s">
        <v>34</v>
      </c>
      <c r="H24" s="54">
        <f>F24*220</f>
        <v>45320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1164.72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181.28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453.2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2549.1999999999998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28</v>
      </c>
      <c r="E33" s="54" t="s">
        <v>42</v>
      </c>
      <c r="F33" s="21">
        <v>25</v>
      </c>
      <c r="G33" s="54" t="s">
        <v>43</v>
      </c>
      <c r="H33" s="49">
        <f>(D33-F33)*48.8</f>
        <v>146.39999999999998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72</v>
      </c>
      <c r="G34" s="54" t="s">
        <v>43</v>
      </c>
      <c r="H34" s="49">
        <f>(D34-F34)*48.8</f>
        <v>390.4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488.488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21412.105116498191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73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68292.95</v>
      </c>
      <c r="C4" s="54" t="s">
        <v>15</v>
      </c>
      <c r="D4" s="25">
        <v>68336.070000000007</v>
      </c>
      <c r="E4" s="54" t="s">
        <v>16</v>
      </c>
      <c r="F4" s="54">
        <f>D4-B4</f>
        <v>43.120000000009895</v>
      </c>
      <c r="G4" s="54" t="s">
        <v>17</v>
      </c>
      <c r="H4" s="54">
        <f>F4*284.35</f>
        <v>12261.172000002814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6964.3456960015983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919.58790000021111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10749.933596001811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42785</v>
      </c>
      <c r="E11" s="54" t="s">
        <v>23</v>
      </c>
      <c r="F11" s="25">
        <v>42793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70899</v>
      </c>
      <c r="E12" s="54" t="s">
        <v>23</v>
      </c>
      <c r="F12" s="25">
        <v>70912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71807</v>
      </c>
      <c r="E13" s="54" t="s">
        <v>23</v>
      </c>
      <c r="F13" s="25">
        <v>71819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291428</v>
      </c>
      <c r="C24" s="54" t="s">
        <v>1</v>
      </c>
      <c r="D24" s="26">
        <v>291625</v>
      </c>
      <c r="E24" s="54" t="s">
        <v>33</v>
      </c>
      <c r="F24" s="54">
        <f>D24-B24</f>
        <v>197</v>
      </c>
      <c r="G24" s="54" t="s">
        <v>34</v>
      </c>
      <c r="H24" s="54">
        <f>F24*220</f>
        <v>43340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1073.6399999999999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173.36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433.40000000000003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2430.4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36</v>
      </c>
      <c r="E33" s="54" t="s">
        <v>42</v>
      </c>
      <c r="F33" s="21">
        <v>28</v>
      </c>
      <c r="G33" s="54" t="s">
        <v>43</v>
      </c>
      <c r="H33" s="49">
        <f>(D33-F33)*48.8</f>
        <v>390.4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355.26400000000001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20609.741596001812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6"/>
  <sheetViews>
    <sheetView zoomScale="115" zoomScaleNormal="115" workbookViewId="0">
      <selection activeCell="A2" sqref="A2:H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8" t="s">
        <v>12</v>
      </c>
      <c r="B1" s="58"/>
      <c r="C1" s="58"/>
      <c r="D1" s="58"/>
      <c r="E1" s="58"/>
      <c r="F1" s="58"/>
      <c r="G1" s="58"/>
      <c r="H1" s="58"/>
    </row>
    <row r="2" spans="1:8" ht="16.5" customHeight="1">
      <c r="A2" s="59" t="s">
        <v>71</v>
      </c>
      <c r="B2" s="59"/>
      <c r="C2" s="59"/>
      <c r="D2" s="59"/>
      <c r="E2" s="59"/>
      <c r="F2" s="59"/>
      <c r="G2" s="59"/>
      <c r="H2" s="5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4" t="s">
        <v>14</v>
      </c>
      <c r="B4" s="25">
        <v>68253.47</v>
      </c>
      <c r="C4" s="54" t="s">
        <v>15</v>
      </c>
      <c r="D4" s="25">
        <v>68292.95</v>
      </c>
      <c r="E4" s="54" t="s">
        <v>16</v>
      </c>
      <c r="F4" s="54">
        <f>D4-B4</f>
        <v>39.479999999995925</v>
      </c>
      <c r="G4" s="54" t="s">
        <v>17</v>
      </c>
      <c r="H4" s="54">
        <f>F4*284.35</f>
        <v>11226.137999998842</v>
      </c>
    </row>
    <row r="5" spans="1:8" s="4" customFormat="1" ht="10.5" customHeight="1">
      <c r="A5" s="61" t="s">
        <v>3</v>
      </c>
      <c r="B5" s="61"/>
      <c r="C5" s="61"/>
      <c r="D5" s="61"/>
      <c r="E5" s="61"/>
      <c r="F5" s="61"/>
      <c r="G5" s="61"/>
      <c r="H5" s="61"/>
    </row>
    <row r="6" spans="1:8" ht="16.5" customHeight="1">
      <c r="A6" s="62" t="s">
        <v>18</v>
      </c>
      <c r="B6" s="62"/>
      <c r="C6" s="62"/>
      <c r="D6" s="63">
        <f>H4*0.568</f>
        <v>6376.4463839993414</v>
      </c>
      <c r="E6" s="63"/>
      <c r="F6" s="63"/>
      <c r="G6" s="63"/>
      <c r="H6" s="63"/>
    </row>
    <row r="7" spans="1:8" ht="16.5" customHeight="1">
      <c r="A7" s="62" t="s">
        <v>52</v>
      </c>
      <c r="B7" s="62"/>
      <c r="C7" s="62"/>
      <c r="D7" s="63">
        <f>H4*0.075</f>
        <v>841.96034999991309</v>
      </c>
      <c r="E7" s="63"/>
      <c r="F7" s="63"/>
      <c r="G7" s="63"/>
      <c r="H7" s="63"/>
    </row>
    <row r="8" spans="1:8" ht="16.5" customHeight="1">
      <c r="A8" s="64" t="s">
        <v>19</v>
      </c>
      <c r="B8" s="65"/>
      <c r="C8" s="66"/>
      <c r="D8" s="67">
        <v>2866</v>
      </c>
      <c r="E8" s="68"/>
      <c r="F8" s="68"/>
      <c r="G8" s="68"/>
      <c r="H8" s="69"/>
    </row>
    <row r="9" spans="1:8" ht="16.5" customHeight="1">
      <c r="A9" s="70" t="s">
        <v>20</v>
      </c>
      <c r="B9" s="70"/>
      <c r="C9" s="70"/>
      <c r="D9" s="71">
        <f>SUM(D6:H8)</f>
        <v>10084.406733999254</v>
      </c>
      <c r="E9" s="71"/>
      <c r="F9" s="71"/>
      <c r="G9" s="71"/>
      <c r="H9" s="71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72" t="s">
        <v>21</v>
      </c>
      <c r="B11" s="72"/>
      <c r="C11" s="47" t="s">
        <v>22</v>
      </c>
      <c r="D11" s="25">
        <v>42777</v>
      </c>
      <c r="E11" s="54" t="s">
        <v>23</v>
      </c>
      <c r="F11" s="25">
        <v>42785</v>
      </c>
      <c r="G11" s="54" t="s">
        <v>24</v>
      </c>
      <c r="H11" s="54">
        <f>F11-D11</f>
        <v>8</v>
      </c>
    </row>
    <row r="12" spans="1:8" ht="16.5" customHeight="1">
      <c r="A12" s="72" t="s">
        <v>25</v>
      </c>
      <c r="B12" s="72"/>
      <c r="C12" s="47" t="s">
        <v>22</v>
      </c>
      <c r="D12" s="25">
        <v>70886</v>
      </c>
      <c r="E12" s="54" t="s">
        <v>23</v>
      </c>
      <c r="F12" s="25">
        <v>70899</v>
      </c>
      <c r="G12" s="54" t="s">
        <v>24</v>
      </c>
      <c r="H12" s="54">
        <f>F12-D12</f>
        <v>13</v>
      </c>
    </row>
    <row r="13" spans="1:8" ht="16.5" customHeight="1">
      <c r="A13" s="72" t="s">
        <v>26</v>
      </c>
      <c r="B13" s="72"/>
      <c r="C13" s="47" t="s">
        <v>22</v>
      </c>
      <c r="D13" s="25">
        <v>71795</v>
      </c>
      <c r="E13" s="54" t="s">
        <v>23</v>
      </c>
      <c r="F13" s="25">
        <v>71807</v>
      </c>
      <c r="G13" s="54" t="s">
        <v>24</v>
      </c>
      <c r="H13" s="54">
        <f>F13-D13</f>
        <v>12</v>
      </c>
    </row>
    <row r="14" spans="1:8" ht="16.5" customHeight="1">
      <c r="A14" s="73" t="s">
        <v>27</v>
      </c>
      <c r="B14" s="73"/>
      <c r="C14" s="73"/>
      <c r="D14" s="73"/>
      <c r="E14" s="73"/>
      <c r="F14" s="73"/>
      <c r="G14" s="73"/>
      <c r="H14" s="54">
        <f>SUM(H11:H13)</f>
        <v>33</v>
      </c>
    </row>
    <row r="15" spans="1:8" ht="16.5" customHeight="1">
      <c r="A15" s="73" t="s">
        <v>28</v>
      </c>
      <c r="B15" s="73"/>
      <c r="C15" s="73"/>
      <c r="D15" s="73"/>
      <c r="E15" s="73"/>
      <c r="F15" s="73"/>
      <c r="G15" s="73"/>
      <c r="H15" s="54">
        <f>H14*487.2</f>
        <v>16077.6</v>
      </c>
    </row>
    <row r="16" spans="1:8" s="4" customFormat="1" ht="10.5" customHeight="1">
      <c r="A16" s="74" t="s">
        <v>3</v>
      </c>
      <c r="B16" s="74"/>
      <c r="C16" s="74"/>
      <c r="D16" s="74"/>
      <c r="E16" s="74"/>
      <c r="F16" s="74"/>
      <c r="G16" s="74"/>
      <c r="H16" s="74"/>
    </row>
    <row r="17" spans="1:8" ht="16.5" customHeight="1">
      <c r="A17" s="72" t="s">
        <v>29</v>
      </c>
      <c r="B17" s="72"/>
      <c r="C17" s="72"/>
      <c r="D17" s="63">
        <v>460</v>
      </c>
      <c r="E17" s="63"/>
      <c r="F17" s="63"/>
      <c r="G17" s="63"/>
      <c r="H17" s="63"/>
    </row>
    <row r="18" spans="1:8" ht="16.5" customHeight="1">
      <c r="A18" s="72" t="s">
        <v>30</v>
      </c>
      <c r="B18" s="72"/>
      <c r="C18" s="72"/>
      <c r="D18" s="63">
        <v>560</v>
      </c>
      <c r="E18" s="63"/>
      <c r="F18" s="63"/>
      <c r="G18" s="63"/>
      <c r="H18" s="63"/>
    </row>
    <row r="19" spans="1:8" ht="16.5" customHeight="1">
      <c r="A19" s="72" t="s">
        <v>31</v>
      </c>
      <c r="B19" s="72"/>
      <c r="C19" s="72"/>
      <c r="D19" s="63">
        <v>640</v>
      </c>
      <c r="E19" s="63"/>
      <c r="F19" s="63"/>
      <c r="G19" s="63"/>
      <c r="H19" s="63"/>
    </row>
    <row r="20" spans="1:8" ht="16.5" customHeight="1">
      <c r="A20" s="72" t="s">
        <v>32</v>
      </c>
      <c r="B20" s="72"/>
      <c r="C20" s="72"/>
      <c r="D20" s="63">
        <f>H15*0.38</f>
        <v>6109.4880000000003</v>
      </c>
      <c r="E20" s="63"/>
      <c r="F20" s="63"/>
      <c r="G20" s="63"/>
      <c r="H20" s="63"/>
    </row>
    <row r="21" spans="1:8" ht="16.5" customHeight="1">
      <c r="A21" s="72" t="s">
        <v>53</v>
      </c>
      <c r="B21" s="72"/>
      <c r="C21" s="72"/>
      <c r="D21" s="63">
        <f>H15*0.06</f>
        <v>964.65599999999995</v>
      </c>
      <c r="E21" s="63"/>
      <c r="F21" s="63"/>
      <c r="G21" s="63"/>
      <c r="H21" s="63"/>
    </row>
    <row r="22" spans="1:8" ht="16.5" customHeight="1">
      <c r="A22" s="70" t="s">
        <v>20</v>
      </c>
      <c r="B22" s="70"/>
      <c r="C22" s="70"/>
      <c r="D22" s="71">
        <f>D20+D21</f>
        <v>7074.1440000000002</v>
      </c>
      <c r="E22" s="71"/>
      <c r="F22" s="71"/>
      <c r="G22" s="71"/>
      <c r="H22" s="71"/>
    </row>
    <row r="23" spans="1:8" ht="16.5" customHeight="1">
      <c r="A23" s="75" t="s">
        <v>2</v>
      </c>
      <c r="B23" s="76"/>
      <c r="C23" s="76"/>
      <c r="D23" s="76"/>
      <c r="E23" s="76"/>
      <c r="F23" s="76"/>
      <c r="G23" s="76"/>
      <c r="H23" s="77"/>
    </row>
    <row r="24" spans="1:8" ht="16.5" customHeight="1">
      <c r="A24" s="48" t="s">
        <v>0</v>
      </c>
      <c r="B24" s="26">
        <v>291219</v>
      </c>
      <c r="C24" s="54" t="s">
        <v>1</v>
      </c>
      <c r="D24" s="26">
        <v>291428</v>
      </c>
      <c r="E24" s="54" t="s">
        <v>33</v>
      </c>
      <c r="F24" s="54">
        <f>D24-B24</f>
        <v>209</v>
      </c>
      <c r="G24" s="54" t="s">
        <v>34</v>
      </c>
      <c r="H24" s="54">
        <f>F24*220</f>
        <v>45980</v>
      </c>
    </row>
    <row r="25" spans="1:8" s="4" customFormat="1" ht="10.5" customHeight="1">
      <c r="A25" s="78" t="s">
        <v>4</v>
      </c>
      <c r="B25" s="79"/>
      <c r="C25" s="79"/>
      <c r="D25" s="79"/>
      <c r="E25" s="79"/>
      <c r="F25" s="79"/>
      <c r="G25" s="79"/>
      <c r="H25" s="80"/>
    </row>
    <row r="26" spans="1:8" ht="16.5" customHeight="1">
      <c r="A26" s="72" t="s">
        <v>35</v>
      </c>
      <c r="B26" s="72"/>
      <c r="C26" s="72"/>
      <c r="D26" s="63">
        <v>350</v>
      </c>
      <c r="E26" s="63"/>
      <c r="F26" s="63"/>
      <c r="G26" s="63"/>
      <c r="H26" s="63"/>
    </row>
    <row r="27" spans="1:8" ht="16.5" customHeight="1">
      <c r="A27" s="72" t="s">
        <v>36</v>
      </c>
      <c r="B27" s="72"/>
      <c r="C27" s="72"/>
      <c r="D27" s="63">
        <v>400</v>
      </c>
      <c r="E27" s="63"/>
      <c r="F27" s="63"/>
      <c r="G27" s="63"/>
      <c r="H27" s="63"/>
    </row>
    <row r="28" spans="1:8" ht="16.5" customHeight="1">
      <c r="A28" s="72" t="s">
        <v>37</v>
      </c>
      <c r="B28" s="72"/>
      <c r="C28" s="72"/>
      <c r="D28" s="63">
        <f>(H24-20000)*0.046</f>
        <v>1195.08</v>
      </c>
      <c r="E28" s="63"/>
      <c r="F28" s="63"/>
      <c r="G28" s="63"/>
      <c r="H28" s="63"/>
    </row>
    <row r="29" spans="1:8" ht="16.5" customHeight="1">
      <c r="A29" s="72" t="s">
        <v>38</v>
      </c>
      <c r="B29" s="72"/>
      <c r="C29" s="72"/>
      <c r="D29" s="63">
        <f>H24*0.004</f>
        <v>183.92000000000002</v>
      </c>
      <c r="E29" s="63"/>
      <c r="F29" s="63"/>
      <c r="G29" s="63"/>
      <c r="H29" s="63"/>
    </row>
    <row r="30" spans="1:8" ht="16.5" customHeight="1">
      <c r="A30" s="72" t="s">
        <v>39</v>
      </c>
      <c r="B30" s="72"/>
      <c r="C30" s="72"/>
      <c r="D30" s="63">
        <f>H24*0.01</f>
        <v>459.8</v>
      </c>
      <c r="E30" s="63"/>
      <c r="F30" s="63"/>
      <c r="G30" s="63"/>
      <c r="H30" s="63"/>
    </row>
    <row r="31" spans="1:8" ht="16.5" customHeight="1">
      <c r="A31" s="70" t="s">
        <v>20</v>
      </c>
      <c r="B31" s="70"/>
      <c r="C31" s="70"/>
      <c r="D31" s="71">
        <f>SUM(D26:H30)</f>
        <v>2588.8000000000002</v>
      </c>
      <c r="E31" s="71"/>
      <c r="F31" s="71"/>
      <c r="G31" s="71"/>
      <c r="H31" s="71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72" t="s">
        <v>40</v>
      </c>
      <c r="B33" s="72"/>
      <c r="C33" s="47" t="s">
        <v>41</v>
      </c>
      <c r="D33" s="21">
        <v>46</v>
      </c>
      <c r="E33" s="54" t="s">
        <v>42</v>
      </c>
      <c r="F33" s="21">
        <v>36</v>
      </c>
      <c r="G33" s="54" t="s">
        <v>43</v>
      </c>
      <c r="H33" s="49">
        <f>(D33-F33)*48.8</f>
        <v>488</v>
      </c>
    </row>
    <row r="34" spans="1:8" ht="16.5" customHeight="1">
      <c r="A34" s="72" t="s">
        <v>44</v>
      </c>
      <c r="B34" s="72"/>
      <c r="C34" s="47" t="s">
        <v>41</v>
      </c>
      <c r="D34" s="21">
        <v>80</v>
      </c>
      <c r="E34" s="54" t="s">
        <v>42</v>
      </c>
      <c r="F34" s="21">
        <v>80</v>
      </c>
      <c r="G34" s="54" t="s">
        <v>43</v>
      </c>
      <c r="H34" s="49">
        <f>(D34-F34)*48.8</f>
        <v>0</v>
      </c>
    </row>
    <row r="35" spans="1:8" ht="16.5" customHeight="1">
      <c r="A35" s="70" t="s">
        <v>54</v>
      </c>
      <c r="B35" s="70"/>
      <c r="C35" s="70"/>
      <c r="D35" s="70"/>
      <c r="E35" s="70"/>
      <c r="F35" s="70"/>
      <c r="G35" s="70"/>
      <c r="H35" s="53">
        <f>((H34+H33)*1.82)*0.5</f>
        <v>444.08000000000004</v>
      </c>
    </row>
    <row r="36" spans="1:8" ht="16.5" customHeight="1">
      <c r="A36" s="70" t="s">
        <v>45</v>
      </c>
      <c r="B36" s="70"/>
      <c r="C36" s="70"/>
      <c r="D36" s="70"/>
      <c r="E36" s="70"/>
      <c r="F36" s="70"/>
      <c r="G36" s="70"/>
      <c r="H36" s="53">
        <f>H35+D22+D9+D31</f>
        <v>20191.430733999256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October-31</vt:lpstr>
      <vt:lpstr>October-30</vt:lpstr>
      <vt:lpstr>October-29</vt:lpstr>
      <vt:lpstr>October-28</vt:lpstr>
      <vt:lpstr>October-27</vt:lpstr>
      <vt:lpstr>October-26</vt:lpstr>
      <vt:lpstr>October-25</vt:lpstr>
      <vt:lpstr>October-24</vt:lpstr>
      <vt:lpstr>October-23</vt:lpstr>
      <vt:lpstr>October-22</vt:lpstr>
      <vt:lpstr>October-21</vt:lpstr>
      <vt:lpstr>October-20</vt:lpstr>
      <vt:lpstr>October-19</vt:lpstr>
      <vt:lpstr>October-18</vt:lpstr>
      <vt:lpstr>October-17</vt:lpstr>
      <vt:lpstr>October-16</vt:lpstr>
      <vt:lpstr>October-15</vt:lpstr>
      <vt:lpstr>October-14</vt:lpstr>
      <vt:lpstr>October-13</vt:lpstr>
      <vt:lpstr>October-12</vt:lpstr>
      <vt:lpstr>October-11</vt:lpstr>
      <vt:lpstr>October-10</vt:lpstr>
      <vt:lpstr>October-09</vt:lpstr>
      <vt:lpstr>October-08</vt:lpstr>
      <vt:lpstr>October-07</vt:lpstr>
      <vt:lpstr>October-06</vt:lpstr>
      <vt:lpstr>October-05</vt:lpstr>
      <vt:lpstr>October-04</vt:lpstr>
      <vt:lpstr>October-03</vt:lpstr>
      <vt:lpstr>October-02</vt:lpstr>
      <vt:lpstr>October-01</vt:lpstr>
      <vt:lpstr>'MTD Utility Sheet'!Print_Area</vt:lpstr>
      <vt:lpstr>'October-01'!Print_Area</vt:lpstr>
      <vt:lpstr>'October-02'!Print_Area</vt:lpstr>
      <vt:lpstr>'October-03'!Print_Area</vt:lpstr>
      <vt:lpstr>'October-04'!Print_Area</vt:lpstr>
      <vt:lpstr>'October-05'!Print_Area</vt:lpstr>
      <vt:lpstr>'October-06'!Print_Area</vt:lpstr>
      <vt:lpstr>'October-07'!Print_Area</vt:lpstr>
      <vt:lpstr>'October-08'!Print_Area</vt:lpstr>
      <vt:lpstr>'October-09'!Print_Area</vt:lpstr>
      <vt:lpstr>'October-10'!Print_Area</vt:lpstr>
      <vt:lpstr>'October-11'!Print_Area</vt:lpstr>
      <vt:lpstr>'October-12'!Print_Area</vt:lpstr>
      <vt:lpstr>'October-13'!Print_Area</vt:lpstr>
      <vt:lpstr>'October-14'!Print_Area</vt:lpstr>
      <vt:lpstr>'October-15'!Print_Area</vt:lpstr>
      <vt:lpstr>'October-16'!Print_Area</vt:lpstr>
      <vt:lpstr>'October-17'!Print_Area</vt:lpstr>
      <vt:lpstr>'October-18'!Print_Area</vt:lpstr>
      <vt:lpstr>'October-19'!Print_Area</vt:lpstr>
      <vt:lpstr>'October-20'!Print_Area</vt:lpstr>
      <vt:lpstr>'October-21'!Print_Area</vt:lpstr>
      <vt:lpstr>'October-22'!Print_Area</vt:lpstr>
      <vt:lpstr>'October-23'!Print_Area</vt:lpstr>
      <vt:lpstr>'October-24'!Print_Area</vt:lpstr>
      <vt:lpstr>'October-25'!Print_Area</vt:lpstr>
      <vt:lpstr>'October-26'!Print_Area</vt:lpstr>
      <vt:lpstr>'October-27'!Print_Area</vt:lpstr>
      <vt:lpstr>'October-28'!Print_Area</vt:lpstr>
      <vt:lpstr>'October-29'!Print_Area</vt:lpstr>
      <vt:lpstr>'October-30'!Print_Area</vt:lpstr>
      <vt:lpstr>'October-31'!Print_Area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Eng Secretary - Amwaj Rotana</cp:lastModifiedBy>
  <cp:lastPrinted>2023-12-31T09:52:57Z</cp:lastPrinted>
  <dcterms:created xsi:type="dcterms:W3CDTF">2009-10-25T07:14:49Z</dcterms:created>
  <dcterms:modified xsi:type="dcterms:W3CDTF">2025-04-17T11:17:58Z</dcterms:modified>
</cp:coreProperties>
</file>