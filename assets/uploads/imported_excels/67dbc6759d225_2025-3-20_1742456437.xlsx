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1/"/>
    </mc:Choice>
  </mc:AlternateContent>
  <xr:revisionPtr revIDLastSave="805" documentId="8_{8847650D-614C-4264-8C87-30D8B5EB4252}" xr6:coauthVersionLast="47" xr6:coauthVersionMax="47" xr10:uidLastSave="{C012F293-AD45-402A-B1A0-F8FAE98470BA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F10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E10" i="5"/>
  <c r="AF10" i="5"/>
  <c r="AG10" i="5"/>
  <c r="AH10" i="5"/>
  <c r="AI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E14" i="5"/>
  <c r="E12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E6" i="5"/>
  <c r="K20" i="2" l="1"/>
  <c r="K21" i="2"/>
  <c r="K22" i="2"/>
  <c r="K23" i="2"/>
  <c r="K24" i="2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L20" i="2"/>
  <c r="L21" i="2"/>
  <c r="L22" i="2"/>
  <c r="L23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K6" authorId="0" shapeId="0" xr:uid="{854E55C9-E2DF-4BE8-81FE-294E58CBCB00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Hot water hotel pipe leakage</t>
        </r>
      </text>
    </comment>
    <comment ref="K8" authorId="0" shapeId="0" xr:uid="{B61A2282-4AB5-4A6B-AF4B-162F9B63B227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Hot water hotel pipe leakage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AD9" authorId="0" shapeId="0" xr:uid="{2E41274B-B033-42DA-8B28-3D64736BA7F8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26-10-2021</t>
        </r>
      </text>
    </comment>
    <comment ref="G10" authorId="0" shapeId="0" xr:uid="{B6FF74A5-199A-4F6C-A109-95AA07AA6F5C}">
      <text>
        <r>
          <rPr>
            <b/>
            <sz val="9"/>
            <color indexed="81"/>
            <rFont val="Tahoma"/>
            <family val="2"/>
          </rPr>
          <t>Not Working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 xr:uid="{3305CA50-4D15-405C-AED4-762AB052B75D}">
      <text>
        <r>
          <rPr>
            <b/>
            <sz val="9"/>
            <color indexed="81"/>
            <rFont val="Tahoma"/>
            <family val="2"/>
          </rPr>
          <t>Not Working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" authorId="0" shapeId="0" xr:uid="{B4FC9ABB-657D-4CE2-9608-18281633E29F}">
      <text>
        <r>
          <rPr>
            <b/>
            <sz val="9"/>
            <color indexed="81"/>
            <rFont val="Tahoma"/>
            <family val="2"/>
          </rPr>
          <t>Not Working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0" shapeId="0" xr:uid="{F5A9C3E6-8366-4CC6-BE1C-58C2CDF7342F}">
      <text>
        <r>
          <rPr>
            <b/>
            <sz val="9"/>
            <color indexed="81"/>
            <rFont val="Tahoma"/>
            <family val="2"/>
          </rPr>
          <t>Not Working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0" shapeId="0" xr:uid="{DA796D1A-8C36-46F5-8FB9-49D0922E4B23}">
      <text>
        <r>
          <rPr>
            <b/>
            <sz val="9"/>
            <color indexed="81"/>
            <rFont val="Tahoma"/>
            <family val="2"/>
          </rPr>
          <t>Not Working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883D3A60-AFFA-4435-8997-F965807100B2}">
      <text>
        <r>
          <rPr>
            <b/>
            <sz val="9"/>
            <color indexed="81"/>
            <rFont val="Tahoma"/>
            <family val="2"/>
          </rPr>
          <t>Not Working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" authorId="0" shapeId="0" xr:uid="{0D251A7F-2372-4268-8510-10ABC77A5F71}">
      <text>
        <r>
          <rPr>
            <b/>
            <sz val="9"/>
            <color indexed="81"/>
            <rFont val="Tahoma"/>
            <family val="2"/>
          </rPr>
          <t>Not Working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0" authorId="0" shapeId="0" xr:uid="{E2F7A8C0-9375-4FCD-B6EC-8CE68D2F6B60}">
      <text>
        <r>
          <rPr>
            <b/>
            <sz val="9"/>
            <color indexed="81"/>
            <rFont val="Tahoma"/>
            <family val="2"/>
          </rPr>
          <t>Not Working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F593BC6B-D681-4054-B279-056E88818F0A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Hot water hotel pipe leakage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  <comment ref="K14" authorId="0" shapeId="0" xr:uid="{3D3B7312-2EA4-4C30-8A35-A847D4AE22D3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Hot water hotel pipe leakage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<sst xmlns="http://schemas.openxmlformats.org/spreadsheetml/2006/main" count="123" uniqueCount="88">
  <si>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</si>
  <si>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</si>
  <si>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</si>
  <si>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</si>
  <si>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</si>
  <si>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</si>
  <si>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</si>
  <si>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</si>
  <si>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</si>
  <si>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</si>
  <si>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</si>
  <si>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</si>
  <si>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</si>
  <si>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OCTOBER 2021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</si>
  <si>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</si>
  <si>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</si>
  <si>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</si>
  <si>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</si>
  <si>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</si>
  <si>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</si>
  <si>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</si>
  <si>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</si>
  <si>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</si>
  <si>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</si>
  <si>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</si>
  <si>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</si>
  <si>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</si>
  <si>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</si>
  <si>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</si>
  <si>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</si>
  <si>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</si>
  <si>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</si>
  <si>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</si>
  <si>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</si>
  <si>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</si>
  <si>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</si>
  <si>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rPr>
        <b/>
        <sz val="20"/>
        <color rgb="FF000000"/>
        <rFont val="Calibri"/>
      </rPr>
      <t>DAILY WATER METER READINGS &amp; CONSUMPTION (m</t>
    </r>
    <r>
      <rPr>
        <b/>
        <vertAlign val="superscript"/>
        <sz val="20"/>
        <color rgb="FF000000"/>
        <rFont val="Calibri"/>
      </rPr>
      <t>3</t>
    </r>
    <r>
      <rPr>
        <b/>
        <sz val="20"/>
        <color rgb="FF000000"/>
        <rFont val="Calibri"/>
      </rPr>
      <t>) OCTOBER  2021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</si>
  <si>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</si>
  <si>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</si>
  <si>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</si>
  <si>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</si>
  <si>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</si>
  <si>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</si>
  <si>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</si>
  <si>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</si>
  <si>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</si>
  <si>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</si>
  <si>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</si>
  <si>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</si>
  <si>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</si>
  <si>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</si>
  <si>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</si>
  <si>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</si>
  <si>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</si>
  <si>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</si>
  <si>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</si>
  <si>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</si>
  <si>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</si>
  <si>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</si>
  <si>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</si>
  <si>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</si>
  <si>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</si>
  <si>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</si>
  <si>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</si>
  <si>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</si>
  <si>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</si>
  <si>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</si>
  <si>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</si>
  <si>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</si>
  <si>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</si>
  <si>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</si>
  <si>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</si>
  <si>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</si>
  <si>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</si>
  <si>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</si>
  <si>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</si>
  <si>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</si>
  <si>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</si>
  <si>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</si>
  <si>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</si>
  <si>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</si>
  <si>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</si>
  <si>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</si>
  <si>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</si>
  <si>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</si>
  <si>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</si>
  <si>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Occupied Room &amp; Number of Guest
October 2021</t>
  </si>
  <si>
    <t>DAILY GAS METER READINGS &amp; CONSUMPTION (Liters) OCTOBER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</si>
</sst>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</font>
    <font>
      <b/>
      <vertAlign val="superscript"/>
      <sz val="2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8" fontId="26" fillId="0" borderId="21" xfId="1" applyNumberFormat="1" applyFont="1" applyFill="1" applyBorder="1"/>
    <xf numFmtId="166" fontId="16" fillId="5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10</v>
      </c>
      <c r="D2" s="10">
        <v>2021</v>
      </c>
      <c r="E2" s="4" cm="1">
        <f t="array" ref="E2:E32">TRANSPOSE(Electricity!E21:AI21)</f>
        <v>43408</v>
      </c>
      <c r="F2" s="11">
        <v>0.2</v>
      </c>
      <c r="G2" s="4">
        <f>LPG!C4</f>
        <v>1635.0538709677419</v>
      </c>
      <c r="H2" s="11">
        <v>1.9499917828494158</v>
      </c>
      <c r="I2" s="4" cm="1">
        <f t="array" ref="I2:I32">TRANSPOSE(Water!E15:AI15)</f>
        <v>291.58499999999475</v>
      </c>
      <c r="J2" s="11">
        <v>7.84</v>
      </c>
      <c r="K2" s="4">
        <f>'Occupied &amp; No. of Guest'!B3</f>
        <v>250</v>
      </c>
      <c r="L2" s="4">
        <f>'Occupied &amp; No. of Guest'!C3</f>
        <v>326</v>
      </c>
    </row>
    <row r="3" spans="1:12" x14ac:dyDescent="0.25">
      <c r="A3" s="9" t="s">
        <v>12</v>
      </c>
      <c r="B3" s="10">
        <f>B2+1</f>
        <v>2</v>
      </c>
      <c r="C3" s="10">
        <v>10</v>
      </c>
      <c r="D3" s="10">
        <v>2021</v>
      </c>
      <c r="E3" s="4">
        <v>43403</v>
      </c>
      <c r="F3" s="11">
        <v>0.2</v>
      </c>
      <c r="G3" s="4">
        <f>LPG!C5</f>
        <v>1635.0538709677419</v>
      </c>
      <c r="H3" s="11">
        <v>1.9499917828494158</v>
      </c>
      <c r="I3" s="4">
        <v>375.94500000001278</v>
      </c>
      <c r="J3" s="11">
        <v>7.84</v>
      </c>
      <c r="K3" s="4">
        <f>'Occupied &amp; No. of Guest'!B4</f>
        <v>260</v>
      </c>
      <c r="L3" s="4">
        <f>'Occupied &amp; No. of Guest'!C4</f>
        <v>329</v>
      </c>
    </row>
    <row r="4" spans="1:12" x14ac:dyDescent="0.25">
      <c r="A4" s="9" t="s">
        <v>12</v>
      </c>
      <c r="B4" s="10">
        <f t="shared" ref="B4:B32" si="0">B3+1</f>
        <v>3</v>
      </c>
      <c r="C4" s="10">
        <v>10</v>
      </c>
      <c r="D4" s="10">
        <v>2021</v>
      </c>
      <c r="E4" s="4">
        <v>42006</v>
      </c>
      <c r="F4" s="11">
        <v>0.2</v>
      </c>
      <c r="G4" s="4">
        <f>LPG!C6</f>
        <v>1635.0538709677419</v>
      </c>
      <c r="H4" s="11">
        <v>1.9499917828494158</v>
      </c>
      <c r="I4" s="4">
        <v>345.9449999999598</v>
      </c>
      <c r="J4" s="11">
        <v>7.84</v>
      </c>
      <c r="K4" s="4">
        <f>'Occupied &amp; No. of Guest'!B5</f>
        <v>310</v>
      </c>
      <c r="L4" s="4">
        <f>'Occupied &amp; No. of Guest'!C5</f>
        <v>379</v>
      </c>
    </row>
    <row r="5" spans="1:12" x14ac:dyDescent="0.25">
      <c r="A5" s="9" t="s">
        <v>12</v>
      </c>
      <c r="B5" s="10">
        <f t="shared" si="0"/>
        <v>4</v>
      </c>
      <c r="C5" s="10">
        <v>10</v>
      </c>
      <c r="D5" s="10">
        <v>2021</v>
      </c>
      <c r="E5" s="4">
        <v>38006</v>
      </c>
      <c r="F5" s="11">
        <v>0.2</v>
      </c>
      <c r="G5" s="4">
        <f>LPG!C7</f>
        <v>1635.0538709677419</v>
      </c>
      <c r="H5" s="11">
        <v>1.9499917828494158</v>
      </c>
      <c r="I5" s="4">
        <v>321.77500000004011</v>
      </c>
      <c r="J5" s="11">
        <v>7.84</v>
      </c>
      <c r="K5" s="4">
        <f>'Occupied &amp; No. of Guest'!B6</f>
        <v>334</v>
      </c>
      <c r="L5" s="4">
        <f>'Occupied &amp; No. of Guest'!C6</f>
        <v>417</v>
      </c>
    </row>
    <row r="6" spans="1:12" x14ac:dyDescent="0.25">
      <c r="A6" s="9" t="s">
        <v>12</v>
      </c>
      <c r="B6" s="10">
        <f t="shared" si="0"/>
        <v>5</v>
      </c>
      <c r="C6" s="10">
        <v>10</v>
      </c>
      <c r="D6" s="10">
        <v>2021</v>
      </c>
      <c r="E6" s="4">
        <v>41598</v>
      </c>
      <c r="F6" s="11">
        <v>0.2</v>
      </c>
      <c r="G6" s="4">
        <f>LPG!C8</f>
        <v>1635.0538709677419</v>
      </c>
      <c r="H6" s="11">
        <v>1.9499917828494158</v>
      </c>
      <c r="I6" s="4">
        <v>272.05399999994825</v>
      </c>
      <c r="J6" s="11">
        <v>7.84</v>
      </c>
      <c r="K6" s="4">
        <f>'Occupied &amp; No. of Guest'!B7</f>
        <v>395</v>
      </c>
      <c r="L6" s="4">
        <f>'Occupied &amp; No. of Guest'!C7</f>
        <v>476</v>
      </c>
    </row>
    <row r="7" spans="1:12" x14ac:dyDescent="0.25">
      <c r="A7" s="9" t="s">
        <v>12</v>
      </c>
      <c r="B7" s="10">
        <f t="shared" si="0"/>
        <v>6</v>
      </c>
      <c r="C7" s="10">
        <v>10</v>
      </c>
      <c r="D7" s="10">
        <v>2021</v>
      </c>
      <c r="E7" s="4">
        <v>41471</v>
      </c>
      <c r="F7" s="11">
        <v>0.2</v>
      </c>
      <c r="G7" s="4">
        <f>LPG!C9</f>
        <v>1635.0538709677419</v>
      </c>
      <c r="H7" s="11">
        <v>1.9499917828494158</v>
      </c>
      <c r="I7" s="4">
        <v>309.63800000005068</v>
      </c>
      <c r="J7" s="11">
        <v>7.84</v>
      </c>
      <c r="K7" s="4">
        <f>'Occupied &amp; No. of Guest'!B8</f>
        <v>377</v>
      </c>
      <c r="L7" s="4">
        <f>'Occupied &amp; No. of Guest'!C8</f>
        <v>459</v>
      </c>
    </row>
    <row r="8" spans="1:12" x14ac:dyDescent="0.25">
      <c r="A8" s="9" t="s">
        <v>12</v>
      </c>
      <c r="B8" s="10">
        <f t="shared" si="0"/>
        <v>7</v>
      </c>
      <c r="C8" s="10">
        <v>10</v>
      </c>
      <c r="D8" s="10">
        <v>2021</v>
      </c>
      <c r="E8" s="4">
        <v>42047</v>
      </c>
      <c r="F8" s="11">
        <v>0.2</v>
      </c>
      <c r="G8" s="4">
        <f>LPG!C10</f>
        <v>1635.0538709677419</v>
      </c>
      <c r="H8" s="11">
        <v>1.9499917828494158</v>
      </c>
      <c r="I8" s="4">
        <v>332.97799999995982</v>
      </c>
      <c r="J8" s="11">
        <v>7.84</v>
      </c>
      <c r="K8" s="4">
        <f>'Occupied &amp; No. of Guest'!B9</f>
        <v>328</v>
      </c>
      <c r="L8" s="4">
        <f>'Occupied &amp; No. of Guest'!C9</f>
        <v>410</v>
      </c>
    </row>
    <row r="9" spans="1:12" x14ac:dyDescent="0.25">
      <c r="A9" s="9" t="s">
        <v>12</v>
      </c>
      <c r="B9" s="10">
        <f t="shared" si="0"/>
        <v>8</v>
      </c>
      <c r="C9" s="10">
        <v>10</v>
      </c>
      <c r="D9" s="10">
        <v>2021</v>
      </c>
      <c r="E9" s="4">
        <v>41304</v>
      </c>
      <c r="F9" s="11">
        <v>0.2</v>
      </c>
      <c r="G9" s="4">
        <f>LPG!C11</f>
        <v>1635.0538709677419</v>
      </c>
      <c r="H9" s="11">
        <v>1.9499917828494158</v>
      </c>
      <c r="I9" s="4">
        <v>314.38199999999472</v>
      </c>
      <c r="J9" s="11">
        <v>7.84</v>
      </c>
      <c r="K9" s="4">
        <f>'Occupied &amp; No. of Guest'!B10</f>
        <v>311</v>
      </c>
      <c r="L9" s="4">
        <f>'Occupied &amp; No. of Guest'!C10</f>
        <v>407</v>
      </c>
    </row>
    <row r="10" spans="1:12" x14ac:dyDescent="0.25">
      <c r="A10" s="9" t="s">
        <v>12</v>
      </c>
      <c r="B10" s="10">
        <f t="shared" si="0"/>
        <v>9</v>
      </c>
      <c r="C10" s="10">
        <v>10</v>
      </c>
      <c r="D10" s="10">
        <v>2021</v>
      </c>
      <c r="E10" s="4">
        <v>44900</v>
      </c>
      <c r="F10" s="11">
        <v>0.2</v>
      </c>
      <c r="G10" s="4">
        <f>LPG!C12</f>
        <v>1635.0538709677419</v>
      </c>
      <c r="H10" s="11">
        <v>1.9499917828494158</v>
      </c>
      <c r="I10" s="4">
        <v>396.15100000002337</v>
      </c>
      <c r="J10" s="11">
        <v>7.84</v>
      </c>
      <c r="K10" s="4">
        <f>'Occupied &amp; No. of Guest'!B11</f>
        <v>315</v>
      </c>
      <c r="L10" s="4">
        <f>'Occupied &amp; No. of Guest'!C11</f>
        <v>391</v>
      </c>
    </row>
    <row r="11" spans="1:12" x14ac:dyDescent="0.25">
      <c r="A11" s="9" t="s">
        <v>12</v>
      </c>
      <c r="B11" s="10">
        <f t="shared" si="0"/>
        <v>10</v>
      </c>
      <c r="C11" s="10">
        <v>10</v>
      </c>
      <c r="D11" s="10">
        <v>2021</v>
      </c>
      <c r="E11" s="4">
        <v>42289</v>
      </c>
      <c r="F11" s="11">
        <v>0.2</v>
      </c>
      <c r="G11" s="4">
        <f>LPG!C13</f>
        <v>1635.0538709677419</v>
      </c>
      <c r="H11" s="11">
        <v>1.9499917828494158</v>
      </c>
      <c r="I11" s="4">
        <v>161.31700000001166</v>
      </c>
      <c r="J11" s="11">
        <v>7.84</v>
      </c>
      <c r="K11" s="4">
        <f>'Occupied &amp; No. of Guest'!B12</f>
        <v>355</v>
      </c>
      <c r="L11" s="4">
        <f>'Occupied &amp; No. of Guest'!C12</f>
        <v>438</v>
      </c>
    </row>
    <row r="12" spans="1:12" x14ac:dyDescent="0.25">
      <c r="A12" s="9" t="s">
        <v>12</v>
      </c>
      <c r="B12" s="10">
        <f t="shared" si="0"/>
        <v>11</v>
      </c>
      <c r="C12" s="10">
        <v>10</v>
      </c>
      <c r="D12" s="10">
        <v>2021</v>
      </c>
      <c r="E12" s="4">
        <v>40302</v>
      </c>
      <c r="F12" s="11">
        <v>0.2</v>
      </c>
      <c r="G12" s="4">
        <f>LPG!C14</f>
        <v>1635.0538709677419</v>
      </c>
      <c r="H12" s="11">
        <v>1.9499917828494158</v>
      </c>
      <c r="I12" s="4">
        <v>164.26600000001568</v>
      </c>
      <c r="J12" s="11">
        <v>7.84</v>
      </c>
      <c r="K12" s="4">
        <f>'Occupied &amp; No. of Guest'!B13</f>
        <v>370</v>
      </c>
      <c r="L12" s="4">
        <f>'Occupied &amp; No. of Guest'!C13</f>
        <v>459</v>
      </c>
    </row>
    <row r="13" spans="1:12" x14ac:dyDescent="0.25">
      <c r="A13" s="9" t="s">
        <v>12</v>
      </c>
      <c r="B13" s="10">
        <f t="shared" si="0"/>
        <v>12</v>
      </c>
      <c r="C13" s="10">
        <v>10</v>
      </c>
      <c r="D13" s="10">
        <v>2021</v>
      </c>
      <c r="E13" s="4">
        <v>39486</v>
      </c>
      <c r="F13" s="11">
        <v>0.2</v>
      </c>
      <c r="G13" s="4">
        <f>LPG!C15</f>
        <v>1635.0538709677419</v>
      </c>
      <c r="H13" s="11">
        <v>1.9499917828494158</v>
      </c>
      <c r="I13" s="4">
        <v>161.66099999995581</v>
      </c>
      <c r="J13" s="11">
        <v>7.84</v>
      </c>
      <c r="K13" s="4">
        <f>'Occupied &amp; No. of Guest'!B14</f>
        <v>369</v>
      </c>
      <c r="L13" s="4">
        <f>'Occupied &amp; No. of Guest'!C14</f>
        <v>459</v>
      </c>
    </row>
    <row r="14" spans="1:12" x14ac:dyDescent="0.25">
      <c r="A14" s="9" t="s">
        <v>12</v>
      </c>
      <c r="B14" s="10">
        <f t="shared" si="0"/>
        <v>13</v>
      </c>
      <c r="C14" s="10">
        <v>10</v>
      </c>
      <c r="D14" s="10">
        <v>2021</v>
      </c>
      <c r="E14" s="4">
        <v>37883</v>
      </c>
      <c r="F14" s="11">
        <v>0.2</v>
      </c>
      <c r="G14" s="4">
        <f>LPG!C16</f>
        <v>1635.0538709677419</v>
      </c>
      <c r="H14" s="11">
        <v>1.9499917828494158</v>
      </c>
      <c r="I14" s="4">
        <v>350.19100000002737</v>
      </c>
      <c r="J14" s="11">
        <v>7.84</v>
      </c>
      <c r="K14" s="4">
        <f>'Occupied &amp; No. of Guest'!B15</f>
        <v>360</v>
      </c>
      <c r="L14" s="4">
        <f>'Occupied &amp; No. of Guest'!C15</f>
        <v>452</v>
      </c>
    </row>
    <row r="15" spans="1:12" x14ac:dyDescent="0.25">
      <c r="A15" s="9" t="s">
        <v>12</v>
      </c>
      <c r="B15" s="10">
        <f t="shared" si="0"/>
        <v>14</v>
      </c>
      <c r="C15" s="10">
        <v>10</v>
      </c>
      <c r="D15" s="10">
        <v>2021</v>
      </c>
      <c r="E15" s="4">
        <v>40902</v>
      </c>
      <c r="F15" s="11">
        <v>0.2</v>
      </c>
      <c r="G15" s="4">
        <f>LPG!C17</f>
        <v>1635.0538709677419</v>
      </c>
      <c r="H15" s="11">
        <v>1.9499917828494158</v>
      </c>
      <c r="I15" s="4">
        <v>379.44099999996104</v>
      </c>
      <c r="J15" s="11">
        <v>7.84</v>
      </c>
      <c r="K15" s="4">
        <f>'Occupied &amp; No. of Guest'!B16</f>
        <v>312</v>
      </c>
      <c r="L15" s="4">
        <f>'Occupied &amp; No. of Guest'!C16</f>
        <v>414</v>
      </c>
    </row>
    <row r="16" spans="1:12" x14ac:dyDescent="0.25">
      <c r="A16" s="9" t="s">
        <v>12</v>
      </c>
      <c r="B16" s="10">
        <f t="shared" si="0"/>
        <v>15</v>
      </c>
      <c r="C16" s="10">
        <v>10</v>
      </c>
      <c r="D16" s="10">
        <v>2021</v>
      </c>
      <c r="E16" s="4">
        <v>40881</v>
      </c>
      <c r="F16" s="11">
        <v>0.2</v>
      </c>
      <c r="G16" s="4">
        <f>LPG!C18</f>
        <v>1635.0538709677419</v>
      </c>
      <c r="H16" s="11">
        <v>1.9499917828494158</v>
      </c>
      <c r="I16" s="4">
        <v>326.73900000003488</v>
      </c>
      <c r="J16" s="11">
        <v>7.84</v>
      </c>
      <c r="K16" s="4">
        <f>'Occupied &amp; No. of Guest'!B17</f>
        <v>316</v>
      </c>
      <c r="L16" s="4">
        <f>'Occupied &amp; No. of Guest'!C17</f>
        <v>433</v>
      </c>
    </row>
    <row r="17" spans="1:12" x14ac:dyDescent="0.25">
      <c r="A17" s="9" t="s">
        <v>12</v>
      </c>
      <c r="B17" s="10">
        <f t="shared" si="0"/>
        <v>16</v>
      </c>
      <c r="C17" s="10">
        <v>10</v>
      </c>
      <c r="D17" s="10">
        <v>2021</v>
      </c>
      <c r="E17" s="4">
        <v>40680</v>
      </c>
      <c r="F17" s="11">
        <v>0.2</v>
      </c>
      <c r="G17" s="4">
        <f>LPG!C19</f>
        <v>1635.0538709677419</v>
      </c>
      <c r="H17" s="11">
        <v>1.9499917828494158</v>
      </c>
      <c r="I17" s="4">
        <v>262.59800000000405</v>
      </c>
      <c r="J17" s="11">
        <v>7.84</v>
      </c>
      <c r="K17" s="4">
        <f>'Occupied &amp; No. of Guest'!B18</f>
        <v>323</v>
      </c>
      <c r="L17" s="4">
        <f>'Occupied &amp; No. of Guest'!C18</f>
        <v>412</v>
      </c>
    </row>
    <row r="18" spans="1:12" x14ac:dyDescent="0.25">
      <c r="A18" s="9" t="s">
        <v>12</v>
      </c>
      <c r="B18" s="10">
        <f t="shared" si="0"/>
        <v>17</v>
      </c>
      <c r="C18" s="10">
        <v>10</v>
      </c>
      <c r="D18" s="10">
        <v>2021</v>
      </c>
      <c r="E18" s="4">
        <v>40492</v>
      </c>
      <c r="F18" s="11">
        <v>0.2</v>
      </c>
      <c r="G18" s="4">
        <f>LPG!C20</f>
        <v>1635.0538709677419</v>
      </c>
      <c r="H18" s="11">
        <v>1.9499917828494158</v>
      </c>
      <c r="I18" s="4">
        <v>335.19700000001808</v>
      </c>
      <c r="J18" s="11">
        <v>7.84</v>
      </c>
      <c r="K18" s="4">
        <f>'Occupied &amp; No. of Guest'!B19</f>
        <v>345</v>
      </c>
      <c r="L18" s="4">
        <f>'Occupied &amp; No. of Guest'!C19</f>
        <v>426</v>
      </c>
    </row>
    <row r="19" spans="1:12" x14ac:dyDescent="0.25">
      <c r="A19" s="9" t="s">
        <v>12</v>
      </c>
      <c r="B19" s="10">
        <f t="shared" si="0"/>
        <v>18</v>
      </c>
      <c r="C19" s="10">
        <v>10</v>
      </c>
      <c r="D19" s="10">
        <v>2021</v>
      </c>
      <c r="E19" s="4">
        <v>37903</v>
      </c>
      <c r="F19" s="11">
        <v>0.2</v>
      </c>
      <c r="G19" s="4">
        <f>LPG!C21</f>
        <v>1635.0538709677419</v>
      </c>
      <c r="H19" s="11">
        <v>1.9499917828494158</v>
      </c>
      <c r="I19" s="4">
        <v>94.973999999953406</v>
      </c>
      <c r="J19" s="11">
        <v>7.84</v>
      </c>
      <c r="K19" s="4">
        <f>'Occupied &amp; No. of Guest'!B20</f>
        <v>342</v>
      </c>
      <c r="L19" s="4">
        <f>'Occupied &amp; No. of Guest'!C20</f>
        <v>427</v>
      </c>
    </row>
    <row r="20" spans="1:12" x14ac:dyDescent="0.25">
      <c r="A20" s="9" t="s">
        <v>12</v>
      </c>
      <c r="B20" s="10">
        <f t="shared" si="0"/>
        <v>19</v>
      </c>
      <c r="C20" s="10">
        <v>10</v>
      </c>
      <c r="D20" s="10">
        <v>2021</v>
      </c>
      <c r="E20" s="4">
        <v>39882</v>
      </c>
      <c r="F20" s="11">
        <v>0.2</v>
      </c>
      <c r="G20" s="4">
        <f>LPG!C22</f>
        <v>1635.0538709677419</v>
      </c>
      <c r="H20" s="11">
        <v>1.9499917828494158</v>
      </c>
      <c r="I20" s="4">
        <v>253.1219999999895</v>
      </c>
      <c r="J20" s="11">
        <v>7.84</v>
      </c>
      <c r="K20" s="4">
        <f>'Occupied &amp; No. of Guest'!B21</f>
        <v>355</v>
      </c>
      <c r="L20" s="4">
        <f>'Occupied &amp; No. of Guest'!C21</f>
        <v>451</v>
      </c>
    </row>
    <row r="21" spans="1:12" x14ac:dyDescent="0.25">
      <c r="A21" s="9" t="s">
        <v>12</v>
      </c>
      <c r="B21" s="10">
        <f t="shared" si="0"/>
        <v>20</v>
      </c>
      <c r="C21" s="10">
        <v>10</v>
      </c>
      <c r="D21" s="10">
        <v>2021</v>
      </c>
      <c r="E21" s="4">
        <v>40106</v>
      </c>
      <c r="F21" s="11">
        <v>0.2</v>
      </c>
      <c r="G21" s="4">
        <f>LPG!C23</f>
        <v>1635.0538709677419</v>
      </c>
      <c r="H21" s="11">
        <v>1.9499917828494158</v>
      </c>
      <c r="I21" s="4">
        <v>947.76300000001572</v>
      </c>
      <c r="J21" s="11">
        <v>7.84</v>
      </c>
      <c r="K21" s="4">
        <f>'Occupied &amp; No. of Guest'!B22</f>
        <v>385</v>
      </c>
      <c r="L21" s="4">
        <f>'Occupied &amp; No. of Guest'!C22</f>
        <v>508</v>
      </c>
    </row>
    <row r="22" spans="1:12" x14ac:dyDescent="0.25">
      <c r="A22" s="9" t="s">
        <v>12</v>
      </c>
      <c r="B22" s="10">
        <f t="shared" si="0"/>
        <v>21</v>
      </c>
      <c r="C22" s="10">
        <v>10</v>
      </c>
      <c r="D22" s="10">
        <v>2021</v>
      </c>
      <c r="E22" s="4">
        <v>40092</v>
      </c>
      <c r="F22" s="11">
        <v>0.2</v>
      </c>
      <c r="G22" s="4">
        <f>LPG!C24</f>
        <v>1635.0538709677419</v>
      </c>
      <c r="H22" s="11">
        <v>1.9499917828494158</v>
      </c>
      <c r="I22" s="4">
        <v>267.34100000000763</v>
      </c>
      <c r="J22" s="11">
        <v>7.84</v>
      </c>
      <c r="K22" s="4">
        <f>'Occupied &amp; No. of Guest'!B23</f>
        <v>475</v>
      </c>
      <c r="L22" s="4">
        <f>'Occupied &amp; No. of Guest'!C23</f>
        <v>742</v>
      </c>
    </row>
    <row r="23" spans="1:12" x14ac:dyDescent="0.25">
      <c r="A23" s="9" t="s">
        <v>12</v>
      </c>
      <c r="B23" s="10">
        <f t="shared" si="0"/>
        <v>22</v>
      </c>
      <c r="C23" s="10">
        <v>10</v>
      </c>
      <c r="D23" s="10">
        <v>2021</v>
      </c>
      <c r="E23" s="4">
        <v>40702</v>
      </c>
      <c r="F23" s="11">
        <v>0.2</v>
      </c>
      <c r="G23" s="4">
        <f>LPG!C25</f>
        <v>1635.0538709677419</v>
      </c>
      <c r="H23" s="11">
        <v>1.9499917828494158</v>
      </c>
      <c r="I23" s="4">
        <v>719.83500000002095</v>
      </c>
      <c r="J23" s="11">
        <v>7.84</v>
      </c>
      <c r="K23" s="4">
        <f>'Occupied &amp; No. of Guest'!B24</f>
        <v>435</v>
      </c>
      <c r="L23" s="4">
        <f>'Occupied &amp; No. of Guest'!C24</f>
        <v>617</v>
      </c>
    </row>
    <row r="24" spans="1:12" x14ac:dyDescent="0.25">
      <c r="A24" s="9" t="s">
        <v>12</v>
      </c>
      <c r="B24" s="10">
        <f t="shared" si="0"/>
        <v>23</v>
      </c>
      <c r="C24" s="10">
        <v>10</v>
      </c>
      <c r="D24" s="10">
        <v>2021</v>
      </c>
      <c r="E24" s="4">
        <v>40110</v>
      </c>
      <c r="F24" s="11">
        <v>0.2</v>
      </c>
      <c r="G24" s="4">
        <f>LPG!C26</f>
        <v>1635.0538709677419</v>
      </c>
      <c r="H24" s="11">
        <v>1.9499917828494158</v>
      </c>
      <c r="I24" s="4">
        <v>337.57799999996098</v>
      </c>
      <c r="J24" s="11">
        <v>7.84</v>
      </c>
      <c r="K24" s="4">
        <f>'Occupied &amp; No. of Guest'!B25</f>
        <v>390</v>
      </c>
      <c r="L24" s="4">
        <f>'Occupied &amp; No. of Guest'!C25</f>
        <v>478</v>
      </c>
    </row>
    <row r="25" spans="1:12" x14ac:dyDescent="0.25">
      <c r="A25" s="9" t="s">
        <v>12</v>
      </c>
      <c r="B25" s="10">
        <f t="shared" si="0"/>
        <v>24</v>
      </c>
      <c r="C25" s="10">
        <v>10</v>
      </c>
      <c r="D25" s="10">
        <v>2021</v>
      </c>
      <c r="E25" s="4">
        <v>40899</v>
      </c>
      <c r="F25" s="11">
        <v>0.2</v>
      </c>
      <c r="G25" s="4">
        <f>LPG!C27</f>
        <v>1635.0538709677419</v>
      </c>
      <c r="H25" s="11">
        <v>1.9499917828494158</v>
      </c>
      <c r="I25" s="4">
        <v>448.80900000005067</v>
      </c>
      <c r="J25" s="11">
        <v>7.84</v>
      </c>
      <c r="K25" s="4">
        <f>'Occupied &amp; No. of Guest'!B26</f>
        <v>430</v>
      </c>
      <c r="L25" s="4">
        <f>'Occupied &amp; No. of Guest'!C26</f>
        <v>516</v>
      </c>
    </row>
    <row r="26" spans="1:12" x14ac:dyDescent="0.25">
      <c r="A26" s="9" t="s">
        <v>12</v>
      </c>
      <c r="B26" s="10">
        <f>B25+1</f>
        <v>25</v>
      </c>
      <c r="C26" s="10">
        <v>10</v>
      </c>
      <c r="D26" s="10">
        <v>2021</v>
      </c>
      <c r="E26" s="4">
        <v>39692</v>
      </c>
      <c r="F26" s="11">
        <v>0.2</v>
      </c>
      <c r="G26" s="4">
        <f>LPG!C28</f>
        <v>1635.0538709677419</v>
      </c>
      <c r="H26" s="11">
        <v>1.9499917828494158</v>
      </c>
      <c r="I26" s="4">
        <v>298.67299999999068</v>
      </c>
      <c r="J26" s="11">
        <v>7.84</v>
      </c>
      <c r="K26" s="4">
        <f>'Occupied &amp; No. of Guest'!B27</f>
        <v>443</v>
      </c>
      <c r="L26" s="4">
        <f>'Occupied &amp; No. of Guest'!C27</f>
        <v>525</v>
      </c>
    </row>
    <row r="27" spans="1:12" x14ac:dyDescent="0.25">
      <c r="A27" s="9" t="s">
        <v>12</v>
      </c>
      <c r="B27" s="10">
        <f t="shared" si="0"/>
        <v>26</v>
      </c>
      <c r="C27" s="10">
        <v>10</v>
      </c>
      <c r="D27" s="10">
        <v>2021</v>
      </c>
      <c r="E27" s="4">
        <v>38898</v>
      </c>
      <c r="F27" s="11">
        <v>0.2</v>
      </c>
      <c r="G27" s="4">
        <f>LPG!C29</f>
        <v>1635.0538709677419</v>
      </c>
      <c r="H27" s="11">
        <v>1.9499917828494158</v>
      </c>
      <c r="I27" s="4">
        <v>360.9189999999744</v>
      </c>
      <c r="J27" s="11">
        <v>7.84</v>
      </c>
      <c r="K27" s="4">
        <f>'Occupied &amp; No. of Guest'!B28</f>
        <v>440</v>
      </c>
      <c r="L27" s="4">
        <f>'Occupied &amp; No. of Guest'!C28</f>
        <v>527</v>
      </c>
    </row>
    <row r="28" spans="1:12" x14ac:dyDescent="0.25">
      <c r="A28" s="9" t="s">
        <v>12</v>
      </c>
      <c r="B28" s="10">
        <f t="shared" si="0"/>
        <v>27</v>
      </c>
      <c r="C28" s="10">
        <v>10</v>
      </c>
      <c r="D28" s="10">
        <v>2021</v>
      </c>
      <c r="E28" s="4">
        <v>37500</v>
      </c>
      <c r="F28" s="11">
        <v>0.2</v>
      </c>
      <c r="G28" s="4">
        <f>LPG!C30</f>
        <v>1635.0538709677419</v>
      </c>
      <c r="H28" s="11">
        <v>1.9499917828494158</v>
      </c>
      <c r="I28" s="4">
        <v>365.71399999997902</v>
      </c>
      <c r="J28" s="11">
        <v>7.84</v>
      </c>
      <c r="K28" s="4">
        <f>'Occupied &amp; No. of Guest'!B29</f>
        <v>465</v>
      </c>
      <c r="L28" s="4">
        <f>'Occupied &amp; No. of Guest'!C29</f>
        <v>541</v>
      </c>
    </row>
    <row r="29" spans="1:12" x14ac:dyDescent="0.25">
      <c r="A29" s="9" t="s">
        <v>12</v>
      </c>
      <c r="B29" s="10">
        <f t="shared" si="0"/>
        <v>28</v>
      </c>
      <c r="C29" s="10">
        <v>10</v>
      </c>
      <c r="D29" s="10">
        <v>2021</v>
      </c>
      <c r="E29" s="4">
        <v>37504</v>
      </c>
      <c r="F29" s="11">
        <v>0.2</v>
      </c>
      <c r="G29" s="4">
        <f>LPG!C31</f>
        <v>1635.0538709677419</v>
      </c>
      <c r="H29" s="11">
        <v>1.9499917828494158</v>
      </c>
      <c r="I29" s="4">
        <v>378.92200000004658</v>
      </c>
      <c r="J29" s="11">
        <v>7.84</v>
      </c>
      <c r="K29" s="4">
        <f>'Occupied &amp; No. of Guest'!B30</f>
        <v>396</v>
      </c>
      <c r="L29" s="4">
        <f>'Occupied &amp; No. of Guest'!C30</f>
        <v>481</v>
      </c>
    </row>
    <row r="30" spans="1:12" x14ac:dyDescent="0.25">
      <c r="A30" s="9" t="s">
        <v>12</v>
      </c>
      <c r="B30" s="10">
        <f t="shared" si="0"/>
        <v>29</v>
      </c>
      <c r="C30" s="10">
        <v>10</v>
      </c>
      <c r="D30" s="10">
        <v>2021</v>
      </c>
      <c r="E30" s="4">
        <v>36695</v>
      </c>
      <c r="F30" s="11">
        <v>0.2</v>
      </c>
      <c r="G30" s="4">
        <f>LPG!C32</f>
        <v>1635.0538709677419</v>
      </c>
      <c r="H30" s="11">
        <v>1.9499917828494158</v>
      </c>
      <c r="I30" s="4">
        <v>296.51599999997438</v>
      </c>
      <c r="J30" s="11">
        <v>7.84</v>
      </c>
      <c r="K30" s="4">
        <f>'Occupied &amp; No. of Guest'!B31</f>
        <v>402</v>
      </c>
      <c r="L30" s="4">
        <f>'Occupied &amp; No. of Guest'!C31</f>
        <v>508</v>
      </c>
    </row>
    <row r="31" spans="1:12" x14ac:dyDescent="0.25">
      <c r="A31" s="9" t="s">
        <v>12</v>
      </c>
      <c r="B31" s="10">
        <f t="shared" si="0"/>
        <v>30</v>
      </c>
      <c r="C31" s="10">
        <v>10</v>
      </c>
      <c r="D31" s="10">
        <v>2021</v>
      </c>
      <c r="E31" s="4">
        <v>36697</v>
      </c>
      <c r="F31" s="11">
        <v>0.2</v>
      </c>
      <c r="G31" s="4">
        <f>LPG!C33</f>
        <v>1635.0538709677419</v>
      </c>
      <c r="H31" s="11">
        <v>1.9499917828494158</v>
      </c>
      <c r="I31" s="4">
        <v>346.70699999997908</v>
      </c>
      <c r="J31" s="11">
        <v>7.84</v>
      </c>
      <c r="K31" s="4">
        <f>'Occupied &amp; No. of Guest'!B32</f>
        <v>396</v>
      </c>
      <c r="L31" s="4">
        <f>'Occupied &amp; No. of Guest'!C32</f>
        <v>493</v>
      </c>
    </row>
    <row r="32" spans="1:12" x14ac:dyDescent="0.25">
      <c r="A32" s="9" t="s">
        <v>12</v>
      </c>
      <c r="B32" s="10">
        <f t="shared" si="0"/>
        <v>31</v>
      </c>
      <c r="C32" s="10">
        <v>10</v>
      </c>
      <c r="D32" s="10">
        <v>2021</v>
      </c>
      <c r="E32" s="4">
        <v>36092</v>
      </c>
      <c r="F32" s="11">
        <v>0.2</v>
      </c>
      <c r="G32" s="4">
        <f>LPG!C34</f>
        <v>1635.0538709677419</v>
      </c>
      <c r="H32" s="11">
        <v>1.9499917828494158</v>
      </c>
      <c r="I32" s="4">
        <v>362.339</v>
      </c>
      <c r="J32" s="11">
        <v>7.84</v>
      </c>
      <c r="K32" s="4">
        <f>'Occupied &amp; No. of Guest'!B33</f>
        <v>410</v>
      </c>
      <c r="L32" s="4">
        <f>'Occupied &amp; No. of Guest'!C33</f>
        <v>501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E12" sqref="E12:AI1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5" t="s">
        <v>13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</row>
    <row r="3" spans="1:67" s="14" customFormat="1" ht="29.25" customHeight="1" thickBot="1" x14ac:dyDescent="0.3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</row>
    <row r="4" spans="1:67" ht="39" thickBot="1" x14ac:dyDescent="0.25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67">
        <v>1</v>
      </c>
      <c r="B5" s="20" t="s">
        <v>18</v>
      </c>
      <c r="C5" s="69" t="s">
        <v>19</v>
      </c>
      <c r="D5" s="21">
        <v>82155</v>
      </c>
      <c r="E5" s="21">
        <v>82177</v>
      </c>
      <c r="F5" s="21">
        <v>82199</v>
      </c>
      <c r="G5" s="21">
        <v>82222</v>
      </c>
      <c r="H5" s="21">
        <v>82243</v>
      </c>
      <c r="I5" s="21">
        <v>82266</v>
      </c>
      <c r="J5" s="21">
        <v>82288</v>
      </c>
      <c r="K5" s="21">
        <v>82311</v>
      </c>
      <c r="L5" s="21">
        <v>82334</v>
      </c>
      <c r="M5" s="21">
        <v>82357</v>
      </c>
      <c r="N5" s="21">
        <v>82379</v>
      </c>
      <c r="O5" s="21">
        <v>82401</v>
      </c>
      <c r="P5" s="21">
        <v>82423</v>
      </c>
      <c r="Q5" s="21">
        <v>82445</v>
      </c>
      <c r="R5" s="21">
        <v>82468</v>
      </c>
      <c r="S5" s="21">
        <v>82491</v>
      </c>
      <c r="T5" s="21">
        <v>82513</v>
      </c>
      <c r="U5" s="21">
        <v>82536</v>
      </c>
      <c r="V5" s="21">
        <v>82558</v>
      </c>
      <c r="W5" s="21">
        <v>82580</v>
      </c>
      <c r="X5" s="21">
        <v>82603</v>
      </c>
      <c r="Y5" s="21">
        <v>82626</v>
      </c>
      <c r="Z5" s="21">
        <v>82650</v>
      </c>
      <c r="AA5" s="21">
        <v>82673</v>
      </c>
      <c r="AB5" s="21">
        <v>82696</v>
      </c>
      <c r="AC5" s="21">
        <v>82719</v>
      </c>
      <c r="AD5" s="21">
        <v>82742</v>
      </c>
      <c r="AE5" s="21">
        <v>82764</v>
      </c>
      <c r="AF5" s="21">
        <v>82786</v>
      </c>
      <c r="AG5" s="21">
        <v>82808</v>
      </c>
      <c r="AH5" s="21">
        <v>82830</v>
      </c>
      <c r="AI5" s="21">
        <v>82851</v>
      </c>
    </row>
    <row r="6" spans="1:67" s="24" customFormat="1" ht="21.75" customHeight="1" x14ac:dyDescent="0.2">
      <c r="A6" s="68"/>
      <c r="B6" s="22"/>
      <c r="C6" s="70"/>
      <c r="D6" s="23"/>
      <c r="E6" s="23">
        <f>(E5-D5)*1000</f>
        <v>22000</v>
      </c>
      <c r="F6" s="23">
        <f t="shared" ref="F6:AI6" si="0">(F5-E5)*1000</f>
        <v>22000</v>
      </c>
      <c r="G6" s="23">
        <f t="shared" si="0"/>
        <v>23000</v>
      </c>
      <c r="H6" s="23">
        <f t="shared" si="0"/>
        <v>21000</v>
      </c>
      <c r="I6" s="23">
        <f t="shared" si="0"/>
        <v>23000</v>
      </c>
      <c r="J6" s="23">
        <f t="shared" si="0"/>
        <v>22000</v>
      </c>
      <c r="K6" s="23">
        <f t="shared" si="0"/>
        <v>23000</v>
      </c>
      <c r="L6" s="23">
        <f t="shared" si="0"/>
        <v>23000</v>
      </c>
      <c r="M6" s="23">
        <f t="shared" si="0"/>
        <v>23000</v>
      </c>
      <c r="N6" s="23">
        <f t="shared" si="0"/>
        <v>22000</v>
      </c>
      <c r="O6" s="23">
        <f t="shared" si="0"/>
        <v>22000</v>
      </c>
      <c r="P6" s="23">
        <f t="shared" si="0"/>
        <v>22000</v>
      </c>
      <c r="Q6" s="23">
        <f t="shared" si="0"/>
        <v>22000</v>
      </c>
      <c r="R6" s="23">
        <f t="shared" si="0"/>
        <v>23000</v>
      </c>
      <c r="S6" s="23">
        <f t="shared" si="0"/>
        <v>23000</v>
      </c>
      <c r="T6" s="23">
        <f t="shared" si="0"/>
        <v>22000</v>
      </c>
      <c r="U6" s="23">
        <f t="shared" si="0"/>
        <v>23000</v>
      </c>
      <c r="V6" s="23">
        <f t="shared" si="0"/>
        <v>22000</v>
      </c>
      <c r="W6" s="23">
        <f t="shared" si="0"/>
        <v>22000</v>
      </c>
      <c r="X6" s="23">
        <f t="shared" si="0"/>
        <v>23000</v>
      </c>
      <c r="Y6" s="23">
        <f t="shared" si="0"/>
        <v>23000</v>
      </c>
      <c r="Z6" s="23">
        <f t="shared" si="0"/>
        <v>24000</v>
      </c>
      <c r="AA6" s="23">
        <f t="shared" si="0"/>
        <v>23000</v>
      </c>
      <c r="AB6" s="23">
        <f t="shared" si="0"/>
        <v>23000</v>
      </c>
      <c r="AC6" s="23">
        <f t="shared" si="0"/>
        <v>23000</v>
      </c>
      <c r="AD6" s="23">
        <f t="shared" si="0"/>
        <v>23000</v>
      </c>
      <c r="AE6" s="23">
        <f t="shared" si="0"/>
        <v>22000</v>
      </c>
      <c r="AF6" s="23">
        <f t="shared" si="0"/>
        <v>22000</v>
      </c>
      <c r="AG6" s="23">
        <f t="shared" si="0"/>
        <v>22000</v>
      </c>
      <c r="AH6" s="23">
        <f t="shared" si="0"/>
        <v>22000</v>
      </c>
      <c r="AI6" s="23">
        <f t="shared" si="0"/>
        <v>21000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1">
        <v>2</v>
      </c>
      <c r="B7" s="25" t="s">
        <v>20</v>
      </c>
      <c r="C7" s="73" t="s">
        <v>21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x14ac:dyDescent="0.2">
      <c r="A8" s="72"/>
      <c r="B8" s="22"/>
      <c r="C8" s="70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8">
        <v>3</v>
      </c>
      <c r="B9" s="36" t="s">
        <v>22</v>
      </c>
      <c r="C9" s="80" t="s">
        <v>23</v>
      </c>
      <c r="D9" s="21">
        <v>95727</v>
      </c>
      <c r="E9" s="21">
        <v>95767</v>
      </c>
      <c r="F9" s="21">
        <v>95799</v>
      </c>
      <c r="G9" s="21">
        <v>95826</v>
      </c>
      <c r="H9" s="21">
        <v>95848</v>
      </c>
      <c r="I9" s="21">
        <v>95870</v>
      </c>
      <c r="J9" s="21">
        <v>95891</v>
      </c>
      <c r="K9" s="21">
        <v>95904</v>
      </c>
      <c r="L9" s="21">
        <v>95925</v>
      </c>
      <c r="M9" s="21">
        <v>95948</v>
      </c>
      <c r="N9" s="21">
        <v>95977</v>
      </c>
      <c r="O9" s="21">
        <v>95997</v>
      </c>
      <c r="P9" s="21">
        <v>96009</v>
      </c>
      <c r="Q9" s="21">
        <v>96028</v>
      </c>
      <c r="R9" s="21">
        <v>96053</v>
      </c>
      <c r="S9" s="21">
        <v>96077</v>
      </c>
      <c r="T9" s="21">
        <v>96100</v>
      </c>
      <c r="U9" s="21">
        <v>96131</v>
      </c>
      <c r="V9" s="21">
        <v>96166</v>
      </c>
      <c r="W9" s="21">
        <v>96199</v>
      </c>
      <c r="X9" s="21">
        <v>96220</v>
      </c>
      <c r="Y9" s="21">
        <v>96241</v>
      </c>
      <c r="Z9" s="21">
        <v>96262</v>
      </c>
      <c r="AA9" s="21">
        <v>96284</v>
      </c>
      <c r="AB9" s="21">
        <v>96306</v>
      </c>
      <c r="AC9" s="21">
        <v>96324</v>
      </c>
      <c r="AD9" s="21">
        <v>96341</v>
      </c>
      <c r="AE9" s="21">
        <v>96358</v>
      </c>
      <c r="AF9" s="21">
        <v>96375</v>
      </c>
      <c r="AG9" s="21">
        <v>96404</v>
      </c>
      <c r="AH9" s="21">
        <v>96424</v>
      </c>
      <c r="AI9" s="21">
        <v>96440</v>
      </c>
    </row>
    <row r="10" spans="1:67" s="24" customFormat="1" ht="21.75" customHeight="1" x14ac:dyDescent="0.2">
      <c r="A10" s="79"/>
      <c r="B10" s="37"/>
      <c r="C10" s="77"/>
      <c r="D10" s="23"/>
      <c r="E10" s="23">
        <f>(E9-D9)*1000</f>
        <v>40000</v>
      </c>
      <c r="F10" s="23">
        <f t="shared" ref="F10" si="31">(F9-E9)*1000</f>
        <v>32000</v>
      </c>
      <c r="G10" s="23">
        <f t="shared" ref="G10" si="32">(G9-F9)*1000</f>
        <v>27000</v>
      </c>
      <c r="H10" s="23">
        <f t="shared" ref="H10" si="33">(H9-G9)*1000</f>
        <v>22000</v>
      </c>
      <c r="I10" s="23">
        <f t="shared" ref="I10" si="34">(I9-H9)*1000</f>
        <v>22000</v>
      </c>
      <c r="J10" s="23">
        <f t="shared" ref="J10" si="35">(J9-I9)*1000</f>
        <v>21000</v>
      </c>
      <c r="K10" s="23">
        <f t="shared" ref="K10" si="36">(K9-J9)*1000</f>
        <v>13000</v>
      </c>
      <c r="L10" s="23">
        <f t="shared" ref="L10" si="37">(L9-K9)*1000</f>
        <v>21000</v>
      </c>
      <c r="M10" s="23">
        <f t="shared" ref="M10" si="38">(M9-L9)*1000</f>
        <v>23000</v>
      </c>
      <c r="N10" s="23">
        <f t="shared" ref="N10" si="39">(N9-M9)*1000</f>
        <v>29000</v>
      </c>
      <c r="O10" s="23">
        <f t="shared" ref="O10" si="40">(O9-N9)*1000</f>
        <v>20000</v>
      </c>
      <c r="P10" s="23">
        <f t="shared" ref="P10" si="41">(P9-O9)*1000</f>
        <v>12000</v>
      </c>
      <c r="Q10" s="23">
        <f t="shared" ref="Q10" si="42">(Q9-P9)*1000</f>
        <v>19000</v>
      </c>
      <c r="R10" s="23">
        <f t="shared" ref="R10" si="43">(R9-Q9)*1000</f>
        <v>25000</v>
      </c>
      <c r="S10" s="23">
        <f t="shared" ref="S10" si="44">(S9-R9)*1000</f>
        <v>24000</v>
      </c>
      <c r="T10" s="23">
        <f t="shared" ref="T10" si="45">(T9-S9)*1000</f>
        <v>23000</v>
      </c>
      <c r="U10" s="23">
        <f t="shared" ref="U10" si="46">(U9-T9)*1000</f>
        <v>31000</v>
      </c>
      <c r="V10" s="23">
        <f t="shared" ref="V10" si="47">(V9-U9)*1000</f>
        <v>35000</v>
      </c>
      <c r="W10" s="23">
        <f t="shared" ref="W10" si="48">(W9-V9)*1000</f>
        <v>33000</v>
      </c>
      <c r="X10" s="23">
        <f t="shared" ref="X10" si="49">(X9-W9)*1000</f>
        <v>21000</v>
      </c>
      <c r="Y10" s="23">
        <f t="shared" ref="Y10" si="50">(Y9-X9)*1000</f>
        <v>21000</v>
      </c>
      <c r="Z10" s="23">
        <f t="shared" ref="Z10" si="51">(Z9-Y9)*1000</f>
        <v>21000</v>
      </c>
      <c r="AA10" s="23">
        <f t="shared" ref="AA10" si="52">(AA9-Z9)*1000</f>
        <v>22000</v>
      </c>
      <c r="AB10" s="23">
        <f t="shared" ref="AB10" si="53">(AB9-AA9)*1000</f>
        <v>22000</v>
      </c>
      <c r="AC10" s="23">
        <f t="shared" ref="AC10" si="54">(AC9-AB9)*1000</f>
        <v>18000</v>
      </c>
      <c r="AD10" s="23">
        <f t="shared" ref="AD10" si="55">(AD9-AC9)*1000</f>
        <v>17000</v>
      </c>
      <c r="AE10" s="23">
        <f t="shared" ref="AE10" si="56">(AE9-AD9)*1000</f>
        <v>17000</v>
      </c>
      <c r="AF10" s="23">
        <f t="shared" ref="AF10" si="57">(AF9-AE9)*1000</f>
        <v>17000</v>
      </c>
      <c r="AG10" s="23">
        <f t="shared" ref="AG10" si="58">(AG9-AF9)*1000</f>
        <v>29000</v>
      </c>
      <c r="AH10" s="23">
        <f t="shared" ref="AH10" si="59">(AH9-AG9)*1000</f>
        <v>20000</v>
      </c>
      <c r="AI10" s="23">
        <f t="shared" ref="AI10" si="60">(AI9-AH9)*1000</f>
        <v>16000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4">
        <v>4</v>
      </c>
      <c r="B11" s="36" t="s">
        <v>24</v>
      </c>
      <c r="C11" s="80" t="s">
        <v>25</v>
      </c>
      <c r="D11" s="21">
        <v>81804</v>
      </c>
      <c r="E11" s="21">
        <v>81817</v>
      </c>
      <c r="F11" s="21">
        <v>81838</v>
      </c>
      <c r="G11" s="21">
        <v>81858</v>
      </c>
      <c r="H11" s="21">
        <v>81878</v>
      </c>
      <c r="I11" s="21">
        <v>81902</v>
      </c>
      <c r="J11" s="21">
        <v>81929</v>
      </c>
      <c r="K11" s="21">
        <v>81963</v>
      </c>
      <c r="L11" s="21">
        <v>81987</v>
      </c>
      <c r="M11" s="21">
        <v>82018</v>
      </c>
      <c r="N11" s="21">
        <v>82039</v>
      </c>
      <c r="O11" s="21">
        <v>82064</v>
      </c>
      <c r="P11" s="21">
        <v>82095</v>
      </c>
      <c r="Q11" s="21">
        <v>82115</v>
      </c>
      <c r="R11" s="21">
        <v>82134</v>
      </c>
      <c r="S11" s="21">
        <v>82154</v>
      </c>
      <c r="T11" s="21">
        <v>82177</v>
      </c>
      <c r="U11" s="21">
        <v>82189</v>
      </c>
      <c r="V11" s="21">
        <v>82193</v>
      </c>
      <c r="W11" s="21">
        <v>82204</v>
      </c>
      <c r="X11" s="21">
        <v>82225</v>
      </c>
      <c r="Y11" s="21">
        <v>82246</v>
      </c>
      <c r="Z11" s="21">
        <v>82266</v>
      </c>
      <c r="AA11" s="21">
        <v>82286</v>
      </c>
      <c r="AB11" s="21">
        <v>82308</v>
      </c>
      <c r="AC11" s="21">
        <v>82331</v>
      </c>
      <c r="AD11" s="21">
        <v>82353</v>
      </c>
      <c r="AE11" s="21">
        <v>82374</v>
      </c>
      <c r="AF11" s="21">
        <v>82395</v>
      </c>
      <c r="AG11" s="21">
        <v>82402</v>
      </c>
      <c r="AH11" s="21">
        <v>82418</v>
      </c>
      <c r="AI11" s="21">
        <v>82439</v>
      </c>
    </row>
    <row r="12" spans="1:67" s="38" customFormat="1" ht="21.75" customHeight="1" x14ac:dyDescent="0.2">
      <c r="A12" s="75"/>
      <c r="B12" s="37"/>
      <c r="C12" s="77"/>
      <c r="D12" s="23"/>
      <c r="E12" s="23">
        <f>(E11-D11)*1000</f>
        <v>13000</v>
      </c>
      <c r="F12" s="23">
        <f t="shared" ref="F12" si="61">(F11-E11)*1000</f>
        <v>21000</v>
      </c>
      <c r="G12" s="23">
        <f t="shared" ref="G12" si="62">(G11-F11)*1000</f>
        <v>20000</v>
      </c>
      <c r="H12" s="23">
        <f t="shared" ref="H12" si="63">(H11-G11)*1000</f>
        <v>20000</v>
      </c>
      <c r="I12" s="23">
        <f t="shared" ref="I12" si="64">(I11-H11)*1000</f>
        <v>24000</v>
      </c>
      <c r="J12" s="23">
        <f t="shared" ref="J12" si="65">(J11-I11)*1000</f>
        <v>27000</v>
      </c>
      <c r="K12" s="23">
        <f t="shared" ref="K12" si="66">(K11-J11)*1000</f>
        <v>34000</v>
      </c>
      <c r="L12" s="23">
        <f t="shared" ref="L12" si="67">(L11-K11)*1000</f>
        <v>24000</v>
      </c>
      <c r="M12" s="23">
        <f t="shared" ref="M12" si="68">(M11-L11)*1000</f>
        <v>31000</v>
      </c>
      <c r="N12" s="23">
        <f t="shared" ref="N12" si="69">(N11-M11)*1000</f>
        <v>21000</v>
      </c>
      <c r="O12" s="23">
        <f t="shared" ref="O12" si="70">(O11-N11)*1000</f>
        <v>25000</v>
      </c>
      <c r="P12" s="23">
        <f t="shared" ref="P12" si="71">(P11-O11)*1000</f>
        <v>31000</v>
      </c>
      <c r="Q12" s="23">
        <f t="shared" ref="Q12" si="72">(Q11-P11)*1000</f>
        <v>20000</v>
      </c>
      <c r="R12" s="23">
        <f t="shared" ref="R12" si="73">(R11-Q11)*1000</f>
        <v>19000</v>
      </c>
      <c r="S12" s="23">
        <f t="shared" ref="S12" si="74">(S11-R11)*1000</f>
        <v>20000</v>
      </c>
      <c r="T12" s="23">
        <f t="shared" ref="T12" si="75">(T11-S11)*1000</f>
        <v>23000</v>
      </c>
      <c r="U12" s="23">
        <f t="shared" ref="U12" si="76">(U11-T11)*1000</f>
        <v>12000</v>
      </c>
      <c r="V12" s="23">
        <f t="shared" ref="V12" si="77">(V11-U11)*1000</f>
        <v>4000</v>
      </c>
      <c r="W12" s="23">
        <f t="shared" ref="W12" si="78">(W11-V11)*1000</f>
        <v>11000</v>
      </c>
      <c r="X12" s="23">
        <f t="shared" ref="X12" si="79">(X11-W11)*1000</f>
        <v>21000</v>
      </c>
      <c r="Y12" s="23">
        <f t="shared" ref="Y12" si="80">(Y11-X11)*1000</f>
        <v>21000</v>
      </c>
      <c r="Z12" s="23">
        <f t="shared" ref="Z12" si="81">(Z11-Y11)*1000</f>
        <v>20000</v>
      </c>
      <c r="AA12" s="23">
        <f t="shared" ref="AA12" si="82">(AA11-Z11)*1000</f>
        <v>20000</v>
      </c>
      <c r="AB12" s="23">
        <f t="shared" ref="AB12" si="83">(AB11-AA11)*1000</f>
        <v>22000</v>
      </c>
      <c r="AC12" s="23">
        <f t="shared" ref="AC12" si="84">(AC11-AB11)*1000</f>
        <v>23000</v>
      </c>
      <c r="AD12" s="23">
        <f t="shared" ref="AD12" si="85">(AD11-AC11)*1000</f>
        <v>22000</v>
      </c>
      <c r="AE12" s="23">
        <f t="shared" ref="AE12" si="86">(AE11-AD11)*1000</f>
        <v>21000</v>
      </c>
      <c r="AF12" s="23">
        <f t="shared" ref="AF12" si="87">(AF11-AE11)*1000</f>
        <v>21000</v>
      </c>
      <c r="AG12" s="23">
        <f t="shared" ref="AG12" si="88">(AG11-AF11)*1000</f>
        <v>7000</v>
      </c>
      <c r="AH12" s="23">
        <f t="shared" ref="AH12" si="89">(AH11-AG11)*1000</f>
        <v>16000</v>
      </c>
      <c r="AI12" s="23">
        <f t="shared" ref="AI12" si="90">(AI11-AH11)*1000</f>
        <v>21000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8">
        <v>7</v>
      </c>
      <c r="B13" s="39" t="s">
        <v>26</v>
      </c>
      <c r="C13" s="76" t="s">
        <v>27</v>
      </c>
      <c r="D13" s="40">
        <v>3075</v>
      </c>
      <c r="E13" s="40">
        <v>3075</v>
      </c>
      <c r="F13" s="40">
        <v>3075</v>
      </c>
      <c r="G13" s="40">
        <v>3075</v>
      </c>
      <c r="H13" s="40">
        <v>3075</v>
      </c>
      <c r="I13" s="40">
        <v>3075</v>
      </c>
      <c r="J13" s="40">
        <v>3075</v>
      </c>
      <c r="K13" s="40">
        <v>3075</v>
      </c>
      <c r="L13" s="40">
        <v>3075</v>
      </c>
      <c r="M13" s="40">
        <v>3075</v>
      </c>
      <c r="N13" s="40">
        <v>3075</v>
      </c>
      <c r="O13" s="40">
        <v>3075</v>
      </c>
      <c r="P13" s="40">
        <v>3075</v>
      </c>
      <c r="Q13" s="40">
        <v>3075</v>
      </c>
      <c r="R13" s="40">
        <v>3075</v>
      </c>
      <c r="S13" s="40">
        <v>3075</v>
      </c>
      <c r="T13" s="40">
        <v>3075</v>
      </c>
      <c r="U13" s="40">
        <v>3075</v>
      </c>
      <c r="V13" s="40">
        <v>3075</v>
      </c>
      <c r="W13" s="40">
        <v>3075</v>
      </c>
      <c r="X13" s="40">
        <v>3075</v>
      </c>
      <c r="Y13" s="40">
        <v>3078</v>
      </c>
      <c r="Z13" s="40">
        <v>3078</v>
      </c>
      <c r="AA13" s="40">
        <v>3078</v>
      </c>
      <c r="AB13" s="40">
        <v>3078</v>
      </c>
      <c r="AC13" s="40">
        <v>3078</v>
      </c>
      <c r="AD13" s="40">
        <v>3078</v>
      </c>
      <c r="AE13" s="40">
        <v>3078</v>
      </c>
      <c r="AF13" s="40">
        <v>3078</v>
      </c>
      <c r="AG13" s="40">
        <v>3078</v>
      </c>
      <c r="AH13" s="40">
        <v>3078</v>
      </c>
      <c r="AI13" s="40">
        <v>3078</v>
      </c>
    </row>
    <row r="14" spans="1:67" s="24" customFormat="1" ht="21.75" customHeight="1" x14ac:dyDescent="0.2">
      <c r="A14" s="79"/>
      <c r="B14" s="41"/>
      <c r="C14" s="77"/>
      <c r="D14" s="42"/>
      <c r="E14" s="42">
        <f t="shared" ref="E14:AI14" si="91">E13-D13</f>
        <v>0</v>
      </c>
      <c r="F14" s="42">
        <f t="shared" si="91"/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f t="shared" si="91"/>
        <v>0</v>
      </c>
      <c r="S14" s="42">
        <f t="shared" si="91"/>
        <v>0</v>
      </c>
      <c r="T14" s="42">
        <f t="shared" si="91"/>
        <v>0</v>
      </c>
      <c r="U14" s="42">
        <f t="shared" si="91"/>
        <v>0</v>
      </c>
      <c r="V14" s="42">
        <f t="shared" si="91"/>
        <v>0</v>
      </c>
      <c r="W14" s="42">
        <f t="shared" si="91"/>
        <v>0</v>
      </c>
      <c r="X14" s="42">
        <f t="shared" si="91"/>
        <v>0</v>
      </c>
      <c r="Y14" s="42">
        <f t="shared" si="91"/>
        <v>3</v>
      </c>
      <c r="Z14" s="42">
        <f t="shared" si="91"/>
        <v>0</v>
      </c>
      <c r="AA14" s="42">
        <f t="shared" si="91"/>
        <v>0</v>
      </c>
      <c r="AB14" s="42">
        <f t="shared" si="91"/>
        <v>0</v>
      </c>
      <c r="AC14" s="42">
        <f t="shared" si="91"/>
        <v>0</v>
      </c>
      <c r="AD14" s="42">
        <f t="shared" si="91"/>
        <v>0</v>
      </c>
      <c r="AE14" s="42">
        <f t="shared" si="91"/>
        <v>0</v>
      </c>
      <c r="AF14" s="42">
        <f t="shared" si="91"/>
        <v>0</v>
      </c>
      <c r="AG14" s="42">
        <f t="shared" si="91"/>
        <v>0</v>
      </c>
      <c r="AH14" s="42">
        <f t="shared" si="91"/>
        <v>0</v>
      </c>
      <c r="AI14" s="42">
        <f t="shared" si="91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4">
        <v>8</v>
      </c>
      <c r="B15" s="39" t="s">
        <v>28</v>
      </c>
      <c r="C15" s="76" t="s">
        <v>29</v>
      </c>
      <c r="D15" s="40">
        <v>348</v>
      </c>
      <c r="E15" s="40">
        <v>348</v>
      </c>
      <c r="F15" s="40">
        <v>348</v>
      </c>
      <c r="G15" s="40">
        <v>348</v>
      </c>
      <c r="H15" s="40">
        <v>348</v>
      </c>
      <c r="I15" s="40">
        <v>348</v>
      </c>
      <c r="J15" s="40">
        <v>348</v>
      </c>
      <c r="K15" s="40">
        <v>348</v>
      </c>
      <c r="L15" s="40">
        <v>348</v>
      </c>
      <c r="M15" s="40">
        <v>349</v>
      </c>
      <c r="N15" s="40">
        <v>349</v>
      </c>
      <c r="O15" s="40">
        <v>349</v>
      </c>
      <c r="P15" s="40">
        <v>349</v>
      </c>
      <c r="Q15" s="40">
        <v>349</v>
      </c>
      <c r="R15" s="40">
        <v>349</v>
      </c>
      <c r="S15" s="40">
        <v>349</v>
      </c>
      <c r="T15" s="40">
        <v>349</v>
      </c>
      <c r="U15" s="40">
        <v>349</v>
      </c>
      <c r="V15" s="40">
        <v>349</v>
      </c>
      <c r="W15" s="40">
        <v>349</v>
      </c>
      <c r="X15" s="40">
        <v>349</v>
      </c>
      <c r="Y15" s="40">
        <v>349</v>
      </c>
      <c r="Z15" s="40">
        <v>350</v>
      </c>
      <c r="AA15" s="40">
        <v>350</v>
      </c>
      <c r="AB15" s="40">
        <v>350</v>
      </c>
      <c r="AC15" s="40">
        <v>350</v>
      </c>
      <c r="AD15" s="40">
        <v>350</v>
      </c>
      <c r="AE15" s="40">
        <v>350</v>
      </c>
      <c r="AF15" s="40">
        <v>350</v>
      </c>
      <c r="AG15" s="40">
        <v>350</v>
      </c>
      <c r="AH15" s="40">
        <v>350</v>
      </c>
      <c r="AI15" s="40">
        <v>350</v>
      </c>
    </row>
    <row r="16" spans="1:67" s="24" customFormat="1" ht="21.75" customHeight="1" x14ac:dyDescent="0.2">
      <c r="A16" s="75"/>
      <c r="B16" s="41"/>
      <c r="C16" s="77"/>
      <c r="D16" s="42"/>
      <c r="E16" s="42">
        <f>E15-D15</f>
        <v>0</v>
      </c>
      <c r="F16" s="42">
        <f t="shared" ref="F16:AI16" si="92">F15-E15</f>
        <v>0</v>
      </c>
      <c r="G16" s="42">
        <f t="shared" si="92"/>
        <v>0</v>
      </c>
      <c r="H16" s="42">
        <f t="shared" si="92"/>
        <v>0</v>
      </c>
      <c r="I16" s="42">
        <f t="shared" si="92"/>
        <v>0</v>
      </c>
      <c r="J16" s="42">
        <f t="shared" si="92"/>
        <v>0</v>
      </c>
      <c r="K16" s="42">
        <f t="shared" si="92"/>
        <v>0</v>
      </c>
      <c r="L16" s="42">
        <f t="shared" si="92"/>
        <v>0</v>
      </c>
      <c r="M16" s="42">
        <f t="shared" si="92"/>
        <v>1</v>
      </c>
      <c r="N16" s="42">
        <f t="shared" si="92"/>
        <v>0</v>
      </c>
      <c r="O16" s="42">
        <f t="shared" si="92"/>
        <v>0</v>
      </c>
      <c r="P16" s="42">
        <f t="shared" si="92"/>
        <v>0</v>
      </c>
      <c r="Q16" s="42">
        <f t="shared" si="92"/>
        <v>0</v>
      </c>
      <c r="R16" s="42">
        <f t="shared" si="92"/>
        <v>0</v>
      </c>
      <c r="S16" s="42">
        <f t="shared" si="92"/>
        <v>0</v>
      </c>
      <c r="T16" s="42">
        <f t="shared" si="92"/>
        <v>0</v>
      </c>
      <c r="U16" s="42">
        <f t="shared" si="92"/>
        <v>0</v>
      </c>
      <c r="V16" s="42">
        <f t="shared" si="92"/>
        <v>0</v>
      </c>
      <c r="W16" s="42">
        <f t="shared" si="92"/>
        <v>0</v>
      </c>
      <c r="X16" s="42">
        <f t="shared" si="92"/>
        <v>0</v>
      </c>
      <c r="Y16" s="42">
        <f t="shared" si="92"/>
        <v>0</v>
      </c>
      <c r="Z16" s="42">
        <f t="shared" si="92"/>
        <v>1</v>
      </c>
      <c r="AA16" s="42">
        <f t="shared" si="92"/>
        <v>0</v>
      </c>
      <c r="AB16" s="42">
        <f t="shared" si="92"/>
        <v>0</v>
      </c>
      <c r="AC16" s="42">
        <f t="shared" si="92"/>
        <v>0</v>
      </c>
      <c r="AD16" s="42">
        <f t="shared" si="92"/>
        <v>0</v>
      </c>
      <c r="AE16" s="42">
        <f t="shared" si="92"/>
        <v>0</v>
      </c>
      <c r="AF16" s="42">
        <f t="shared" si="92"/>
        <v>0</v>
      </c>
      <c r="AG16" s="42">
        <f t="shared" si="92"/>
        <v>0</v>
      </c>
      <c r="AH16" s="42">
        <f t="shared" si="92"/>
        <v>0</v>
      </c>
      <c r="AI16" s="42">
        <f t="shared" si="92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4">
        <v>13</v>
      </c>
      <c r="B17" s="39" t="s">
        <v>30</v>
      </c>
      <c r="C17" s="76" t="s">
        <v>31</v>
      </c>
      <c r="D17" s="40">
        <v>1148202</v>
      </c>
      <c r="E17" s="40">
        <v>1148369</v>
      </c>
      <c r="F17" s="40">
        <v>1148530</v>
      </c>
      <c r="G17" s="40">
        <v>1148696</v>
      </c>
      <c r="H17" s="40">
        <v>1148861</v>
      </c>
      <c r="I17" s="40">
        <v>1149017</v>
      </c>
      <c r="J17" s="40">
        <v>1149246</v>
      </c>
      <c r="K17" s="40">
        <v>1149452</v>
      </c>
      <c r="L17" s="40">
        <v>1149716</v>
      </c>
      <c r="M17" s="40">
        <v>1149972</v>
      </c>
      <c r="N17" s="40">
        <v>1150219</v>
      </c>
      <c r="O17" s="40">
        <v>1150478</v>
      </c>
      <c r="P17" s="40">
        <v>1150723</v>
      </c>
      <c r="Q17" s="40">
        <v>1150963</v>
      </c>
      <c r="R17" s="40">
        <v>1151226</v>
      </c>
      <c r="S17" s="40">
        <v>1151466</v>
      </c>
      <c r="T17" s="40">
        <v>1151703</v>
      </c>
      <c r="U17" s="40">
        <v>1151952</v>
      </c>
      <c r="V17" s="40">
        <v>1152212</v>
      </c>
      <c r="W17" s="40">
        <v>1152453</v>
      </c>
      <c r="X17" s="40">
        <v>1152715</v>
      </c>
      <c r="Y17" s="40">
        <v>1152959</v>
      </c>
      <c r="Z17" s="40">
        <v>1153217</v>
      </c>
      <c r="AA17" s="40">
        <v>1153482</v>
      </c>
      <c r="AB17" s="40">
        <v>1153739</v>
      </c>
      <c r="AC17" s="40">
        <v>1153989</v>
      </c>
      <c r="AD17" s="40">
        <v>1154244</v>
      </c>
      <c r="AE17" s="40">
        <v>1154504</v>
      </c>
      <c r="AF17" s="40">
        <v>1154767</v>
      </c>
      <c r="AG17" s="40">
        <v>1155021</v>
      </c>
      <c r="AH17" s="40">
        <v>1155275</v>
      </c>
      <c r="AI17" s="40">
        <v>1155524</v>
      </c>
    </row>
    <row r="18" spans="1:35" ht="21.75" customHeight="1" x14ac:dyDescent="0.2">
      <c r="A18" s="82"/>
      <c r="B18" s="43"/>
      <c r="C18" s="83"/>
      <c r="D18" s="42"/>
      <c r="E18" s="42">
        <f t="shared" ref="E18:AI18" si="93">E17-D17</f>
        <v>167</v>
      </c>
      <c r="F18" s="42">
        <f t="shared" si="93"/>
        <v>161</v>
      </c>
      <c r="G18" s="42">
        <f t="shared" si="93"/>
        <v>166</v>
      </c>
      <c r="H18" s="42">
        <f t="shared" si="93"/>
        <v>165</v>
      </c>
      <c r="I18" s="42">
        <f t="shared" si="93"/>
        <v>156</v>
      </c>
      <c r="J18" s="42">
        <f t="shared" si="93"/>
        <v>229</v>
      </c>
      <c r="K18" s="42">
        <f t="shared" si="93"/>
        <v>206</v>
      </c>
      <c r="L18" s="42">
        <f t="shared" si="93"/>
        <v>264</v>
      </c>
      <c r="M18" s="42">
        <f t="shared" si="93"/>
        <v>256</v>
      </c>
      <c r="N18" s="42">
        <f t="shared" si="93"/>
        <v>247</v>
      </c>
      <c r="O18" s="42">
        <f t="shared" si="93"/>
        <v>259</v>
      </c>
      <c r="P18" s="42">
        <f t="shared" si="93"/>
        <v>245</v>
      </c>
      <c r="Q18" s="42">
        <f t="shared" si="93"/>
        <v>240</v>
      </c>
      <c r="R18" s="42">
        <f t="shared" si="93"/>
        <v>263</v>
      </c>
      <c r="S18" s="42">
        <f t="shared" si="93"/>
        <v>240</v>
      </c>
      <c r="T18" s="42">
        <f t="shared" si="93"/>
        <v>237</v>
      </c>
      <c r="U18" s="42">
        <f t="shared" si="93"/>
        <v>249</v>
      </c>
      <c r="V18" s="42">
        <f t="shared" si="93"/>
        <v>260</v>
      </c>
      <c r="W18" s="42">
        <f t="shared" si="93"/>
        <v>241</v>
      </c>
      <c r="X18" s="42">
        <f t="shared" si="93"/>
        <v>262</v>
      </c>
      <c r="Y18" s="42">
        <f t="shared" si="93"/>
        <v>244</v>
      </c>
      <c r="Z18" s="42">
        <f t="shared" si="93"/>
        <v>258</v>
      </c>
      <c r="AA18" s="42">
        <f t="shared" si="93"/>
        <v>265</v>
      </c>
      <c r="AB18" s="42">
        <f t="shared" si="93"/>
        <v>257</v>
      </c>
      <c r="AC18" s="42">
        <f t="shared" si="93"/>
        <v>250</v>
      </c>
      <c r="AD18" s="42">
        <f t="shared" si="93"/>
        <v>255</v>
      </c>
      <c r="AE18" s="42">
        <f t="shared" si="93"/>
        <v>260</v>
      </c>
      <c r="AF18" s="42">
        <f t="shared" si="93"/>
        <v>263</v>
      </c>
      <c r="AG18" s="42">
        <f t="shared" si="93"/>
        <v>254</v>
      </c>
      <c r="AH18" s="42">
        <f t="shared" si="93"/>
        <v>254</v>
      </c>
      <c r="AI18" s="42">
        <f t="shared" si="93"/>
        <v>249</v>
      </c>
    </row>
    <row r="19" spans="1:35" ht="21.75" customHeight="1" x14ac:dyDescent="0.2">
      <c r="A19" s="84">
        <v>14</v>
      </c>
      <c r="B19" s="39" t="s">
        <v>32</v>
      </c>
      <c r="C19" s="76" t="s">
        <v>33</v>
      </c>
      <c r="D19" s="40">
        <v>334651</v>
      </c>
      <c r="E19" s="40">
        <v>334692</v>
      </c>
      <c r="F19" s="40">
        <v>334734</v>
      </c>
      <c r="G19" s="40">
        <v>334774</v>
      </c>
      <c r="H19" s="40">
        <v>334815</v>
      </c>
      <c r="I19" s="40">
        <v>334857</v>
      </c>
      <c r="J19" s="40">
        <v>334899</v>
      </c>
      <c r="K19" s="40">
        <v>334940</v>
      </c>
      <c r="L19" s="40">
        <v>334980</v>
      </c>
      <c r="M19" s="40">
        <v>335023</v>
      </c>
      <c r="N19" s="40">
        <v>335065</v>
      </c>
      <c r="O19" s="40">
        <v>335108</v>
      </c>
      <c r="P19" s="40">
        <v>335149</v>
      </c>
      <c r="Q19" s="40">
        <v>335192</v>
      </c>
      <c r="R19" s="40">
        <v>335231</v>
      </c>
      <c r="S19" s="40">
        <v>335272</v>
      </c>
      <c r="T19" s="40">
        <v>335315</v>
      </c>
      <c r="U19" s="40">
        <v>335358</v>
      </c>
      <c r="V19" s="40">
        <v>335401</v>
      </c>
      <c r="W19" s="40">
        <v>335442</v>
      </c>
      <c r="X19" s="40">
        <v>335486</v>
      </c>
      <c r="Y19" s="40">
        <v>335531</v>
      </c>
      <c r="Z19" s="40">
        <v>335574</v>
      </c>
      <c r="AA19" s="40">
        <v>335619</v>
      </c>
      <c r="AB19" s="40">
        <v>335661</v>
      </c>
      <c r="AC19" s="40">
        <v>335703</v>
      </c>
      <c r="AD19" s="40">
        <v>335746</v>
      </c>
      <c r="AE19" s="40">
        <v>335786</v>
      </c>
      <c r="AF19" s="40">
        <v>335827</v>
      </c>
      <c r="AG19" s="40">
        <v>335868</v>
      </c>
      <c r="AH19" s="40">
        <v>335911</v>
      </c>
      <c r="AI19" s="40">
        <v>335954</v>
      </c>
    </row>
    <row r="20" spans="1:35" ht="21.75" customHeight="1" x14ac:dyDescent="0.2">
      <c r="A20" s="79"/>
      <c r="B20" s="43"/>
      <c r="C20" s="83"/>
      <c r="D20" s="42"/>
      <c r="E20" s="42">
        <f t="shared" ref="E20:AI20" si="94">E19-D19</f>
        <v>41</v>
      </c>
      <c r="F20" s="42">
        <f t="shared" si="94"/>
        <v>42</v>
      </c>
      <c r="G20" s="42">
        <f t="shared" si="94"/>
        <v>40</v>
      </c>
      <c r="H20" s="42">
        <f t="shared" si="94"/>
        <v>41</v>
      </c>
      <c r="I20" s="42">
        <f t="shared" si="94"/>
        <v>42</v>
      </c>
      <c r="J20" s="42">
        <f t="shared" si="94"/>
        <v>42</v>
      </c>
      <c r="K20" s="42">
        <f t="shared" si="94"/>
        <v>41</v>
      </c>
      <c r="L20" s="42">
        <f t="shared" si="94"/>
        <v>40</v>
      </c>
      <c r="M20" s="42">
        <f t="shared" si="94"/>
        <v>43</v>
      </c>
      <c r="N20" s="42">
        <f t="shared" si="94"/>
        <v>42</v>
      </c>
      <c r="O20" s="42">
        <f t="shared" si="94"/>
        <v>43</v>
      </c>
      <c r="P20" s="42">
        <f t="shared" si="94"/>
        <v>41</v>
      </c>
      <c r="Q20" s="42">
        <f t="shared" si="94"/>
        <v>43</v>
      </c>
      <c r="R20" s="42">
        <f t="shared" si="94"/>
        <v>39</v>
      </c>
      <c r="S20" s="42">
        <f t="shared" si="94"/>
        <v>41</v>
      </c>
      <c r="T20" s="42">
        <f t="shared" si="94"/>
        <v>43</v>
      </c>
      <c r="U20" s="42">
        <f t="shared" si="94"/>
        <v>43</v>
      </c>
      <c r="V20" s="42">
        <f t="shared" si="94"/>
        <v>43</v>
      </c>
      <c r="W20" s="42">
        <f t="shared" si="94"/>
        <v>41</v>
      </c>
      <c r="X20" s="42">
        <f t="shared" si="94"/>
        <v>44</v>
      </c>
      <c r="Y20" s="42">
        <f t="shared" si="94"/>
        <v>45</v>
      </c>
      <c r="Z20" s="42">
        <f t="shared" si="94"/>
        <v>43</v>
      </c>
      <c r="AA20" s="42">
        <f t="shared" si="94"/>
        <v>45</v>
      </c>
      <c r="AB20" s="42">
        <f t="shared" si="94"/>
        <v>42</v>
      </c>
      <c r="AC20" s="42">
        <f t="shared" si="94"/>
        <v>42</v>
      </c>
      <c r="AD20" s="42">
        <f t="shared" si="94"/>
        <v>43</v>
      </c>
      <c r="AE20" s="42">
        <f t="shared" si="94"/>
        <v>40</v>
      </c>
      <c r="AF20" s="42">
        <f t="shared" si="94"/>
        <v>41</v>
      </c>
      <c r="AG20" s="42">
        <f t="shared" si="94"/>
        <v>41</v>
      </c>
      <c r="AH20" s="42">
        <f t="shared" si="94"/>
        <v>43</v>
      </c>
      <c r="AI20" s="42">
        <f t="shared" si="94"/>
        <v>43</v>
      </c>
    </row>
    <row r="21" spans="1:35" ht="27" customHeight="1" x14ac:dyDescent="0.3">
      <c r="B21" s="85" t="s">
        <v>34</v>
      </c>
      <c r="C21" s="85"/>
      <c r="D21" s="44"/>
      <c r="E21" s="59">
        <f>((E6+E8)+((E10+E12)*40%)+(E14+E16+E18+E20))</f>
        <v>43408</v>
      </c>
      <c r="F21" s="59">
        <f t="shared" ref="F21:AI21" si="95">((F6+F8)+((F10+F12)*40%)+(F14+F16+F18+F20))</f>
        <v>43403</v>
      </c>
      <c r="G21" s="59">
        <f t="shared" si="95"/>
        <v>42006</v>
      </c>
      <c r="H21" s="59">
        <f t="shared" si="95"/>
        <v>38006</v>
      </c>
      <c r="I21" s="59">
        <f t="shared" si="95"/>
        <v>41598</v>
      </c>
      <c r="J21" s="59">
        <f t="shared" si="95"/>
        <v>41471</v>
      </c>
      <c r="K21" s="59">
        <f t="shared" si="95"/>
        <v>42047</v>
      </c>
      <c r="L21" s="59">
        <f t="shared" si="95"/>
        <v>41304</v>
      </c>
      <c r="M21" s="59">
        <f t="shared" si="95"/>
        <v>44900</v>
      </c>
      <c r="N21" s="59">
        <f t="shared" si="95"/>
        <v>42289</v>
      </c>
      <c r="O21" s="59">
        <f t="shared" si="95"/>
        <v>40302</v>
      </c>
      <c r="P21" s="59">
        <f t="shared" si="95"/>
        <v>39486</v>
      </c>
      <c r="Q21" s="59">
        <f t="shared" si="95"/>
        <v>37883</v>
      </c>
      <c r="R21" s="59">
        <f t="shared" si="95"/>
        <v>40902</v>
      </c>
      <c r="S21" s="59">
        <f t="shared" si="95"/>
        <v>40881</v>
      </c>
      <c r="T21" s="59">
        <f t="shared" si="95"/>
        <v>40680</v>
      </c>
      <c r="U21" s="59">
        <f t="shared" si="95"/>
        <v>40492</v>
      </c>
      <c r="V21" s="59">
        <f t="shared" si="95"/>
        <v>37903</v>
      </c>
      <c r="W21" s="59">
        <f t="shared" si="95"/>
        <v>39882</v>
      </c>
      <c r="X21" s="59">
        <f t="shared" si="95"/>
        <v>40106</v>
      </c>
      <c r="Y21" s="59">
        <f t="shared" si="95"/>
        <v>40092</v>
      </c>
      <c r="Z21" s="59">
        <f t="shared" si="95"/>
        <v>40702</v>
      </c>
      <c r="AA21" s="59">
        <f t="shared" si="95"/>
        <v>40110</v>
      </c>
      <c r="AB21" s="59">
        <f t="shared" si="95"/>
        <v>40899</v>
      </c>
      <c r="AC21" s="59">
        <f t="shared" si="95"/>
        <v>39692</v>
      </c>
      <c r="AD21" s="59">
        <f t="shared" si="95"/>
        <v>38898</v>
      </c>
      <c r="AE21" s="59">
        <f t="shared" si="95"/>
        <v>37500</v>
      </c>
      <c r="AF21" s="59">
        <f t="shared" si="95"/>
        <v>37504</v>
      </c>
      <c r="AG21" s="59">
        <f t="shared" si="95"/>
        <v>36695</v>
      </c>
      <c r="AH21" s="59">
        <f t="shared" si="95"/>
        <v>36697</v>
      </c>
      <c r="AI21" s="59">
        <f t="shared" si="95"/>
        <v>36092</v>
      </c>
    </row>
    <row r="22" spans="1:35" ht="27" customHeight="1" x14ac:dyDescent="0.3">
      <c r="B22" s="81" t="s">
        <v>35</v>
      </c>
      <c r="C22" s="81"/>
      <c r="D22" s="44"/>
      <c r="E22" s="59">
        <f>SUM(E21:AI21)</f>
        <v>1243830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E12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8" t="s">
        <v>36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42" s="8" customFormat="1" ht="30" customHeight="1" thickBot="1" x14ac:dyDescent="0.3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</row>
    <row r="4" spans="1:42" s="30" customFormat="1" ht="57.75" customHeight="1" thickBot="1" x14ac:dyDescent="0.3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 t="s">
        <v>67</v>
      </c>
      <c r="AH4" s="29" t="s">
        <v>68</v>
      </c>
      <c r="AI4" s="29" t="s">
        <v>69</v>
      </c>
    </row>
    <row r="5" spans="1:42" s="8" customFormat="1" ht="40.5" customHeight="1" x14ac:dyDescent="0.25">
      <c r="A5" s="91" t="s">
        <v>39</v>
      </c>
      <c r="B5" s="27" t="s">
        <v>70</v>
      </c>
      <c r="C5" s="93" t="s">
        <v>71</v>
      </c>
      <c r="D5" s="31">
        <v>265035.5</v>
      </c>
      <c r="E5" s="31">
        <v>265191.5</v>
      </c>
      <c r="F5" s="31">
        <v>265351.40000000002</v>
      </c>
      <c r="G5" s="31">
        <v>265516.79999999999</v>
      </c>
      <c r="H5" s="31">
        <v>265677.40000000002</v>
      </c>
      <c r="I5" s="31">
        <v>265814.09999999998</v>
      </c>
      <c r="J5" s="31">
        <v>265966.2</v>
      </c>
      <c r="K5" s="31">
        <v>266136.09999999998</v>
      </c>
      <c r="L5" s="31">
        <v>266329.59999999998</v>
      </c>
      <c r="M5" s="31">
        <v>266551</v>
      </c>
      <c r="N5" s="31">
        <v>266571.7</v>
      </c>
      <c r="O5" s="31">
        <v>266571.7</v>
      </c>
      <c r="P5" s="31">
        <v>266571.8</v>
      </c>
      <c r="Q5" s="31">
        <v>266761.5</v>
      </c>
      <c r="R5" s="31">
        <v>266973.09999999998</v>
      </c>
      <c r="S5" s="31">
        <v>267192.2</v>
      </c>
      <c r="T5" s="31">
        <v>267293</v>
      </c>
      <c r="U5" s="31">
        <v>267560.90000000002</v>
      </c>
      <c r="V5" s="31">
        <v>267562.09999999998</v>
      </c>
      <c r="W5" s="31">
        <v>267635.09999999998</v>
      </c>
      <c r="X5" s="31">
        <v>268520.09999999998</v>
      </c>
      <c r="Y5" s="31">
        <v>268658</v>
      </c>
      <c r="Z5" s="31">
        <v>269177</v>
      </c>
      <c r="AA5" s="31">
        <v>269384.59999999998</v>
      </c>
      <c r="AB5" s="31">
        <v>269655.2</v>
      </c>
      <c r="AC5" s="31">
        <v>269834.40000000002</v>
      </c>
      <c r="AD5" s="31">
        <v>270041.59999999998</v>
      </c>
      <c r="AE5" s="31">
        <v>270237.09999999998</v>
      </c>
      <c r="AF5" s="31">
        <v>270430.90000000002</v>
      </c>
      <c r="AG5" s="31">
        <v>270636.09999999998</v>
      </c>
      <c r="AH5" s="31">
        <v>270834.09999999998</v>
      </c>
      <c r="AI5" s="31">
        <v>271076.59999999998</v>
      </c>
    </row>
    <row r="6" spans="1:42" s="34" customFormat="1" ht="25.7" customHeight="1" x14ac:dyDescent="0.25">
      <c r="A6" s="92"/>
      <c r="B6" s="32"/>
      <c r="C6" s="93"/>
      <c r="D6" s="33"/>
      <c r="E6" s="33">
        <f>E5-D5</f>
        <v>156</v>
      </c>
      <c r="F6" s="33">
        <f t="shared" ref="F6:AI6" si="0">F5-E5</f>
        <v>159.90000000002328</v>
      </c>
      <c r="G6" s="33">
        <f t="shared" si="0"/>
        <v>165.39999999996508</v>
      </c>
      <c r="H6" s="33">
        <f t="shared" si="0"/>
        <v>160.60000000003492</v>
      </c>
      <c r="I6" s="33">
        <f t="shared" si="0"/>
        <v>136.69999999995343</v>
      </c>
      <c r="J6" s="33">
        <f t="shared" si="0"/>
        <v>152.10000000003492</v>
      </c>
      <c r="K6" s="33">
        <f t="shared" si="0"/>
        <v>169.89999999996508</v>
      </c>
      <c r="L6" s="33">
        <f t="shared" si="0"/>
        <v>193.5</v>
      </c>
      <c r="M6" s="33">
        <f t="shared" si="0"/>
        <v>221.40000000002328</v>
      </c>
      <c r="N6" s="33">
        <f t="shared" si="0"/>
        <v>20.700000000011642</v>
      </c>
      <c r="O6" s="33">
        <f t="shared" si="0"/>
        <v>0</v>
      </c>
      <c r="P6" s="33">
        <f t="shared" si="0"/>
        <v>9.9999999976716936E-2</v>
      </c>
      <c r="Q6" s="33">
        <f t="shared" si="0"/>
        <v>189.70000000001164</v>
      </c>
      <c r="R6" s="33">
        <f t="shared" si="0"/>
        <v>211.59999999997672</v>
      </c>
      <c r="S6" s="33">
        <f t="shared" si="0"/>
        <v>219.10000000003492</v>
      </c>
      <c r="T6" s="33">
        <f t="shared" si="0"/>
        <v>100.79999999998836</v>
      </c>
      <c r="U6" s="33">
        <f t="shared" si="0"/>
        <v>267.90000000002328</v>
      </c>
      <c r="V6" s="33">
        <f t="shared" si="0"/>
        <v>1.1999999999534339</v>
      </c>
      <c r="W6" s="33">
        <f t="shared" si="0"/>
        <v>73</v>
      </c>
      <c r="X6" s="33">
        <f t="shared" si="0"/>
        <v>885</v>
      </c>
      <c r="Y6" s="33">
        <f t="shared" si="0"/>
        <v>137.90000000002328</v>
      </c>
      <c r="Z6" s="33">
        <f t="shared" si="0"/>
        <v>519</v>
      </c>
      <c r="AA6" s="33">
        <f t="shared" si="0"/>
        <v>207.59999999997672</v>
      </c>
      <c r="AB6" s="33">
        <f t="shared" si="0"/>
        <v>270.60000000003492</v>
      </c>
      <c r="AC6" s="33">
        <f t="shared" si="0"/>
        <v>179.20000000001164</v>
      </c>
      <c r="AD6" s="33">
        <f t="shared" si="0"/>
        <v>207.19999999995343</v>
      </c>
      <c r="AE6" s="33">
        <f t="shared" si="0"/>
        <v>195.5</v>
      </c>
      <c r="AF6" s="33">
        <f t="shared" si="0"/>
        <v>193.80000000004657</v>
      </c>
      <c r="AG6" s="33">
        <f t="shared" si="0"/>
        <v>205.19999999995343</v>
      </c>
      <c r="AH6" s="33">
        <f t="shared" si="0"/>
        <v>198</v>
      </c>
      <c r="AI6" s="33">
        <f t="shared" si="0"/>
        <v>242.5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25">
      <c r="A7" s="91" t="s">
        <v>41</v>
      </c>
      <c r="B7" s="49" t="s">
        <v>72</v>
      </c>
      <c r="C7" s="93" t="s">
        <v>73</v>
      </c>
      <c r="D7" s="31">
        <v>309183.90000000002</v>
      </c>
      <c r="E7" s="31">
        <v>309484.2</v>
      </c>
      <c r="F7" s="31">
        <v>309963.3</v>
      </c>
      <c r="G7" s="31">
        <v>310341.59999999998</v>
      </c>
      <c r="H7" s="31">
        <v>310694.3</v>
      </c>
      <c r="I7" s="31">
        <v>310994.09999999998</v>
      </c>
      <c r="J7" s="31">
        <v>311335.2</v>
      </c>
      <c r="K7" s="31">
        <v>311691.5</v>
      </c>
      <c r="L7" s="31">
        <v>311951.8</v>
      </c>
      <c r="M7" s="31">
        <v>312337.8</v>
      </c>
      <c r="N7" s="31">
        <v>312621.8</v>
      </c>
      <c r="O7" s="31">
        <v>312977.90000000002</v>
      </c>
      <c r="P7" s="31">
        <v>313326.09999999998</v>
      </c>
      <c r="Q7" s="31">
        <v>313679.2</v>
      </c>
      <c r="R7" s="31">
        <v>314033.09999999998</v>
      </c>
      <c r="S7" s="31">
        <v>314269.09999999998</v>
      </c>
      <c r="T7" s="31">
        <v>314620.7</v>
      </c>
      <c r="U7" s="31">
        <v>314759.5</v>
      </c>
      <c r="V7" s="31">
        <v>314961.5</v>
      </c>
      <c r="W7" s="31">
        <v>315357.09999999998</v>
      </c>
      <c r="X7" s="31">
        <v>315491.20000000001</v>
      </c>
      <c r="Y7" s="31">
        <v>315775.09999999998</v>
      </c>
      <c r="Z7" s="31">
        <v>316209.90000000002</v>
      </c>
      <c r="AA7" s="31">
        <v>316487.8</v>
      </c>
      <c r="AB7" s="31">
        <v>316874.90000000002</v>
      </c>
      <c r="AC7" s="31">
        <v>317134.09999999998</v>
      </c>
      <c r="AD7" s="31">
        <v>317469.90000000002</v>
      </c>
      <c r="AE7" s="31">
        <v>317759.09999999998</v>
      </c>
      <c r="AF7" s="31">
        <v>318054.09999999998</v>
      </c>
      <c r="AG7" s="31">
        <v>318251.90000000002</v>
      </c>
      <c r="AH7" s="31">
        <v>318511.09999999998</v>
      </c>
      <c r="AI7" s="31">
        <v>318739.09999999998</v>
      </c>
    </row>
    <row r="8" spans="1:42" s="34" customFormat="1" ht="25.7" customHeight="1" x14ac:dyDescent="0.25">
      <c r="A8" s="92"/>
      <c r="B8" s="47"/>
      <c r="C8" s="93"/>
      <c r="D8" s="33"/>
      <c r="E8" s="33">
        <f>E7-D7</f>
        <v>300.29999999998836</v>
      </c>
      <c r="F8" s="33">
        <f t="shared" ref="F8" si="1">F7-E7</f>
        <v>479.09999999997672</v>
      </c>
      <c r="G8" s="33">
        <f t="shared" ref="G8" si="2">G7-F7</f>
        <v>378.29999999998836</v>
      </c>
      <c r="H8" s="33">
        <f t="shared" ref="H8" si="3">H7-G7</f>
        <v>352.70000000001164</v>
      </c>
      <c r="I8" s="33">
        <f t="shared" ref="I8" si="4">I7-H7</f>
        <v>299.79999999998836</v>
      </c>
      <c r="J8" s="33">
        <f t="shared" ref="J8" si="5">J7-I7</f>
        <v>341.10000000003492</v>
      </c>
      <c r="K8" s="33">
        <f t="shared" ref="K8" si="6">K7-J7</f>
        <v>356.29999999998836</v>
      </c>
      <c r="L8" s="33">
        <f t="shared" ref="L8" si="7">L7-K7</f>
        <v>260.29999999998836</v>
      </c>
      <c r="M8" s="33">
        <f t="shared" ref="M8" si="8">M7-L7</f>
        <v>386</v>
      </c>
      <c r="N8" s="33">
        <f t="shared" ref="N8" si="9">N7-M7</f>
        <v>284</v>
      </c>
      <c r="O8" s="33">
        <f t="shared" ref="O8" si="10">O7-N7</f>
        <v>356.10000000003492</v>
      </c>
      <c r="P8" s="33">
        <f t="shared" ref="P8" si="11">P7-O7</f>
        <v>348.19999999995343</v>
      </c>
      <c r="Q8" s="33">
        <f t="shared" ref="Q8" si="12">Q7-P7</f>
        <v>353.10000000003492</v>
      </c>
      <c r="R8" s="33">
        <f t="shared" ref="R8" si="13">R7-Q7</f>
        <v>353.89999999996508</v>
      </c>
      <c r="S8" s="33">
        <f t="shared" ref="S8" si="14">S7-R7</f>
        <v>236</v>
      </c>
      <c r="T8" s="33">
        <f t="shared" ref="T8" si="15">T7-S7</f>
        <v>351.60000000003492</v>
      </c>
      <c r="U8" s="33">
        <f t="shared" ref="U8" si="16">U7-T7</f>
        <v>138.79999999998836</v>
      </c>
      <c r="V8" s="33">
        <f t="shared" ref="V8" si="17">V7-U7</f>
        <v>202</v>
      </c>
      <c r="W8" s="33">
        <f t="shared" ref="W8" si="18">W7-V7</f>
        <v>395.59999999997672</v>
      </c>
      <c r="X8" s="33">
        <f t="shared" ref="X8" si="19">X7-W7</f>
        <v>134.10000000003492</v>
      </c>
      <c r="Y8" s="33">
        <f t="shared" ref="Y8" si="20">Y7-X7</f>
        <v>283.89999999996508</v>
      </c>
      <c r="Z8" s="33">
        <f t="shared" ref="Z8" si="21">Z7-Y7</f>
        <v>434.80000000004657</v>
      </c>
      <c r="AA8" s="33">
        <f t="shared" ref="AA8" si="22">AA7-Z7</f>
        <v>277.89999999996508</v>
      </c>
      <c r="AB8" s="33">
        <f t="shared" ref="AB8" si="23">AB7-AA7</f>
        <v>387.10000000003492</v>
      </c>
      <c r="AC8" s="33">
        <f t="shared" ref="AC8" si="24">AC7-AB7</f>
        <v>259.19999999995343</v>
      </c>
      <c r="AD8" s="33">
        <f t="shared" ref="AD8" si="25">AD7-AC7</f>
        <v>335.80000000004657</v>
      </c>
      <c r="AE8" s="33">
        <f t="shared" ref="AE8" si="26">AE7-AD7</f>
        <v>289.19999999995343</v>
      </c>
      <c r="AF8" s="33">
        <f t="shared" ref="AF8" si="27">AF7-AE7</f>
        <v>295</v>
      </c>
      <c r="AG8" s="33">
        <f t="shared" ref="AG8" si="28">AG7-AF7</f>
        <v>197.80000000004657</v>
      </c>
      <c r="AH8" s="33">
        <f t="shared" ref="AH8" si="29">AH7-AG7</f>
        <v>259.19999999995343</v>
      </c>
      <c r="AI8" s="33">
        <f t="shared" ref="AI8" si="30">AI7-AH7</f>
        <v>228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x14ac:dyDescent="0.25">
      <c r="A9" s="91">
        <v>4</v>
      </c>
      <c r="B9" s="46" t="s">
        <v>74</v>
      </c>
      <c r="C9" s="93" t="s">
        <v>75</v>
      </c>
      <c r="D9" s="31">
        <v>90377</v>
      </c>
      <c r="E9" s="31">
        <v>90378</v>
      </c>
      <c r="F9" s="31">
        <v>90379</v>
      </c>
      <c r="G9" s="31">
        <v>90379</v>
      </c>
      <c r="H9" s="31">
        <v>90379</v>
      </c>
      <c r="I9" s="31">
        <v>90379</v>
      </c>
      <c r="J9" s="31">
        <v>90379</v>
      </c>
      <c r="K9" s="31">
        <v>90379</v>
      </c>
      <c r="L9" s="31">
        <v>90379</v>
      </c>
      <c r="M9" s="31">
        <v>90379</v>
      </c>
      <c r="N9" s="31">
        <v>90379</v>
      </c>
      <c r="O9" s="31">
        <v>90379</v>
      </c>
      <c r="P9" s="31">
        <v>90379</v>
      </c>
      <c r="Q9" s="31">
        <v>90379</v>
      </c>
      <c r="R9" s="31">
        <v>90379</v>
      </c>
      <c r="S9" s="31">
        <v>90379</v>
      </c>
      <c r="T9" s="31">
        <v>90380</v>
      </c>
      <c r="U9" s="31">
        <v>90380</v>
      </c>
      <c r="V9" s="31">
        <v>90380</v>
      </c>
      <c r="W9" s="31">
        <v>90380</v>
      </c>
      <c r="X9" s="31">
        <v>90380</v>
      </c>
      <c r="Y9" s="31">
        <v>90380</v>
      </c>
      <c r="Z9" s="31">
        <v>90380</v>
      </c>
      <c r="AA9" s="31">
        <v>90380</v>
      </c>
      <c r="AB9" s="31">
        <v>90380</v>
      </c>
      <c r="AC9" s="31">
        <v>90380</v>
      </c>
      <c r="AD9" s="31">
        <v>58</v>
      </c>
      <c r="AE9" s="31">
        <v>143</v>
      </c>
      <c r="AF9" s="31">
        <v>257</v>
      </c>
      <c r="AG9" s="31">
        <v>257</v>
      </c>
      <c r="AH9" s="31">
        <v>324</v>
      </c>
      <c r="AI9" s="31">
        <v>354</v>
      </c>
    </row>
    <row r="10" spans="1:42" s="34" customFormat="1" ht="25.7" customHeight="1" x14ac:dyDescent="0.25">
      <c r="A10" s="92"/>
      <c r="B10" s="47"/>
      <c r="C10" s="93"/>
      <c r="D10" s="33"/>
      <c r="E10" s="33">
        <f>E9-D9</f>
        <v>1</v>
      </c>
      <c r="F10" s="33">
        <f t="shared" ref="F10:AI10" si="31">F9-E9</f>
        <v>1</v>
      </c>
      <c r="G10" s="64">
        <f t="shared" si="31"/>
        <v>0</v>
      </c>
      <c r="H10" s="64">
        <f t="shared" si="31"/>
        <v>0</v>
      </c>
      <c r="I10" s="64">
        <f t="shared" si="31"/>
        <v>0</v>
      </c>
      <c r="J10" s="64">
        <f t="shared" si="31"/>
        <v>0</v>
      </c>
      <c r="K10" s="64">
        <f t="shared" si="31"/>
        <v>0</v>
      </c>
      <c r="L10" s="64">
        <f t="shared" si="31"/>
        <v>0</v>
      </c>
      <c r="M10" s="64">
        <f t="shared" si="31"/>
        <v>0</v>
      </c>
      <c r="N10" s="64">
        <f t="shared" si="31"/>
        <v>0</v>
      </c>
      <c r="O10" s="64">
        <f t="shared" si="31"/>
        <v>0</v>
      </c>
      <c r="P10" s="64">
        <f t="shared" si="31"/>
        <v>0</v>
      </c>
      <c r="Q10" s="64">
        <f t="shared" si="31"/>
        <v>0</v>
      </c>
      <c r="R10" s="64">
        <f t="shared" si="31"/>
        <v>0</v>
      </c>
      <c r="S10" s="64">
        <f t="shared" si="31"/>
        <v>0</v>
      </c>
      <c r="T10" s="64">
        <f t="shared" si="31"/>
        <v>1</v>
      </c>
      <c r="U10" s="64">
        <f t="shared" si="31"/>
        <v>0</v>
      </c>
      <c r="V10" s="64">
        <f t="shared" si="31"/>
        <v>0</v>
      </c>
      <c r="W10" s="64">
        <f t="shared" si="31"/>
        <v>0</v>
      </c>
      <c r="X10" s="64">
        <f t="shared" si="31"/>
        <v>0</v>
      </c>
      <c r="Y10" s="64">
        <f t="shared" si="31"/>
        <v>0</v>
      </c>
      <c r="Z10" s="64">
        <f t="shared" si="31"/>
        <v>0</v>
      </c>
      <c r="AA10" s="64">
        <f t="shared" si="31"/>
        <v>0</v>
      </c>
      <c r="AB10" s="64">
        <f t="shared" si="31"/>
        <v>0</v>
      </c>
      <c r="AC10" s="64">
        <f t="shared" si="31"/>
        <v>0</v>
      </c>
      <c r="AD10" s="33"/>
      <c r="AE10" s="33">
        <f t="shared" si="31"/>
        <v>85</v>
      </c>
      <c r="AF10" s="33">
        <f t="shared" si="31"/>
        <v>114</v>
      </c>
      <c r="AG10" s="33">
        <f t="shared" si="31"/>
        <v>0</v>
      </c>
      <c r="AH10" s="33">
        <f t="shared" si="31"/>
        <v>67</v>
      </c>
      <c r="AI10" s="33">
        <f t="shared" si="31"/>
        <v>30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94">
        <v>5</v>
      </c>
      <c r="B11" s="27">
        <v>68864837</v>
      </c>
      <c r="C11" s="93" t="s">
        <v>76</v>
      </c>
      <c r="D11" s="31">
        <v>245.12299999999999</v>
      </c>
      <c r="E11" s="31">
        <v>245.12299999999999</v>
      </c>
      <c r="F11" s="31">
        <v>245.12299999999999</v>
      </c>
      <c r="G11" s="31">
        <v>249.50299999999999</v>
      </c>
      <c r="H11" s="31">
        <v>250.19399999999999</v>
      </c>
      <c r="I11" s="31">
        <v>250.63800000000001</v>
      </c>
      <c r="J11" s="31">
        <v>251.36799999999999</v>
      </c>
      <c r="K11" s="31">
        <v>253.136</v>
      </c>
      <c r="L11" s="31">
        <v>255.09899999999999</v>
      </c>
      <c r="M11" s="31">
        <v>256.10000000000002</v>
      </c>
      <c r="N11" s="31">
        <v>261.755</v>
      </c>
      <c r="O11" s="31">
        <v>264.73099999999999</v>
      </c>
      <c r="P11" s="31">
        <v>268.815</v>
      </c>
      <c r="Q11" s="31">
        <v>270.40800000000002</v>
      </c>
      <c r="R11" s="31">
        <v>270.40800000000002</v>
      </c>
      <c r="S11" s="31">
        <v>271.36</v>
      </c>
      <c r="T11" s="31">
        <v>272.66699999999997</v>
      </c>
      <c r="U11" s="31">
        <v>274.87200000000001</v>
      </c>
      <c r="V11" s="31">
        <v>275.89400000000001</v>
      </c>
      <c r="W11" s="31">
        <v>277.42399999999998</v>
      </c>
      <c r="X11" s="31">
        <v>278.18799999999999</v>
      </c>
      <c r="Y11" s="31">
        <v>279.238</v>
      </c>
      <c r="Z11" s="31">
        <v>280.55399999999997</v>
      </c>
      <c r="AA11" s="31">
        <v>281.92099999999999</v>
      </c>
      <c r="AB11" s="31">
        <v>282.98500000000001</v>
      </c>
      <c r="AC11" s="31">
        <v>285.45400000000001</v>
      </c>
      <c r="AD11" s="31">
        <v>286.95400000000001</v>
      </c>
      <c r="AE11" s="31">
        <v>288.22300000000001</v>
      </c>
      <c r="AF11" s="31">
        <v>288.85000000000002</v>
      </c>
      <c r="AG11" s="31">
        <v>290.17899999999997</v>
      </c>
      <c r="AH11" s="31">
        <v>291.35599999999999</v>
      </c>
      <c r="AI11" s="31">
        <v>292.928</v>
      </c>
    </row>
    <row r="12" spans="1:42" s="8" customFormat="1" ht="25.7" customHeight="1" x14ac:dyDescent="0.25">
      <c r="A12" s="95"/>
      <c r="B12" s="48"/>
      <c r="C12" s="93"/>
      <c r="D12" s="33"/>
      <c r="E12" s="33">
        <f>E11-D11</f>
        <v>0</v>
      </c>
      <c r="F12" s="33">
        <f t="shared" ref="F12:AI12" si="32">F11-E11</f>
        <v>0</v>
      </c>
      <c r="G12" s="33">
        <f t="shared" si="32"/>
        <v>4.3799999999999955</v>
      </c>
      <c r="H12" s="33">
        <f t="shared" si="32"/>
        <v>0.6910000000000025</v>
      </c>
      <c r="I12" s="33">
        <f t="shared" si="32"/>
        <v>0.44400000000001683</v>
      </c>
      <c r="J12" s="33">
        <f t="shared" si="32"/>
        <v>0.72999999999998977</v>
      </c>
      <c r="K12" s="33">
        <f t="shared" si="32"/>
        <v>1.7680000000000007</v>
      </c>
      <c r="L12" s="33">
        <f t="shared" si="32"/>
        <v>1.9629999999999939</v>
      </c>
      <c r="M12" s="33">
        <f t="shared" si="32"/>
        <v>1.0010000000000332</v>
      </c>
      <c r="N12" s="33">
        <f t="shared" si="32"/>
        <v>5.6549999999999727</v>
      </c>
      <c r="O12" s="33">
        <f t="shared" si="32"/>
        <v>2.9759999999999991</v>
      </c>
      <c r="P12" s="33">
        <f t="shared" si="32"/>
        <v>4.0840000000000032</v>
      </c>
      <c r="Q12" s="33">
        <f t="shared" si="32"/>
        <v>1.5930000000000177</v>
      </c>
      <c r="R12" s="33">
        <f t="shared" si="32"/>
        <v>0</v>
      </c>
      <c r="S12" s="33">
        <f t="shared" si="32"/>
        <v>0.95199999999999818</v>
      </c>
      <c r="T12" s="33">
        <f t="shared" si="32"/>
        <v>1.3069999999999595</v>
      </c>
      <c r="U12" s="33">
        <f t="shared" si="32"/>
        <v>2.2050000000000409</v>
      </c>
      <c r="V12" s="33">
        <f t="shared" si="32"/>
        <v>1.0219999999999914</v>
      </c>
      <c r="W12" s="33">
        <f t="shared" si="32"/>
        <v>1.5299999999999727</v>
      </c>
      <c r="X12" s="33">
        <f t="shared" si="32"/>
        <v>0.76400000000001</v>
      </c>
      <c r="Y12" s="33">
        <f t="shared" si="32"/>
        <v>1.0500000000000114</v>
      </c>
      <c r="Z12" s="33">
        <f t="shared" si="32"/>
        <v>1.3159999999999741</v>
      </c>
      <c r="AA12" s="33">
        <f t="shared" si="32"/>
        <v>1.3670000000000186</v>
      </c>
      <c r="AB12" s="33">
        <f t="shared" si="32"/>
        <v>1.0640000000000214</v>
      </c>
      <c r="AC12" s="33">
        <f t="shared" si="32"/>
        <v>2.4689999999999941</v>
      </c>
      <c r="AD12" s="33">
        <f t="shared" si="32"/>
        <v>1.5</v>
      </c>
      <c r="AE12" s="33">
        <f t="shared" si="32"/>
        <v>1.2690000000000055</v>
      </c>
      <c r="AF12" s="33">
        <f t="shared" si="32"/>
        <v>0.62700000000000955</v>
      </c>
      <c r="AG12" s="33">
        <f t="shared" si="32"/>
        <v>1.3289999999999509</v>
      </c>
      <c r="AH12" s="33">
        <f t="shared" si="32"/>
        <v>1.1770000000000209</v>
      </c>
      <c r="AI12" s="33">
        <f t="shared" si="32"/>
        <v>1.5720000000000027</v>
      </c>
    </row>
    <row r="13" spans="1:42" s="8" customFormat="1" ht="25.7" customHeight="1" x14ac:dyDescent="0.25">
      <c r="A13" s="94">
        <v>6</v>
      </c>
      <c r="B13" s="27">
        <v>65296485</v>
      </c>
      <c r="C13" s="93" t="s">
        <v>77</v>
      </c>
      <c r="D13" s="31">
        <v>330.67700000000002</v>
      </c>
      <c r="E13" s="31">
        <v>330.67700000000002</v>
      </c>
      <c r="F13" s="31">
        <v>330.67700000000002</v>
      </c>
      <c r="G13" s="31">
        <v>336.60700000000003</v>
      </c>
      <c r="H13" s="31">
        <v>338.37599999999998</v>
      </c>
      <c r="I13" s="31">
        <v>338.37599999999998</v>
      </c>
      <c r="J13" s="31">
        <v>341.68900000000002</v>
      </c>
      <c r="K13" s="31">
        <v>342.66399999999999</v>
      </c>
      <c r="L13" s="31">
        <v>344.44799999999998</v>
      </c>
      <c r="M13" s="31">
        <v>344.49799999999999</v>
      </c>
      <c r="N13" s="31">
        <v>351.66</v>
      </c>
      <c r="O13" s="31">
        <v>352.70499999999998</v>
      </c>
      <c r="P13" s="31">
        <v>353.49200000000002</v>
      </c>
      <c r="Q13" s="31">
        <v>353.495</v>
      </c>
      <c r="R13" s="31">
        <v>362.08100000000002</v>
      </c>
      <c r="S13" s="31">
        <v>362.56799999999998</v>
      </c>
      <c r="T13" s="31">
        <v>364.38900000000001</v>
      </c>
      <c r="U13" s="31">
        <v>367.02100000000002</v>
      </c>
      <c r="V13" s="31">
        <v>368.87299999999999</v>
      </c>
      <c r="W13" s="31">
        <v>369.44499999999999</v>
      </c>
      <c r="X13" s="31">
        <v>371.09899999999999</v>
      </c>
      <c r="Y13" s="31">
        <v>371.73500000000001</v>
      </c>
      <c r="Z13" s="31">
        <v>375.59399999999999</v>
      </c>
      <c r="AA13" s="31">
        <v>379.15</v>
      </c>
      <c r="AB13" s="31">
        <v>382.1</v>
      </c>
      <c r="AC13" s="31">
        <v>382.464</v>
      </c>
      <c r="AD13" s="31">
        <v>383.57299999999998</v>
      </c>
      <c r="AE13" s="31">
        <v>384.12799999999999</v>
      </c>
      <c r="AF13" s="31">
        <v>384.57299999999998</v>
      </c>
      <c r="AG13" s="31">
        <v>385.55</v>
      </c>
      <c r="AH13" s="31">
        <v>386.29</v>
      </c>
      <c r="AI13" s="31">
        <v>388.45699999999999</v>
      </c>
    </row>
    <row r="14" spans="1:42" s="8" customFormat="1" ht="25.7" customHeight="1" x14ac:dyDescent="0.25">
      <c r="A14" s="95"/>
      <c r="B14" s="48"/>
      <c r="C14" s="93"/>
      <c r="D14" s="33"/>
      <c r="E14" s="33">
        <f>E13-D13</f>
        <v>0</v>
      </c>
      <c r="F14" s="33">
        <f t="shared" ref="F14:AI14" si="33">F13-E13</f>
        <v>0</v>
      </c>
      <c r="G14" s="33">
        <f t="shared" si="33"/>
        <v>5.9300000000000068</v>
      </c>
      <c r="H14" s="33">
        <f t="shared" si="33"/>
        <v>1.7689999999999486</v>
      </c>
      <c r="I14" s="33">
        <f t="shared" si="33"/>
        <v>0</v>
      </c>
      <c r="J14" s="33">
        <f t="shared" si="33"/>
        <v>3.313000000000045</v>
      </c>
      <c r="K14" s="33">
        <f t="shared" si="33"/>
        <v>0.97499999999996589</v>
      </c>
      <c r="L14" s="33">
        <f t="shared" si="33"/>
        <v>1.7839999999999918</v>
      </c>
      <c r="M14" s="33">
        <f t="shared" si="33"/>
        <v>5.0000000000011369E-2</v>
      </c>
      <c r="N14" s="33">
        <f t="shared" si="33"/>
        <v>7.1620000000000346</v>
      </c>
      <c r="O14" s="33">
        <f t="shared" si="33"/>
        <v>1.0449999999999591</v>
      </c>
      <c r="P14" s="33">
        <f t="shared" si="33"/>
        <v>0.78700000000003456</v>
      </c>
      <c r="Q14" s="33">
        <f t="shared" si="33"/>
        <v>2.9999999999859028E-3</v>
      </c>
      <c r="R14" s="33">
        <f t="shared" si="33"/>
        <v>8.5860000000000127</v>
      </c>
      <c r="S14" s="33">
        <f t="shared" si="33"/>
        <v>0.48699999999996635</v>
      </c>
      <c r="T14" s="33">
        <f t="shared" si="33"/>
        <v>1.8210000000000264</v>
      </c>
      <c r="U14" s="33">
        <f t="shared" si="33"/>
        <v>2.632000000000005</v>
      </c>
      <c r="V14" s="33">
        <f t="shared" si="33"/>
        <v>1.8519999999999754</v>
      </c>
      <c r="W14" s="33">
        <f t="shared" si="33"/>
        <v>0.57200000000000273</v>
      </c>
      <c r="X14" s="33">
        <f t="shared" si="33"/>
        <v>1.6539999999999964</v>
      </c>
      <c r="Y14" s="33">
        <f t="shared" si="33"/>
        <v>0.6360000000000241</v>
      </c>
      <c r="Z14" s="33">
        <f t="shared" si="33"/>
        <v>3.8589999999999804</v>
      </c>
      <c r="AA14" s="33">
        <f t="shared" si="33"/>
        <v>3.5559999999999832</v>
      </c>
      <c r="AB14" s="33">
        <f t="shared" si="33"/>
        <v>2.9500000000000455</v>
      </c>
      <c r="AC14" s="33">
        <f t="shared" si="33"/>
        <v>0.3639999999999759</v>
      </c>
      <c r="AD14" s="33">
        <f t="shared" si="33"/>
        <v>1.1089999999999804</v>
      </c>
      <c r="AE14" s="33">
        <f t="shared" si="33"/>
        <v>0.55500000000000682</v>
      </c>
      <c r="AF14" s="33">
        <f t="shared" si="33"/>
        <v>0.44499999999999318</v>
      </c>
      <c r="AG14" s="33">
        <f t="shared" si="33"/>
        <v>0.97700000000003229</v>
      </c>
      <c r="AH14" s="33">
        <f t="shared" si="33"/>
        <v>0.74000000000000909</v>
      </c>
      <c r="AI14" s="33">
        <f t="shared" si="33"/>
        <v>2.1669999999999732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7" t="s">
        <v>78</v>
      </c>
      <c r="C15" s="87"/>
      <c r="D15" s="50"/>
      <c r="E15" s="50">
        <f>E6+((E8*45%)+(E10*45%)+(E12+E14))</f>
        <v>291.58499999999475</v>
      </c>
      <c r="F15" s="50">
        <f t="shared" ref="F15:AI15" si="34">F6+((F8*45%)+(F10*45%)+(F12+F14))</f>
        <v>375.94500000001278</v>
      </c>
      <c r="G15" s="50">
        <f t="shared" si="34"/>
        <v>345.9449999999598</v>
      </c>
      <c r="H15" s="50">
        <f t="shared" si="34"/>
        <v>321.77500000004011</v>
      </c>
      <c r="I15" s="50">
        <f t="shared" si="34"/>
        <v>272.05399999994825</v>
      </c>
      <c r="J15" s="50">
        <f t="shared" si="34"/>
        <v>309.63800000005068</v>
      </c>
      <c r="K15" s="50">
        <f t="shared" si="34"/>
        <v>332.97799999995982</v>
      </c>
      <c r="L15" s="50">
        <f t="shared" si="34"/>
        <v>314.38199999999472</v>
      </c>
      <c r="M15" s="50">
        <f t="shared" si="34"/>
        <v>396.15100000002337</v>
      </c>
      <c r="N15" s="50">
        <f t="shared" si="34"/>
        <v>161.31700000001166</v>
      </c>
      <c r="O15" s="50">
        <f t="shared" si="34"/>
        <v>164.26600000001568</v>
      </c>
      <c r="P15" s="50">
        <f t="shared" si="34"/>
        <v>161.66099999995581</v>
      </c>
      <c r="Q15" s="50">
        <f t="shared" si="34"/>
        <v>350.19100000002737</v>
      </c>
      <c r="R15" s="50">
        <f t="shared" si="34"/>
        <v>379.44099999996104</v>
      </c>
      <c r="S15" s="50">
        <f t="shared" si="34"/>
        <v>326.73900000003488</v>
      </c>
      <c r="T15" s="50">
        <f t="shared" si="34"/>
        <v>262.59800000000405</v>
      </c>
      <c r="U15" s="50">
        <f t="shared" si="34"/>
        <v>335.19700000001808</v>
      </c>
      <c r="V15" s="50">
        <f t="shared" si="34"/>
        <v>94.973999999953406</v>
      </c>
      <c r="W15" s="50">
        <f t="shared" si="34"/>
        <v>253.1219999999895</v>
      </c>
      <c r="X15" s="50">
        <f t="shared" si="34"/>
        <v>947.76300000001572</v>
      </c>
      <c r="Y15" s="50">
        <f t="shared" si="34"/>
        <v>267.34100000000763</v>
      </c>
      <c r="Z15" s="50">
        <f t="shared" si="34"/>
        <v>719.83500000002095</v>
      </c>
      <c r="AA15" s="50">
        <f t="shared" si="34"/>
        <v>337.57799999996098</v>
      </c>
      <c r="AB15" s="50">
        <f t="shared" si="34"/>
        <v>448.80900000005067</v>
      </c>
      <c r="AC15" s="50">
        <f t="shared" si="34"/>
        <v>298.67299999999068</v>
      </c>
      <c r="AD15" s="50">
        <f t="shared" si="34"/>
        <v>360.9189999999744</v>
      </c>
      <c r="AE15" s="50">
        <f t="shared" si="34"/>
        <v>365.71399999997902</v>
      </c>
      <c r="AF15" s="50">
        <f t="shared" si="34"/>
        <v>378.92200000004658</v>
      </c>
      <c r="AG15" s="50">
        <f t="shared" si="34"/>
        <v>296.51599999997438</v>
      </c>
      <c r="AH15" s="50">
        <f t="shared" si="34"/>
        <v>346.70699999997908</v>
      </c>
      <c r="AI15" s="50">
        <f t="shared" si="34"/>
        <v>362.339</v>
      </c>
    </row>
    <row r="16" spans="1:42" ht="33" customHeight="1" x14ac:dyDescent="0.25">
      <c r="B16" s="86" t="s">
        <v>79</v>
      </c>
      <c r="C16" s="86"/>
      <c r="D16" s="50"/>
      <c r="E16" s="58">
        <f>SUM(E15:AI15)</f>
        <v>10581.074999999955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6" activePane="bottomLeft" state="frozen"/>
      <selection pane="bottomLeft" activeCell="C5" sqref="C5:C34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97" t="s">
        <v>87</v>
      </c>
      <c r="B1" s="97"/>
      <c r="C1" s="97"/>
    </row>
    <row r="3" spans="1:7" ht="48" x14ac:dyDescent="0.25">
      <c r="A3" s="51" t="s">
        <v>38</v>
      </c>
      <c r="B3" s="52">
        <v>50686.67</v>
      </c>
      <c r="C3" s="53"/>
    </row>
    <row r="4" spans="1:7" ht="28.5" customHeight="1" x14ac:dyDescent="0.25">
      <c r="A4" s="54">
        <v>1</v>
      </c>
      <c r="B4" s="52"/>
      <c r="C4" s="53">
        <f>B3/31</f>
        <v>1635.0538709677419</v>
      </c>
    </row>
    <row r="5" spans="1:7" ht="28.5" customHeight="1" x14ac:dyDescent="0.25">
      <c r="A5" s="54">
        <v>2</v>
      </c>
      <c r="B5" s="52"/>
      <c r="C5" s="53">
        <v>1635.0538709677419</v>
      </c>
    </row>
    <row r="6" spans="1:7" ht="28.5" customHeight="1" x14ac:dyDescent="0.25">
      <c r="A6" s="55">
        <v>3</v>
      </c>
      <c r="B6" s="52"/>
      <c r="C6" s="53">
        <v>1635.0538709677419</v>
      </c>
    </row>
    <row r="7" spans="1:7" ht="28.5" customHeight="1" x14ac:dyDescent="0.25">
      <c r="A7" s="54">
        <v>4</v>
      </c>
      <c r="B7" s="52"/>
      <c r="C7" s="53">
        <v>1635.0538709677419</v>
      </c>
    </row>
    <row r="8" spans="1:7" ht="28.5" customHeight="1" x14ac:dyDescent="0.25">
      <c r="A8" s="54">
        <v>5</v>
      </c>
      <c r="B8" s="52"/>
      <c r="C8" s="53">
        <v>1635.0538709677419</v>
      </c>
    </row>
    <row r="9" spans="1:7" ht="28.5" customHeight="1" x14ac:dyDescent="0.25">
      <c r="A9" s="54">
        <v>6</v>
      </c>
      <c r="B9" s="52"/>
      <c r="C9" s="53">
        <v>1635.0538709677419</v>
      </c>
      <c r="G9" t="s">
        <v>80</v>
      </c>
    </row>
    <row r="10" spans="1:7" ht="28.5" customHeight="1" x14ac:dyDescent="0.25">
      <c r="A10" s="54">
        <v>7</v>
      </c>
      <c r="B10" s="52"/>
      <c r="C10" s="53">
        <v>1635.0538709677419</v>
      </c>
    </row>
    <row r="11" spans="1:7" ht="28.5" customHeight="1" x14ac:dyDescent="0.25">
      <c r="A11" s="54">
        <v>8</v>
      </c>
      <c r="B11" s="52"/>
      <c r="C11" s="53">
        <v>1635.0538709677419</v>
      </c>
    </row>
    <row r="12" spans="1:7" ht="28.5" customHeight="1" x14ac:dyDescent="0.25">
      <c r="A12" s="54">
        <v>9</v>
      </c>
      <c r="B12" s="52"/>
      <c r="C12" s="53">
        <v>1635.0538709677419</v>
      </c>
    </row>
    <row r="13" spans="1:7" ht="28.5" customHeight="1" x14ac:dyDescent="0.25">
      <c r="A13" s="54">
        <v>10</v>
      </c>
      <c r="B13" s="52"/>
      <c r="C13" s="53">
        <v>1635.0538709677419</v>
      </c>
    </row>
    <row r="14" spans="1:7" ht="28.5" customHeight="1" x14ac:dyDescent="0.25">
      <c r="A14" s="54">
        <v>11</v>
      </c>
      <c r="B14" s="52"/>
      <c r="C14" s="53">
        <v>1635.0538709677419</v>
      </c>
    </row>
    <row r="15" spans="1:7" ht="28.5" customHeight="1" x14ac:dyDescent="0.25">
      <c r="A15" s="54">
        <v>12</v>
      </c>
      <c r="B15" s="52"/>
      <c r="C15" s="53">
        <v>1635.0538709677419</v>
      </c>
    </row>
    <row r="16" spans="1:7" ht="28.5" customHeight="1" x14ac:dyDescent="0.25">
      <c r="A16" s="54">
        <v>13</v>
      </c>
      <c r="B16" s="52"/>
      <c r="C16" s="53">
        <v>1635.0538709677419</v>
      </c>
    </row>
    <row r="17" spans="1:4" ht="28.5" customHeight="1" x14ac:dyDescent="0.25">
      <c r="A17" s="54">
        <v>14</v>
      </c>
      <c r="B17" s="52"/>
      <c r="C17" s="53">
        <v>1635.0538709677419</v>
      </c>
    </row>
    <row r="18" spans="1:4" ht="28.5" customHeight="1" x14ac:dyDescent="0.25">
      <c r="A18" s="54">
        <v>15</v>
      </c>
      <c r="B18" s="52"/>
      <c r="C18" s="53">
        <v>1635.0538709677419</v>
      </c>
    </row>
    <row r="19" spans="1:4" ht="28.5" customHeight="1" x14ac:dyDescent="0.25">
      <c r="A19" s="54">
        <v>16</v>
      </c>
      <c r="B19" s="52"/>
      <c r="C19" s="53">
        <v>1635.0538709677419</v>
      </c>
    </row>
    <row r="20" spans="1:4" ht="28.5" customHeight="1" x14ac:dyDescent="0.25">
      <c r="A20" s="54">
        <v>17</v>
      </c>
      <c r="B20" s="52"/>
      <c r="C20" s="53">
        <v>1635.0538709677419</v>
      </c>
    </row>
    <row r="21" spans="1:4" ht="28.5" customHeight="1" x14ac:dyDescent="0.25">
      <c r="A21" s="54">
        <v>18</v>
      </c>
      <c r="B21" s="52"/>
      <c r="C21" s="53">
        <v>1635.0538709677419</v>
      </c>
    </row>
    <row r="22" spans="1:4" ht="28.5" customHeight="1" x14ac:dyDescent="0.25">
      <c r="A22" s="54">
        <v>19</v>
      </c>
      <c r="B22" s="52"/>
      <c r="C22" s="53">
        <v>1635.0538709677419</v>
      </c>
    </row>
    <row r="23" spans="1:4" ht="28.5" customHeight="1" x14ac:dyDescent="0.25">
      <c r="A23" s="54">
        <v>20</v>
      </c>
      <c r="B23" s="52"/>
      <c r="C23" s="53">
        <v>1635.0538709677419</v>
      </c>
    </row>
    <row r="24" spans="1:4" ht="28.5" customHeight="1" x14ac:dyDescent="0.25">
      <c r="A24" s="54">
        <v>21</v>
      </c>
      <c r="B24" s="52"/>
      <c r="C24" s="53">
        <v>1635.0538709677419</v>
      </c>
    </row>
    <row r="25" spans="1:4" ht="28.5" customHeight="1" x14ac:dyDescent="0.25">
      <c r="A25" s="54">
        <v>22</v>
      </c>
      <c r="B25" s="52"/>
      <c r="C25" s="53">
        <v>1635.0538709677419</v>
      </c>
    </row>
    <row r="26" spans="1:4" ht="28.5" customHeight="1" x14ac:dyDescent="0.25">
      <c r="A26" s="54">
        <v>23</v>
      </c>
      <c r="B26" s="52"/>
      <c r="C26" s="53">
        <v>1635.0538709677419</v>
      </c>
    </row>
    <row r="27" spans="1:4" ht="28.5" customHeight="1" x14ac:dyDescent="0.25">
      <c r="A27" s="54">
        <v>24</v>
      </c>
      <c r="B27" s="52"/>
      <c r="C27" s="53">
        <v>1635.0538709677419</v>
      </c>
    </row>
    <row r="28" spans="1:4" ht="28.5" customHeight="1" x14ac:dyDescent="0.25">
      <c r="A28" s="54">
        <v>25</v>
      </c>
      <c r="B28" s="52"/>
      <c r="C28" s="53">
        <v>1635.0538709677419</v>
      </c>
      <c r="D28" s="56"/>
    </row>
    <row r="29" spans="1:4" ht="28.5" customHeight="1" x14ac:dyDescent="0.25">
      <c r="A29" s="54">
        <v>26</v>
      </c>
      <c r="B29" s="52"/>
      <c r="C29" s="53">
        <v>1635.0538709677419</v>
      </c>
      <c r="D29" s="56"/>
    </row>
    <row r="30" spans="1:4" ht="28.5" customHeight="1" x14ac:dyDescent="0.25">
      <c r="A30" s="54">
        <v>27</v>
      </c>
      <c r="B30" s="52"/>
      <c r="C30" s="53">
        <v>1635.0538709677419</v>
      </c>
    </row>
    <row r="31" spans="1:4" ht="28.5" customHeight="1" x14ac:dyDescent="0.25">
      <c r="A31" s="54">
        <v>28</v>
      </c>
      <c r="B31" s="52"/>
      <c r="C31" s="53">
        <v>1635.0538709677419</v>
      </c>
    </row>
    <row r="32" spans="1:4" ht="28.5" customHeight="1" x14ac:dyDescent="0.25">
      <c r="A32" s="54">
        <v>29</v>
      </c>
      <c r="B32" s="52"/>
      <c r="C32" s="53">
        <v>1635.0538709677419</v>
      </c>
    </row>
    <row r="33" spans="1:3" ht="28.5" customHeight="1" x14ac:dyDescent="0.25">
      <c r="A33" s="54">
        <v>30</v>
      </c>
      <c r="B33" s="52"/>
      <c r="C33" s="53">
        <v>1635.0538709677419</v>
      </c>
    </row>
    <row r="34" spans="1:3" ht="28.5" customHeight="1" x14ac:dyDescent="0.25">
      <c r="A34" s="54">
        <v>31</v>
      </c>
      <c r="B34" s="52"/>
      <c r="C34" s="53">
        <v>1635.0538709677419</v>
      </c>
    </row>
    <row r="35" spans="1:3" x14ac:dyDescent="0.25">
      <c r="A35" s="96" t="s">
        <v>81</v>
      </c>
      <c r="B35" s="96"/>
      <c r="C35" s="57">
        <f>SUM(C4:C34)</f>
        <v>50686.67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20" zoomScaleNormal="100" workbookViewId="0">
      <selection activeCell="C33" sqref="C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7" t="s">
        <v>86</v>
      </c>
      <c r="B1" s="97"/>
      <c r="C1" s="97"/>
    </row>
    <row r="2" spans="1:3" ht="24.95" customHeight="1" x14ac:dyDescent="0.25">
      <c r="A2" s="60" t="s">
        <v>82</v>
      </c>
      <c r="B2" s="60" t="s">
        <v>83</v>
      </c>
      <c r="C2" s="60" t="s">
        <v>84</v>
      </c>
    </row>
    <row r="3" spans="1:3" ht="24.95" customHeight="1" x14ac:dyDescent="0.25">
      <c r="A3" s="61">
        <v>44470</v>
      </c>
      <c r="B3" s="63">
        <v>250</v>
      </c>
      <c r="C3" s="63">
        <v>326</v>
      </c>
    </row>
    <row r="4" spans="1:3" ht="24.95" customHeight="1" x14ac:dyDescent="0.25">
      <c r="A4" s="61">
        <v>44471</v>
      </c>
      <c r="B4" s="63">
        <v>260</v>
      </c>
      <c r="C4" s="63">
        <v>329</v>
      </c>
    </row>
    <row r="5" spans="1:3" ht="24.95" customHeight="1" x14ac:dyDescent="0.25">
      <c r="A5" s="61">
        <v>44472</v>
      </c>
      <c r="B5" s="63">
        <v>310</v>
      </c>
      <c r="C5" s="63">
        <v>379</v>
      </c>
    </row>
    <row r="6" spans="1:3" ht="24.95" customHeight="1" x14ac:dyDescent="0.25">
      <c r="A6" s="61">
        <v>44473</v>
      </c>
      <c r="B6" s="63">
        <v>334</v>
      </c>
      <c r="C6" s="63">
        <v>417</v>
      </c>
    </row>
    <row r="7" spans="1:3" ht="24.95" customHeight="1" x14ac:dyDescent="0.25">
      <c r="A7" s="61">
        <v>44474</v>
      </c>
      <c r="B7" s="63">
        <v>395</v>
      </c>
      <c r="C7" s="63">
        <v>476</v>
      </c>
    </row>
    <row r="8" spans="1:3" ht="24.95" customHeight="1" x14ac:dyDescent="0.25">
      <c r="A8" s="61">
        <v>44475</v>
      </c>
      <c r="B8" s="63">
        <v>377</v>
      </c>
      <c r="C8" s="63">
        <v>459</v>
      </c>
    </row>
    <row r="9" spans="1:3" ht="24.95" customHeight="1" x14ac:dyDescent="0.25">
      <c r="A9" s="61">
        <v>44476</v>
      </c>
      <c r="B9" s="63">
        <v>328</v>
      </c>
      <c r="C9" s="63">
        <v>410</v>
      </c>
    </row>
    <row r="10" spans="1:3" ht="24.95" customHeight="1" x14ac:dyDescent="0.25">
      <c r="A10" s="61">
        <v>44477</v>
      </c>
      <c r="B10" s="63">
        <v>311</v>
      </c>
      <c r="C10" s="63">
        <v>407</v>
      </c>
    </row>
    <row r="11" spans="1:3" ht="24.95" customHeight="1" x14ac:dyDescent="0.25">
      <c r="A11" s="61">
        <v>44478</v>
      </c>
      <c r="B11" s="63">
        <v>315</v>
      </c>
      <c r="C11" s="63">
        <v>391</v>
      </c>
    </row>
    <row r="12" spans="1:3" ht="24.95" customHeight="1" x14ac:dyDescent="0.25">
      <c r="A12" s="61">
        <v>44479</v>
      </c>
      <c r="B12" s="63">
        <v>355</v>
      </c>
      <c r="C12" s="63">
        <v>438</v>
      </c>
    </row>
    <row r="13" spans="1:3" ht="24.95" customHeight="1" x14ac:dyDescent="0.25">
      <c r="A13" s="61">
        <v>44480</v>
      </c>
      <c r="B13" s="63">
        <v>370</v>
      </c>
      <c r="C13" s="63">
        <v>459</v>
      </c>
    </row>
    <row r="14" spans="1:3" ht="24.95" customHeight="1" x14ac:dyDescent="0.25">
      <c r="A14" s="61">
        <v>44481</v>
      </c>
      <c r="B14" s="63">
        <v>369</v>
      </c>
      <c r="C14" s="63">
        <v>459</v>
      </c>
    </row>
    <row r="15" spans="1:3" ht="24.95" customHeight="1" x14ac:dyDescent="0.25">
      <c r="A15" s="61">
        <v>44482</v>
      </c>
      <c r="B15" s="63">
        <v>360</v>
      </c>
      <c r="C15" s="63">
        <v>452</v>
      </c>
    </row>
    <row r="16" spans="1:3" ht="24.95" customHeight="1" x14ac:dyDescent="0.25">
      <c r="A16" s="61">
        <v>44483</v>
      </c>
      <c r="B16" s="63">
        <v>312</v>
      </c>
      <c r="C16" s="63">
        <v>414</v>
      </c>
    </row>
    <row r="17" spans="1:3" ht="24.95" customHeight="1" x14ac:dyDescent="0.25">
      <c r="A17" s="61">
        <v>44484</v>
      </c>
      <c r="B17" s="63">
        <v>316</v>
      </c>
      <c r="C17" s="63">
        <v>433</v>
      </c>
    </row>
    <row r="18" spans="1:3" ht="24.95" customHeight="1" x14ac:dyDescent="0.25">
      <c r="A18" s="61">
        <v>44485</v>
      </c>
      <c r="B18" s="63">
        <v>323</v>
      </c>
      <c r="C18" s="63">
        <v>412</v>
      </c>
    </row>
    <row r="19" spans="1:3" ht="24.95" customHeight="1" x14ac:dyDescent="0.25">
      <c r="A19" s="61">
        <v>44486</v>
      </c>
      <c r="B19" s="63">
        <v>345</v>
      </c>
      <c r="C19" s="63">
        <v>426</v>
      </c>
    </row>
    <row r="20" spans="1:3" ht="24.95" customHeight="1" x14ac:dyDescent="0.25">
      <c r="A20" s="61">
        <v>44487</v>
      </c>
      <c r="B20" s="63">
        <v>342</v>
      </c>
      <c r="C20" s="63">
        <v>427</v>
      </c>
    </row>
    <row r="21" spans="1:3" ht="24.95" customHeight="1" x14ac:dyDescent="0.25">
      <c r="A21" s="61">
        <v>44488</v>
      </c>
      <c r="B21" s="63">
        <v>355</v>
      </c>
      <c r="C21" s="63">
        <v>451</v>
      </c>
    </row>
    <row r="22" spans="1:3" ht="24.95" customHeight="1" x14ac:dyDescent="0.25">
      <c r="A22" s="61">
        <v>44489</v>
      </c>
      <c r="B22" s="63">
        <v>385</v>
      </c>
      <c r="C22" s="63">
        <v>508</v>
      </c>
    </row>
    <row r="23" spans="1:3" ht="24.95" customHeight="1" x14ac:dyDescent="0.25">
      <c r="A23" s="61">
        <v>44490</v>
      </c>
      <c r="B23" s="63">
        <v>475</v>
      </c>
      <c r="C23" s="63">
        <v>742</v>
      </c>
    </row>
    <row r="24" spans="1:3" ht="24.95" customHeight="1" x14ac:dyDescent="0.25">
      <c r="A24" s="61">
        <v>44491</v>
      </c>
      <c r="B24" s="63">
        <v>435</v>
      </c>
      <c r="C24" s="63">
        <v>617</v>
      </c>
    </row>
    <row r="25" spans="1:3" ht="24.95" customHeight="1" x14ac:dyDescent="0.25">
      <c r="A25" s="61">
        <v>44492</v>
      </c>
      <c r="B25" s="63">
        <v>390</v>
      </c>
      <c r="C25" s="63">
        <v>478</v>
      </c>
    </row>
    <row r="26" spans="1:3" ht="24.95" customHeight="1" x14ac:dyDescent="0.25">
      <c r="A26" s="61">
        <v>44493</v>
      </c>
      <c r="B26" s="63">
        <v>430</v>
      </c>
      <c r="C26" s="63">
        <v>516</v>
      </c>
    </row>
    <row r="27" spans="1:3" ht="24.95" customHeight="1" x14ac:dyDescent="0.25">
      <c r="A27" s="61">
        <v>44494</v>
      </c>
      <c r="B27" s="63">
        <v>443</v>
      </c>
      <c r="C27" s="63">
        <v>525</v>
      </c>
    </row>
    <row r="28" spans="1:3" ht="24.95" customHeight="1" x14ac:dyDescent="0.25">
      <c r="A28" s="61">
        <v>44495</v>
      </c>
      <c r="B28" s="63">
        <v>440</v>
      </c>
      <c r="C28" s="63">
        <v>527</v>
      </c>
    </row>
    <row r="29" spans="1:3" ht="24.95" customHeight="1" x14ac:dyDescent="0.25">
      <c r="A29" s="61">
        <v>44496</v>
      </c>
      <c r="B29" s="63">
        <v>465</v>
      </c>
      <c r="C29" s="63">
        <v>541</v>
      </c>
    </row>
    <row r="30" spans="1:3" ht="24.95" customHeight="1" x14ac:dyDescent="0.25">
      <c r="A30" s="61">
        <v>44497</v>
      </c>
      <c r="B30" s="63">
        <v>396</v>
      </c>
      <c r="C30" s="63">
        <v>481</v>
      </c>
    </row>
    <row r="31" spans="1:3" ht="24.95" customHeight="1" x14ac:dyDescent="0.25">
      <c r="A31" s="61">
        <v>44498</v>
      </c>
      <c r="B31" s="63">
        <v>402</v>
      </c>
      <c r="C31" s="63">
        <v>508</v>
      </c>
    </row>
    <row r="32" spans="1:3" ht="24.95" customHeight="1" x14ac:dyDescent="0.25">
      <c r="A32" s="61">
        <v>44499</v>
      </c>
      <c r="B32" s="63">
        <v>396</v>
      </c>
      <c r="C32" s="63">
        <v>493</v>
      </c>
    </row>
    <row r="33" spans="1:3" ht="24.95" customHeight="1" x14ac:dyDescent="0.25">
      <c r="A33" s="61">
        <v>44500</v>
      </c>
      <c r="B33" s="63">
        <v>410</v>
      </c>
      <c r="C33" s="63">
        <v>501</v>
      </c>
    </row>
    <row r="34" spans="1:3" ht="30.75" customHeight="1" x14ac:dyDescent="0.25">
      <c r="A34" s="60" t="s">
        <v>85</v>
      </c>
      <c r="B34" s="62">
        <f>SUM(B3:B33)</f>
        <v>11394</v>
      </c>
      <c r="C34" s="62">
        <f>SUM(C3:C33)</f>
        <v>14402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2025-03-20T06:31:04Z</dcterms:modified>
  <cp:category/>
  <cp:contentStatus/>
</cp:coreProperties>
</file>