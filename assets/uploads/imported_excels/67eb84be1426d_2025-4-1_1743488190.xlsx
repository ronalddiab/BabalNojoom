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13_ncr:1_{DFBEB648-7C12-47C0-AA08-B2C535BAA3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2" r:id="rId1"/>
    <sheet name="Jan 2025" sheetId="3" r:id="rId2"/>
  </sheets>
  <definedNames>
    <definedName name="_xlnm.Print_Area" localSheetId="1">'Jan 2025'!$A$1:$AN$44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2" i="2"/>
  <c r="AO33" i="3" l="1"/>
  <c r="AO34" i="3"/>
  <c r="M31" i="2" s="1"/>
  <c r="AO35" i="3"/>
  <c r="M32" i="2" s="1"/>
  <c r="M30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7" i="2"/>
  <c r="M28" i="2"/>
  <c r="M29" i="2"/>
  <c r="AO32" i="3"/>
  <c r="AO31" i="3"/>
  <c r="AO30" i="3"/>
  <c r="AO29" i="3"/>
  <c r="M26" i="2" s="1"/>
  <c r="AO28" i="3"/>
  <c r="AO27" i="3"/>
  <c r="AO26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O5" i="3"/>
  <c r="L30" i="2"/>
  <c r="L31" i="2"/>
  <c r="L3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2" i="2"/>
  <c r="K30" i="2"/>
  <c r="K31" i="2"/>
  <c r="K3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2" i="2"/>
  <c r="J30" i="2"/>
  <c r="J31" i="2"/>
  <c r="J3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2" i="2"/>
  <c r="I30" i="2"/>
  <c r="I31" i="2"/>
  <c r="I3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2" i="2"/>
  <c r="H30" i="2"/>
  <c r="H31" i="2"/>
  <c r="H3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2" i="2"/>
  <c r="G30" i="2"/>
  <c r="G31" i="2"/>
  <c r="G3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E30" i="2"/>
  <c r="E31" i="2"/>
  <c r="E3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B57" i="3"/>
  <c r="G57" i="3" s="1"/>
  <c r="L57" i="3" s="1"/>
  <c r="B56" i="3"/>
  <c r="G56" i="3" s="1"/>
  <c r="L56" i="3" s="1"/>
  <c r="B55" i="3"/>
  <c r="G55" i="3" s="1"/>
  <c r="L55" i="3" s="1"/>
  <c r="L54" i="3"/>
  <c r="B54" i="3"/>
  <c r="G54" i="3" s="1"/>
  <c r="B50" i="3"/>
  <c r="G50" i="3" s="1"/>
  <c r="S50" i="3" s="1"/>
  <c r="B49" i="3"/>
  <c r="G49" i="3" s="1"/>
  <c r="S49" i="3" s="1"/>
  <c r="AP48" i="3"/>
  <c r="B48" i="3"/>
  <c r="G48" i="3" s="1"/>
  <c r="S48" i="3" s="1"/>
  <c r="AP47" i="3"/>
  <c r="AA47" i="3"/>
  <c r="B47" i="3"/>
  <c r="G47" i="3" s="1"/>
  <c r="S47" i="3" s="1"/>
  <c r="AP46" i="3"/>
  <c r="AP44" i="3"/>
  <c r="AH44" i="3" s="1"/>
  <c r="AB44" i="3"/>
  <c r="X44" i="3"/>
  <c r="T44" i="3"/>
  <c r="Z44" i="3" s="1"/>
  <c r="K44" i="3"/>
  <c r="AP43" i="3"/>
  <c r="AH43" i="3"/>
  <c r="AB43" i="3"/>
  <c r="X43" i="3"/>
  <c r="T43" i="3"/>
  <c r="Z43" i="3" s="1"/>
  <c r="K43" i="3"/>
  <c r="AP42" i="3"/>
  <c r="AH42" i="3"/>
  <c r="AB42" i="3"/>
  <c r="Z42" i="3"/>
  <c r="X42" i="3"/>
  <c r="T42" i="3"/>
  <c r="AD42" i="3" s="1"/>
  <c r="AI42" i="3" s="1"/>
  <c r="K42" i="3"/>
  <c r="T41" i="3"/>
  <c r="AB40" i="3"/>
  <c r="Z40" i="3"/>
  <c r="X40" i="3"/>
  <c r="T40" i="3"/>
  <c r="AD40" i="3" s="1"/>
  <c r="K40" i="3"/>
  <c r="T39" i="3"/>
  <c r="Z39" i="3" s="1"/>
  <c r="AN36" i="3"/>
  <c r="AM36" i="3"/>
  <c r="AC36" i="3"/>
  <c r="Z36" i="3"/>
  <c r="AL35" i="3"/>
  <c r="AK35" i="3"/>
  <c r="AH35" i="3"/>
  <c r="AG35" i="3"/>
  <c r="AI35" i="3" s="1"/>
  <c r="AF35" i="3"/>
  <c r="AE35" i="3"/>
  <c r="AB35" i="3"/>
  <c r="AA35" i="3"/>
  <c r="W35" i="3"/>
  <c r="U35" i="3"/>
  <c r="Q35" i="3"/>
  <c r="P35" i="3"/>
  <c r="N35" i="3"/>
  <c r="M35" i="3"/>
  <c r="K35" i="3"/>
  <c r="I35" i="3"/>
  <c r="H35" i="3"/>
  <c r="E35" i="3"/>
  <c r="F35" i="3" s="1"/>
  <c r="C35" i="3"/>
  <c r="R35" i="3" s="1"/>
  <c r="S35" i="3" s="1"/>
  <c r="AL34" i="3"/>
  <c r="AK34" i="3"/>
  <c r="AH34" i="3"/>
  <c r="AE34" i="3"/>
  <c r="AF34" i="3" s="1"/>
  <c r="AG34" i="3" s="1"/>
  <c r="AI34" i="3" s="1"/>
  <c r="AB34" i="3"/>
  <c r="AA34" i="3"/>
  <c r="X34" i="3"/>
  <c r="Y34" i="3" s="1"/>
  <c r="W34" i="3"/>
  <c r="U34" i="3"/>
  <c r="Q34" i="3"/>
  <c r="P34" i="3"/>
  <c r="M34" i="3"/>
  <c r="N34" i="3" s="1"/>
  <c r="K34" i="3"/>
  <c r="I34" i="3"/>
  <c r="H34" i="3"/>
  <c r="F34" i="3"/>
  <c r="R34" i="3" s="1"/>
  <c r="S34" i="3" s="1"/>
  <c r="E34" i="3"/>
  <c r="C34" i="3"/>
  <c r="AK33" i="3"/>
  <c r="AL33" i="3" s="1"/>
  <c r="AH33" i="3"/>
  <c r="AF33" i="3"/>
  <c r="AG33" i="3" s="1"/>
  <c r="AI33" i="3" s="1"/>
  <c r="AE33" i="3"/>
  <c r="AB33" i="3"/>
  <c r="AA33" i="3"/>
  <c r="Y33" i="3"/>
  <c r="X33" i="3"/>
  <c r="W33" i="3"/>
  <c r="U33" i="3"/>
  <c r="Q33" i="3"/>
  <c r="P33" i="3"/>
  <c r="N33" i="3"/>
  <c r="M33" i="3"/>
  <c r="K33" i="3"/>
  <c r="H33" i="3"/>
  <c r="I33" i="3" s="1"/>
  <c r="F33" i="3"/>
  <c r="E33" i="3"/>
  <c r="C33" i="3"/>
  <c r="AL32" i="3"/>
  <c r="AK32" i="3"/>
  <c r="AH32" i="3"/>
  <c r="AG32" i="3"/>
  <c r="AI32" i="3" s="1"/>
  <c r="AF32" i="3"/>
  <c r="AE32" i="3"/>
  <c r="AA32" i="3"/>
  <c r="AB32" i="3" s="1"/>
  <c r="W32" i="3"/>
  <c r="U32" i="3"/>
  <c r="X32" i="3" s="1"/>
  <c r="Y32" i="3" s="1"/>
  <c r="P32" i="3"/>
  <c r="Q32" i="3" s="1"/>
  <c r="N32" i="3"/>
  <c r="M32" i="3"/>
  <c r="K32" i="3"/>
  <c r="I32" i="3"/>
  <c r="H32" i="3"/>
  <c r="F32" i="3"/>
  <c r="E32" i="3"/>
  <c r="C32" i="3"/>
  <c r="R32" i="3" s="1"/>
  <c r="S32" i="3" s="1"/>
  <c r="AL31" i="3"/>
  <c r="AK31" i="3"/>
  <c r="AH31" i="3"/>
  <c r="AG31" i="3"/>
  <c r="AF31" i="3"/>
  <c r="AE31" i="3"/>
  <c r="AB31" i="3"/>
  <c r="AA31" i="3"/>
  <c r="W31" i="3"/>
  <c r="U31" i="3"/>
  <c r="Q31" i="3"/>
  <c r="P31" i="3"/>
  <c r="N31" i="3"/>
  <c r="M31" i="3"/>
  <c r="K31" i="3"/>
  <c r="I31" i="3"/>
  <c r="H31" i="3"/>
  <c r="E31" i="3"/>
  <c r="F31" i="3" s="1"/>
  <c r="C31" i="3"/>
  <c r="AL30" i="3"/>
  <c r="AK30" i="3"/>
  <c r="AH30" i="3"/>
  <c r="AE30" i="3"/>
  <c r="AF30" i="3" s="1"/>
  <c r="AG30" i="3" s="1"/>
  <c r="AI30" i="3" s="1"/>
  <c r="AB30" i="3"/>
  <c r="AA30" i="3"/>
  <c r="X30" i="3"/>
  <c r="Y30" i="3" s="1"/>
  <c r="W30" i="3"/>
  <c r="U30" i="3"/>
  <c r="Q30" i="3"/>
  <c r="P30" i="3"/>
  <c r="M30" i="3"/>
  <c r="N30" i="3" s="1"/>
  <c r="K30" i="3"/>
  <c r="I30" i="3"/>
  <c r="H30" i="3"/>
  <c r="F30" i="3"/>
  <c r="R30" i="3" s="1"/>
  <c r="S30" i="3" s="1"/>
  <c r="E30" i="3"/>
  <c r="C30" i="3"/>
  <c r="AK29" i="3"/>
  <c r="AL29" i="3" s="1"/>
  <c r="AH29" i="3"/>
  <c r="AF29" i="3"/>
  <c r="AG29" i="3" s="1"/>
  <c r="AI29" i="3" s="1"/>
  <c r="AE29" i="3"/>
  <c r="AB29" i="3"/>
  <c r="AA29" i="3"/>
  <c r="Y29" i="3"/>
  <c r="X29" i="3"/>
  <c r="W29" i="3"/>
  <c r="U29" i="3"/>
  <c r="Q29" i="3"/>
  <c r="P29" i="3"/>
  <c r="N29" i="3"/>
  <c r="M29" i="3"/>
  <c r="K29" i="3"/>
  <c r="H29" i="3"/>
  <c r="I29" i="3" s="1"/>
  <c r="F29" i="3"/>
  <c r="E29" i="3"/>
  <c r="C29" i="3"/>
  <c r="AL28" i="3"/>
  <c r="AK28" i="3"/>
  <c r="AH28" i="3"/>
  <c r="AG28" i="3"/>
  <c r="AI28" i="3" s="1"/>
  <c r="AF28" i="3"/>
  <c r="AE28" i="3"/>
  <c r="AA28" i="3"/>
  <c r="AB28" i="3" s="1"/>
  <c r="W28" i="3"/>
  <c r="U28" i="3"/>
  <c r="X28" i="3" s="1"/>
  <c r="Y28" i="3" s="1"/>
  <c r="P28" i="3"/>
  <c r="Q28" i="3" s="1"/>
  <c r="N28" i="3"/>
  <c r="K28" i="3"/>
  <c r="H28" i="3"/>
  <c r="I28" i="3" s="1"/>
  <c r="F28" i="3"/>
  <c r="E28" i="3"/>
  <c r="C28" i="3"/>
  <c r="AL27" i="3"/>
  <c r="AK27" i="3"/>
  <c r="AH27" i="3"/>
  <c r="AG27" i="3"/>
  <c r="AI27" i="3" s="1"/>
  <c r="AF27" i="3"/>
  <c r="AE27" i="3"/>
  <c r="AA27" i="3"/>
  <c r="AB27" i="3" s="1"/>
  <c r="W27" i="3"/>
  <c r="U27" i="3"/>
  <c r="X27" i="3" s="1"/>
  <c r="Y27" i="3" s="1"/>
  <c r="P27" i="3"/>
  <c r="Q27" i="3" s="1"/>
  <c r="N27" i="3"/>
  <c r="M27" i="3"/>
  <c r="K27" i="3"/>
  <c r="I27" i="3"/>
  <c r="H27" i="3"/>
  <c r="F27" i="3"/>
  <c r="E27" i="3"/>
  <c r="C27" i="3"/>
  <c r="R27" i="3" s="1"/>
  <c r="S27" i="3" s="1"/>
  <c r="AL26" i="3"/>
  <c r="AK26" i="3"/>
  <c r="AH26" i="3"/>
  <c r="AG26" i="3"/>
  <c r="AF26" i="3"/>
  <c r="AE26" i="3"/>
  <c r="AB26" i="3"/>
  <c r="AA26" i="3"/>
  <c r="W26" i="3"/>
  <c r="U26" i="3"/>
  <c r="X26" i="3" s="1"/>
  <c r="Y26" i="3" s="1"/>
  <c r="Q26" i="3"/>
  <c r="P26" i="3"/>
  <c r="N26" i="3"/>
  <c r="M26" i="3"/>
  <c r="K26" i="3"/>
  <c r="I26" i="3"/>
  <c r="H26" i="3"/>
  <c r="E26" i="3"/>
  <c r="F26" i="3" s="1"/>
  <c r="C26" i="3"/>
  <c r="AL25" i="3"/>
  <c r="AK25" i="3"/>
  <c r="AI25" i="3"/>
  <c r="AH25" i="3"/>
  <c r="AE25" i="3"/>
  <c r="AF25" i="3" s="1"/>
  <c r="AG25" i="3" s="1"/>
  <c r="AB25" i="3"/>
  <c r="AA25" i="3"/>
  <c r="X25" i="3"/>
  <c r="Y25" i="3" s="1"/>
  <c r="W25" i="3"/>
  <c r="U25" i="3"/>
  <c r="R25" i="3"/>
  <c r="S25" i="3" s="1"/>
  <c r="Q25" i="3"/>
  <c r="P25" i="3"/>
  <c r="M25" i="3"/>
  <c r="N25" i="3" s="1"/>
  <c r="K25" i="3"/>
  <c r="I25" i="3"/>
  <c r="H25" i="3"/>
  <c r="F25" i="3"/>
  <c r="E25" i="3"/>
  <c r="C25" i="3"/>
  <c r="AK24" i="3"/>
  <c r="AL24" i="3" s="1"/>
  <c r="AH24" i="3"/>
  <c r="AF24" i="3"/>
  <c r="AG24" i="3" s="1"/>
  <c r="AI24" i="3" s="1"/>
  <c r="AE24" i="3"/>
  <c r="AB24" i="3"/>
  <c r="AA24" i="3"/>
  <c r="Y24" i="3"/>
  <c r="X24" i="3"/>
  <c r="W24" i="3"/>
  <c r="U24" i="3"/>
  <c r="Q24" i="3"/>
  <c r="P24" i="3"/>
  <c r="N24" i="3"/>
  <c r="M24" i="3"/>
  <c r="K24" i="3"/>
  <c r="H24" i="3"/>
  <c r="I24" i="3" s="1"/>
  <c r="F24" i="3"/>
  <c r="E24" i="3"/>
  <c r="C24" i="3"/>
  <c r="AL23" i="3"/>
  <c r="AK23" i="3"/>
  <c r="AH23" i="3"/>
  <c r="AG23" i="3"/>
  <c r="AI23" i="3" s="1"/>
  <c r="AF23" i="3"/>
  <c r="AE23" i="3"/>
  <c r="AA23" i="3"/>
  <c r="AB23" i="3" s="1"/>
  <c r="Y23" i="3"/>
  <c r="W23" i="3"/>
  <c r="U23" i="3"/>
  <c r="X23" i="3" s="1"/>
  <c r="S23" i="3"/>
  <c r="P23" i="3"/>
  <c r="Q23" i="3" s="1"/>
  <c r="N23" i="3"/>
  <c r="M23" i="3"/>
  <c r="K23" i="3"/>
  <c r="I23" i="3"/>
  <c r="H23" i="3"/>
  <c r="F23" i="3"/>
  <c r="E23" i="3"/>
  <c r="C23" i="3"/>
  <c r="R23" i="3" s="1"/>
  <c r="AL22" i="3"/>
  <c r="AK22" i="3"/>
  <c r="AH22" i="3"/>
  <c r="AG22" i="3"/>
  <c r="AF22" i="3"/>
  <c r="AE22" i="3"/>
  <c r="AB22" i="3"/>
  <c r="AA22" i="3"/>
  <c r="W22" i="3"/>
  <c r="U22" i="3"/>
  <c r="Q22" i="3"/>
  <c r="P22" i="3"/>
  <c r="N22" i="3"/>
  <c r="M22" i="3"/>
  <c r="K22" i="3"/>
  <c r="I22" i="3"/>
  <c r="H22" i="3"/>
  <c r="E22" i="3"/>
  <c r="F22" i="3" s="1"/>
  <c r="C22" i="3"/>
  <c r="AL21" i="3"/>
  <c r="AK21" i="3"/>
  <c r="AH21" i="3"/>
  <c r="AG21" i="3"/>
  <c r="AI21" i="3" s="1"/>
  <c r="AE21" i="3"/>
  <c r="AF21" i="3" s="1"/>
  <c r="AA21" i="3"/>
  <c r="AB21" i="3" s="1"/>
  <c r="W21" i="3"/>
  <c r="U21" i="3"/>
  <c r="X21" i="3" s="1"/>
  <c r="Y21" i="3" s="1"/>
  <c r="P21" i="3"/>
  <c r="Q21" i="3" s="1"/>
  <c r="N21" i="3"/>
  <c r="M21" i="3"/>
  <c r="K21" i="3"/>
  <c r="I21" i="3"/>
  <c r="H21" i="3"/>
  <c r="F21" i="3"/>
  <c r="E21" i="3"/>
  <c r="C21" i="3"/>
  <c r="R21" i="3" s="1"/>
  <c r="S21" i="3" s="1"/>
  <c r="AL20" i="3"/>
  <c r="AK20" i="3"/>
  <c r="AH20" i="3"/>
  <c r="AG20" i="3"/>
  <c r="AI20" i="3" s="1"/>
  <c r="AF20" i="3"/>
  <c r="AE20" i="3"/>
  <c r="AB20" i="3"/>
  <c r="AA20" i="3"/>
  <c r="W20" i="3"/>
  <c r="U20" i="3"/>
  <c r="X20" i="3" s="1"/>
  <c r="Y20" i="3" s="1"/>
  <c r="Q20" i="3"/>
  <c r="P20" i="3"/>
  <c r="N20" i="3"/>
  <c r="M20" i="3"/>
  <c r="K20" i="3"/>
  <c r="I20" i="3"/>
  <c r="H20" i="3"/>
  <c r="E20" i="3"/>
  <c r="F20" i="3" s="1"/>
  <c r="C20" i="3"/>
  <c r="R20" i="3" s="1"/>
  <c r="S20" i="3" s="1"/>
  <c r="AL19" i="3"/>
  <c r="AK19" i="3"/>
  <c r="AH19" i="3"/>
  <c r="AE19" i="3"/>
  <c r="AF19" i="3" s="1"/>
  <c r="AG19" i="3" s="1"/>
  <c r="AI19" i="3" s="1"/>
  <c r="AB19" i="3"/>
  <c r="AA19" i="3"/>
  <c r="X19" i="3"/>
  <c r="Y19" i="3" s="1"/>
  <c r="W19" i="3"/>
  <c r="U19" i="3"/>
  <c r="Q19" i="3"/>
  <c r="P19" i="3"/>
  <c r="M19" i="3"/>
  <c r="N19" i="3" s="1"/>
  <c r="K19" i="3"/>
  <c r="I19" i="3"/>
  <c r="H19" i="3"/>
  <c r="F19" i="3"/>
  <c r="R19" i="3" s="1"/>
  <c r="S19" i="3" s="1"/>
  <c r="E19" i="3"/>
  <c r="C19" i="3"/>
  <c r="AK18" i="3"/>
  <c r="AL18" i="3" s="1"/>
  <c r="AH18" i="3"/>
  <c r="AF18" i="3"/>
  <c r="AG18" i="3" s="1"/>
  <c r="AI18" i="3" s="1"/>
  <c r="AE18" i="3"/>
  <c r="AB18" i="3"/>
  <c r="AA18" i="3"/>
  <c r="Y18" i="3"/>
  <c r="X18" i="3"/>
  <c r="W18" i="3"/>
  <c r="U18" i="3"/>
  <c r="Q18" i="3"/>
  <c r="P18" i="3"/>
  <c r="N18" i="3"/>
  <c r="M18" i="3"/>
  <c r="K18" i="3"/>
  <c r="H18" i="3"/>
  <c r="I18" i="3" s="1"/>
  <c r="F18" i="3"/>
  <c r="R18" i="3" s="1"/>
  <c r="S18" i="3" s="1"/>
  <c r="E18" i="3"/>
  <c r="C18" i="3"/>
  <c r="AL17" i="3"/>
  <c r="AK17" i="3"/>
  <c r="AH17" i="3"/>
  <c r="AG17" i="3"/>
  <c r="AI17" i="3" s="1"/>
  <c r="AF17" i="3"/>
  <c r="AE17" i="3"/>
  <c r="AA17" i="3"/>
  <c r="AB17" i="3" s="1"/>
  <c r="W17" i="3"/>
  <c r="U17" i="3"/>
  <c r="X17" i="3" s="1"/>
  <c r="Y17" i="3" s="1"/>
  <c r="P17" i="3"/>
  <c r="Q17" i="3" s="1"/>
  <c r="N17" i="3"/>
  <c r="M17" i="3"/>
  <c r="K17" i="3"/>
  <c r="I17" i="3"/>
  <c r="H17" i="3"/>
  <c r="F17" i="3"/>
  <c r="E17" i="3"/>
  <c r="C17" i="3"/>
  <c r="R17" i="3" s="1"/>
  <c r="S17" i="3" s="1"/>
  <c r="AL16" i="3"/>
  <c r="AK16" i="3"/>
  <c r="AH16" i="3"/>
  <c r="AG16" i="3"/>
  <c r="AI16" i="3" s="1"/>
  <c r="AF16" i="3"/>
  <c r="AE16" i="3"/>
  <c r="AB16" i="3"/>
  <c r="AA16" i="3"/>
  <c r="W16" i="3"/>
  <c r="U16" i="3"/>
  <c r="X16" i="3" s="1"/>
  <c r="Y16" i="3" s="1"/>
  <c r="Q16" i="3"/>
  <c r="P16" i="3"/>
  <c r="N16" i="3"/>
  <c r="M16" i="3"/>
  <c r="K16" i="3"/>
  <c r="I16" i="3"/>
  <c r="H16" i="3"/>
  <c r="E16" i="3"/>
  <c r="F16" i="3" s="1"/>
  <c r="C16" i="3"/>
  <c r="AL15" i="3"/>
  <c r="AK15" i="3"/>
  <c r="AH15" i="3"/>
  <c r="AE15" i="3"/>
  <c r="AF15" i="3" s="1"/>
  <c r="AG15" i="3" s="1"/>
  <c r="AI15" i="3" s="1"/>
  <c r="AB15" i="3"/>
  <c r="AA15" i="3"/>
  <c r="X15" i="3"/>
  <c r="Y15" i="3" s="1"/>
  <c r="W15" i="3"/>
  <c r="U15" i="3"/>
  <c r="Q15" i="3"/>
  <c r="P15" i="3"/>
  <c r="M15" i="3"/>
  <c r="N15" i="3" s="1"/>
  <c r="K15" i="3"/>
  <c r="I15" i="3"/>
  <c r="H15" i="3"/>
  <c r="F15" i="3"/>
  <c r="R15" i="3" s="1"/>
  <c r="S15" i="3" s="1"/>
  <c r="E15" i="3"/>
  <c r="C15" i="3"/>
  <c r="AK14" i="3"/>
  <c r="AL14" i="3" s="1"/>
  <c r="AH14" i="3"/>
  <c r="AF14" i="3"/>
  <c r="AG14" i="3" s="1"/>
  <c r="AI14" i="3" s="1"/>
  <c r="AE14" i="3"/>
  <c r="AB14" i="3"/>
  <c r="AA14" i="3"/>
  <c r="Y14" i="3"/>
  <c r="X14" i="3"/>
  <c r="W14" i="3"/>
  <c r="U14" i="3"/>
  <c r="Q14" i="3"/>
  <c r="P14" i="3"/>
  <c r="N14" i="3"/>
  <c r="M14" i="3"/>
  <c r="K14" i="3"/>
  <c r="H14" i="3"/>
  <c r="I14" i="3" s="1"/>
  <c r="F14" i="3"/>
  <c r="R14" i="3" s="1"/>
  <c r="S14" i="3" s="1"/>
  <c r="E14" i="3"/>
  <c r="C14" i="3"/>
  <c r="AL13" i="3"/>
  <c r="AK13" i="3"/>
  <c r="AH13" i="3"/>
  <c r="AG13" i="3"/>
  <c r="AI13" i="3" s="1"/>
  <c r="AF13" i="3"/>
  <c r="AE13" i="3"/>
  <c r="AA13" i="3"/>
  <c r="AB13" i="3" s="1"/>
  <c r="W13" i="3"/>
  <c r="U13" i="3"/>
  <c r="X13" i="3" s="1"/>
  <c r="Y13" i="3" s="1"/>
  <c r="P13" i="3"/>
  <c r="Q13" i="3" s="1"/>
  <c r="N13" i="3"/>
  <c r="M13" i="3"/>
  <c r="K13" i="3"/>
  <c r="I13" i="3"/>
  <c r="H13" i="3"/>
  <c r="F13" i="3"/>
  <c r="E13" i="3"/>
  <c r="C13" i="3"/>
  <c r="R13" i="3" s="1"/>
  <c r="S13" i="3" s="1"/>
  <c r="AL12" i="3"/>
  <c r="AK12" i="3"/>
  <c r="AH12" i="3"/>
  <c r="AG12" i="3"/>
  <c r="AI12" i="3" s="1"/>
  <c r="AF12" i="3"/>
  <c r="AE12" i="3"/>
  <c r="AB12" i="3"/>
  <c r="AA12" i="3"/>
  <c r="W12" i="3"/>
  <c r="U12" i="3"/>
  <c r="X12" i="3" s="1"/>
  <c r="Y12" i="3" s="1"/>
  <c r="Q12" i="3"/>
  <c r="P12" i="3"/>
  <c r="N12" i="3"/>
  <c r="M12" i="3"/>
  <c r="K12" i="3"/>
  <c r="I12" i="3"/>
  <c r="H12" i="3"/>
  <c r="E12" i="3"/>
  <c r="F12" i="3" s="1"/>
  <c r="C12" i="3"/>
  <c r="R12" i="3" s="1"/>
  <c r="S12" i="3" s="1"/>
  <c r="AL11" i="3"/>
  <c r="AK11" i="3"/>
  <c r="AH11" i="3"/>
  <c r="AE11" i="3"/>
  <c r="AF11" i="3" s="1"/>
  <c r="AG11" i="3" s="1"/>
  <c r="AI11" i="3" s="1"/>
  <c r="AB11" i="3"/>
  <c r="AA11" i="3"/>
  <c r="X11" i="3"/>
  <c r="Y11" i="3" s="1"/>
  <c r="W11" i="3"/>
  <c r="U11" i="3"/>
  <c r="Q11" i="3"/>
  <c r="P11" i="3"/>
  <c r="M11" i="3"/>
  <c r="N11" i="3" s="1"/>
  <c r="K11" i="3"/>
  <c r="I11" i="3"/>
  <c r="H11" i="3"/>
  <c r="F11" i="3"/>
  <c r="R11" i="3" s="1"/>
  <c r="S11" i="3" s="1"/>
  <c r="E11" i="3"/>
  <c r="C11" i="3"/>
  <c r="AK10" i="3"/>
  <c r="AL10" i="3" s="1"/>
  <c r="AH10" i="3"/>
  <c r="AF10" i="3"/>
  <c r="AG10" i="3" s="1"/>
  <c r="AI10" i="3" s="1"/>
  <c r="AE10" i="3"/>
  <c r="AB10" i="3"/>
  <c r="AA10" i="3"/>
  <c r="Y10" i="3"/>
  <c r="X10" i="3"/>
  <c r="W10" i="3"/>
  <c r="U10" i="3"/>
  <c r="Q10" i="3"/>
  <c r="P10" i="3"/>
  <c r="N10" i="3"/>
  <c r="M10" i="3"/>
  <c r="K10" i="3"/>
  <c r="H10" i="3"/>
  <c r="I10" i="3" s="1"/>
  <c r="F10" i="3"/>
  <c r="R10" i="3" s="1"/>
  <c r="S10" i="3" s="1"/>
  <c r="E10" i="3"/>
  <c r="C10" i="3"/>
  <c r="AL9" i="3"/>
  <c r="AK9" i="3"/>
  <c r="AH9" i="3"/>
  <c r="AG9" i="3"/>
  <c r="AI9" i="3" s="1"/>
  <c r="AF9" i="3"/>
  <c r="AE9" i="3"/>
  <c r="AA9" i="3"/>
  <c r="AB9" i="3" s="1"/>
  <c r="W9" i="3"/>
  <c r="U9" i="3"/>
  <c r="X9" i="3" s="1"/>
  <c r="Y9" i="3" s="1"/>
  <c r="P9" i="3"/>
  <c r="Q9" i="3" s="1"/>
  <c r="N9" i="3"/>
  <c r="M9" i="3"/>
  <c r="K9" i="3"/>
  <c r="I9" i="3"/>
  <c r="H9" i="3"/>
  <c r="F9" i="3"/>
  <c r="E9" i="3"/>
  <c r="C9" i="3"/>
  <c r="R9" i="3" s="1"/>
  <c r="S9" i="3" s="1"/>
  <c r="AL8" i="3"/>
  <c r="AK8" i="3"/>
  <c r="AH8" i="3"/>
  <c r="AG8" i="3"/>
  <c r="AI8" i="3" s="1"/>
  <c r="AF8" i="3"/>
  <c r="AE8" i="3"/>
  <c r="AB8" i="3"/>
  <c r="AA8" i="3"/>
  <c r="W8" i="3"/>
  <c r="U8" i="3"/>
  <c r="X8" i="3" s="1"/>
  <c r="Y8" i="3" s="1"/>
  <c r="Q8" i="3"/>
  <c r="P8" i="3"/>
  <c r="N8" i="3"/>
  <c r="M8" i="3"/>
  <c r="K8" i="3"/>
  <c r="I8" i="3"/>
  <c r="H8" i="3"/>
  <c r="E8" i="3"/>
  <c r="F8" i="3" s="1"/>
  <c r="C8" i="3"/>
  <c r="AL7" i="3"/>
  <c r="AK7" i="3"/>
  <c r="AH7" i="3"/>
  <c r="AE7" i="3"/>
  <c r="AF7" i="3" s="1"/>
  <c r="AG7" i="3" s="1"/>
  <c r="AI7" i="3" s="1"/>
  <c r="AB7" i="3"/>
  <c r="AA7" i="3"/>
  <c r="X7" i="3"/>
  <c r="Y7" i="3" s="1"/>
  <c r="W7" i="3"/>
  <c r="U7" i="3"/>
  <c r="Q7" i="3"/>
  <c r="P7" i="3"/>
  <c r="M7" i="3"/>
  <c r="N7" i="3" s="1"/>
  <c r="K7" i="3"/>
  <c r="I7" i="3"/>
  <c r="H7" i="3"/>
  <c r="F7" i="3"/>
  <c r="R7" i="3" s="1"/>
  <c r="S7" i="3" s="1"/>
  <c r="E7" i="3"/>
  <c r="C7" i="3"/>
  <c r="AK6" i="3"/>
  <c r="AK36" i="3" s="1"/>
  <c r="AH6" i="3"/>
  <c r="AF6" i="3"/>
  <c r="AG6" i="3" s="1"/>
  <c r="AI6" i="3" s="1"/>
  <c r="AE6" i="3"/>
  <c r="AE36" i="3" s="1"/>
  <c r="AB6" i="3"/>
  <c r="AA6" i="3"/>
  <c r="Y6" i="3"/>
  <c r="X6" i="3"/>
  <c r="W6" i="3"/>
  <c r="U6" i="3"/>
  <c r="U36" i="3" s="1"/>
  <c r="Q6" i="3"/>
  <c r="P6" i="3"/>
  <c r="N6" i="3"/>
  <c r="M6" i="3"/>
  <c r="K6" i="3"/>
  <c r="H6" i="3"/>
  <c r="I6" i="3" s="1"/>
  <c r="F6" i="3"/>
  <c r="R6" i="3" s="1"/>
  <c r="S6" i="3" s="1"/>
  <c r="E6" i="3"/>
  <c r="C6" i="3"/>
  <c r="AL5" i="3"/>
  <c r="AH5" i="3"/>
  <c r="AF5" i="3"/>
  <c r="AG5" i="3" s="1"/>
  <c r="AB5" i="3"/>
  <c r="AA5" i="3"/>
  <c r="X5" i="3"/>
  <c r="Q5" i="3"/>
  <c r="N5" i="3"/>
  <c r="N36" i="3" s="1"/>
  <c r="I5" i="3"/>
  <c r="F5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O36" i="3" l="1"/>
  <c r="M2" i="2"/>
  <c r="AG36" i="3"/>
  <c r="AI5" i="3"/>
  <c r="R8" i="3"/>
  <c r="S8" i="3" s="1"/>
  <c r="R16" i="3"/>
  <c r="S16" i="3" s="1"/>
  <c r="AA48" i="3"/>
  <c r="S51" i="3"/>
  <c r="R22" i="3"/>
  <c r="S22" i="3" s="1"/>
  <c r="R31" i="3"/>
  <c r="S31" i="3" s="1"/>
  <c r="Q36" i="3"/>
  <c r="Y5" i="3"/>
  <c r="AL6" i="3"/>
  <c r="X22" i="3"/>
  <c r="Y22" i="3" s="1"/>
  <c r="R24" i="3"/>
  <c r="S24" i="3" s="1"/>
  <c r="X31" i="3"/>
  <c r="Y31" i="3" s="1"/>
  <c r="AD43" i="3"/>
  <c r="AL36" i="3"/>
  <c r="C36" i="3"/>
  <c r="F36" i="3"/>
  <c r="R5" i="3"/>
  <c r="AA36" i="3"/>
  <c r="AH36" i="3"/>
  <c r="AP40" i="3" s="1"/>
  <c r="AH40" i="3" s="1"/>
  <c r="K36" i="3"/>
  <c r="W36" i="3"/>
  <c r="AI26" i="3"/>
  <c r="R28" i="3"/>
  <c r="S28" i="3" s="1"/>
  <c r="R29" i="3"/>
  <c r="S29" i="3" s="1"/>
  <c r="X35" i="3"/>
  <c r="Y35" i="3" s="1"/>
  <c r="AA49" i="3"/>
  <c r="AA51" i="3" s="1"/>
  <c r="AF36" i="3"/>
  <c r="AH39" i="3" s="1"/>
  <c r="I36" i="3"/>
  <c r="AB36" i="3"/>
  <c r="AI22" i="3"/>
  <c r="R26" i="3"/>
  <c r="S26" i="3" s="1"/>
  <c r="AI31" i="3"/>
  <c r="R33" i="3"/>
  <c r="S33" i="3" s="1"/>
  <c r="Z41" i="3"/>
  <c r="AD41" i="3"/>
  <c r="AA50" i="3"/>
  <c r="L58" i="3"/>
  <c r="AD39" i="3"/>
  <c r="AI39" i="3" s="1"/>
  <c r="AD44" i="3"/>
  <c r="AI44" i="3" s="1"/>
  <c r="B58" i="3"/>
  <c r="R36" i="3" l="1"/>
  <c r="S36" i="3" s="1"/>
  <c r="S5" i="3"/>
  <c r="X36" i="3"/>
  <c r="X39" i="3" s="1"/>
  <c r="AA39" i="3"/>
  <c r="L49" i="3"/>
  <c r="AD56" i="3" s="1"/>
  <c r="R56" i="3"/>
  <c r="W56" i="3" s="1"/>
  <c r="W49" i="3"/>
  <c r="Y36" i="3"/>
  <c r="AI36" i="3"/>
  <c r="AI40" i="3"/>
  <c r="AF49" i="3" l="1"/>
  <c r="X49" i="3"/>
  <c r="W47" i="3"/>
  <c r="R54" i="3"/>
  <c r="G39" i="3"/>
  <c r="L47" i="3"/>
  <c r="AD54" i="3" s="1"/>
  <c r="R57" i="3"/>
  <c r="W57" i="3" s="1"/>
  <c r="W50" i="3"/>
  <c r="AF39" i="3"/>
  <c r="L50" i="3"/>
  <c r="AD57" i="3" s="1"/>
  <c r="R55" i="3"/>
  <c r="W55" i="3" s="1"/>
  <c r="L48" i="3"/>
  <c r="AD55" i="3" s="1"/>
  <c r="W48" i="3"/>
  <c r="V39" i="3"/>
  <c r="V41" i="3" s="1"/>
  <c r="AG56" i="3"/>
  <c r="AE56" i="3"/>
  <c r="AH56" i="3" s="1"/>
  <c r="AB39" i="3"/>
  <c r="AA41" i="3"/>
  <c r="R58" i="3" l="1"/>
  <c r="W59" i="3" s="1"/>
  <c r="W54" i="3"/>
  <c r="W58" i="3" s="1"/>
  <c r="AF48" i="3"/>
  <c r="X48" i="3"/>
  <c r="AH49" i="3"/>
  <c r="AG49" i="3"/>
  <c r="X50" i="3"/>
  <c r="W51" i="3"/>
  <c r="X51" i="3" s="1"/>
  <c r="X47" i="3"/>
  <c r="AF41" i="3"/>
  <c r="AI43" i="3"/>
  <c r="G41" i="3"/>
  <c r="K39" i="3"/>
  <c r="AE55" i="3"/>
  <c r="AH55" i="3" s="1"/>
  <c r="AG55" i="3"/>
  <c r="AA56" i="3"/>
  <c r="AB41" i="3"/>
  <c r="X41" i="3"/>
  <c r="AA55" i="3"/>
  <c r="AE57" i="3"/>
  <c r="AH57" i="3" s="1"/>
  <c r="AG57" i="3"/>
  <c r="AD58" i="3"/>
  <c r="AG54" i="3"/>
  <c r="AG58" i="3" s="1"/>
  <c r="AE54" i="3"/>
  <c r="AA57" i="3" l="1"/>
  <c r="AP41" i="3"/>
  <c r="AH41" i="3" s="1"/>
  <c r="AF50" i="3"/>
  <c r="AH48" i="3"/>
  <c r="AG48" i="3"/>
  <c r="AH54" i="3"/>
  <c r="AH58" i="3" s="1"/>
  <c r="AE58" i="3"/>
  <c r="AA54" i="3"/>
  <c r="K41" i="3"/>
  <c r="AF47" i="3"/>
  <c r="AH50" i="3" l="1"/>
  <c r="AG50" i="3"/>
  <c r="AA58" i="3"/>
  <c r="AH47" i="3"/>
  <c r="AF51" i="3"/>
  <c r="AG51" i="3" s="1"/>
  <c r="AG47" i="3"/>
</calcChain>
</file>

<file path=xl/sharedStrings.xml><?xml version="1.0" encoding="utf-8"?>
<sst xmlns="http://schemas.openxmlformats.org/spreadsheetml/2006/main" count="199" uniqueCount="99">
  <si>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</si>
  <si>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</si>
  <si>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</si>
  <si>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</si>
  <si>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</si>
  <si>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</si>
  <si>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</si>
  <si>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</si>
  <si>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</si>
  <si>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</si>
  <si>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</si>
  <si>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</si>
  <si>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</si>
  <si>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</si>
  <si>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</si>
  <si>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r>
      <t>M</t>
    </r>
    <r>
      <rPr>
        <b/>
        <vertAlign val="superscript"/>
        <sz val="12"/>
        <rFont val="Calibri"/>
        <family val="2"/>
        <scheme val="minor"/>
      </rPr>
      <t>3</t>
    </r>
  </si>
  <si>
    <t>Chilled Water</t>
  </si>
  <si>
    <t>Ton Hour</t>
  </si>
  <si>
    <t>Additional Info</t>
  </si>
  <si>
    <t>Adl. &amp; Chl.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</si>
  <si>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</si>
  <si>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Total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</si>
  <si>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No of Cylinder</t>
  </si>
  <si>
    <t>Cons. Ltrs</t>
  </si>
  <si>
    <t>Gas</t>
  </si>
  <si>
    <t>Litres</t>
  </si>
  <si>
    <t>Hotel Reading</t>
  </si>
  <si>
    <t>Irrigation water BHP</t>
  </si>
  <si>
    <t>To be deducted       from Hotel Meter.</t>
  </si>
  <si>
    <t>Total ELE Cons.
KW</t>
  </si>
  <si>
    <t>Hotel BTU Meter Energy Reading</t>
  </si>
  <si>
    <t>1st Floor Kitchen</t>
  </si>
  <si>
    <t>Gas 
AED</t>
  </si>
  <si>
    <t>AVT Charges should be Zero in the DC invoice - Please notify if not</t>
  </si>
  <si>
    <t>Daily Budget</t>
  </si>
  <si>
    <t>MTD Average</t>
  </si>
  <si>
    <t>MTD Budget</t>
  </si>
  <si>
    <t>MTD Actual</t>
  </si>
  <si>
    <t>Monthly Budget</t>
  </si>
  <si>
    <t>YTD Budget</t>
  </si>
  <si>
    <t>YTD Actual</t>
  </si>
  <si>
    <t>Total Energy cost</t>
  </si>
  <si>
    <t>Total Energy Cost YTD</t>
  </si>
  <si>
    <t>LP Gas</t>
  </si>
  <si>
    <t>Savings</t>
  </si>
  <si>
    <t>Exceeds</t>
  </si>
  <si>
    <t>MDB #2</t>
  </si>
  <si>
    <t>MDB #3</t>
  </si>
  <si>
    <t>MDB #1
MDB-E</t>
  </si>
  <si>
    <t>MDB #1
SMDB Kitchen</t>
  </si>
  <si>
    <t>MDB #1
Fire Pump #1</t>
  </si>
  <si>
    <t>MDB #1
Fire Pump #2</t>
  </si>
  <si>
    <r>
      <t xml:space="preserve">Hotel share </t>
    </r>
    <r>
      <rPr>
        <u/>
        <sz val="9"/>
        <color theme="1"/>
        <rFont val="Calibri"/>
        <family val="2"/>
        <scheme val="minor"/>
      </rPr>
      <t>94.38 %</t>
    </r>
  </si>
  <si>
    <r>
      <t xml:space="preserve">Hotel  share </t>
    </r>
    <r>
      <rPr>
        <u/>
        <sz val="9"/>
        <color theme="1"/>
        <rFont val="Calibri"/>
        <family val="2"/>
        <scheme val="minor"/>
      </rPr>
      <t>65.36 %</t>
    </r>
  </si>
  <si>
    <r>
      <t xml:space="preserve">Hotel share </t>
    </r>
    <r>
      <rPr>
        <u/>
        <sz val="9"/>
        <color theme="1"/>
        <rFont val="Calibri"/>
        <family val="2"/>
        <scheme val="minor"/>
      </rPr>
      <t>50 %</t>
    </r>
  </si>
  <si>
    <t>Actual Last Year</t>
  </si>
  <si>
    <t>Average Daily Consumption Last Year</t>
  </si>
  <si>
    <t>MTD Average Last Year</t>
  </si>
  <si>
    <t>MTD Actual Vs Last Year</t>
  </si>
  <si>
    <t>YTD Actual Vs Last Year</t>
  </si>
  <si>
    <t>MTD Savings Forecast Vs LY</t>
  </si>
  <si>
    <t>YTD Savings Forecast Vs LY</t>
  </si>
  <si>
    <t>MTD Fcast</t>
  </si>
  <si>
    <t>YTD Fcast</t>
  </si>
  <si>
    <t>Gas Cylinder purchased
(50 litres)</t>
  </si>
  <si>
    <t>Actual YTD 2024</t>
  </si>
  <si>
    <t>CHW Consumption Charges (Actual 2024 YTD)</t>
  </si>
  <si>
    <t>CHW Fixed Charges YTD 2024</t>
  </si>
  <si>
    <t>CAPITAL CENTRE ARJAAN UTILITIES CONSUMPTION - 2024.</t>
  </si>
  <si>
    <t>Bulk ETS Energy Meter Reading</t>
  </si>
  <si>
    <t>ETS Cons.
Ton Hours</t>
  </si>
  <si>
    <t>ETS Cons.
MWH</t>
  </si>
  <si>
    <t>Actual YTD 2025</t>
  </si>
  <si>
    <t>Budget YTD 2025</t>
  </si>
  <si>
    <t>CHW Fixed Charges YTD 2025</t>
  </si>
  <si>
    <t>CHW Consumption Charges (Budget 2025 MTD)</t>
  </si>
  <si>
    <t>CHW Consumption Charges (Actual 2025 YTD)</t>
  </si>
  <si>
    <t>CHW Consumption Charges (Budget 2025 YTD)</t>
  </si>
  <si>
    <t>CHW Consumption Charges (Actual 2024 MTD)</t>
  </si>
  <si>
    <t>Room Nights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</si>
  <si>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</si>
  <si>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</si>
  <si>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</si>
  <si>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</si>
  <si>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</si>
  <si>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</si>
  <si>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</si>
  <si>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</si>
  <si>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</si>
  <si>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</si>
  <si>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</si>
  <si>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</si>
  <si>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>Capital Centre Arjaan</t>
  </si>
  <si>
    <t xml:space="preserve">LPG (Liters) </t>
  </si>
  <si>
    <t>LPG $/Liters</t>
  </si>
  <si>
    <t>Hotel Occupancy %</t>
  </si>
  <si>
    <t>Actual January 2025</t>
  </si>
  <si>
    <t>Budget January 2025</t>
  </si>
  <si>
    <t>Actual January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</si>
</sst>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.00_ ;\-#,##0.00\ "/>
    <numFmt numFmtId="167" formatCode="0;&quot;&quot;"/>
    <numFmt numFmtId="168" formatCode="_(* #,##0.00_);_(* \(#,##0.00\);_(* &quot;-&quot;_);_(@_)"/>
    <numFmt numFmtId="169" formatCode="_-* #,##0_-;\-* #,##0_-;_-* &quot;-&quot;??_-;_-@_-"/>
    <numFmt numFmtId="170" formatCode="_(* #,##0_);[Red]_(* \(#,##0\);_(* &quot;-&quot;??_);_(@_)\ "/>
    <numFmt numFmtId="171" formatCode="0.0000"/>
  </numFmts>
  <fonts count="43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B0F0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6">
    <xf numFmtId="0" fontId="0" fillId="0" borderId="0"/>
    <xf numFmtId="9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9" fontId="1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9" fillId="0" borderId="17">
      <alignment horizontal="center" vertical="center"/>
    </xf>
    <xf numFmtId="0" fontId="20" fillId="0" borderId="0">
      <alignment vertical="top"/>
    </xf>
    <xf numFmtId="0" fontId="17" fillId="0" borderId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</cellStyleXfs>
  <cellXfs count="35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/>
    <xf numFmtId="0" fontId="4" fillId="0" borderId="0" xfId="0" applyFont="1" applyAlignment="1">
      <alignment horizontal="center" vertical="center"/>
    </xf>
    <xf numFmtId="0" fontId="8" fillId="0" borderId="0" xfId="0" applyFont="1"/>
    <xf numFmtId="0" fontId="12" fillId="0" borderId="0" xfId="0" applyFont="1"/>
    <xf numFmtId="0" fontId="22" fillId="8" borderId="7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23" fillId="0" borderId="0" xfId="0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10" fontId="0" fillId="0" borderId="0" xfId="0" applyNumberFormat="1"/>
    <xf numFmtId="165" fontId="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2" fillId="8" borderId="1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65" fontId="26" fillId="0" borderId="0" xfId="18" applyFont="1" applyBorder="1" applyAlignment="1">
      <alignment vertical="center"/>
    </xf>
    <xf numFmtId="165" fontId="30" fillId="0" borderId="0" xfId="18" applyFont="1" applyBorder="1" applyAlignment="1">
      <alignment vertical="center"/>
    </xf>
    <xf numFmtId="0" fontId="14" fillId="0" borderId="0" xfId="0" applyFont="1" applyAlignment="1">
      <alignment horizontal="center"/>
    </xf>
    <xf numFmtId="0" fontId="25" fillId="0" borderId="0" xfId="0" applyFont="1" applyAlignment="1">
      <alignment horizontal="center" vertical="center" wrapText="1"/>
    </xf>
    <xf numFmtId="165" fontId="27" fillId="0" borderId="26" xfId="18" applyFont="1" applyBorder="1" applyAlignment="1">
      <alignment vertical="center"/>
    </xf>
    <xf numFmtId="167" fontId="24" fillId="0" borderId="26" xfId="18" applyNumberFormat="1" applyFont="1" applyBorder="1" applyAlignment="1">
      <alignment horizontal="center" vertical="center"/>
    </xf>
    <xf numFmtId="167" fontId="14" fillId="0" borderId="27" xfId="18" applyNumberFormat="1" applyFont="1" applyBorder="1" applyAlignment="1">
      <alignment horizontal="center" vertical="center"/>
    </xf>
    <xf numFmtId="165" fontId="27" fillId="0" borderId="29" xfId="18" applyFont="1" applyBorder="1" applyAlignment="1">
      <alignment vertical="center"/>
    </xf>
    <xf numFmtId="167" fontId="24" fillId="0" borderId="29" xfId="18" applyNumberFormat="1" applyFont="1" applyBorder="1" applyAlignment="1">
      <alignment horizontal="center" vertical="center"/>
    </xf>
    <xf numFmtId="167" fontId="14" fillId="0" borderId="30" xfId="18" applyNumberFormat="1" applyFont="1" applyBorder="1" applyAlignment="1">
      <alignment horizontal="center" vertical="center"/>
    </xf>
    <xf numFmtId="165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165" fontId="27" fillId="0" borderId="32" xfId="18" applyFont="1" applyBorder="1" applyAlignment="1">
      <alignment horizontal="center" vertical="center"/>
    </xf>
    <xf numFmtId="167" fontId="27" fillId="0" borderId="33" xfId="18" applyNumberFormat="1" applyFont="1" applyBorder="1" applyAlignment="1">
      <alignment horizontal="center" vertical="center"/>
    </xf>
    <xf numFmtId="165" fontId="27" fillId="0" borderId="30" xfId="18" applyFont="1" applyBorder="1" applyAlignment="1">
      <alignment vertical="center"/>
    </xf>
    <xf numFmtId="165" fontId="27" fillId="0" borderId="27" xfId="18" applyFont="1" applyBorder="1" applyAlignment="1">
      <alignment vertical="center"/>
    </xf>
    <xf numFmtId="165" fontId="27" fillId="0" borderId="33" xfId="18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165" fontId="23" fillId="0" borderId="27" xfId="18" applyFont="1" applyBorder="1" applyAlignment="1">
      <alignment horizontal="center" vertical="center"/>
    </xf>
    <xf numFmtId="165" fontId="23" fillId="0" borderId="30" xfId="18" applyFont="1" applyBorder="1" applyAlignment="1">
      <alignment horizontal="center" vertical="center"/>
    </xf>
    <xf numFmtId="165" fontId="23" fillId="0" borderId="33" xfId="18" applyFont="1" applyBorder="1" applyAlignment="1">
      <alignment horizontal="center" vertical="center"/>
    </xf>
    <xf numFmtId="0" fontId="24" fillId="0" borderId="25" xfId="0" applyFont="1" applyBorder="1" applyAlignment="1">
      <alignment vertical="center"/>
    </xf>
    <xf numFmtId="166" fontId="27" fillId="0" borderId="27" xfId="18" applyNumberFormat="1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166" fontId="27" fillId="0" borderId="30" xfId="18" applyNumberFormat="1" applyFont="1" applyBorder="1" applyAlignment="1">
      <alignment vertical="center"/>
    </xf>
    <xf numFmtId="0" fontId="24" fillId="0" borderId="31" xfId="0" applyFont="1" applyBorder="1" applyAlignment="1">
      <alignment vertical="center"/>
    </xf>
    <xf numFmtId="0" fontId="28" fillId="0" borderId="0" xfId="0" applyFont="1" applyAlignment="1">
      <alignment horizontal="left" vertical="center"/>
    </xf>
    <xf numFmtId="165" fontId="27" fillId="0" borderId="0" xfId="18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27" fillId="0" borderId="0" xfId="18" applyFont="1" applyBorder="1" applyAlignment="1">
      <alignment horizontal="center"/>
    </xf>
    <xf numFmtId="167" fontId="27" fillId="0" borderId="0" xfId="18" applyNumberFormat="1" applyFont="1" applyBorder="1" applyAlignment="1">
      <alignment horizontal="center" vertical="center"/>
    </xf>
    <xf numFmtId="14" fontId="32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0" borderId="0" xfId="0" applyFont="1"/>
    <xf numFmtId="0" fontId="36" fillId="0" borderId="0" xfId="0" applyFont="1" applyAlignment="1">
      <alignment horizontal="center" vertical="center"/>
    </xf>
    <xf numFmtId="0" fontId="35" fillId="0" borderId="0" xfId="0" applyFont="1" applyAlignment="1">
      <alignment horizontal="center"/>
    </xf>
    <xf numFmtId="165" fontId="35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/>
    </xf>
    <xf numFmtId="3" fontId="35" fillId="0" borderId="0" xfId="0" applyNumberFormat="1" applyFont="1"/>
    <xf numFmtId="0" fontId="38" fillId="0" borderId="0" xfId="0" applyFont="1"/>
    <xf numFmtId="168" fontId="37" fillId="0" borderId="0" xfId="0" applyNumberFormat="1" applyFont="1" applyAlignment="1">
      <alignment horizontal="center"/>
    </xf>
    <xf numFmtId="165" fontId="37" fillId="0" borderId="0" xfId="0" applyNumberFormat="1" applyFont="1" applyAlignment="1">
      <alignment horizontal="center"/>
    </xf>
    <xf numFmtId="10" fontId="35" fillId="0" borderId="0" xfId="0" applyNumberFormat="1" applyFont="1" applyAlignment="1">
      <alignment horizontal="right"/>
    </xf>
    <xf numFmtId="165" fontId="35" fillId="0" borderId="0" xfId="0" applyNumberFormat="1" applyFont="1"/>
    <xf numFmtId="0" fontId="0" fillId="0" borderId="35" xfId="0" applyBorder="1" applyAlignment="1">
      <alignment horizontal="center" vertical="center"/>
    </xf>
    <xf numFmtId="2" fontId="0" fillId="0" borderId="35" xfId="0" applyNumberFormat="1" applyBorder="1" applyAlignment="1">
      <alignment horizontal="center" vertical="center"/>
    </xf>
    <xf numFmtId="1" fontId="3" fillId="0" borderId="35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1" fontId="5" fillId="0" borderId="29" xfId="0" applyNumberFormat="1" applyFont="1" applyBorder="1" applyAlignment="1">
      <alignment horizontal="center" vertical="center"/>
    </xf>
    <xf numFmtId="1" fontId="3" fillId="0" borderId="29" xfId="0" applyNumberFormat="1" applyFon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3" fontId="3" fillId="0" borderId="29" xfId="0" applyNumberFormat="1" applyFont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1" fontId="5" fillId="6" borderId="29" xfId="0" applyNumberFormat="1" applyFont="1" applyFill="1" applyBorder="1" applyAlignment="1">
      <alignment horizontal="center" vertical="center"/>
    </xf>
    <xf numFmtId="1" fontId="3" fillId="6" borderId="29" xfId="0" applyNumberFormat="1" applyFont="1" applyFill="1" applyBorder="1" applyAlignment="1">
      <alignment horizontal="center" vertical="center"/>
    </xf>
    <xf numFmtId="3" fontId="3" fillId="6" borderId="29" xfId="0" applyNumberFormat="1" applyFont="1" applyFill="1" applyBorder="1" applyAlignment="1">
      <alignment horizontal="center" vertical="center"/>
    </xf>
    <xf numFmtId="3" fontId="4" fillId="0" borderId="43" xfId="0" applyNumberFormat="1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3" fontId="4" fillId="0" borderId="42" xfId="0" applyNumberFormat="1" applyFont="1" applyBorder="1" applyAlignment="1">
      <alignment horizontal="center" vertical="center"/>
    </xf>
    <xf numFmtId="3" fontId="5" fillId="0" borderId="44" xfId="0" applyNumberFormat="1" applyFont="1" applyBorder="1" applyAlignment="1">
      <alignment horizontal="center" vertical="center"/>
    </xf>
    <xf numFmtId="0" fontId="12" fillId="6" borderId="37" xfId="0" applyFont="1" applyFill="1" applyBorder="1" applyAlignment="1">
      <alignment vertical="center"/>
    </xf>
    <xf numFmtId="4" fontId="12" fillId="6" borderId="29" xfId="18" applyNumberFormat="1" applyFont="1" applyFill="1" applyBorder="1" applyAlignment="1">
      <alignment horizontal="center" vertical="center"/>
    </xf>
    <xf numFmtId="0" fontId="12" fillId="6" borderId="39" xfId="0" applyFont="1" applyFill="1" applyBorder="1" applyAlignment="1">
      <alignment vertical="center"/>
    </xf>
    <xf numFmtId="0" fontId="29" fillId="7" borderId="42" xfId="0" applyFont="1" applyFill="1" applyBorder="1" applyAlignment="1">
      <alignment horizontal="center" vertical="center"/>
    </xf>
    <xf numFmtId="0" fontId="9" fillId="7" borderId="43" xfId="0" applyFont="1" applyFill="1" applyBorder="1" applyAlignment="1">
      <alignment horizontal="center" vertical="center"/>
    </xf>
    <xf numFmtId="0" fontId="9" fillId="7" borderId="44" xfId="0" applyFont="1" applyFill="1" applyBorder="1" applyAlignment="1">
      <alignment horizontal="center" vertical="center"/>
    </xf>
    <xf numFmtId="0" fontId="12" fillId="6" borderId="34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165" fontId="34" fillId="0" borderId="0" xfId="18" applyFont="1" applyBorder="1" applyAlignment="1">
      <alignment vertical="center"/>
    </xf>
    <xf numFmtId="0" fontId="39" fillId="0" borderId="0" xfId="0" applyFont="1" applyAlignment="1">
      <alignment horizontal="center" vertical="center"/>
    </xf>
    <xf numFmtId="169" fontId="23" fillId="0" borderId="30" xfId="18" applyNumberFormat="1" applyFont="1" applyBorder="1" applyAlignment="1">
      <alignment horizontal="center" vertical="center"/>
    </xf>
    <xf numFmtId="169" fontId="23" fillId="0" borderId="33" xfId="18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65" fontId="14" fillId="0" borderId="0" xfId="18" applyFont="1" applyBorder="1" applyAlignment="1">
      <alignment horizontal="center" vertical="center"/>
    </xf>
    <xf numFmtId="37" fontId="27" fillId="0" borderId="27" xfId="18" applyNumberFormat="1" applyFont="1" applyBorder="1" applyAlignment="1">
      <alignment vertical="center"/>
    </xf>
    <xf numFmtId="37" fontId="27" fillId="0" borderId="30" xfId="18" applyNumberFormat="1" applyFont="1" applyBorder="1" applyAlignment="1">
      <alignment vertical="center"/>
    </xf>
    <xf numFmtId="37" fontId="27" fillId="0" borderId="33" xfId="18" applyNumberFormat="1" applyFont="1" applyBorder="1" applyAlignment="1">
      <alignment vertical="center"/>
    </xf>
    <xf numFmtId="170" fontId="39" fillId="0" borderId="24" xfId="0" applyNumberFormat="1" applyFont="1" applyBorder="1" applyAlignment="1">
      <alignment horizontal="right" vertic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70" fontId="34" fillId="0" borderId="32" xfId="18" applyNumberFormat="1" applyFont="1" applyBorder="1" applyAlignment="1">
      <alignment horizontal="center" vertical="center"/>
    </xf>
    <xf numFmtId="4" fontId="12" fillId="0" borderId="0" xfId="0" applyNumberFormat="1" applyFont="1"/>
    <xf numFmtId="14" fontId="0" fillId="0" borderId="48" xfId="0" applyNumberForma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3" fontId="0" fillId="0" borderId="29" xfId="0" applyNumberFormat="1" applyBorder="1" applyAlignment="1">
      <alignment horizontal="center" vertical="center"/>
    </xf>
    <xf numFmtId="4" fontId="14" fillId="0" borderId="29" xfId="0" applyNumberFormat="1" applyFont="1" applyBorder="1" applyAlignment="1">
      <alignment horizontal="center" vertical="center"/>
    </xf>
    <xf numFmtId="4" fontId="12" fillId="6" borderId="38" xfId="0" applyNumberFormat="1" applyFont="1" applyFill="1" applyBorder="1" applyAlignment="1">
      <alignment horizontal="center" vertical="center"/>
    </xf>
    <xf numFmtId="4" fontId="14" fillId="6" borderId="35" xfId="0" applyNumberFormat="1" applyFont="1" applyFill="1" applyBorder="1" applyAlignment="1">
      <alignment horizontal="center" vertical="center"/>
    </xf>
    <xf numFmtId="4" fontId="12" fillId="6" borderId="4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2" fillId="7" borderId="46" xfId="0" applyFont="1" applyFill="1" applyBorder="1" applyAlignment="1">
      <alignment horizontal="center" vertical="center" wrapText="1"/>
    </xf>
    <xf numFmtId="0" fontId="2" fillId="7" borderId="47" xfId="0" applyFont="1" applyFill="1" applyBorder="1" applyAlignment="1">
      <alignment horizontal="center" vertical="center" wrapText="1"/>
    </xf>
    <xf numFmtId="3" fontId="3" fillId="0" borderId="36" xfId="0" applyNumberFormat="1" applyFont="1" applyBorder="1" applyAlignment="1">
      <alignment horizontal="center" vertical="center"/>
    </xf>
    <xf numFmtId="3" fontId="3" fillId="0" borderId="38" xfId="0" applyNumberFormat="1" applyFon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1" fontId="3" fillId="0" borderId="38" xfId="0" applyNumberFormat="1" applyFont="1" applyBorder="1" applyAlignment="1">
      <alignment horizontal="center" vertical="center"/>
    </xf>
    <xf numFmtId="1" fontId="3" fillId="6" borderId="38" xfId="0" applyNumberFormat="1" applyFont="1" applyFill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3" fontId="3" fillId="0" borderId="35" xfId="0" applyNumberFormat="1" applyFont="1" applyBorder="1" applyAlignment="1">
      <alignment horizontal="center" vertical="center"/>
    </xf>
    <xf numFmtId="1" fontId="5" fillId="0" borderId="36" xfId="0" applyNumberFormat="1" applyFont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 vertical="center"/>
    </xf>
    <xf numFmtId="3" fontId="5" fillId="0" borderId="43" xfId="0" applyNumberFormat="1" applyFont="1" applyBorder="1" applyAlignment="1">
      <alignment horizontal="center" vertical="center"/>
    </xf>
    <xf numFmtId="3" fontId="5" fillId="0" borderId="43" xfId="18" applyNumberFormat="1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4" fontId="2" fillId="0" borderId="43" xfId="0" applyNumberFormat="1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45" xfId="0" applyNumberFormat="1" applyBorder="1" applyAlignment="1">
      <alignment horizontal="center" vertical="center"/>
    </xf>
    <xf numFmtId="0" fontId="4" fillId="0" borderId="51" xfId="0" applyFont="1" applyBorder="1" applyAlignment="1">
      <alignment vertical="center"/>
    </xf>
    <xf numFmtId="0" fontId="33" fillId="0" borderId="0" xfId="0" applyFont="1" applyAlignment="1">
      <alignment vertical="center"/>
    </xf>
    <xf numFmtId="165" fontId="36" fillId="0" borderId="30" xfId="18" applyFont="1" applyBorder="1" applyAlignment="1">
      <alignment horizontal="center" vertical="center"/>
    </xf>
    <xf numFmtId="168" fontId="36" fillId="0" borderId="30" xfId="24" applyNumberFormat="1" applyFont="1" applyBorder="1" applyAlignment="1">
      <alignment horizontal="center" vertical="center"/>
    </xf>
    <xf numFmtId="168" fontId="36" fillId="0" borderId="33" xfId="24" applyNumberFormat="1" applyFont="1" applyBorder="1" applyAlignment="1">
      <alignment horizontal="center" vertical="center"/>
    </xf>
    <xf numFmtId="0" fontId="33" fillId="0" borderId="28" xfId="0" applyFont="1" applyBorder="1" applyAlignment="1">
      <alignment vertical="center"/>
    </xf>
    <xf numFmtId="166" fontId="34" fillId="0" borderId="30" xfId="18" applyNumberFormat="1" applyFont="1" applyBorder="1" applyAlignment="1">
      <alignment vertical="center"/>
    </xf>
    <xf numFmtId="0" fontId="33" fillId="0" borderId="31" xfId="0" applyFont="1" applyBorder="1" applyAlignment="1">
      <alignment vertical="center"/>
    </xf>
    <xf numFmtId="165" fontId="34" fillId="0" borderId="33" xfId="18" applyFont="1" applyBorder="1" applyAlignment="1">
      <alignment vertical="center"/>
    </xf>
    <xf numFmtId="4" fontId="8" fillId="6" borderId="29" xfId="0" applyNumberFormat="1" applyFont="1" applyFill="1" applyBorder="1" applyAlignment="1">
      <alignment horizontal="center" vertical="center"/>
    </xf>
    <xf numFmtId="4" fontId="8" fillId="6" borderId="40" xfId="18" applyNumberFormat="1" applyFont="1" applyFill="1" applyBorder="1" applyAlignment="1">
      <alignment horizontal="center" vertical="center"/>
    </xf>
    <xf numFmtId="4" fontId="13" fillId="0" borderId="0" xfId="0" applyNumberFormat="1" applyFont="1"/>
    <xf numFmtId="0" fontId="0" fillId="0" borderId="56" xfId="0" applyBorder="1" applyAlignment="1">
      <alignment horizontal="center" vertical="center"/>
    </xf>
    <xf numFmtId="1" fontId="5" fillId="0" borderId="35" xfId="0" applyNumberFormat="1" applyFont="1" applyBorder="1" applyAlignment="1">
      <alignment horizontal="center" vertical="center"/>
    </xf>
    <xf numFmtId="3" fontId="5" fillId="0" borderId="58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165" fontId="27" fillId="0" borderId="33" xfId="18" applyFont="1" applyBorder="1" applyAlignment="1">
      <alignment vertical="center"/>
    </xf>
    <xf numFmtId="1" fontId="0" fillId="0" borderId="37" xfId="0" applyNumberFormat="1" applyBorder="1" applyAlignment="1">
      <alignment horizontal="center" vertical="center"/>
    </xf>
    <xf numFmtId="165" fontId="36" fillId="0" borderId="33" xfId="18" applyFont="1" applyBorder="1" applyAlignment="1">
      <alignment horizontal="center" vertical="center"/>
    </xf>
    <xf numFmtId="165" fontId="34" fillId="0" borderId="30" xfId="18" applyFont="1" applyBorder="1" applyAlignment="1">
      <alignment vertical="center"/>
    </xf>
    <xf numFmtId="170" fontId="34" fillId="0" borderId="30" xfId="18" applyNumberFormat="1" applyFont="1" applyBorder="1" applyAlignment="1">
      <alignment vertical="center"/>
    </xf>
    <xf numFmtId="170" fontId="34" fillId="0" borderId="33" xfId="18" applyNumberFormat="1" applyFont="1" applyBorder="1" applyAlignment="1">
      <alignment vertical="center"/>
    </xf>
    <xf numFmtId="4" fontId="3" fillId="0" borderId="59" xfId="0" applyNumberFormat="1" applyFont="1" applyBorder="1" applyAlignment="1">
      <alignment horizontal="center" vertical="center"/>
    </xf>
    <xf numFmtId="4" fontId="3" fillId="0" borderId="60" xfId="0" applyNumberFormat="1" applyFont="1" applyBorder="1" applyAlignment="1">
      <alignment horizontal="center" vertical="center"/>
    </xf>
    <xf numFmtId="4" fontId="12" fillId="6" borderId="61" xfId="0" applyNumberFormat="1" applyFont="1" applyFill="1" applyBorder="1" applyAlignment="1">
      <alignment horizontal="center" vertical="center"/>
    </xf>
    <xf numFmtId="4" fontId="12" fillId="6" borderId="62" xfId="0" applyNumberFormat="1" applyFont="1" applyFill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0" fontId="13" fillId="6" borderId="29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 wrapText="1"/>
    </xf>
    <xf numFmtId="4" fontId="35" fillId="0" borderId="65" xfId="0" applyNumberFormat="1" applyFont="1" applyBorder="1" applyAlignment="1">
      <alignment horizontal="center" vertical="center"/>
    </xf>
    <xf numFmtId="4" fontId="35" fillId="0" borderId="66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70" fontId="39" fillId="0" borderId="0" xfId="18" applyNumberFormat="1" applyFont="1" applyBorder="1" applyAlignment="1">
      <alignment vertical="center"/>
    </xf>
    <xf numFmtId="170" fontId="39" fillId="0" borderId="0" xfId="0" applyNumberFormat="1" applyFont="1" applyAlignment="1">
      <alignment vertical="center"/>
    </xf>
    <xf numFmtId="169" fontId="23" fillId="0" borderId="27" xfId="18" applyNumberFormat="1" applyFont="1" applyBorder="1" applyAlignment="1">
      <alignment horizontal="center" vertical="center"/>
    </xf>
    <xf numFmtId="1" fontId="0" fillId="0" borderId="67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2" fillId="0" borderId="68" xfId="35" applyFont="1" applyBorder="1" applyAlignment="1">
      <alignment horizontal="center" vertical="center"/>
    </xf>
    <xf numFmtId="0" fontId="2" fillId="0" borderId="68" xfId="35" applyFont="1" applyBorder="1" applyAlignment="1">
      <alignment horizontal="center" vertical="center" wrapText="1"/>
    </xf>
    <xf numFmtId="2" fontId="21" fillId="0" borderId="68" xfId="35" applyNumberFormat="1" applyFont="1" applyBorder="1" applyAlignment="1">
      <alignment horizontal="center" vertical="center" wrapText="1"/>
    </xf>
    <xf numFmtId="0" fontId="21" fillId="0" borderId="68" xfId="35" applyFont="1" applyBorder="1" applyAlignment="1">
      <alignment horizontal="center" vertical="center" wrapText="1"/>
    </xf>
    <xf numFmtId="0" fontId="2" fillId="0" borderId="0" xfId="35" applyFont="1" applyAlignment="1">
      <alignment horizontal="center" vertical="center"/>
    </xf>
    <xf numFmtId="0" fontId="18" fillId="0" borderId="0" xfId="35" applyFont="1" applyAlignment="1">
      <alignment horizontal="center"/>
    </xf>
    <xf numFmtId="0" fontId="2" fillId="0" borderId="0" xfId="35" applyFont="1" applyAlignment="1">
      <alignment horizontal="center"/>
    </xf>
    <xf numFmtId="1" fontId="15" fillId="0" borderId="0" xfId="35" applyNumberFormat="1" applyAlignment="1">
      <alignment horizontal="center"/>
    </xf>
    <xf numFmtId="2" fontId="42" fillId="0" borderId="0" xfId="35" applyNumberFormat="1" applyFont="1" applyAlignment="1">
      <alignment horizontal="center"/>
    </xf>
    <xf numFmtId="171" fontId="42" fillId="0" borderId="0" xfId="35" applyNumberFormat="1" applyFont="1" applyAlignment="1">
      <alignment horizontal="center"/>
    </xf>
    <xf numFmtId="0" fontId="15" fillId="0" borderId="0" xfId="35" applyAlignment="1">
      <alignment horizontal="center"/>
    </xf>
    <xf numFmtId="0" fontId="2" fillId="0" borderId="0" xfId="35" applyFont="1"/>
    <xf numFmtId="0" fontId="42" fillId="0" borderId="0" xfId="35" applyFont="1" applyAlignment="1">
      <alignment horizontal="center"/>
    </xf>
    <xf numFmtId="0" fontId="15" fillId="0" borderId="0" xfId="35"/>
    <xf numFmtId="0" fontId="28" fillId="0" borderId="0" xfId="0" applyFont="1" applyAlignment="1">
      <alignment horizontal="left" vertical="center"/>
    </xf>
    <xf numFmtId="0" fontId="27" fillId="0" borderId="52" xfId="0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/>
    </xf>
    <xf numFmtId="0" fontId="33" fillId="0" borderId="28" xfId="0" applyFont="1" applyBorder="1" applyAlignment="1">
      <alignment horizontal="left" vertical="center"/>
    </xf>
    <xf numFmtId="0" fontId="33" fillId="0" borderId="29" xfId="0" applyFont="1" applyBorder="1" applyAlignment="1">
      <alignment horizontal="left" vertical="center"/>
    </xf>
    <xf numFmtId="0" fontId="33" fillId="0" borderId="31" xfId="0" applyFont="1" applyBorder="1" applyAlignment="1">
      <alignment horizontal="left" vertical="center"/>
    </xf>
    <xf numFmtId="0" fontId="33" fillId="0" borderId="32" xfId="0" applyFont="1" applyBorder="1" applyAlignment="1">
      <alignment horizontal="left" vertical="center"/>
    </xf>
    <xf numFmtId="0" fontId="24" fillId="0" borderId="31" xfId="0" applyFont="1" applyBorder="1" applyAlignment="1">
      <alignment horizontal="left" vertical="center"/>
    </xf>
    <xf numFmtId="0" fontId="24" fillId="0" borderId="32" xfId="0" applyFont="1" applyBorder="1" applyAlignment="1">
      <alignment horizontal="left" vertical="center"/>
    </xf>
    <xf numFmtId="0" fontId="12" fillId="6" borderId="37" xfId="0" applyFont="1" applyFill="1" applyBorder="1" applyAlignment="1">
      <alignment horizontal="left" vertical="center"/>
    </xf>
    <xf numFmtId="0" fontId="12" fillId="6" borderId="29" xfId="0" applyFont="1" applyFill="1" applyBorder="1" applyAlignment="1">
      <alignment horizontal="left" vertical="center"/>
    </xf>
    <xf numFmtId="4" fontId="8" fillId="6" borderId="29" xfId="0" applyNumberFormat="1" applyFont="1" applyFill="1" applyBorder="1" applyAlignment="1">
      <alignment horizontal="center" vertical="center"/>
    </xf>
    <xf numFmtId="4" fontId="12" fillId="6" borderId="29" xfId="0" applyNumberFormat="1" applyFont="1" applyFill="1" applyBorder="1" applyAlignment="1">
      <alignment horizontal="center" vertical="center"/>
    </xf>
    <xf numFmtId="4" fontId="12" fillId="6" borderId="38" xfId="0" applyNumberFormat="1" applyFont="1" applyFill="1" applyBorder="1" applyAlignment="1">
      <alignment horizontal="center" vertical="center"/>
    </xf>
    <xf numFmtId="0" fontId="12" fillId="6" borderId="37" xfId="0" applyFont="1" applyFill="1" applyBorder="1" applyAlignment="1">
      <alignment horizontal="center" vertical="center"/>
    </xf>
    <xf numFmtId="0" fontId="12" fillId="6" borderId="29" xfId="0" applyFont="1" applyFill="1" applyBorder="1" applyAlignment="1">
      <alignment horizontal="center" vertical="center"/>
    </xf>
    <xf numFmtId="4" fontId="14" fillId="0" borderId="29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4" fillId="0" borderId="28" xfId="0" applyFont="1" applyBorder="1" applyAlignment="1">
      <alignment horizontal="left" vertical="center"/>
    </xf>
    <xf numFmtId="0" fontId="24" fillId="0" borderId="29" xfId="0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7" fillId="0" borderId="25" xfId="0" applyFont="1" applyBorder="1" applyAlignment="1">
      <alignment horizontal="center" vertical="center" wrapText="1"/>
    </xf>
    <xf numFmtId="0" fontId="27" fillId="0" borderId="27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14" fontId="27" fillId="0" borderId="25" xfId="0" applyNumberFormat="1" applyFont="1" applyBorder="1" applyAlignment="1">
      <alignment horizontal="center" vertical="center"/>
    </xf>
    <xf numFmtId="14" fontId="27" fillId="0" borderId="26" xfId="0" applyNumberFormat="1" applyFont="1" applyBorder="1" applyAlignment="1">
      <alignment horizontal="center" vertical="center"/>
    </xf>
    <xf numFmtId="14" fontId="27" fillId="0" borderId="27" xfId="0" applyNumberFormat="1" applyFont="1" applyBorder="1" applyAlignment="1">
      <alignment horizontal="center" vertical="center"/>
    </xf>
    <xf numFmtId="0" fontId="24" fillId="0" borderId="25" xfId="0" applyFont="1" applyBorder="1" applyAlignment="1">
      <alignment horizontal="left" vertical="center"/>
    </xf>
    <xf numFmtId="0" fontId="24" fillId="0" borderId="26" xfId="0" applyFont="1" applyBorder="1" applyAlignment="1">
      <alignment horizontal="left" vertical="center"/>
    </xf>
    <xf numFmtId="0" fontId="12" fillId="6" borderId="39" xfId="0" applyFont="1" applyFill="1" applyBorder="1" applyAlignment="1">
      <alignment horizontal="left" vertical="center"/>
    </xf>
    <xf numFmtId="0" fontId="12" fillId="6" borderId="40" xfId="0" applyFont="1" applyFill="1" applyBorder="1" applyAlignment="1">
      <alignment horizontal="left" vertical="center"/>
    </xf>
    <xf numFmtId="4" fontId="8" fillId="6" borderId="40" xfId="0" applyNumberFormat="1" applyFont="1" applyFill="1" applyBorder="1" applyAlignment="1">
      <alignment horizontal="center" vertical="center"/>
    </xf>
    <xf numFmtId="4" fontId="12" fillId="6" borderId="40" xfId="0" applyNumberFormat="1" applyFont="1" applyFill="1" applyBorder="1" applyAlignment="1">
      <alignment horizontal="center" vertical="center"/>
    </xf>
    <xf numFmtId="4" fontId="12" fillId="6" borderId="41" xfId="0" applyNumberFormat="1" applyFont="1" applyFill="1" applyBorder="1" applyAlignment="1">
      <alignment horizontal="center" vertical="center"/>
    </xf>
    <xf numFmtId="0" fontId="12" fillId="6" borderId="39" xfId="0" applyFont="1" applyFill="1" applyBorder="1" applyAlignment="1">
      <alignment horizontal="center" vertical="center"/>
    </xf>
    <xf numFmtId="0" fontId="12" fillId="6" borderId="40" xfId="0" applyFont="1" applyFill="1" applyBorder="1" applyAlignment="1">
      <alignment horizontal="center" vertical="center"/>
    </xf>
    <xf numFmtId="165" fontId="36" fillId="0" borderId="29" xfId="18" applyFont="1" applyBorder="1" applyAlignment="1">
      <alignment horizontal="center" vertical="center"/>
    </xf>
    <xf numFmtId="165" fontId="36" fillId="0" borderId="30" xfId="18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6" fillId="0" borderId="57" xfId="18" applyFont="1" applyBorder="1" applyAlignment="1">
      <alignment horizontal="center" vertical="center"/>
    </xf>
    <xf numFmtId="165" fontId="36" fillId="0" borderId="54" xfId="18" applyFont="1" applyBorder="1" applyAlignment="1">
      <alignment horizontal="center" vertical="center"/>
    </xf>
    <xf numFmtId="165" fontId="36" fillId="0" borderId="32" xfId="18" applyFont="1" applyBorder="1" applyAlignment="1">
      <alignment horizontal="center" vertical="center"/>
    </xf>
    <xf numFmtId="165" fontId="36" fillId="0" borderId="33" xfId="18" applyFont="1" applyBorder="1" applyAlignment="1">
      <alignment horizontal="center" vertical="center"/>
    </xf>
    <xf numFmtId="3" fontId="35" fillId="0" borderId="0" xfId="0" applyNumberFormat="1" applyFont="1" applyAlignment="1">
      <alignment horizontal="right"/>
    </xf>
    <xf numFmtId="0" fontId="9" fillId="4" borderId="43" xfId="0" applyFont="1" applyFill="1" applyBorder="1" applyAlignment="1">
      <alignment horizontal="center" vertical="center"/>
    </xf>
    <xf numFmtId="0" fontId="9" fillId="4" borderId="44" xfId="0" applyFont="1" applyFill="1" applyBorder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top" wrapText="1"/>
    </xf>
    <xf numFmtId="0" fontId="2" fillId="4" borderId="23" xfId="0" applyFont="1" applyFill="1" applyBorder="1" applyAlignment="1">
      <alignment horizontal="center" vertical="top" wrapText="1"/>
    </xf>
    <xf numFmtId="0" fontId="2" fillId="4" borderId="22" xfId="0" applyFont="1" applyFill="1" applyBorder="1" applyAlignment="1">
      <alignment horizontal="center" vertical="top" wrapText="1"/>
    </xf>
    <xf numFmtId="0" fontId="12" fillId="6" borderId="34" xfId="0" applyFont="1" applyFill="1" applyBorder="1" applyAlignment="1">
      <alignment horizontal="left" vertical="center"/>
    </xf>
    <xf numFmtId="0" fontId="12" fillId="6" borderId="35" xfId="0" applyFont="1" applyFill="1" applyBorder="1" applyAlignment="1">
      <alignment horizontal="left" vertical="center"/>
    </xf>
    <xf numFmtId="4" fontId="14" fillId="6" borderId="35" xfId="0" applyNumberFormat="1" applyFont="1" applyFill="1" applyBorder="1" applyAlignment="1">
      <alignment horizontal="center" vertical="center"/>
    </xf>
    <xf numFmtId="4" fontId="12" fillId="0" borderId="29" xfId="0" applyNumberFormat="1" applyFont="1" applyBorder="1" applyAlignment="1">
      <alignment horizontal="center" vertical="center"/>
    </xf>
    <xf numFmtId="0" fontId="29" fillId="4" borderId="42" xfId="0" applyFont="1" applyFill="1" applyBorder="1" applyAlignment="1">
      <alignment horizontal="center" vertical="center"/>
    </xf>
    <xf numFmtId="0" fontId="29" fillId="4" borderId="43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 vertical="top" wrapText="1"/>
    </xf>
    <xf numFmtId="4" fontId="12" fillId="6" borderId="35" xfId="0" applyNumberFormat="1" applyFont="1" applyFill="1" applyBorder="1" applyAlignment="1">
      <alignment horizontal="center" vertical="center"/>
    </xf>
    <xf numFmtId="4" fontId="12" fillId="6" borderId="36" xfId="0" applyNumberFormat="1" applyFont="1" applyFill="1" applyBorder="1" applyAlignment="1">
      <alignment horizontal="center" vertical="center"/>
    </xf>
    <xf numFmtId="4" fontId="12" fillId="0" borderId="38" xfId="0" applyNumberFormat="1" applyFont="1" applyBorder="1" applyAlignment="1">
      <alignment horizontal="center" vertical="center"/>
    </xf>
    <xf numFmtId="0" fontId="12" fillId="6" borderId="34" xfId="0" applyFont="1" applyFill="1" applyBorder="1" applyAlignment="1">
      <alignment horizontal="center" vertical="center"/>
    </xf>
    <xf numFmtId="0" fontId="12" fillId="6" borderId="35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43" xfId="0" applyFont="1" applyFill="1" applyBorder="1" applyAlignment="1">
      <alignment horizontal="center" vertical="center"/>
    </xf>
    <xf numFmtId="3" fontId="12" fillId="6" borderId="35" xfId="0" applyNumberFormat="1" applyFont="1" applyFill="1" applyBorder="1" applyAlignment="1">
      <alignment horizontal="center" vertical="center"/>
    </xf>
    <xf numFmtId="3" fontId="12" fillId="6" borderId="36" xfId="0" applyNumberFormat="1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/>
    </xf>
    <xf numFmtId="0" fontId="40" fillId="6" borderId="20" xfId="0" applyFont="1" applyFill="1" applyBorder="1" applyAlignment="1">
      <alignment horizontal="center"/>
    </xf>
    <xf numFmtId="0" fontId="40" fillId="6" borderId="18" xfId="0" applyFont="1" applyFill="1" applyBorder="1" applyAlignment="1">
      <alignment horizontal="center"/>
    </xf>
    <xf numFmtId="0" fontId="40" fillId="6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9" fillId="3" borderId="42" xfId="0" applyFont="1" applyFill="1" applyBorder="1" applyAlignment="1">
      <alignment horizontal="center" vertical="center"/>
    </xf>
    <xf numFmtId="0" fontId="29" fillId="3" borderId="43" xfId="0" applyFont="1" applyFill="1" applyBorder="1" applyAlignment="1">
      <alignment horizontal="center" vertical="center"/>
    </xf>
    <xf numFmtId="0" fontId="9" fillId="3" borderId="43" xfId="0" applyFont="1" applyFill="1" applyBorder="1" applyAlignment="1">
      <alignment horizontal="center" vertical="center"/>
    </xf>
    <xf numFmtId="0" fontId="9" fillId="3" borderId="44" xfId="0" applyFont="1" applyFill="1" applyBorder="1" applyAlignment="1">
      <alignment horizontal="center" vertical="center"/>
    </xf>
    <xf numFmtId="0" fontId="41" fillId="4" borderId="10" xfId="0" applyFont="1" applyFill="1" applyBorder="1" applyAlignment="1">
      <alignment horizontal="center" vertical="center"/>
    </xf>
    <xf numFmtId="0" fontId="41" fillId="4" borderId="4" xfId="0" applyFont="1" applyFill="1" applyBorder="1" applyAlignment="1">
      <alignment horizontal="center" vertical="center"/>
    </xf>
    <xf numFmtId="0" fontId="41" fillId="4" borderId="1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/>
    </xf>
    <xf numFmtId="0" fontId="41" fillId="3" borderId="2" xfId="0" applyFont="1" applyFill="1" applyBorder="1" applyAlignment="1">
      <alignment horizontal="center" vertical="center"/>
    </xf>
    <xf numFmtId="0" fontId="41" fillId="3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3" fontId="12" fillId="6" borderId="29" xfId="0" applyNumberFormat="1" applyFont="1" applyFill="1" applyBorder="1" applyAlignment="1">
      <alignment horizontal="center" vertical="center"/>
    </xf>
    <xf numFmtId="3" fontId="12" fillId="6" borderId="3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/>
    </xf>
    <xf numFmtId="3" fontId="12" fillId="0" borderId="29" xfId="0" applyNumberFormat="1" applyFont="1" applyBorder="1" applyAlignment="1">
      <alignment horizontal="center" vertical="center"/>
    </xf>
    <xf numFmtId="3" fontId="12" fillId="0" borderId="38" xfId="0" applyNumberFormat="1" applyFont="1" applyBorder="1" applyAlignment="1">
      <alignment horizontal="center" vertical="center"/>
    </xf>
    <xf numFmtId="3" fontId="12" fillId="6" borderId="40" xfId="0" applyNumberFormat="1" applyFont="1" applyFill="1" applyBorder="1" applyAlignment="1">
      <alignment horizontal="center" vertical="center"/>
    </xf>
    <xf numFmtId="3" fontId="12" fillId="6" borderId="41" xfId="0" applyNumberFormat="1" applyFont="1" applyFill="1" applyBorder="1" applyAlignment="1">
      <alignment horizontal="center" vertical="center"/>
    </xf>
    <xf numFmtId="0" fontId="2" fillId="5" borderId="67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/>
    </xf>
    <xf numFmtId="0" fontId="41" fillId="2" borderId="2" xfId="0" applyFont="1" applyFill="1" applyBorder="1" applyAlignment="1">
      <alignment horizontal="center" vertical="center"/>
    </xf>
    <xf numFmtId="0" fontId="41" fillId="7" borderId="10" xfId="0" applyFont="1" applyFill="1" applyBorder="1" applyAlignment="1">
      <alignment horizontal="center" vertical="center"/>
    </xf>
    <xf numFmtId="0" fontId="41" fillId="7" borderId="4" xfId="0" applyFont="1" applyFill="1" applyBorder="1" applyAlignment="1">
      <alignment horizontal="center" vertical="center"/>
    </xf>
    <xf numFmtId="0" fontId="41" fillId="7" borderId="11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50" xfId="0" applyFont="1" applyFill="1" applyBorder="1" applyAlignment="1">
      <alignment horizontal="center" vertical="center" wrapText="1"/>
    </xf>
    <xf numFmtId="0" fontId="41" fillId="2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0" fontId="2" fillId="5" borderId="69" xfId="0" applyFont="1" applyFill="1" applyBorder="1" applyAlignment="1">
      <alignment horizontal="center" vertical="center" wrapText="1"/>
    </xf>
    <xf numFmtId="0" fontId="2" fillId="5" borderId="70" xfId="0" applyFont="1" applyFill="1" applyBorder="1" applyAlignment="1">
      <alignment horizontal="center" vertical="center" wrapText="1"/>
    </xf>
    <xf numFmtId="0" fontId="2" fillId="2" borderId="7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1" fontId="0" fillId="0" borderId="38" xfId="0" applyNumberFormat="1" applyBorder="1" applyAlignment="1">
      <alignment horizontal="center" vertical="center"/>
    </xf>
    <xf numFmtId="9" fontId="0" fillId="0" borderId="34" xfId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9" fontId="0" fillId="0" borderId="37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9" fontId="0" fillId="0" borderId="37" xfId="1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3" fontId="0" fillId="0" borderId="40" xfId="0" applyNumberFormat="1" applyBorder="1" applyAlignment="1">
      <alignment horizontal="center" vertical="center"/>
    </xf>
    <xf numFmtId="3" fontId="3" fillId="6" borderId="40" xfId="0" applyNumberFormat="1" applyFont="1" applyFill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0" fontId="4" fillId="0" borderId="42" xfId="0" applyNumberFormat="1" applyFont="1" applyBorder="1" applyAlignment="1">
      <alignment horizontal="center" vertical="center"/>
    </xf>
    <xf numFmtId="1" fontId="4" fillId="0" borderId="44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</cellXfs>
  <cellStyles count="36">
    <cellStyle name="Comma" xfId="18" builtinId="3"/>
    <cellStyle name="Comma [0]" xfId="24" builtinId="6"/>
    <cellStyle name="Comma [0] 2" xfId="34" xr:uid="{A899D049-DA93-4FD0-8D4E-5DFBF3D97A51}"/>
    <cellStyle name="Comma 2" xfId="2" xr:uid="{00000000-0005-0000-0000-000001000000}"/>
    <cellStyle name="Comma 2 2" xfId="3" xr:uid="{00000000-0005-0000-0000-000002000000}"/>
    <cellStyle name="Comma 2 2 2" xfId="20" xr:uid="{C6E974CF-3359-4F35-91C2-E1E8F67060F3}"/>
    <cellStyle name="Comma 2 2 2 2" xfId="30" xr:uid="{58DA782F-BEA2-4431-B98A-CC06F2626CA3}"/>
    <cellStyle name="Comma 2 2 3" xfId="26" xr:uid="{BB1CF9EA-7FED-46AA-87D6-07DC6CE5CAF6}"/>
    <cellStyle name="Comma 2 3" xfId="4" xr:uid="{00000000-0005-0000-0000-000003000000}"/>
    <cellStyle name="Comma 2 3 2" xfId="21" xr:uid="{F0B83743-C316-4501-A9D4-F449AF7E66A9}"/>
    <cellStyle name="Comma 2 3 2 2" xfId="31" xr:uid="{898D5B54-5344-4BEF-8F2B-D205F91A569E}"/>
    <cellStyle name="Comma 2 3 3" xfId="27" xr:uid="{B822C519-8E16-4D8C-A647-C3C50867D1E3}"/>
    <cellStyle name="Comma 2 4" xfId="19" xr:uid="{89BF41D9-676D-4C12-B87E-4425C90039D3}"/>
    <cellStyle name="Comma 2 4 2" xfId="29" xr:uid="{B8B6EDFC-9F16-45DD-965D-213E2C4BFB9E}"/>
    <cellStyle name="Comma 2 5" xfId="25" xr:uid="{6B6C28E0-3F00-4BC0-822B-1F3C75558B4E}"/>
    <cellStyle name="Comma 3" xfId="5" xr:uid="{00000000-0005-0000-0000-000004000000}"/>
    <cellStyle name="Comma 3 2" xfId="22" xr:uid="{35074402-1867-4358-8538-26217DD821A1}"/>
    <cellStyle name="Comma 3 2 2" xfId="32" xr:uid="{8A562F1C-FD57-4CEC-AAA1-679731C847E0}"/>
    <cellStyle name="Comma 4" xfId="23" xr:uid="{CD9BEABD-AE55-41CC-9005-D13BC78D18E3}"/>
    <cellStyle name="Comma 4 2" xfId="33" xr:uid="{3BE59BE0-E37D-4246-8305-AEA0B4344FFC}"/>
    <cellStyle name="Comma 5" xfId="28" xr:uid="{C1C53BC0-A380-421F-8747-1D7AFE02FBD1}"/>
    <cellStyle name="Normal" xfId="0" builtinId="0"/>
    <cellStyle name="Normal 2" xfId="6" xr:uid="{00000000-0005-0000-0000-000007000000}"/>
    <cellStyle name="Normal 2 2" xfId="17" xr:uid="{00000000-0005-0000-0000-000008000000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3 4" xfId="35" xr:uid="{DCF8C052-02B4-4930-968A-2A9183C8512A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5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55AB-27C4-42A9-9A18-469C00ECA894}">
  <dimension ref="A1:Z33"/>
  <sheetViews>
    <sheetView tabSelected="1" workbookViewId="0">
      <selection activeCell="P16" sqref="P16"/>
    </sheetView>
  </sheetViews>
  <sheetFormatPr defaultColWidth="11.5703125" defaultRowHeight="15" x14ac:dyDescent="0.25"/>
  <cols>
    <col min="1" max="1" width="29.140625" style="197" bestFit="1" customWidth="1"/>
    <col min="2" max="3" width="11.5703125" style="192"/>
    <col min="4" max="4" width="13.42578125" style="192" customWidth="1"/>
    <col min="5" max="5" width="12.5703125" style="196" customWidth="1"/>
    <col min="6" max="6" width="12.5703125" style="194" customWidth="1"/>
    <col min="7" max="7" width="11.5703125" style="196"/>
    <col min="8" max="8" width="11.5703125" style="198"/>
    <col min="9" max="9" width="12.5703125" style="196" customWidth="1"/>
    <col min="10" max="10" width="12.5703125" style="194" customWidth="1"/>
    <col min="11" max="11" width="11.5703125" style="196"/>
    <col min="12" max="12" width="11.5703125" style="198"/>
    <col min="13" max="26" width="11.5703125" style="196"/>
    <col min="27" max="16384" width="11.5703125" style="199"/>
  </cols>
  <sheetData>
    <row r="1" spans="1:14" s="190" customFormat="1" ht="60" x14ac:dyDescent="0.25">
      <c r="A1" s="186" t="s">
        <v>80</v>
      </c>
      <c r="B1" s="186" t="s">
        <v>81</v>
      </c>
      <c r="C1" s="186" t="s">
        <v>82</v>
      </c>
      <c r="D1" s="186" t="s">
        <v>83</v>
      </c>
      <c r="E1" s="187" t="s">
        <v>84</v>
      </c>
      <c r="F1" s="188" t="s">
        <v>85</v>
      </c>
      <c r="G1" s="187" t="s">
        <v>86</v>
      </c>
      <c r="H1" s="189" t="s">
        <v>87</v>
      </c>
      <c r="I1" s="187" t="s">
        <v>93</v>
      </c>
      <c r="J1" s="188" t="s">
        <v>94</v>
      </c>
      <c r="K1" s="187" t="s">
        <v>88</v>
      </c>
      <c r="L1" s="189" t="s">
        <v>89</v>
      </c>
      <c r="M1" s="187" t="s">
        <v>90</v>
      </c>
      <c r="N1" s="187" t="s">
        <v>91</v>
      </c>
    </row>
    <row r="2" spans="1:14" x14ac:dyDescent="0.25">
      <c r="A2" s="191" t="s">
        <v>92</v>
      </c>
      <c r="B2" s="192">
        <v>1</v>
      </c>
      <c r="C2" s="192">
        <v>1</v>
      </c>
      <c r="D2" s="192">
        <v>2025</v>
      </c>
      <c r="E2" s="193">
        <f>IF('Jan 2025'!R5&gt;=0,'Jan 2025'!R5,0)</f>
        <v>12633.429199999999</v>
      </c>
      <c r="F2" s="194">
        <f>'Jan 2025'!S5/'Jan 2025'!R5</f>
        <v>0.20000000000000004</v>
      </c>
      <c r="G2" s="193">
        <f>IF('Jan 2025'!X5&gt;=0,'Jan 2025'!X5,0)</f>
        <v>75</v>
      </c>
      <c r="H2" s="194">
        <f>'Jan 2025'!Y5/'Jan 2025'!X5</f>
        <v>7.84</v>
      </c>
      <c r="I2" s="193">
        <f>IF('Jan 2025'!AA5&gt;=0,'Jan 2025'!AA5,0)</f>
        <v>196</v>
      </c>
      <c r="J2" s="194">
        <f>'Jan 2025'!AB5/'Jan 2025'!AA5</f>
        <v>1.2551000000000001</v>
      </c>
      <c r="K2" s="193">
        <f>IF('Jan 2025'!AK5&gt;=0,'Jan 2025'!AK5,0)</f>
        <v>4277</v>
      </c>
      <c r="L2" s="195">
        <f>'Jan 2025'!AI5/'Jan 2025'!AK5</f>
        <v>1.4227356713742676</v>
      </c>
      <c r="M2" s="193">
        <f>'Jan 2025'!AO5</f>
        <v>242.99380000000002</v>
      </c>
      <c r="N2" s="193">
        <f>'Jan 2025'!AN5</f>
        <v>317</v>
      </c>
    </row>
    <row r="3" spans="1:14" x14ac:dyDescent="0.25">
      <c r="A3" s="191" t="s">
        <v>92</v>
      </c>
      <c r="B3" s="192">
        <f>B2+1</f>
        <v>2</v>
      </c>
      <c r="C3" s="192">
        <v>1</v>
      </c>
      <c r="D3" s="192">
        <v>2025</v>
      </c>
      <c r="E3" s="193">
        <f>IF('Jan 2025'!R6&gt;=0,'Jan 2025'!R6,0)</f>
        <v>12818.98</v>
      </c>
      <c r="F3" s="194">
        <f>'Jan 2025'!S6/'Jan 2025'!R6</f>
        <v>0.20000000000000004</v>
      </c>
      <c r="G3" s="193">
        <f>IF('Jan 2025'!X6&gt;=0,'Jan 2025'!X6,0)</f>
        <v>93</v>
      </c>
      <c r="H3" s="194">
        <f>'Jan 2025'!Y6/'Jan 2025'!X6</f>
        <v>7.84</v>
      </c>
      <c r="I3" s="193">
        <f>IF('Jan 2025'!AA6&gt;=0,'Jan 2025'!AA6,0)</f>
        <v>98</v>
      </c>
      <c r="J3" s="194">
        <f>'Jan 2025'!AB6/'Jan 2025'!AA6</f>
        <v>1.2551000000000001</v>
      </c>
      <c r="K3" s="193">
        <f>IF('Jan 2025'!AK6&gt;=0,'Jan 2025'!AK6,0)</f>
        <v>3995</v>
      </c>
      <c r="L3" s="195">
        <f>'Jan 2025'!AI6/'Jan 2025'!AK6</f>
        <v>1.4740674056239655</v>
      </c>
      <c r="M3" s="193">
        <f>'Jan 2025'!AO6</f>
        <v>237.99510000000001</v>
      </c>
      <c r="N3" s="193">
        <f>'Jan 2025'!AN6</f>
        <v>305</v>
      </c>
    </row>
    <row r="4" spans="1:14" x14ac:dyDescent="0.25">
      <c r="A4" s="191" t="s">
        <v>92</v>
      </c>
      <c r="B4" s="192">
        <f t="shared" ref="B4:B32" si="0">B3+1</f>
        <v>3</v>
      </c>
      <c r="C4" s="192">
        <v>1</v>
      </c>
      <c r="D4" s="192">
        <v>2025</v>
      </c>
      <c r="E4" s="193">
        <f>IF('Jan 2025'!R7&gt;=0,'Jan 2025'!R7,0)</f>
        <v>13599.6194</v>
      </c>
      <c r="F4" s="194">
        <f>'Jan 2025'!S7/'Jan 2025'!R7</f>
        <v>0.20000000000000004</v>
      </c>
      <c r="G4" s="193">
        <f>IF('Jan 2025'!X7&gt;=0,'Jan 2025'!X7,0)</f>
        <v>45</v>
      </c>
      <c r="H4" s="194">
        <f>'Jan 2025'!Y7/'Jan 2025'!X7</f>
        <v>7.84</v>
      </c>
      <c r="I4" s="193">
        <f>IF('Jan 2025'!AA7&gt;=0,'Jan 2025'!AA7,0)</f>
        <v>98</v>
      </c>
      <c r="J4" s="194">
        <f>'Jan 2025'!AB7/'Jan 2025'!AA7</f>
        <v>1.2551000000000001</v>
      </c>
      <c r="K4" s="193">
        <f>IF('Jan 2025'!AK7&gt;=0,'Jan 2025'!AK7,0)</f>
        <v>3850</v>
      </c>
      <c r="L4" s="195">
        <f>'Jan 2025'!AI7/'Jan 2025'!AK7</f>
        <v>1.5295842299916214</v>
      </c>
      <c r="M4" s="193">
        <f>'Jan 2025'!AO7</f>
        <v>237.01089999999999</v>
      </c>
      <c r="N4" s="193">
        <f>'Jan 2025'!AN7</f>
        <v>316</v>
      </c>
    </row>
    <row r="5" spans="1:14" x14ac:dyDescent="0.25">
      <c r="A5" s="191" t="s">
        <v>92</v>
      </c>
      <c r="B5" s="192">
        <f t="shared" si="0"/>
        <v>4</v>
      </c>
      <c r="C5" s="192">
        <v>1</v>
      </c>
      <c r="D5" s="192">
        <v>2025</v>
      </c>
      <c r="E5" s="193">
        <f>IF('Jan 2025'!R8&gt;=0,'Jan 2025'!R8,0)</f>
        <v>11537.707799999998</v>
      </c>
      <c r="F5" s="194">
        <f>'Jan 2025'!S8/'Jan 2025'!R8</f>
        <v>0.2</v>
      </c>
      <c r="G5" s="193">
        <f>IF('Jan 2025'!X8&gt;=0,'Jan 2025'!X8,0)</f>
        <v>99</v>
      </c>
      <c r="H5" s="194">
        <f>'Jan 2025'!Y8/'Jan 2025'!X8</f>
        <v>7.84</v>
      </c>
      <c r="I5" s="193">
        <f>IF('Jan 2025'!AA8&gt;=0,'Jan 2025'!AA8,0)</f>
        <v>98</v>
      </c>
      <c r="J5" s="194">
        <f>'Jan 2025'!AB8/'Jan 2025'!AA8</f>
        <v>1.2551000000000001</v>
      </c>
      <c r="K5" s="193">
        <f>IF('Jan 2025'!AK8&gt;=0,'Jan 2025'!AK8,0)</f>
        <v>3571</v>
      </c>
      <c r="L5" s="195">
        <f>'Jan 2025'!AI8/'Jan 2025'!AK8</f>
        <v>1.6216266297865423</v>
      </c>
      <c r="M5" s="193">
        <f>'Jan 2025'!AO8</f>
        <v>215.04770000000002</v>
      </c>
      <c r="N5" s="193">
        <f>'Jan 2025'!AN8</f>
        <v>279</v>
      </c>
    </row>
    <row r="6" spans="1:14" x14ac:dyDescent="0.25">
      <c r="A6" s="191" t="s">
        <v>92</v>
      </c>
      <c r="B6" s="192">
        <f t="shared" si="0"/>
        <v>5</v>
      </c>
      <c r="C6" s="192">
        <v>1</v>
      </c>
      <c r="D6" s="192">
        <v>2025</v>
      </c>
      <c r="E6" s="193">
        <f>IF('Jan 2025'!R9&gt;=0,'Jan 2025'!R9,0)</f>
        <v>12167.245999999999</v>
      </c>
      <c r="F6" s="194">
        <f>'Jan 2025'!S9/'Jan 2025'!R9</f>
        <v>0.2</v>
      </c>
      <c r="G6" s="193">
        <f>IF('Jan 2025'!X9&gt;=0,'Jan 2025'!X9,0)</f>
        <v>87</v>
      </c>
      <c r="H6" s="194">
        <f>'Jan 2025'!Y9/'Jan 2025'!X9</f>
        <v>7.8400000000000007</v>
      </c>
      <c r="I6" s="193">
        <f>IF('Jan 2025'!AA9&gt;=0,'Jan 2025'!AA9,0)</f>
        <v>98</v>
      </c>
      <c r="J6" s="194">
        <f>'Jan 2025'!AB9/'Jan 2025'!AA9</f>
        <v>1.2551000000000001</v>
      </c>
      <c r="K6" s="193">
        <f>IF('Jan 2025'!AK9&gt;=0,'Jan 2025'!AK9,0)</f>
        <v>3411</v>
      </c>
      <c r="L6" s="195">
        <f>'Jan 2025'!AI9/'Jan 2025'!AK9</f>
        <v>1.6976923761265734</v>
      </c>
      <c r="M6" s="193">
        <f>'Jan 2025'!AO9</f>
        <v>206.0086</v>
      </c>
      <c r="N6" s="193">
        <f>'Jan 2025'!AN9</f>
        <v>253</v>
      </c>
    </row>
    <row r="7" spans="1:14" x14ac:dyDescent="0.25">
      <c r="A7" s="191" t="s">
        <v>92</v>
      </c>
      <c r="B7" s="192">
        <f t="shared" si="0"/>
        <v>6</v>
      </c>
      <c r="C7" s="192">
        <v>1</v>
      </c>
      <c r="D7" s="192">
        <v>2025</v>
      </c>
      <c r="E7" s="193">
        <f>IF('Jan 2025'!R10&gt;=0,'Jan 2025'!R10,0)</f>
        <v>12406.401</v>
      </c>
      <c r="F7" s="194">
        <f>'Jan 2025'!S10/'Jan 2025'!R10</f>
        <v>0.2</v>
      </c>
      <c r="G7" s="193">
        <f>IF('Jan 2025'!X10&gt;=0,'Jan 2025'!X10,0)</f>
        <v>82</v>
      </c>
      <c r="H7" s="194">
        <f>'Jan 2025'!Y10/'Jan 2025'!X10</f>
        <v>7.84</v>
      </c>
      <c r="I7" s="193">
        <f>IF('Jan 2025'!AA10&gt;=0,'Jan 2025'!AA10,0)</f>
        <v>98</v>
      </c>
      <c r="J7" s="194">
        <f>'Jan 2025'!AB10/'Jan 2025'!AA10</f>
        <v>1.2551000000000001</v>
      </c>
      <c r="K7" s="193">
        <f>IF('Jan 2025'!AK10&gt;=0,'Jan 2025'!AK10,0)</f>
        <v>3773</v>
      </c>
      <c r="L7" s="195">
        <f>'Jan 2025'!AI10/'Jan 2025'!AK10</f>
        <v>1.5348074993288476</v>
      </c>
      <c r="M7" s="193">
        <f>'Jan 2025'!AO10</f>
        <v>216.006</v>
      </c>
      <c r="N7" s="193">
        <f>'Jan 2025'!AN10</f>
        <v>254</v>
      </c>
    </row>
    <row r="8" spans="1:14" x14ac:dyDescent="0.25">
      <c r="A8" s="191" t="s">
        <v>92</v>
      </c>
      <c r="B8" s="192">
        <f t="shared" si="0"/>
        <v>7</v>
      </c>
      <c r="C8" s="192">
        <v>1</v>
      </c>
      <c r="D8" s="192">
        <v>2025</v>
      </c>
      <c r="E8" s="193">
        <f>IF('Jan 2025'!R11&gt;=0,'Jan 2025'!R11,0)</f>
        <v>12589.601999999999</v>
      </c>
      <c r="F8" s="194">
        <f>'Jan 2025'!S11/'Jan 2025'!R11</f>
        <v>0.2</v>
      </c>
      <c r="G8" s="193">
        <f>IF('Jan 2025'!X11&gt;=0,'Jan 2025'!X11,0)</f>
        <v>97</v>
      </c>
      <c r="H8" s="194">
        <f>'Jan 2025'!Y11/'Jan 2025'!X11</f>
        <v>7.84</v>
      </c>
      <c r="I8" s="193">
        <f>IF('Jan 2025'!AA11&gt;=0,'Jan 2025'!AA11,0)</f>
        <v>98</v>
      </c>
      <c r="J8" s="194">
        <f>'Jan 2025'!AB11/'Jan 2025'!AA11</f>
        <v>1.2551000000000001</v>
      </c>
      <c r="K8" s="193">
        <f>IF('Jan 2025'!AK11&gt;=0,'Jan 2025'!AK11,0)</f>
        <v>4100</v>
      </c>
      <c r="L8" s="195">
        <f>'Jan 2025'!AI11/'Jan 2025'!AK11</f>
        <v>1.4363168988945714</v>
      </c>
      <c r="M8" s="193">
        <f>'Jan 2025'!AO11</f>
        <v>196.99540000000002</v>
      </c>
      <c r="N8" s="193">
        <f>'Jan 2025'!AN11</f>
        <v>237</v>
      </c>
    </row>
    <row r="9" spans="1:14" x14ac:dyDescent="0.25">
      <c r="A9" s="191" t="s">
        <v>92</v>
      </c>
      <c r="B9" s="192">
        <f t="shared" si="0"/>
        <v>8</v>
      </c>
      <c r="C9" s="192">
        <v>1</v>
      </c>
      <c r="D9" s="192">
        <v>2025</v>
      </c>
      <c r="E9" s="193">
        <f>IF('Jan 2025'!R12&gt;=0,'Jan 2025'!R12,0)</f>
        <v>11885.813199999999</v>
      </c>
      <c r="F9" s="194">
        <f>'Jan 2025'!S12/'Jan 2025'!R12</f>
        <v>0.2</v>
      </c>
      <c r="G9" s="193">
        <f>IF('Jan 2025'!X12&gt;=0,'Jan 2025'!X12,0)</f>
        <v>62</v>
      </c>
      <c r="H9" s="194">
        <f>'Jan 2025'!Y12/'Jan 2025'!X12</f>
        <v>7.84</v>
      </c>
      <c r="I9" s="193">
        <f>IF('Jan 2025'!AA12&gt;=0,'Jan 2025'!AA12,0)</f>
        <v>98</v>
      </c>
      <c r="J9" s="194">
        <f>'Jan 2025'!AB12/'Jan 2025'!AA12</f>
        <v>1.2551000000000001</v>
      </c>
      <c r="K9" s="193">
        <f>IF('Jan 2025'!AK12&gt;=0,'Jan 2025'!AK12,0)</f>
        <v>3884</v>
      </c>
      <c r="L9" s="195">
        <f>'Jan 2025'!AI12/'Jan 2025'!AK12</f>
        <v>1.5161944607280491</v>
      </c>
      <c r="M9" s="193">
        <f>'Jan 2025'!AO12</f>
        <v>234.9907</v>
      </c>
      <c r="N9" s="193">
        <f>'Jan 2025'!AN12</f>
        <v>281</v>
      </c>
    </row>
    <row r="10" spans="1:14" x14ac:dyDescent="0.25">
      <c r="A10" s="191" t="s">
        <v>92</v>
      </c>
      <c r="B10" s="192">
        <f t="shared" si="0"/>
        <v>9</v>
      </c>
      <c r="C10" s="192">
        <v>1</v>
      </c>
      <c r="D10" s="192">
        <v>2025</v>
      </c>
      <c r="E10" s="193">
        <f>IF('Jan 2025'!R13&gt;=0,'Jan 2025'!R13,0)</f>
        <v>12409.3658</v>
      </c>
      <c r="F10" s="194">
        <f>'Jan 2025'!S13/'Jan 2025'!R13</f>
        <v>0.2</v>
      </c>
      <c r="G10" s="193">
        <f>IF('Jan 2025'!X13&gt;=0,'Jan 2025'!X13,0)</f>
        <v>91</v>
      </c>
      <c r="H10" s="194">
        <f>'Jan 2025'!Y13/'Jan 2025'!X13</f>
        <v>7.839999999999999</v>
      </c>
      <c r="I10" s="193">
        <f>IF('Jan 2025'!AA13&gt;=0,'Jan 2025'!AA13,0)</f>
        <v>196</v>
      </c>
      <c r="J10" s="194">
        <f>'Jan 2025'!AB13/'Jan 2025'!AA13</f>
        <v>1.2551000000000001</v>
      </c>
      <c r="K10" s="193">
        <f>IF('Jan 2025'!AK13&gt;=0,'Jan 2025'!AK13,0)</f>
        <v>3997</v>
      </c>
      <c r="L10" s="195">
        <f>'Jan 2025'!AI13/'Jan 2025'!AK13</f>
        <v>1.4733298187309838</v>
      </c>
      <c r="M10" s="193">
        <f>'Jan 2025'!AO13</f>
        <v>201.9941</v>
      </c>
      <c r="N10" s="193">
        <f>'Jan 2025'!AN13</f>
        <v>260</v>
      </c>
    </row>
    <row r="11" spans="1:14" x14ac:dyDescent="0.25">
      <c r="A11" s="191" t="s">
        <v>92</v>
      </c>
      <c r="B11" s="192">
        <f t="shared" si="0"/>
        <v>10</v>
      </c>
      <c r="C11" s="192">
        <v>1</v>
      </c>
      <c r="D11" s="192">
        <v>2025</v>
      </c>
      <c r="E11" s="193">
        <f>IF('Jan 2025'!R14&gt;=0,'Jan 2025'!R14,0)</f>
        <v>12635.071</v>
      </c>
      <c r="F11" s="194">
        <f>'Jan 2025'!S14/'Jan 2025'!R14</f>
        <v>0.2</v>
      </c>
      <c r="G11" s="193">
        <f>IF('Jan 2025'!X14&gt;=0,'Jan 2025'!X14,0)</f>
        <v>71</v>
      </c>
      <c r="H11" s="194">
        <f>'Jan 2025'!Y14/'Jan 2025'!X14</f>
        <v>7.84</v>
      </c>
      <c r="I11" s="193">
        <f>IF('Jan 2025'!AA14&gt;=0,'Jan 2025'!AA14,0)</f>
        <v>98</v>
      </c>
      <c r="J11" s="194">
        <f>'Jan 2025'!AB14/'Jan 2025'!AA14</f>
        <v>1.2551000000000001</v>
      </c>
      <c r="K11" s="193">
        <f>IF('Jan 2025'!AK14&gt;=0,'Jan 2025'!AK14,0)</f>
        <v>4252</v>
      </c>
      <c r="L11" s="195">
        <f>'Jan 2025'!AI14/'Jan 2025'!AK14</f>
        <v>1.3849716099406733</v>
      </c>
      <c r="M11" s="193">
        <f>'Jan 2025'!AO14</f>
        <v>201.00990000000002</v>
      </c>
      <c r="N11" s="193">
        <f>'Jan 2025'!AN14</f>
        <v>260</v>
      </c>
    </row>
    <row r="12" spans="1:14" x14ac:dyDescent="0.25">
      <c r="A12" s="191" t="s">
        <v>92</v>
      </c>
      <c r="B12" s="192">
        <f t="shared" si="0"/>
        <v>11</v>
      </c>
      <c r="C12" s="192">
        <v>1</v>
      </c>
      <c r="D12" s="192">
        <v>2025</v>
      </c>
      <c r="E12" s="193">
        <f>IF('Jan 2025'!R15&gt;=0,'Jan 2025'!R15,0)</f>
        <v>12649.215199999999</v>
      </c>
      <c r="F12" s="194">
        <f>'Jan 2025'!S15/'Jan 2025'!R15</f>
        <v>0.2</v>
      </c>
      <c r="G12" s="193">
        <f>IF('Jan 2025'!X15&gt;=0,'Jan 2025'!X15,0)</f>
        <v>81</v>
      </c>
      <c r="H12" s="194">
        <f>'Jan 2025'!Y15/'Jan 2025'!X15</f>
        <v>7.84</v>
      </c>
      <c r="I12" s="193">
        <f>IF('Jan 2025'!AA15&gt;=0,'Jan 2025'!AA15,0)</f>
        <v>196</v>
      </c>
      <c r="J12" s="194">
        <f>'Jan 2025'!AB15/'Jan 2025'!AA15</f>
        <v>1.2551000000000001</v>
      </c>
      <c r="K12" s="193">
        <f>IF('Jan 2025'!AK15&gt;=0,'Jan 2025'!AK15,0)</f>
        <v>4012</v>
      </c>
      <c r="L12" s="195">
        <f>'Jan 2025'!AI15/'Jan 2025'!AK15</f>
        <v>1.4433770426140933</v>
      </c>
      <c r="M12" s="193">
        <f>'Jan 2025'!AO15</f>
        <v>221.00469999999999</v>
      </c>
      <c r="N12" s="193">
        <f>'Jan 2025'!AN15</f>
        <v>299</v>
      </c>
    </row>
    <row r="13" spans="1:14" x14ac:dyDescent="0.25">
      <c r="A13" s="191" t="s">
        <v>92</v>
      </c>
      <c r="B13" s="192">
        <f t="shared" si="0"/>
        <v>12</v>
      </c>
      <c r="C13" s="192">
        <v>1</v>
      </c>
      <c r="D13" s="192">
        <v>2025</v>
      </c>
      <c r="E13" s="193">
        <f>IF('Jan 2025'!R16&gt;=0,'Jan 2025'!R16,0)</f>
        <v>12081.9128</v>
      </c>
      <c r="F13" s="194">
        <f>'Jan 2025'!S16/'Jan 2025'!R16</f>
        <v>0.2</v>
      </c>
      <c r="G13" s="193">
        <f>IF('Jan 2025'!X16&gt;=0,'Jan 2025'!X16,0)</f>
        <v>70</v>
      </c>
      <c r="H13" s="194">
        <f>'Jan 2025'!Y16/'Jan 2025'!X16</f>
        <v>7.839999999999999</v>
      </c>
      <c r="I13" s="193">
        <f>IF('Jan 2025'!AA16&gt;=0,'Jan 2025'!AA16,0)</f>
        <v>98</v>
      </c>
      <c r="J13" s="194">
        <f>'Jan 2025'!AB16/'Jan 2025'!AA16</f>
        <v>1.2551000000000001</v>
      </c>
      <c r="K13" s="193">
        <f>IF('Jan 2025'!AK16&gt;=0,'Jan 2025'!AK16,0)</f>
        <v>4252</v>
      </c>
      <c r="L13" s="195">
        <f>'Jan 2025'!AI16/'Jan 2025'!AK16</f>
        <v>1.4541653473583589</v>
      </c>
      <c r="M13" s="193">
        <f>'Jan 2025'!AO16</f>
        <v>226.98759999999999</v>
      </c>
      <c r="N13" s="193">
        <f>'Jan 2025'!AN16</f>
        <v>279</v>
      </c>
    </row>
    <row r="14" spans="1:14" x14ac:dyDescent="0.25">
      <c r="A14" s="191" t="s">
        <v>92</v>
      </c>
      <c r="B14" s="192">
        <f t="shared" si="0"/>
        <v>13</v>
      </c>
      <c r="C14" s="192">
        <v>1</v>
      </c>
      <c r="D14" s="192">
        <v>2025</v>
      </c>
      <c r="E14" s="193">
        <f>IF('Jan 2025'!R17&gt;=0,'Jan 2025'!R17,0)</f>
        <v>12580.507600000001</v>
      </c>
      <c r="F14" s="194">
        <f>'Jan 2025'!S17/'Jan 2025'!R17</f>
        <v>0.2</v>
      </c>
      <c r="G14" s="193">
        <f>IF('Jan 2025'!X17&gt;=0,'Jan 2025'!X17,0)</f>
        <v>43</v>
      </c>
      <c r="H14" s="194">
        <f>'Jan 2025'!Y17/'Jan 2025'!X17</f>
        <v>7.84</v>
      </c>
      <c r="I14" s="193">
        <f>IF('Jan 2025'!AA17&gt;=0,'Jan 2025'!AA17,0)</f>
        <v>98</v>
      </c>
      <c r="J14" s="194">
        <f>'Jan 2025'!AB17/'Jan 2025'!AA17</f>
        <v>1.2551000000000001</v>
      </c>
      <c r="K14" s="193">
        <f>IF('Jan 2025'!AK17&gt;=0,'Jan 2025'!AK17,0)</f>
        <v>4146</v>
      </c>
      <c r="L14" s="195">
        <f>'Jan 2025'!AI17/'Jan 2025'!AK17</f>
        <v>1.4203809178648681</v>
      </c>
      <c r="M14" s="193">
        <f>'Jan 2025'!AO17</f>
        <v>236.0008</v>
      </c>
      <c r="N14" s="193">
        <f>'Jan 2025'!AN17</f>
        <v>284</v>
      </c>
    </row>
    <row r="15" spans="1:14" x14ac:dyDescent="0.25">
      <c r="A15" s="191" t="s">
        <v>92</v>
      </c>
      <c r="B15" s="192">
        <f t="shared" si="0"/>
        <v>14</v>
      </c>
      <c r="C15" s="192">
        <v>1</v>
      </c>
      <c r="D15" s="192">
        <v>2025</v>
      </c>
      <c r="E15" s="193">
        <f>IF('Jan 2025'!R18&gt;=0,'Jan 2025'!R18,0)</f>
        <v>12805.953399999999</v>
      </c>
      <c r="F15" s="194">
        <f>'Jan 2025'!S18/'Jan 2025'!R18</f>
        <v>0.2</v>
      </c>
      <c r="G15" s="193">
        <f>IF('Jan 2025'!X18&gt;=0,'Jan 2025'!X18,0)</f>
        <v>101</v>
      </c>
      <c r="H15" s="194">
        <f>'Jan 2025'!Y18/'Jan 2025'!X18</f>
        <v>7.8400000000000007</v>
      </c>
      <c r="I15" s="193">
        <f>IF('Jan 2025'!AA18&gt;=0,'Jan 2025'!AA18,0)</f>
        <v>98</v>
      </c>
      <c r="J15" s="194">
        <f>'Jan 2025'!AB18/'Jan 2025'!AA18</f>
        <v>1.2551000000000001</v>
      </c>
      <c r="K15" s="193">
        <f>IF('Jan 2025'!AK18&gt;=0,'Jan 2025'!AK18,0)</f>
        <v>4075</v>
      </c>
      <c r="L15" s="195">
        <f>'Jan 2025'!AI18/'Jan 2025'!AK18</f>
        <v>1.445128659010489</v>
      </c>
      <c r="M15" s="193">
        <f>'Jan 2025'!AO18</f>
        <v>242.99380000000002</v>
      </c>
      <c r="N15" s="193">
        <f>'Jan 2025'!AN18</f>
        <v>306</v>
      </c>
    </row>
    <row r="16" spans="1:14" x14ac:dyDescent="0.25">
      <c r="A16" s="191" t="s">
        <v>92</v>
      </c>
      <c r="B16" s="192">
        <f t="shared" si="0"/>
        <v>15</v>
      </c>
      <c r="C16" s="192">
        <v>1</v>
      </c>
      <c r="D16" s="192">
        <v>2025</v>
      </c>
      <c r="E16" s="193">
        <f>IF('Jan 2025'!R19&gt;=0,'Jan 2025'!R19,0)</f>
        <v>11412.806999999999</v>
      </c>
      <c r="F16" s="194">
        <f>'Jan 2025'!S19/'Jan 2025'!R19</f>
        <v>0.2</v>
      </c>
      <c r="G16" s="193">
        <f>IF('Jan 2025'!X19&gt;=0,'Jan 2025'!X19,0)</f>
        <v>69</v>
      </c>
      <c r="H16" s="194">
        <f>'Jan 2025'!Y19/'Jan 2025'!X19</f>
        <v>7.8400000000000007</v>
      </c>
      <c r="I16" s="193">
        <f>IF('Jan 2025'!AA19&gt;=0,'Jan 2025'!AA19,0)</f>
        <v>98</v>
      </c>
      <c r="J16" s="194">
        <f>'Jan 2025'!AB19/'Jan 2025'!AA19</f>
        <v>1.2551000000000001</v>
      </c>
      <c r="K16" s="193">
        <f>IF('Jan 2025'!AK19&gt;=0,'Jan 2025'!AK19,0)</f>
        <v>4027</v>
      </c>
      <c r="L16" s="195">
        <f>'Jan 2025'!AI19/'Jan 2025'!AK19</f>
        <v>1.438000669224669</v>
      </c>
      <c r="M16" s="193">
        <f>'Jan 2025'!AO19</f>
        <v>244.00390000000002</v>
      </c>
      <c r="N16" s="193">
        <f>'Jan 2025'!AN19</f>
        <v>289</v>
      </c>
    </row>
    <row r="17" spans="1:14" x14ac:dyDescent="0.25">
      <c r="A17" s="191" t="s">
        <v>92</v>
      </c>
      <c r="B17" s="192">
        <f t="shared" si="0"/>
        <v>16</v>
      </c>
      <c r="C17" s="192">
        <v>1</v>
      </c>
      <c r="D17" s="192">
        <v>2025</v>
      </c>
      <c r="E17" s="193">
        <f>IF('Jan 2025'!R20&gt;=0,'Jan 2025'!R20,0)</f>
        <v>11898.278999999999</v>
      </c>
      <c r="F17" s="194">
        <f>'Jan 2025'!S20/'Jan 2025'!R20</f>
        <v>0.2</v>
      </c>
      <c r="G17" s="193">
        <f>IF('Jan 2025'!X20&gt;=0,'Jan 2025'!X20,0)</f>
        <v>116</v>
      </c>
      <c r="H17" s="194">
        <f>'Jan 2025'!Y20/'Jan 2025'!X20</f>
        <v>7.84</v>
      </c>
      <c r="I17" s="193">
        <f>IF('Jan 2025'!AA20&gt;=0,'Jan 2025'!AA20,0)</f>
        <v>98</v>
      </c>
      <c r="J17" s="194">
        <f>'Jan 2025'!AB20/'Jan 2025'!AA20</f>
        <v>1.2551000000000001</v>
      </c>
      <c r="K17" s="193">
        <f>IF('Jan 2025'!AK20&gt;=0,'Jan 2025'!AK20,0)</f>
        <v>4424</v>
      </c>
      <c r="L17" s="195">
        <f>'Jan 2025'!AI20/'Jan 2025'!AK20</f>
        <v>1.3532933716021116</v>
      </c>
      <c r="M17" s="193">
        <f>'Jan 2025'!AO20</f>
        <v>239.0052</v>
      </c>
      <c r="N17" s="193">
        <f>'Jan 2025'!AN20</f>
        <v>281</v>
      </c>
    </row>
    <row r="18" spans="1:14" x14ac:dyDescent="0.25">
      <c r="A18" s="191" t="s">
        <v>92</v>
      </c>
      <c r="B18" s="192">
        <f t="shared" si="0"/>
        <v>17</v>
      </c>
      <c r="C18" s="192">
        <v>1</v>
      </c>
      <c r="D18" s="192">
        <v>2025</v>
      </c>
      <c r="E18" s="193">
        <f>IF('Jan 2025'!R21&gt;=0,'Jan 2025'!R21,0)</f>
        <v>12591.5916</v>
      </c>
      <c r="F18" s="194">
        <f>'Jan 2025'!S21/'Jan 2025'!R21</f>
        <v>0.20000000000000004</v>
      </c>
      <c r="G18" s="193">
        <f>IF('Jan 2025'!X21&gt;=0,'Jan 2025'!X21,0)</f>
        <v>99</v>
      </c>
      <c r="H18" s="194">
        <f>'Jan 2025'!Y21/'Jan 2025'!X21</f>
        <v>7.84</v>
      </c>
      <c r="I18" s="193">
        <f>IF('Jan 2025'!AA21&gt;=0,'Jan 2025'!AA21,0)</f>
        <v>98</v>
      </c>
      <c r="J18" s="194">
        <f>'Jan 2025'!AB21/'Jan 2025'!AA21</f>
        <v>1.2551000000000001</v>
      </c>
      <c r="K18" s="193">
        <f>IF('Jan 2025'!AK21&gt;=0,'Jan 2025'!AK21,0)</f>
        <v>3764</v>
      </c>
      <c r="L18" s="195">
        <f>'Jan 2025'!AI21/'Jan 2025'!AK21</f>
        <v>1.5645322224940867</v>
      </c>
      <c r="M18" s="193">
        <f>'Jan 2025'!AO21</f>
        <v>204.61</v>
      </c>
      <c r="N18" s="193">
        <f>'Jan 2025'!AN21</f>
        <v>240</v>
      </c>
    </row>
    <row r="19" spans="1:14" x14ac:dyDescent="0.25">
      <c r="A19" s="191" t="s">
        <v>92</v>
      </c>
      <c r="B19" s="192">
        <f t="shared" si="0"/>
        <v>18</v>
      </c>
      <c r="C19" s="192">
        <v>1</v>
      </c>
      <c r="D19" s="192">
        <v>2025</v>
      </c>
      <c r="E19" s="193">
        <f>IF('Jan 2025'!R22&gt;=0,'Jan 2025'!R22,0)</f>
        <v>12348.7142</v>
      </c>
      <c r="F19" s="194">
        <f>'Jan 2025'!S22/'Jan 2025'!R22</f>
        <v>0.2</v>
      </c>
      <c r="G19" s="193">
        <f>IF('Jan 2025'!X22&gt;=0,'Jan 2025'!X22,0)</f>
        <v>39</v>
      </c>
      <c r="H19" s="194">
        <f>'Jan 2025'!Y22/'Jan 2025'!X22</f>
        <v>7.84</v>
      </c>
      <c r="I19" s="193">
        <f>IF('Jan 2025'!AA22&gt;=0,'Jan 2025'!AA22,0)</f>
        <v>98</v>
      </c>
      <c r="J19" s="194">
        <f>'Jan 2025'!AB22/'Jan 2025'!AA22</f>
        <v>1.2551000000000001</v>
      </c>
      <c r="K19" s="193">
        <f>IF('Jan 2025'!AK22&gt;=0,'Jan 2025'!AK22,0)</f>
        <v>3570</v>
      </c>
      <c r="L19" s="195">
        <f>'Jan 2025'!AI22/'Jan 2025'!AK22</f>
        <v>1.6220808669377429</v>
      </c>
      <c r="M19" s="193">
        <f>'Jan 2025'!AO22</f>
        <v>216.99019999999999</v>
      </c>
      <c r="N19" s="193">
        <f>'Jan 2025'!AN22</f>
        <v>267</v>
      </c>
    </row>
    <row r="20" spans="1:14" x14ac:dyDescent="0.25">
      <c r="A20" s="191" t="s">
        <v>92</v>
      </c>
      <c r="B20" s="192">
        <f t="shared" si="0"/>
        <v>19</v>
      </c>
      <c r="C20" s="192">
        <v>1</v>
      </c>
      <c r="D20" s="192">
        <v>2025</v>
      </c>
      <c r="E20" s="193">
        <f>IF('Jan 2025'!R23&gt;=0,'Jan 2025'!R23,0)</f>
        <v>12611.537999999999</v>
      </c>
      <c r="F20" s="194">
        <f>'Jan 2025'!S23/'Jan 2025'!R23</f>
        <v>0.20000000000000004</v>
      </c>
      <c r="G20" s="193">
        <f>IF('Jan 2025'!X23&gt;=0,'Jan 2025'!X23,0)</f>
        <v>75</v>
      </c>
      <c r="H20" s="194">
        <f>'Jan 2025'!Y23/'Jan 2025'!X23</f>
        <v>7.84</v>
      </c>
      <c r="I20" s="193">
        <f>IF('Jan 2025'!AA23&gt;=0,'Jan 2025'!AA23,0)</f>
        <v>98</v>
      </c>
      <c r="J20" s="194">
        <f>'Jan 2025'!AB23/'Jan 2025'!AA23</f>
        <v>1.2551000000000001</v>
      </c>
      <c r="K20" s="193">
        <f>IF('Jan 2025'!AK23&gt;=0,'Jan 2025'!AK23,0)</f>
        <v>3434</v>
      </c>
      <c r="L20" s="195">
        <f>'Jan 2025'!AI23/'Jan 2025'!AK23</f>
        <v>1.6863216933511189</v>
      </c>
      <c r="M20" s="193">
        <f>'Jan 2025'!AO23</f>
        <v>224.00909999999999</v>
      </c>
      <c r="N20" s="193">
        <f>'Jan 2025'!AN23</f>
        <v>224</v>
      </c>
    </row>
    <row r="21" spans="1:14" x14ac:dyDescent="0.25">
      <c r="A21" s="191" t="s">
        <v>92</v>
      </c>
      <c r="B21" s="192">
        <f t="shared" si="0"/>
        <v>20</v>
      </c>
      <c r="C21" s="192">
        <v>1</v>
      </c>
      <c r="D21" s="192">
        <v>2025</v>
      </c>
      <c r="E21" s="193">
        <f>IF('Jan 2025'!R24&gt;=0,'Jan 2025'!R24,0)</f>
        <v>11736.857400000001</v>
      </c>
      <c r="F21" s="194">
        <f>'Jan 2025'!S24/'Jan 2025'!R24</f>
        <v>0.2</v>
      </c>
      <c r="G21" s="193">
        <f>IF('Jan 2025'!X24&gt;=0,'Jan 2025'!X24,0)</f>
        <v>78</v>
      </c>
      <c r="H21" s="194">
        <f>'Jan 2025'!Y24/'Jan 2025'!X24</f>
        <v>7.84</v>
      </c>
      <c r="I21" s="193">
        <f>IF('Jan 2025'!AA24&gt;=0,'Jan 2025'!AA24,0)</f>
        <v>98</v>
      </c>
      <c r="J21" s="194">
        <f>'Jan 2025'!AB24/'Jan 2025'!AA24</f>
        <v>1.2551000000000001</v>
      </c>
      <c r="K21" s="193">
        <f>IF('Jan 2025'!AK24&gt;=0,'Jan 2025'!AK24,0)</f>
        <v>3469</v>
      </c>
      <c r="L21" s="195">
        <f>'Jan 2025'!AI24/'Jan 2025'!AK24</f>
        <v>1.6693077817721944</v>
      </c>
      <c r="M21" s="193">
        <f>'Jan 2025'!AO24</f>
        <v>237.99510000000001</v>
      </c>
      <c r="N21" s="193">
        <f>'Jan 2025'!AN24</f>
        <v>293</v>
      </c>
    </row>
    <row r="22" spans="1:14" x14ac:dyDescent="0.25">
      <c r="A22" s="191" t="s">
        <v>92</v>
      </c>
      <c r="B22" s="192">
        <f t="shared" si="0"/>
        <v>21</v>
      </c>
      <c r="C22" s="192">
        <v>1</v>
      </c>
      <c r="D22" s="192">
        <v>2025</v>
      </c>
      <c r="E22" s="193">
        <f>IF('Jan 2025'!R25&gt;=0,'Jan 2025'!R25,0)</f>
        <v>12507.5746</v>
      </c>
      <c r="F22" s="194">
        <f>'Jan 2025'!S25/'Jan 2025'!R25</f>
        <v>0.2</v>
      </c>
      <c r="G22" s="193">
        <f>IF('Jan 2025'!X25&gt;=0,'Jan 2025'!X25,0)</f>
        <v>87</v>
      </c>
      <c r="H22" s="194">
        <f>'Jan 2025'!Y25/'Jan 2025'!X25</f>
        <v>7.8400000000000007</v>
      </c>
      <c r="I22" s="193">
        <f>IF('Jan 2025'!AA25&gt;=0,'Jan 2025'!AA25,0)</f>
        <v>98</v>
      </c>
      <c r="J22" s="194">
        <f>'Jan 2025'!AB25/'Jan 2025'!AA25</f>
        <v>1.2551000000000001</v>
      </c>
      <c r="K22" s="193">
        <f>IF('Jan 2025'!AK25&gt;=0,'Jan 2025'!AK25,0)</f>
        <v>3642</v>
      </c>
      <c r="L22" s="195">
        <f>'Jan 2025'!AI25/'Jan 2025'!AK25</f>
        <v>1.5900133703920214</v>
      </c>
      <c r="M22" s="193">
        <f>'Jan 2025'!AO25</f>
        <v>255.01140000000001</v>
      </c>
      <c r="N22" s="193">
        <f>'Jan 2025'!AN25</f>
        <v>306</v>
      </c>
    </row>
    <row r="23" spans="1:14" x14ac:dyDescent="0.25">
      <c r="A23" s="191" t="s">
        <v>92</v>
      </c>
      <c r="B23" s="192">
        <f t="shared" si="0"/>
        <v>22</v>
      </c>
      <c r="C23" s="192">
        <v>1</v>
      </c>
      <c r="D23" s="192">
        <v>2025</v>
      </c>
      <c r="E23" s="193">
        <f>IF('Jan 2025'!R26&gt;=0,'Jan 2025'!R26,0)</f>
        <v>12687.733</v>
      </c>
      <c r="F23" s="194">
        <f>'Jan 2025'!S26/'Jan 2025'!R26</f>
        <v>0.2</v>
      </c>
      <c r="G23" s="193">
        <f>IF('Jan 2025'!X26&gt;=0,'Jan 2025'!X26,0)</f>
        <v>73</v>
      </c>
      <c r="H23" s="194">
        <f>'Jan 2025'!Y26/'Jan 2025'!X26</f>
        <v>7.839999999999999</v>
      </c>
      <c r="I23" s="193">
        <f>IF('Jan 2025'!AA26&gt;=0,'Jan 2025'!AA26,0)</f>
        <v>98</v>
      </c>
      <c r="J23" s="194">
        <f>'Jan 2025'!AB26/'Jan 2025'!AA26</f>
        <v>1.2551000000000001</v>
      </c>
      <c r="K23" s="193">
        <f>IF('Jan 2025'!AK26&gt;=0,'Jan 2025'!AK26,0)</f>
        <v>3776</v>
      </c>
      <c r="L23" s="195">
        <f>'Jan 2025'!AI26/'Jan 2025'!AK26</f>
        <v>1.533588107777474</v>
      </c>
      <c r="M23" s="193">
        <f>'Jan 2025'!AO26</f>
        <v>257.00569999999999</v>
      </c>
      <c r="N23" s="193">
        <f>'Jan 2025'!AN26</f>
        <v>311</v>
      </c>
    </row>
    <row r="24" spans="1:14" x14ac:dyDescent="0.25">
      <c r="A24" s="191" t="s">
        <v>92</v>
      </c>
      <c r="B24" s="192">
        <f t="shared" si="0"/>
        <v>23</v>
      </c>
      <c r="C24" s="192">
        <v>1</v>
      </c>
      <c r="D24" s="192">
        <v>2025</v>
      </c>
      <c r="E24" s="193">
        <f>IF('Jan 2025'!R27&gt;=0,'Jan 2025'!R27,0)</f>
        <v>12781.4524</v>
      </c>
      <c r="F24" s="194">
        <f>'Jan 2025'!S27/'Jan 2025'!R27</f>
        <v>0.2</v>
      </c>
      <c r="G24" s="193">
        <f>IF('Jan 2025'!X27&gt;=0,'Jan 2025'!X27,0)</f>
        <v>49</v>
      </c>
      <c r="H24" s="194">
        <f>'Jan 2025'!Y27/'Jan 2025'!X27</f>
        <v>7.839999999999999</v>
      </c>
      <c r="I24" s="193">
        <f>IF('Jan 2025'!AA27&gt;=0,'Jan 2025'!AA27,0)</f>
        <v>98</v>
      </c>
      <c r="J24" s="194">
        <f>'Jan 2025'!AB27/'Jan 2025'!AA27</f>
        <v>1.2551000000000001</v>
      </c>
      <c r="K24" s="193">
        <f>IF('Jan 2025'!AK27&gt;=0,'Jan 2025'!AK27,0)</f>
        <v>3753</v>
      </c>
      <c r="L24" s="195">
        <f>'Jan 2025'!AI27/'Jan 2025'!AK27</f>
        <v>1.542986596047893</v>
      </c>
      <c r="M24" s="193">
        <f>'Jan 2025'!AO27</f>
        <v>250.99689999999998</v>
      </c>
      <c r="N24" s="193">
        <f>'Jan 2025'!AN27</f>
        <v>312</v>
      </c>
    </row>
    <row r="25" spans="1:14" x14ac:dyDescent="0.25">
      <c r="A25" s="191" t="s">
        <v>92</v>
      </c>
      <c r="B25" s="192">
        <f t="shared" si="0"/>
        <v>24</v>
      </c>
      <c r="C25" s="192">
        <v>1</v>
      </c>
      <c r="D25" s="192">
        <v>2025</v>
      </c>
      <c r="E25" s="193">
        <f>IF('Jan 2025'!R28&gt;=0,'Jan 2025'!R28,0)</f>
        <v>12475.079399999999</v>
      </c>
      <c r="F25" s="194">
        <f>'Jan 2025'!S28/'Jan 2025'!R28</f>
        <v>0.2</v>
      </c>
      <c r="G25" s="193">
        <f>IF('Jan 2025'!X28&gt;=0,'Jan 2025'!X28,0)</f>
        <v>49</v>
      </c>
      <c r="H25" s="194">
        <f>'Jan 2025'!Y28/'Jan 2025'!X28</f>
        <v>7.839999999999999</v>
      </c>
      <c r="I25" s="193">
        <f>IF('Jan 2025'!AA28&gt;=0,'Jan 2025'!AA28,0)</f>
        <v>98</v>
      </c>
      <c r="J25" s="194">
        <f>'Jan 2025'!AB28/'Jan 2025'!AA28</f>
        <v>1.2551000000000001</v>
      </c>
      <c r="K25" s="193">
        <f>IF('Jan 2025'!AK28&gt;=0,'Jan 2025'!AK28,0)</f>
        <v>3488</v>
      </c>
      <c r="L25" s="195">
        <f>'Jan 2025'!AI28/'Jan 2025'!AK28</f>
        <v>1.6602146487866234</v>
      </c>
      <c r="M25" s="193">
        <f>'Jan 2025'!AO28</f>
        <v>252.99119999999999</v>
      </c>
      <c r="N25" s="193">
        <f>'Jan 2025'!AN28</f>
        <v>329</v>
      </c>
    </row>
    <row r="26" spans="1:14" x14ac:dyDescent="0.25">
      <c r="A26" s="191" t="s">
        <v>92</v>
      </c>
      <c r="B26" s="192">
        <f>B25+1</f>
        <v>25</v>
      </c>
      <c r="C26" s="192">
        <v>1</v>
      </c>
      <c r="D26" s="192">
        <v>2025</v>
      </c>
      <c r="E26" s="193">
        <f>IF('Jan 2025'!R29&gt;=0,'Jan 2025'!R29,0)</f>
        <v>12412.672200000001</v>
      </c>
      <c r="F26" s="194">
        <f>'Jan 2025'!S29/'Jan 2025'!R29</f>
        <v>0.2</v>
      </c>
      <c r="G26" s="193">
        <f>IF('Jan 2025'!X29&gt;=0,'Jan 2025'!X29,0)</f>
        <v>77</v>
      </c>
      <c r="H26" s="194">
        <f>'Jan 2025'!Y29/'Jan 2025'!X29</f>
        <v>7.839999999999999</v>
      </c>
      <c r="I26" s="193">
        <f>IF('Jan 2025'!AA29&gt;=0,'Jan 2025'!AA29,0)</f>
        <v>98</v>
      </c>
      <c r="J26" s="194">
        <f>'Jan 2025'!AB29/'Jan 2025'!AA29</f>
        <v>1.2551000000000001</v>
      </c>
      <c r="K26" s="193">
        <f>IF('Jan 2025'!AK29&gt;=0,'Jan 2025'!AK29,0)</f>
        <v>3451</v>
      </c>
      <c r="L26" s="195">
        <f>'Jan 2025'!AI29/'Jan 2025'!AK29</f>
        <v>1.6780146899355961</v>
      </c>
      <c r="M26" s="193">
        <f>'Jan 2025'!AO29</f>
        <v>247.00829999999999</v>
      </c>
      <c r="N26" s="193">
        <f>'Jan 2025'!AN29</f>
        <v>310</v>
      </c>
    </row>
    <row r="27" spans="1:14" x14ac:dyDescent="0.25">
      <c r="A27" s="191" t="s">
        <v>92</v>
      </c>
      <c r="B27" s="192">
        <f t="shared" si="0"/>
        <v>26</v>
      </c>
      <c r="C27" s="192">
        <v>1</v>
      </c>
      <c r="D27" s="192">
        <v>2025</v>
      </c>
      <c r="E27" s="193">
        <f>IF('Jan 2025'!R30&gt;=0,'Jan 2025'!R30,0)</f>
        <v>12667.851199999999</v>
      </c>
      <c r="F27" s="194">
        <f>'Jan 2025'!S30/'Jan 2025'!R30</f>
        <v>0.2</v>
      </c>
      <c r="G27" s="193">
        <f>IF('Jan 2025'!X30&gt;=0,'Jan 2025'!X30,0)</f>
        <v>49</v>
      </c>
      <c r="H27" s="194">
        <f>'Jan 2025'!Y30/'Jan 2025'!X30</f>
        <v>7.839999999999999</v>
      </c>
      <c r="I27" s="193">
        <f>IF('Jan 2025'!AA30&gt;=0,'Jan 2025'!AA30,0)</f>
        <v>196</v>
      </c>
      <c r="J27" s="194">
        <f>'Jan 2025'!AB30/'Jan 2025'!AA30</f>
        <v>1.2551000000000001</v>
      </c>
      <c r="K27" s="193">
        <f>IF('Jan 2025'!AK30&gt;=0,'Jan 2025'!AK30,0)</f>
        <v>3879</v>
      </c>
      <c r="L27" s="195">
        <f>'Jan 2025'!AI30/'Jan 2025'!AK30</f>
        <v>1.5181488232708797</v>
      </c>
      <c r="M27" s="193">
        <f>'Jan 2025'!AO30</f>
        <v>213.0016</v>
      </c>
      <c r="N27" s="193">
        <f>'Jan 2025'!AN30</f>
        <v>246</v>
      </c>
    </row>
    <row r="28" spans="1:14" x14ac:dyDescent="0.25">
      <c r="A28" s="191" t="s">
        <v>92</v>
      </c>
      <c r="B28" s="192">
        <f t="shared" si="0"/>
        <v>27</v>
      </c>
      <c r="C28" s="192">
        <v>1</v>
      </c>
      <c r="D28" s="192">
        <v>2025</v>
      </c>
      <c r="E28" s="193">
        <f>IF('Jan 2025'!R31&gt;=0,'Jan 2025'!R31,0)</f>
        <v>12689.2842</v>
      </c>
      <c r="F28" s="194">
        <f>'Jan 2025'!S31/'Jan 2025'!R31</f>
        <v>0.20000000000000004</v>
      </c>
      <c r="G28" s="193">
        <f>IF('Jan 2025'!X31&gt;=0,'Jan 2025'!X31,0)</f>
        <v>39</v>
      </c>
      <c r="H28" s="194">
        <f>'Jan 2025'!Y31/'Jan 2025'!X31</f>
        <v>7.84</v>
      </c>
      <c r="I28" s="193">
        <f>IF('Jan 2025'!AA31&gt;=0,'Jan 2025'!AA31,0)</f>
        <v>98</v>
      </c>
      <c r="J28" s="194">
        <f>'Jan 2025'!AB31/'Jan 2025'!AA31</f>
        <v>1.2551000000000001</v>
      </c>
      <c r="K28" s="193">
        <f>IF('Jan 2025'!AK31&gt;=0,'Jan 2025'!AK31,0)</f>
        <v>4399</v>
      </c>
      <c r="L28" s="195">
        <f>'Jan 2025'!AI31/'Jan 2025'!AK31</f>
        <v>1.3609842864214008</v>
      </c>
      <c r="M28" s="193">
        <f>'Jan 2025'!AO31</f>
        <v>249.0026</v>
      </c>
      <c r="N28" s="193">
        <f>'Jan 2025'!AN31</f>
        <v>294</v>
      </c>
    </row>
    <row r="29" spans="1:14" x14ac:dyDescent="0.25">
      <c r="A29" s="191" t="s">
        <v>92</v>
      </c>
      <c r="B29" s="192">
        <f t="shared" si="0"/>
        <v>28</v>
      </c>
      <c r="C29" s="192">
        <v>1</v>
      </c>
      <c r="D29" s="192">
        <v>2025</v>
      </c>
      <c r="E29" s="193">
        <f>IF('Jan 2025'!R32&gt;=0,'Jan 2025'!R32,0)</f>
        <v>11878.9092</v>
      </c>
      <c r="F29" s="194">
        <f>'Jan 2025'!S32/'Jan 2025'!R32</f>
        <v>0.2</v>
      </c>
      <c r="G29" s="193">
        <f>IF('Jan 2025'!X32&gt;=0,'Jan 2025'!X32,0)</f>
        <v>42</v>
      </c>
      <c r="H29" s="194">
        <f>'Jan 2025'!Y32/'Jan 2025'!X32</f>
        <v>7.839999999999999</v>
      </c>
      <c r="I29" s="193">
        <f>IF('Jan 2025'!AA32&gt;=0,'Jan 2025'!AA32,0)</f>
        <v>196</v>
      </c>
      <c r="J29" s="194">
        <f>'Jan 2025'!AB32/'Jan 2025'!AA32</f>
        <v>1.2551000000000001</v>
      </c>
      <c r="K29" s="193">
        <f>IF('Jan 2025'!AK32&gt;=0,'Jan 2025'!AK32,0)</f>
        <v>4326</v>
      </c>
      <c r="L29" s="195">
        <f>'Jan 2025'!AI32/'Jan 2025'!AK32</f>
        <v>1.3839505029976289</v>
      </c>
      <c r="M29" s="193">
        <f>'Jan 2025'!AO32</f>
        <v>250.01270000000002</v>
      </c>
      <c r="N29" s="193">
        <f>'Jan 2025'!AN32</f>
        <v>298</v>
      </c>
    </row>
    <row r="30" spans="1:14" x14ac:dyDescent="0.25">
      <c r="A30" s="191" t="s">
        <v>92</v>
      </c>
      <c r="B30" s="192">
        <f t="shared" si="0"/>
        <v>29</v>
      </c>
      <c r="C30" s="192">
        <v>1</v>
      </c>
      <c r="D30" s="192">
        <v>2025</v>
      </c>
      <c r="E30" s="193">
        <f>IF('Jan 2025'!R33&gt;=0,'Jan 2025'!R33,0)</f>
        <v>12423.5072</v>
      </c>
      <c r="F30" s="194">
        <f>'Jan 2025'!S33/'Jan 2025'!R33</f>
        <v>0.2</v>
      </c>
      <c r="G30" s="193">
        <f>IF('Jan 2025'!X33&gt;=0,'Jan 2025'!X33,0)</f>
        <v>94</v>
      </c>
      <c r="H30" s="194">
        <f>'Jan 2025'!Y33/'Jan 2025'!X33</f>
        <v>7.8400000000000007</v>
      </c>
      <c r="I30" s="193">
        <f>IF('Jan 2025'!AA33&gt;=0,'Jan 2025'!AA33,0)</f>
        <v>98</v>
      </c>
      <c r="J30" s="194">
        <f>'Jan 2025'!AB33/'Jan 2025'!AA33</f>
        <v>1.2551000000000001</v>
      </c>
      <c r="K30" s="193">
        <f>IF('Jan 2025'!AK33&gt;=0,'Jan 2025'!AK33,0)</f>
        <v>4209</v>
      </c>
      <c r="L30" s="195">
        <f>'Jan 2025'!AI33/'Jan 2025'!AK33</f>
        <v>1.3991207615746597</v>
      </c>
      <c r="M30" s="193">
        <f>'Jan 2025'!AO33</f>
        <v>242.00960000000001</v>
      </c>
      <c r="N30" s="193">
        <f>'Jan 2025'!AN33</f>
        <v>284</v>
      </c>
    </row>
    <row r="31" spans="1:14" x14ac:dyDescent="0.25">
      <c r="A31" s="191" t="s">
        <v>92</v>
      </c>
      <c r="B31" s="192">
        <f t="shared" si="0"/>
        <v>30</v>
      </c>
      <c r="C31" s="192">
        <v>1</v>
      </c>
      <c r="D31" s="192">
        <v>2025</v>
      </c>
      <c r="E31" s="193">
        <f>IF('Jan 2025'!R34&gt;=0,'Jan 2025'!R34,0)</f>
        <v>12552.669399999999</v>
      </c>
      <c r="F31" s="194">
        <f>'Jan 2025'!S34/'Jan 2025'!R34</f>
        <v>0.2</v>
      </c>
      <c r="G31" s="193">
        <f>IF('Jan 2025'!X34&gt;=0,'Jan 2025'!X34,0)</f>
        <v>121</v>
      </c>
      <c r="H31" s="194">
        <f>'Jan 2025'!Y34/'Jan 2025'!X34</f>
        <v>7.84</v>
      </c>
      <c r="I31" s="193">
        <f>IF('Jan 2025'!AA34&gt;=0,'Jan 2025'!AA34,0)</f>
        <v>98</v>
      </c>
      <c r="J31" s="194">
        <f>'Jan 2025'!AB34/'Jan 2025'!AA34</f>
        <v>1.2551000000000001</v>
      </c>
      <c r="K31" s="193">
        <f>IF('Jan 2025'!AK34&gt;=0,'Jan 2025'!AK34,0)</f>
        <v>4019</v>
      </c>
      <c r="L31" s="195">
        <f>'Jan 2025'!AI34/'Jan 2025'!AK34</f>
        <v>1.4652648135027975</v>
      </c>
      <c r="M31" s="193">
        <f>'Jan 2025'!AO34</f>
        <v>254.00130000000001</v>
      </c>
      <c r="N31" s="193">
        <f>'Jan 2025'!AN34</f>
        <v>308</v>
      </c>
    </row>
    <row r="32" spans="1:14" x14ac:dyDescent="0.25">
      <c r="A32" s="191" t="s">
        <v>92</v>
      </c>
      <c r="B32" s="192">
        <f t="shared" si="0"/>
        <v>31</v>
      </c>
      <c r="C32" s="192">
        <v>1</v>
      </c>
      <c r="D32" s="192">
        <v>2025</v>
      </c>
      <c r="E32" s="193">
        <f>IF('Jan 2025'!R35&gt;=0,'Jan 2025'!R35,0)</f>
        <v>12805.1504</v>
      </c>
      <c r="F32" s="194">
        <f>'Jan 2025'!S35/'Jan 2025'!R35</f>
        <v>0.20000000000000004</v>
      </c>
      <c r="G32" s="193">
        <f>IF('Jan 2025'!X35&gt;=0,'Jan 2025'!X35,0)</f>
        <v>78</v>
      </c>
      <c r="H32" s="194">
        <f>'Jan 2025'!Y35/'Jan 2025'!X35</f>
        <v>7.84</v>
      </c>
      <c r="I32" s="193">
        <f>IF('Jan 2025'!AA35&gt;=0,'Jan 2025'!AA35,0)</f>
        <v>196</v>
      </c>
      <c r="J32" s="194">
        <f>'Jan 2025'!AB35/'Jan 2025'!AA35</f>
        <v>1.2551000000000001</v>
      </c>
      <c r="K32" s="193">
        <f>IF('Jan 2025'!AK35&gt;=0,'Jan 2025'!AK35,0)</f>
        <v>3545</v>
      </c>
      <c r="L32" s="195">
        <f>'Jan 2025'!AI35/'Jan 2025'!AK35</f>
        <v>1.6335200832066974</v>
      </c>
      <c r="M32" s="193">
        <f>'Jan 2025'!AO35</f>
        <v>259</v>
      </c>
      <c r="N32" s="193">
        <f>'Jan 2025'!AN35</f>
        <v>320</v>
      </c>
    </row>
    <row r="33" spans="5:5" x14ac:dyDescent="0.25">
      <c r="E33" s="19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06CC-3030-4C0F-B2EE-958023E933E2}">
  <sheetPr>
    <pageSetUpPr fitToPage="1"/>
  </sheetPr>
  <dimension ref="A1:EJ75"/>
  <sheetViews>
    <sheetView showGridLines="0" topLeftCell="W1" zoomScale="75" zoomScaleNormal="75" zoomScaleSheetLayoutView="80" workbookViewId="0">
      <selection activeCell="AP37" sqref="AP37"/>
    </sheetView>
  </sheetViews>
  <sheetFormatPr defaultColWidth="9.140625" defaultRowHeight="15" x14ac:dyDescent="0.25"/>
  <cols>
    <col min="1" max="1" width="14.42578125" customWidth="1"/>
    <col min="2" max="2" width="15.7109375" customWidth="1"/>
    <col min="3" max="3" width="9.140625" customWidth="1"/>
    <col min="4" max="4" width="11" customWidth="1"/>
    <col min="5" max="5" width="8.5703125" customWidth="1"/>
    <col min="6" max="6" width="11" customWidth="1"/>
    <col min="7" max="7" width="13.42578125" style="1" customWidth="1"/>
    <col min="8" max="8" width="9" style="1" customWidth="1"/>
    <col min="9" max="9" width="11.5703125" style="1" customWidth="1"/>
    <col min="10" max="10" width="11.42578125" style="1" customWidth="1"/>
    <col min="11" max="11" width="8.85546875" style="1" customWidth="1"/>
    <col min="12" max="12" width="15.42578125" style="1" customWidth="1"/>
    <col min="13" max="13" width="5.85546875" style="1" customWidth="1"/>
    <col min="14" max="14" width="6.7109375" style="1" customWidth="1"/>
    <col min="15" max="15" width="8.140625" style="1" customWidth="1"/>
    <col min="16" max="16" width="5.85546875" style="1" customWidth="1"/>
    <col min="17" max="17" width="11.140625" style="1" customWidth="1"/>
    <col min="18" max="18" width="11" style="1" customWidth="1"/>
    <col min="19" max="19" width="12.42578125" style="1" customWidth="1"/>
    <col min="20" max="20" width="13.5703125" style="2" customWidth="1"/>
    <col min="21" max="21" width="10.7109375" style="2" customWidth="1"/>
    <col min="22" max="22" width="16.7109375" style="2" customWidth="1"/>
    <col min="23" max="23" width="13.28515625" style="2" customWidth="1"/>
    <col min="24" max="24" width="12.7109375" style="2" customWidth="1"/>
    <col min="25" max="25" width="13.140625" style="2" customWidth="1"/>
    <col min="26" max="26" width="24" style="2" customWidth="1"/>
    <col min="27" max="27" width="16.28515625" style="2" customWidth="1"/>
    <col min="28" max="29" width="13.7109375" customWidth="1"/>
    <col min="30" max="30" width="12.42578125" customWidth="1"/>
    <col min="31" max="31" width="14.85546875" customWidth="1"/>
    <col min="32" max="32" width="15.85546875" customWidth="1"/>
    <col min="33" max="33" width="16.42578125" customWidth="1"/>
    <col min="34" max="34" width="16.28515625" customWidth="1"/>
    <col min="35" max="35" width="12.28515625" customWidth="1"/>
    <col min="36" max="38" width="13.42578125" customWidth="1"/>
    <col min="39" max="39" width="12.7109375" customWidth="1"/>
    <col min="40" max="40" width="12.5703125" customWidth="1"/>
    <col min="41" max="41" width="9.140625" customWidth="1"/>
    <col min="42" max="42" width="15.5703125" customWidth="1"/>
    <col min="43" max="43" width="47.140625" bestFit="1" customWidth="1"/>
    <col min="44" max="140" width="9.140625" customWidth="1"/>
  </cols>
  <sheetData>
    <row r="1" spans="1:43" s="4" customFormat="1" ht="24.75" customHeight="1" thickBot="1" x14ac:dyDescent="0.4">
      <c r="A1" s="276" t="s">
        <v>68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7"/>
      <c r="AH1" s="277"/>
      <c r="AI1" s="277"/>
      <c r="AJ1" s="277"/>
      <c r="AK1" s="278"/>
      <c r="AL1" s="278"/>
      <c r="AM1" s="278"/>
      <c r="AN1" s="278"/>
    </row>
    <row r="2" spans="1:43" s="7" customFormat="1" ht="24.75" customHeight="1" thickBot="1" x14ac:dyDescent="0.35">
      <c r="A2" s="253" t="s">
        <v>0</v>
      </c>
      <c r="B2" s="285" t="s">
        <v>3</v>
      </c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7"/>
      <c r="T2" s="288" t="s">
        <v>4</v>
      </c>
      <c r="U2" s="289"/>
      <c r="V2" s="289"/>
      <c r="W2" s="289"/>
      <c r="X2" s="289"/>
      <c r="Y2" s="290"/>
      <c r="Z2" s="322" t="s">
        <v>43</v>
      </c>
      <c r="AA2" s="323"/>
      <c r="AB2" s="323"/>
      <c r="AC2" s="324"/>
      <c r="AD2" s="320" t="s">
        <v>2</v>
      </c>
      <c r="AE2" s="321"/>
      <c r="AF2" s="321"/>
      <c r="AG2" s="321"/>
      <c r="AH2" s="321"/>
      <c r="AI2" s="321"/>
      <c r="AJ2" s="321"/>
      <c r="AK2" s="321"/>
      <c r="AL2" s="327"/>
      <c r="AM2" s="328" t="s">
        <v>18</v>
      </c>
      <c r="AN2" s="329"/>
    </row>
    <row r="3" spans="1:43" s="5" customFormat="1" ht="36.75" customHeight="1" x14ac:dyDescent="0.25">
      <c r="A3" s="254"/>
      <c r="B3" s="265" t="s">
        <v>46</v>
      </c>
      <c r="C3" s="264"/>
      <c r="D3" s="255" t="s">
        <v>47</v>
      </c>
      <c r="E3" s="256"/>
      <c r="F3" s="257"/>
      <c r="G3" s="255" t="s">
        <v>48</v>
      </c>
      <c r="H3" s="256"/>
      <c r="I3" s="257"/>
      <c r="J3" s="264" t="s">
        <v>49</v>
      </c>
      <c r="K3" s="264"/>
      <c r="L3" s="255" t="s">
        <v>50</v>
      </c>
      <c r="M3" s="256"/>
      <c r="N3" s="257"/>
      <c r="O3" s="255" t="s">
        <v>51</v>
      </c>
      <c r="P3" s="256"/>
      <c r="Q3" s="257"/>
      <c r="R3" s="293" t="s">
        <v>29</v>
      </c>
      <c r="S3" s="303" t="s">
        <v>7</v>
      </c>
      <c r="T3" s="295" t="s">
        <v>26</v>
      </c>
      <c r="U3" s="251" t="s">
        <v>20</v>
      </c>
      <c r="V3" s="11" t="s">
        <v>27</v>
      </c>
      <c r="W3" s="251" t="s">
        <v>20</v>
      </c>
      <c r="X3" s="251" t="s">
        <v>21</v>
      </c>
      <c r="Y3" s="310" t="s">
        <v>6</v>
      </c>
      <c r="Z3" s="312" t="s">
        <v>31</v>
      </c>
      <c r="AA3" s="313"/>
      <c r="AB3" s="297" t="s">
        <v>32</v>
      </c>
      <c r="AC3" s="325" t="s">
        <v>64</v>
      </c>
      <c r="AD3" s="291" t="s">
        <v>30</v>
      </c>
      <c r="AE3" s="279" t="s">
        <v>8</v>
      </c>
      <c r="AF3" s="279" t="s">
        <v>9</v>
      </c>
      <c r="AG3" s="279" t="s">
        <v>10</v>
      </c>
      <c r="AH3" s="279" t="s">
        <v>11</v>
      </c>
      <c r="AI3" s="279" t="s">
        <v>12</v>
      </c>
      <c r="AJ3" s="279" t="s">
        <v>69</v>
      </c>
      <c r="AK3" s="279" t="s">
        <v>70</v>
      </c>
      <c r="AL3" s="330" t="s">
        <v>71</v>
      </c>
      <c r="AM3" s="331" t="s">
        <v>95</v>
      </c>
      <c r="AN3" s="332" t="s">
        <v>19</v>
      </c>
      <c r="AO3" s="319" t="s">
        <v>79</v>
      </c>
    </row>
    <row r="4" spans="1:43" s="5" customFormat="1" ht="36.75" customHeight="1" thickBot="1" x14ac:dyDescent="0.3">
      <c r="A4" s="254"/>
      <c r="B4" s="22" t="s">
        <v>1</v>
      </c>
      <c r="C4" s="23" t="s">
        <v>5</v>
      </c>
      <c r="D4" s="23" t="s">
        <v>1</v>
      </c>
      <c r="E4" s="23" t="s">
        <v>5</v>
      </c>
      <c r="F4" s="24" t="s">
        <v>52</v>
      </c>
      <c r="G4" s="23" t="s">
        <v>1</v>
      </c>
      <c r="H4" s="23" t="s">
        <v>5</v>
      </c>
      <c r="I4" s="24" t="s">
        <v>53</v>
      </c>
      <c r="J4" s="23" t="s">
        <v>1</v>
      </c>
      <c r="K4" s="23" t="s">
        <v>5</v>
      </c>
      <c r="L4" s="23" t="s">
        <v>1</v>
      </c>
      <c r="M4" s="23" t="s">
        <v>5</v>
      </c>
      <c r="N4" s="24" t="s">
        <v>54</v>
      </c>
      <c r="O4" s="23" t="s">
        <v>1</v>
      </c>
      <c r="P4" s="23" t="s">
        <v>5</v>
      </c>
      <c r="Q4" s="24" t="s">
        <v>54</v>
      </c>
      <c r="R4" s="294"/>
      <c r="S4" s="304"/>
      <c r="T4" s="296"/>
      <c r="U4" s="252"/>
      <c r="V4" s="24" t="s">
        <v>28</v>
      </c>
      <c r="W4" s="252"/>
      <c r="X4" s="252"/>
      <c r="Y4" s="311"/>
      <c r="Z4" s="124" t="s">
        <v>22</v>
      </c>
      <c r="AA4" s="125" t="s">
        <v>23</v>
      </c>
      <c r="AB4" s="298"/>
      <c r="AC4" s="326"/>
      <c r="AD4" s="292"/>
      <c r="AE4" s="280"/>
      <c r="AF4" s="280"/>
      <c r="AG4" s="280"/>
      <c r="AH4" s="280"/>
      <c r="AI4" s="280"/>
      <c r="AJ4" s="280"/>
      <c r="AK4" s="280"/>
      <c r="AL4" s="333"/>
      <c r="AM4" s="334"/>
      <c r="AN4" s="332"/>
      <c r="AO4" s="319"/>
    </row>
    <row r="5" spans="1:43" s="3" customFormat="1" ht="27.95" customHeight="1" x14ac:dyDescent="0.25">
      <c r="A5" s="113">
        <v>45658</v>
      </c>
      <c r="B5" s="85">
        <v>9737972</v>
      </c>
      <c r="C5" s="154">
        <v>2325</v>
      </c>
      <c r="D5" s="70">
        <v>23585928</v>
      </c>
      <c r="E5" s="70">
        <v>6730</v>
      </c>
      <c r="F5" s="71">
        <f>E5*0.9438</f>
        <v>6351.7739999999994</v>
      </c>
      <c r="G5" s="70">
        <v>15327958</v>
      </c>
      <c r="H5" s="70">
        <v>4057</v>
      </c>
      <c r="I5" s="71">
        <f>H5*0.6536</f>
        <v>2651.6551999999997</v>
      </c>
      <c r="J5" s="70">
        <v>3683019</v>
      </c>
      <c r="K5" s="70">
        <v>1305</v>
      </c>
      <c r="L5" s="70">
        <v>1385</v>
      </c>
      <c r="M5" s="70">
        <v>0</v>
      </c>
      <c r="N5" s="70">
        <f>M5*0.5</f>
        <v>0</v>
      </c>
      <c r="O5" s="70">
        <v>835</v>
      </c>
      <c r="P5" s="70">
        <v>0</v>
      </c>
      <c r="Q5" s="70">
        <f>P5*0.5</f>
        <v>0</v>
      </c>
      <c r="R5" s="155">
        <f>C5+F5+I5+K5+N5+Q5</f>
        <v>12633.429199999999</v>
      </c>
      <c r="S5" s="133">
        <f t="shared" ref="S5:S35" si="0">R5*0.2</f>
        <v>2526.6858400000001</v>
      </c>
      <c r="T5" s="85">
        <v>79480</v>
      </c>
      <c r="U5" s="154">
        <v>75</v>
      </c>
      <c r="V5" s="70">
        <v>36727</v>
      </c>
      <c r="W5" s="70">
        <v>0</v>
      </c>
      <c r="X5" s="72">
        <f>U5-W5</f>
        <v>75</v>
      </c>
      <c r="Y5" s="128">
        <f>X5*7.84</f>
        <v>588</v>
      </c>
      <c r="Z5" s="85">
        <v>2</v>
      </c>
      <c r="AA5" s="70">
        <f>Z5*50*1.96</f>
        <v>196</v>
      </c>
      <c r="AB5" s="170">
        <f>AA5*1.2551</f>
        <v>245.99960000000002</v>
      </c>
      <c r="AC5" s="126">
        <v>0</v>
      </c>
      <c r="AD5" s="85">
        <v>82138</v>
      </c>
      <c r="AE5" s="70">
        <v>11</v>
      </c>
      <c r="AF5" s="131">
        <f t="shared" ref="AF5:AF35" si="1">IF(ISBLANK(AD5),"0 ",AE5*284.345)</f>
        <v>3127.7950000000001</v>
      </c>
      <c r="AG5" s="174">
        <f>AF5*0.3449</f>
        <v>1078.7764955</v>
      </c>
      <c r="AH5" s="174">
        <f>IF(ISBLANK(AD5),"0",1754*1608.73/12/31*0.66)</f>
        <v>5006.2639709677424</v>
      </c>
      <c r="AI5" s="132">
        <f>AG5+AH5</f>
        <v>6085.0404664677426</v>
      </c>
      <c r="AJ5" s="70">
        <v>2341830</v>
      </c>
      <c r="AK5" s="70">
        <v>4277</v>
      </c>
      <c r="AL5" s="335">
        <f t="shared" ref="AL5:AL35" si="2">IF(ISBLANK(AK5),"0 ",AK5/284.345)</f>
        <v>15.04158680476182</v>
      </c>
      <c r="AM5" s="336">
        <v>0.93820000000000003</v>
      </c>
      <c r="AN5" s="337">
        <v>317</v>
      </c>
      <c r="AO5" s="184">
        <f>AM5*259</f>
        <v>242.99380000000002</v>
      </c>
    </row>
    <row r="6" spans="1:43" s="3" customFormat="1" ht="27.95" customHeight="1" x14ac:dyDescent="0.25">
      <c r="A6" s="113">
        <v>45659</v>
      </c>
      <c r="B6" s="86">
        <v>9740175</v>
      </c>
      <c r="C6" s="73">
        <f>IF(ISBLANK(B6),"0",B6-B5)</f>
        <v>2203</v>
      </c>
      <c r="D6" s="73">
        <v>23592760</v>
      </c>
      <c r="E6" s="73">
        <f t="shared" ref="E6:E34" si="3">IF(ISBLANK(D6),"0",D6-D5)</f>
        <v>6832</v>
      </c>
      <c r="F6" s="74">
        <f>E6*0.9438</f>
        <v>6448.0415999999996</v>
      </c>
      <c r="G6" s="75">
        <v>15332427</v>
      </c>
      <c r="H6" s="73">
        <f>IF(ISBLANK(G6),"0",G6-G5)</f>
        <v>4469</v>
      </c>
      <c r="I6" s="74">
        <f>H6*0.6536</f>
        <v>2920.9384</v>
      </c>
      <c r="J6" s="75">
        <v>3684266</v>
      </c>
      <c r="K6" s="73">
        <f>IF(ISBLANK(J6),"0",J6-J5)</f>
        <v>1247</v>
      </c>
      <c r="L6" s="73">
        <v>1385</v>
      </c>
      <c r="M6" s="73">
        <f>IF(ISBLANK(L6),"0",L6-L5)</f>
        <v>0</v>
      </c>
      <c r="N6" s="73">
        <f>M6*0.5</f>
        <v>0</v>
      </c>
      <c r="O6" s="73">
        <v>835</v>
      </c>
      <c r="P6" s="73">
        <f>IF(ISBLANK(O6),"0",O6-O5)</f>
        <v>0</v>
      </c>
      <c r="Q6" s="73">
        <f>P6*0.5</f>
        <v>0</v>
      </c>
      <c r="R6" s="76">
        <f>C6+F6+I6+K6+N6+Q6</f>
        <v>12818.98</v>
      </c>
      <c r="S6" s="134">
        <f t="shared" si="0"/>
        <v>2563.7960000000003</v>
      </c>
      <c r="T6" s="86">
        <v>79584</v>
      </c>
      <c r="U6" s="73">
        <f t="shared" ref="U6:U34" si="4">IF(ISBLANK(T6),"0",T6-T5)</f>
        <v>104</v>
      </c>
      <c r="V6" s="73">
        <v>36738</v>
      </c>
      <c r="W6" s="73">
        <f t="shared" ref="W6:W34" si="5">IF(ISBLANK(V6),"0",V6-V5)</f>
        <v>11</v>
      </c>
      <c r="X6" s="77">
        <f>U6-W6</f>
        <v>93</v>
      </c>
      <c r="Y6" s="129">
        <f>X6*7.84</f>
        <v>729.12</v>
      </c>
      <c r="Z6" s="86">
        <v>1</v>
      </c>
      <c r="AA6" s="73">
        <f>Z6*50*1.96</f>
        <v>98</v>
      </c>
      <c r="AB6" s="171">
        <f>AA6*1.2551</f>
        <v>122.99980000000001</v>
      </c>
      <c r="AC6" s="127">
        <v>4</v>
      </c>
      <c r="AD6" s="86">
        <v>82147</v>
      </c>
      <c r="AE6" s="73">
        <f t="shared" ref="AE6:AE34" si="6">IF(ISBLANK(AD6),"0",AD6-AD5)</f>
        <v>9</v>
      </c>
      <c r="AF6" s="78">
        <f t="shared" si="1"/>
        <v>2559.1050000000005</v>
      </c>
      <c r="AG6" s="116">
        <f>AF6*0.3449</f>
        <v>882.63531450000016</v>
      </c>
      <c r="AH6" s="116">
        <f>IF(ISBLANK(AD6),"0",1754*1608.73/12/31*0.66)</f>
        <v>5006.2639709677424</v>
      </c>
      <c r="AI6" s="79">
        <f t="shared" ref="AI6:AI35" si="7">AG6+AH6</f>
        <v>5888.8992854677426</v>
      </c>
      <c r="AJ6" s="75">
        <v>2345825</v>
      </c>
      <c r="AK6" s="75">
        <f>IF(ISBLANK(AJ6),"0",AJ6-AJ5)</f>
        <v>3995</v>
      </c>
      <c r="AL6" s="335">
        <f t="shared" si="2"/>
        <v>14.049833828623678</v>
      </c>
      <c r="AM6" s="338">
        <v>0.91890000000000005</v>
      </c>
      <c r="AN6" s="339">
        <v>305</v>
      </c>
      <c r="AO6" s="184">
        <f t="shared" ref="AO6:AO35" si="8">AM6*259</f>
        <v>237.99510000000001</v>
      </c>
      <c r="AQ6" s="110"/>
    </row>
    <row r="7" spans="1:43" s="3" customFormat="1" ht="27.95" customHeight="1" x14ac:dyDescent="0.25">
      <c r="A7" s="113">
        <v>45660</v>
      </c>
      <c r="B7" s="86">
        <v>9742374</v>
      </c>
      <c r="C7" s="73">
        <f t="shared" ref="C7:C34" si="9">IF(ISBLANK(B7),"0",B7-B6)</f>
        <v>2199</v>
      </c>
      <c r="D7" s="73">
        <v>23599999</v>
      </c>
      <c r="E7" s="73">
        <f t="shared" si="3"/>
        <v>7239</v>
      </c>
      <c r="F7" s="74">
        <f t="shared" ref="F7:F35" si="10">E7*0.9438</f>
        <v>6832.1682000000001</v>
      </c>
      <c r="G7" s="73">
        <v>15337469</v>
      </c>
      <c r="H7" s="73">
        <f t="shared" ref="H7:H34" si="11">IF(ISBLANK(G7),"0",G7-G6)</f>
        <v>5042</v>
      </c>
      <c r="I7" s="74">
        <f t="shared" ref="I7:I35" si="12">H7*0.6536</f>
        <v>3295.4512</v>
      </c>
      <c r="J7" s="73">
        <v>3685539</v>
      </c>
      <c r="K7" s="73">
        <f t="shared" ref="K7:K34" si="13">IF(ISBLANK(J7),"0",J7-J6)</f>
        <v>1273</v>
      </c>
      <c r="L7" s="73">
        <v>1385</v>
      </c>
      <c r="M7" s="73">
        <f t="shared" ref="M7:M34" si="14">IF(ISBLANK(L7),"0",L7-L6)</f>
        <v>0</v>
      </c>
      <c r="N7" s="73">
        <f t="shared" ref="N7:N35" si="15">M7*0.5</f>
        <v>0</v>
      </c>
      <c r="O7" s="73">
        <v>835</v>
      </c>
      <c r="P7" s="73">
        <f t="shared" ref="P7:P34" si="16">IF(ISBLANK(O7),"0",O7-O6)</f>
        <v>0</v>
      </c>
      <c r="Q7" s="73">
        <f t="shared" ref="Q7:Q35" si="17">P7*0.5</f>
        <v>0</v>
      </c>
      <c r="R7" s="76">
        <f t="shared" ref="R7:R35" si="18">C7+F7+I7+K7+N7+Q7</f>
        <v>13599.6194</v>
      </c>
      <c r="S7" s="134">
        <f t="shared" si="0"/>
        <v>2719.9238800000003</v>
      </c>
      <c r="T7" s="86">
        <v>79636</v>
      </c>
      <c r="U7" s="73">
        <f t="shared" si="4"/>
        <v>52</v>
      </c>
      <c r="V7" s="73">
        <v>36745</v>
      </c>
      <c r="W7" s="73">
        <f t="shared" si="5"/>
        <v>7</v>
      </c>
      <c r="X7" s="77">
        <f t="shared" ref="X7:X35" si="19">U7-W7</f>
        <v>45</v>
      </c>
      <c r="Y7" s="129">
        <f t="shared" ref="Y7:Y35" si="20">X7*7.84</f>
        <v>352.8</v>
      </c>
      <c r="Z7" s="86">
        <v>1</v>
      </c>
      <c r="AA7" s="73">
        <f t="shared" ref="AA7:AA30" si="21">Z7*50*1.96</f>
        <v>98</v>
      </c>
      <c r="AB7" s="171">
        <f t="shared" ref="AB7:AB35" si="22">AA7*1.2551</f>
        <v>122.99980000000001</v>
      </c>
      <c r="AC7" s="127">
        <v>0</v>
      </c>
      <c r="AD7" s="86">
        <v>82156</v>
      </c>
      <c r="AE7" s="73">
        <f t="shared" si="6"/>
        <v>9</v>
      </c>
      <c r="AF7" s="78">
        <f t="shared" si="1"/>
        <v>2559.1050000000005</v>
      </c>
      <c r="AG7" s="116">
        <f t="shared" ref="AG7:AG35" si="23">AF7*0.3449</f>
        <v>882.63531450000016</v>
      </c>
      <c r="AH7" s="116">
        <f t="shared" ref="AH7:AH35" si="24">IF(ISBLANK(AD7),"0",1754*1608.73/12/31*0.66)</f>
        <v>5006.2639709677424</v>
      </c>
      <c r="AI7" s="79">
        <f t="shared" si="7"/>
        <v>5888.8992854677426</v>
      </c>
      <c r="AJ7" s="75">
        <v>2349675</v>
      </c>
      <c r="AK7" s="75">
        <f t="shared" ref="AK7:AK34" si="25">IF(ISBLANK(AJ7),"0",AJ7-AJ6)</f>
        <v>3850</v>
      </c>
      <c r="AL7" s="335">
        <f t="shared" si="2"/>
        <v>13.539889922453357</v>
      </c>
      <c r="AM7" s="338">
        <v>0.91510000000000002</v>
      </c>
      <c r="AN7" s="339">
        <v>316</v>
      </c>
      <c r="AO7" s="184">
        <f t="shared" si="8"/>
        <v>237.01089999999999</v>
      </c>
    </row>
    <row r="8" spans="1:43" s="3" customFormat="1" ht="27.95" customHeight="1" x14ac:dyDescent="0.25">
      <c r="A8" s="113">
        <v>45661</v>
      </c>
      <c r="B8" s="86">
        <v>9744596</v>
      </c>
      <c r="C8" s="73">
        <f t="shared" si="9"/>
        <v>2222</v>
      </c>
      <c r="D8" s="73">
        <v>23606596</v>
      </c>
      <c r="E8" s="73">
        <f t="shared" si="3"/>
        <v>6597</v>
      </c>
      <c r="F8" s="74">
        <f t="shared" si="10"/>
        <v>6226.2485999999999</v>
      </c>
      <c r="G8" s="73">
        <v>15340291</v>
      </c>
      <c r="H8" s="73">
        <f t="shared" si="11"/>
        <v>2822</v>
      </c>
      <c r="I8" s="74">
        <f t="shared" si="12"/>
        <v>1844.4591999999998</v>
      </c>
      <c r="J8" s="73">
        <v>3686771</v>
      </c>
      <c r="K8" s="73">
        <f t="shared" si="13"/>
        <v>1232</v>
      </c>
      <c r="L8" s="73">
        <v>1401</v>
      </c>
      <c r="M8" s="73">
        <f t="shared" si="14"/>
        <v>16</v>
      </c>
      <c r="N8" s="73">
        <f t="shared" si="15"/>
        <v>8</v>
      </c>
      <c r="O8" s="73">
        <v>845</v>
      </c>
      <c r="P8" s="73">
        <f t="shared" si="16"/>
        <v>10</v>
      </c>
      <c r="Q8" s="73">
        <f t="shared" si="17"/>
        <v>5</v>
      </c>
      <c r="R8" s="76">
        <f>C8+F8+I8+K8+N8+Q8</f>
        <v>11537.707799999998</v>
      </c>
      <c r="S8" s="134">
        <f t="shared" si="0"/>
        <v>2307.5415599999997</v>
      </c>
      <c r="T8" s="86">
        <v>79742</v>
      </c>
      <c r="U8" s="73">
        <f>IF(ISBLANK(T8),"0",T8-T7)</f>
        <v>106</v>
      </c>
      <c r="V8" s="73">
        <v>36752</v>
      </c>
      <c r="W8" s="73">
        <f t="shared" si="5"/>
        <v>7</v>
      </c>
      <c r="X8" s="77">
        <f t="shared" si="19"/>
        <v>99</v>
      </c>
      <c r="Y8" s="129">
        <f t="shared" si="20"/>
        <v>776.16</v>
      </c>
      <c r="Z8" s="86">
        <v>1</v>
      </c>
      <c r="AA8" s="73">
        <f t="shared" si="21"/>
        <v>98</v>
      </c>
      <c r="AB8" s="171">
        <f t="shared" si="22"/>
        <v>122.99980000000001</v>
      </c>
      <c r="AC8" s="127">
        <v>4</v>
      </c>
      <c r="AD8" s="86">
        <v>82164</v>
      </c>
      <c r="AE8" s="73">
        <f t="shared" si="6"/>
        <v>8</v>
      </c>
      <c r="AF8" s="78">
        <f t="shared" si="1"/>
        <v>2274.7600000000002</v>
      </c>
      <c r="AG8" s="116">
        <f t="shared" si="23"/>
        <v>784.56472400000007</v>
      </c>
      <c r="AH8" s="116">
        <f t="shared" si="24"/>
        <v>5006.2639709677424</v>
      </c>
      <c r="AI8" s="79">
        <f t="shared" si="7"/>
        <v>5790.8286949677422</v>
      </c>
      <c r="AJ8" s="75">
        <v>2353246</v>
      </c>
      <c r="AK8" s="75">
        <f t="shared" si="25"/>
        <v>3571</v>
      </c>
      <c r="AL8" s="335">
        <f t="shared" si="2"/>
        <v>12.558687509891152</v>
      </c>
      <c r="AM8" s="338">
        <v>0.83030000000000004</v>
      </c>
      <c r="AN8" s="339">
        <v>279</v>
      </c>
      <c r="AO8" s="184">
        <f t="shared" si="8"/>
        <v>215.04770000000002</v>
      </c>
    </row>
    <row r="9" spans="1:43" s="3" customFormat="1" ht="27.95" customHeight="1" x14ac:dyDescent="0.25">
      <c r="A9" s="113">
        <v>45662</v>
      </c>
      <c r="B9" s="86">
        <v>9746704</v>
      </c>
      <c r="C9" s="73">
        <f t="shared" si="9"/>
        <v>2108</v>
      </c>
      <c r="D9" s="73">
        <v>23613194</v>
      </c>
      <c r="E9" s="73">
        <f t="shared" si="3"/>
        <v>6598</v>
      </c>
      <c r="F9" s="74">
        <f t="shared" si="10"/>
        <v>6227.1923999999999</v>
      </c>
      <c r="G9" s="73">
        <v>15344292</v>
      </c>
      <c r="H9" s="73">
        <f t="shared" si="11"/>
        <v>4001</v>
      </c>
      <c r="I9" s="74">
        <f t="shared" si="12"/>
        <v>2615.0535999999997</v>
      </c>
      <c r="J9" s="73">
        <v>3687988</v>
      </c>
      <c r="K9" s="73">
        <f t="shared" si="13"/>
        <v>1217</v>
      </c>
      <c r="L9" s="73">
        <v>1401</v>
      </c>
      <c r="M9" s="73">
        <f t="shared" si="14"/>
        <v>0</v>
      </c>
      <c r="N9" s="73">
        <f t="shared" si="15"/>
        <v>0</v>
      </c>
      <c r="O9" s="73">
        <v>845</v>
      </c>
      <c r="P9" s="73">
        <f t="shared" si="16"/>
        <v>0</v>
      </c>
      <c r="Q9" s="73">
        <f t="shared" si="17"/>
        <v>0</v>
      </c>
      <c r="R9" s="76">
        <f t="shared" si="18"/>
        <v>12167.245999999999</v>
      </c>
      <c r="S9" s="134">
        <f t="shared" si="0"/>
        <v>2433.4492</v>
      </c>
      <c r="T9" s="86">
        <v>79838</v>
      </c>
      <c r="U9" s="73">
        <f t="shared" si="4"/>
        <v>96</v>
      </c>
      <c r="V9" s="73">
        <v>36761</v>
      </c>
      <c r="W9" s="73">
        <f t="shared" si="5"/>
        <v>9</v>
      </c>
      <c r="X9" s="77">
        <f t="shared" si="19"/>
        <v>87</v>
      </c>
      <c r="Y9" s="129">
        <f t="shared" si="20"/>
        <v>682.08</v>
      </c>
      <c r="Z9" s="86">
        <v>1</v>
      </c>
      <c r="AA9" s="73">
        <f t="shared" si="21"/>
        <v>98</v>
      </c>
      <c r="AB9" s="171">
        <f t="shared" si="22"/>
        <v>122.99980000000001</v>
      </c>
      <c r="AC9" s="127">
        <v>0</v>
      </c>
      <c r="AD9" s="86">
        <v>82172</v>
      </c>
      <c r="AE9" s="73">
        <f t="shared" si="6"/>
        <v>8</v>
      </c>
      <c r="AF9" s="78">
        <f t="shared" si="1"/>
        <v>2274.7600000000002</v>
      </c>
      <c r="AG9" s="116">
        <f t="shared" si="23"/>
        <v>784.56472400000007</v>
      </c>
      <c r="AH9" s="116">
        <f t="shared" si="24"/>
        <v>5006.2639709677424</v>
      </c>
      <c r="AI9" s="79">
        <f t="shared" si="7"/>
        <v>5790.8286949677422</v>
      </c>
      <c r="AJ9" s="75">
        <v>2356657</v>
      </c>
      <c r="AK9" s="75">
        <f t="shared" si="25"/>
        <v>3411</v>
      </c>
      <c r="AL9" s="335">
        <f t="shared" si="2"/>
        <v>11.995990785841142</v>
      </c>
      <c r="AM9" s="338">
        <v>0.7954</v>
      </c>
      <c r="AN9" s="339">
        <v>253</v>
      </c>
      <c r="AO9" s="184">
        <f t="shared" si="8"/>
        <v>206.0086</v>
      </c>
    </row>
    <row r="10" spans="1:43" s="3" customFormat="1" ht="27.95" customHeight="1" x14ac:dyDescent="0.25">
      <c r="A10" s="113">
        <v>45663</v>
      </c>
      <c r="B10" s="86">
        <v>9748792</v>
      </c>
      <c r="C10" s="73">
        <f t="shared" si="9"/>
        <v>2088</v>
      </c>
      <c r="D10" s="73">
        <v>23619913</v>
      </c>
      <c r="E10" s="73">
        <f t="shared" si="3"/>
        <v>6719</v>
      </c>
      <c r="F10" s="74">
        <f t="shared" si="10"/>
        <v>6341.3922000000002</v>
      </c>
      <c r="G10" s="73">
        <v>15348475</v>
      </c>
      <c r="H10" s="73">
        <f t="shared" si="11"/>
        <v>4183</v>
      </c>
      <c r="I10" s="74">
        <f t="shared" si="12"/>
        <v>2734.0087999999996</v>
      </c>
      <c r="J10" s="73">
        <v>3689231</v>
      </c>
      <c r="K10" s="73">
        <f t="shared" si="13"/>
        <v>1243</v>
      </c>
      <c r="L10" s="73">
        <v>1401</v>
      </c>
      <c r="M10" s="73">
        <f t="shared" si="14"/>
        <v>0</v>
      </c>
      <c r="N10" s="73">
        <f t="shared" si="15"/>
        <v>0</v>
      </c>
      <c r="O10" s="73">
        <v>845</v>
      </c>
      <c r="P10" s="73">
        <f t="shared" si="16"/>
        <v>0</v>
      </c>
      <c r="Q10" s="73">
        <f t="shared" si="17"/>
        <v>0</v>
      </c>
      <c r="R10" s="76">
        <f t="shared" si="18"/>
        <v>12406.401</v>
      </c>
      <c r="S10" s="134">
        <f t="shared" si="0"/>
        <v>2481.2802000000001</v>
      </c>
      <c r="T10" s="86">
        <v>79947</v>
      </c>
      <c r="U10" s="73">
        <f t="shared" si="4"/>
        <v>109</v>
      </c>
      <c r="V10" s="73">
        <v>36788</v>
      </c>
      <c r="W10" s="73">
        <f t="shared" si="5"/>
        <v>27</v>
      </c>
      <c r="X10" s="77">
        <f t="shared" si="19"/>
        <v>82</v>
      </c>
      <c r="Y10" s="129">
        <f t="shared" si="20"/>
        <v>642.88</v>
      </c>
      <c r="Z10" s="86">
        <v>1</v>
      </c>
      <c r="AA10" s="73">
        <f t="shared" si="21"/>
        <v>98</v>
      </c>
      <c r="AB10" s="171">
        <f t="shared" si="22"/>
        <v>122.99980000000001</v>
      </c>
      <c r="AC10" s="127">
        <v>0</v>
      </c>
      <c r="AD10" s="86">
        <v>82180</v>
      </c>
      <c r="AE10" s="73">
        <f t="shared" si="6"/>
        <v>8</v>
      </c>
      <c r="AF10" s="78">
        <f t="shared" si="1"/>
        <v>2274.7600000000002</v>
      </c>
      <c r="AG10" s="116">
        <f t="shared" si="23"/>
        <v>784.56472400000007</v>
      </c>
      <c r="AH10" s="116">
        <f t="shared" si="24"/>
        <v>5006.2639709677424</v>
      </c>
      <c r="AI10" s="79">
        <f t="shared" si="7"/>
        <v>5790.8286949677422</v>
      </c>
      <c r="AJ10" s="75">
        <v>2360430</v>
      </c>
      <c r="AK10" s="75">
        <f t="shared" si="25"/>
        <v>3773</v>
      </c>
      <c r="AL10" s="335">
        <f t="shared" si="2"/>
        <v>13.26909212400429</v>
      </c>
      <c r="AM10" s="338">
        <v>0.83399999999999996</v>
      </c>
      <c r="AN10" s="339">
        <v>254</v>
      </c>
      <c r="AO10" s="184">
        <f t="shared" si="8"/>
        <v>216.006</v>
      </c>
    </row>
    <row r="11" spans="1:43" s="3" customFormat="1" ht="27.95" customHeight="1" x14ac:dyDescent="0.25">
      <c r="A11" s="113">
        <v>45664</v>
      </c>
      <c r="B11" s="86">
        <v>9750935</v>
      </c>
      <c r="C11" s="73">
        <f t="shared" si="9"/>
        <v>2143</v>
      </c>
      <c r="D11" s="73">
        <v>23626711</v>
      </c>
      <c r="E11" s="73">
        <f t="shared" si="3"/>
        <v>6798</v>
      </c>
      <c r="F11" s="74">
        <f t="shared" si="10"/>
        <v>6415.9524000000001</v>
      </c>
      <c r="G11" s="73">
        <v>15352711</v>
      </c>
      <c r="H11" s="73">
        <f t="shared" si="11"/>
        <v>4236</v>
      </c>
      <c r="I11" s="74">
        <f t="shared" si="12"/>
        <v>2768.6495999999997</v>
      </c>
      <c r="J11" s="73">
        <v>3690493</v>
      </c>
      <c r="K11" s="73">
        <f t="shared" si="13"/>
        <v>1262</v>
      </c>
      <c r="L11" s="73">
        <v>1401</v>
      </c>
      <c r="M11" s="73">
        <f t="shared" si="14"/>
        <v>0</v>
      </c>
      <c r="N11" s="73">
        <f t="shared" si="15"/>
        <v>0</v>
      </c>
      <c r="O11" s="73">
        <v>845</v>
      </c>
      <c r="P11" s="73">
        <f t="shared" si="16"/>
        <v>0</v>
      </c>
      <c r="Q11" s="73">
        <f t="shared" si="17"/>
        <v>0</v>
      </c>
      <c r="R11" s="76">
        <f t="shared" si="18"/>
        <v>12589.601999999999</v>
      </c>
      <c r="S11" s="134">
        <f t="shared" si="0"/>
        <v>2517.9204</v>
      </c>
      <c r="T11" s="86">
        <v>80054</v>
      </c>
      <c r="U11" s="73">
        <f t="shared" si="4"/>
        <v>107</v>
      </c>
      <c r="V11" s="73">
        <v>36798</v>
      </c>
      <c r="W11" s="73">
        <f t="shared" si="5"/>
        <v>10</v>
      </c>
      <c r="X11" s="77">
        <f t="shared" si="19"/>
        <v>97</v>
      </c>
      <c r="Y11" s="129">
        <f t="shared" si="20"/>
        <v>760.48</v>
      </c>
      <c r="Z11" s="86">
        <v>1</v>
      </c>
      <c r="AA11" s="73">
        <f t="shared" si="21"/>
        <v>98</v>
      </c>
      <c r="AB11" s="171">
        <f t="shared" si="22"/>
        <v>122.99980000000001</v>
      </c>
      <c r="AC11" s="127">
        <v>4</v>
      </c>
      <c r="AD11" s="86">
        <v>82189</v>
      </c>
      <c r="AE11" s="73">
        <f t="shared" si="6"/>
        <v>9</v>
      </c>
      <c r="AF11" s="78">
        <f t="shared" si="1"/>
        <v>2559.1050000000005</v>
      </c>
      <c r="AG11" s="116">
        <f t="shared" si="23"/>
        <v>882.63531450000016</v>
      </c>
      <c r="AH11" s="116">
        <f t="shared" si="24"/>
        <v>5006.2639709677424</v>
      </c>
      <c r="AI11" s="79">
        <f t="shared" si="7"/>
        <v>5888.8992854677426</v>
      </c>
      <c r="AJ11" s="75">
        <v>2364530</v>
      </c>
      <c r="AK11" s="75">
        <f t="shared" si="25"/>
        <v>4100</v>
      </c>
      <c r="AL11" s="335">
        <f t="shared" si="2"/>
        <v>14.419103553781497</v>
      </c>
      <c r="AM11" s="338">
        <v>0.76060000000000005</v>
      </c>
      <c r="AN11" s="339">
        <v>237</v>
      </c>
      <c r="AO11" s="184">
        <f t="shared" si="8"/>
        <v>196.99540000000002</v>
      </c>
    </row>
    <row r="12" spans="1:43" s="3" customFormat="1" ht="27.95" customHeight="1" x14ac:dyDescent="0.25">
      <c r="A12" s="113">
        <v>45665</v>
      </c>
      <c r="B12" s="86">
        <v>9752988</v>
      </c>
      <c r="C12" s="73">
        <f t="shared" si="9"/>
        <v>2053</v>
      </c>
      <c r="D12" s="73">
        <v>23633093</v>
      </c>
      <c r="E12" s="73">
        <f t="shared" si="3"/>
        <v>6382</v>
      </c>
      <c r="F12" s="74">
        <f t="shared" si="10"/>
        <v>6023.3315999999995</v>
      </c>
      <c r="G12" s="73">
        <v>15356692</v>
      </c>
      <c r="H12" s="73">
        <f t="shared" si="11"/>
        <v>3981</v>
      </c>
      <c r="I12" s="74">
        <f t="shared" si="12"/>
        <v>2601.9815999999996</v>
      </c>
      <c r="J12" s="73">
        <v>3691700</v>
      </c>
      <c r="K12" s="73">
        <f t="shared" si="13"/>
        <v>1207</v>
      </c>
      <c r="L12" s="73">
        <v>1401</v>
      </c>
      <c r="M12" s="73">
        <f t="shared" si="14"/>
        <v>0</v>
      </c>
      <c r="N12" s="73">
        <f t="shared" si="15"/>
        <v>0</v>
      </c>
      <c r="O12" s="73">
        <v>846</v>
      </c>
      <c r="P12" s="73">
        <f t="shared" si="16"/>
        <v>1</v>
      </c>
      <c r="Q12" s="73">
        <f t="shared" si="17"/>
        <v>0.5</v>
      </c>
      <c r="R12" s="76">
        <f t="shared" si="18"/>
        <v>11885.813199999999</v>
      </c>
      <c r="S12" s="134">
        <f>R12*0.2</f>
        <v>2377.16264</v>
      </c>
      <c r="T12" s="86">
        <v>80117</v>
      </c>
      <c r="U12" s="73">
        <f t="shared" si="4"/>
        <v>63</v>
      </c>
      <c r="V12" s="73">
        <v>36799</v>
      </c>
      <c r="W12" s="73">
        <f t="shared" si="5"/>
        <v>1</v>
      </c>
      <c r="X12" s="77">
        <f t="shared" si="19"/>
        <v>62</v>
      </c>
      <c r="Y12" s="129">
        <f t="shared" si="20"/>
        <v>486.08</v>
      </c>
      <c r="Z12" s="86">
        <v>1</v>
      </c>
      <c r="AA12" s="73">
        <f t="shared" si="21"/>
        <v>98</v>
      </c>
      <c r="AB12" s="171">
        <f t="shared" si="22"/>
        <v>122.99980000000001</v>
      </c>
      <c r="AC12" s="127">
        <v>0</v>
      </c>
      <c r="AD12" s="86">
        <v>82198</v>
      </c>
      <c r="AE12" s="73">
        <f t="shared" si="6"/>
        <v>9</v>
      </c>
      <c r="AF12" s="78">
        <f t="shared" si="1"/>
        <v>2559.1050000000005</v>
      </c>
      <c r="AG12" s="116">
        <f t="shared" si="23"/>
        <v>882.63531450000016</v>
      </c>
      <c r="AH12" s="116">
        <f t="shared" si="24"/>
        <v>5006.2639709677424</v>
      </c>
      <c r="AI12" s="79">
        <f t="shared" si="7"/>
        <v>5888.8992854677426</v>
      </c>
      <c r="AJ12" s="75">
        <v>2368414</v>
      </c>
      <c r="AK12" s="75">
        <f t="shared" si="25"/>
        <v>3884</v>
      </c>
      <c r="AL12" s="335">
        <f t="shared" si="2"/>
        <v>13.659462976313984</v>
      </c>
      <c r="AM12" s="338">
        <v>0.9073</v>
      </c>
      <c r="AN12" s="339">
        <v>281</v>
      </c>
      <c r="AO12" s="184">
        <f t="shared" si="8"/>
        <v>234.9907</v>
      </c>
    </row>
    <row r="13" spans="1:43" s="3" customFormat="1" ht="27.95" customHeight="1" x14ac:dyDescent="0.25">
      <c r="A13" s="113">
        <v>45666</v>
      </c>
      <c r="B13" s="86">
        <v>9755106</v>
      </c>
      <c r="C13" s="73">
        <f t="shared" si="9"/>
        <v>2118</v>
      </c>
      <c r="D13" s="73">
        <v>23639916</v>
      </c>
      <c r="E13" s="73">
        <f t="shared" si="3"/>
        <v>6823</v>
      </c>
      <c r="F13" s="74">
        <f t="shared" si="10"/>
        <v>6439.5473999999995</v>
      </c>
      <c r="G13" s="73">
        <v>15360711</v>
      </c>
      <c r="H13" s="73">
        <f t="shared" si="11"/>
        <v>4019</v>
      </c>
      <c r="I13" s="74">
        <f t="shared" si="12"/>
        <v>2626.8183999999997</v>
      </c>
      <c r="J13" s="73">
        <v>3692925</v>
      </c>
      <c r="K13" s="73">
        <f t="shared" si="13"/>
        <v>1225</v>
      </c>
      <c r="L13" s="73">
        <v>1401</v>
      </c>
      <c r="M13" s="73">
        <f t="shared" si="14"/>
        <v>0</v>
      </c>
      <c r="N13" s="73">
        <f t="shared" si="15"/>
        <v>0</v>
      </c>
      <c r="O13" s="73">
        <v>846</v>
      </c>
      <c r="P13" s="73">
        <f t="shared" si="16"/>
        <v>0</v>
      </c>
      <c r="Q13" s="73">
        <f t="shared" si="17"/>
        <v>0</v>
      </c>
      <c r="R13" s="76">
        <f t="shared" si="18"/>
        <v>12409.3658</v>
      </c>
      <c r="S13" s="134">
        <f>R13*0.2</f>
        <v>2481.8731600000001</v>
      </c>
      <c r="T13" s="86">
        <v>80214</v>
      </c>
      <c r="U13" s="73">
        <f t="shared" si="4"/>
        <v>97</v>
      </c>
      <c r="V13" s="73">
        <v>36805</v>
      </c>
      <c r="W13" s="73">
        <f t="shared" si="5"/>
        <v>6</v>
      </c>
      <c r="X13" s="77">
        <f t="shared" si="19"/>
        <v>91</v>
      </c>
      <c r="Y13" s="129">
        <f t="shared" si="20"/>
        <v>713.43999999999994</v>
      </c>
      <c r="Z13" s="86">
        <v>2</v>
      </c>
      <c r="AA13" s="73">
        <f t="shared" si="21"/>
        <v>196</v>
      </c>
      <c r="AB13" s="171">
        <f t="shared" si="22"/>
        <v>245.99960000000002</v>
      </c>
      <c r="AC13" s="127">
        <v>0</v>
      </c>
      <c r="AD13" s="86">
        <v>82207</v>
      </c>
      <c r="AE13" s="73">
        <f t="shared" si="6"/>
        <v>9</v>
      </c>
      <c r="AF13" s="78">
        <f t="shared" si="1"/>
        <v>2559.1050000000005</v>
      </c>
      <c r="AG13" s="116">
        <f t="shared" si="23"/>
        <v>882.63531450000016</v>
      </c>
      <c r="AH13" s="116">
        <f t="shared" si="24"/>
        <v>5006.2639709677424</v>
      </c>
      <c r="AI13" s="79">
        <f t="shared" si="7"/>
        <v>5888.8992854677426</v>
      </c>
      <c r="AJ13" s="75">
        <v>2372411</v>
      </c>
      <c r="AK13" s="75">
        <f t="shared" si="25"/>
        <v>3997</v>
      </c>
      <c r="AL13" s="335">
        <f t="shared" si="2"/>
        <v>14.056867537674302</v>
      </c>
      <c r="AM13" s="338">
        <v>0.77990000000000004</v>
      </c>
      <c r="AN13" s="339">
        <v>260</v>
      </c>
      <c r="AO13" s="184">
        <f t="shared" si="8"/>
        <v>201.9941</v>
      </c>
    </row>
    <row r="14" spans="1:43" s="3" customFormat="1" ht="27.75" customHeight="1" x14ac:dyDescent="0.25">
      <c r="A14" s="113">
        <v>45667</v>
      </c>
      <c r="B14" s="86">
        <v>9757219</v>
      </c>
      <c r="C14" s="73">
        <f t="shared" si="9"/>
        <v>2113</v>
      </c>
      <c r="D14" s="73">
        <v>23646933</v>
      </c>
      <c r="E14" s="73">
        <f t="shared" si="3"/>
        <v>7017</v>
      </c>
      <c r="F14" s="74">
        <f t="shared" si="10"/>
        <v>6622.6445999999996</v>
      </c>
      <c r="G14" s="73">
        <v>15364760</v>
      </c>
      <c r="H14" s="73">
        <f t="shared" si="11"/>
        <v>4049</v>
      </c>
      <c r="I14" s="74">
        <f t="shared" si="12"/>
        <v>2646.4263999999998</v>
      </c>
      <c r="J14" s="73">
        <v>3694178</v>
      </c>
      <c r="K14" s="73">
        <f t="shared" si="13"/>
        <v>1253</v>
      </c>
      <c r="L14" s="73">
        <v>1401</v>
      </c>
      <c r="M14" s="73">
        <f t="shared" si="14"/>
        <v>0</v>
      </c>
      <c r="N14" s="73">
        <f t="shared" si="15"/>
        <v>0</v>
      </c>
      <c r="O14" s="73">
        <v>846</v>
      </c>
      <c r="P14" s="73">
        <f t="shared" si="16"/>
        <v>0</v>
      </c>
      <c r="Q14" s="73">
        <f t="shared" si="17"/>
        <v>0</v>
      </c>
      <c r="R14" s="76">
        <f t="shared" si="18"/>
        <v>12635.071</v>
      </c>
      <c r="S14" s="134">
        <f t="shared" si="0"/>
        <v>2527.0142000000001</v>
      </c>
      <c r="T14" s="86">
        <v>80285</v>
      </c>
      <c r="U14" s="73">
        <f t="shared" si="4"/>
        <v>71</v>
      </c>
      <c r="V14" s="73">
        <v>36805</v>
      </c>
      <c r="W14" s="73">
        <f t="shared" si="5"/>
        <v>0</v>
      </c>
      <c r="X14" s="77">
        <f t="shared" si="19"/>
        <v>71</v>
      </c>
      <c r="Y14" s="129">
        <f t="shared" si="20"/>
        <v>556.64</v>
      </c>
      <c r="Z14" s="86">
        <v>1</v>
      </c>
      <c r="AA14" s="73">
        <f t="shared" si="21"/>
        <v>98</v>
      </c>
      <c r="AB14" s="171">
        <f t="shared" si="22"/>
        <v>122.99980000000001</v>
      </c>
      <c r="AC14" s="127">
        <v>5</v>
      </c>
      <c r="AD14" s="86">
        <v>82216</v>
      </c>
      <c r="AE14" s="73">
        <f t="shared" si="6"/>
        <v>9</v>
      </c>
      <c r="AF14" s="78">
        <f t="shared" si="1"/>
        <v>2559.1050000000005</v>
      </c>
      <c r="AG14" s="116">
        <f t="shared" si="23"/>
        <v>882.63531450000016</v>
      </c>
      <c r="AH14" s="116">
        <f t="shared" si="24"/>
        <v>5006.2639709677424</v>
      </c>
      <c r="AI14" s="79">
        <f t="shared" si="7"/>
        <v>5888.8992854677426</v>
      </c>
      <c r="AJ14" s="75">
        <v>2376663</v>
      </c>
      <c r="AK14" s="75">
        <f t="shared" si="25"/>
        <v>4252</v>
      </c>
      <c r="AL14" s="335">
        <f t="shared" si="2"/>
        <v>14.953665441629006</v>
      </c>
      <c r="AM14" s="340">
        <v>0.77610000000000001</v>
      </c>
      <c r="AN14" s="339">
        <v>260</v>
      </c>
      <c r="AO14" s="184">
        <f t="shared" si="8"/>
        <v>201.00990000000002</v>
      </c>
    </row>
    <row r="15" spans="1:43" s="3" customFormat="1" ht="27.95" customHeight="1" x14ac:dyDescent="0.25">
      <c r="A15" s="113">
        <v>45668</v>
      </c>
      <c r="B15" s="86">
        <v>9759381</v>
      </c>
      <c r="C15" s="73">
        <f t="shared" si="9"/>
        <v>2162</v>
      </c>
      <c r="D15" s="73">
        <v>23653893</v>
      </c>
      <c r="E15" s="73">
        <f t="shared" si="3"/>
        <v>6960</v>
      </c>
      <c r="F15" s="74">
        <f t="shared" si="10"/>
        <v>6568.848</v>
      </c>
      <c r="G15" s="73">
        <v>15368737</v>
      </c>
      <c r="H15" s="73">
        <f t="shared" si="11"/>
        <v>3977</v>
      </c>
      <c r="I15" s="74">
        <f t="shared" si="12"/>
        <v>2599.3671999999997</v>
      </c>
      <c r="J15" s="73">
        <v>3695497</v>
      </c>
      <c r="K15" s="73">
        <f t="shared" si="13"/>
        <v>1319</v>
      </c>
      <c r="L15" s="73">
        <v>1401</v>
      </c>
      <c r="M15" s="73">
        <f t="shared" si="14"/>
        <v>0</v>
      </c>
      <c r="N15" s="73">
        <f t="shared" si="15"/>
        <v>0</v>
      </c>
      <c r="O15" s="73">
        <v>846</v>
      </c>
      <c r="P15" s="73">
        <f t="shared" si="16"/>
        <v>0</v>
      </c>
      <c r="Q15" s="73">
        <f t="shared" si="17"/>
        <v>0</v>
      </c>
      <c r="R15" s="76">
        <f t="shared" si="18"/>
        <v>12649.215199999999</v>
      </c>
      <c r="S15" s="134">
        <f t="shared" si="0"/>
        <v>2529.8430399999997</v>
      </c>
      <c r="T15" s="86">
        <v>80366</v>
      </c>
      <c r="U15" s="73">
        <f t="shared" si="4"/>
        <v>81</v>
      </c>
      <c r="V15" s="73">
        <v>36805</v>
      </c>
      <c r="W15" s="73">
        <f t="shared" si="5"/>
        <v>0</v>
      </c>
      <c r="X15" s="77">
        <f t="shared" si="19"/>
        <v>81</v>
      </c>
      <c r="Y15" s="129">
        <f t="shared" si="20"/>
        <v>635.04</v>
      </c>
      <c r="Z15" s="86">
        <v>2</v>
      </c>
      <c r="AA15" s="73">
        <f t="shared" si="21"/>
        <v>196</v>
      </c>
      <c r="AB15" s="171">
        <f t="shared" si="22"/>
        <v>245.99960000000002</v>
      </c>
      <c r="AC15" s="127">
        <v>0</v>
      </c>
      <c r="AD15" s="165">
        <v>82224</v>
      </c>
      <c r="AE15" s="73">
        <f t="shared" si="6"/>
        <v>8</v>
      </c>
      <c r="AF15" s="78">
        <f t="shared" si="1"/>
        <v>2274.7600000000002</v>
      </c>
      <c r="AG15" s="116">
        <f t="shared" si="23"/>
        <v>784.56472400000007</v>
      </c>
      <c r="AH15" s="116">
        <f t="shared" si="24"/>
        <v>5006.2639709677424</v>
      </c>
      <c r="AI15" s="79">
        <f t="shared" si="7"/>
        <v>5790.8286949677422</v>
      </c>
      <c r="AJ15" s="75">
        <v>2380675</v>
      </c>
      <c r="AK15" s="75">
        <f t="shared" si="25"/>
        <v>4012</v>
      </c>
      <c r="AL15" s="335">
        <f t="shared" si="2"/>
        <v>14.109620355553991</v>
      </c>
      <c r="AM15" s="338">
        <v>0.85329999999999995</v>
      </c>
      <c r="AN15" s="339">
        <v>299</v>
      </c>
      <c r="AO15" s="184">
        <f t="shared" si="8"/>
        <v>221.00469999999999</v>
      </c>
    </row>
    <row r="16" spans="1:43" s="3" customFormat="1" ht="27.95" customHeight="1" x14ac:dyDescent="0.25">
      <c r="A16" s="113">
        <v>45669</v>
      </c>
      <c r="B16" s="86">
        <v>9761525</v>
      </c>
      <c r="C16" s="73">
        <f t="shared" si="9"/>
        <v>2144</v>
      </c>
      <c r="D16" s="73">
        <v>23660137</v>
      </c>
      <c r="E16" s="73">
        <f t="shared" si="3"/>
        <v>6244</v>
      </c>
      <c r="F16" s="74">
        <f t="shared" si="10"/>
        <v>5893.0871999999999</v>
      </c>
      <c r="G16" s="73">
        <v>15372883</v>
      </c>
      <c r="H16" s="73">
        <f t="shared" si="11"/>
        <v>4146</v>
      </c>
      <c r="I16" s="74">
        <f t="shared" si="12"/>
        <v>2709.8255999999997</v>
      </c>
      <c r="J16" s="73">
        <v>3696822</v>
      </c>
      <c r="K16" s="73">
        <f t="shared" si="13"/>
        <v>1325</v>
      </c>
      <c r="L16" s="73">
        <v>1414</v>
      </c>
      <c r="M16" s="73">
        <f t="shared" si="14"/>
        <v>13</v>
      </c>
      <c r="N16" s="73">
        <f t="shared" si="15"/>
        <v>6.5</v>
      </c>
      <c r="O16" s="73">
        <v>853</v>
      </c>
      <c r="P16" s="73">
        <f t="shared" si="16"/>
        <v>7</v>
      </c>
      <c r="Q16" s="73">
        <f t="shared" si="17"/>
        <v>3.5</v>
      </c>
      <c r="R16" s="76">
        <f t="shared" si="18"/>
        <v>12081.9128</v>
      </c>
      <c r="S16" s="134">
        <f t="shared" si="0"/>
        <v>2416.38256</v>
      </c>
      <c r="T16" s="86">
        <v>80444</v>
      </c>
      <c r="U16" s="73">
        <f t="shared" si="4"/>
        <v>78</v>
      </c>
      <c r="V16" s="73">
        <v>36813</v>
      </c>
      <c r="W16" s="73">
        <f t="shared" si="5"/>
        <v>8</v>
      </c>
      <c r="X16" s="77">
        <f t="shared" si="19"/>
        <v>70</v>
      </c>
      <c r="Y16" s="129">
        <f t="shared" si="20"/>
        <v>548.79999999999995</v>
      </c>
      <c r="Z16" s="86">
        <v>1</v>
      </c>
      <c r="AA16" s="73">
        <f t="shared" si="21"/>
        <v>98</v>
      </c>
      <c r="AB16" s="171">
        <f t="shared" si="22"/>
        <v>122.99980000000001</v>
      </c>
      <c r="AC16" s="127">
        <v>0</v>
      </c>
      <c r="AD16" s="86">
        <v>82236</v>
      </c>
      <c r="AE16" s="73">
        <f t="shared" si="6"/>
        <v>12</v>
      </c>
      <c r="AF16" s="78">
        <f t="shared" si="1"/>
        <v>3412.1400000000003</v>
      </c>
      <c r="AG16" s="116">
        <f t="shared" si="23"/>
        <v>1176.847086</v>
      </c>
      <c r="AH16" s="116">
        <f t="shared" si="24"/>
        <v>5006.2639709677424</v>
      </c>
      <c r="AI16" s="79">
        <f t="shared" si="7"/>
        <v>6183.1110569677421</v>
      </c>
      <c r="AJ16" s="75">
        <v>2384927</v>
      </c>
      <c r="AK16" s="75">
        <f t="shared" si="25"/>
        <v>4252</v>
      </c>
      <c r="AL16" s="335">
        <f t="shared" si="2"/>
        <v>14.953665441629006</v>
      </c>
      <c r="AM16" s="338">
        <v>0.87639999999999996</v>
      </c>
      <c r="AN16" s="339">
        <v>279</v>
      </c>
      <c r="AO16" s="184">
        <f t="shared" si="8"/>
        <v>226.98759999999999</v>
      </c>
    </row>
    <row r="17" spans="1:41" s="3" customFormat="1" ht="27.95" customHeight="1" x14ac:dyDescent="0.25">
      <c r="A17" s="113">
        <v>45670</v>
      </c>
      <c r="B17" s="86">
        <v>9763611</v>
      </c>
      <c r="C17" s="73">
        <f t="shared" si="9"/>
        <v>2086</v>
      </c>
      <c r="D17" s="73">
        <v>23667131</v>
      </c>
      <c r="E17" s="73">
        <f t="shared" si="3"/>
        <v>6994</v>
      </c>
      <c r="F17" s="74">
        <f t="shared" si="10"/>
        <v>6600.9371999999994</v>
      </c>
      <c r="G17" s="73">
        <v>15376972</v>
      </c>
      <c r="H17" s="73">
        <f t="shared" si="11"/>
        <v>4089</v>
      </c>
      <c r="I17" s="74">
        <f t="shared" si="12"/>
        <v>2672.5703999999996</v>
      </c>
      <c r="J17" s="73">
        <v>3698043</v>
      </c>
      <c r="K17" s="73">
        <f t="shared" si="13"/>
        <v>1221</v>
      </c>
      <c r="L17" s="73">
        <v>1414</v>
      </c>
      <c r="M17" s="73">
        <f t="shared" si="14"/>
        <v>0</v>
      </c>
      <c r="N17" s="73">
        <f t="shared" si="15"/>
        <v>0</v>
      </c>
      <c r="O17" s="73">
        <v>853</v>
      </c>
      <c r="P17" s="73">
        <f t="shared" si="16"/>
        <v>0</v>
      </c>
      <c r="Q17" s="73">
        <f t="shared" si="17"/>
        <v>0</v>
      </c>
      <c r="R17" s="76">
        <f t="shared" si="18"/>
        <v>12580.507600000001</v>
      </c>
      <c r="S17" s="134">
        <f t="shared" si="0"/>
        <v>2516.1015200000002</v>
      </c>
      <c r="T17" s="86">
        <v>80494</v>
      </c>
      <c r="U17" s="73">
        <f t="shared" si="4"/>
        <v>50</v>
      </c>
      <c r="V17" s="73">
        <v>36820</v>
      </c>
      <c r="W17" s="73">
        <f t="shared" si="5"/>
        <v>7</v>
      </c>
      <c r="X17" s="77">
        <f t="shared" si="19"/>
        <v>43</v>
      </c>
      <c r="Y17" s="129">
        <f t="shared" si="20"/>
        <v>337.12</v>
      </c>
      <c r="Z17" s="86">
        <v>1</v>
      </c>
      <c r="AA17" s="73">
        <f t="shared" si="21"/>
        <v>98</v>
      </c>
      <c r="AB17" s="171">
        <f t="shared" si="22"/>
        <v>122.99980000000001</v>
      </c>
      <c r="AC17" s="127">
        <v>4</v>
      </c>
      <c r="AD17" s="86">
        <v>82245</v>
      </c>
      <c r="AE17" s="73">
        <f t="shared" si="6"/>
        <v>9</v>
      </c>
      <c r="AF17" s="78">
        <f t="shared" si="1"/>
        <v>2559.1050000000005</v>
      </c>
      <c r="AG17" s="116">
        <f t="shared" si="23"/>
        <v>882.63531450000016</v>
      </c>
      <c r="AH17" s="116">
        <f t="shared" si="24"/>
        <v>5006.2639709677424</v>
      </c>
      <c r="AI17" s="79">
        <f t="shared" si="7"/>
        <v>5888.8992854677426</v>
      </c>
      <c r="AJ17" s="75">
        <v>2389073</v>
      </c>
      <c r="AK17" s="75">
        <f t="shared" si="25"/>
        <v>4146</v>
      </c>
      <c r="AL17" s="335">
        <f t="shared" si="2"/>
        <v>14.580878861945875</v>
      </c>
      <c r="AM17" s="338">
        <v>0.91120000000000001</v>
      </c>
      <c r="AN17" s="339">
        <v>284</v>
      </c>
      <c r="AO17" s="184">
        <f t="shared" si="8"/>
        <v>236.0008</v>
      </c>
    </row>
    <row r="18" spans="1:41" s="3" customFormat="1" ht="27.95" customHeight="1" x14ac:dyDescent="0.25">
      <c r="A18" s="113">
        <v>45671</v>
      </c>
      <c r="B18" s="86">
        <v>9765799</v>
      </c>
      <c r="C18" s="73">
        <f t="shared" si="9"/>
        <v>2188</v>
      </c>
      <c r="D18" s="73">
        <v>23674048</v>
      </c>
      <c r="E18" s="73">
        <f t="shared" si="3"/>
        <v>6917</v>
      </c>
      <c r="F18" s="74">
        <f t="shared" si="10"/>
        <v>6528.2645999999995</v>
      </c>
      <c r="G18" s="73">
        <v>15381205</v>
      </c>
      <c r="H18" s="73">
        <f t="shared" si="11"/>
        <v>4233</v>
      </c>
      <c r="I18" s="74">
        <f t="shared" si="12"/>
        <v>2766.6887999999999</v>
      </c>
      <c r="J18" s="73">
        <v>3699366</v>
      </c>
      <c r="K18" s="73">
        <f t="shared" si="13"/>
        <v>1323</v>
      </c>
      <c r="L18" s="73">
        <v>1414</v>
      </c>
      <c r="M18" s="73">
        <f t="shared" si="14"/>
        <v>0</v>
      </c>
      <c r="N18" s="73">
        <f t="shared" si="15"/>
        <v>0</v>
      </c>
      <c r="O18" s="73">
        <v>853</v>
      </c>
      <c r="P18" s="73">
        <f t="shared" si="16"/>
        <v>0</v>
      </c>
      <c r="Q18" s="73">
        <f t="shared" si="17"/>
        <v>0</v>
      </c>
      <c r="R18" s="76">
        <f t="shared" si="18"/>
        <v>12805.953399999999</v>
      </c>
      <c r="S18" s="134">
        <f t="shared" si="0"/>
        <v>2561.1906799999997</v>
      </c>
      <c r="T18" s="86">
        <v>80602</v>
      </c>
      <c r="U18" s="73">
        <f t="shared" si="4"/>
        <v>108</v>
      </c>
      <c r="V18" s="73">
        <v>36827</v>
      </c>
      <c r="W18" s="73">
        <f t="shared" si="5"/>
        <v>7</v>
      </c>
      <c r="X18" s="77">
        <f t="shared" si="19"/>
        <v>101</v>
      </c>
      <c r="Y18" s="129">
        <f t="shared" si="20"/>
        <v>791.84</v>
      </c>
      <c r="Z18" s="86">
        <v>1</v>
      </c>
      <c r="AA18" s="73">
        <f t="shared" si="21"/>
        <v>98</v>
      </c>
      <c r="AB18" s="171">
        <f t="shared" si="22"/>
        <v>122.99980000000001</v>
      </c>
      <c r="AC18" s="127">
        <v>0</v>
      </c>
      <c r="AD18" s="86">
        <v>82254</v>
      </c>
      <c r="AE18" s="73">
        <f t="shared" si="6"/>
        <v>9</v>
      </c>
      <c r="AF18" s="78">
        <f t="shared" si="1"/>
        <v>2559.1050000000005</v>
      </c>
      <c r="AG18" s="116">
        <f t="shared" si="23"/>
        <v>882.63531450000016</v>
      </c>
      <c r="AH18" s="116">
        <f t="shared" si="24"/>
        <v>5006.2639709677424</v>
      </c>
      <c r="AI18" s="79">
        <f t="shared" si="7"/>
        <v>5888.8992854677426</v>
      </c>
      <c r="AJ18" s="75">
        <v>2393148</v>
      </c>
      <c r="AK18" s="75">
        <f t="shared" si="25"/>
        <v>4075</v>
      </c>
      <c r="AL18" s="335">
        <f t="shared" si="2"/>
        <v>14.331182190648683</v>
      </c>
      <c r="AM18" s="338">
        <v>0.93820000000000003</v>
      </c>
      <c r="AN18" s="341">
        <v>306</v>
      </c>
      <c r="AO18" s="184">
        <f t="shared" si="8"/>
        <v>242.99380000000002</v>
      </c>
    </row>
    <row r="19" spans="1:41" s="3" customFormat="1" ht="27.95" customHeight="1" x14ac:dyDescent="0.25">
      <c r="A19" s="113">
        <v>45672</v>
      </c>
      <c r="B19" s="86">
        <v>9767852</v>
      </c>
      <c r="C19" s="73">
        <f t="shared" si="9"/>
        <v>2053</v>
      </c>
      <c r="D19" s="73">
        <v>23679973</v>
      </c>
      <c r="E19" s="73">
        <f t="shared" si="3"/>
        <v>5925</v>
      </c>
      <c r="F19" s="74">
        <f t="shared" si="10"/>
        <v>5592.0149999999994</v>
      </c>
      <c r="G19" s="73">
        <v>15385175</v>
      </c>
      <c r="H19" s="73">
        <f t="shared" si="11"/>
        <v>3970</v>
      </c>
      <c r="I19" s="74">
        <f t="shared" si="12"/>
        <v>2594.7919999999999</v>
      </c>
      <c r="J19" s="73">
        <v>3700539</v>
      </c>
      <c r="K19" s="73">
        <f t="shared" si="13"/>
        <v>1173</v>
      </c>
      <c r="L19" s="73">
        <v>1414</v>
      </c>
      <c r="M19" s="73">
        <f t="shared" si="14"/>
        <v>0</v>
      </c>
      <c r="N19" s="73">
        <f t="shared" si="15"/>
        <v>0</v>
      </c>
      <c r="O19" s="73">
        <v>853</v>
      </c>
      <c r="P19" s="73">
        <f t="shared" si="16"/>
        <v>0</v>
      </c>
      <c r="Q19" s="73">
        <f t="shared" si="17"/>
        <v>0</v>
      </c>
      <c r="R19" s="76">
        <f t="shared" si="18"/>
        <v>11412.806999999999</v>
      </c>
      <c r="S19" s="134">
        <f t="shared" si="0"/>
        <v>2282.5614</v>
      </c>
      <c r="T19" s="86">
        <v>80680</v>
      </c>
      <c r="U19" s="73">
        <f t="shared" si="4"/>
        <v>78</v>
      </c>
      <c r="V19" s="73">
        <v>36836</v>
      </c>
      <c r="W19" s="73">
        <f t="shared" si="5"/>
        <v>9</v>
      </c>
      <c r="X19" s="77">
        <f t="shared" si="19"/>
        <v>69</v>
      </c>
      <c r="Y19" s="129">
        <f t="shared" si="20"/>
        <v>540.96</v>
      </c>
      <c r="Z19" s="86">
        <v>1</v>
      </c>
      <c r="AA19" s="73">
        <f t="shared" si="21"/>
        <v>98</v>
      </c>
      <c r="AB19" s="171">
        <f t="shared" si="22"/>
        <v>122.99980000000001</v>
      </c>
      <c r="AC19" s="127">
        <v>0</v>
      </c>
      <c r="AD19" s="86">
        <v>82262</v>
      </c>
      <c r="AE19" s="73">
        <f t="shared" si="6"/>
        <v>8</v>
      </c>
      <c r="AF19" s="78">
        <f t="shared" si="1"/>
        <v>2274.7600000000002</v>
      </c>
      <c r="AG19" s="116">
        <f t="shared" si="23"/>
        <v>784.56472400000007</v>
      </c>
      <c r="AH19" s="116">
        <f t="shared" si="24"/>
        <v>5006.2639709677424</v>
      </c>
      <c r="AI19" s="79">
        <f t="shared" si="7"/>
        <v>5790.8286949677422</v>
      </c>
      <c r="AJ19" s="75">
        <v>2397175</v>
      </c>
      <c r="AK19" s="75">
        <f t="shared" si="25"/>
        <v>4027</v>
      </c>
      <c r="AL19" s="335">
        <f t="shared" si="2"/>
        <v>14.16237317343368</v>
      </c>
      <c r="AM19" s="338">
        <v>0.94210000000000005</v>
      </c>
      <c r="AN19" s="339">
        <v>289</v>
      </c>
      <c r="AO19" s="184">
        <f t="shared" si="8"/>
        <v>244.00390000000002</v>
      </c>
    </row>
    <row r="20" spans="1:41" s="3" customFormat="1" ht="27.95" customHeight="1" x14ac:dyDescent="0.25">
      <c r="A20" s="113">
        <v>45673</v>
      </c>
      <c r="B20" s="86">
        <v>9769988</v>
      </c>
      <c r="C20" s="73">
        <f t="shared" si="9"/>
        <v>2136</v>
      </c>
      <c r="D20" s="73">
        <v>23686110</v>
      </c>
      <c r="E20" s="73">
        <f t="shared" si="3"/>
        <v>6137</v>
      </c>
      <c r="F20" s="74">
        <f t="shared" si="10"/>
        <v>5792.1005999999998</v>
      </c>
      <c r="G20" s="73">
        <v>15389294</v>
      </c>
      <c r="H20" s="73">
        <f t="shared" si="11"/>
        <v>4119</v>
      </c>
      <c r="I20" s="74">
        <f t="shared" si="12"/>
        <v>2692.1783999999998</v>
      </c>
      <c r="J20" s="73">
        <v>3701817</v>
      </c>
      <c r="K20" s="73">
        <f t="shared" si="13"/>
        <v>1278</v>
      </c>
      <c r="L20" s="73">
        <v>1414</v>
      </c>
      <c r="M20" s="73">
        <f t="shared" si="14"/>
        <v>0</v>
      </c>
      <c r="N20" s="73">
        <f t="shared" si="15"/>
        <v>0</v>
      </c>
      <c r="O20" s="73">
        <v>853</v>
      </c>
      <c r="P20" s="73">
        <f t="shared" si="16"/>
        <v>0</v>
      </c>
      <c r="Q20" s="73">
        <f t="shared" si="17"/>
        <v>0</v>
      </c>
      <c r="R20" s="76">
        <f t="shared" si="18"/>
        <v>11898.278999999999</v>
      </c>
      <c r="S20" s="134">
        <f t="shared" si="0"/>
        <v>2379.6558</v>
      </c>
      <c r="T20" s="86">
        <v>80803</v>
      </c>
      <c r="U20" s="73">
        <f t="shared" si="4"/>
        <v>123</v>
      </c>
      <c r="V20" s="73">
        <v>36843</v>
      </c>
      <c r="W20" s="73">
        <f t="shared" si="5"/>
        <v>7</v>
      </c>
      <c r="X20" s="77">
        <f t="shared" si="19"/>
        <v>116</v>
      </c>
      <c r="Y20" s="129">
        <f t="shared" si="20"/>
        <v>909.43999999999994</v>
      </c>
      <c r="Z20" s="86">
        <v>1</v>
      </c>
      <c r="AA20" s="73">
        <f t="shared" si="21"/>
        <v>98</v>
      </c>
      <c r="AB20" s="171">
        <f t="shared" si="22"/>
        <v>122.99980000000001</v>
      </c>
      <c r="AC20" s="127">
        <v>0</v>
      </c>
      <c r="AD20" s="86">
        <v>82272</v>
      </c>
      <c r="AE20" s="73">
        <f t="shared" si="6"/>
        <v>10</v>
      </c>
      <c r="AF20" s="78">
        <f t="shared" si="1"/>
        <v>2843.4500000000003</v>
      </c>
      <c r="AG20" s="116">
        <f t="shared" si="23"/>
        <v>980.70590500000003</v>
      </c>
      <c r="AH20" s="116">
        <f t="shared" si="24"/>
        <v>5006.2639709677424</v>
      </c>
      <c r="AI20" s="79">
        <f t="shared" si="7"/>
        <v>5986.9698759677422</v>
      </c>
      <c r="AJ20" s="75">
        <v>2401599</v>
      </c>
      <c r="AK20" s="75">
        <f t="shared" si="25"/>
        <v>4424</v>
      </c>
      <c r="AL20" s="335">
        <f t="shared" si="2"/>
        <v>15.558564419982766</v>
      </c>
      <c r="AM20" s="338">
        <v>0.92279999999999995</v>
      </c>
      <c r="AN20" s="339">
        <v>281</v>
      </c>
      <c r="AO20" s="184">
        <f t="shared" si="8"/>
        <v>239.0052</v>
      </c>
    </row>
    <row r="21" spans="1:41" s="3" customFormat="1" ht="27.95" customHeight="1" x14ac:dyDescent="0.25">
      <c r="A21" s="113">
        <v>45674</v>
      </c>
      <c r="B21" s="86">
        <v>9772153</v>
      </c>
      <c r="C21" s="73">
        <f>IF(ISBLANK(B21),"0",B21-B20)</f>
        <v>2165</v>
      </c>
      <c r="D21" s="73">
        <v>23692884</v>
      </c>
      <c r="E21" s="73">
        <f>IF(ISBLANK(D21),"0",D21-D20)</f>
        <v>6774</v>
      </c>
      <c r="F21" s="74">
        <f t="shared" si="10"/>
        <v>6393.3011999999999</v>
      </c>
      <c r="G21" s="73">
        <v>15393583</v>
      </c>
      <c r="H21" s="73">
        <f>IF(ISBLANK(G21),"0",G21-G20)</f>
        <v>4289</v>
      </c>
      <c r="I21" s="74">
        <f>H21*0.6536</f>
        <v>2803.2903999999999</v>
      </c>
      <c r="J21" s="73">
        <v>3703047</v>
      </c>
      <c r="K21" s="73">
        <f>IF(ISBLANK(J21),"0",J21-J20)</f>
        <v>1230</v>
      </c>
      <c r="L21" s="73">
        <v>1414</v>
      </c>
      <c r="M21" s="73">
        <f t="shared" si="14"/>
        <v>0</v>
      </c>
      <c r="N21" s="73">
        <f t="shared" si="15"/>
        <v>0</v>
      </c>
      <c r="O21" s="73">
        <v>853</v>
      </c>
      <c r="P21" s="73">
        <f t="shared" si="16"/>
        <v>0</v>
      </c>
      <c r="Q21" s="73">
        <f t="shared" si="17"/>
        <v>0</v>
      </c>
      <c r="R21" s="76">
        <f>C21+F21+I21+K21+N21+Q21</f>
        <v>12591.5916</v>
      </c>
      <c r="S21" s="134">
        <f>R21*0.2</f>
        <v>2518.3183200000003</v>
      </c>
      <c r="T21" s="86">
        <v>80909</v>
      </c>
      <c r="U21" s="73">
        <f t="shared" si="4"/>
        <v>106</v>
      </c>
      <c r="V21" s="73">
        <v>36850</v>
      </c>
      <c r="W21" s="73">
        <f>IF(ISBLANK(V21),"0",V21-V20)</f>
        <v>7</v>
      </c>
      <c r="X21" s="77">
        <f>U21-W21</f>
        <v>99</v>
      </c>
      <c r="Y21" s="129">
        <f>X21*7.84</f>
        <v>776.16</v>
      </c>
      <c r="Z21" s="86">
        <v>1</v>
      </c>
      <c r="AA21" s="73">
        <f>Z21*50*1.96</f>
        <v>98</v>
      </c>
      <c r="AB21" s="171">
        <f t="shared" si="22"/>
        <v>122.99980000000001</v>
      </c>
      <c r="AC21" s="127">
        <v>5</v>
      </c>
      <c r="AD21" s="86">
        <v>82281</v>
      </c>
      <c r="AE21" s="73">
        <f t="shared" si="6"/>
        <v>9</v>
      </c>
      <c r="AF21" s="78">
        <f t="shared" si="1"/>
        <v>2559.1050000000005</v>
      </c>
      <c r="AG21" s="116">
        <f t="shared" si="23"/>
        <v>882.63531450000016</v>
      </c>
      <c r="AH21" s="116">
        <f t="shared" si="24"/>
        <v>5006.2639709677424</v>
      </c>
      <c r="AI21" s="79">
        <f>AG21+AH21</f>
        <v>5888.8992854677426</v>
      </c>
      <c r="AJ21" s="75">
        <v>2405363</v>
      </c>
      <c r="AK21" s="75">
        <f t="shared" si="25"/>
        <v>3764</v>
      </c>
      <c r="AL21" s="335">
        <f t="shared" si="2"/>
        <v>13.237440433276475</v>
      </c>
      <c r="AM21" s="338">
        <v>0.79</v>
      </c>
      <c r="AN21" s="339">
        <v>240</v>
      </c>
      <c r="AO21" s="184">
        <f t="shared" si="8"/>
        <v>204.61</v>
      </c>
    </row>
    <row r="22" spans="1:41" s="3" customFormat="1" ht="27.95" customHeight="1" x14ac:dyDescent="0.25">
      <c r="A22" s="113">
        <v>45675</v>
      </c>
      <c r="B22" s="86">
        <v>9774284</v>
      </c>
      <c r="C22" s="73">
        <f t="shared" ref="C22" si="26">IF(ISBLANK(B22),"0",B22-B21)</f>
        <v>2131</v>
      </c>
      <c r="D22" s="73">
        <v>23699577</v>
      </c>
      <c r="E22" s="73">
        <f t="shared" ref="E22" si="27">IF(ISBLANK(D22),"0",D22-D21)</f>
        <v>6693</v>
      </c>
      <c r="F22" s="74">
        <f t="shared" si="10"/>
        <v>6316.8534</v>
      </c>
      <c r="G22" s="73">
        <v>15397586</v>
      </c>
      <c r="H22" s="73">
        <f t="shared" ref="H22" si="28">IF(ISBLANK(G22),"0",G22-G21)</f>
        <v>4003</v>
      </c>
      <c r="I22" s="74">
        <f t="shared" ref="I22" si="29">H22*0.6536</f>
        <v>2616.3607999999999</v>
      </c>
      <c r="J22" s="73">
        <v>3704312</v>
      </c>
      <c r="K22" s="73">
        <f t="shared" ref="K22" si="30">IF(ISBLANK(J22),"0",J22-J21)</f>
        <v>1265</v>
      </c>
      <c r="L22" s="73">
        <v>1442</v>
      </c>
      <c r="M22" s="73">
        <f t="shared" si="14"/>
        <v>28</v>
      </c>
      <c r="N22" s="73">
        <f t="shared" si="15"/>
        <v>14</v>
      </c>
      <c r="O22" s="73">
        <v>864</v>
      </c>
      <c r="P22" s="73">
        <f t="shared" si="16"/>
        <v>11</v>
      </c>
      <c r="Q22" s="73">
        <f t="shared" si="17"/>
        <v>5.5</v>
      </c>
      <c r="R22" s="76">
        <f t="shared" ref="R22" si="31">C22+F22+I22+K22+N22+Q22</f>
        <v>12348.7142</v>
      </c>
      <c r="S22" s="134">
        <f t="shared" ref="S22" si="32">R22*0.2</f>
        <v>2469.7428400000003</v>
      </c>
      <c r="T22" s="86">
        <v>80955</v>
      </c>
      <c r="U22" s="73">
        <f t="shared" si="4"/>
        <v>46</v>
      </c>
      <c r="V22" s="73">
        <v>36857</v>
      </c>
      <c r="W22" s="73">
        <f t="shared" ref="W22" si="33">IF(ISBLANK(V22),"0",V22-V21)</f>
        <v>7</v>
      </c>
      <c r="X22" s="77">
        <f t="shared" ref="X22" si="34">U22-W22</f>
        <v>39</v>
      </c>
      <c r="Y22" s="129">
        <f t="shared" ref="Y22" si="35">X22*7.84</f>
        <v>305.76</v>
      </c>
      <c r="Z22" s="86">
        <v>1</v>
      </c>
      <c r="AA22" s="73">
        <f t="shared" ref="AA22" si="36">Z22*50*1.96</f>
        <v>98</v>
      </c>
      <c r="AB22" s="171">
        <f t="shared" si="22"/>
        <v>122.99980000000001</v>
      </c>
      <c r="AC22" s="127">
        <v>0</v>
      </c>
      <c r="AD22" s="86">
        <v>82289</v>
      </c>
      <c r="AE22" s="73">
        <f t="shared" si="6"/>
        <v>8</v>
      </c>
      <c r="AF22" s="78">
        <f t="shared" si="1"/>
        <v>2274.7600000000002</v>
      </c>
      <c r="AG22" s="116">
        <f t="shared" si="23"/>
        <v>784.56472400000007</v>
      </c>
      <c r="AH22" s="116">
        <f t="shared" si="24"/>
        <v>5006.2639709677424</v>
      </c>
      <c r="AI22" s="79">
        <f t="shared" ref="AI22" si="37">AG22+AH22</f>
        <v>5790.8286949677422</v>
      </c>
      <c r="AJ22" s="75">
        <v>2408933</v>
      </c>
      <c r="AK22" s="75">
        <f t="shared" si="25"/>
        <v>3570</v>
      </c>
      <c r="AL22" s="335">
        <f t="shared" si="2"/>
        <v>12.55517065536584</v>
      </c>
      <c r="AM22" s="338">
        <v>0.83779999999999999</v>
      </c>
      <c r="AN22" s="339">
        <v>267</v>
      </c>
      <c r="AO22" s="184">
        <f t="shared" si="8"/>
        <v>216.99019999999999</v>
      </c>
    </row>
    <row r="23" spans="1:41" s="3" customFormat="1" ht="27.95" customHeight="1" x14ac:dyDescent="0.25">
      <c r="A23" s="113">
        <v>45676</v>
      </c>
      <c r="B23" s="86">
        <v>9776437</v>
      </c>
      <c r="C23" s="73">
        <f>IF(ISBLANK(B23),"0",B23-B22)</f>
        <v>2153</v>
      </c>
      <c r="D23" s="73">
        <v>23706483</v>
      </c>
      <c r="E23" s="73">
        <f>IF(ISBLANK(D23),"0",D23-D22)</f>
        <v>6906</v>
      </c>
      <c r="F23" s="74">
        <f t="shared" si="10"/>
        <v>6517.8827999999994</v>
      </c>
      <c r="G23" s="73">
        <v>15401643</v>
      </c>
      <c r="H23" s="73">
        <f>IF(ISBLANK(G23),"0",G23-G22)</f>
        <v>4057</v>
      </c>
      <c r="I23" s="74">
        <f t="shared" si="12"/>
        <v>2651.6551999999997</v>
      </c>
      <c r="J23" s="73">
        <v>3705601</v>
      </c>
      <c r="K23" s="73">
        <f t="shared" si="13"/>
        <v>1289</v>
      </c>
      <c r="L23" s="73">
        <v>1442</v>
      </c>
      <c r="M23" s="73">
        <f t="shared" si="14"/>
        <v>0</v>
      </c>
      <c r="N23" s="73">
        <f t="shared" si="15"/>
        <v>0</v>
      </c>
      <c r="O23" s="73">
        <v>864</v>
      </c>
      <c r="P23" s="73">
        <f t="shared" si="16"/>
        <v>0</v>
      </c>
      <c r="Q23" s="73">
        <f t="shared" si="17"/>
        <v>0</v>
      </c>
      <c r="R23" s="76">
        <f>C23+F23+I23+K23+N23+Q23</f>
        <v>12611.537999999999</v>
      </c>
      <c r="S23" s="134">
        <f t="shared" si="0"/>
        <v>2522.3076000000001</v>
      </c>
      <c r="T23" s="86">
        <v>81038</v>
      </c>
      <c r="U23" s="73">
        <f t="shared" si="4"/>
        <v>83</v>
      </c>
      <c r="V23" s="73">
        <v>36865</v>
      </c>
      <c r="W23" s="73">
        <f t="shared" si="5"/>
        <v>8</v>
      </c>
      <c r="X23" s="77">
        <f>U23-W23</f>
        <v>75</v>
      </c>
      <c r="Y23" s="129">
        <f t="shared" si="20"/>
        <v>588</v>
      </c>
      <c r="Z23" s="86">
        <v>1</v>
      </c>
      <c r="AA23" s="73">
        <f t="shared" si="21"/>
        <v>98</v>
      </c>
      <c r="AB23" s="171">
        <f t="shared" si="22"/>
        <v>122.99980000000001</v>
      </c>
      <c r="AC23" s="127">
        <v>0</v>
      </c>
      <c r="AD23" s="86">
        <v>82297</v>
      </c>
      <c r="AE23" s="73">
        <f t="shared" si="6"/>
        <v>8</v>
      </c>
      <c r="AF23" s="78">
        <f t="shared" si="1"/>
        <v>2274.7600000000002</v>
      </c>
      <c r="AG23" s="116">
        <f t="shared" si="23"/>
        <v>784.56472400000007</v>
      </c>
      <c r="AH23" s="116">
        <f t="shared" si="24"/>
        <v>5006.2639709677424</v>
      </c>
      <c r="AI23" s="79">
        <f t="shared" si="7"/>
        <v>5790.8286949677422</v>
      </c>
      <c r="AJ23" s="75">
        <v>2412367</v>
      </c>
      <c r="AK23" s="75">
        <f t="shared" si="25"/>
        <v>3434</v>
      </c>
      <c r="AL23" s="335">
        <f t="shared" si="2"/>
        <v>12.076878439923332</v>
      </c>
      <c r="AM23" s="338">
        <v>0.8649</v>
      </c>
      <c r="AN23" s="339">
        <v>224</v>
      </c>
      <c r="AO23" s="184">
        <f t="shared" si="8"/>
        <v>224.00909999999999</v>
      </c>
    </row>
    <row r="24" spans="1:41" s="3" customFormat="1" ht="27.95" customHeight="1" x14ac:dyDescent="0.25">
      <c r="A24" s="113">
        <v>45677</v>
      </c>
      <c r="B24" s="86">
        <v>9778429</v>
      </c>
      <c r="C24" s="73">
        <f t="shared" si="9"/>
        <v>1992</v>
      </c>
      <c r="D24" s="73">
        <v>23712816</v>
      </c>
      <c r="E24" s="73">
        <f t="shared" si="3"/>
        <v>6333</v>
      </c>
      <c r="F24" s="74">
        <f t="shared" si="10"/>
        <v>5977.0853999999999</v>
      </c>
      <c r="G24" s="73">
        <v>15405538</v>
      </c>
      <c r="H24" s="73">
        <f t="shared" si="11"/>
        <v>3895</v>
      </c>
      <c r="I24" s="74">
        <f t="shared" si="12"/>
        <v>2545.7719999999999</v>
      </c>
      <c r="J24" s="73">
        <v>3706823</v>
      </c>
      <c r="K24" s="73">
        <f t="shared" si="13"/>
        <v>1222</v>
      </c>
      <c r="L24" s="73">
        <v>1442</v>
      </c>
      <c r="M24" s="73">
        <f t="shared" si="14"/>
        <v>0</v>
      </c>
      <c r="N24" s="73">
        <f t="shared" si="15"/>
        <v>0</v>
      </c>
      <c r="O24" s="73">
        <v>864</v>
      </c>
      <c r="P24" s="73">
        <f t="shared" si="16"/>
        <v>0</v>
      </c>
      <c r="Q24" s="73">
        <f t="shared" si="17"/>
        <v>0</v>
      </c>
      <c r="R24" s="76">
        <f t="shared" si="18"/>
        <v>11736.857400000001</v>
      </c>
      <c r="S24" s="134">
        <f t="shared" si="0"/>
        <v>2347.3714800000002</v>
      </c>
      <c r="T24" s="86">
        <v>81123</v>
      </c>
      <c r="U24" s="73">
        <f t="shared" si="4"/>
        <v>85</v>
      </c>
      <c r="V24" s="73">
        <v>36872</v>
      </c>
      <c r="W24" s="73">
        <f t="shared" si="5"/>
        <v>7</v>
      </c>
      <c r="X24" s="77">
        <f t="shared" si="19"/>
        <v>78</v>
      </c>
      <c r="Y24" s="129">
        <f t="shared" si="20"/>
        <v>611.52</v>
      </c>
      <c r="Z24" s="86">
        <v>1</v>
      </c>
      <c r="AA24" s="73">
        <f t="shared" si="21"/>
        <v>98</v>
      </c>
      <c r="AB24" s="171">
        <f t="shared" si="22"/>
        <v>122.99980000000001</v>
      </c>
      <c r="AC24" s="127">
        <v>0</v>
      </c>
      <c r="AD24" s="86">
        <v>82305</v>
      </c>
      <c r="AE24" s="73">
        <f t="shared" si="6"/>
        <v>8</v>
      </c>
      <c r="AF24" s="78">
        <f t="shared" si="1"/>
        <v>2274.7600000000002</v>
      </c>
      <c r="AG24" s="116">
        <f t="shared" si="23"/>
        <v>784.56472400000007</v>
      </c>
      <c r="AH24" s="116">
        <f t="shared" si="24"/>
        <v>5006.2639709677424</v>
      </c>
      <c r="AI24" s="79">
        <f t="shared" si="7"/>
        <v>5790.8286949677422</v>
      </c>
      <c r="AJ24" s="75">
        <v>2415836</v>
      </c>
      <c r="AK24" s="75">
        <f t="shared" si="25"/>
        <v>3469</v>
      </c>
      <c r="AL24" s="335">
        <f t="shared" si="2"/>
        <v>12.199968348309271</v>
      </c>
      <c r="AM24" s="338">
        <v>0.91890000000000005</v>
      </c>
      <c r="AN24" s="339">
        <v>293</v>
      </c>
      <c r="AO24" s="184">
        <f t="shared" si="8"/>
        <v>237.99510000000001</v>
      </c>
    </row>
    <row r="25" spans="1:41" s="16" customFormat="1" ht="27.95" customHeight="1" x14ac:dyDescent="0.25">
      <c r="A25" s="113">
        <v>45678</v>
      </c>
      <c r="B25" s="87">
        <v>9780520</v>
      </c>
      <c r="C25" s="73">
        <f t="shared" si="9"/>
        <v>2091</v>
      </c>
      <c r="D25" s="80">
        <v>23719711</v>
      </c>
      <c r="E25" s="73">
        <f t="shared" si="3"/>
        <v>6895</v>
      </c>
      <c r="F25" s="74">
        <f t="shared" si="10"/>
        <v>6507.5010000000002</v>
      </c>
      <c r="G25" s="80">
        <v>15409614</v>
      </c>
      <c r="H25" s="73">
        <f t="shared" si="11"/>
        <v>4076</v>
      </c>
      <c r="I25" s="74">
        <f t="shared" si="12"/>
        <v>2664.0735999999997</v>
      </c>
      <c r="J25" s="80">
        <v>3708068</v>
      </c>
      <c r="K25" s="73">
        <f t="shared" si="13"/>
        <v>1245</v>
      </c>
      <c r="L25" s="80">
        <v>1442</v>
      </c>
      <c r="M25" s="73">
        <f t="shared" si="14"/>
        <v>0</v>
      </c>
      <c r="N25" s="73">
        <f t="shared" si="15"/>
        <v>0</v>
      </c>
      <c r="O25" s="80">
        <v>864</v>
      </c>
      <c r="P25" s="73">
        <f t="shared" si="16"/>
        <v>0</v>
      </c>
      <c r="Q25" s="73">
        <f t="shared" si="17"/>
        <v>0</v>
      </c>
      <c r="R25" s="81">
        <f t="shared" si="18"/>
        <v>12507.5746</v>
      </c>
      <c r="S25" s="134">
        <f t="shared" si="0"/>
        <v>2501.5149200000001</v>
      </c>
      <c r="T25" s="87">
        <v>81217</v>
      </c>
      <c r="U25" s="73">
        <f t="shared" si="4"/>
        <v>94</v>
      </c>
      <c r="V25" s="80">
        <v>36879</v>
      </c>
      <c r="W25" s="73">
        <f t="shared" si="5"/>
        <v>7</v>
      </c>
      <c r="X25" s="82">
        <f t="shared" si="19"/>
        <v>87</v>
      </c>
      <c r="Y25" s="130">
        <f t="shared" si="20"/>
        <v>682.08</v>
      </c>
      <c r="Z25" s="87">
        <v>1</v>
      </c>
      <c r="AA25" s="73">
        <f t="shared" si="21"/>
        <v>98</v>
      </c>
      <c r="AB25" s="171">
        <f t="shared" si="22"/>
        <v>122.99980000000001</v>
      </c>
      <c r="AC25" s="127">
        <v>6</v>
      </c>
      <c r="AD25" s="86">
        <v>82313</v>
      </c>
      <c r="AE25" s="73">
        <f t="shared" si="6"/>
        <v>8</v>
      </c>
      <c r="AF25" s="78">
        <f t="shared" si="1"/>
        <v>2274.7600000000002</v>
      </c>
      <c r="AG25" s="116">
        <f t="shared" si="23"/>
        <v>784.56472400000007</v>
      </c>
      <c r="AH25" s="116">
        <f t="shared" si="24"/>
        <v>5006.2639709677424</v>
      </c>
      <c r="AI25" s="83">
        <f t="shared" si="7"/>
        <v>5790.8286949677422</v>
      </c>
      <c r="AJ25" s="175">
        <v>2419478</v>
      </c>
      <c r="AK25" s="75">
        <f t="shared" si="25"/>
        <v>3642</v>
      </c>
      <c r="AL25" s="335">
        <f t="shared" si="2"/>
        <v>12.808384181188345</v>
      </c>
      <c r="AM25" s="338">
        <v>0.98460000000000003</v>
      </c>
      <c r="AN25" s="339">
        <v>306</v>
      </c>
      <c r="AO25" s="184">
        <f t="shared" si="8"/>
        <v>255.01140000000001</v>
      </c>
    </row>
    <row r="26" spans="1:41" s="3" customFormat="1" ht="27.95" customHeight="1" x14ac:dyDescent="0.25">
      <c r="A26" s="113">
        <v>45679</v>
      </c>
      <c r="B26" s="86">
        <v>9782639</v>
      </c>
      <c r="C26" s="73">
        <f t="shared" si="9"/>
        <v>2119</v>
      </c>
      <c r="D26" s="73">
        <v>23726786</v>
      </c>
      <c r="E26" s="73">
        <f t="shared" si="3"/>
        <v>7075</v>
      </c>
      <c r="F26" s="74">
        <f t="shared" si="10"/>
        <v>6677.3850000000002</v>
      </c>
      <c r="G26" s="73">
        <v>15413669</v>
      </c>
      <c r="H26" s="73">
        <f t="shared" si="11"/>
        <v>4055</v>
      </c>
      <c r="I26" s="74">
        <f t="shared" si="12"/>
        <v>2650.348</v>
      </c>
      <c r="J26" s="73">
        <v>3709309</v>
      </c>
      <c r="K26" s="73">
        <f t="shared" si="13"/>
        <v>1241</v>
      </c>
      <c r="L26" s="73">
        <v>1442</v>
      </c>
      <c r="M26" s="73">
        <f t="shared" si="14"/>
        <v>0</v>
      </c>
      <c r="N26" s="73">
        <f t="shared" si="15"/>
        <v>0</v>
      </c>
      <c r="O26" s="73">
        <v>864</v>
      </c>
      <c r="P26" s="73">
        <f t="shared" si="16"/>
        <v>0</v>
      </c>
      <c r="Q26" s="73">
        <f t="shared" si="17"/>
        <v>0</v>
      </c>
      <c r="R26" s="76">
        <f t="shared" si="18"/>
        <v>12687.733</v>
      </c>
      <c r="S26" s="134">
        <f t="shared" si="0"/>
        <v>2537.5466000000001</v>
      </c>
      <c r="T26" s="86">
        <v>81300</v>
      </c>
      <c r="U26" s="73">
        <f t="shared" si="4"/>
        <v>83</v>
      </c>
      <c r="V26" s="73">
        <v>36889</v>
      </c>
      <c r="W26" s="73">
        <f t="shared" si="5"/>
        <v>10</v>
      </c>
      <c r="X26" s="77">
        <f t="shared" si="19"/>
        <v>73</v>
      </c>
      <c r="Y26" s="129">
        <f t="shared" si="20"/>
        <v>572.31999999999994</v>
      </c>
      <c r="Z26" s="86">
        <v>1</v>
      </c>
      <c r="AA26" s="73">
        <f t="shared" si="21"/>
        <v>98</v>
      </c>
      <c r="AB26" s="171">
        <f t="shared" si="22"/>
        <v>122.99980000000001</v>
      </c>
      <c r="AC26" s="127">
        <v>0</v>
      </c>
      <c r="AD26" s="86">
        <v>82321</v>
      </c>
      <c r="AE26" s="73">
        <f t="shared" si="6"/>
        <v>8</v>
      </c>
      <c r="AF26" s="78">
        <f t="shared" si="1"/>
        <v>2274.7600000000002</v>
      </c>
      <c r="AG26" s="116">
        <f t="shared" si="23"/>
        <v>784.56472400000007</v>
      </c>
      <c r="AH26" s="116">
        <f t="shared" si="24"/>
        <v>5006.2639709677424</v>
      </c>
      <c r="AI26" s="79">
        <f t="shared" si="7"/>
        <v>5790.8286949677422</v>
      </c>
      <c r="AJ26" s="75">
        <v>2423254</v>
      </c>
      <c r="AK26" s="75">
        <f t="shared" si="25"/>
        <v>3776</v>
      </c>
      <c r="AL26" s="335">
        <f t="shared" si="2"/>
        <v>13.279642687580226</v>
      </c>
      <c r="AM26" s="338">
        <v>0.99229999999999996</v>
      </c>
      <c r="AN26" s="339">
        <v>311</v>
      </c>
      <c r="AO26" s="184">
        <f t="shared" si="8"/>
        <v>257.00569999999999</v>
      </c>
    </row>
    <row r="27" spans="1:41" s="3" customFormat="1" ht="27.95" customHeight="1" x14ac:dyDescent="0.25">
      <c r="A27" s="113">
        <v>45680</v>
      </c>
      <c r="B27" s="86">
        <v>9784771</v>
      </c>
      <c r="C27" s="73">
        <f t="shared" si="9"/>
        <v>2132</v>
      </c>
      <c r="D27" s="73">
        <v>23733896</v>
      </c>
      <c r="E27" s="73">
        <f t="shared" si="3"/>
        <v>7110</v>
      </c>
      <c r="F27" s="74">
        <f t="shared" si="10"/>
        <v>6710.4179999999997</v>
      </c>
      <c r="G27" s="73">
        <v>15417748</v>
      </c>
      <c r="H27" s="73">
        <f t="shared" si="11"/>
        <v>4079</v>
      </c>
      <c r="I27" s="74">
        <f t="shared" si="12"/>
        <v>2666.0344</v>
      </c>
      <c r="J27" s="73">
        <v>3710582</v>
      </c>
      <c r="K27" s="73">
        <f t="shared" si="13"/>
        <v>1273</v>
      </c>
      <c r="L27" s="73">
        <v>1442</v>
      </c>
      <c r="M27" s="73">
        <f t="shared" si="14"/>
        <v>0</v>
      </c>
      <c r="N27" s="73">
        <f t="shared" si="15"/>
        <v>0</v>
      </c>
      <c r="O27" s="73">
        <v>864</v>
      </c>
      <c r="P27" s="73">
        <f t="shared" si="16"/>
        <v>0</v>
      </c>
      <c r="Q27" s="73">
        <f t="shared" si="17"/>
        <v>0</v>
      </c>
      <c r="R27" s="81">
        <f t="shared" si="18"/>
        <v>12781.4524</v>
      </c>
      <c r="S27" s="134">
        <f t="shared" si="0"/>
        <v>2556.2904800000001</v>
      </c>
      <c r="T27" s="86">
        <v>81357</v>
      </c>
      <c r="U27" s="73">
        <f t="shared" si="4"/>
        <v>57</v>
      </c>
      <c r="V27" s="73">
        <v>36897</v>
      </c>
      <c r="W27" s="73">
        <f t="shared" si="5"/>
        <v>8</v>
      </c>
      <c r="X27" s="82">
        <f t="shared" si="19"/>
        <v>49</v>
      </c>
      <c r="Y27" s="130">
        <f t="shared" si="20"/>
        <v>384.15999999999997</v>
      </c>
      <c r="Z27" s="86">
        <v>1</v>
      </c>
      <c r="AA27" s="73">
        <f t="shared" si="21"/>
        <v>98</v>
      </c>
      <c r="AB27" s="171">
        <f t="shared" si="22"/>
        <v>122.99980000000001</v>
      </c>
      <c r="AC27" s="127">
        <v>0</v>
      </c>
      <c r="AD27" s="86">
        <v>82329</v>
      </c>
      <c r="AE27" s="73">
        <f t="shared" si="6"/>
        <v>8</v>
      </c>
      <c r="AF27" s="78">
        <f t="shared" si="1"/>
        <v>2274.7600000000002</v>
      </c>
      <c r="AG27" s="116">
        <f t="shared" si="23"/>
        <v>784.56472400000007</v>
      </c>
      <c r="AH27" s="116">
        <f t="shared" si="24"/>
        <v>5006.2639709677424</v>
      </c>
      <c r="AI27" s="83">
        <f t="shared" si="7"/>
        <v>5790.8286949677422</v>
      </c>
      <c r="AJ27" s="75">
        <v>2427007</v>
      </c>
      <c r="AK27" s="75">
        <f t="shared" si="25"/>
        <v>3753</v>
      </c>
      <c r="AL27" s="335">
        <f t="shared" si="2"/>
        <v>13.198755033498038</v>
      </c>
      <c r="AM27" s="338">
        <v>0.96909999999999996</v>
      </c>
      <c r="AN27" s="339">
        <v>312</v>
      </c>
      <c r="AO27" s="184">
        <f t="shared" si="8"/>
        <v>250.99689999999998</v>
      </c>
    </row>
    <row r="28" spans="1:41" s="3" customFormat="1" ht="27.95" customHeight="1" x14ac:dyDescent="0.25">
      <c r="A28" s="113">
        <v>45681</v>
      </c>
      <c r="B28" s="86">
        <v>9786832</v>
      </c>
      <c r="C28" s="73">
        <f t="shared" si="9"/>
        <v>2061</v>
      </c>
      <c r="D28" s="73">
        <v>23740899</v>
      </c>
      <c r="E28" s="73">
        <f t="shared" si="3"/>
        <v>7003</v>
      </c>
      <c r="F28" s="74">
        <f t="shared" si="10"/>
        <v>6609.4313999999995</v>
      </c>
      <c r="G28" s="73">
        <v>15421678</v>
      </c>
      <c r="H28" s="73">
        <f t="shared" si="11"/>
        <v>3930</v>
      </c>
      <c r="I28" s="74">
        <f t="shared" si="12"/>
        <v>2568.6479999999997</v>
      </c>
      <c r="J28" s="73">
        <v>3711818</v>
      </c>
      <c r="K28" s="73">
        <f t="shared" si="13"/>
        <v>1236</v>
      </c>
      <c r="L28" s="73">
        <v>1442</v>
      </c>
      <c r="M28" s="73">
        <v>0</v>
      </c>
      <c r="N28" s="73">
        <f t="shared" si="15"/>
        <v>0</v>
      </c>
      <c r="O28" s="73">
        <v>864</v>
      </c>
      <c r="P28" s="73">
        <f t="shared" si="16"/>
        <v>0</v>
      </c>
      <c r="Q28" s="73">
        <f t="shared" si="17"/>
        <v>0</v>
      </c>
      <c r="R28" s="76">
        <f t="shared" si="18"/>
        <v>12475.079399999999</v>
      </c>
      <c r="S28" s="134">
        <f t="shared" si="0"/>
        <v>2495.0158799999999</v>
      </c>
      <c r="T28" s="86">
        <v>81413</v>
      </c>
      <c r="U28" s="73">
        <f t="shared" si="4"/>
        <v>56</v>
      </c>
      <c r="V28" s="73">
        <v>36904</v>
      </c>
      <c r="W28" s="73">
        <f t="shared" si="5"/>
        <v>7</v>
      </c>
      <c r="X28" s="77">
        <f t="shared" si="19"/>
        <v>49</v>
      </c>
      <c r="Y28" s="129">
        <f t="shared" si="20"/>
        <v>384.15999999999997</v>
      </c>
      <c r="Z28" s="86">
        <v>1</v>
      </c>
      <c r="AA28" s="73">
        <f t="shared" si="21"/>
        <v>98</v>
      </c>
      <c r="AB28" s="171">
        <f t="shared" si="22"/>
        <v>122.99980000000001</v>
      </c>
      <c r="AC28" s="127">
        <v>5</v>
      </c>
      <c r="AD28" s="86">
        <v>82337</v>
      </c>
      <c r="AE28" s="73">
        <f t="shared" si="6"/>
        <v>8</v>
      </c>
      <c r="AF28" s="78">
        <f t="shared" si="1"/>
        <v>2274.7600000000002</v>
      </c>
      <c r="AG28" s="116">
        <f t="shared" si="23"/>
        <v>784.56472400000007</v>
      </c>
      <c r="AH28" s="116">
        <f t="shared" si="24"/>
        <v>5006.2639709677424</v>
      </c>
      <c r="AI28" s="79">
        <f t="shared" si="7"/>
        <v>5790.8286949677422</v>
      </c>
      <c r="AJ28" s="75">
        <v>2430495</v>
      </c>
      <c r="AK28" s="75">
        <f t="shared" si="25"/>
        <v>3488</v>
      </c>
      <c r="AL28" s="335">
        <f t="shared" si="2"/>
        <v>12.266788584290209</v>
      </c>
      <c r="AM28" s="338">
        <v>0.9768</v>
      </c>
      <c r="AN28" s="339">
        <v>329</v>
      </c>
      <c r="AO28" s="184">
        <f t="shared" si="8"/>
        <v>252.99119999999999</v>
      </c>
    </row>
    <row r="29" spans="1:41" s="3" customFormat="1" ht="27.95" customHeight="1" x14ac:dyDescent="0.25">
      <c r="A29" s="113">
        <v>45682</v>
      </c>
      <c r="B29" s="86">
        <v>9788955</v>
      </c>
      <c r="C29" s="73">
        <f t="shared" si="9"/>
        <v>2123</v>
      </c>
      <c r="D29" s="73">
        <v>23747798</v>
      </c>
      <c r="E29" s="73">
        <f t="shared" si="3"/>
        <v>6899</v>
      </c>
      <c r="F29" s="74">
        <f t="shared" si="10"/>
        <v>6511.2762000000002</v>
      </c>
      <c r="G29" s="73">
        <v>15425538</v>
      </c>
      <c r="H29" s="73">
        <f t="shared" si="11"/>
        <v>3860</v>
      </c>
      <c r="I29" s="74">
        <f t="shared" si="12"/>
        <v>2522.8959999999997</v>
      </c>
      <c r="J29" s="73">
        <v>3713057</v>
      </c>
      <c r="K29" s="73">
        <f t="shared" si="13"/>
        <v>1239</v>
      </c>
      <c r="L29" s="73">
        <v>1460</v>
      </c>
      <c r="M29" s="73">
        <f t="shared" si="14"/>
        <v>18</v>
      </c>
      <c r="N29" s="73">
        <f t="shared" si="15"/>
        <v>9</v>
      </c>
      <c r="O29" s="73">
        <v>879</v>
      </c>
      <c r="P29" s="73">
        <f t="shared" si="16"/>
        <v>15</v>
      </c>
      <c r="Q29" s="73">
        <f t="shared" si="17"/>
        <v>7.5</v>
      </c>
      <c r="R29" s="81">
        <f t="shared" si="18"/>
        <v>12412.672200000001</v>
      </c>
      <c r="S29" s="134">
        <f t="shared" si="0"/>
        <v>2482.5344400000004</v>
      </c>
      <c r="T29" s="86">
        <v>81497</v>
      </c>
      <c r="U29" s="73">
        <f t="shared" si="4"/>
        <v>84</v>
      </c>
      <c r="V29" s="73">
        <v>36911</v>
      </c>
      <c r="W29" s="73">
        <f t="shared" si="5"/>
        <v>7</v>
      </c>
      <c r="X29" s="82">
        <f t="shared" si="19"/>
        <v>77</v>
      </c>
      <c r="Y29" s="130">
        <f t="shared" si="20"/>
        <v>603.67999999999995</v>
      </c>
      <c r="Z29" s="86">
        <v>1</v>
      </c>
      <c r="AA29" s="73">
        <f t="shared" si="21"/>
        <v>98</v>
      </c>
      <c r="AB29" s="171">
        <f t="shared" si="22"/>
        <v>122.99980000000001</v>
      </c>
      <c r="AC29" s="127">
        <v>0</v>
      </c>
      <c r="AD29" s="86">
        <v>82345</v>
      </c>
      <c r="AE29" s="73">
        <f t="shared" si="6"/>
        <v>8</v>
      </c>
      <c r="AF29" s="78">
        <f t="shared" si="1"/>
        <v>2274.7600000000002</v>
      </c>
      <c r="AG29" s="116">
        <f t="shared" si="23"/>
        <v>784.56472400000007</v>
      </c>
      <c r="AH29" s="116">
        <f t="shared" si="24"/>
        <v>5006.2639709677424</v>
      </c>
      <c r="AI29" s="83">
        <f t="shared" si="7"/>
        <v>5790.8286949677422</v>
      </c>
      <c r="AJ29" s="75">
        <v>2433946</v>
      </c>
      <c r="AK29" s="75">
        <f t="shared" si="25"/>
        <v>3451</v>
      </c>
      <c r="AL29" s="335">
        <f t="shared" si="2"/>
        <v>12.136664966853646</v>
      </c>
      <c r="AM29" s="338">
        <v>0.95369999999999999</v>
      </c>
      <c r="AN29" s="339">
        <v>310</v>
      </c>
      <c r="AO29" s="184">
        <f t="shared" si="8"/>
        <v>247.00829999999999</v>
      </c>
    </row>
    <row r="30" spans="1:41" s="3" customFormat="1" ht="27.95" customHeight="1" x14ac:dyDescent="0.25">
      <c r="A30" s="113">
        <v>45683</v>
      </c>
      <c r="B30" s="86">
        <v>9791140</v>
      </c>
      <c r="C30" s="73">
        <f t="shared" si="9"/>
        <v>2185</v>
      </c>
      <c r="D30" s="73">
        <v>23754846</v>
      </c>
      <c r="E30" s="73">
        <f t="shared" si="3"/>
        <v>7048</v>
      </c>
      <c r="F30" s="74">
        <f t="shared" si="10"/>
        <v>6651.9023999999999</v>
      </c>
      <c r="G30" s="73">
        <v>15429496</v>
      </c>
      <c r="H30" s="73">
        <f t="shared" si="11"/>
        <v>3958</v>
      </c>
      <c r="I30" s="74">
        <f t="shared" si="12"/>
        <v>2586.9487999999997</v>
      </c>
      <c r="J30" s="73">
        <v>3714301</v>
      </c>
      <c r="K30" s="73">
        <f t="shared" si="13"/>
        <v>1244</v>
      </c>
      <c r="L30" s="73">
        <v>1460</v>
      </c>
      <c r="M30" s="73">
        <f t="shared" si="14"/>
        <v>0</v>
      </c>
      <c r="N30" s="73">
        <f t="shared" si="15"/>
        <v>0</v>
      </c>
      <c r="O30" s="73">
        <v>879</v>
      </c>
      <c r="P30" s="73">
        <f t="shared" si="16"/>
        <v>0</v>
      </c>
      <c r="Q30" s="73">
        <f t="shared" si="17"/>
        <v>0</v>
      </c>
      <c r="R30" s="76">
        <f t="shared" si="18"/>
        <v>12667.851199999999</v>
      </c>
      <c r="S30" s="134">
        <f t="shared" si="0"/>
        <v>2533.57024</v>
      </c>
      <c r="T30" s="86">
        <v>81554</v>
      </c>
      <c r="U30" s="73">
        <f t="shared" si="4"/>
        <v>57</v>
      </c>
      <c r="V30" s="73">
        <v>36919</v>
      </c>
      <c r="W30" s="73">
        <f t="shared" si="5"/>
        <v>8</v>
      </c>
      <c r="X30" s="77">
        <f t="shared" si="19"/>
        <v>49</v>
      </c>
      <c r="Y30" s="129">
        <f t="shared" si="20"/>
        <v>384.15999999999997</v>
      </c>
      <c r="Z30" s="86">
        <v>2</v>
      </c>
      <c r="AA30" s="73">
        <f t="shared" si="21"/>
        <v>196</v>
      </c>
      <c r="AB30" s="171">
        <f t="shared" si="22"/>
        <v>245.99960000000002</v>
      </c>
      <c r="AC30" s="127">
        <v>0</v>
      </c>
      <c r="AD30" s="86">
        <v>82354</v>
      </c>
      <c r="AE30" s="73">
        <f t="shared" si="6"/>
        <v>9</v>
      </c>
      <c r="AF30" s="78">
        <f t="shared" si="1"/>
        <v>2559.1050000000005</v>
      </c>
      <c r="AG30" s="116">
        <f t="shared" si="23"/>
        <v>882.63531450000016</v>
      </c>
      <c r="AH30" s="116">
        <f t="shared" si="24"/>
        <v>5006.2639709677424</v>
      </c>
      <c r="AI30" s="79">
        <f t="shared" si="7"/>
        <v>5888.8992854677426</v>
      </c>
      <c r="AJ30" s="75">
        <v>2437825</v>
      </c>
      <c r="AK30" s="75">
        <f t="shared" si="25"/>
        <v>3879</v>
      </c>
      <c r="AL30" s="335">
        <f t="shared" si="2"/>
        <v>13.641878703687421</v>
      </c>
      <c r="AM30" s="338">
        <v>0.82240000000000002</v>
      </c>
      <c r="AN30" s="339">
        <v>246</v>
      </c>
      <c r="AO30" s="184">
        <f t="shared" si="8"/>
        <v>213.0016</v>
      </c>
    </row>
    <row r="31" spans="1:41" s="3" customFormat="1" ht="27.95" customHeight="1" x14ac:dyDescent="0.25">
      <c r="A31" s="113">
        <v>45684</v>
      </c>
      <c r="B31" s="86">
        <v>9793289</v>
      </c>
      <c r="C31" s="73">
        <f t="shared" si="9"/>
        <v>2149</v>
      </c>
      <c r="D31" s="73">
        <v>23761877</v>
      </c>
      <c r="E31" s="73">
        <f t="shared" si="3"/>
        <v>7031</v>
      </c>
      <c r="F31" s="74">
        <f t="shared" si="10"/>
        <v>6635.8577999999998</v>
      </c>
      <c r="G31" s="73">
        <v>15433545</v>
      </c>
      <c r="H31" s="73">
        <f t="shared" si="11"/>
        <v>4049</v>
      </c>
      <c r="I31" s="74">
        <f t="shared" si="12"/>
        <v>2646.4263999999998</v>
      </c>
      <c r="J31" s="73">
        <v>3715559</v>
      </c>
      <c r="K31" s="73">
        <f t="shared" si="13"/>
        <v>1258</v>
      </c>
      <c r="L31" s="73">
        <v>1460</v>
      </c>
      <c r="M31" s="73">
        <f t="shared" si="14"/>
        <v>0</v>
      </c>
      <c r="N31" s="73">
        <f t="shared" si="15"/>
        <v>0</v>
      </c>
      <c r="O31" s="73">
        <v>879</v>
      </c>
      <c r="P31" s="73">
        <f t="shared" si="16"/>
        <v>0</v>
      </c>
      <c r="Q31" s="73">
        <f t="shared" si="17"/>
        <v>0</v>
      </c>
      <c r="R31" s="76">
        <f t="shared" si="18"/>
        <v>12689.2842</v>
      </c>
      <c r="S31" s="134">
        <f t="shared" si="0"/>
        <v>2537.8568400000004</v>
      </c>
      <c r="T31" s="86">
        <v>81600</v>
      </c>
      <c r="U31" s="73">
        <f t="shared" si="4"/>
        <v>46</v>
      </c>
      <c r="V31" s="73">
        <v>36926</v>
      </c>
      <c r="W31" s="73">
        <f t="shared" si="5"/>
        <v>7</v>
      </c>
      <c r="X31" s="82">
        <f t="shared" si="19"/>
        <v>39</v>
      </c>
      <c r="Y31" s="130">
        <f t="shared" si="20"/>
        <v>305.76</v>
      </c>
      <c r="Z31" s="86">
        <v>1</v>
      </c>
      <c r="AA31" s="73">
        <f>Z31*50*1.96</f>
        <v>98</v>
      </c>
      <c r="AB31" s="171">
        <f t="shared" si="22"/>
        <v>122.99980000000001</v>
      </c>
      <c r="AC31" s="127">
        <v>0</v>
      </c>
      <c r="AD31" s="86">
        <v>82364</v>
      </c>
      <c r="AE31" s="73">
        <f t="shared" si="6"/>
        <v>10</v>
      </c>
      <c r="AF31" s="78">
        <f t="shared" si="1"/>
        <v>2843.4500000000003</v>
      </c>
      <c r="AG31" s="116">
        <f t="shared" si="23"/>
        <v>980.70590500000003</v>
      </c>
      <c r="AH31" s="116">
        <f t="shared" si="24"/>
        <v>5006.2639709677424</v>
      </c>
      <c r="AI31" s="83">
        <f t="shared" si="7"/>
        <v>5986.9698759677422</v>
      </c>
      <c r="AJ31" s="75">
        <v>2442224</v>
      </c>
      <c r="AK31" s="75">
        <f t="shared" si="25"/>
        <v>4399</v>
      </c>
      <c r="AL31" s="335">
        <f t="shared" si="2"/>
        <v>15.470643056849951</v>
      </c>
      <c r="AM31" s="338">
        <v>0.96140000000000003</v>
      </c>
      <c r="AN31" s="339">
        <v>294</v>
      </c>
      <c r="AO31" s="184">
        <f t="shared" si="8"/>
        <v>249.0026</v>
      </c>
    </row>
    <row r="32" spans="1:41" s="3" customFormat="1" ht="27.95" customHeight="1" x14ac:dyDescent="0.25">
      <c r="A32" s="113">
        <v>45685</v>
      </c>
      <c r="B32" s="86">
        <v>9795378</v>
      </c>
      <c r="C32" s="73">
        <f t="shared" si="9"/>
        <v>2089</v>
      </c>
      <c r="D32" s="73">
        <v>23768447</v>
      </c>
      <c r="E32" s="73">
        <f t="shared" si="3"/>
        <v>6570</v>
      </c>
      <c r="F32" s="74">
        <f t="shared" si="10"/>
        <v>6200.7659999999996</v>
      </c>
      <c r="G32" s="73">
        <v>15437182</v>
      </c>
      <c r="H32" s="73">
        <f t="shared" si="11"/>
        <v>3637</v>
      </c>
      <c r="I32" s="74">
        <f t="shared" si="12"/>
        <v>2377.1432</v>
      </c>
      <c r="J32" s="73">
        <v>3716771</v>
      </c>
      <c r="K32" s="73">
        <f t="shared" si="13"/>
        <v>1212</v>
      </c>
      <c r="L32" s="73">
        <v>1460</v>
      </c>
      <c r="M32" s="73">
        <f t="shared" si="14"/>
        <v>0</v>
      </c>
      <c r="N32" s="73">
        <f t="shared" si="15"/>
        <v>0</v>
      </c>
      <c r="O32" s="73">
        <v>879</v>
      </c>
      <c r="P32" s="73">
        <f t="shared" si="16"/>
        <v>0</v>
      </c>
      <c r="Q32" s="73">
        <f t="shared" si="17"/>
        <v>0</v>
      </c>
      <c r="R32" s="76">
        <f t="shared" si="18"/>
        <v>11878.9092</v>
      </c>
      <c r="S32" s="134">
        <f t="shared" si="0"/>
        <v>2375.7818400000001</v>
      </c>
      <c r="T32" s="86">
        <v>81651</v>
      </c>
      <c r="U32" s="73">
        <f t="shared" si="4"/>
        <v>51</v>
      </c>
      <c r="V32" s="73">
        <v>36935</v>
      </c>
      <c r="W32" s="73">
        <f t="shared" si="5"/>
        <v>9</v>
      </c>
      <c r="X32" s="82">
        <f t="shared" si="19"/>
        <v>42</v>
      </c>
      <c r="Y32" s="130">
        <f t="shared" si="20"/>
        <v>329.28</v>
      </c>
      <c r="Z32" s="86">
        <v>2</v>
      </c>
      <c r="AA32" s="73">
        <f t="shared" ref="AA32:AA35" si="38">Z32*50*1.96</f>
        <v>196</v>
      </c>
      <c r="AB32" s="171">
        <f t="shared" si="22"/>
        <v>245.99960000000002</v>
      </c>
      <c r="AC32" s="127">
        <v>5</v>
      </c>
      <c r="AD32" s="86">
        <v>82374</v>
      </c>
      <c r="AE32" s="73">
        <f t="shared" si="6"/>
        <v>10</v>
      </c>
      <c r="AF32" s="78">
        <f t="shared" si="1"/>
        <v>2843.4500000000003</v>
      </c>
      <c r="AG32" s="116">
        <f t="shared" si="23"/>
        <v>980.70590500000003</v>
      </c>
      <c r="AH32" s="116">
        <f t="shared" si="24"/>
        <v>5006.2639709677424</v>
      </c>
      <c r="AI32" s="83">
        <f t="shared" si="7"/>
        <v>5986.9698759677422</v>
      </c>
      <c r="AJ32" s="75">
        <v>2446550</v>
      </c>
      <c r="AK32" s="75">
        <f t="shared" si="25"/>
        <v>4326</v>
      </c>
      <c r="AL32" s="335">
        <f t="shared" si="2"/>
        <v>15.213912676502135</v>
      </c>
      <c r="AM32" s="338">
        <v>0.96530000000000005</v>
      </c>
      <c r="AN32" s="339">
        <v>298</v>
      </c>
      <c r="AO32" s="185">
        <f t="shared" si="8"/>
        <v>250.01270000000002</v>
      </c>
    </row>
    <row r="33" spans="1:140" s="3" customFormat="1" ht="27.95" customHeight="1" x14ac:dyDescent="0.25">
      <c r="A33" s="113">
        <v>45686</v>
      </c>
      <c r="B33" s="86">
        <v>9797542</v>
      </c>
      <c r="C33" s="73">
        <f t="shared" si="9"/>
        <v>2164</v>
      </c>
      <c r="D33" s="73">
        <v>23775263</v>
      </c>
      <c r="E33" s="73">
        <f t="shared" si="3"/>
        <v>6816</v>
      </c>
      <c r="F33" s="74">
        <f t="shared" si="10"/>
        <v>6432.9407999999994</v>
      </c>
      <c r="G33" s="73">
        <v>15441131</v>
      </c>
      <c r="H33" s="73">
        <f t="shared" si="11"/>
        <v>3949</v>
      </c>
      <c r="I33" s="74">
        <f t="shared" si="12"/>
        <v>2581.0663999999997</v>
      </c>
      <c r="J33" s="73">
        <v>3718016</v>
      </c>
      <c r="K33" s="73">
        <f t="shared" si="13"/>
        <v>1245</v>
      </c>
      <c r="L33" s="73">
        <v>1460</v>
      </c>
      <c r="M33" s="73">
        <f t="shared" si="14"/>
        <v>0</v>
      </c>
      <c r="N33" s="73">
        <f t="shared" si="15"/>
        <v>0</v>
      </c>
      <c r="O33" s="73">
        <v>880</v>
      </c>
      <c r="P33" s="73">
        <f t="shared" si="16"/>
        <v>1</v>
      </c>
      <c r="Q33" s="73">
        <f t="shared" si="17"/>
        <v>0.5</v>
      </c>
      <c r="R33" s="76">
        <f t="shared" si="18"/>
        <v>12423.5072</v>
      </c>
      <c r="S33" s="134">
        <f t="shared" si="0"/>
        <v>2484.7014400000003</v>
      </c>
      <c r="T33" s="86">
        <v>81752</v>
      </c>
      <c r="U33" s="73">
        <f t="shared" si="4"/>
        <v>101</v>
      </c>
      <c r="V33" s="73">
        <v>36942</v>
      </c>
      <c r="W33" s="73">
        <f t="shared" si="5"/>
        <v>7</v>
      </c>
      <c r="X33" s="82">
        <f t="shared" si="19"/>
        <v>94</v>
      </c>
      <c r="Y33" s="130">
        <f t="shared" si="20"/>
        <v>736.96</v>
      </c>
      <c r="Z33" s="86">
        <v>1</v>
      </c>
      <c r="AA33" s="73">
        <f t="shared" si="38"/>
        <v>98</v>
      </c>
      <c r="AB33" s="171">
        <f t="shared" si="22"/>
        <v>122.99980000000001</v>
      </c>
      <c r="AC33" s="127">
        <v>0</v>
      </c>
      <c r="AD33" s="86">
        <v>82383</v>
      </c>
      <c r="AE33" s="73">
        <f t="shared" si="6"/>
        <v>9</v>
      </c>
      <c r="AF33" s="78">
        <f t="shared" si="1"/>
        <v>2559.1050000000005</v>
      </c>
      <c r="AG33" s="116">
        <f t="shared" si="23"/>
        <v>882.63531450000016</v>
      </c>
      <c r="AH33" s="116">
        <f t="shared" si="24"/>
        <v>5006.2639709677424</v>
      </c>
      <c r="AI33" s="83">
        <f t="shared" si="7"/>
        <v>5888.8992854677426</v>
      </c>
      <c r="AJ33" s="75">
        <v>2450759</v>
      </c>
      <c r="AK33" s="75">
        <f t="shared" si="25"/>
        <v>4209</v>
      </c>
      <c r="AL33" s="335">
        <f t="shared" si="2"/>
        <v>14.802440697040565</v>
      </c>
      <c r="AM33" s="338">
        <v>0.93440000000000001</v>
      </c>
      <c r="AN33" s="339">
        <v>284</v>
      </c>
      <c r="AO33" s="184">
        <f t="shared" si="8"/>
        <v>242.00960000000001</v>
      </c>
    </row>
    <row r="34" spans="1:140" s="3" customFormat="1" ht="27.95" customHeight="1" x14ac:dyDescent="0.25">
      <c r="A34" s="113">
        <v>45687</v>
      </c>
      <c r="B34" s="86">
        <v>9799645</v>
      </c>
      <c r="C34" s="73">
        <f t="shared" si="9"/>
        <v>2103</v>
      </c>
      <c r="D34" s="73">
        <v>23782284</v>
      </c>
      <c r="E34" s="73">
        <f t="shared" si="3"/>
        <v>7021</v>
      </c>
      <c r="F34" s="74">
        <f t="shared" si="10"/>
        <v>6626.4197999999997</v>
      </c>
      <c r="G34" s="73">
        <v>15445117</v>
      </c>
      <c r="H34" s="73">
        <f t="shared" si="11"/>
        <v>3986</v>
      </c>
      <c r="I34" s="74">
        <f t="shared" si="12"/>
        <v>2605.2495999999996</v>
      </c>
      <c r="J34" s="73">
        <v>3719234</v>
      </c>
      <c r="K34" s="73">
        <f t="shared" si="13"/>
        <v>1218</v>
      </c>
      <c r="L34" s="73">
        <v>1460</v>
      </c>
      <c r="M34" s="73">
        <f t="shared" si="14"/>
        <v>0</v>
      </c>
      <c r="N34" s="73">
        <f t="shared" si="15"/>
        <v>0</v>
      </c>
      <c r="O34" s="73">
        <v>880</v>
      </c>
      <c r="P34" s="73">
        <f t="shared" si="16"/>
        <v>0</v>
      </c>
      <c r="Q34" s="73">
        <f t="shared" si="17"/>
        <v>0</v>
      </c>
      <c r="R34" s="76">
        <f t="shared" si="18"/>
        <v>12552.669399999999</v>
      </c>
      <c r="S34" s="134">
        <f t="shared" si="0"/>
        <v>2510.53388</v>
      </c>
      <c r="T34" s="86">
        <v>81880</v>
      </c>
      <c r="U34" s="73">
        <f t="shared" si="4"/>
        <v>128</v>
      </c>
      <c r="V34" s="73">
        <v>36949</v>
      </c>
      <c r="W34" s="73">
        <f t="shared" si="5"/>
        <v>7</v>
      </c>
      <c r="X34" s="82">
        <f t="shared" si="19"/>
        <v>121</v>
      </c>
      <c r="Y34" s="130">
        <f t="shared" si="20"/>
        <v>948.64</v>
      </c>
      <c r="Z34" s="86">
        <v>1</v>
      </c>
      <c r="AA34" s="73">
        <f t="shared" si="38"/>
        <v>98</v>
      </c>
      <c r="AB34" s="171">
        <f t="shared" si="22"/>
        <v>122.99980000000001</v>
      </c>
      <c r="AC34" s="127">
        <v>0</v>
      </c>
      <c r="AD34" s="86">
        <v>82392</v>
      </c>
      <c r="AE34" s="73">
        <f t="shared" si="6"/>
        <v>9</v>
      </c>
      <c r="AF34" s="78">
        <f t="shared" si="1"/>
        <v>2559.1050000000005</v>
      </c>
      <c r="AG34" s="116">
        <f t="shared" si="23"/>
        <v>882.63531450000016</v>
      </c>
      <c r="AH34" s="116">
        <f t="shared" si="24"/>
        <v>5006.2639709677424</v>
      </c>
      <c r="AI34" s="83">
        <f t="shared" si="7"/>
        <v>5888.8992854677426</v>
      </c>
      <c r="AJ34" s="75">
        <v>2454778</v>
      </c>
      <c r="AK34" s="75">
        <f t="shared" si="25"/>
        <v>4019</v>
      </c>
      <c r="AL34" s="335">
        <f t="shared" si="2"/>
        <v>14.13423833723118</v>
      </c>
      <c r="AM34" s="338">
        <v>0.98070000000000002</v>
      </c>
      <c r="AN34" s="339">
        <v>308</v>
      </c>
      <c r="AO34" s="185">
        <f t="shared" si="8"/>
        <v>254.00130000000001</v>
      </c>
    </row>
    <row r="35" spans="1:140" s="3" customFormat="1" ht="27.95" customHeight="1" thickBot="1" x14ac:dyDescent="0.3">
      <c r="A35" s="113">
        <v>45688</v>
      </c>
      <c r="B35" s="86">
        <v>9801748</v>
      </c>
      <c r="C35" s="73">
        <f>IF(ISBLANK(B35),"0",B35-B34)</f>
        <v>2103</v>
      </c>
      <c r="D35" s="73">
        <v>23789512</v>
      </c>
      <c r="E35" s="73">
        <f>IF(ISBLANK(D35),"0",D35-D34)</f>
        <v>7228</v>
      </c>
      <c r="F35" s="74">
        <f t="shared" si="10"/>
        <v>6821.7864</v>
      </c>
      <c r="G35" s="73">
        <v>15449107</v>
      </c>
      <c r="H35" s="73">
        <f>IF(ISBLANK(G35),"0",G35-G34)</f>
        <v>3990</v>
      </c>
      <c r="I35" s="74">
        <f t="shared" si="12"/>
        <v>2607.864</v>
      </c>
      <c r="J35" s="73">
        <v>3720506</v>
      </c>
      <c r="K35" s="73">
        <f>IF(ISBLANK(J35),"0",J35-J34)</f>
        <v>1272</v>
      </c>
      <c r="L35" s="73">
        <v>1460</v>
      </c>
      <c r="M35" s="73">
        <f>IF(ISBLANK(L35),"0",L35-L34)</f>
        <v>0</v>
      </c>
      <c r="N35" s="73">
        <f t="shared" si="15"/>
        <v>0</v>
      </c>
      <c r="O35" s="73">
        <v>881</v>
      </c>
      <c r="P35" s="73">
        <f>IF(ISBLANK(O35),"0",O35-O34)</f>
        <v>1</v>
      </c>
      <c r="Q35" s="73">
        <f t="shared" si="17"/>
        <v>0.5</v>
      </c>
      <c r="R35" s="76">
        <f t="shared" si="18"/>
        <v>12805.1504</v>
      </c>
      <c r="S35" s="134">
        <f t="shared" si="0"/>
        <v>2561.0300800000005</v>
      </c>
      <c r="T35" s="86">
        <v>81970</v>
      </c>
      <c r="U35" s="73">
        <f>IF(ISBLANK(T35),"0",T35-T34)</f>
        <v>90</v>
      </c>
      <c r="V35" s="73">
        <v>36961</v>
      </c>
      <c r="W35" s="73">
        <f>IF(ISBLANK(V35),"0",V35-V34)</f>
        <v>12</v>
      </c>
      <c r="X35" s="82">
        <f t="shared" si="19"/>
        <v>78</v>
      </c>
      <c r="Y35" s="130">
        <f t="shared" si="20"/>
        <v>611.52</v>
      </c>
      <c r="Z35" s="86">
        <v>2</v>
      </c>
      <c r="AA35" s="73">
        <f t="shared" si="38"/>
        <v>196</v>
      </c>
      <c r="AB35" s="171">
        <f t="shared" si="22"/>
        <v>245.99960000000002</v>
      </c>
      <c r="AC35" s="127">
        <v>6</v>
      </c>
      <c r="AD35" s="342">
        <v>82400</v>
      </c>
      <c r="AE35" s="343">
        <f>IF(ISBLANK(AD35),"0",AD35-AD34)</f>
        <v>8</v>
      </c>
      <c r="AF35" s="344">
        <f t="shared" si="1"/>
        <v>2274.7600000000002</v>
      </c>
      <c r="AG35" s="345">
        <f t="shared" si="23"/>
        <v>784.56472400000007</v>
      </c>
      <c r="AH35" s="116">
        <f t="shared" si="24"/>
        <v>5006.2639709677424</v>
      </c>
      <c r="AI35" s="346">
        <f t="shared" si="7"/>
        <v>5790.8286949677422</v>
      </c>
      <c r="AJ35" s="347">
        <v>2458323</v>
      </c>
      <c r="AK35" s="347">
        <f>IF(ISBLANK(AJ35),"0",AJ35-AJ34)</f>
        <v>3545</v>
      </c>
      <c r="AL35" s="348">
        <f t="shared" si="2"/>
        <v>12.467249292233026</v>
      </c>
      <c r="AM35" s="338">
        <v>1</v>
      </c>
      <c r="AN35" s="339">
        <v>320</v>
      </c>
      <c r="AO35" s="184">
        <f t="shared" si="8"/>
        <v>259</v>
      </c>
    </row>
    <row r="36" spans="1:140" s="6" customFormat="1" ht="39.950000000000003" customHeight="1" thickBot="1" x14ac:dyDescent="0.3">
      <c r="A36" s="140"/>
      <c r="B36" s="88"/>
      <c r="C36" s="84">
        <f>SUM(C5:C35)</f>
        <v>66101</v>
      </c>
      <c r="D36" s="84"/>
      <c r="E36" s="84"/>
      <c r="F36" s="84">
        <f>SUM(F5:F35)</f>
        <v>198494.35320000001</v>
      </c>
      <c r="G36" s="135"/>
      <c r="H36" s="135"/>
      <c r="I36" s="84">
        <f>SUM(I5:I35)</f>
        <v>81834.641599999974</v>
      </c>
      <c r="J36" s="135"/>
      <c r="K36" s="84">
        <f>SUM(K5:K35)</f>
        <v>38792</v>
      </c>
      <c r="L36" s="84"/>
      <c r="M36" s="84"/>
      <c r="N36" s="84">
        <f>SUM(N5:N35)</f>
        <v>37.5</v>
      </c>
      <c r="O36" s="84"/>
      <c r="P36" s="84"/>
      <c r="Q36" s="84">
        <f>SUM(Q5:Q35)</f>
        <v>23</v>
      </c>
      <c r="R36" s="136">
        <f>SUM(R5:R35)</f>
        <v>385282.49479999987</v>
      </c>
      <c r="S36" s="89">
        <f>R36*0.2</f>
        <v>77056.498959999983</v>
      </c>
      <c r="T36" s="137"/>
      <c r="U36" s="84">
        <f>SUM(U5:U35)</f>
        <v>2565</v>
      </c>
      <c r="V36" s="138"/>
      <c r="W36" s="84">
        <f t="shared" ref="W36:AC36" si="39">SUM(W5:W35)</f>
        <v>234</v>
      </c>
      <c r="X36" s="135">
        <f t="shared" si="39"/>
        <v>2331</v>
      </c>
      <c r="Y36" s="89">
        <f t="shared" si="39"/>
        <v>18275.04</v>
      </c>
      <c r="Z36" s="88">
        <f t="shared" si="39"/>
        <v>37</v>
      </c>
      <c r="AA36" s="84">
        <f t="shared" si="39"/>
        <v>3626</v>
      </c>
      <c r="AB36" s="156">
        <f t="shared" si="39"/>
        <v>4550.9926000000005</v>
      </c>
      <c r="AC36" s="89">
        <f t="shared" si="39"/>
        <v>48</v>
      </c>
      <c r="AD36" s="88"/>
      <c r="AE36" s="84">
        <f>SUM(AE5:AE35)</f>
        <v>273</v>
      </c>
      <c r="AF36" s="84">
        <f>SUM(AF5:AF35)</f>
        <v>77626.185000000012</v>
      </c>
      <c r="AG36" s="84">
        <f>SUM(AG5:AG35)</f>
        <v>26773.271206499994</v>
      </c>
      <c r="AH36" s="139">
        <f>SUM(AH5:AH35)</f>
        <v>155194.18310000002</v>
      </c>
      <c r="AI36" s="84">
        <f>SUM(AI5:AI35)</f>
        <v>181967.45430650003</v>
      </c>
      <c r="AJ36" s="176"/>
      <c r="AK36" s="84">
        <f>SUM(AK5:AK35)</f>
        <v>120770</v>
      </c>
      <c r="AL36" s="84">
        <f>SUM(AL5:AL35)</f>
        <v>424.7305210219979</v>
      </c>
      <c r="AM36" s="349">
        <f>AVERAGE(AM5:AM35)</f>
        <v>0.89845483870967768</v>
      </c>
      <c r="AN36" s="350">
        <f>SUM(AN5:AN35)</f>
        <v>8842</v>
      </c>
      <c r="AO36" s="351">
        <f>SUM(AO5:AO35)</f>
        <v>7213.693900000002</v>
      </c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</row>
    <row r="37" spans="1:140" s="8" customFormat="1" ht="24.95" customHeight="1" thickBot="1" x14ac:dyDescent="0.3">
      <c r="A37" s="141"/>
      <c r="B37" s="157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9"/>
      <c r="T37" s="160"/>
      <c r="U37" s="161"/>
      <c r="V37" s="161"/>
      <c r="W37" s="161"/>
      <c r="X37" s="161"/>
      <c r="Y37" s="162"/>
      <c r="Z37" s="163"/>
      <c r="AA37" s="163"/>
      <c r="AB37" s="163"/>
      <c r="AC37" s="121"/>
      <c r="AD37" s="307" t="s">
        <v>33</v>
      </c>
      <c r="AE37" s="308"/>
      <c r="AF37" s="308"/>
      <c r="AG37" s="308"/>
      <c r="AH37" s="308"/>
      <c r="AI37" s="309"/>
      <c r="AJ37" s="299"/>
      <c r="AK37" s="300"/>
      <c r="AL37" s="300"/>
      <c r="AM37" s="301"/>
      <c r="AN37" s="302"/>
    </row>
    <row r="38" spans="1:140" s="9" customFormat="1" ht="39.950000000000003" customHeight="1" thickBot="1" x14ac:dyDescent="0.3">
      <c r="A38" s="142"/>
      <c r="B38" s="262" t="s">
        <v>3</v>
      </c>
      <c r="C38" s="263"/>
      <c r="D38" s="263"/>
      <c r="E38" s="263"/>
      <c r="F38" s="263"/>
      <c r="G38" s="247" t="s">
        <v>13</v>
      </c>
      <c r="H38" s="247"/>
      <c r="I38" s="247"/>
      <c r="J38" s="247"/>
      <c r="K38" s="247" t="s">
        <v>14</v>
      </c>
      <c r="L38" s="247"/>
      <c r="M38" s="247"/>
      <c r="N38" s="247"/>
      <c r="O38" s="247"/>
      <c r="P38" s="247"/>
      <c r="Q38" s="247"/>
      <c r="R38" s="247"/>
      <c r="S38" s="248"/>
      <c r="T38" s="281" t="s">
        <v>4</v>
      </c>
      <c r="U38" s="282"/>
      <c r="V38" s="283" t="s">
        <v>13</v>
      </c>
      <c r="W38" s="283"/>
      <c r="X38" s="283" t="s">
        <v>15</v>
      </c>
      <c r="Y38" s="284"/>
      <c r="Z38" s="93" t="s">
        <v>24</v>
      </c>
      <c r="AA38" s="94" t="s">
        <v>13</v>
      </c>
      <c r="AB38" s="95" t="s">
        <v>25</v>
      </c>
      <c r="AC38" s="122"/>
      <c r="AD38" s="271" t="s">
        <v>2</v>
      </c>
      <c r="AE38" s="272"/>
      <c r="AF38" s="275" t="s">
        <v>13</v>
      </c>
      <c r="AG38" s="275"/>
      <c r="AH38" s="275" t="s">
        <v>17</v>
      </c>
      <c r="AI38" s="314"/>
      <c r="AQ38" s="153"/>
    </row>
    <row r="39" spans="1:140" s="10" customFormat="1" ht="39.950000000000003" customHeight="1" x14ac:dyDescent="0.25">
      <c r="A39" s="102"/>
      <c r="B39" s="258" t="s">
        <v>96</v>
      </c>
      <c r="C39" s="259"/>
      <c r="D39" s="259"/>
      <c r="E39" s="259"/>
      <c r="F39" s="259"/>
      <c r="G39" s="260">
        <f>S36</f>
        <v>77056.498959999983</v>
      </c>
      <c r="H39" s="260"/>
      <c r="I39" s="260"/>
      <c r="J39" s="260"/>
      <c r="K39" s="266">
        <f t="shared" ref="K39:K44" si="40">G39/0.2</f>
        <v>385282.49479999987</v>
      </c>
      <c r="L39" s="266"/>
      <c r="M39" s="266"/>
      <c r="N39" s="266"/>
      <c r="O39" s="266"/>
      <c r="P39" s="266"/>
      <c r="Q39" s="266"/>
      <c r="R39" s="266"/>
      <c r="S39" s="267"/>
      <c r="T39" s="269" t="str">
        <f>B39</f>
        <v>Actual January 2025</v>
      </c>
      <c r="U39" s="270"/>
      <c r="V39" s="260">
        <f>Y36</f>
        <v>18275.04</v>
      </c>
      <c r="W39" s="260"/>
      <c r="X39" s="266">
        <f>X36</f>
        <v>2331</v>
      </c>
      <c r="Y39" s="267"/>
      <c r="Z39" s="96" t="str">
        <f>T39</f>
        <v>Actual January 2025</v>
      </c>
      <c r="AA39" s="119">
        <f>AB36</f>
        <v>4550.9926000000005</v>
      </c>
      <c r="AB39" s="172">
        <f>AA39/1.2551</f>
        <v>3626</v>
      </c>
      <c r="AC39" s="123"/>
      <c r="AD39" s="258" t="str">
        <f>T39</f>
        <v>Actual January 2025</v>
      </c>
      <c r="AE39" s="259"/>
      <c r="AF39" s="260">
        <f>AI36</f>
        <v>181967.45430650003</v>
      </c>
      <c r="AG39" s="260"/>
      <c r="AH39" s="273">
        <f>AF36</f>
        <v>77626.185000000012</v>
      </c>
      <c r="AI39" s="274" t="e">
        <f>(AD39-#REF!)/0.3428</f>
        <v>#VALUE!</v>
      </c>
      <c r="AM39" s="112"/>
      <c r="AP39" s="10">
        <v>149225.57999999999</v>
      </c>
      <c r="AQ39" s="122"/>
    </row>
    <row r="40" spans="1:140" s="10" customFormat="1" ht="40.5" customHeight="1" x14ac:dyDescent="0.25">
      <c r="A40" s="102"/>
      <c r="B40" s="210" t="s">
        <v>97</v>
      </c>
      <c r="C40" s="211"/>
      <c r="D40" s="211"/>
      <c r="E40" s="211"/>
      <c r="F40" s="211"/>
      <c r="G40" s="261">
        <v>77595.368556596106</v>
      </c>
      <c r="H40" s="261"/>
      <c r="I40" s="261"/>
      <c r="J40" s="261"/>
      <c r="K40" s="213">
        <f t="shared" si="40"/>
        <v>387976.84278298053</v>
      </c>
      <c r="L40" s="213"/>
      <c r="M40" s="213"/>
      <c r="N40" s="213"/>
      <c r="O40" s="213"/>
      <c r="P40" s="213"/>
      <c r="Q40" s="213"/>
      <c r="R40" s="213"/>
      <c r="S40" s="214"/>
      <c r="T40" s="215" t="str">
        <f>B40</f>
        <v>Budget January 2025</v>
      </c>
      <c r="U40" s="216"/>
      <c r="V40" s="213">
        <v>14242.696732627701</v>
      </c>
      <c r="W40" s="213"/>
      <c r="X40" s="213">
        <f>V40/7.84</f>
        <v>1816.6705016106762</v>
      </c>
      <c r="Y40" s="214"/>
      <c r="Z40" s="90" t="str">
        <f>T40</f>
        <v>Budget January 2025</v>
      </c>
      <c r="AA40" s="91">
        <v>4317.6850627165304</v>
      </c>
      <c r="AB40" s="118">
        <f t="shared" ref="AB40:AB42" si="41">AA40/1.2551</f>
        <v>3440.1123916154329</v>
      </c>
      <c r="AC40" s="123"/>
      <c r="AD40" s="210" t="str">
        <f>T40</f>
        <v>Budget January 2025</v>
      </c>
      <c r="AE40" s="211"/>
      <c r="AF40" s="213">
        <v>192800.98136000001</v>
      </c>
      <c r="AG40" s="213"/>
      <c r="AH40" s="305">
        <f>AP40/0.3449</f>
        <v>109036.81722238325</v>
      </c>
      <c r="AI40" s="306" t="e">
        <f t="shared" ref="AI40" si="42">(AD40-AF36)/0.3428</f>
        <v>#VALUE!</v>
      </c>
      <c r="AM40" s="112"/>
      <c r="AP40" s="112">
        <f>AF40-AH36</f>
        <v>37606.798259999981</v>
      </c>
      <c r="AQ40" s="115" t="s">
        <v>75</v>
      </c>
    </row>
    <row r="41" spans="1:140" s="10" customFormat="1" ht="40.5" customHeight="1" x14ac:dyDescent="0.25">
      <c r="A41" s="102"/>
      <c r="B41" s="210" t="s">
        <v>72</v>
      </c>
      <c r="C41" s="211"/>
      <c r="D41" s="211"/>
      <c r="E41" s="211"/>
      <c r="F41" s="211"/>
      <c r="G41" s="217">
        <f>G39</f>
        <v>77056.498959999983</v>
      </c>
      <c r="H41" s="217"/>
      <c r="I41" s="217"/>
      <c r="J41" s="217"/>
      <c r="K41" s="261">
        <f t="shared" si="40"/>
        <v>385282.49479999987</v>
      </c>
      <c r="L41" s="261"/>
      <c r="M41" s="261"/>
      <c r="N41" s="261"/>
      <c r="O41" s="261"/>
      <c r="P41" s="261"/>
      <c r="Q41" s="261"/>
      <c r="R41" s="261"/>
      <c r="S41" s="268"/>
      <c r="T41" s="215" t="str">
        <f t="shared" ref="T41:T44" si="43">B41</f>
        <v>Actual YTD 2025</v>
      </c>
      <c r="U41" s="216"/>
      <c r="V41" s="217">
        <f>V39</f>
        <v>18275.04</v>
      </c>
      <c r="W41" s="217"/>
      <c r="X41" s="261">
        <f>V41/7.84</f>
        <v>2331</v>
      </c>
      <c r="Y41" s="268"/>
      <c r="Z41" s="90" t="str">
        <f t="shared" ref="Z41:Z44" si="44">T41</f>
        <v>Actual YTD 2025</v>
      </c>
      <c r="AA41" s="117">
        <f>AA39</f>
        <v>4550.9926000000005</v>
      </c>
      <c r="AB41" s="118">
        <f t="shared" si="41"/>
        <v>3626</v>
      </c>
      <c r="AC41" s="123"/>
      <c r="AD41" s="210" t="str">
        <f t="shared" ref="AD41:AD44" si="45">T41</f>
        <v>Actual YTD 2025</v>
      </c>
      <c r="AE41" s="211"/>
      <c r="AF41" s="217">
        <f>AF39</f>
        <v>181967.45430650003</v>
      </c>
      <c r="AG41" s="217"/>
      <c r="AH41" s="315">
        <f>AP41/0.3449</f>
        <v>77626.193988112616</v>
      </c>
      <c r="AI41" s="316"/>
      <c r="AM41" s="114"/>
      <c r="AP41" s="112">
        <f>AF41-AP46</f>
        <v>26773.27430650004</v>
      </c>
      <c r="AQ41" s="115" t="s">
        <v>76</v>
      </c>
    </row>
    <row r="42" spans="1:140" s="10" customFormat="1" ht="40.5" customHeight="1" x14ac:dyDescent="0.25">
      <c r="A42" s="107"/>
      <c r="B42" s="210" t="s">
        <v>73</v>
      </c>
      <c r="C42" s="211"/>
      <c r="D42" s="211"/>
      <c r="E42" s="211"/>
      <c r="F42" s="211"/>
      <c r="G42" s="213">
        <v>77595.368556596106</v>
      </c>
      <c r="H42" s="213"/>
      <c r="I42" s="213"/>
      <c r="J42" s="213"/>
      <c r="K42" s="213">
        <f t="shared" si="40"/>
        <v>387976.84278298053</v>
      </c>
      <c r="L42" s="213"/>
      <c r="M42" s="213"/>
      <c r="N42" s="213"/>
      <c r="O42" s="213"/>
      <c r="P42" s="213"/>
      <c r="Q42" s="213"/>
      <c r="R42" s="213"/>
      <c r="S42" s="214"/>
      <c r="T42" s="215" t="str">
        <f t="shared" si="43"/>
        <v>Budget YTD 2025</v>
      </c>
      <c r="U42" s="216"/>
      <c r="V42" s="213">
        <v>14242.696732627701</v>
      </c>
      <c r="W42" s="213"/>
      <c r="X42" s="213">
        <f>V42/7.84</f>
        <v>1816.6705016106762</v>
      </c>
      <c r="Y42" s="214"/>
      <c r="Z42" s="90" t="str">
        <f t="shared" si="44"/>
        <v>Budget YTD 2025</v>
      </c>
      <c r="AA42" s="91">
        <v>4317.6850627165304</v>
      </c>
      <c r="AB42" s="173">
        <f t="shared" si="41"/>
        <v>3440.1123916154329</v>
      </c>
      <c r="AC42" s="123"/>
      <c r="AD42" s="210" t="str">
        <f t="shared" si="45"/>
        <v>Budget YTD 2025</v>
      </c>
      <c r="AE42" s="211"/>
      <c r="AF42" s="213">
        <v>192800.98136000001</v>
      </c>
      <c r="AG42" s="213"/>
      <c r="AH42" s="305">
        <f>AP42/0.3449</f>
        <v>109036.82621049584</v>
      </c>
      <c r="AI42" s="306" t="e">
        <f t="shared" ref="AI42:AI44" si="46">(AD42-AF38)/0.3428</f>
        <v>#VALUE!</v>
      </c>
      <c r="AM42" s="114"/>
      <c r="AP42" s="112">
        <f>AF42-AP46</f>
        <v>37606.801360000012</v>
      </c>
      <c r="AQ42" s="115" t="s">
        <v>77</v>
      </c>
    </row>
    <row r="43" spans="1:140" s="10" customFormat="1" ht="40.5" customHeight="1" x14ac:dyDescent="0.25">
      <c r="A43" s="8"/>
      <c r="B43" s="210" t="s">
        <v>98</v>
      </c>
      <c r="C43" s="211"/>
      <c r="D43" s="211"/>
      <c r="E43" s="211"/>
      <c r="F43" s="211"/>
      <c r="G43" s="212">
        <v>75167.11</v>
      </c>
      <c r="H43" s="212"/>
      <c r="I43" s="212"/>
      <c r="J43" s="212"/>
      <c r="K43" s="213">
        <f t="shared" si="40"/>
        <v>375835.55</v>
      </c>
      <c r="L43" s="213"/>
      <c r="M43" s="213"/>
      <c r="N43" s="213"/>
      <c r="O43" s="213"/>
      <c r="P43" s="213"/>
      <c r="Q43" s="213"/>
      <c r="R43" s="213"/>
      <c r="S43" s="214"/>
      <c r="T43" s="215" t="str">
        <f t="shared" si="43"/>
        <v>Actual January 2024</v>
      </c>
      <c r="U43" s="216"/>
      <c r="V43" s="212">
        <v>12277.44</v>
      </c>
      <c r="W43" s="212"/>
      <c r="X43" s="213">
        <f t="shared" ref="X43:X44" si="47">V43/7.84</f>
        <v>1566</v>
      </c>
      <c r="Y43" s="214"/>
      <c r="Z43" s="90" t="str">
        <f t="shared" si="44"/>
        <v>Actual January 2024</v>
      </c>
      <c r="AA43" s="151">
        <v>3696.02</v>
      </c>
      <c r="AB43" s="118">
        <f t="shared" ref="AB43:AB44" si="48">AA43/0.8571</f>
        <v>4312.2389452805974</v>
      </c>
      <c r="AC43" s="123"/>
      <c r="AD43" s="210" t="str">
        <f t="shared" si="45"/>
        <v>Actual January 2024</v>
      </c>
      <c r="AE43" s="211"/>
      <c r="AF43" s="212">
        <v>180863.96</v>
      </c>
      <c r="AG43" s="212"/>
      <c r="AH43" s="305">
        <f>AP43/0.3442</f>
        <v>108594.85764090647</v>
      </c>
      <c r="AI43" s="306" t="e">
        <f t="shared" si="46"/>
        <v>#VALUE!</v>
      </c>
      <c r="AM43" s="114"/>
      <c r="AP43" s="112">
        <f>AF43-AP48</f>
        <v>37378.350000000006</v>
      </c>
      <c r="AQ43" s="115" t="s">
        <v>78</v>
      </c>
    </row>
    <row r="44" spans="1:140" s="10" customFormat="1" ht="40.5" customHeight="1" thickBot="1" x14ac:dyDescent="0.3">
      <c r="A44" s="8"/>
      <c r="B44" s="232" t="s">
        <v>65</v>
      </c>
      <c r="C44" s="233"/>
      <c r="D44" s="233"/>
      <c r="E44" s="233"/>
      <c r="F44" s="233"/>
      <c r="G44" s="234">
        <v>75167.11</v>
      </c>
      <c r="H44" s="234"/>
      <c r="I44" s="234"/>
      <c r="J44" s="234"/>
      <c r="K44" s="235">
        <f t="shared" si="40"/>
        <v>375835.55</v>
      </c>
      <c r="L44" s="235"/>
      <c r="M44" s="235"/>
      <c r="N44" s="235"/>
      <c r="O44" s="235"/>
      <c r="P44" s="235"/>
      <c r="Q44" s="235"/>
      <c r="R44" s="235"/>
      <c r="S44" s="236"/>
      <c r="T44" s="237" t="str">
        <f t="shared" si="43"/>
        <v>Actual YTD 2024</v>
      </c>
      <c r="U44" s="238"/>
      <c r="V44" s="234">
        <v>12277.44</v>
      </c>
      <c r="W44" s="234"/>
      <c r="X44" s="235">
        <f t="shared" si="47"/>
        <v>1566</v>
      </c>
      <c r="Y44" s="236"/>
      <c r="Z44" s="92" t="str">
        <f t="shared" si="44"/>
        <v>Actual YTD 2024</v>
      </c>
      <c r="AA44" s="152">
        <v>3696.02</v>
      </c>
      <c r="AB44" s="120">
        <f t="shared" si="48"/>
        <v>4312.2389452805974</v>
      </c>
      <c r="AC44" s="123"/>
      <c r="AD44" s="232" t="str">
        <f t="shared" si="45"/>
        <v>Actual YTD 2024</v>
      </c>
      <c r="AE44" s="233"/>
      <c r="AF44" s="234">
        <v>180863.96</v>
      </c>
      <c r="AG44" s="234"/>
      <c r="AH44" s="317">
        <f>AP44/0.3442</f>
        <v>91918.593840790243</v>
      </c>
      <c r="AI44" s="318" t="e">
        <f t="shared" si="46"/>
        <v>#VALUE!</v>
      </c>
      <c r="AM44" s="114"/>
      <c r="AP44" s="112">
        <f>AF44-AP47</f>
        <v>31638.380000000005</v>
      </c>
      <c r="AQ44" s="115" t="s">
        <v>66</v>
      </c>
    </row>
    <row r="45" spans="1:140" ht="24" customHeight="1" x14ac:dyDescent="0.25">
      <c r="G45" s="250">
        <v>45658</v>
      </c>
      <c r="H45" s="250"/>
      <c r="I45" s="12">
        <v>45688</v>
      </c>
      <c r="J45" s="25">
        <v>31</v>
      </c>
      <c r="V45" s="217"/>
      <c r="W45" s="217"/>
      <c r="Z45" s="109"/>
      <c r="AA45" s="117"/>
      <c r="AE45" s="108"/>
      <c r="AF45" s="217"/>
      <c r="AG45" s="217"/>
    </row>
    <row r="46" spans="1:140" ht="36" customHeight="1" x14ac:dyDescent="0.25">
      <c r="A46" s="218" t="s">
        <v>38</v>
      </c>
      <c r="B46" s="218"/>
      <c r="D46" s="221" t="s">
        <v>34</v>
      </c>
      <c r="E46" s="221"/>
      <c r="F46" s="221"/>
      <c r="G46" s="221"/>
      <c r="H46" s="14"/>
      <c r="I46" s="249" t="s">
        <v>35</v>
      </c>
      <c r="J46" s="249"/>
      <c r="K46" s="249"/>
      <c r="L46" s="249"/>
      <c r="M46" s="15"/>
      <c r="N46" s="221" t="s">
        <v>36</v>
      </c>
      <c r="O46" s="221"/>
      <c r="P46" s="221"/>
      <c r="Q46" s="221"/>
      <c r="R46" s="221"/>
      <c r="S46" s="221"/>
      <c r="U46" s="221" t="s">
        <v>37</v>
      </c>
      <c r="V46" s="221"/>
      <c r="W46" s="221"/>
      <c r="X46" s="17"/>
      <c r="Y46" s="221" t="s">
        <v>39</v>
      </c>
      <c r="Z46" s="221"/>
      <c r="AA46" s="221"/>
      <c r="AD46" s="221" t="s">
        <v>40</v>
      </c>
      <c r="AE46" s="221"/>
      <c r="AF46" s="221"/>
      <c r="AG46" s="29" t="s">
        <v>44</v>
      </c>
      <c r="AH46" s="29" t="s">
        <v>45</v>
      </c>
      <c r="AI46" s="18"/>
      <c r="AP46" s="9">
        <f>155194.18</f>
        <v>155194.18</v>
      </c>
      <c r="AQ46" s="9" t="s">
        <v>74</v>
      </c>
      <c r="AR46" s="9"/>
      <c r="AS46" s="9"/>
    </row>
    <row r="47" spans="1:140" ht="30" customHeight="1" x14ac:dyDescent="0.25">
      <c r="A47" s="47" t="s">
        <v>3</v>
      </c>
      <c r="B47" s="48">
        <f>G40</f>
        <v>77595.368556596106</v>
      </c>
      <c r="D47" s="230" t="s">
        <v>3</v>
      </c>
      <c r="E47" s="231"/>
      <c r="F47" s="231"/>
      <c r="G47" s="44">
        <f>B47/31</f>
        <v>2503.0764050514872</v>
      </c>
      <c r="H47" s="13"/>
      <c r="I47" s="230" t="s">
        <v>3</v>
      </c>
      <c r="J47" s="231"/>
      <c r="K47" s="231"/>
      <c r="L47" s="44">
        <f>S36/J45</f>
        <v>2485.6935148387092</v>
      </c>
      <c r="M47" s="13"/>
      <c r="N47" s="230" t="s">
        <v>3</v>
      </c>
      <c r="O47" s="231"/>
      <c r="P47" s="231"/>
      <c r="Q47" s="231"/>
      <c r="R47" s="231"/>
      <c r="S47" s="183">
        <f>G47*J45</f>
        <v>77595.368556596106</v>
      </c>
      <c r="U47" s="230" t="s">
        <v>3</v>
      </c>
      <c r="V47" s="231"/>
      <c r="W47" s="104">
        <f>S36</f>
        <v>77056.498959999983</v>
      </c>
      <c r="X47" s="27">
        <f>S47-W47</f>
        <v>538.8695965961233</v>
      </c>
      <c r="Y47" s="230" t="s">
        <v>3</v>
      </c>
      <c r="Z47" s="231"/>
      <c r="AA47" s="41">
        <f>S47+G42</f>
        <v>155190.73711319221</v>
      </c>
      <c r="AD47" s="230" t="s">
        <v>3</v>
      </c>
      <c r="AE47" s="231"/>
      <c r="AF47" s="30">
        <f>W47+G41</f>
        <v>154112.99791999997</v>
      </c>
      <c r="AG47" s="31">
        <f>AA47-AF47</f>
        <v>1077.7391931922466</v>
      </c>
      <c r="AH47" s="32">
        <f>AF47-AA47</f>
        <v>-1077.7391931922466</v>
      </c>
      <c r="AI47" s="19"/>
      <c r="AJ47" s="10"/>
      <c r="AK47" s="10"/>
      <c r="AL47" s="10"/>
      <c r="AP47" s="9">
        <f>149225.58</f>
        <v>149225.57999999999</v>
      </c>
      <c r="AQ47" s="10" t="s">
        <v>67</v>
      </c>
      <c r="AR47" s="9"/>
      <c r="AS47" s="9"/>
    </row>
    <row r="48" spans="1:140" ht="30" customHeight="1" x14ac:dyDescent="0.25">
      <c r="A48" s="49" t="s">
        <v>4</v>
      </c>
      <c r="B48" s="50">
        <f>V40</f>
        <v>14242.696732627701</v>
      </c>
      <c r="D48" s="219" t="s">
        <v>4</v>
      </c>
      <c r="E48" s="220"/>
      <c r="F48" s="220"/>
      <c r="G48" s="45">
        <f>B48/31</f>
        <v>459.44183008476455</v>
      </c>
      <c r="H48" s="13"/>
      <c r="I48" s="219" t="s">
        <v>4</v>
      </c>
      <c r="J48" s="220"/>
      <c r="K48" s="220"/>
      <c r="L48" s="45">
        <f>Y36/J45</f>
        <v>589.51741935483869</v>
      </c>
      <c r="M48" s="13"/>
      <c r="N48" s="219" t="s">
        <v>4</v>
      </c>
      <c r="O48" s="220"/>
      <c r="P48" s="220"/>
      <c r="Q48" s="220"/>
      <c r="R48" s="220"/>
      <c r="S48" s="100">
        <f>G48*J45</f>
        <v>14242.696732627701</v>
      </c>
      <c r="U48" s="219" t="s">
        <v>4</v>
      </c>
      <c r="V48" s="220"/>
      <c r="W48" s="105">
        <f>Y36</f>
        <v>18275.04</v>
      </c>
      <c r="X48" s="27">
        <f>S48-W48</f>
        <v>-4032.3432673723</v>
      </c>
      <c r="Y48" s="219" t="s">
        <v>4</v>
      </c>
      <c r="Z48" s="220"/>
      <c r="AA48" s="40">
        <f>S48+V42</f>
        <v>28485.393465255402</v>
      </c>
      <c r="AD48" s="219" t="s">
        <v>4</v>
      </c>
      <c r="AE48" s="220"/>
      <c r="AF48" s="33">
        <f>W48+V41</f>
        <v>36550.080000000002</v>
      </c>
      <c r="AG48" s="34">
        <f>AA48-AF48</f>
        <v>-8064.6865347446001</v>
      </c>
      <c r="AH48" s="35">
        <f t="shared" ref="AH48:AH50" si="49">AF48-AA48</f>
        <v>8064.6865347446001</v>
      </c>
      <c r="AI48" s="19"/>
      <c r="AP48" s="9">
        <f>143485.61</f>
        <v>143485.60999999999</v>
      </c>
      <c r="AQ48" s="9"/>
      <c r="AR48" s="9"/>
      <c r="AS48" s="9"/>
    </row>
    <row r="49" spans="1:39" ht="30" customHeight="1" x14ac:dyDescent="0.25">
      <c r="A49" s="49" t="s">
        <v>24</v>
      </c>
      <c r="B49" s="50">
        <f>AA40</f>
        <v>4317.6850627165304</v>
      </c>
      <c r="D49" s="219" t="s">
        <v>24</v>
      </c>
      <c r="E49" s="220"/>
      <c r="F49" s="220"/>
      <c r="G49" s="45">
        <f>B49/31</f>
        <v>139.28016331343647</v>
      </c>
      <c r="H49" s="13"/>
      <c r="I49" s="219" t="s">
        <v>24</v>
      </c>
      <c r="J49" s="220"/>
      <c r="K49" s="220"/>
      <c r="L49" s="45">
        <f>AB36/J45</f>
        <v>146.80621290322583</v>
      </c>
      <c r="M49" s="13"/>
      <c r="N49" s="219" t="s">
        <v>24</v>
      </c>
      <c r="O49" s="220"/>
      <c r="P49" s="220"/>
      <c r="Q49" s="220"/>
      <c r="R49" s="220"/>
      <c r="S49" s="100">
        <f>G49*J45</f>
        <v>4317.6850627165304</v>
      </c>
      <c r="U49" s="219" t="s">
        <v>24</v>
      </c>
      <c r="V49" s="220"/>
      <c r="W49" s="105">
        <f>AB36</f>
        <v>4550.9926000000005</v>
      </c>
      <c r="X49" s="27">
        <f>S49-W49</f>
        <v>-233.30753728347008</v>
      </c>
      <c r="Y49" s="219" t="s">
        <v>24</v>
      </c>
      <c r="Z49" s="220"/>
      <c r="AA49" s="40">
        <f>S49+AA42</f>
        <v>8635.3701254330608</v>
      </c>
      <c r="AD49" s="219" t="s">
        <v>24</v>
      </c>
      <c r="AE49" s="220"/>
      <c r="AF49" s="33">
        <f>W49+AA41</f>
        <v>9101.985200000001</v>
      </c>
      <c r="AG49" s="34">
        <f t="shared" ref="AG49" si="50">AA49-AF49</f>
        <v>-466.61507456694017</v>
      </c>
      <c r="AH49" s="35">
        <f t="shared" si="49"/>
        <v>466.61507456694017</v>
      </c>
      <c r="AI49" s="19"/>
    </row>
    <row r="50" spans="1:39" ht="30" customHeight="1" x14ac:dyDescent="0.25">
      <c r="A50" s="51" t="s">
        <v>16</v>
      </c>
      <c r="B50" s="164">
        <f>AF40</f>
        <v>192800.98136000001</v>
      </c>
      <c r="C50" s="43"/>
      <c r="D50" s="208" t="s">
        <v>16</v>
      </c>
      <c r="E50" s="209"/>
      <c r="F50" s="209"/>
      <c r="G50" s="46">
        <f>B50/31</f>
        <v>6219.3864954838709</v>
      </c>
      <c r="I50" s="208" t="s">
        <v>16</v>
      </c>
      <c r="J50" s="209"/>
      <c r="K50" s="209"/>
      <c r="L50" s="46">
        <f>AI36/J45</f>
        <v>5869.9178808548395</v>
      </c>
      <c r="N50" s="208" t="s">
        <v>16</v>
      </c>
      <c r="O50" s="209"/>
      <c r="P50" s="209"/>
      <c r="Q50" s="209"/>
      <c r="R50" s="209"/>
      <c r="S50" s="101">
        <f>G50*J45</f>
        <v>192800.98136000001</v>
      </c>
      <c r="U50" s="208" t="s">
        <v>16</v>
      </c>
      <c r="V50" s="209"/>
      <c r="W50" s="106">
        <f>AI36</f>
        <v>181967.45430650003</v>
      </c>
      <c r="X50" s="27">
        <f>S50-W50</f>
        <v>10833.527053499973</v>
      </c>
      <c r="Y50" s="219" t="s">
        <v>16</v>
      </c>
      <c r="Z50" s="220"/>
      <c r="AA50" s="40">
        <f>S50+AF42</f>
        <v>385601.96272000001</v>
      </c>
      <c r="AD50" s="219" t="s">
        <v>16</v>
      </c>
      <c r="AE50" s="220"/>
      <c r="AF50" s="33">
        <f>W50+AF41</f>
        <v>363934.90861300007</v>
      </c>
      <c r="AG50" s="34">
        <f>AA50-AF50</f>
        <v>21667.054106999945</v>
      </c>
      <c r="AH50" s="35">
        <f t="shared" si="49"/>
        <v>-21667.054106999945</v>
      </c>
      <c r="AI50" s="19"/>
    </row>
    <row r="51" spans="1:39" ht="15.75" x14ac:dyDescent="0.25">
      <c r="F51" s="241"/>
      <c r="G51" s="241"/>
      <c r="H51" s="241"/>
      <c r="I51" s="241"/>
      <c r="J51" s="241"/>
      <c r="K51" s="241"/>
      <c r="S51" s="20">
        <f>SUM(S47:S50)</f>
        <v>288956.73171194032</v>
      </c>
      <c r="T51" s="20"/>
      <c r="U51" s="20"/>
      <c r="V51" s="20"/>
      <c r="W51" s="20">
        <f t="shared" ref="W51" si="51">SUM(W47:W50)</f>
        <v>281849.98586650001</v>
      </c>
      <c r="X51" s="27">
        <f t="shared" ref="X51" si="52">S51-W51</f>
        <v>7106.7458454403095</v>
      </c>
      <c r="Y51" s="208" t="s">
        <v>42</v>
      </c>
      <c r="Z51" s="209" t="s">
        <v>41</v>
      </c>
      <c r="AA51" s="42">
        <f>SUM(AA47:AA50)</f>
        <v>577913.46342388063</v>
      </c>
      <c r="AB51" s="2"/>
      <c r="AC51" s="2"/>
      <c r="AD51" s="36"/>
      <c r="AE51" s="37"/>
      <c r="AF51" s="38">
        <f>SUM(AF47:AF50)</f>
        <v>563699.97173300001</v>
      </c>
      <c r="AG51" s="111">
        <f>AA51-AF51</f>
        <v>14213.491690880619</v>
      </c>
      <c r="AH51" s="39"/>
      <c r="AI51" s="19"/>
    </row>
    <row r="52" spans="1:39" ht="18.75" x14ac:dyDescent="0.25">
      <c r="F52" s="28"/>
      <c r="G52" s="28"/>
      <c r="H52" s="28"/>
      <c r="I52" s="28"/>
      <c r="J52" s="28"/>
      <c r="K52" s="28"/>
      <c r="S52" s="20"/>
      <c r="T52" s="20"/>
      <c r="U52" s="20"/>
      <c r="V52" s="20"/>
      <c r="W52" s="20"/>
      <c r="X52" s="27"/>
      <c r="Y52" s="52"/>
      <c r="Z52" s="52"/>
      <c r="AA52" s="53"/>
      <c r="AB52" s="2"/>
      <c r="AC52" s="2"/>
      <c r="AD52" s="54"/>
      <c r="AE52" s="2"/>
      <c r="AF52" s="103"/>
      <c r="AG52" s="55"/>
      <c r="AH52" s="56"/>
      <c r="AI52" s="19"/>
    </row>
    <row r="53" spans="1:39" ht="36" customHeight="1" x14ac:dyDescent="0.25">
      <c r="A53" s="222" t="s">
        <v>55</v>
      </c>
      <c r="B53" s="223"/>
      <c r="D53" s="224" t="s">
        <v>56</v>
      </c>
      <c r="E53" s="225"/>
      <c r="F53" s="225"/>
      <c r="G53" s="226"/>
      <c r="H53" s="57"/>
      <c r="I53" s="227" t="s">
        <v>57</v>
      </c>
      <c r="J53" s="228"/>
      <c r="K53" s="228"/>
      <c r="L53" s="229"/>
      <c r="M53" s="58"/>
      <c r="N53" s="224" t="s">
        <v>37</v>
      </c>
      <c r="O53" s="225"/>
      <c r="P53" s="225"/>
      <c r="Q53" s="225"/>
      <c r="R53" s="225"/>
      <c r="S53" s="226"/>
      <c r="U53" s="201" t="s">
        <v>58</v>
      </c>
      <c r="V53" s="202"/>
      <c r="W53" s="203"/>
      <c r="X53" s="97"/>
      <c r="Y53" s="201" t="s">
        <v>59</v>
      </c>
      <c r="Z53" s="202"/>
      <c r="AA53" s="203"/>
      <c r="AD53" s="177" t="s">
        <v>62</v>
      </c>
      <c r="AE53" s="177" t="s">
        <v>63</v>
      </c>
      <c r="AG53" s="177" t="s">
        <v>60</v>
      </c>
      <c r="AH53" s="177" t="s">
        <v>61</v>
      </c>
      <c r="AK53" s="180"/>
      <c r="AL53" s="180"/>
      <c r="AM53" s="180"/>
    </row>
    <row r="54" spans="1:39" s="59" customFormat="1" ht="30" customHeight="1" x14ac:dyDescent="0.2">
      <c r="A54" s="147" t="s">
        <v>3</v>
      </c>
      <c r="B54" s="148">
        <f>G43</f>
        <v>75167.11</v>
      </c>
      <c r="D54" s="204" t="s">
        <v>3</v>
      </c>
      <c r="E54" s="205"/>
      <c r="F54" s="205"/>
      <c r="G54" s="144">
        <f>B54/31</f>
        <v>2424.7454838709677</v>
      </c>
      <c r="H54" s="60"/>
      <c r="I54" s="204" t="s">
        <v>3</v>
      </c>
      <c r="J54" s="205"/>
      <c r="K54" s="205"/>
      <c r="L54" s="145">
        <f>G54*J45</f>
        <v>75167.11</v>
      </c>
      <c r="M54" s="60"/>
      <c r="N54" s="204" t="s">
        <v>3</v>
      </c>
      <c r="O54" s="205"/>
      <c r="P54" s="205"/>
      <c r="Q54" s="205"/>
      <c r="R54" s="239">
        <f>S36</f>
        <v>77056.498959999983</v>
      </c>
      <c r="S54" s="240"/>
      <c r="T54" s="61"/>
      <c r="U54" s="204" t="s">
        <v>3</v>
      </c>
      <c r="V54" s="205"/>
      <c r="W54" s="168">
        <f>L54-R54</f>
        <v>-1889.388959999982</v>
      </c>
      <c r="X54" s="98"/>
      <c r="Y54" s="204" t="s">
        <v>3</v>
      </c>
      <c r="Z54" s="205"/>
      <c r="AA54" s="167">
        <f>G44-G41</f>
        <v>-1889.388959999982</v>
      </c>
      <c r="AD54" s="178">
        <f>L47*31</f>
        <v>77056.498959999983</v>
      </c>
      <c r="AE54" s="178">
        <f>AD54+301630.76</f>
        <v>378687.25896000001</v>
      </c>
      <c r="AF54" s="99"/>
      <c r="AG54" s="178">
        <f>G43-AD54</f>
        <v>-1889.388959999982</v>
      </c>
      <c r="AH54" s="178">
        <f>G44-AE54</f>
        <v>-303520.14896000002</v>
      </c>
      <c r="AK54" s="181"/>
      <c r="AL54" s="181"/>
      <c r="AM54" s="181"/>
    </row>
    <row r="55" spans="1:39" s="59" customFormat="1" ht="30" customHeight="1" x14ac:dyDescent="0.2">
      <c r="A55" s="147" t="s">
        <v>4</v>
      </c>
      <c r="B55" s="148">
        <f>V43</f>
        <v>12277.44</v>
      </c>
      <c r="D55" s="204" t="s">
        <v>4</v>
      </c>
      <c r="E55" s="205"/>
      <c r="F55" s="205"/>
      <c r="G55" s="144">
        <f>B55/31</f>
        <v>396.04645161290324</v>
      </c>
      <c r="H55" s="60"/>
      <c r="I55" s="204" t="s">
        <v>4</v>
      </c>
      <c r="J55" s="205"/>
      <c r="K55" s="205"/>
      <c r="L55" s="145">
        <f>G55*J45</f>
        <v>12277.44</v>
      </c>
      <c r="M55" s="60"/>
      <c r="N55" s="204" t="s">
        <v>4</v>
      </c>
      <c r="O55" s="205"/>
      <c r="P55" s="205"/>
      <c r="Q55" s="205"/>
      <c r="R55" s="242">
        <f>Y36</f>
        <v>18275.04</v>
      </c>
      <c r="S55" s="243"/>
      <c r="T55" s="61"/>
      <c r="U55" s="204" t="s">
        <v>4</v>
      </c>
      <c r="V55" s="205"/>
      <c r="W55" s="168">
        <f>L55-R55</f>
        <v>-5997.6</v>
      </c>
      <c r="X55" s="98"/>
      <c r="Y55" s="204" t="s">
        <v>4</v>
      </c>
      <c r="Z55" s="205"/>
      <c r="AA55" s="167">
        <f>V44-V41</f>
        <v>-5997.6</v>
      </c>
      <c r="AD55" s="178">
        <f>L48*31</f>
        <v>18275.04</v>
      </c>
      <c r="AE55" s="178">
        <f>AD55+60399.36</f>
        <v>78674.399999999994</v>
      </c>
      <c r="AF55" s="99"/>
      <c r="AG55" s="178">
        <f>V43-AD55</f>
        <v>-5997.6</v>
      </c>
      <c r="AH55" s="178">
        <f>V44-AE55</f>
        <v>-66396.959999999992</v>
      </c>
      <c r="AK55" s="181"/>
      <c r="AL55" s="181"/>
      <c r="AM55" s="181"/>
    </row>
    <row r="56" spans="1:39" s="59" customFormat="1" ht="30" customHeight="1" x14ac:dyDescent="0.2">
      <c r="A56" s="147" t="s">
        <v>24</v>
      </c>
      <c r="B56" s="148">
        <f>AA43</f>
        <v>3696.02</v>
      </c>
      <c r="D56" s="204" t="s">
        <v>24</v>
      </c>
      <c r="E56" s="205"/>
      <c r="F56" s="205"/>
      <c r="G56" s="144">
        <f>B56/31</f>
        <v>119.22645161290322</v>
      </c>
      <c r="H56" s="60"/>
      <c r="I56" s="204" t="s">
        <v>24</v>
      </c>
      <c r="J56" s="205"/>
      <c r="K56" s="205"/>
      <c r="L56" s="145">
        <f>G56*J45</f>
        <v>3696.02</v>
      </c>
      <c r="M56" s="60"/>
      <c r="N56" s="204" t="s">
        <v>24</v>
      </c>
      <c r="O56" s="205"/>
      <c r="P56" s="205"/>
      <c r="Q56" s="205"/>
      <c r="R56" s="239">
        <f>AB36</f>
        <v>4550.9926000000005</v>
      </c>
      <c r="S56" s="240"/>
      <c r="T56" s="61"/>
      <c r="U56" s="204" t="s">
        <v>24</v>
      </c>
      <c r="V56" s="205"/>
      <c r="W56" s="168">
        <f>L56-R56</f>
        <v>-854.97260000000051</v>
      </c>
      <c r="X56" s="98"/>
      <c r="Y56" s="204" t="s">
        <v>24</v>
      </c>
      <c r="Z56" s="205"/>
      <c r="AA56" s="167">
        <f>AA44-AA41</f>
        <v>-854.97260000000051</v>
      </c>
      <c r="AD56" s="178">
        <f>L49*31</f>
        <v>4550.9926000000005</v>
      </c>
      <c r="AE56" s="178">
        <f>AD56+15239.92</f>
        <v>19790.9126</v>
      </c>
      <c r="AF56" s="99"/>
      <c r="AG56" s="178">
        <f>AA43-AD56</f>
        <v>-854.97260000000051</v>
      </c>
      <c r="AH56" s="178">
        <f>AA44-AE56</f>
        <v>-16094.892599999999</v>
      </c>
      <c r="AK56" s="181"/>
      <c r="AL56" s="181"/>
      <c r="AM56" s="181"/>
    </row>
    <row r="57" spans="1:39" s="59" customFormat="1" ht="30" customHeight="1" x14ac:dyDescent="0.2">
      <c r="A57" s="149" t="s">
        <v>16</v>
      </c>
      <c r="B57" s="150">
        <f>AF43</f>
        <v>180863.96</v>
      </c>
      <c r="C57" s="143"/>
      <c r="D57" s="206" t="s">
        <v>16</v>
      </c>
      <c r="E57" s="207"/>
      <c r="F57" s="207"/>
      <c r="G57" s="166">
        <f>B57/31</f>
        <v>5834.3212903225804</v>
      </c>
      <c r="H57" s="63"/>
      <c r="I57" s="206" t="s">
        <v>16</v>
      </c>
      <c r="J57" s="207"/>
      <c r="K57" s="207"/>
      <c r="L57" s="146">
        <f>G57*J45</f>
        <v>180863.96</v>
      </c>
      <c r="M57" s="63"/>
      <c r="N57" s="206" t="s">
        <v>16</v>
      </c>
      <c r="O57" s="207"/>
      <c r="P57" s="207"/>
      <c r="Q57" s="207"/>
      <c r="R57" s="244">
        <f>AI36</f>
        <v>181967.45430650003</v>
      </c>
      <c r="S57" s="245"/>
      <c r="T57" s="61"/>
      <c r="U57" s="206" t="s">
        <v>16</v>
      </c>
      <c r="V57" s="207"/>
      <c r="W57" s="169">
        <f>L57-R57</f>
        <v>-1103.4943065000407</v>
      </c>
      <c r="X57" s="98"/>
      <c r="Y57" s="206" t="s">
        <v>16</v>
      </c>
      <c r="Z57" s="207"/>
      <c r="AA57" s="150">
        <f>AF44-AF41</f>
        <v>-1103.4943065000407</v>
      </c>
      <c r="AD57" s="178">
        <f>L50*31</f>
        <v>181967.45430650003</v>
      </c>
      <c r="AE57" s="178">
        <f>AD57+720892.09</f>
        <v>902859.5443065</v>
      </c>
      <c r="AF57" s="99"/>
      <c r="AG57" s="178">
        <f>AF43-AD57</f>
        <v>-1103.4943065000407</v>
      </c>
      <c r="AH57" s="178">
        <f>AF44-AE57</f>
        <v>-721995.58430650004</v>
      </c>
      <c r="AK57" s="181"/>
      <c r="AL57" s="181"/>
      <c r="AM57" s="181"/>
    </row>
    <row r="58" spans="1:39" s="59" customFormat="1" ht="30" customHeight="1" x14ac:dyDescent="0.2">
      <c r="B58" s="64">
        <f>SUM(B54:B57)</f>
        <v>272004.53000000003</v>
      </c>
      <c r="F58" s="65"/>
      <c r="G58" s="65"/>
      <c r="H58" s="65"/>
      <c r="I58" s="65"/>
      <c r="J58" s="65"/>
      <c r="K58" s="65"/>
      <c r="L58" s="66">
        <f>SUM(L54:L57)</f>
        <v>272004.53000000003</v>
      </c>
      <c r="M58" s="63"/>
      <c r="N58" s="63"/>
      <c r="O58" s="63"/>
      <c r="P58" s="63"/>
      <c r="Q58" s="63"/>
      <c r="R58" s="246">
        <f>SUM(R54:S57)</f>
        <v>281849.98586650001</v>
      </c>
      <c r="S58" s="246"/>
      <c r="T58" s="67"/>
      <c r="U58" s="67"/>
      <c r="V58" s="67"/>
      <c r="W58" s="64">
        <f>SUM(W54:W57)</f>
        <v>-9845.4558665000241</v>
      </c>
      <c r="X58" s="64"/>
      <c r="Y58" s="62"/>
      <c r="AA58" s="69">
        <f>SUM(AA54:AA57)</f>
        <v>-9845.4558665000241</v>
      </c>
      <c r="AD58" s="179">
        <f>SUM(AD54:AD57)</f>
        <v>281849.98586650001</v>
      </c>
      <c r="AE58" s="179">
        <f>SUM(AE54:AE57)</f>
        <v>1380012.1158665</v>
      </c>
      <c r="AF58" s="99"/>
      <c r="AG58" s="179">
        <f>SUM(AG54:AG57)</f>
        <v>-9845.4558665000241</v>
      </c>
      <c r="AH58" s="179">
        <f>SUM(AH54:AH57)</f>
        <v>-1108007.5858665002</v>
      </c>
      <c r="AK58" s="182"/>
      <c r="AL58" s="182"/>
      <c r="AM58" s="182"/>
    </row>
    <row r="59" spans="1:39" s="59" customFormat="1" ht="12.75" x14ac:dyDescent="0.2">
      <c r="B59" s="64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1"/>
      <c r="U59" s="61"/>
      <c r="V59" s="61"/>
      <c r="W59" s="68">
        <f>1-(R58/L58)</f>
        <v>-3.6195926099098275E-2</v>
      </c>
      <c r="Y59" s="69"/>
    </row>
    <row r="60" spans="1:39" ht="15.75" x14ac:dyDescent="0.25">
      <c r="W60" s="21"/>
      <c r="X60" s="26"/>
      <c r="AF60" s="21"/>
      <c r="AG60" s="19"/>
      <c r="AI60" s="19"/>
    </row>
    <row r="61" spans="1:39" ht="18.75" x14ac:dyDescent="0.25">
      <c r="S61" s="20"/>
      <c r="T61" s="20"/>
      <c r="U61" s="20"/>
      <c r="V61" s="20"/>
      <c r="W61" s="20"/>
      <c r="X61" s="27"/>
      <c r="Y61" s="200"/>
      <c r="Z61" s="200"/>
      <c r="AA61" s="53"/>
      <c r="AB61" s="2"/>
      <c r="AC61" s="2"/>
      <c r="AD61" s="54"/>
      <c r="AE61" s="2"/>
      <c r="AF61" s="53"/>
      <c r="AG61" s="55"/>
      <c r="AH61" s="56"/>
      <c r="AI61" s="19"/>
    </row>
    <row r="63" spans="1:39" ht="15.75" x14ac:dyDescent="0.25">
      <c r="F63" s="241"/>
      <c r="G63" s="241"/>
      <c r="H63" s="241"/>
      <c r="I63" s="241"/>
      <c r="J63" s="241"/>
      <c r="K63" s="241"/>
      <c r="Y63"/>
      <c r="Z63"/>
      <c r="AA63"/>
    </row>
    <row r="64" spans="1:39" x14ac:dyDescent="0.25">
      <c r="Y64"/>
      <c r="Z64"/>
      <c r="AA64"/>
    </row>
    <row r="65" spans="25:27" x14ac:dyDescent="0.25">
      <c r="Y65"/>
      <c r="Z65"/>
      <c r="AA65"/>
    </row>
    <row r="66" spans="25:27" x14ac:dyDescent="0.25">
      <c r="Y66"/>
      <c r="Z66"/>
      <c r="AA66"/>
    </row>
    <row r="67" spans="25:27" x14ac:dyDescent="0.25">
      <c r="Y67"/>
      <c r="Z67"/>
      <c r="AA67"/>
    </row>
    <row r="68" spans="25:27" x14ac:dyDescent="0.25">
      <c r="Y68"/>
      <c r="Z68"/>
      <c r="AA68"/>
    </row>
    <row r="69" spans="25:27" x14ac:dyDescent="0.25">
      <c r="Y69"/>
      <c r="Z69"/>
      <c r="AA69"/>
    </row>
    <row r="70" spans="25:27" x14ac:dyDescent="0.25">
      <c r="Y70"/>
      <c r="Z70"/>
      <c r="AA70"/>
    </row>
    <row r="71" spans="25:27" x14ac:dyDescent="0.25">
      <c r="Y71"/>
      <c r="Z71"/>
      <c r="AA71"/>
    </row>
    <row r="72" spans="25:27" x14ac:dyDescent="0.25">
      <c r="Y72"/>
      <c r="Z72"/>
      <c r="AA72"/>
    </row>
    <row r="73" spans="25:27" x14ac:dyDescent="0.25">
      <c r="Y73"/>
      <c r="Z73"/>
      <c r="AA73"/>
    </row>
    <row r="74" spans="25:27" x14ac:dyDescent="0.25">
      <c r="Y74"/>
      <c r="Z74"/>
      <c r="AA74"/>
    </row>
    <row r="75" spans="25:27" x14ac:dyDescent="0.25">
      <c r="Y75"/>
      <c r="Z75"/>
      <c r="AA75"/>
    </row>
  </sheetData>
  <sheetProtection selectLockedCells="1"/>
  <mergeCells count="169">
    <mergeCell ref="R58:S58"/>
    <mergeCell ref="Y61:Z61"/>
    <mergeCell ref="F63:K63"/>
    <mergeCell ref="AO3:AO4"/>
    <mergeCell ref="D57:F57"/>
    <mergeCell ref="I57:K57"/>
    <mergeCell ref="N57:Q57"/>
    <mergeCell ref="R57:S57"/>
    <mergeCell ref="U57:V57"/>
    <mergeCell ref="Y57:Z57"/>
    <mergeCell ref="D56:F56"/>
    <mergeCell ref="I56:K56"/>
    <mergeCell ref="N56:Q56"/>
    <mergeCell ref="R56:S56"/>
    <mergeCell ref="U56:V56"/>
    <mergeCell ref="Y56:Z56"/>
    <mergeCell ref="D55:F55"/>
    <mergeCell ref="I55:K55"/>
    <mergeCell ref="N55:Q55"/>
    <mergeCell ref="R55:S55"/>
    <mergeCell ref="U55:V55"/>
    <mergeCell ref="Y55:Z55"/>
    <mergeCell ref="D54:F54"/>
    <mergeCell ref="I54:K54"/>
    <mergeCell ref="N54:Q54"/>
    <mergeCell ref="R54:S54"/>
    <mergeCell ref="U54:V54"/>
    <mergeCell ref="Y54:Z54"/>
    <mergeCell ref="F51:K51"/>
    <mergeCell ref="Y51:Z51"/>
    <mergeCell ref="A53:B53"/>
    <mergeCell ref="D53:G53"/>
    <mergeCell ref="I53:L53"/>
    <mergeCell ref="N53:S53"/>
    <mergeCell ref="U53:W53"/>
    <mergeCell ref="Y53:AA53"/>
    <mergeCell ref="D50:F50"/>
    <mergeCell ref="I50:K50"/>
    <mergeCell ref="N50:R50"/>
    <mergeCell ref="U50:V50"/>
    <mergeCell ref="Y50:Z50"/>
    <mergeCell ref="AD50:AE50"/>
    <mergeCell ref="D49:F49"/>
    <mergeCell ref="I49:K49"/>
    <mergeCell ref="N49:R49"/>
    <mergeCell ref="U49:V49"/>
    <mergeCell ref="Y49:Z49"/>
    <mergeCell ref="AD49:AE49"/>
    <mergeCell ref="D48:F48"/>
    <mergeCell ref="I48:K48"/>
    <mergeCell ref="N48:R48"/>
    <mergeCell ref="U48:V48"/>
    <mergeCell ref="Y48:Z48"/>
    <mergeCell ref="AD48:AE48"/>
    <mergeCell ref="AD46:AF46"/>
    <mergeCell ref="D47:F47"/>
    <mergeCell ref="I47:K47"/>
    <mergeCell ref="N47:R47"/>
    <mergeCell ref="U47:V47"/>
    <mergeCell ref="Y47:Z47"/>
    <mergeCell ref="AD47:AE47"/>
    <mergeCell ref="A46:B46"/>
    <mergeCell ref="D46:G46"/>
    <mergeCell ref="I46:L46"/>
    <mergeCell ref="N46:S46"/>
    <mergeCell ref="U46:W46"/>
    <mergeCell ref="Y46:AA46"/>
    <mergeCell ref="AD44:AE44"/>
    <mergeCell ref="AF44:AG44"/>
    <mergeCell ref="AH44:AI44"/>
    <mergeCell ref="G45:H45"/>
    <mergeCell ref="V45:W45"/>
    <mergeCell ref="AF45:AG45"/>
    <mergeCell ref="B44:F44"/>
    <mergeCell ref="G44:J44"/>
    <mergeCell ref="K44:S44"/>
    <mergeCell ref="T44:U44"/>
    <mergeCell ref="V44:W44"/>
    <mergeCell ref="X44:Y44"/>
    <mergeCell ref="AH42:AI42"/>
    <mergeCell ref="B43:F43"/>
    <mergeCell ref="G43:J43"/>
    <mergeCell ref="K43:S43"/>
    <mergeCell ref="T43:U43"/>
    <mergeCell ref="V43:W43"/>
    <mergeCell ref="X43:Y43"/>
    <mergeCell ref="AD43:AE43"/>
    <mergeCell ref="AF43:AG43"/>
    <mergeCell ref="AH43:AI43"/>
    <mergeCell ref="AF41:AG41"/>
    <mergeCell ref="AH41:AI41"/>
    <mergeCell ref="B42:F42"/>
    <mergeCell ref="G42:J42"/>
    <mergeCell ref="K42:S42"/>
    <mergeCell ref="T42:U42"/>
    <mergeCell ref="V42:W42"/>
    <mergeCell ref="X42:Y42"/>
    <mergeCell ref="AD42:AE42"/>
    <mergeCell ref="AF42:AG42"/>
    <mergeCell ref="AD40:AE40"/>
    <mergeCell ref="AF40:AG40"/>
    <mergeCell ref="AH40:AI40"/>
    <mergeCell ref="B41:F41"/>
    <mergeCell ref="G41:J41"/>
    <mergeCell ref="K41:S41"/>
    <mergeCell ref="T41:U41"/>
    <mergeCell ref="V41:W41"/>
    <mergeCell ref="X41:Y41"/>
    <mergeCell ref="AD41:AE41"/>
    <mergeCell ref="B40:F40"/>
    <mergeCell ref="G40:J40"/>
    <mergeCell ref="K40:S40"/>
    <mergeCell ref="T40:U40"/>
    <mergeCell ref="V40:W40"/>
    <mergeCell ref="X40:Y40"/>
    <mergeCell ref="AH38:AI38"/>
    <mergeCell ref="B39:F39"/>
    <mergeCell ref="G39:J39"/>
    <mergeCell ref="K39:S39"/>
    <mergeCell ref="T39:U39"/>
    <mergeCell ref="V39:W39"/>
    <mergeCell ref="X39:Y39"/>
    <mergeCell ref="AD39:AE39"/>
    <mergeCell ref="AF39:AG39"/>
    <mergeCell ref="AH39:AI39"/>
    <mergeCell ref="AD37:AI37"/>
    <mergeCell ref="AJ37:AN37"/>
    <mergeCell ref="B38:F38"/>
    <mergeCell ref="G38:J38"/>
    <mergeCell ref="K38:S38"/>
    <mergeCell ref="T38:U38"/>
    <mergeCell ref="V38:W38"/>
    <mergeCell ref="X38:Y38"/>
    <mergeCell ref="AD38:AE38"/>
    <mergeCell ref="AF38:AG38"/>
    <mergeCell ref="AI3:AI4"/>
    <mergeCell ref="AJ3:AJ4"/>
    <mergeCell ref="AK3:AK4"/>
    <mergeCell ref="AL3:AL4"/>
    <mergeCell ref="AM3:AM4"/>
    <mergeCell ref="AN3:AN4"/>
    <mergeCell ref="AC3:AC4"/>
    <mergeCell ref="AD3:AD4"/>
    <mergeCell ref="AE3:AE4"/>
    <mergeCell ref="AF3:AF4"/>
    <mergeCell ref="AG3:AG4"/>
    <mergeCell ref="AH3:AH4"/>
    <mergeCell ref="U3:U4"/>
    <mergeCell ref="W3:W4"/>
    <mergeCell ref="X3:X4"/>
    <mergeCell ref="Y3:Y4"/>
    <mergeCell ref="Z3:AA3"/>
    <mergeCell ref="AB3:AB4"/>
    <mergeCell ref="J3:K3"/>
    <mergeCell ref="L3:N3"/>
    <mergeCell ref="O3:Q3"/>
    <mergeCell ref="R3:R4"/>
    <mergeCell ref="S3:S4"/>
    <mergeCell ref="T3:T4"/>
    <mergeCell ref="A1:AN1"/>
    <mergeCell ref="A2:A4"/>
    <mergeCell ref="B2:S2"/>
    <mergeCell ref="T2:Y2"/>
    <mergeCell ref="Z2:AC2"/>
    <mergeCell ref="AD2:AL2"/>
    <mergeCell ref="AM2:AN2"/>
    <mergeCell ref="B3:C3"/>
    <mergeCell ref="D3:F3"/>
    <mergeCell ref="G3:I3"/>
  </mergeCells>
  <conditionalFormatting sqref="L47">
    <cfRule type="cellIs" dxfId="54" priority="43" operator="lessThan">
      <formula>$G$47</formula>
    </cfRule>
    <cfRule type="cellIs" dxfId="55" priority="56" operator="greaterThan">
      <formula>$G$47</formula>
    </cfRule>
  </conditionalFormatting>
  <conditionalFormatting sqref="L48">
    <cfRule type="cellIs" dxfId="53" priority="42" operator="lessThan">
      <formula>$G$48</formula>
    </cfRule>
    <cfRule type="cellIs" dxfId="52" priority="55" operator="greaterThan">
      <formula>$G$48</formula>
    </cfRule>
  </conditionalFormatting>
  <conditionalFormatting sqref="L49">
    <cfRule type="cellIs" dxfId="50" priority="41" operator="lessThan">
      <formula>$G$49</formula>
    </cfRule>
    <cfRule type="cellIs" dxfId="51" priority="54" operator="greaterThan">
      <formula>$G$49</formula>
    </cfRule>
  </conditionalFormatting>
  <conditionalFormatting sqref="L50">
    <cfRule type="cellIs" dxfId="48" priority="40" operator="lessThan">
      <formula>$G$50</formula>
    </cfRule>
    <cfRule type="cellIs" dxfId="49" priority="53" operator="greaterThan">
      <formula>$G$50</formula>
    </cfRule>
  </conditionalFormatting>
  <conditionalFormatting sqref="L54">
    <cfRule type="cellIs" dxfId="45" priority="9" operator="lessThan">
      <formula>$R$54</formula>
    </cfRule>
    <cfRule type="cellIs" dxfId="44" priority="10" operator="greaterThan">
      <formula>$R$54</formula>
    </cfRule>
    <cfRule type="cellIs" dxfId="47" priority="20" operator="lessThan">
      <formula>$G$47</formula>
    </cfRule>
    <cfRule type="cellIs" dxfId="46" priority="24" operator="greaterThan">
      <formula>$G$47</formula>
    </cfRule>
  </conditionalFormatting>
  <conditionalFormatting sqref="L55">
    <cfRule type="cellIs" dxfId="42" priority="7" operator="lessThan">
      <formula>$R$55</formula>
    </cfRule>
    <cfRule type="cellIs" dxfId="40" priority="8" operator="greaterThan">
      <formula>$R$55</formula>
    </cfRule>
    <cfRule type="cellIs" dxfId="41" priority="19" operator="lessThan">
      <formula>$G$48</formula>
    </cfRule>
    <cfRule type="cellIs" dxfId="43" priority="23" operator="greaterThan">
      <formula>$G$48</formula>
    </cfRule>
  </conditionalFormatting>
  <conditionalFormatting sqref="L56">
    <cfRule type="cellIs" dxfId="39" priority="5" operator="lessThan">
      <formula>$R$56</formula>
    </cfRule>
    <cfRule type="cellIs" dxfId="38" priority="6" operator="greaterThan">
      <formula>$R$56</formula>
    </cfRule>
    <cfRule type="cellIs" dxfId="36" priority="18" operator="lessThan">
      <formula>$G$49</formula>
    </cfRule>
    <cfRule type="cellIs" dxfId="37" priority="22" operator="greaterThan">
      <formula>$G$49</formula>
    </cfRule>
  </conditionalFormatting>
  <conditionalFormatting sqref="L57">
    <cfRule type="cellIs" dxfId="35" priority="3" operator="lessThan">
      <formula>$R$57</formula>
    </cfRule>
    <cfRule type="cellIs" dxfId="34" priority="4" operator="greaterThan">
      <formula>$R$57</formula>
    </cfRule>
    <cfRule type="cellIs" dxfId="32" priority="17" operator="lessThan">
      <formula>$G$50</formula>
    </cfRule>
    <cfRule type="cellIs" dxfId="33" priority="21" operator="greaterThan">
      <formula>$G$50</formula>
    </cfRule>
  </conditionalFormatting>
  <conditionalFormatting sqref="W47">
    <cfRule type="cellIs" dxfId="31" priority="48" operator="lessThan">
      <formula>$S$47</formula>
    </cfRule>
    <cfRule type="cellIs" dxfId="30" priority="52" operator="greaterThan">
      <formula>$S$47</formula>
    </cfRule>
  </conditionalFormatting>
  <conditionalFormatting sqref="W48">
    <cfRule type="cellIs" dxfId="29" priority="46" operator="lessThan">
      <formula>$S$48</formula>
    </cfRule>
    <cfRule type="cellIs" dxfId="28" priority="47" operator="lessThan">
      <formula>$S$48</formula>
    </cfRule>
    <cfRule type="cellIs" dxfId="27" priority="51" operator="greaterThan">
      <formula>$S$48</formula>
    </cfRule>
  </conditionalFormatting>
  <conditionalFormatting sqref="W49">
    <cfRule type="cellIs" dxfId="26" priority="45" operator="lessThan">
      <formula>$S$49</formula>
    </cfRule>
    <cfRule type="cellIs" dxfId="25" priority="50" operator="greaterThan">
      <formula>$S$49</formula>
    </cfRule>
  </conditionalFormatting>
  <conditionalFormatting sqref="W50">
    <cfRule type="cellIs" dxfId="24" priority="44" operator="lessThan">
      <formula>$S$50</formula>
    </cfRule>
    <cfRule type="cellIs" dxfId="23" priority="49" operator="greaterThan">
      <formula>$S$50</formula>
    </cfRule>
  </conditionalFormatting>
  <conditionalFormatting sqref="W54:W57">
    <cfRule type="cellIs" dxfId="22" priority="25" operator="lessThan">
      <formula>#REF!</formula>
    </cfRule>
    <cfRule type="cellIs" dxfId="21" priority="27" operator="greaterThan">
      <formula>#REF!</formula>
    </cfRule>
  </conditionalFormatting>
  <conditionalFormatting sqref="W55 W57">
    <cfRule type="cellIs" dxfId="20" priority="26" operator="lessThan">
      <formula>#REF!</formula>
    </cfRule>
  </conditionalFormatting>
  <conditionalFormatting sqref="AA54:AA57">
    <cfRule type="cellIs" dxfId="18" priority="14" operator="lessThan">
      <formula>#REF!</formula>
    </cfRule>
    <cfRule type="cellIs" dxfId="19" priority="16" operator="greaterThan">
      <formula>#REF!</formula>
    </cfRule>
  </conditionalFormatting>
  <conditionalFormatting sqref="AA55 AA57">
    <cfRule type="cellIs" dxfId="17" priority="15" operator="lessThan">
      <formula>#REF!</formula>
    </cfRule>
  </conditionalFormatting>
  <conditionalFormatting sqref="AF47">
    <cfRule type="cellIs" dxfId="16" priority="35" operator="lessThan">
      <formula>$AA$47</formula>
    </cfRule>
    <cfRule type="cellIs" dxfId="15" priority="39" operator="greaterThan">
      <formula>$AA$47</formula>
    </cfRule>
  </conditionalFormatting>
  <conditionalFormatting sqref="AF48">
    <cfRule type="cellIs" dxfId="14" priority="34" operator="lessThan">
      <formula>$AA$48</formula>
    </cfRule>
    <cfRule type="cellIs" dxfId="13" priority="38" operator="greaterThan">
      <formula>$AA$48</formula>
    </cfRule>
  </conditionalFormatting>
  <conditionalFormatting sqref="AF49">
    <cfRule type="cellIs" dxfId="12" priority="28" operator="lessThan">
      <formula>$AA$49</formula>
    </cfRule>
    <cfRule type="cellIs" dxfId="8" priority="29" operator="greaterThan">
      <formula>$AA$49</formula>
    </cfRule>
    <cfRule type="cellIs" dxfId="11" priority="30" operator="lessThan">
      <formula>$AA$49</formula>
    </cfRule>
    <cfRule type="cellIs" dxfId="10" priority="31" operator="lessThan">
      <formula>$AA$49</formula>
    </cfRule>
    <cfRule type="cellIs" dxfId="9" priority="32" operator="greaterThan">
      <formula>$AA$49</formula>
    </cfRule>
    <cfRule type="cellIs" dxfId="7" priority="37" operator="greaterThan">
      <formula>$AA$49</formula>
    </cfRule>
  </conditionalFormatting>
  <conditionalFormatting sqref="AF50">
    <cfRule type="cellIs" dxfId="6" priority="33" operator="lessThan">
      <formula>$AA$50</formula>
    </cfRule>
    <cfRule type="cellIs" dxfId="5" priority="36" operator="greaterThan">
      <formula>$AA$50</formula>
    </cfRule>
  </conditionalFormatting>
  <conditionalFormatting sqref="AG51">
    <cfRule type="cellIs" dxfId="4" priority="1" operator="lessThan">
      <formula>#REF!</formula>
    </cfRule>
    <cfRule type="cellIs" dxfId="3" priority="2" operator="greaterThan">
      <formula>#REF!</formula>
    </cfRule>
  </conditionalFormatting>
  <conditionalFormatting sqref="AK54:AL57">
    <cfRule type="cellIs" dxfId="1" priority="11" operator="lessThan">
      <formula>#REF!</formula>
    </cfRule>
    <cfRule type="cellIs" dxfId="2" priority="13" operator="greaterThan">
      <formula>#REF!</formula>
    </cfRule>
  </conditionalFormatting>
  <conditionalFormatting sqref="AK55:AL55 AK57:AL57">
    <cfRule type="cellIs" dxfId="0" priority="12" operator="lessThan">
      <formula>#REF!</formula>
    </cfRule>
  </conditionalFormatting>
  <dataValidations count="3">
    <dataValidation type="textLength" errorStyle="information" allowBlank="1" showInputMessage="1" showErrorMessage="1" error="XLBVal:5=31291.78_x000d__x000a_" sqref="V40" xr:uid="{1211CD2E-9AC2-4BC2-B58C-3EDA4B8E2594}">
      <formula1>0</formula1>
      <formula2>300</formula2>
    </dataValidation>
    <dataValidation type="textLength" errorStyle="information" allowBlank="1" showInputMessage="1" showErrorMessage="1" error="XLBVal:5=320133_x000d__x000a_" sqref="G40" xr:uid="{3A0ABBB2-B93A-4FD2-B1AC-FCE510FDBA8D}">
      <formula1>0</formula1>
      <formula2>300</formula2>
    </dataValidation>
    <dataValidation type="textLength" errorStyle="information" allowBlank="1" showInputMessage="1" showErrorMessage="1" error="XLBVal:5=0_x000d__x000a_" sqref="AA40" xr:uid="{7F43951A-80B0-4403-BA3C-B33052A0D920}">
      <formula1>0</formula1>
      <formula2>300</formula2>
    </dataValidation>
  </dataValidations>
  <pageMargins left="0.39370078740157483" right="0.19685039370078741" top="0.31496062992125984" bottom="0.23622047244094491" header="0.31496062992125984" footer="0.31496062992125984"/>
  <pageSetup paperSize="9" scale="30" fitToHeight="0" orientation="landscape" r:id="rId1"/>
  <headerFooter>
    <oddHeader>&amp;C&amp;"-,Bold"UTILITY CONSUMPTION DAILY REPORT JANUARY 2015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Jan 2025</vt:lpstr>
      <vt:lpstr>'Jan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2025-04-01T06:15:36Z</dcterms:modified>
</cp:coreProperties>
</file>