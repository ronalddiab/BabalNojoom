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1/"/>
    </mc:Choice>
  </mc:AlternateContent>
  <xr:revisionPtr revIDLastSave="812" documentId="8_{8847650D-614C-4264-8C87-30D8B5EB4252}" xr6:coauthVersionLast="47" xr6:coauthVersionMax="47" xr10:uidLastSave="{7BACB315-226A-498D-9D66-C6083FF44D03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E12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E6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E8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H12" i="3" l="1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5" i="5"/>
  <c r="AG15" i="5"/>
  <c r="AF15" i="5"/>
  <c r="AD15" i="5"/>
  <c r="T15" i="5"/>
  <c r="P15" i="5"/>
  <c r="L15" i="5"/>
  <c r="J15" i="5"/>
  <c r="H15" i="5"/>
  <c r="G15" i="5"/>
  <c r="E14" i="5"/>
  <c r="AB15" i="5"/>
  <c r="AA15" i="5"/>
  <c r="Z15" i="5"/>
  <c r="N15" i="5"/>
  <c r="K15" i="5"/>
  <c r="X15" i="5"/>
  <c r="W15" i="5"/>
  <c r="R15" i="5"/>
  <c r="E10" i="5"/>
  <c r="I15" i="5"/>
  <c r="U15" i="5"/>
  <c r="E14" i="3"/>
  <c r="AE15" i="5"/>
  <c r="V15" i="5"/>
  <c r="S15" i="5"/>
  <c r="F15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Y15" i="5" l="1"/>
  <c r="O15" i="5"/>
  <c r="M15" i="5"/>
  <c r="Q15" i="5"/>
  <c r="AC15" i="5"/>
  <c r="E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E16" i="5" l="1"/>
  <c r="AF21" i="3"/>
  <c r="AG21" i="3"/>
  <c r="AH21" i="3"/>
  <c r="C35" i="6" l="1"/>
  <c r="AE21" i="3" l="1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M10" authorId="0" shapeId="0" xr:uid="{07C5C5F8-3C25-4C0D-80EE-0C0D89AB5E4D}">
      <text>
        <r>
          <rPr>
            <b/>
            <sz val="9"/>
            <color indexed="81"/>
            <rFont val="Tahoma"/>
            <family val="2"/>
          </rPr>
          <t>Saturday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" authorId="0" shapeId="0" xr:uid="{C81C35E1-8BF1-4276-B2CD-A28920E9EA0E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FRIDAY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<sst xmlns="http://schemas.openxmlformats.org/spreadsheetml/2006/main" count="122" uniqueCount="87">
  <si>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</si>
  <si>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</si>
  <si>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</si>
  <si>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</si>
  <si>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</si>
  <si>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</si>
  <si>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</si>
  <si>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</si>
  <si>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</si>
  <si>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</si>
  <si>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</si>
  <si>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</si>
  <si>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</si>
  <si>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SEPTEMBER 2021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</si>
  <si>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</si>
  <si>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</si>
  <si>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</si>
  <si>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</si>
  <si>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</si>
  <si>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</si>
  <si>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</si>
  <si>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</si>
  <si>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</si>
  <si>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</si>
  <si>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</si>
  <si>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</si>
  <si>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</si>
  <si>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</si>
  <si>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</si>
  <si>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</si>
  <si>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</si>
  <si>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</si>
  <si>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</si>
  <si>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</si>
  <si>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</si>
  <si>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</si>
  <si>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SEPTEMBER  2021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</si>
  <si>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</si>
  <si>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</si>
  <si>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</si>
  <si>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</si>
  <si>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</si>
  <si>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</si>
  <si>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</si>
  <si>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</si>
  <si>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</si>
  <si>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</si>
  <si>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</si>
  <si>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</si>
  <si>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</si>
  <si>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</si>
  <si>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</si>
  <si>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</si>
  <si>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</si>
  <si>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</si>
  <si>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</si>
  <si>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</si>
  <si>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</si>
  <si>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</si>
  <si>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</si>
  <si>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</si>
  <si>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</si>
  <si>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</si>
  <si>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</si>
  <si>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</si>
  <si>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</si>
  <si>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</si>
  <si>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</si>
  <si>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</si>
  <si>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</si>
  <si>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</si>
  <si>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</si>
  <si>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</si>
  <si>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</si>
  <si>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</si>
  <si>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</si>
  <si>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</si>
  <si>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</si>
  <si>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</si>
  <si>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</si>
  <si>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</si>
  <si>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</si>
  <si>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</si>
  <si>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</si>
  <si>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</si>
  <si>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Occupied Room &amp; Number of Guest
September 2021</t>
  </si>
  <si>
    <t>DAILY GAS METER READINGS &amp; CONSUMPTION (Liters)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</si>
</sst>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3" fontId="2" fillId="0" borderId="0" xfId="0" applyNumberFormat="1" applyFont="1"/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9</v>
      </c>
      <c r="D2" s="10">
        <v>2021</v>
      </c>
      <c r="E2" s="4" cm="1">
        <f t="array" ref="E2:E32">TRANSPOSE(Electricity!E21:AI21)</f>
        <v>40595</v>
      </c>
      <c r="F2" s="11">
        <v>0.2</v>
      </c>
      <c r="G2" s="4">
        <f>LPG!C4</f>
        <v>1515.0980000000002</v>
      </c>
      <c r="H2" s="11">
        <v>1.6999897036363323</v>
      </c>
      <c r="I2" s="4" cm="1">
        <f t="array" ref="I2:I32">TRANSPOSE(Water!E15:AI15)</f>
        <v>488.03499999997143</v>
      </c>
      <c r="J2" s="11">
        <v>7.84</v>
      </c>
      <c r="K2" s="4">
        <f>'Occupied &amp; No. of Guest'!B3</f>
        <v>336</v>
      </c>
      <c r="L2" s="4">
        <f>'Occupied &amp; No. of Guest'!C3</f>
        <v>448</v>
      </c>
    </row>
    <row r="3" spans="1:12" x14ac:dyDescent="0.25">
      <c r="A3" s="9" t="s">
        <v>12</v>
      </c>
      <c r="B3" s="10">
        <f>B2+1</f>
        <v>2</v>
      </c>
      <c r="C3" s="10">
        <v>9</v>
      </c>
      <c r="D3" s="10">
        <v>2021</v>
      </c>
      <c r="E3" s="4">
        <v>41398</v>
      </c>
      <c r="F3" s="11">
        <v>0.2</v>
      </c>
      <c r="G3" s="4">
        <f>LPG!C5</f>
        <v>1515.0980000000002</v>
      </c>
      <c r="H3" s="11">
        <v>1.6999897036363323</v>
      </c>
      <c r="I3" s="4">
        <v>563.89800000001696</v>
      </c>
      <c r="J3" s="11">
        <v>7.84</v>
      </c>
      <c r="K3" s="4">
        <f>'Occupied &amp; No. of Guest'!B4</f>
        <v>271</v>
      </c>
      <c r="L3" s="4">
        <f>'Occupied &amp; No. of Guest'!C4</f>
        <v>382</v>
      </c>
    </row>
    <row r="4" spans="1:12" x14ac:dyDescent="0.25">
      <c r="A4" s="9" t="s">
        <v>12</v>
      </c>
      <c r="B4" s="10">
        <f t="shared" ref="B4:B32" si="0">B3+1</f>
        <v>3</v>
      </c>
      <c r="C4" s="10">
        <v>9</v>
      </c>
      <c r="D4" s="10">
        <v>2021</v>
      </c>
      <c r="E4" s="4">
        <v>38801</v>
      </c>
      <c r="F4" s="11">
        <v>0.2</v>
      </c>
      <c r="G4" s="4">
        <f>LPG!C6</f>
        <v>1515.0980000000002</v>
      </c>
      <c r="H4" s="11">
        <v>1.6999897036363323</v>
      </c>
      <c r="I4" s="4">
        <v>391.12299999999533</v>
      </c>
      <c r="J4" s="11">
        <v>7.84</v>
      </c>
      <c r="K4" s="4">
        <f>'Occupied &amp; No. of Guest'!B5</f>
        <v>211</v>
      </c>
      <c r="L4" s="4">
        <f>'Occupied &amp; No. of Guest'!C5</f>
        <v>314</v>
      </c>
    </row>
    <row r="5" spans="1:12" x14ac:dyDescent="0.25">
      <c r="A5" s="9" t="s">
        <v>12</v>
      </c>
      <c r="B5" s="10">
        <f t="shared" si="0"/>
        <v>4</v>
      </c>
      <c r="C5" s="10">
        <v>9</v>
      </c>
      <c r="D5" s="10">
        <v>2021</v>
      </c>
      <c r="E5" s="4">
        <v>35605</v>
      </c>
      <c r="F5" s="11">
        <v>0.2</v>
      </c>
      <c r="G5" s="4">
        <f>LPG!C7</f>
        <v>1515.0980000000002</v>
      </c>
      <c r="H5" s="11">
        <v>1.6999897036363323</v>
      </c>
      <c r="I5" s="4">
        <v>349.0030000000047</v>
      </c>
      <c r="J5" s="11">
        <v>7.84</v>
      </c>
      <c r="K5" s="4">
        <f>'Occupied &amp; No. of Guest'!B6</f>
        <v>208</v>
      </c>
      <c r="L5" s="4">
        <f>'Occupied &amp; No. of Guest'!C6</f>
        <v>301</v>
      </c>
    </row>
    <row r="6" spans="1:12" x14ac:dyDescent="0.25">
      <c r="A6" s="9" t="s">
        <v>12</v>
      </c>
      <c r="B6" s="10">
        <f t="shared" si="0"/>
        <v>5</v>
      </c>
      <c r="C6" s="10">
        <v>9</v>
      </c>
      <c r="D6" s="10">
        <v>2021</v>
      </c>
      <c r="E6" s="4">
        <v>38799</v>
      </c>
      <c r="F6" s="11">
        <v>0.2</v>
      </c>
      <c r="G6" s="4">
        <f>LPG!C8</f>
        <v>1515.0980000000002</v>
      </c>
      <c r="H6" s="11">
        <v>1.6999897036363323</v>
      </c>
      <c r="I6" s="4">
        <v>255.76099999997905</v>
      </c>
      <c r="J6" s="11">
        <v>7.84</v>
      </c>
      <c r="K6" s="4">
        <f>'Occupied &amp; No. of Guest'!B7</f>
        <v>201</v>
      </c>
      <c r="L6" s="4">
        <f>'Occupied &amp; No. of Guest'!C7</f>
        <v>282</v>
      </c>
    </row>
    <row r="7" spans="1:12" x14ac:dyDescent="0.25">
      <c r="A7" s="9" t="s">
        <v>12</v>
      </c>
      <c r="B7" s="10">
        <f t="shared" si="0"/>
        <v>6</v>
      </c>
      <c r="C7" s="10">
        <v>9</v>
      </c>
      <c r="D7" s="10">
        <v>2021</v>
      </c>
      <c r="E7" s="4">
        <v>40802</v>
      </c>
      <c r="F7" s="11">
        <v>0.2</v>
      </c>
      <c r="G7" s="4">
        <f>LPG!C9</f>
        <v>1515.0980000000002</v>
      </c>
      <c r="H7" s="11">
        <v>1.6999897036363323</v>
      </c>
      <c r="I7" s="4">
        <v>291.34400000001165</v>
      </c>
      <c r="J7" s="11">
        <v>7.84</v>
      </c>
      <c r="K7" s="4">
        <f>'Occupied &amp; No. of Guest'!B8</f>
        <v>197</v>
      </c>
      <c r="L7" s="4">
        <f>'Occupied &amp; No. of Guest'!C8</f>
        <v>282</v>
      </c>
    </row>
    <row r="8" spans="1:12" x14ac:dyDescent="0.25">
      <c r="A8" s="9" t="s">
        <v>12</v>
      </c>
      <c r="B8" s="10">
        <f t="shared" si="0"/>
        <v>7</v>
      </c>
      <c r="C8" s="10">
        <v>9</v>
      </c>
      <c r="D8" s="10">
        <v>2021</v>
      </c>
      <c r="E8" s="4">
        <v>43195</v>
      </c>
      <c r="F8" s="11">
        <v>0.2</v>
      </c>
      <c r="G8" s="4">
        <f>LPG!C10</f>
        <v>1515.0980000000002</v>
      </c>
      <c r="H8" s="11">
        <v>1.6999897036363323</v>
      </c>
      <c r="I8" s="4">
        <v>266.66999999999359</v>
      </c>
      <c r="J8" s="11">
        <v>7.84</v>
      </c>
      <c r="K8" s="4">
        <f>'Occupied &amp; No. of Guest'!B9</f>
        <v>195</v>
      </c>
      <c r="L8" s="4">
        <f>'Occupied &amp; No. of Guest'!C9</f>
        <v>269</v>
      </c>
    </row>
    <row r="9" spans="1:12" x14ac:dyDescent="0.25">
      <c r="A9" s="9" t="s">
        <v>12</v>
      </c>
      <c r="B9" s="10">
        <f t="shared" si="0"/>
        <v>8</v>
      </c>
      <c r="C9" s="10">
        <v>9</v>
      </c>
      <c r="D9" s="10">
        <v>2021</v>
      </c>
      <c r="E9" s="4">
        <v>42199</v>
      </c>
      <c r="F9" s="11">
        <v>0.2</v>
      </c>
      <c r="G9" s="4">
        <f>LPG!C11</f>
        <v>1515.0980000000002</v>
      </c>
      <c r="H9" s="11">
        <v>1.6999897036363323</v>
      </c>
      <c r="I9" s="4">
        <v>264.92600000000408</v>
      </c>
      <c r="J9" s="11">
        <v>7.84</v>
      </c>
      <c r="K9" s="4">
        <f>'Occupied &amp; No. of Guest'!B10</f>
        <v>192</v>
      </c>
      <c r="L9" s="4">
        <f>'Occupied &amp; No. of Guest'!C10</f>
        <v>258</v>
      </c>
    </row>
    <row r="10" spans="1:12" x14ac:dyDescent="0.25">
      <c r="A10" s="9" t="s">
        <v>12</v>
      </c>
      <c r="B10" s="10">
        <f t="shared" si="0"/>
        <v>9</v>
      </c>
      <c r="C10" s="10">
        <v>9</v>
      </c>
      <c r="D10" s="10">
        <v>2021</v>
      </c>
      <c r="E10" s="4">
        <v>43614</v>
      </c>
      <c r="F10" s="11">
        <v>0.2</v>
      </c>
      <c r="G10" s="4">
        <f>LPG!C12</f>
        <v>1515.0980000000002</v>
      </c>
      <c r="H10" s="11">
        <v>1.6999897036363323</v>
      </c>
      <c r="I10" s="4">
        <v>432.97600000000762</v>
      </c>
      <c r="J10" s="11">
        <v>7.84</v>
      </c>
      <c r="K10" s="4">
        <f>'Occupied &amp; No. of Guest'!B11</f>
        <v>166</v>
      </c>
      <c r="L10" s="4">
        <f>'Occupied &amp; No. of Guest'!C11</f>
        <v>227</v>
      </c>
    </row>
    <row r="11" spans="1:12" x14ac:dyDescent="0.25">
      <c r="A11" s="9" t="s">
        <v>12</v>
      </c>
      <c r="B11" s="10">
        <f t="shared" si="0"/>
        <v>10</v>
      </c>
      <c r="C11" s="10">
        <v>9</v>
      </c>
      <c r="D11" s="10">
        <v>2021</v>
      </c>
      <c r="E11" s="4">
        <v>41018</v>
      </c>
      <c r="F11" s="11">
        <v>0.2</v>
      </c>
      <c r="G11" s="4">
        <f>LPG!C13</f>
        <v>1515.0980000000002</v>
      </c>
      <c r="H11" s="11">
        <v>1.6999897036363323</v>
      </c>
      <c r="I11" s="4">
        <v>245.08899999999477</v>
      </c>
      <c r="J11" s="11">
        <v>7.84</v>
      </c>
      <c r="K11" s="4">
        <f>'Occupied &amp; No. of Guest'!B12</f>
        <v>170</v>
      </c>
      <c r="L11" s="4">
        <f>'Occupied &amp; No. of Guest'!C12</f>
        <v>233</v>
      </c>
    </row>
    <row r="12" spans="1:12" x14ac:dyDescent="0.25">
      <c r="A12" s="9" t="s">
        <v>12</v>
      </c>
      <c r="B12" s="10">
        <f t="shared" si="0"/>
        <v>11</v>
      </c>
      <c r="C12" s="10">
        <v>9</v>
      </c>
      <c r="D12" s="10">
        <v>2021</v>
      </c>
      <c r="E12" s="4">
        <v>41801</v>
      </c>
      <c r="F12" s="11">
        <v>0.2</v>
      </c>
      <c r="G12" s="4">
        <f>LPG!C14</f>
        <v>1515.0980000000002</v>
      </c>
      <c r="H12" s="11">
        <v>1.6999897036363323</v>
      </c>
      <c r="I12" s="4">
        <v>329.35229999997023</v>
      </c>
      <c r="J12" s="11">
        <v>7.84</v>
      </c>
      <c r="K12" s="4">
        <f>'Occupied &amp; No. of Guest'!B13</f>
        <v>163</v>
      </c>
      <c r="L12" s="4">
        <f>'Occupied &amp; No. of Guest'!C13</f>
        <v>226</v>
      </c>
    </row>
    <row r="13" spans="1:12" x14ac:dyDescent="0.25">
      <c r="A13" s="9" t="s">
        <v>12</v>
      </c>
      <c r="B13" s="10">
        <f t="shared" si="0"/>
        <v>12</v>
      </c>
      <c r="C13" s="10">
        <v>9</v>
      </c>
      <c r="D13" s="10">
        <v>2021</v>
      </c>
      <c r="E13" s="4">
        <v>42399</v>
      </c>
      <c r="F13" s="11">
        <v>0.2</v>
      </c>
      <c r="G13" s="4">
        <f>LPG!C15</f>
        <v>1515.0980000000002</v>
      </c>
      <c r="H13" s="11">
        <v>1.6999897036363323</v>
      </c>
      <c r="I13" s="4">
        <v>355.50670000002856</v>
      </c>
      <c r="J13" s="11">
        <v>7.84</v>
      </c>
      <c r="K13" s="4">
        <f>'Occupied &amp; No. of Guest'!B14</f>
        <v>175</v>
      </c>
      <c r="L13" s="4">
        <f>'Occupied &amp; No. of Guest'!C14</f>
        <v>234</v>
      </c>
    </row>
    <row r="14" spans="1:12" x14ac:dyDescent="0.25">
      <c r="A14" s="9" t="s">
        <v>12</v>
      </c>
      <c r="B14" s="10">
        <f t="shared" si="0"/>
        <v>13</v>
      </c>
      <c r="C14" s="10">
        <v>9</v>
      </c>
      <c r="D14" s="10">
        <v>2021</v>
      </c>
      <c r="E14" s="4">
        <v>43595</v>
      </c>
      <c r="F14" s="11">
        <v>0.2</v>
      </c>
      <c r="G14" s="4">
        <f>LPG!C16</f>
        <v>1515.0980000000002</v>
      </c>
      <c r="H14" s="11">
        <v>1.6999897036363323</v>
      </c>
      <c r="I14" s="4">
        <v>248.81599999998954</v>
      </c>
      <c r="J14" s="11">
        <v>7.84</v>
      </c>
      <c r="K14" s="4">
        <f>'Occupied &amp; No. of Guest'!B15</f>
        <v>165</v>
      </c>
      <c r="L14" s="4">
        <f>'Occupied &amp; No. of Guest'!C15</f>
        <v>215</v>
      </c>
    </row>
    <row r="15" spans="1:12" x14ac:dyDescent="0.25">
      <c r="A15" s="9" t="s">
        <v>12</v>
      </c>
      <c r="B15" s="10">
        <f t="shared" si="0"/>
        <v>14</v>
      </c>
      <c r="C15" s="10">
        <v>9</v>
      </c>
      <c r="D15" s="10">
        <v>2021</v>
      </c>
      <c r="E15" s="4">
        <v>43595</v>
      </c>
      <c r="F15" s="11">
        <v>0.2</v>
      </c>
      <c r="G15" s="4">
        <f>LPG!C17</f>
        <v>1515.0980000000002</v>
      </c>
      <c r="H15" s="11">
        <v>1.6999897036363323</v>
      </c>
      <c r="I15" s="4">
        <v>331.22099999999239</v>
      </c>
      <c r="J15" s="11">
        <v>7.84</v>
      </c>
      <c r="K15" s="4">
        <f>'Occupied &amp; No. of Guest'!B16</f>
        <v>184</v>
      </c>
      <c r="L15" s="4">
        <f>'Occupied &amp; No. of Guest'!C16</f>
        <v>242</v>
      </c>
    </row>
    <row r="16" spans="1:12" x14ac:dyDescent="0.25">
      <c r="A16" s="9" t="s">
        <v>12</v>
      </c>
      <c r="B16" s="10">
        <f t="shared" si="0"/>
        <v>15</v>
      </c>
      <c r="C16" s="10">
        <v>9</v>
      </c>
      <c r="D16" s="10">
        <v>2021</v>
      </c>
      <c r="E16" s="4">
        <v>43995</v>
      </c>
      <c r="F16" s="11">
        <v>0.2</v>
      </c>
      <c r="G16" s="4">
        <f>LPG!C18</f>
        <v>1515.0980000000002</v>
      </c>
      <c r="H16" s="11">
        <v>1.6999897036363323</v>
      </c>
      <c r="I16" s="4">
        <v>346.54100000003609</v>
      </c>
      <c r="J16" s="11">
        <v>7.84</v>
      </c>
      <c r="K16" s="4">
        <f>'Occupied &amp; No. of Guest'!B17</f>
        <v>208</v>
      </c>
      <c r="L16" s="4">
        <f>'Occupied &amp; No. of Guest'!C17</f>
        <v>271</v>
      </c>
    </row>
    <row r="17" spans="1:12" x14ac:dyDescent="0.25">
      <c r="A17" s="9" t="s">
        <v>12</v>
      </c>
      <c r="B17" s="10">
        <f t="shared" si="0"/>
        <v>16</v>
      </c>
      <c r="C17" s="10">
        <v>9</v>
      </c>
      <c r="D17" s="10">
        <v>2021</v>
      </c>
      <c r="E17" s="4">
        <v>41603</v>
      </c>
      <c r="F17" s="11">
        <v>0.2</v>
      </c>
      <c r="G17" s="4">
        <f>LPG!C19</f>
        <v>1515.0980000000002</v>
      </c>
      <c r="H17" s="11">
        <v>1.6999897036363323</v>
      </c>
      <c r="I17" s="4">
        <v>343.22999999995989</v>
      </c>
      <c r="J17" s="11">
        <v>7.84</v>
      </c>
      <c r="K17" s="4">
        <f>'Occupied &amp; No. of Guest'!B18</f>
        <v>163</v>
      </c>
      <c r="L17" s="4">
        <f>'Occupied &amp; No. of Guest'!C18</f>
        <v>218</v>
      </c>
    </row>
    <row r="18" spans="1:12" x14ac:dyDescent="0.25">
      <c r="A18" s="9" t="s">
        <v>12</v>
      </c>
      <c r="B18" s="10">
        <f t="shared" si="0"/>
        <v>17</v>
      </c>
      <c r="C18" s="10">
        <v>9</v>
      </c>
      <c r="D18" s="10">
        <v>2021</v>
      </c>
      <c r="E18" s="4">
        <v>41597</v>
      </c>
      <c r="F18" s="11">
        <v>0.2</v>
      </c>
      <c r="G18" s="4">
        <f>LPG!C20</f>
        <v>1515.0980000000002</v>
      </c>
      <c r="H18" s="11">
        <v>1.6999897036363323</v>
      </c>
      <c r="I18" s="4">
        <v>253.56800000002326</v>
      </c>
      <c r="J18" s="11">
        <v>7.84</v>
      </c>
      <c r="K18" s="4">
        <f>'Occupied &amp; No. of Guest'!B19</f>
        <v>157</v>
      </c>
      <c r="L18" s="4">
        <f>'Occupied &amp; No. of Guest'!C19</f>
        <v>186</v>
      </c>
    </row>
    <row r="19" spans="1:12" x14ac:dyDescent="0.25">
      <c r="A19" s="9" t="s">
        <v>12</v>
      </c>
      <c r="B19" s="10">
        <f t="shared" si="0"/>
        <v>18</v>
      </c>
      <c r="C19" s="10">
        <v>9</v>
      </c>
      <c r="D19" s="10">
        <v>2021</v>
      </c>
      <c r="E19" s="4">
        <v>38197</v>
      </c>
      <c r="F19" s="11">
        <v>0.2</v>
      </c>
      <c r="G19" s="4">
        <f>LPG!C21</f>
        <v>1515.0980000000002</v>
      </c>
      <c r="H19" s="11">
        <v>1.6999897036363323</v>
      </c>
      <c r="I19" s="4">
        <v>313.51399999999251</v>
      </c>
      <c r="J19" s="11">
        <v>7.84</v>
      </c>
      <c r="K19" s="4">
        <f>'Occupied &amp; No. of Guest'!B20</f>
        <v>181</v>
      </c>
      <c r="L19" s="4">
        <f>'Occupied &amp; No. of Guest'!C20</f>
        <v>223</v>
      </c>
    </row>
    <row r="20" spans="1:12" x14ac:dyDescent="0.25">
      <c r="A20" s="9" t="s">
        <v>12</v>
      </c>
      <c r="B20" s="10">
        <f t="shared" si="0"/>
        <v>19</v>
      </c>
      <c r="C20" s="10">
        <v>9</v>
      </c>
      <c r="D20" s="10">
        <v>2021</v>
      </c>
      <c r="E20" s="4">
        <v>39602</v>
      </c>
      <c r="F20" s="11">
        <v>0.2</v>
      </c>
      <c r="G20" s="4">
        <f>LPG!C22</f>
        <v>1515.0980000000002</v>
      </c>
      <c r="H20" s="11">
        <v>1.6999897036363323</v>
      </c>
      <c r="I20" s="4">
        <v>296.97500000004015</v>
      </c>
      <c r="J20" s="11">
        <v>7.84</v>
      </c>
      <c r="K20" s="4">
        <f>'Occupied &amp; No. of Guest'!B21</f>
        <v>219</v>
      </c>
      <c r="L20" s="4">
        <f>'Occupied &amp; No. of Guest'!C21</f>
        <v>266</v>
      </c>
    </row>
    <row r="21" spans="1:12" x14ac:dyDescent="0.25">
      <c r="A21" s="9" t="s">
        <v>12</v>
      </c>
      <c r="B21" s="10">
        <f t="shared" si="0"/>
        <v>20</v>
      </c>
      <c r="C21" s="10">
        <v>9</v>
      </c>
      <c r="D21" s="10">
        <v>2021</v>
      </c>
      <c r="E21" s="4">
        <v>42199</v>
      </c>
      <c r="F21" s="11">
        <v>0.2</v>
      </c>
      <c r="G21" s="4">
        <f>LPG!C23</f>
        <v>1515.0980000000002</v>
      </c>
      <c r="H21" s="11">
        <v>1.6999897036363323</v>
      </c>
      <c r="I21" s="4">
        <v>291.94399999995989</v>
      </c>
      <c r="J21" s="11">
        <v>7.84</v>
      </c>
      <c r="K21" s="4">
        <f>'Occupied &amp; No. of Guest'!B22</f>
        <v>224</v>
      </c>
      <c r="L21" s="4">
        <f>'Occupied &amp; No. of Guest'!C22</f>
        <v>273</v>
      </c>
    </row>
    <row r="22" spans="1:12" x14ac:dyDescent="0.25">
      <c r="A22" s="9" t="s">
        <v>12</v>
      </c>
      <c r="B22" s="10">
        <f t="shared" si="0"/>
        <v>21</v>
      </c>
      <c r="C22" s="10">
        <v>9</v>
      </c>
      <c r="D22" s="10">
        <v>2021</v>
      </c>
      <c r="E22" s="4">
        <v>42401</v>
      </c>
      <c r="F22" s="11">
        <v>0.2</v>
      </c>
      <c r="G22" s="4">
        <f>LPG!C24</f>
        <v>1515.0980000000002</v>
      </c>
      <c r="H22" s="11">
        <v>1.6999897036363323</v>
      </c>
      <c r="I22" s="4">
        <v>338.08299999998837</v>
      </c>
      <c r="J22" s="11">
        <v>7.84</v>
      </c>
      <c r="K22" s="4">
        <f>'Occupied &amp; No. of Guest'!B23</f>
        <v>231</v>
      </c>
      <c r="L22" s="4">
        <f>'Occupied &amp; No. of Guest'!C23</f>
        <v>277</v>
      </c>
    </row>
    <row r="23" spans="1:12" x14ac:dyDescent="0.25">
      <c r="A23" s="9" t="s">
        <v>12</v>
      </c>
      <c r="B23" s="10">
        <f t="shared" si="0"/>
        <v>22</v>
      </c>
      <c r="C23" s="10">
        <v>9</v>
      </c>
      <c r="D23" s="10">
        <v>2021</v>
      </c>
      <c r="E23" s="4">
        <v>41789</v>
      </c>
      <c r="F23" s="11">
        <v>0.2</v>
      </c>
      <c r="G23" s="4">
        <f>LPG!C25</f>
        <v>1515.0980000000002</v>
      </c>
      <c r="H23" s="11">
        <v>1.6999897036363323</v>
      </c>
      <c r="I23" s="4">
        <v>336.09899999998424</v>
      </c>
      <c r="J23" s="11">
        <v>7.84</v>
      </c>
      <c r="K23" s="4">
        <f>'Occupied &amp; No. of Guest'!B24</f>
        <v>233</v>
      </c>
      <c r="L23" s="4">
        <f>'Occupied &amp; No. of Guest'!C24</f>
        <v>287</v>
      </c>
    </row>
    <row r="24" spans="1:12" x14ac:dyDescent="0.25">
      <c r="A24" s="9" t="s">
        <v>12</v>
      </c>
      <c r="B24" s="10">
        <f t="shared" si="0"/>
        <v>23</v>
      </c>
      <c r="C24" s="10">
        <v>9</v>
      </c>
      <c r="D24" s="10">
        <v>2021</v>
      </c>
      <c r="E24" s="4">
        <v>40794</v>
      </c>
      <c r="F24" s="11">
        <v>0.2</v>
      </c>
      <c r="G24" s="4">
        <f>LPG!C26</f>
        <v>1515.0980000000002</v>
      </c>
      <c r="H24" s="11">
        <v>1.6999897036363323</v>
      </c>
      <c r="I24" s="4">
        <v>356.62000000005588</v>
      </c>
      <c r="J24" s="11">
        <v>7.84</v>
      </c>
      <c r="K24" s="4">
        <f>'Occupied &amp; No. of Guest'!B25</f>
        <v>197</v>
      </c>
      <c r="L24" s="4">
        <f>'Occupied &amp; No. of Guest'!C25</f>
        <v>251</v>
      </c>
    </row>
    <row r="25" spans="1:12" x14ac:dyDescent="0.25">
      <c r="A25" s="9" t="s">
        <v>12</v>
      </c>
      <c r="B25" s="10">
        <f t="shared" si="0"/>
        <v>24</v>
      </c>
      <c r="C25" s="10">
        <v>9</v>
      </c>
      <c r="D25" s="10">
        <v>2021</v>
      </c>
      <c r="E25" s="4">
        <v>41597</v>
      </c>
      <c r="F25" s="11">
        <v>0.2</v>
      </c>
      <c r="G25" s="4">
        <f>LPG!C27</f>
        <v>1515.0980000000002</v>
      </c>
      <c r="H25" s="11">
        <v>1.6999897036363323</v>
      </c>
      <c r="I25" s="4">
        <v>277.03399999996736</v>
      </c>
      <c r="J25" s="11">
        <v>7.84</v>
      </c>
      <c r="K25" s="4">
        <f>'Occupied &amp; No. of Guest'!B26</f>
        <v>196</v>
      </c>
      <c r="L25" s="4">
        <f>'Occupied &amp; No. of Guest'!C26</f>
        <v>246</v>
      </c>
    </row>
    <row r="26" spans="1:12" x14ac:dyDescent="0.25">
      <c r="A26" s="9" t="s">
        <v>12</v>
      </c>
      <c r="B26" s="10">
        <f>B25+1</f>
        <v>25</v>
      </c>
      <c r="C26" s="10">
        <v>9</v>
      </c>
      <c r="D26" s="10">
        <v>2021</v>
      </c>
      <c r="E26" s="4">
        <v>41825</v>
      </c>
      <c r="F26" s="11">
        <v>0.2</v>
      </c>
      <c r="G26" s="4">
        <f>LPG!C28</f>
        <v>1515.0980000000002</v>
      </c>
      <c r="H26" s="11">
        <v>1.6999897036363323</v>
      </c>
      <c r="I26" s="4">
        <v>305.30299999999363</v>
      </c>
      <c r="J26" s="11">
        <v>7.84</v>
      </c>
      <c r="K26" s="4">
        <f>'Occupied &amp; No. of Guest'!B27</f>
        <v>258</v>
      </c>
      <c r="L26" s="4">
        <f>'Occupied &amp; No. of Guest'!C27</f>
        <v>326</v>
      </c>
    </row>
    <row r="27" spans="1:12" x14ac:dyDescent="0.25">
      <c r="A27" s="9" t="s">
        <v>12</v>
      </c>
      <c r="B27" s="10">
        <f t="shared" si="0"/>
        <v>26</v>
      </c>
      <c r="C27" s="10">
        <v>9</v>
      </c>
      <c r="D27" s="10">
        <v>2021</v>
      </c>
      <c r="E27" s="4">
        <v>42180</v>
      </c>
      <c r="F27" s="11">
        <v>0.2</v>
      </c>
      <c r="G27" s="4">
        <f>LPG!C29</f>
        <v>1515.0980000000002</v>
      </c>
      <c r="H27" s="11">
        <v>1.6999897036363323</v>
      </c>
      <c r="I27" s="4">
        <v>341.24099999999356</v>
      </c>
      <c r="J27" s="11">
        <v>7.84</v>
      </c>
      <c r="K27" s="4">
        <f>'Occupied &amp; No. of Guest'!B28</f>
        <v>277</v>
      </c>
      <c r="L27" s="4">
        <f>'Occupied &amp; No. of Guest'!C28</f>
        <v>349</v>
      </c>
    </row>
    <row r="28" spans="1:12" x14ac:dyDescent="0.25">
      <c r="A28" s="9" t="s">
        <v>12</v>
      </c>
      <c r="B28" s="10">
        <f t="shared" si="0"/>
        <v>27</v>
      </c>
      <c r="C28" s="10">
        <v>9</v>
      </c>
      <c r="D28" s="10">
        <v>2021</v>
      </c>
      <c r="E28" s="4">
        <v>40643</v>
      </c>
      <c r="F28" s="11">
        <v>0.2</v>
      </c>
      <c r="G28" s="4">
        <f>LPG!C30</f>
        <v>1515.0980000000002</v>
      </c>
      <c r="H28" s="11">
        <v>1.6999897036363323</v>
      </c>
      <c r="I28" s="4">
        <v>259.20500000001806</v>
      </c>
      <c r="J28" s="11">
        <v>7.84</v>
      </c>
      <c r="K28" s="4">
        <f>'Occupied &amp; No. of Guest'!B29</f>
        <v>339</v>
      </c>
      <c r="L28" s="4">
        <f>'Occupied &amp; No. of Guest'!C29</f>
        <v>418</v>
      </c>
    </row>
    <row r="29" spans="1:12" x14ac:dyDescent="0.25">
      <c r="A29" s="9" t="s">
        <v>12</v>
      </c>
      <c r="B29" s="10">
        <f t="shared" si="0"/>
        <v>28</v>
      </c>
      <c r="C29" s="10">
        <v>9</v>
      </c>
      <c r="D29" s="10">
        <v>2021</v>
      </c>
      <c r="E29" s="4">
        <v>42013</v>
      </c>
      <c r="F29" s="11">
        <v>0.2</v>
      </c>
      <c r="G29" s="4">
        <f>LPG!C31</f>
        <v>1515.0980000000002</v>
      </c>
      <c r="H29" s="11">
        <v>1.6999897036363323</v>
      </c>
      <c r="I29" s="4">
        <v>361.27800000003901</v>
      </c>
      <c r="J29" s="11">
        <v>7.84</v>
      </c>
      <c r="K29" s="4">
        <f>'Occupied &amp; No. of Guest'!B30</f>
        <v>326</v>
      </c>
      <c r="L29" s="4">
        <f>'Occupied &amp; No. of Guest'!C30</f>
        <v>403</v>
      </c>
    </row>
    <row r="30" spans="1:12" x14ac:dyDescent="0.25">
      <c r="A30" s="9" t="s">
        <v>12</v>
      </c>
      <c r="B30" s="10">
        <f t="shared" si="0"/>
        <v>29</v>
      </c>
      <c r="C30" s="10">
        <v>9</v>
      </c>
      <c r="D30" s="10">
        <v>2021</v>
      </c>
      <c r="E30" s="4">
        <v>41803</v>
      </c>
      <c r="F30" s="11">
        <v>0.2</v>
      </c>
      <c r="G30" s="4">
        <f>LPG!C32</f>
        <v>1515.0980000000002</v>
      </c>
      <c r="H30" s="11">
        <v>1.6999897036363323</v>
      </c>
      <c r="I30" s="4">
        <v>334.88999999994297</v>
      </c>
      <c r="J30" s="11">
        <v>7.84</v>
      </c>
      <c r="K30" s="4">
        <f>'Occupied &amp; No. of Guest'!B31</f>
        <v>298</v>
      </c>
      <c r="L30" s="4">
        <f>'Occupied &amp; No. of Guest'!C31</f>
        <v>371</v>
      </c>
    </row>
    <row r="31" spans="1:12" x14ac:dyDescent="0.25">
      <c r="A31" s="9" t="s">
        <v>12</v>
      </c>
      <c r="B31" s="10">
        <f t="shared" si="0"/>
        <v>30</v>
      </c>
      <c r="C31" s="10">
        <v>9</v>
      </c>
      <c r="D31" s="10">
        <v>2021</v>
      </c>
      <c r="E31" s="4">
        <v>40603</v>
      </c>
      <c r="F31" s="11">
        <v>0.2</v>
      </c>
      <c r="G31" s="4">
        <f>LPG!C33</f>
        <v>1515.0980000000002</v>
      </c>
      <c r="H31" s="11">
        <v>1.6999897036363323</v>
      </c>
      <c r="I31" s="4">
        <v>317.80800000003376</v>
      </c>
      <c r="J31" s="11">
        <v>7.84</v>
      </c>
      <c r="K31" s="4">
        <f>'Occupied &amp; No. of Guest'!B32</f>
        <v>271</v>
      </c>
      <c r="L31" s="4">
        <f>'Occupied &amp; No. of Guest'!C32</f>
        <v>342</v>
      </c>
    </row>
    <row r="32" spans="1:12" x14ac:dyDescent="0.25">
      <c r="A32" s="9" t="s">
        <v>12</v>
      </c>
      <c r="B32" s="10">
        <f t="shared" si="0"/>
        <v>31</v>
      </c>
      <c r="C32" s="10">
        <v>9</v>
      </c>
      <c r="D32" s="10">
        <v>2021</v>
      </c>
      <c r="E32" s="4">
        <v>0</v>
      </c>
      <c r="F32" s="11">
        <v>0.2</v>
      </c>
      <c r="G32" s="4">
        <f>LPG!C34</f>
        <v>0</v>
      </c>
      <c r="H32" s="11">
        <v>1.6999897036363323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9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7" t="s">
        <v>13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67" s="14" customFormat="1" ht="29.25" customHeight="1" thickBot="1" x14ac:dyDescent="0.3"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 spans="1:67" ht="39" thickBot="1" x14ac:dyDescent="0.2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79">
        <v>1</v>
      </c>
      <c r="B5" s="20" t="s">
        <v>18</v>
      </c>
      <c r="C5" s="81" t="s">
        <v>19</v>
      </c>
      <c r="D5" s="21">
        <v>81522</v>
      </c>
      <c r="E5" s="21">
        <v>81542</v>
      </c>
      <c r="F5" s="21">
        <v>81564</v>
      </c>
      <c r="G5" s="21">
        <v>81585</v>
      </c>
      <c r="H5" s="21">
        <v>81604</v>
      </c>
      <c r="I5" s="21">
        <v>81625</v>
      </c>
      <c r="J5" s="21">
        <v>81646</v>
      </c>
      <c r="K5" s="21">
        <v>81667</v>
      </c>
      <c r="L5" s="21">
        <v>81687</v>
      </c>
      <c r="M5" s="21">
        <v>81708</v>
      </c>
      <c r="N5" s="21">
        <v>81728</v>
      </c>
      <c r="O5" s="21">
        <v>81748</v>
      </c>
      <c r="P5" s="21">
        <v>81769</v>
      </c>
      <c r="Q5" s="21">
        <v>81790</v>
      </c>
      <c r="R5" s="21">
        <v>81811</v>
      </c>
      <c r="S5" s="21">
        <v>81832</v>
      </c>
      <c r="T5" s="21">
        <v>81853</v>
      </c>
      <c r="U5" s="21">
        <v>81874</v>
      </c>
      <c r="V5" s="21">
        <v>81894</v>
      </c>
      <c r="W5" s="21">
        <v>81915</v>
      </c>
      <c r="X5" s="21">
        <v>81937</v>
      </c>
      <c r="Y5" s="21">
        <v>81958</v>
      </c>
      <c r="Z5" s="21">
        <v>81980</v>
      </c>
      <c r="AA5" s="21">
        <v>82001</v>
      </c>
      <c r="AB5" s="21">
        <v>82022</v>
      </c>
      <c r="AC5" s="21">
        <v>82044</v>
      </c>
      <c r="AD5" s="21">
        <v>82066</v>
      </c>
      <c r="AE5" s="21">
        <v>82088</v>
      </c>
      <c r="AF5" s="21">
        <v>82111</v>
      </c>
      <c r="AG5" s="21">
        <v>82133</v>
      </c>
      <c r="AH5" s="21">
        <v>82155</v>
      </c>
      <c r="AI5" s="21"/>
    </row>
    <row r="6" spans="1:67" s="24" customFormat="1" ht="21.75" customHeight="1" x14ac:dyDescent="0.2">
      <c r="A6" s="80"/>
      <c r="B6" s="22"/>
      <c r="C6" s="82"/>
      <c r="D6" s="23"/>
      <c r="E6" s="23">
        <f>(E5-D5)*1000</f>
        <v>20000</v>
      </c>
      <c r="F6" s="23">
        <f t="shared" ref="F6:AH6" si="0">(F5-E5)*1000</f>
        <v>22000</v>
      </c>
      <c r="G6" s="23">
        <f t="shared" si="0"/>
        <v>21000</v>
      </c>
      <c r="H6" s="23">
        <f t="shared" si="0"/>
        <v>19000</v>
      </c>
      <c r="I6" s="23">
        <f t="shared" si="0"/>
        <v>21000</v>
      </c>
      <c r="J6" s="23">
        <f t="shared" si="0"/>
        <v>21000</v>
      </c>
      <c r="K6" s="23">
        <f t="shared" si="0"/>
        <v>21000</v>
      </c>
      <c r="L6" s="23">
        <f t="shared" si="0"/>
        <v>20000</v>
      </c>
      <c r="M6" s="23">
        <f t="shared" si="0"/>
        <v>21000</v>
      </c>
      <c r="N6" s="23">
        <f t="shared" si="0"/>
        <v>20000</v>
      </c>
      <c r="O6" s="23">
        <f t="shared" si="0"/>
        <v>20000</v>
      </c>
      <c r="P6" s="23">
        <f t="shared" si="0"/>
        <v>21000</v>
      </c>
      <c r="Q6" s="23">
        <f t="shared" si="0"/>
        <v>21000</v>
      </c>
      <c r="R6" s="23">
        <f t="shared" si="0"/>
        <v>21000</v>
      </c>
      <c r="S6" s="23">
        <f t="shared" si="0"/>
        <v>21000</v>
      </c>
      <c r="T6" s="23">
        <f t="shared" si="0"/>
        <v>21000</v>
      </c>
      <c r="U6" s="23">
        <f t="shared" si="0"/>
        <v>21000</v>
      </c>
      <c r="V6" s="23">
        <f t="shared" si="0"/>
        <v>20000</v>
      </c>
      <c r="W6" s="23">
        <f t="shared" si="0"/>
        <v>21000</v>
      </c>
      <c r="X6" s="23">
        <f t="shared" si="0"/>
        <v>22000</v>
      </c>
      <c r="Y6" s="23">
        <f t="shared" si="0"/>
        <v>21000</v>
      </c>
      <c r="Z6" s="23">
        <f t="shared" si="0"/>
        <v>22000</v>
      </c>
      <c r="AA6" s="23">
        <f t="shared" si="0"/>
        <v>21000</v>
      </c>
      <c r="AB6" s="23">
        <f t="shared" si="0"/>
        <v>21000</v>
      </c>
      <c r="AC6" s="23">
        <f t="shared" si="0"/>
        <v>22000</v>
      </c>
      <c r="AD6" s="23">
        <f t="shared" si="0"/>
        <v>22000</v>
      </c>
      <c r="AE6" s="23">
        <f t="shared" si="0"/>
        <v>22000</v>
      </c>
      <c r="AF6" s="23">
        <f t="shared" si="0"/>
        <v>23000</v>
      </c>
      <c r="AG6" s="23">
        <f t="shared" si="0"/>
        <v>22000</v>
      </c>
      <c r="AH6" s="23">
        <f t="shared" si="0"/>
        <v>22000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3">
        <v>2</v>
      </c>
      <c r="B7" s="25" t="s">
        <v>20</v>
      </c>
      <c r="C7" s="85" t="s">
        <v>21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/>
    </row>
    <row r="8" spans="1:67" s="24" customFormat="1" ht="21.75" customHeight="1" x14ac:dyDescent="0.2">
      <c r="A8" s="84"/>
      <c r="B8" s="22"/>
      <c r="C8" s="82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5">
        <v>3</v>
      </c>
      <c r="B9" s="36" t="s">
        <v>22</v>
      </c>
      <c r="C9" s="76" t="s">
        <v>23</v>
      </c>
      <c r="D9" s="21">
        <v>94862</v>
      </c>
      <c r="E9" s="21">
        <v>94896</v>
      </c>
      <c r="F9" s="21">
        <v>94921</v>
      </c>
      <c r="G9" s="21">
        <v>94944</v>
      </c>
      <c r="H9" s="21">
        <v>94966</v>
      </c>
      <c r="I9" s="21">
        <v>94989</v>
      </c>
      <c r="J9" s="21">
        <v>95017</v>
      </c>
      <c r="K9" s="21">
        <v>95046</v>
      </c>
      <c r="L9" s="21">
        <v>95077</v>
      </c>
      <c r="M9" s="21">
        <v>95099</v>
      </c>
      <c r="N9" s="21">
        <v>95130</v>
      </c>
      <c r="O9" s="21">
        <v>95160</v>
      </c>
      <c r="P9" s="21">
        <v>95178</v>
      </c>
      <c r="Q9" s="21">
        <v>95210</v>
      </c>
      <c r="R9" s="21">
        <v>95241</v>
      </c>
      <c r="S9" s="21">
        <v>95263</v>
      </c>
      <c r="T9" s="21">
        <v>95290</v>
      </c>
      <c r="U9" s="21">
        <v>95321</v>
      </c>
      <c r="V9" s="21">
        <v>95340</v>
      </c>
      <c r="W9" s="21">
        <v>95364</v>
      </c>
      <c r="X9" s="21">
        <v>95401</v>
      </c>
      <c r="Y9" s="21">
        <v>95433</v>
      </c>
      <c r="Z9" s="21">
        <v>95466</v>
      </c>
      <c r="AA9" s="21">
        <v>95496</v>
      </c>
      <c r="AB9" s="21">
        <v>95533</v>
      </c>
      <c r="AC9" s="21">
        <v>95564</v>
      </c>
      <c r="AD9" s="21">
        <v>95598</v>
      </c>
      <c r="AE9" s="21">
        <v>95628</v>
      </c>
      <c r="AF9" s="21">
        <v>95665</v>
      </c>
      <c r="AG9" s="21">
        <v>95698</v>
      </c>
      <c r="AH9" s="21">
        <v>95727</v>
      </c>
      <c r="AI9" s="21"/>
    </row>
    <row r="10" spans="1:67" s="24" customFormat="1" ht="21.75" customHeight="1" x14ac:dyDescent="0.2">
      <c r="A10" s="71"/>
      <c r="B10" s="37"/>
      <c r="C10" s="74"/>
      <c r="D10" s="23"/>
      <c r="E10" s="23">
        <f>(E9-D9)*1000</f>
        <v>34000</v>
      </c>
      <c r="F10" s="23">
        <f t="shared" ref="F10" si="30">(F9-E9)*1000</f>
        <v>25000</v>
      </c>
      <c r="G10" s="23">
        <f t="shared" ref="G10" si="31">(G9-F9)*1000</f>
        <v>23000</v>
      </c>
      <c r="H10" s="23">
        <f t="shared" ref="H10" si="32">(H9-G9)*1000</f>
        <v>22000</v>
      </c>
      <c r="I10" s="23">
        <f t="shared" ref="I10" si="33">(I9-H9)*1000</f>
        <v>23000</v>
      </c>
      <c r="J10" s="23">
        <f t="shared" ref="J10" si="34">(J9-I9)*1000</f>
        <v>28000</v>
      </c>
      <c r="K10" s="23">
        <f t="shared" ref="K10" si="35">(K9-J9)*1000</f>
        <v>29000</v>
      </c>
      <c r="L10" s="23">
        <f t="shared" ref="L10" si="36">(L9-K9)*1000</f>
        <v>31000</v>
      </c>
      <c r="M10" s="23">
        <f t="shared" ref="M10" si="37">(M9-L9)*1000</f>
        <v>22000</v>
      </c>
      <c r="N10" s="23">
        <f t="shared" ref="N10" si="38">(N9-M9)*1000</f>
        <v>31000</v>
      </c>
      <c r="O10" s="23">
        <f t="shared" ref="O10" si="39">(O9-N9)*1000</f>
        <v>30000</v>
      </c>
      <c r="P10" s="23">
        <f t="shared" ref="P10" si="40">(P9-O9)*1000</f>
        <v>18000</v>
      </c>
      <c r="Q10" s="23">
        <f t="shared" ref="Q10" si="41">(Q9-P9)*1000</f>
        <v>32000</v>
      </c>
      <c r="R10" s="23">
        <f t="shared" ref="R10" si="42">(R9-Q9)*1000</f>
        <v>31000</v>
      </c>
      <c r="S10" s="23">
        <f t="shared" ref="S10" si="43">(S9-R9)*1000</f>
        <v>22000</v>
      </c>
      <c r="T10" s="23">
        <f t="shared" ref="T10" si="44">(T9-S9)*1000</f>
        <v>27000</v>
      </c>
      <c r="U10" s="23">
        <f t="shared" ref="U10" si="45">(U9-T9)*1000</f>
        <v>31000</v>
      </c>
      <c r="V10" s="23">
        <f t="shared" ref="V10" si="46">(V9-U9)*1000</f>
        <v>19000</v>
      </c>
      <c r="W10" s="23">
        <f t="shared" ref="W10" si="47">(W9-V9)*1000</f>
        <v>24000</v>
      </c>
      <c r="X10" s="23">
        <f t="shared" ref="X10" si="48">(X9-W9)*1000</f>
        <v>37000</v>
      </c>
      <c r="Y10" s="23">
        <f t="shared" ref="Y10" si="49">(Y9-X9)*1000</f>
        <v>32000</v>
      </c>
      <c r="Z10" s="23">
        <f t="shared" ref="Z10" si="50">(Z9-Y9)*1000</f>
        <v>33000</v>
      </c>
      <c r="AA10" s="23">
        <f t="shared" ref="AA10" si="51">(AA9-Z9)*1000</f>
        <v>30000</v>
      </c>
      <c r="AB10" s="23">
        <f t="shared" ref="AB10" si="52">(AB9-AA9)*1000</f>
        <v>37000</v>
      </c>
      <c r="AC10" s="23">
        <f t="shared" ref="AC10" si="53">(AC9-AB9)*1000</f>
        <v>31000</v>
      </c>
      <c r="AD10" s="23">
        <f t="shared" ref="AD10" si="54">(AD9-AC9)*1000</f>
        <v>34000</v>
      </c>
      <c r="AE10" s="23">
        <f t="shared" ref="AE10" si="55">(AE9-AD9)*1000</f>
        <v>30000</v>
      </c>
      <c r="AF10" s="23">
        <f t="shared" ref="AF10" si="56">(AF9-AE9)*1000</f>
        <v>37000</v>
      </c>
      <c r="AG10" s="23">
        <f t="shared" ref="AG10" si="57">(AG9-AF9)*1000</f>
        <v>33000</v>
      </c>
      <c r="AH10" s="23">
        <f t="shared" ref="AH10" si="58">(AH9-AG9)*1000</f>
        <v>29000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6">
        <v>4</v>
      </c>
      <c r="B11" s="36" t="s">
        <v>24</v>
      </c>
      <c r="C11" s="76" t="s">
        <v>25</v>
      </c>
      <c r="D11" s="21">
        <v>81166</v>
      </c>
      <c r="E11" s="21">
        <v>81183</v>
      </c>
      <c r="F11" s="21">
        <v>81206</v>
      </c>
      <c r="G11" s="21">
        <v>81227</v>
      </c>
      <c r="H11" s="21">
        <v>81246</v>
      </c>
      <c r="I11" s="21">
        <v>81267</v>
      </c>
      <c r="J11" s="21">
        <v>81288</v>
      </c>
      <c r="K11" s="21">
        <v>81314</v>
      </c>
      <c r="L11" s="21">
        <v>81338</v>
      </c>
      <c r="M11" s="21">
        <v>81372</v>
      </c>
      <c r="N11" s="21">
        <v>81393</v>
      </c>
      <c r="O11" s="21">
        <v>81417</v>
      </c>
      <c r="P11" s="21">
        <v>81452</v>
      </c>
      <c r="Q11" s="21">
        <v>81476</v>
      </c>
      <c r="R11" s="21">
        <v>81501</v>
      </c>
      <c r="S11" s="21">
        <v>81536</v>
      </c>
      <c r="T11" s="21">
        <v>81560</v>
      </c>
      <c r="U11" s="21">
        <v>81580</v>
      </c>
      <c r="V11" s="21">
        <v>81606</v>
      </c>
      <c r="W11" s="21">
        <v>81628</v>
      </c>
      <c r="X11" s="21">
        <v>81641</v>
      </c>
      <c r="Y11" s="21">
        <v>81662</v>
      </c>
      <c r="Z11" s="21">
        <v>81678</v>
      </c>
      <c r="AA11" s="21">
        <v>81697</v>
      </c>
      <c r="AB11" s="21">
        <v>81711</v>
      </c>
      <c r="AC11" s="21">
        <v>81729</v>
      </c>
      <c r="AD11" s="21">
        <v>81745</v>
      </c>
      <c r="AE11" s="21">
        <v>81761</v>
      </c>
      <c r="AF11" s="21">
        <v>81771</v>
      </c>
      <c r="AG11" s="21">
        <v>81787</v>
      </c>
      <c r="AH11" s="21">
        <v>81804</v>
      </c>
      <c r="AI11" s="21"/>
    </row>
    <row r="12" spans="1:67" s="38" customFormat="1" ht="21.75" customHeight="1" x14ac:dyDescent="0.2">
      <c r="A12" s="73"/>
      <c r="B12" s="37"/>
      <c r="C12" s="74"/>
      <c r="D12" s="23"/>
      <c r="E12" s="23">
        <f>(E11-D11)*1000</f>
        <v>17000</v>
      </c>
      <c r="F12" s="23">
        <f t="shared" ref="F12" si="59">(F11-E11)*1000</f>
        <v>23000</v>
      </c>
      <c r="G12" s="23">
        <f t="shared" ref="G12" si="60">(G11-F11)*1000</f>
        <v>21000</v>
      </c>
      <c r="H12" s="23">
        <f t="shared" ref="H12" si="61">(H11-G11)*1000</f>
        <v>19000</v>
      </c>
      <c r="I12" s="23">
        <f t="shared" ref="I12" si="62">(I11-H11)*1000</f>
        <v>21000</v>
      </c>
      <c r="J12" s="23">
        <f t="shared" ref="J12" si="63">(J11-I11)*1000</f>
        <v>21000</v>
      </c>
      <c r="K12" s="23">
        <f t="shared" ref="K12" si="64">(K11-J11)*1000</f>
        <v>26000</v>
      </c>
      <c r="L12" s="23">
        <f t="shared" ref="L12" si="65">(L11-K11)*1000</f>
        <v>24000</v>
      </c>
      <c r="M12" s="23">
        <f t="shared" ref="M12" si="66">(M11-L11)*1000</f>
        <v>34000</v>
      </c>
      <c r="N12" s="23">
        <f t="shared" ref="N12" si="67">(N11-M11)*1000</f>
        <v>21000</v>
      </c>
      <c r="O12" s="23">
        <f t="shared" ref="O12" si="68">(O11-N11)*1000</f>
        <v>24000</v>
      </c>
      <c r="P12" s="23">
        <f t="shared" ref="P12" si="69">(P11-O11)*1000</f>
        <v>35000</v>
      </c>
      <c r="Q12" s="23">
        <f t="shared" ref="Q12" si="70">(Q11-P11)*1000</f>
        <v>24000</v>
      </c>
      <c r="R12" s="23">
        <f t="shared" ref="R12" si="71">(R11-Q11)*1000</f>
        <v>25000</v>
      </c>
      <c r="S12" s="23">
        <f t="shared" ref="S12" si="72">(S11-R11)*1000</f>
        <v>35000</v>
      </c>
      <c r="T12" s="23">
        <f t="shared" ref="T12" si="73">(T11-S11)*1000</f>
        <v>24000</v>
      </c>
      <c r="U12" s="23">
        <f t="shared" ref="U12" si="74">(U11-T11)*1000</f>
        <v>20000</v>
      </c>
      <c r="V12" s="23">
        <f t="shared" ref="V12" si="75">(V11-U11)*1000</f>
        <v>26000</v>
      </c>
      <c r="W12" s="23">
        <f t="shared" ref="W12" si="76">(W11-V11)*1000</f>
        <v>22000</v>
      </c>
      <c r="X12" s="23">
        <f t="shared" ref="X12" si="77">(X11-W11)*1000</f>
        <v>13000</v>
      </c>
      <c r="Y12" s="23">
        <f t="shared" ref="Y12" si="78">(Y11-X11)*1000</f>
        <v>21000</v>
      </c>
      <c r="Z12" s="23">
        <f t="shared" ref="Z12" si="79">(Z11-Y11)*1000</f>
        <v>16000</v>
      </c>
      <c r="AA12" s="23">
        <f t="shared" ref="AA12" si="80">(AA11-Z11)*1000</f>
        <v>19000</v>
      </c>
      <c r="AB12" s="23">
        <f t="shared" ref="AB12" si="81">(AB11-AA11)*1000</f>
        <v>14000</v>
      </c>
      <c r="AC12" s="23">
        <f t="shared" ref="AC12" si="82">(AC11-AB11)*1000</f>
        <v>18000</v>
      </c>
      <c r="AD12" s="23">
        <f t="shared" ref="AD12" si="83">(AD11-AC11)*1000</f>
        <v>16000</v>
      </c>
      <c r="AE12" s="23">
        <f t="shared" ref="AE12" si="84">(AE11-AD11)*1000</f>
        <v>16000</v>
      </c>
      <c r="AF12" s="23">
        <f t="shared" ref="AF12" si="85">(AF11-AE11)*1000</f>
        <v>10000</v>
      </c>
      <c r="AG12" s="23">
        <f t="shared" ref="AG12" si="86">(AG11-AF11)*1000</f>
        <v>16000</v>
      </c>
      <c r="AH12" s="23">
        <f t="shared" ref="AH12" si="87">(AH11-AG11)*1000</f>
        <v>17000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5">
        <v>7</v>
      </c>
      <c r="B13" s="39" t="s">
        <v>26</v>
      </c>
      <c r="C13" s="68" t="s">
        <v>27</v>
      </c>
      <c r="D13" s="40">
        <v>3058</v>
      </c>
      <c r="E13" s="40">
        <v>3058</v>
      </c>
      <c r="F13" s="40">
        <v>3058</v>
      </c>
      <c r="G13" s="40">
        <v>3058</v>
      </c>
      <c r="H13" s="40">
        <v>3058</v>
      </c>
      <c r="I13" s="40">
        <v>3058</v>
      </c>
      <c r="J13" s="40">
        <v>3058</v>
      </c>
      <c r="K13" s="40">
        <v>3058</v>
      </c>
      <c r="L13" s="40">
        <v>3058</v>
      </c>
      <c r="M13" s="40">
        <v>3058</v>
      </c>
      <c r="N13" s="40">
        <v>3058</v>
      </c>
      <c r="O13" s="40">
        <v>3058</v>
      </c>
      <c r="P13" s="40">
        <v>3058</v>
      </c>
      <c r="Q13" s="40">
        <v>3058</v>
      </c>
      <c r="R13" s="40">
        <v>3058</v>
      </c>
      <c r="S13" s="40">
        <v>3058</v>
      </c>
      <c r="T13" s="40">
        <v>3058</v>
      </c>
      <c r="U13" s="40">
        <v>3058</v>
      </c>
      <c r="V13" s="40">
        <v>3058</v>
      </c>
      <c r="W13" s="40">
        <v>3058</v>
      </c>
      <c r="X13" s="40">
        <v>3058</v>
      </c>
      <c r="Y13" s="40">
        <v>3058</v>
      </c>
      <c r="Z13" s="40">
        <v>3058</v>
      </c>
      <c r="AA13" s="40">
        <v>3058</v>
      </c>
      <c r="AB13" s="40">
        <v>3058</v>
      </c>
      <c r="AC13" s="40">
        <v>3058</v>
      </c>
      <c r="AD13" s="40">
        <v>3061</v>
      </c>
      <c r="AE13" s="40">
        <v>3073</v>
      </c>
      <c r="AF13" s="40">
        <v>3073</v>
      </c>
      <c r="AG13" s="40">
        <v>3073</v>
      </c>
      <c r="AH13" s="40">
        <v>3075</v>
      </c>
      <c r="AI13" s="40"/>
    </row>
    <row r="14" spans="1:67" s="24" customFormat="1" ht="21.75" customHeight="1" x14ac:dyDescent="0.2">
      <c r="A14" s="71"/>
      <c r="B14" s="41"/>
      <c r="C14" s="74"/>
      <c r="D14" s="42"/>
      <c r="E14" s="42">
        <f t="shared" ref="E14:J14" si="88">E13-D13</f>
        <v>0</v>
      </c>
      <c r="F14" s="42">
        <f t="shared" ref="F14" si="89">F13-E13</f>
        <v>0</v>
      </c>
      <c r="G14" s="42">
        <f t="shared" ref="G14" si="90">G13-F13</f>
        <v>0</v>
      </c>
      <c r="H14" s="42">
        <f t="shared" ref="H14" si="91">H13-G13</f>
        <v>0</v>
      </c>
      <c r="I14" s="42">
        <f t="shared" ref="I14" si="92">I13-H13</f>
        <v>0</v>
      </c>
      <c r="J14" s="42">
        <f t="shared" ref="J14" si="93">J13-I13</f>
        <v>0</v>
      </c>
      <c r="K14" s="42">
        <f t="shared" ref="K14" si="94">K13-J13</f>
        <v>0</v>
      </c>
      <c r="L14" s="42">
        <f t="shared" ref="L14" si="95">L13-K13</f>
        <v>0</v>
      </c>
      <c r="M14" s="42">
        <f t="shared" ref="M14" si="96">M13-L13</f>
        <v>0</v>
      </c>
      <c r="N14" s="42">
        <f t="shared" ref="N14" si="97">N13-M13</f>
        <v>0</v>
      </c>
      <c r="O14" s="42">
        <f t="shared" ref="O14" si="98">O13-N13</f>
        <v>0</v>
      </c>
      <c r="P14" s="42">
        <f t="shared" ref="P14" si="99">P13-O13</f>
        <v>0</v>
      </c>
      <c r="Q14" s="42">
        <f t="shared" ref="Q14" si="100">Q13-P13</f>
        <v>0</v>
      </c>
      <c r="R14" s="42">
        <f t="shared" ref="R14" si="101">R13-Q13</f>
        <v>0</v>
      </c>
      <c r="S14" s="42">
        <f t="shared" ref="S14" si="102">S13-R13</f>
        <v>0</v>
      </c>
      <c r="T14" s="42">
        <f t="shared" ref="T14" si="103">T13-S13</f>
        <v>0</v>
      </c>
      <c r="U14" s="42">
        <f t="shared" ref="U14" si="104">U13-T13</f>
        <v>0</v>
      </c>
      <c r="V14" s="42">
        <f t="shared" ref="V14" si="105">V13-U13</f>
        <v>0</v>
      </c>
      <c r="W14" s="42">
        <f t="shared" ref="W14" si="106">W13-V13</f>
        <v>0</v>
      </c>
      <c r="X14" s="42">
        <f t="shared" ref="X14" si="107">X13-W13</f>
        <v>0</v>
      </c>
      <c r="Y14" s="42">
        <f t="shared" ref="Y14" si="108">Y13-X13</f>
        <v>0</v>
      </c>
      <c r="Z14" s="42">
        <f t="shared" ref="Z14" si="109">Z13-Y13</f>
        <v>0</v>
      </c>
      <c r="AA14" s="42">
        <f t="shared" ref="AA14" si="110">AA13-Z13</f>
        <v>0</v>
      </c>
      <c r="AB14" s="42">
        <f t="shared" ref="AB14" si="111">AB13-AA13</f>
        <v>0</v>
      </c>
      <c r="AC14" s="42">
        <f t="shared" ref="AC14" si="112">AC13-AB13</f>
        <v>0</v>
      </c>
      <c r="AD14" s="42">
        <f t="shared" ref="AD14" si="113">AD13-AC13</f>
        <v>3</v>
      </c>
      <c r="AE14" s="42">
        <f t="shared" ref="AE14" si="114">AE13-AD13</f>
        <v>12</v>
      </c>
      <c r="AF14" s="42">
        <f t="shared" ref="AF14" si="115">AF13-AE13</f>
        <v>0</v>
      </c>
      <c r="AG14" s="42">
        <f t="shared" ref="AG14" si="116">AG13-AF13</f>
        <v>0</v>
      </c>
      <c r="AH14" s="42">
        <f t="shared" ref="AH14" si="117">AH13-AG13</f>
        <v>2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6">
        <v>8</v>
      </c>
      <c r="B15" s="39" t="s">
        <v>28</v>
      </c>
      <c r="C15" s="68" t="s">
        <v>29</v>
      </c>
      <c r="D15" s="40">
        <v>346</v>
      </c>
      <c r="E15" s="40">
        <v>346</v>
      </c>
      <c r="F15" s="40">
        <v>346</v>
      </c>
      <c r="G15" s="40">
        <v>346</v>
      </c>
      <c r="H15" s="40">
        <v>346</v>
      </c>
      <c r="I15" s="40">
        <v>346</v>
      </c>
      <c r="J15" s="40">
        <v>346</v>
      </c>
      <c r="K15" s="40">
        <v>346</v>
      </c>
      <c r="L15" s="40">
        <v>346</v>
      </c>
      <c r="M15" s="40">
        <v>346</v>
      </c>
      <c r="N15" s="40">
        <v>346</v>
      </c>
      <c r="O15" s="40">
        <v>346</v>
      </c>
      <c r="P15" s="40">
        <v>346</v>
      </c>
      <c r="Q15" s="40">
        <v>346</v>
      </c>
      <c r="R15" s="40">
        <v>346</v>
      </c>
      <c r="S15" s="40">
        <v>346</v>
      </c>
      <c r="T15" s="40">
        <v>346</v>
      </c>
      <c r="U15" s="40">
        <v>346</v>
      </c>
      <c r="V15" s="40">
        <v>346</v>
      </c>
      <c r="W15" s="40">
        <v>346</v>
      </c>
      <c r="X15" s="40">
        <v>346</v>
      </c>
      <c r="Y15" s="40">
        <v>346</v>
      </c>
      <c r="Z15" s="40">
        <v>346</v>
      </c>
      <c r="AA15" s="40">
        <v>346</v>
      </c>
      <c r="AB15" s="40">
        <v>346</v>
      </c>
      <c r="AC15" s="40">
        <v>346</v>
      </c>
      <c r="AD15" s="40">
        <v>346</v>
      </c>
      <c r="AE15" s="40">
        <v>348</v>
      </c>
      <c r="AF15" s="40">
        <v>348</v>
      </c>
      <c r="AG15" s="40">
        <v>348</v>
      </c>
      <c r="AH15" s="40">
        <v>348</v>
      </c>
      <c r="AI15" s="40"/>
    </row>
    <row r="16" spans="1:67" s="24" customFormat="1" ht="21.75" customHeight="1" x14ac:dyDescent="0.2">
      <c r="A16" s="73"/>
      <c r="B16" s="41"/>
      <c r="C16" s="74"/>
      <c r="D16" s="42"/>
      <c r="E16" s="42">
        <f t="shared" ref="E16" si="118">E15-D15</f>
        <v>0</v>
      </c>
      <c r="F16" s="42">
        <f t="shared" ref="F16" si="119">F15-E15</f>
        <v>0</v>
      </c>
      <c r="G16" s="42">
        <f t="shared" ref="G16" si="120">G15-F15</f>
        <v>0</v>
      </c>
      <c r="H16" s="42">
        <f t="shared" ref="H16" si="121">H15-G15</f>
        <v>0</v>
      </c>
      <c r="I16" s="42">
        <f t="shared" ref="I16" si="122">I15-H15</f>
        <v>0</v>
      </c>
      <c r="J16" s="42">
        <f t="shared" ref="J16" si="123">J15-I15</f>
        <v>0</v>
      </c>
      <c r="K16" s="42">
        <f t="shared" ref="K16" si="124">K15-J15</f>
        <v>0</v>
      </c>
      <c r="L16" s="42">
        <f t="shared" ref="L16" si="125">L15-K15</f>
        <v>0</v>
      </c>
      <c r="M16" s="42">
        <f t="shared" ref="M16" si="126">M15-L15</f>
        <v>0</v>
      </c>
      <c r="N16" s="42">
        <f t="shared" ref="N16" si="127">N15-M15</f>
        <v>0</v>
      </c>
      <c r="O16" s="42">
        <f t="shared" ref="O16" si="128">O15-N15</f>
        <v>0</v>
      </c>
      <c r="P16" s="42">
        <f t="shared" ref="P16" si="129">P15-O15</f>
        <v>0</v>
      </c>
      <c r="Q16" s="42">
        <f t="shared" ref="Q16" si="130">Q15-P15</f>
        <v>0</v>
      </c>
      <c r="R16" s="42">
        <f t="shared" ref="R16" si="131">R15-Q15</f>
        <v>0</v>
      </c>
      <c r="S16" s="42">
        <f t="shared" ref="S16" si="132">S15-R15</f>
        <v>0</v>
      </c>
      <c r="T16" s="42">
        <f t="shared" ref="T16" si="133">T15-S15</f>
        <v>0</v>
      </c>
      <c r="U16" s="42">
        <f t="shared" ref="U16" si="134">U15-T15</f>
        <v>0</v>
      </c>
      <c r="V16" s="42">
        <f t="shared" ref="V16" si="135">V15-U15</f>
        <v>0</v>
      </c>
      <c r="W16" s="42">
        <f t="shared" ref="W16" si="136">W15-V15</f>
        <v>0</v>
      </c>
      <c r="X16" s="42">
        <f t="shared" ref="X16" si="137">X15-W15</f>
        <v>0</v>
      </c>
      <c r="Y16" s="42">
        <f t="shared" ref="Y16" si="138">Y15-X15</f>
        <v>0</v>
      </c>
      <c r="Z16" s="42">
        <f t="shared" ref="Z16" si="139">Z15-Y15</f>
        <v>0</v>
      </c>
      <c r="AA16" s="42">
        <f t="shared" ref="AA16" si="140">AA15-Z15</f>
        <v>0</v>
      </c>
      <c r="AB16" s="42">
        <f t="shared" ref="AB16" si="141">AB15-AA15</f>
        <v>0</v>
      </c>
      <c r="AC16" s="42">
        <f t="shared" ref="AC16" si="142">AC15-AB15</f>
        <v>0</v>
      </c>
      <c r="AD16" s="42">
        <f t="shared" ref="AD16" si="143">AD15-AC15</f>
        <v>0</v>
      </c>
      <c r="AE16" s="42">
        <f t="shared" ref="AE16" si="144">AE15-AD15</f>
        <v>2</v>
      </c>
      <c r="AF16" s="42">
        <f t="shared" ref="AF16" si="145">AF15-AE15</f>
        <v>0</v>
      </c>
      <c r="AG16" s="42">
        <f t="shared" ref="AG16" si="146">AG15-AF15</f>
        <v>0</v>
      </c>
      <c r="AH16" s="42">
        <f t="shared" ref="AH16" si="147">AH15-AG15</f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6">
        <v>13</v>
      </c>
      <c r="B17" s="39" t="s">
        <v>30</v>
      </c>
      <c r="C17" s="68" t="s">
        <v>31</v>
      </c>
      <c r="D17" s="40">
        <v>1143372</v>
      </c>
      <c r="E17" s="40">
        <v>1143528</v>
      </c>
      <c r="F17" s="40">
        <v>1143686</v>
      </c>
      <c r="G17" s="40">
        <v>1143848</v>
      </c>
      <c r="H17" s="40">
        <v>1144013</v>
      </c>
      <c r="I17" s="40">
        <v>1144171</v>
      </c>
      <c r="J17" s="40">
        <v>1144332</v>
      </c>
      <c r="K17" s="40">
        <v>1144487</v>
      </c>
      <c r="L17" s="40">
        <v>1144646</v>
      </c>
      <c r="M17" s="40">
        <v>1144820</v>
      </c>
      <c r="N17" s="40">
        <v>1144997</v>
      </c>
      <c r="O17" s="40">
        <v>1145158</v>
      </c>
      <c r="P17" s="40">
        <v>1145317</v>
      </c>
      <c r="Q17" s="40">
        <v>1145473</v>
      </c>
      <c r="R17" s="40">
        <v>1145627</v>
      </c>
      <c r="S17" s="40">
        <v>1145783</v>
      </c>
      <c r="T17" s="40">
        <v>1145946</v>
      </c>
      <c r="U17" s="40">
        <v>1146105</v>
      </c>
      <c r="V17" s="40">
        <v>1146263</v>
      </c>
      <c r="W17" s="40">
        <v>1146424</v>
      </c>
      <c r="X17" s="40">
        <v>1146583</v>
      </c>
      <c r="Y17" s="40">
        <v>1146744</v>
      </c>
      <c r="Z17" s="40">
        <v>1146893</v>
      </c>
      <c r="AA17" s="40">
        <v>1147046</v>
      </c>
      <c r="AB17" s="40">
        <v>1147201</v>
      </c>
      <c r="AC17" s="40">
        <v>1147384</v>
      </c>
      <c r="AD17" s="40">
        <v>1147520</v>
      </c>
      <c r="AE17" s="40">
        <v>1147707</v>
      </c>
      <c r="AF17" s="40">
        <v>1147879</v>
      </c>
      <c r="AG17" s="40">
        <v>1148042</v>
      </c>
      <c r="AH17" s="40">
        <v>1148202</v>
      </c>
      <c r="AI17" s="40"/>
    </row>
    <row r="18" spans="1:35" ht="21.75" customHeight="1" x14ac:dyDescent="0.2">
      <c r="A18" s="67"/>
      <c r="B18" s="43"/>
      <c r="C18" s="69"/>
      <c r="D18" s="42"/>
      <c r="E18" s="42">
        <f t="shared" ref="E18" si="148">E17-D17</f>
        <v>156</v>
      </c>
      <c r="F18" s="42">
        <f t="shared" ref="F18" si="149">F17-E17</f>
        <v>158</v>
      </c>
      <c r="G18" s="42">
        <f t="shared" ref="G18" si="150">G17-F17</f>
        <v>162</v>
      </c>
      <c r="H18" s="42">
        <f t="shared" ref="H18" si="151">H17-G17</f>
        <v>165</v>
      </c>
      <c r="I18" s="42">
        <f t="shared" ref="I18" si="152">I17-H17</f>
        <v>158</v>
      </c>
      <c r="J18" s="42">
        <f t="shared" ref="J18" si="153">J17-I17</f>
        <v>161</v>
      </c>
      <c r="K18" s="42">
        <f t="shared" ref="K18" si="154">K17-J17</f>
        <v>155</v>
      </c>
      <c r="L18" s="42">
        <f t="shared" ref="L18" si="155">L17-K17</f>
        <v>159</v>
      </c>
      <c r="M18" s="42">
        <f t="shared" ref="M18" si="156">M17-L17</f>
        <v>174</v>
      </c>
      <c r="N18" s="42">
        <f t="shared" ref="N18" si="157">N17-M17</f>
        <v>177</v>
      </c>
      <c r="O18" s="42">
        <f t="shared" ref="O18" si="158">O17-N17</f>
        <v>161</v>
      </c>
      <c r="P18" s="42">
        <f t="shared" ref="P18" si="159">P17-O17</f>
        <v>159</v>
      </c>
      <c r="Q18" s="42">
        <f t="shared" ref="Q18" si="160">Q17-P17</f>
        <v>156</v>
      </c>
      <c r="R18" s="42">
        <f t="shared" ref="R18" si="161">R17-Q17</f>
        <v>154</v>
      </c>
      <c r="S18" s="42">
        <f t="shared" ref="S18" si="162">S17-R17</f>
        <v>156</v>
      </c>
      <c r="T18" s="42">
        <f t="shared" ref="T18" si="163">T17-S17</f>
        <v>163</v>
      </c>
      <c r="U18" s="42">
        <f t="shared" ref="U18" si="164">U17-T17</f>
        <v>159</v>
      </c>
      <c r="V18" s="42">
        <f t="shared" ref="V18" si="165">V17-U17</f>
        <v>158</v>
      </c>
      <c r="W18" s="42">
        <f t="shared" ref="W18" si="166">W17-V17</f>
        <v>161</v>
      </c>
      <c r="X18" s="42">
        <f t="shared" ref="X18" si="167">X17-W17</f>
        <v>159</v>
      </c>
      <c r="Y18" s="42">
        <f t="shared" ref="Y18" si="168">Y17-X17</f>
        <v>161</v>
      </c>
      <c r="Z18" s="42">
        <f t="shared" ref="Z18" si="169">Z17-Y17</f>
        <v>149</v>
      </c>
      <c r="AA18" s="42">
        <f t="shared" ref="AA18" si="170">AA17-Z17</f>
        <v>153</v>
      </c>
      <c r="AB18" s="42">
        <f t="shared" ref="AB18" si="171">AB17-AA17</f>
        <v>155</v>
      </c>
      <c r="AC18" s="42">
        <f t="shared" ref="AC18" si="172">AC17-AB17</f>
        <v>183</v>
      </c>
      <c r="AD18" s="42">
        <f t="shared" ref="AD18" si="173">AD17-AC17</f>
        <v>136</v>
      </c>
      <c r="AE18" s="42">
        <f t="shared" ref="AE18" si="174">AE17-AD17</f>
        <v>187</v>
      </c>
      <c r="AF18" s="42">
        <f t="shared" ref="AF18" si="175">AF17-AE17</f>
        <v>172</v>
      </c>
      <c r="AG18" s="42">
        <f t="shared" ref="AG18" si="176">AG17-AF17</f>
        <v>163</v>
      </c>
      <c r="AH18" s="42">
        <f t="shared" ref="AH18" si="177">AH17-AG17</f>
        <v>160</v>
      </c>
      <c r="AI18" s="42"/>
    </row>
    <row r="19" spans="1:35" ht="21.75" customHeight="1" x14ac:dyDescent="0.2">
      <c r="A19" s="70">
        <v>14</v>
      </c>
      <c r="B19" s="39" t="s">
        <v>32</v>
      </c>
      <c r="C19" s="68" t="s">
        <v>33</v>
      </c>
      <c r="D19" s="40">
        <v>333443</v>
      </c>
      <c r="E19" s="40">
        <v>333482</v>
      </c>
      <c r="F19" s="40">
        <v>333522</v>
      </c>
      <c r="G19" s="40">
        <v>333561</v>
      </c>
      <c r="H19" s="40">
        <v>333601</v>
      </c>
      <c r="I19" s="40">
        <v>333642</v>
      </c>
      <c r="J19" s="40">
        <v>333683</v>
      </c>
      <c r="K19" s="40">
        <v>333723</v>
      </c>
      <c r="L19" s="40">
        <v>333763</v>
      </c>
      <c r="M19" s="40">
        <v>333803</v>
      </c>
      <c r="N19" s="40">
        <v>333844</v>
      </c>
      <c r="O19" s="40">
        <v>333884</v>
      </c>
      <c r="P19" s="40">
        <v>333924</v>
      </c>
      <c r="Q19" s="40">
        <v>333963</v>
      </c>
      <c r="R19" s="40">
        <v>334004</v>
      </c>
      <c r="S19" s="40">
        <v>334043</v>
      </c>
      <c r="T19" s="40">
        <v>334083</v>
      </c>
      <c r="U19" s="40">
        <v>334121</v>
      </c>
      <c r="V19" s="40">
        <v>334160</v>
      </c>
      <c r="W19" s="40">
        <v>334201</v>
      </c>
      <c r="X19" s="40">
        <v>334241</v>
      </c>
      <c r="Y19" s="40">
        <v>334281</v>
      </c>
      <c r="Z19" s="40">
        <v>334321</v>
      </c>
      <c r="AA19" s="40">
        <v>334362</v>
      </c>
      <c r="AB19" s="40">
        <v>334404</v>
      </c>
      <c r="AC19" s="40">
        <v>334446</v>
      </c>
      <c r="AD19" s="40">
        <v>334487</v>
      </c>
      <c r="AE19" s="40">
        <v>334529</v>
      </c>
      <c r="AF19" s="40">
        <v>334570</v>
      </c>
      <c r="AG19" s="40">
        <v>334610</v>
      </c>
      <c r="AH19" s="40">
        <v>334651</v>
      </c>
      <c r="AI19" s="40"/>
    </row>
    <row r="20" spans="1:35" ht="21.75" customHeight="1" x14ac:dyDescent="0.2">
      <c r="A20" s="71"/>
      <c r="B20" s="43"/>
      <c r="C20" s="69"/>
      <c r="D20" s="42"/>
      <c r="E20" s="42">
        <f t="shared" ref="E20" si="178">E19-D19</f>
        <v>39</v>
      </c>
      <c r="F20" s="42">
        <f t="shared" ref="F20" si="179">F19-E19</f>
        <v>40</v>
      </c>
      <c r="G20" s="42">
        <f t="shared" ref="G20" si="180">G19-F19</f>
        <v>39</v>
      </c>
      <c r="H20" s="42">
        <f t="shared" ref="H20" si="181">H19-G19</f>
        <v>40</v>
      </c>
      <c r="I20" s="42">
        <f t="shared" ref="I20" si="182">I19-H19</f>
        <v>41</v>
      </c>
      <c r="J20" s="42">
        <f t="shared" ref="J20" si="183">J19-I19</f>
        <v>41</v>
      </c>
      <c r="K20" s="42">
        <f t="shared" ref="K20" si="184">K19-J19</f>
        <v>40</v>
      </c>
      <c r="L20" s="42">
        <f t="shared" ref="L20" si="185">L19-K19</f>
        <v>40</v>
      </c>
      <c r="M20" s="42">
        <f t="shared" ref="M20" si="186">M19-L19</f>
        <v>40</v>
      </c>
      <c r="N20" s="42">
        <f t="shared" ref="N20" si="187">N19-M19</f>
        <v>41</v>
      </c>
      <c r="O20" s="42">
        <f t="shared" ref="O20" si="188">O19-N19</f>
        <v>40</v>
      </c>
      <c r="P20" s="42">
        <f t="shared" ref="P20" si="189">P19-O19</f>
        <v>40</v>
      </c>
      <c r="Q20" s="42">
        <f t="shared" ref="Q20" si="190">Q19-P19</f>
        <v>39</v>
      </c>
      <c r="R20" s="42">
        <f t="shared" ref="R20" si="191">R19-Q19</f>
        <v>41</v>
      </c>
      <c r="S20" s="42">
        <f t="shared" ref="S20" si="192">S19-R19</f>
        <v>39</v>
      </c>
      <c r="T20" s="42">
        <f t="shared" ref="T20" si="193">T19-S19</f>
        <v>40</v>
      </c>
      <c r="U20" s="42">
        <f t="shared" ref="U20" si="194">U19-T19</f>
        <v>38</v>
      </c>
      <c r="V20" s="42">
        <f t="shared" ref="V20" si="195">V19-U19</f>
        <v>39</v>
      </c>
      <c r="W20" s="42">
        <f t="shared" ref="W20" si="196">W19-V19</f>
        <v>41</v>
      </c>
      <c r="X20" s="42">
        <f t="shared" ref="X20" si="197">X19-W19</f>
        <v>40</v>
      </c>
      <c r="Y20" s="42">
        <f t="shared" ref="Y20" si="198">Y19-X19</f>
        <v>40</v>
      </c>
      <c r="Z20" s="42">
        <f t="shared" ref="Z20" si="199">Z19-Y19</f>
        <v>40</v>
      </c>
      <c r="AA20" s="42">
        <f t="shared" ref="AA20" si="200">AA19-Z19</f>
        <v>41</v>
      </c>
      <c r="AB20" s="42">
        <f t="shared" ref="AB20" si="201">AB19-AA19</f>
        <v>42</v>
      </c>
      <c r="AC20" s="42">
        <f t="shared" ref="AC20" si="202">AC19-AB19</f>
        <v>42</v>
      </c>
      <c r="AD20" s="42">
        <f t="shared" ref="AD20" si="203">AD19-AC19</f>
        <v>41</v>
      </c>
      <c r="AE20" s="42">
        <f t="shared" ref="AE20" si="204">AE19-AD19</f>
        <v>42</v>
      </c>
      <c r="AF20" s="42">
        <f t="shared" ref="AF20" si="205">AF19-AE19</f>
        <v>41</v>
      </c>
      <c r="AG20" s="42">
        <f t="shared" ref="AG20" si="206">AG19-AF19</f>
        <v>40</v>
      </c>
      <c r="AH20" s="42">
        <f t="shared" ref="AH20" si="207">AH19-AG19</f>
        <v>41</v>
      </c>
      <c r="AI20" s="42"/>
    </row>
    <row r="21" spans="1:35" ht="27" customHeight="1" x14ac:dyDescent="0.3">
      <c r="B21" s="72" t="s">
        <v>34</v>
      </c>
      <c r="C21" s="72"/>
      <c r="D21" s="44"/>
      <c r="E21" s="58">
        <f>((E6+E8)+((E10+E12)*40%)+(E14+E16+E18+E20))</f>
        <v>40595</v>
      </c>
      <c r="F21" s="58">
        <f t="shared" ref="F21:AH21" si="208">((F6+F8)+((F10+F12)*40%)+(F14+F16+F18+F20))</f>
        <v>41398</v>
      </c>
      <c r="G21" s="58">
        <f t="shared" si="208"/>
        <v>38801</v>
      </c>
      <c r="H21" s="58">
        <f t="shared" si="208"/>
        <v>35605</v>
      </c>
      <c r="I21" s="58">
        <f t="shared" si="208"/>
        <v>38799</v>
      </c>
      <c r="J21" s="58">
        <f t="shared" si="208"/>
        <v>40802</v>
      </c>
      <c r="K21" s="58">
        <f t="shared" si="208"/>
        <v>43195</v>
      </c>
      <c r="L21" s="58">
        <f t="shared" si="208"/>
        <v>42199</v>
      </c>
      <c r="M21" s="58">
        <f t="shared" si="208"/>
        <v>43614</v>
      </c>
      <c r="N21" s="58">
        <f t="shared" si="208"/>
        <v>41018</v>
      </c>
      <c r="O21" s="58">
        <f t="shared" si="208"/>
        <v>41801</v>
      </c>
      <c r="P21" s="58">
        <f t="shared" si="208"/>
        <v>42399</v>
      </c>
      <c r="Q21" s="58">
        <f t="shared" si="208"/>
        <v>43595</v>
      </c>
      <c r="R21" s="58">
        <f t="shared" si="208"/>
        <v>43595</v>
      </c>
      <c r="S21" s="58">
        <f t="shared" si="208"/>
        <v>43995</v>
      </c>
      <c r="T21" s="58">
        <f t="shared" si="208"/>
        <v>41603</v>
      </c>
      <c r="U21" s="58">
        <f t="shared" si="208"/>
        <v>41597</v>
      </c>
      <c r="V21" s="58">
        <f t="shared" si="208"/>
        <v>38197</v>
      </c>
      <c r="W21" s="58">
        <f t="shared" si="208"/>
        <v>39602</v>
      </c>
      <c r="X21" s="58">
        <f t="shared" si="208"/>
        <v>42199</v>
      </c>
      <c r="Y21" s="58">
        <f t="shared" si="208"/>
        <v>42401</v>
      </c>
      <c r="Z21" s="58">
        <f t="shared" si="208"/>
        <v>41789</v>
      </c>
      <c r="AA21" s="58">
        <f t="shared" si="208"/>
        <v>40794</v>
      </c>
      <c r="AB21" s="58">
        <f t="shared" si="208"/>
        <v>41597</v>
      </c>
      <c r="AC21" s="58">
        <f t="shared" si="208"/>
        <v>41825</v>
      </c>
      <c r="AD21" s="58">
        <f t="shared" si="208"/>
        <v>42180</v>
      </c>
      <c r="AE21" s="58">
        <f t="shared" si="208"/>
        <v>40643</v>
      </c>
      <c r="AF21" s="58">
        <f t="shared" si="208"/>
        <v>42013</v>
      </c>
      <c r="AG21" s="58">
        <f t="shared" si="208"/>
        <v>41803</v>
      </c>
      <c r="AH21" s="58">
        <f t="shared" si="208"/>
        <v>40603</v>
      </c>
      <c r="AI21" s="58"/>
    </row>
    <row r="22" spans="1:35" ht="27" customHeight="1" x14ac:dyDescent="0.3">
      <c r="B22" s="65" t="s">
        <v>35</v>
      </c>
      <c r="C22" s="65"/>
      <c r="D22" s="44"/>
      <c r="E22" s="58">
        <f>SUM(E21:AI21)</f>
        <v>1240257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AH9" sqref="AH9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8" t="s">
        <v>36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/>
    </row>
    <row r="5" spans="1:42" s="8" customFormat="1" ht="40.5" customHeight="1" thickBot="1" x14ac:dyDescent="0.3">
      <c r="A5" s="91" t="s">
        <v>39</v>
      </c>
      <c r="B5" s="27" t="s">
        <v>69</v>
      </c>
      <c r="C5" s="93" t="s">
        <v>70</v>
      </c>
      <c r="D5" s="31">
        <v>260058.7</v>
      </c>
      <c r="E5" s="31">
        <v>260493.3</v>
      </c>
      <c r="F5" s="31">
        <v>260985.5</v>
      </c>
      <c r="G5" s="31">
        <v>261337.60000000001</v>
      </c>
      <c r="H5" s="31">
        <v>261507.5</v>
      </c>
      <c r="I5" s="31">
        <v>261599.5</v>
      </c>
      <c r="J5" s="31">
        <v>261738.2</v>
      </c>
      <c r="K5" s="31">
        <v>261836</v>
      </c>
      <c r="L5" s="31">
        <v>261977.3</v>
      </c>
      <c r="M5" s="31">
        <v>262119.2</v>
      </c>
      <c r="N5" s="31">
        <v>262231.2</v>
      </c>
      <c r="O5" s="31">
        <v>262379.59999999998</v>
      </c>
      <c r="P5" s="31">
        <v>262515.5</v>
      </c>
      <c r="Q5" s="31">
        <v>262607</v>
      </c>
      <c r="R5" s="31">
        <v>262731.59999999998</v>
      </c>
      <c r="S5" s="31">
        <v>262845.40000000002</v>
      </c>
      <c r="T5" s="31">
        <v>262993.3</v>
      </c>
      <c r="U5" s="31">
        <v>263084.2</v>
      </c>
      <c r="V5" s="31">
        <v>263233.8</v>
      </c>
      <c r="W5" s="31">
        <v>263373.90000000002</v>
      </c>
      <c r="X5" s="31">
        <v>263482.8</v>
      </c>
      <c r="Y5" s="31">
        <v>263642.09999999998</v>
      </c>
      <c r="Z5" s="31">
        <v>263795.09999999998</v>
      </c>
      <c r="AA5" s="31">
        <v>263957.7</v>
      </c>
      <c r="AB5" s="31">
        <v>264110.5</v>
      </c>
      <c r="AC5" s="31">
        <v>264238.8</v>
      </c>
      <c r="AD5" s="31">
        <v>264396.09999999998</v>
      </c>
      <c r="AE5" s="31">
        <v>264532.5</v>
      </c>
      <c r="AF5" s="31">
        <v>264712.90000000002</v>
      </c>
      <c r="AG5" s="31">
        <v>264873.59999999998</v>
      </c>
      <c r="AH5" s="31">
        <v>265035.5</v>
      </c>
      <c r="AI5" s="31"/>
    </row>
    <row r="6" spans="1:42" s="34" customFormat="1" ht="25.7" customHeight="1" thickBot="1" x14ac:dyDescent="0.3">
      <c r="A6" s="92"/>
      <c r="B6" s="32"/>
      <c r="C6" s="93"/>
      <c r="D6" s="33"/>
      <c r="E6" s="33">
        <f>E5-D5</f>
        <v>434.59999999997672</v>
      </c>
      <c r="F6" s="33">
        <f t="shared" ref="F6:AH6" si="0">F5-E5</f>
        <v>492.20000000001164</v>
      </c>
      <c r="G6" s="33">
        <f t="shared" si="0"/>
        <v>352.10000000000582</v>
      </c>
      <c r="H6" s="33">
        <f t="shared" si="0"/>
        <v>169.89999999999418</v>
      </c>
      <c r="I6" s="33">
        <f t="shared" si="0"/>
        <v>92</v>
      </c>
      <c r="J6" s="33">
        <f t="shared" si="0"/>
        <v>138.70000000001164</v>
      </c>
      <c r="K6" s="33">
        <f t="shared" si="0"/>
        <v>97.799999999988358</v>
      </c>
      <c r="L6" s="33">
        <f t="shared" si="0"/>
        <v>141.29999999998836</v>
      </c>
      <c r="M6" s="33">
        <f t="shared" si="0"/>
        <v>141.90000000002328</v>
      </c>
      <c r="N6" s="33">
        <f t="shared" si="0"/>
        <v>112</v>
      </c>
      <c r="O6" s="33">
        <f t="shared" si="0"/>
        <v>148.39999999996508</v>
      </c>
      <c r="P6" s="33">
        <f t="shared" si="0"/>
        <v>135.90000000002328</v>
      </c>
      <c r="Q6" s="33">
        <f t="shared" si="0"/>
        <v>91.5</v>
      </c>
      <c r="R6" s="33">
        <f t="shared" si="0"/>
        <v>124.59999999997672</v>
      </c>
      <c r="S6" s="33">
        <f t="shared" si="0"/>
        <v>113.80000000004657</v>
      </c>
      <c r="T6" s="33">
        <f t="shared" si="0"/>
        <v>147.89999999996508</v>
      </c>
      <c r="U6" s="33">
        <f t="shared" si="0"/>
        <v>90.900000000023283</v>
      </c>
      <c r="V6" s="33">
        <f t="shared" si="0"/>
        <v>149.59999999997672</v>
      </c>
      <c r="W6" s="33">
        <f t="shared" si="0"/>
        <v>140.10000000003492</v>
      </c>
      <c r="X6" s="33">
        <f t="shared" si="0"/>
        <v>108.89999999996508</v>
      </c>
      <c r="Y6" s="33">
        <f t="shared" si="0"/>
        <v>159.29999999998836</v>
      </c>
      <c r="Z6" s="33">
        <f t="shared" si="0"/>
        <v>153</v>
      </c>
      <c r="AA6" s="33">
        <f t="shared" si="0"/>
        <v>162.60000000003492</v>
      </c>
      <c r="AB6" s="33">
        <f t="shared" si="0"/>
        <v>152.79999999998836</v>
      </c>
      <c r="AC6" s="33">
        <f t="shared" si="0"/>
        <v>128.29999999998836</v>
      </c>
      <c r="AD6" s="33">
        <f t="shared" si="0"/>
        <v>157.29999999998836</v>
      </c>
      <c r="AE6" s="33">
        <f t="shared" si="0"/>
        <v>136.40000000002328</v>
      </c>
      <c r="AF6" s="33">
        <f t="shared" si="0"/>
        <v>180.40000000002328</v>
      </c>
      <c r="AG6" s="33">
        <f t="shared" si="0"/>
        <v>160.69999999995343</v>
      </c>
      <c r="AH6" s="33">
        <f t="shared" si="0"/>
        <v>161.90000000002328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1" t="s">
        <v>41</v>
      </c>
      <c r="B7" s="49" t="s">
        <v>71</v>
      </c>
      <c r="C7" s="93" t="s">
        <v>72</v>
      </c>
      <c r="D7" s="31">
        <v>298427.90000000002</v>
      </c>
      <c r="E7" s="31">
        <v>298540.2</v>
      </c>
      <c r="F7" s="31">
        <v>298693.90000000002</v>
      </c>
      <c r="G7" s="31">
        <v>298778</v>
      </c>
      <c r="H7" s="31">
        <v>299171.40000000002</v>
      </c>
      <c r="I7" s="31">
        <v>299529.09999999998</v>
      </c>
      <c r="J7" s="31">
        <v>299865.09999999998</v>
      </c>
      <c r="K7" s="31">
        <v>300238.3</v>
      </c>
      <c r="L7" s="31">
        <v>300505.90000000002</v>
      </c>
      <c r="M7" s="31">
        <v>301148.79999999999</v>
      </c>
      <c r="N7" s="31">
        <v>301426.59999999998</v>
      </c>
      <c r="O7" s="31">
        <v>301823.8</v>
      </c>
      <c r="P7" s="31">
        <v>302306.5</v>
      </c>
      <c r="Q7" s="31">
        <v>302650.09999999998</v>
      </c>
      <c r="R7" s="31">
        <v>303106.2</v>
      </c>
      <c r="S7" s="31">
        <v>303618.8</v>
      </c>
      <c r="T7" s="31">
        <v>304048.59999999998</v>
      </c>
      <c r="U7" s="31">
        <v>304406.59999999998</v>
      </c>
      <c r="V7" s="31">
        <v>304767.7</v>
      </c>
      <c r="W7" s="31">
        <v>305109.90000000002</v>
      </c>
      <c r="X7" s="31">
        <v>305512.2</v>
      </c>
      <c r="Y7" s="31">
        <v>305906.7</v>
      </c>
      <c r="Z7" s="31">
        <v>306306.59999999998</v>
      </c>
      <c r="AA7" s="31">
        <v>306733.40000000002</v>
      </c>
      <c r="AB7" s="31">
        <v>307004.59999999998</v>
      </c>
      <c r="AC7" s="31">
        <v>307393.3</v>
      </c>
      <c r="AD7" s="31">
        <v>307796.5</v>
      </c>
      <c r="AE7" s="31">
        <v>308062.8</v>
      </c>
      <c r="AF7" s="31">
        <v>308460.90000000002</v>
      </c>
      <c r="AG7" s="31">
        <v>308842.5</v>
      </c>
      <c r="AH7" s="31">
        <v>309183.90000000002</v>
      </c>
      <c r="AI7" s="31"/>
    </row>
    <row r="8" spans="1:42" s="34" customFormat="1" ht="25.7" customHeight="1" thickBot="1" x14ac:dyDescent="0.3">
      <c r="A8" s="92"/>
      <c r="B8" s="47"/>
      <c r="C8" s="93"/>
      <c r="D8" s="33"/>
      <c r="E8" s="33">
        <f>E7-D7</f>
        <v>112.29999999998836</v>
      </c>
      <c r="F8" s="33">
        <f t="shared" ref="F8:AH8" si="1">F7-E7</f>
        <v>153.70000000001164</v>
      </c>
      <c r="G8" s="33">
        <f t="shared" si="1"/>
        <v>84.099999999976717</v>
      </c>
      <c r="H8" s="33">
        <f t="shared" si="1"/>
        <v>393.40000000002328</v>
      </c>
      <c r="I8" s="33">
        <f t="shared" si="1"/>
        <v>357.69999999995343</v>
      </c>
      <c r="J8" s="33">
        <f t="shared" si="1"/>
        <v>336</v>
      </c>
      <c r="K8" s="33">
        <f t="shared" si="1"/>
        <v>373.20000000001164</v>
      </c>
      <c r="L8" s="33">
        <f t="shared" si="1"/>
        <v>267.60000000003492</v>
      </c>
      <c r="M8" s="33">
        <f t="shared" si="1"/>
        <v>642.89999999996508</v>
      </c>
      <c r="N8" s="33">
        <f t="shared" si="1"/>
        <v>277.79999999998836</v>
      </c>
      <c r="O8" s="33">
        <f t="shared" si="1"/>
        <v>397.20000000001164</v>
      </c>
      <c r="P8" s="33">
        <f t="shared" si="1"/>
        <v>482.70000000001164</v>
      </c>
      <c r="Q8" s="33">
        <f t="shared" si="1"/>
        <v>343.59999999997672</v>
      </c>
      <c r="R8" s="33">
        <f t="shared" si="1"/>
        <v>456.10000000003492</v>
      </c>
      <c r="S8" s="33">
        <f t="shared" si="1"/>
        <v>512.59999999997672</v>
      </c>
      <c r="T8" s="33">
        <f t="shared" si="1"/>
        <v>429.79999999998836</v>
      </c>
      <c r="U8" s="33">
        <f t="shared" si="1"/>
        <v>358</v>
      </c>
      <c r="V8" s="33">
        <f t="shared" si="1"/>
        <v>361.10000000003492</v>
      </c>
      <c r="W8" s="33">
        <f t="shared" si="1"/>
        <v>342.20000000001164</v>
      </c>
      <c r="X8" s="33">
        <f t="shared" si="1"/>
        <v>402.29999999998836</v>
      </c>
      <c r="Y8" s="33">
        <f t="shared" si="1"/>
        <v>394.5</v>
      </c>
      <c r="Z8" s="33">
        <f t="shared" si="1"/>
        <v>399.89999999996508</v>
      </c>
      <c r="AA8" s="33">
        <f t="shared" si="1"/>
        <v>426.80000000004657</v>
      </c>
      <c r="AB8" s="33">
        <f t="shared" si="1"/>
        <v>271.19999999995343</v>
      </c>
      <c r="AC8" s="33">
        <f t="shared" si="1"/>
        <v>388.70000000001164</v>
      </c>
      <c r="AD8" s="33">
        <f t="shared" si="1"/>
        <v>403.20000000001164</v>
      </c>
      <c r="AE8" s="33">
        <f t="shared" si="1"/>
        <v>266.29999999998836</v>
      </c>
      <c r="AF8" s="33">
        <f t="shared" si="1"/>
        <v>398.10000000003492</v>
      </c>
      <c r="AG8" s="33">
        <f t="shared" si="1"/>
        <v>381.59999999997672</v>
      </c>
      <c r="AH8" s="33">
        <f t="shared" si="1"/>
        <v>341.40000000002328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1">
        <v>4</v>
      </c>
      <c r="B9" s="46" t="s">
        <v>73</v>
      </c>
      <c r="C9" s="93" t="s">
        <v>74</v>
      </c>
      <c r="D9" s="31">
        <v>90366</v>
      </c>
      <c r="E9" s="31">
        <v>90369</v>
      </c>
      <c r="F9" s="31">
        <v>90371</v>
      </c>
      <c r="G9" s="31">
        <v>90371</v>
      </c>
      <c r="H9" s="31">
        <v>90373</v>
      </c>
      <c r="I9" s="31">
        <v>90373</v>
      </c>
      <c r="J9" s="31">
        <v>90373</v>
      </c>
      <c r="K9" s="31">
        <v>90373</v>
      </c>
      <c r="L9" s="31">
        <v>90373</v>
      </c>
      <c r="M9" s="31">
        <v>90373</v>
      </c>
      <c r="N9" s="31">
        <v>90373</v>
      </c>
      <c r="O9" s="31">
        <v>90374</v>
      </c>
      <c r="P9" s="31">
        <v>90374</v>
      </c>
      <c r="Q9" s="31">
        <v>90374</v>
      </c>
      <c r="R9" s="31">
        <v>90374</v>
      </c>
      <c r="S9" s="31">
        <v>90374</v>
      </c>
      <c r="T9" s="31">
        <v>90375</v>
      </c>
      <c r="U9" s="31">
        <v>90375</v>
      </c>
      <c r="V9" s="31">
        <v>90375</v>
      </c>
      <c r="W9" s="31">
        <v>90377</v>
      </c>
      <c r="X9" s="31">
        <v>90377</v>
      </c>
      <c r="Y9" s="31">
        <v>90377</v>
      </c>
      <c r="Z9" s="31">
        <v>90377</v>
      </c>
      <c r="AA9" s="31">
        <v>90377</v>
      </c>
      <c r="AB9" s="31">
        <v>90377</v>
      </c>
      <c r="AC9" s="31">
        <v>90377</v>
      </c>
      <c r="AD9" s="31">
        <v>90377</v>
      </c>
      <c r="AE9" s="31">
        <v>90377</v>
      </c>
      <c r="AF9" s="31">
        <v>90377</v>
      </c>
      <c r="AG9" s="31">
        <v>90377</v>
      </c>
      <c r="AH9" s="31">
        <v>90377</v>
      </c>
      <c r="AI9" s="31"/>
    </row>
    <row r="10" spans="1:42" s="34" customFormat="1" ht="25.7" customHeight="1" x14ac:dyDescent="0.25">
      <c r="A10" s="92"/>
      <c r="B10" s="47"/>
      <c r="C10" s="93"/>
      <c r="D10" s="33"/>
      <c r="E10" s="33">
        <f>E9-D9</f>
        <v>3</v>
      </c>
      <c r="F10" s="33">
        <f t="shared" ref="F10:AH10" si="2">F9-E9</f>
        <v>2</v>
      </c>
      <c r="G10" s="33">
        <f t="shared" si="2"/>
        <v>0</v>
      </c>
      <c r="H10" s="33">
        <f t="shared" si="2"/>
        <v>2</v>
      </c>
      <c r="I10" s="33">
        <f t="shared" si="2"/>
        <v>0</v>
      </c>
      <c r="J10" s="33">
        <f t="shared" si="2"/>
        <v>0</v>
      </c>
      <c r="K10" s="33">
        <f t="shared" si="2"/>
        <v>0</v>
      </c>
      <c r="L10" s="33">
        <f t="shared" si="2"/>
        <v>0</v>
      </c>
      <c r="M10" s="33">
        <f t="shared" si="2"/>
        <v>0</v>
      </c>
      <c r="N10" s="33">
        <f t="shared" si="2"/>
        <v>0</v>
      </c>
      <c r="O10" s="33">
        <f t="shared" si="2"/>
        <v>1</v>
      </c>
      <c r="P10" s="33">
        <f t="shared" si="2"/>
        <v>0</v>
      </c>
      <c r="Q10" s="33">
        <f t="shared" si="2"/>
        <v>0</v>
      </c>
      <c r="R10" s="33">
        <f t="shared" si="2"/>
        <v>0</v>
      </c>
      <c r="S10" s="33">
        <f t="shared" si="2"/>
        <v>0</v>
      </c>
      <c r="T10" s="33">
        <f t="shared" si="2"/>
        <v>1</v>
      </c>
      <c r="U10" s="33">
        <f t="shared" si="2"/>
        <v>0</v>
      </c>
      <c r="V10" s="33">
        <f t="shared" si="2"/>
        <v>0</v>
      </c>
      <c r="W10" s="33">
        <f t="shared" si="2"/>
        <v>2</v>
      </c>
      <c r="X10" s="33">
        <f t="shared" si="2"/>
        <v>0</v>
      </c>
      <c r="Y10" s="33">
        <f t="shared" si="2"/>
        <v>0</v>
      </c>
      <c r="Z10" s="33">
        <f t="shared" si="2"/>
        <v>0</v>
      </c>
      <c r="AA10" s="33">
        <f t="shared" si="2"/>
        <v>0</v>
      </c>
      <c r="AB10" s="33">
        <f t="shared" si="2"/>
        <v>0</v>
      </c>
      <c r="AC10" s="33">
        <f t="shared" si="2"/>
        <v>0</v>
      </c>
      <c r="AD10" s="33">
        <f t="shared" si="2"/>
        <v>0</v>
      </c>
      <c r="AE10" s="33">
        <f t="shared" si="2"/>
        <v>0</v>
      </c>
      <c r="AF10" s="33">
        <f t="shared" si="2"/>
        <v>0</v>
      </c>
      <c r="AG10" s="33">
        <f t="shared" si="2"/>
        <v>0</v>
      </c>
      <c r="AH10" s="33">
        <f t="shared" si="2"/>
        <v>0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4">
        <v>5</v>
      </c>
      <c r="B11" s="27">
        <v>68864837</v>
      </c>
      <c r="C11" s="93" t="s">
        <v>75</v>
      </c>
      <c r="D11" s="31">
        <v>220.274</v>
      </c>
      <c r="E11" s="31">
        <v>220.47399999999999</v>
      </c>
      <c r="F11" s="31">
        <v>220.935</v>
      </c>
      <c r="G11" s="31">
        <v>221.28</v>
      </c>
      <c r="H11" s="31">
        <v>221.917</v>
      </c>
      <c r="I11" s="31">
        <v>222.47499999999999</v>
      </c>
      <c r="J11" s="31">
        <v>223.035</v>
      </c>
      <c r="K11" s="31">
        <v>223.6</v>
      </c>
      <c r="L11" s="31">
        <v>224.59899999999999</v>
      </c>
      <c r="M11" s="31">
        <v>225.14</v>
      </c>
      <c r="N11" s="31">
        <v>226.303</v>
      </c>
      <c r="O11" s="31">
        <v>226.97929999999999</v>
      </c>
      <c r="P11" s="31">
        <v>227.673</v>
      </c>
      <c r="Q11" s="31">
        <v>229.08600000000001</v>
      </c>
      <c r="R11" s="31">
        <v>229.715</v>
      </c>
      <c r="S11" s="31">
        <v>230.12799999999999</v>
      </c>
      <c r="T11" s="31">
        <v>230.72800000000001</v>
      </c>
      <c r="U11" s="31">
        <v>231.49799999999999</v>
      </c>
      <c r="V11" s="31">
        <v>232.17500000000001</v>
      </c>
      <c r="W11" s="31">
        <v>233.18799999999999</v>
      </c>
      <c r="X11" s="31">
        <v>233.78200000000001</v>
      </c>
      <c r="Y11" s="31">
        <v>234.46</v>
      </c>
      <c r="Z11" s="31">
        <v>236.73599999999999</v>
      </c>
      <c r="AA11" s="31">
        <v>237.89599999999999</v>
      </c>
      <c r="AB11" s="31">
        <v>238.68</v>
      </c>
      <c r="AC11" s="31">
        <v>239.49100000000001</v>
      </c>
      <c r="AD11" s="31">
        <v>240.90899999999999</v>
      </c>
      <c r="AE11" s="31">
        <v>241.38800000000001</v>
      </c>
      <c r="AF11" s="31">
        <v>242.399</v>
      </c>
      <c r="AG11" s="31">
        <v>244.15700000000001</v>
      </c>
      <c r="AH11" s="31">
        <v>245.12299999999999</v>
      </c>
      <c r="AI11" s="31"/>
    </row>
    <row r="12" spans="1:42" s="8" customFormat="1" ht="25.7" customHeight="1" x14ac:dyDescent="0.25">
      <c r="A12" s="95"/>
      <c r="B12" s="48"/>
      <c r="C12" s="93"/>
      <c r="D12" s="33"/>
      <c r="E12" s="33">
        <f>E11-D11</f>
        <v>0.19999999999998863</v>
      </c>
      <c r="F12" s="33">
        <f t="shared" ref="F12:AH12" si="3">F11-E11</f>
        <v>0.46100000000001273</v>
      </c>
      <c r="G12" s="33">
        <f t="shared" si="3"/>
        <v>0.34499999999999886</v>
      </c>
      <c r="H12" s="33">
        <f t="shared" si="3"/>
        <v>0.63700000000000045</v>
      </c>
      <c r="I12" s="33">
        <f t="shared" si="3"/>
        <v>0.55799999999999272</v>
      </c>
      <c r="J12" s="33">
        <f t="shared" si="3"/>
        <v>0.56000000000000227</v>
      </c>
      <c r="K12" s="33">
        <f t="shared" si="3"/>
        <v>0.56499999999999773</v>
      </c>
      <c r="L12" s="33">
        <f t="shared" si="3"/>
        <v>0.99899999999999523</v>
      </c>
      <c r="M12" s="33">
        <f t="shared" si="3"/>
        <v>0.54099999999999682</v>
      </c>
      <c r="N12" s="33">
        <f t="shared" si="3"/>
        <v>1.1630000000000109</v>
      </c>
      <c r="O12" s="33">
        <f t="shared" si="3"/>
        <v>0.67629999999999768</v>
      </c>
      <c r="P12" s="33">
        <f t="shared" si="3"/>
        <v>0.69370000000000687</v>
      </c>
      <c r="Q12" s="33">
        <f t="shared" si="3"/>
        <v>1.4130000000000109</v>
      </c>
      <c r="R12" s="33">
        <f t="shared" si="3"/>
        <v>0.62899999999999068</v>
      </c>
      <c r="S12" s="33">
        <f t="shared" si="3"/>
        <v>0.41299999999998249</v>
      </c>
      <c r="T12" s="33">
        <f t="shared" si="3"/>
        <v>0.60000000000002274</v>
      </c>
      <c r="U12" s="33">
        <f t="shared" si="3"/>
        <v>0.76999999999998181</v>
      </c>
      <c r="V12" s="33">
        <f t="shared" si="3"/>
        <v>0.67700000000002092</v>
      </c>
      <c r="W12" s="33">
        <f t="shared" si="3"/>
        <v>1.0129999999999768</v>
      </c>
      <c r="X12" s="33">
        <f t="shared" si="3"/>
        <v>0.59400000000002251</v>
      </c>
      <c r="Y12" s="33">
        <f t="shared" si="3"/>
        <v>0.67799999999999727</v>
      </c>
      <c r="Z12" s="33">
        <f t="shared" si="3"/>
        <v>2.275999999999982</v>
      </c>
      <c r="AA12" s="33">
        <f t="shared" si="3"/>
        <v>1.1599999999999966</v>
      </c>
      <c r="AB12" s="33">
        <f t="shared" si="3"/>
        <v>0.78400000000002024</v>
      </c>
      <c r="AC12" s="33">
        <f t="shared" si="3"/>
        <v>0.81100000000000705</v>
      </c>
      <c r="AD12" s="33">
        <f t="shared" si="3"/>
        <v>1.4179999999999779</v>
      </c>
      <c r="AE12" s="33">
        <f t="shared" si="3"/>
        <v>0.47900000000001342</v>
      </c>
      <c r="AF12" s="33">
        <f t="shared" si="3"/>
        <v>1.0109999999999957</v>
      </c>
      <c r="AG12" s="33">
        <f t="shared" si="3"/>
        <v>1.7580000000000098</v>
      </c>
      <c r="AH12" s="33">
        <f t="shared" si="3"/>
        <v>0.96599999999997976</v>
      </c>
      <c r="AI12" s="33"/>
    </row>
    <row r="13" spans="1:42" s="8" customFormat="1" ht="25.7" customHeight="1" x14ac:dyDescent="0.25">
      <c r="A13" s="94">
        <v>6</v>
      </c>
      <c r="B13" s="27">
        <v>65296485</v>
      </c>
      <c r="C13" s="93" t="s">
        <v>76</v>
      </c>
      <c r="D13" s="31">
        <v>290.42200000000003</v>
      </c>
      <c r="E13" s="31">
        <v>291.77199999999999</v>
      </c>
      <c r="F13" s="31">
        <v>292.94400000000002</v>
      </c>
      <c r="G13" s="31">
        <v>293.77699999999999</v>
      </c>
      <c r="H13" s="31">
        <v>294.31299999999999</v>
      </c>
      <c r="I13" s="31">
        <v>296.55099999999999</v>
      </c>
      <c r="J13" s="31">
        <v>297.435</v>
      </c>
      <c r="K13" s="31">
        <v>297.8</v>
      </c>
      <c r="L13" s="31">
        <v>300.00700000000001</v>
      </c>
      <c r="M13" s="31">
        <v>301.23700000000002</v>
      </c>
      <c r="N13" s="31">
        <v>308.15300000000002</v>
      </c>
      <c r="O13" s="31">
        <v>309.23899999999998</v>
      </c>
      <c r="P13" s="31">
        <v>310.93700000000001</v>
      </c>
      <c r="Q13" s="31">
        <v>312.22000000000003</v>
      </c>
      <c r="R13" s="31">
        <v>312.96699999999998</v>
      </c>
      <c r="S13" s="31">
        <v>314.625</v>
      </c>
      <c r="T13" s="31">
        <v>315.495</v>
      </c>
      <c r="U13" s="31">
        <v>316.29300000000001</v>
      </c>
      <c r="V13" s="31">
        <v>317.03500000000003</v>
      </c>
      <c r="W13" s="31">
        <v>318.00700000000001</v>
      </c>
      <c r="X13" s="31">
        <v>319.42200000000003</v>
      </c>
      <c r="Y13" s="31">
        <v>320.00200000000001</v>
      </c>
      <c r="Z13" s="31">
        <v>320.87</v>
      </c>
      <c r="AA13" s="31">
        <v>321.67</v>
      </c>
      <c r="AB13" s="31">
        <v>323.08</v>
      </c>
      <c r="AC13" s="31">
        <v>324.35700000000003</v>
      </c>
      <c r="AD13" s="31">
        <v>325.44</v>
      </c>
      <c r="AE13" s="31">
        <v>327.93099999999998</v>
      </c>
      <c r="AF13" s="31">
        <v>328.65300000000002</v>
      </c>
      <c r="AG13" s="31">
        <v>329.36500000000001</v>
      </c>
      <c r="AH13" s="31">
        <v>330.67700000000002</v>
      </c>
      <c r="AI13" s="31"/>
    </row>
    <row r="14" spans="1:42" s="8" customFormat="1" ht="25.7" customHeight="1" x14ac:dyDescent="0.25">
      <c r="A14" s="95"/>
      <c r="B14" s="48"/>
      <c r="C14" s="93"/>
      <c r="D14" s="33"/>
      <c r="E14" s="33">
        <f t="shared" ref="E14:H14" si="4">E13-D13</f>
        <v>1.3499999999999659</v>
      </c>
      <c r="F14" s="33">
        <f t="shared" ref="F14" si="5">F13-E13</f>
        <v>1.1720000000000255</v>
      </c>
      <c r="G14" s="33">
        <f t="shared" ref="G14" si="6">G13-F13</f>
        <v>0.83299999999996999</v>
      </c>
      <c r="H14" s="33">
        <f t="shared" ref="H14" si="7">H13-G13</f>
        <v>0.53600000000000136</v>
      </c>
      <c r="I14" s="33">
        <f t="shared" ref="I14" si="8">I13-H13</f>
        <v>2.2379999999999995</v>
      </c>
      <c r="J14" s="33">
        <f t="shared" ref="J14" si="9">J13-I13</f>
        <v>0.88400000000001455</v>
      </c>
      <c r="K14" s="33">
        <f t="shared" ref="K14" si="10">K13-J13</f>
        <v>0.36500000000000909</v>
      </c>
      <c r="L14" s="33">
        <f t="shared" ref="L14" si="11">L13-K13</f>
        <v>2.2069999999999936</v>
      </c>
      <c r="M14" s="33">
        <f t="shared" ref="M14" si="12">M13-L13</f>
        <v>1.2300000000000182</v>
      </c>
      <c r="N14" s="33">
        <f t="shared" ref="N14" si="13">N13-M13</f>
        <v>6.9159999999999968</v>
      </c>
      <c r="O14" s="33">
        <f t="shared" ref="O14" si="14">O13-N13</f>
        <v>1.0859999999999559</v>
      </c>
      <c r="P14" s="33">
        <f t="shared" ref="P14" si="15">P13-O13</f>
        <v>1.6980000000000359</v>
      </c>
      <c r="Q14" s="33">
        <f t="shared" ref="Q14" si="16">Q13-P13</f>
        <v>1.2830000000000155</v>
      </c>
      <c r="R14" s="33">
        <f t="shared" ref="R14" si="17">R13-Q13</f>
        <v>0.74699999999995725</v>
      </c>
      <c r="S14" s="33">
        <f t="shared" ref="S14" si="18">S13-R13</f>
        <v>1.6580000000000155</v>
      </c>
      <c r="T14" s="33">
        <f t="shared" ref="T14" si="19">T13-S13</f>
        <v>0.87000000000000455</v>
      </c>
      <c r="U14" s="33">
        <f t="shared" ref="U14" si="20">U13-T13</f>
        <v>0.79800000000000182</v>
      </c>
      <c r="V14" s="33">
        <f t="shared" ref="V14" si="21">V13-U13</f>
        <v>0.74200000000001864</v>
      </c>
      <c r="W14" s="33">
        <f t="shared" ref="W14" si="22">W13-V13</f>
        <v>0.97199999999997999</v>
      </c>
      <c r="X14" s="33">
        <f t="shared" ref="X14" si="23">X13-W13</f>
        <v>1.4150000000000205</v>
      </c>
      <c r="Y14" s="33">
        <f t="shared" ref="Y14" si="24">Y13-X13</f>
        <v>0.57999999999998408</v>
      </c>
      <c r="Z14" s="33">
        <f t="shared" ref="Z14" si="25">Z13-Y13</f>
        <v>0.867999999999995</v>
      </c>
      <c r="AA14" s="33">
        <f t="shared" ref="AA14" si="26">AA13-Z13</f>
        <v>0.80000000000001137</v>
      </c>
      <c r="AB14" s="33">
        <f t="shared" ref="AB14" si="27">AB13-AA13</f>
        <v>1.4099999999999682</v>
      </c>
      <c r="AC14" s="33">
        <f t="shared" ref="AC14" si="28">AC13-AB13</f>
        <v>1.2770000000000437</v>
      </c>
      <c r="AD14" s="33">
        <f t="shared" ref="AD14" si="29">AD13-AC13</f>
        <v>1.08299999999997</v>
      </c>
      <c r="AE14" s="33">
        <f t="shared" ref="AE14" si="30">AE13-AD13</f>
        <v>2.4909999999999854</v>
      </c>
      <c r="AF14" s="33">
        <f t="shared" ref="AF14" si="31">AF13-AE13</f>
        <v>0.72200000000003683</v>
      </c>
      <c r="AG14" s="33">
        <f t="shared" ref="AG14" si="32">AG13-AF13</f>
        <v>0.71199999999998909</v>
      </c>
      <c r="AH14" s="33">
        <f t="shared" ref="AH14" si="33">AH13-AG13</f>
        <v>1.3120000000000118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7" t="s">
        <v>77</v>
      </c>
      <c r="C15" s="87"/>
      <c r="D15" s="50"/>
      <c r="E15" s="57">
        <f>E6+((E8*45%)+(E10*45%)+(E12+E14))</f>
        <v>488.03499999997143</v>
      </c>
      <c r="F15" s="57">
        <f t="shared" ref="F15:AH15" si="34">F6+((F8*45%)+(F10*45%)+(F12+F14))</f>
        <v>563.89800000001696</v>
      </c>
      <c r="G15" s="57">
        <f t="shared" si="34"/>
        <v>391.12299999999533</v>
      </c>
      <c r="H15" s="57">
        <f t="shared" si="34"/>
        <v>349.0030000000047</v>
      </c>
      <c r="I15" s="57">
        <f t="shared" si="34"/>
        <v>255.76099999997905</v>
      </c>
      <c r="J15" s="57">
        <f t="shared" si="34"/>
        <v>291.34400000001165</v>
      </c>
      <c r="K15" s="57">
        <f t="shared" si="34"/>
        <v>266.66999999999359</v>
      </c>
      <c r="L15" s="57">
        <f t="shared" si="34"/>
        <v>264.92600000000408</v>
      </c>
      <c r="M15" s="57">
        <f t="shared" si="34"/>
        <v>432.97600000000762</v>
      </c>
      <c r="N15" s="57">
        <f t="shared" si="34"/>
        <v>245.08899999999477</v>
      </c>
      <c r="O15" s="57">
        <f t="shared" si="34"/>
        <v>329.35229999997023</v>
      </c>
      <c r="P15" s="57">
        <f t="shared" si="34"/>
        <v>355.50670000002856</v>
      </c>
      <c r="Q15" s="57">
        <f t="shared" si="34"/>
        <v>248.81599999998954</v>
      </c>
      <c r="R15" s="57">
        <f t="shared" si="34"/>
        <v>331.22099999999239</v>
      </c>
      <c r="S15" s="57">
        <f t="shared" si="34"/>
        <v>346.54100000003609</v>
      </c>
      <c r="T15" s="57">
        <f t="shared" si="34"/>
        <v>343.22999999995989</v>
      </c>
      <c r="U15" s="57">
        <f t="shared" si="34"/>
        <v>253.56800000002326</v>
      </c>
      <c r="V15" s="57">
        <f t="shared" si="34"/>
        <v>313.51399999999251</v>
      </c>
      <c r="W15" s="57">
        <f t="shared" si="34"/>
        <v>296.97500000004015</v>
      </c>
      <c r="X15" s="57">
        <f t="shared" si="34"/>
        <v>291.94399999995989</v>
      </c>
      <c r="Y15" s="57">
        <f t="shared" si="34"/>
        <v>338.08299999998837</v>
      </c>
      <c r="Z15" s="57">
        <f t="shared" si="34"/>
        <v>336.09899999998424</v>
      </c>
      <c r="AA15" s="57">
        <f t="shared" si="34"/>
        <v>356.62000000005588</v>
      </c>
      <c r="AB15" s="57">
        <f t="shared" si="34"/>
        <v>277.03399999996736</v>
      </c>
      <c r="AC15" s="57">
        <f t="shared" si="34"/>
        <v>305.30299999999363</v>
      </c>
      <c r="AD15" s="57">
        <f t="shared" si="34"/>
        <v>341.24099999999356</v>
      </c>
      <c r="AE15" s="57">
        <f t="shared" si="34"/>
        <v>259.20500000001806</v>
      </c>
      <c r="AF15" s="57">
        <f t="shared" si="34"/>
        <v>361.27800000003901</v>
      </c>
      <c r="AG15" s="57">
        <f t="shared" si="34"/>
        <v>334.88999999994297</v>
      </c>
      <c r="AH15" s="57">
        <f t="shared" si="34"/>
        <v>317.80800000003376</v>
      </c>
      <c r="AI15" s="57"/>
    </row>
    <row r="16" spans="1:42" ht="33" customHeight="1" x14ac:dyDescent="0.25">
      <c r="B16" s="86" t="s">
        <v>78</v>
      </c>
      <c r="C16" s="86"/>
      <c r="D16" s="50"/>
      <c r="E16" s="57">
        <f>SUM(E15:AI15)</f>
        <v>9887.0539999999874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B25" sqref="B25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4.25" customHeight="1" x14ac:dyDescent="0.25">
      <c r="A1" s="96" t="s">
        <v>86</v>
      </c>
      <c r="B1" s="96"/>
      <c r="C1" s="96"/>
    </row>
    <row r="3" spans="1:7" ht="48" x14ac:dyDescent="0.25">
      <c r="A3" s="51" t="s">
        <v>38</v>
      </c>
      <c r="B3" s="52">
        <v>45452.94</v>
      </c>
      <c r="C3" s="53"/>
    </row>
    <row r="4" spans="1:7" ht="28.5" customHeight="1" x14ac:dyDescent="0.25">
      <c r="A4" s="54">
        <v>1</v>
      </c>
      <c r="B4" s="52"/>
      <c r="C4" s="53">
        <f>B3/30</f>
        <v>1515.0980000000002</v>
      </c>
    </row>
    <row r="5" spans="1:7" ht="28.5" customHeight="1" x14ac:dyDescent="0.25">
      <c r="A5" s="54">
        <v>2</v>
      </c>
      <c r="B5" s="52"/>
      <c r="C5" s="53">
        <v>1515.0980000000002</v>
      </c>
    </row>
    <row r="6" spans="1:7" ht="28.5" customHeight="1" x14ac:dyDescent="0.25">
      <c r="A6" s="55">
        <v>3</v>
      </c>
      <c r="B6" s="52"/>
      <c r="C6" s="53">
        <v>1515.0980000000002</v>
      </c>
    </row>
    <row r="7" spans="1:7" ht="28.5" customHeight="1" x14ac:dyDescent="0.25">
      <c r="A7" s="54">
        <v>4</v>
      </c>
      <c r="B7" s="52"/>
      <c r="C7" s="53">
        <v>1515.0980000000002</v>
      </c>
    </row>
    <row r="8" spans="1:7" ht="28.5" customHeight="1" x14ac:dyDescent="0.25">
      <c r="A8" s="54">
        <v>5</v>
      </c>
      <c r="B8" s="52"/>
      <c r="C8" s="53">
        <v>1515.0980000000002</v>
      </c>
    </row>
    <row r="9" spans="1:7" ht="28.5" customHeight="1" x14ac:dyDescent="0.25">
      <c r="A9" s="54">
        <v>6</v>
      </c>
      <c r="B9" s="52"/>
      <c r="C9" s="53">
        <v>1515.0980000000002</v>
      </c>
      <c r="G9" t="s">
        <v>79</v>
      </c>
    </row>
    <row r="10" spans="1:7" ht="28.5" customHeight="1" x14ac:dyDescent="0.25">
      <c r="A10" s="54">
        <v>7</v>
      </c>
      <c r="B10" s="52"/>
      <c r="C10" s="53">
        <v>1515.0980000000002</v>
      </c>
    </row>
    <row r="11" spans="1:7" ht="28.5" customHeight="1" x14ac:dyDescent="0.25">
      <c r="A11" s="54">
        <v>8</v>
      </c>
      <c r="B11" s="52"/>
      <c r="C11" s="53">
        <v>1515.0980000000002</v>
      </c>
    </row>
    <row r="12" spans="1:7" ht="28.5" customHeight="1" x14ac:dyDescent="0.25">
      <c r="A12" s="54">
        <v>9</v>
      </c>
      <c r="B12" s="52"/>
      <c r="C12" s="53">
        <v>1515.0980000000002</v>
      </c>
    </row>
    <row r="13" spans="1:7" ht="28.5" customHeight="1" x14ac:dyDescent="0.25">
      <c r="A13" s="54">
        <v>10</v>
      </c>
      <c r="B13" s="52"/>
      <c r="C13" s="53">
        <v>1515.0980000000002</v>
      </c>
    </row>
    <row r="14" spans="1:7" ht="28.5" customHeight="1" x14ac:dyDescent="0.25">
      <c r="A14" s="54">
        <v>11</v>
      </c>
      <c r="B14" s="52"/>
      <c r="C14" s="53">
        <v>1515.0980000000002</v>
      </c>
    </row>
    <row r="15" spans="1:7" ht="28.5" customHeight="1" x14ac:dyDescent="0.25">
      <c r="A15" s="54">
        <v>12</v>
      </c>
      <c r="B15" s="52"/>
      <c r="C15" s="53">
        <v>1515.0980000000002</v>
      </c>
    </row>
    <row r="16" spans="1:7" ht="28.5" customHeight="1" x14ac:dyDescent="0.25">
      <c r="A16" s="54">
        <v>13</v>
      </c>
      <c r="B16" s="52"/>
      <c r="C16" s="53">
        <v>1515.0980000000002</v>
      </c>
    </row>
    <row r="17" spans="1:4" ht="28.5" customHeight="1" x14ac:dyDescent="0.25">
      <c r="A17" s="54">
        <v>14</v>
      </c>
      <c r="B17" s="52"/>
      <c r="C17" s="53">
        <v>1515.0980000000002</v>
      </c>
    </row>
    <row r="18" spans="1:4" ht="28.5" customHeight="1" x14ac:dyDescent="0.25">
      <c r="A18" s="54">
        <v>15</v>
      </c>
      <c r="B18" s="52"/>
      <c r="C18" s="53">
        <v>1515.0980000000002</v>
      </c>
    </row>
    <row r="19" spans="1:4" ht="28.5" customHeight="1" x14ac:dyDescent="0.25">
      <c r="A19" s="54">
        <v>16</v>
      </c>
      <c r="B19" s="52"/>
      <c r="C19" s="53">
        <v>1515.0980000000002</v>
      </c>
    </row>
    <row r="20" spans="1:4" ht="28.5" customHeight="1" x14ac:dyDescent="0.25">
      <c r="A20" s="54">
        <v>17</v>
      </c>
      <c r="B20" s="52"/>
      <c r="C20" s="53">
        <v>1515.0980000000002</v>
      </c>
    </row>
    <row r="21" spans="1:4" ht="28.5" customHeight="1" x14ac:dyDescent="0.25">
      <c r="A21" s="54">
        <v>18</v>
      </c>
      <c r="B21" s="52"/>
      <c r="C21" s="53">
        <v>1515.0980000000002</v>
      </c>
    </row>
    <row r="22" spans="1:4" ht="28.5" customHeight="1" x14ac:dyDescent="0.25">
      <c r="A22" s="54">
        <v>19</v>
      </c>
      <c r="B22" s="52"/>
      <c r="C22" s="53">
        <v>1515.0980000000002</v>
      </c>
    </row>
    <row r="23" spans="1:4" ht="28.5" customHeight="1" x14ac:dyDescent="0.25">
      <c r="A23" s="54">
        <v>20</v>
      </c>
      <c r="B23" s="52"/>
      <c r="C23" s="53">
        <v>1515.0980000000002</v>
      </c>
    </row>
    <row r="24" spans="1:4" ht="28.5" customHeight="1" x14ac:dyDescent="0.25">
      <c r="A24" s="54">
        <v>21</v>
      </c>
      <c r="B24" s="52"/>
      <c r="C24" s="53">
        <v>1515.0980000000002</v>
      </c>
    </row>
    <row r="25" spans="1:4" ht="28.5" customHeight="1" x14ac:dyDescent="0.25">
      <c r="A25" s="54">
        <v>22</v>
      </c>
      <c r="B25" s="52"/>
      <c r="C25" s="53">
        <v>1515.0980000000002</v>
      </c>
    </row>
    <row r="26" spans="1:4" ht="28.5" customHeight="1" x14ac:dyDescent="0.25">
      <c r="A26" s="54">
        <v>23</v>
      </c>
      <c r="B26" s="52"/>
      <c r="C26" s="53">
        <v>1515.0980000000002</v>
      </c>
    </row>
    <row r="27" spans="1:4" ht="28.5" customHeight="1" x14ac:dyDescent="0.25">
      <c r="A27" s="54">
        <v>24</v>
      </c>
      <c r="B27" s="52"/>
      <c r="C27" s="53">
        <v>1515.0980000000002</v>
      </c>
    </row>
    <row r="28" spans="1:4" ht="28.5" customHeight="1" x14ac:dyDescent="0.25">
      <c r="A28" s="54">
        <v>25</v>
      </c>
      <c r="B28" s="52"/>
      <c r="C28" s="53">
        <v>1515.0980000000002</v>
      </c>
      <c r="D28" s="56"/>
    </row>
    <row r="29" spans="1:4" ht="28.5" customHeight="1" x14ac:dyDescent="0.25">
      <c r="A29" s="54">
        <v>26</v>
      </c>
      <c r="B29" s="52"/>
      <c r="C29" s="53">
        <v>1515.0980000000002</v>
      </c>
      <c r="D29" s="56"/>
    </row>
    <row r="30" spans="1:4" ht="28.5" customHeight="1" x14ac:dyDescent="0.25">
      <c r="A30" s="54">
        <v>27</v>
      </c>
      <c r="B30" s="52"/>
      <c r="C30" s="53">
        <v>1515.0980000000002</v>
      </c>
    </row>
    <row r="31" spans="1:4" ht="28.5" customHeight="1" x14ac:dyDescent="0.25">
      <c r="A31" s="54">
        <v>28</v>
      </c>
      <c r="B31" s="52"/>
      <c r="C31" s="53">
        <v>1515.0980000000002</v>
      </c>
    </row>
    <row r="32" spans="1:4" ht="28.5" customHeight="1" x14ac:dyDescent="0.25">
      <c r="A32" s="54">
        <v>29</v>
      </c>
      <c r="B32" s="52"/>
      <c r="C32" s="53">
        <v>1515.0980000000002</v>
      </c>
    </row>
    <row r="33" spans="1:3" ht="28.5" customHeight="1" x14ac:dyDescent="0.25">
      <c r="A33" s="54">
        <v>30</v>
      </c>
      <c r="B33" s="52"/>
      <c r="C33" s="53">
        <v>1515.0980000000002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97" t="s">
        <v>80</v>
      </c>
      <c r="B35" s="97"/>
      <c r="C35" s="64">
        <f>SUM(C4:C34)</f>
        <v>45452.94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C34" sqref="C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6" t="s">
        <v>85</v>
      </c>
      <c r="B1" s="96"/>
      <c r="C1" s="96"/>
    </row>
    <row r="2" spans="1:3" ht="24.95" customHeight="1" x14ac:dyDescent="0.25">
      <c r="A2" s="59" t="s">
        <v>81</v>
      </c>
      <c r="B2" s="59" t="s">
        <v>82</v>
      </c>
      <c r="C2" s="59" t="s">
        <v>83</v>
      </c>
    </row>
    <row r="3" spans="1:3" ht="24.95" customHeight="1" x14ac:dyDescent="0.25">
      <c r="A3" s="60">
        <v>44440</v>
      </c>
      <c r="B3" s="63">
        <v>336</v>
      </c>
      <c r="C3" s="63">
        <v>448</v>
      </c>
    </row>
    <row r="4" spans="1:3" ht="24.95" customHeight="1" x14ac:dyDescent="0.25">
      <c r="A4" s="60">
        <v>44441</v>
      </c>
      <c r="B4" s="63">
        <v>271</v>
      </c>
      <c r="C4" s="63">
        <v>382</v>
      </c>
    </row>
    <row r="5" spans="1:3" ht="24.95" customHeight="1" x14ac:dyDescent="0.25">
      <c r="A5" s="60">
        <v>44442</v>
      </c>
      <c r="B5" s="63">
        <v>211</v>
      </c>
      <c r="C5" s="63">
        <v>314</v>
      </c>
    </row>
    <row r="6" spans="1:3" ht="24.95" customHeight="1" x14ac:dyDescent="0.25">
      <c r="A6" s="60">
        <v>44443</v>
      </c>
      <c r="B6" s="63">
        <v>208</v>
      </c>
      <c r="C6" s="63">
        <v>301</v>
      </c>
    </row>
    <row r="7" spans="1:3" ht="24.95" customHeight="1" x14ac:dyDescent="0.25">
      <c r="A7" s="60">
        <v>44444</v>
      </c>
      <c r="B7" s="63">
        <v>201</v>
      </c>
      <c r="C7" s="63">
        <v>282</v>
      </c>
    </row>
    <row r="8" spans="1:3" ht="24.95" customHeight="1" x14ac:dyDescent="0.25">
      <c r="A8" s="60">
        <v>44445</v>
      </c>
      <c r="B8" s="63">
        <v>197</v>
      </c>
      <c r="C8" s="63">
        <v>282</v>
      </c>
    </row>
    <row r="9" spans="1:3" ht="24.95" customHeight="1" x14ac:dyDescent="0.25">
      <c r="A9" s="60">
        <v>44446</v>
      </c>
      <c r="B9" s="63">
        <v>195</v>
      </c>
      <c r="C9" s="63">
        <v>269</v>
      </c>
    </row>
    <row r="10" spans="1:3" ht="24.95" customHeight="1" x14ac:dyDescent="0.25">
      <c r="A10" s="60">
        <v>44447</v>
      </c>
      <c r="B10" s="63">
        <v>192</v>
      </c>
      <c r="C10" s="63">
        <v>258</v>
      </c>
    </row>
    <row r="11" spans="1:3" ht="24.95" customHeight="1" x14ac:dyDescent="0.25">
      <c r="A11" s="60">
        <v>44448</v>
      </c>
      <c r="B11" s="63">
        <v>166</v>
      </c>
      <c r="C11" s="63">
        <v>227</v>
      </c>
    </row>
    <row r="12" spans="1:3" ht="24.95" customHeight="1" x14ac:dyDescent="0.25">
      <c r="A12" s="60">
        <v>44449</v>
      </c>
      <c r="B12" s="63">
        <v>170</v>
      </c>
      <c r="C12" s="63">
        <v>233</v>
      </c>
    </row>
    <row r="13" spans="1:3" ht="24.95" customHeight="1" x14ac:dyDescent="0.25">
      <c r="A13" s="60">
        <v>44450</v>
      </c>
      <c r="B13" s="63">
        <v>163</v>
      </c>
      <c r="C13" s="63">
        <v>226</v>
      </c>
    </row>
    <row r="14" spans="1:3" ht="24.95" customHeight="1" x14ac:dyDescent="0.25">
      <c r="A14" s="60">
        <v>44451</v>
      </c>
      <c r="B14" s="63">
        <v>175</v>
      </c>
      <c r="C14" s="63">
        <v>234</v>
      </c>
    </row>
    <row r="15" spans="1:3" ht="24.95" customHeight="1" x14ac:dyDescent="0.25">
      <c r="A15" s="60">
        <v>44452</v>
      </c>
      <c r="B15" s="63">
        <v>165</v>
      </c>
      <c r="C15" s="63">
        <v>215</v>
      </c>
    </row>
    <row r="16" spans="1:3" ht="24.95" customHeight="1" x14ac:dyDescent="0.25">
      <c r="A16" s="60">
        <v>44453</v>
      </c>
      <c r="B16" s="63">
        <v>184</v>
      </c>
      <c r="C16" s="63">
        <v>242</v>
      </c>
    </row>
    <row r="17" spans="1:3" ht="24.95" customHeight="1" x14ac:dyDescent="0.25">
      <c r="A17" s="60">
        <v>44454</v>
      </c>
      <c r="B17" s="63">
        <v>208</v>
      </c>
      <c r="C17" s="63">
        <v>271</v>
      </c>
    </row>
    <row r="18" spans="1:3" ht="24.95" customHeight="1" x14ac:dyDescent="0.25">
      <c r="A18" s="60">
        <v>44455</v>
      </c>
      <c r="B18" s="63">
        <v>163</v>
      </c>
      <c r="C18" s="63">
        <v>218</v>
      </c>
    </row>
    <row r="19" spans="1:3" ht="24.95" customHeight="1" x14ac:dyDescent="0.25">
      <c r="A19" s="60">
        <v>44456</v>
      </c>
      <c r="B19" s="63">
        <v>157</v>
      </c>
      <c r="C19" s="63">
        <v>186</v>
      </c>
    </row>
    <row r="20" spans="1:3" ht="24.95" customHeight="1" x14ac:dyDescent="0.25">
      <c r="A20" s="60">
        <v>44457</v>
      </c>
      <c r="B20" s="63">
        <v>181</v>
      </c>
      <c r="C20" s="63">
        <v>223</v>
      </c>
    </row>
    <row r="21" spans="1:3" ht="24.95" customHeight="1" x14ac:dyDescent="0.25">
      <c r="A21" s="60">
        <v>44458</v>
      </c>
      <c r="B21" s="63">
        <v>219</v>
      </c>
      <c r="C21" s="63">
        <v>266</v>
      </c>
    </row>
    <row r="22" spans="1:3" ht="24.95" customHeight="1" x14ac:dyDescent="0.25">
      <c r="A22" s="60">
        <v>44459</v>
      </c>
      <c r="B22" s="63">
        <v>224</v>
      </c>
      <c r="C22" s="63">
        <v>273</v>
      </c>
    </row>
    <row r="23" spans="1:3" ht="24.95" customHeight="1" x14ac:dyDescent="0.25">
      <c r="A23" s="60">
        <v>44460</v>
      </c>
      <c r="B23" s="63">
        <v>231</v>
      </c>
      <c r="C23" s="63">
        <v>277</v>
      </c>
    </row>
    <row r="24" spans="1:3" ht="24.95" customHeight="1" x14ac:dyDescent="0.25">
      <c r="A24" s="60">
        <v>44461</v>
      </c>
      <c r="B24" s="63">
        <v>233</v>
      </c>
      <c r="C24" s="63">
        <v>287</v>
      </c>
    </row>
    <row r="25" spans="1:3" ht="24.95" customHeight="1" x14ac:dyDescent="0.25">
      <c r="A25" s="60">
        <v>44462</v>
      </c>
      <c r="B25" s="63">
        <v>197</v>
      </c>
      <c r="C25" s="63">
        <v>251</v>
      </c>
    </row>
    <row r="26" spans="1:3" ht="24.95" customHeight="1" x14ac:dyDescent="0.25">
      <c r="A26" s="60">
        <v>44463</v>
      </c>
      <c r="B26" s="63">
        <v>196</v>
      </c>
      <c r="C26" s="63">
        <v>246</v>
      </c>
    </row>
    <row r="27" spans="1:3" ht="24.95" customHeight="1" x14ac:dyDescent="0.25">
      <c r="A27" s="60">
        <v>44464</v>
      </c>
      <c r="B27" s="63">
        <v>258</v>
      </c>
      <c r="C27" s="63">
        <v>326</v>
      </c>
    </row>
    <row r="28" spans="1:3" ht="24.95" customHeight="1" x14ac:dyDescent="0.25">
      <c r="A28" s="60">
        <v>44465</v>
      </c>
      <c r="B28" s="63">
        <v>277</v>
      </c>
      <c r="C28" s="63">
        <v>349</v>
      </c>
    </row>
    <row r="29" spans="1:3" ht="24.95" customHeight="1" x14ac:dyDescent="0.25">
      <c r="A29" s="60">
        <v>44466</v>
      </c>
      <c r="B29" s="63">
        <v>339</v>
      </c>
      <c r="C29" s="63">
        <v>418</v>
      </c>
    </row>
    <row r="30" spans="1:3" ht="24.95" customHeight="1" x14ac:dyDescent="0.25">
      <c r="A30" s="60">
        <v>44467</v>
      </c>
      <c r="B30" s="63">
        <v>326</v>
      </c>
      <c r="C30" s="63">
        <v>403</v>
      </c>
    </row>
    <row r="31" spans="1:3" ht="24.95" customHeight="1" x14ac:dyDescent="0.25">
      <c r="A31" s="60">
        <v>44468</v>
      </c>
      <c r="B31" s="63">
        <v>298</v>
      </c>
      <c r="C31" s="63">
        <v>371</v>
      </c>
    </row>
    <row r="32" spans="1:3" ht="24.95" customHeight="1" x14ac:dyDescent="0.25">
      <c r="A32" s="60">
        <v>44469</v>
      </c>
      <c r="B32" s="63">
        <v>271</v>
      </c>
      <c r="C32" s="63">
        <v>342</v>
      </c>
    </row>
    <row r="33" spans="1:3" ht="24.95" customHeight="1" x14ac:dyDescent="0.25">
      <c r="A33" s="60"/>
      <c r="B33" s="61"/>
      <c r="C33" s="61"/>
    </row>
    <row r="34" spans="1:3" ht="30.75" customHeight="1" x14ac:dyDescent="0.25">
      <c r="A34" s="59" t="s">
        <v>84</v>
      </c>
      <c r="B34" s="62">
        <f>SUM(B3:B33)</f>
        <v>6612</v>
      </c>
      <c r="C34" s="62">
        <f>SUM(C3:C33)</f>
        <v>8620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2025-03-19T13:37:46Z</dcterms:modified>
  <cp:category/>
  <cp:contentStatus/>
</cp:coreProperties>
</file>