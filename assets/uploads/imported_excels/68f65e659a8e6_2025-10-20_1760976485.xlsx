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5CE0BDAD-E924-4224-A27A-6EE4FB472449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externalReferences>
    <externalReference r:id="rId4"/>
  </externalReference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5" l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F35" i="14" l="1"/>
  <c r="D35" i="14"/>
  <c r="F34" i="14"/>
  <c r="D34" i="14"/>
  <c r="F33" i="14"/>
  <c r="D33" i="14"/>
  <c r="F32" i="14"/>
  <c r="D32" i="14"/>
  <c r="F31" i="14"/>
  <c r="D31" i="14"/>
  <c r="F30" i="14"/>
  <c r="D30" i="14"/>
  <c r="F29" i="14"/>
  <c r="D29" i="14"/>
  <c r="F28" i="14"/>
  <c r="D28" i="14"/>
  <c r="F27" i="14"/>
  <c r="D27" i="14"/>
  <c r="F26" i="14"/>
  <c r="D26" i="14"/>
  <c r="F25" i="14"/>
  <c r="D25" i="14"/>
  <c r="F24" i="14"/>
  <c r="D24" i="14"/>
  <c r="F23" i="14"/>
  <c r="D23" i="14"/>
  <c r="F22" i="14"/>
  <c r="D22" i="14"/>
  <c r="F21" i="14"/>
  <c r="D21" i="14"/>
  <c r="F20" i="14"/>
  <c r="D20" i="14"/>
  <c r="F19" i="14"/>
  <c r="D19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</calcChain>
</file>

<file path=xl/sharedStrings.xml><?xml version="1.0" encoding="utf-8"?>
<sst xmlns="http://schemas.openxmlformats.org/spreadsheetml/2006/main" count="83" uniqueCount="41">
  <si>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</si>
  <si>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</si>
  <si>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</si>
  <si>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</si>
  <si>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</si>
  <si>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</si>
  <si>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</si>
  <si>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</si>
  <si>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</si>
  <si>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</si>
  <si>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</si>
  <si>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</si>
  <si>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</si>
  <si>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</si>
  <si>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</si>
  <si>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</si>
  <si>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</si>
  <si>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</si>
  <si>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</si>
  <si>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</si>
  <si>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</si>
  <si>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</si>
  <si>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</si>
  <si>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</si>
  <si>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</si>
  <si>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</si>
  <si>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</si>
  <si>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</si>
  <si>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</si>
  <si>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</si>
  <si>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</si>
  <si>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</si>
  <si>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</si>
  <si>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</si>
  <si>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</si>
  <si>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</si>
  <si>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Hudayriat</t>
  </si>
  <si>
    <t xml:space="preserve">LPG (Kg) </t>
  </si>
  <si>
    <t>LPG $/Kg</t>
  </si>
  <si>
    <t>Irrigation Water (m3) m3</t>
  </si>
  <si>
    <t>Irrigation Water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</si>
</sst>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95</c:v>
                </c:pt>
                <c:pt idx="1">
                  <c:v>81</c:v>
                </c:pt>
                <c:pt idx="2">
                  <c:v>80</c:v>
                </c:pt>
                <c:pt idx="3">
                  <c:v>90</c:v>
                </c:pt>
                <c:pt idx="4">
                  <c:v>83</c:v>
                </c:pt>
                <c:pt idx="5">
                  <c:v>95</c:v>
                </c:pt>
                <c:pt idx="6">
                  <c:v>86</c:v>
                </c:pt>
                <c:pt idx="7">
                  <c:v>100</c:v>
                </c:pt>
                <c:pt idx="8">
                  <c:v>128</c:v>
                </c:pt>
                <c:pt idx="9">
                  <c:v>119</c:v>
                </c:pt>
                <c:pt idx="10">
                  <c:v>94</c:v>
                </c:pt>
                <c:pt idx="11">
                  <c:v>96</c:v>
                </c:pt>
                <c:pt idx="12">
                  <c:v>105</c:v>
                </c:pt>
                <c:pt idx="13">
                  <c:v>98</c:v>
                </c:pt>
                <c:pt idx="14">
                  <c:v>106</c:v>
                </c:pt>
                <c:pt idx="15">
                  <c:v>156</c:v>
                </c:pt>
                <c:pt idx="16">
                  <c:v>104</c:v>
                </c:pt>
                <c:pt idx="17">
                  <c:v>115</c:v>
                </c:pt>
                <c:pt idx="18">
                  <c:v>98</c:v>
                </c:pt>
                <c:pt idx="19">
                  <c:v>98</c:v>
                </c:pt>
                <c:pt idx="20">
                  <c:v>11</c:v>
                </c:pt>
                <c:pt idx="21">
                  <c:v>186</c:v>
                </c:pt>
                <c:pt idx="22">
                  <c:v>89</c:v>
                </c:pt>
                <c:pt idx="23">
                  <c:v>91</c:v>
                </c:pt>
                <c:pt idx="24">
                  <c:v>88</c:v>
                </c:pt>
                <c:pt idx="25">
                  <c:v>97</c:v>
                </c:pt>
                <c:pt idx="26">
                  <c:v>94</c:v>
                </c:pt>
                <c:pt idx="27">
                  <c:v>104</c:v>
                </c:pt>
                <c:pt idx="28">
                  <c:v>95</c:v>
                </c:pt>
                <c:pt idx="2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9397</c:v>
                </c:pt>
                <c:pt idx="1">
                  <c:v>9389</c:v>
                </c:pt>
                <c:pt idx="2">
                  <c:v>8799</c:v>
                </c:pt>
                <c:pt idx="3">
                  <c:v>9019</c:v>
                </c:pt>
                <c:pt idx="4">
                  <c:v>8810</c:v>
                </c:pt>
                <c:pt idx="5">
                  <c:v>8887</c:v>
                </c:pt>
                <c:pt idx="6">
                  <c:v>8922</c:v>
                </c:pt>
                <c:pt idx="7">
                  <c:v>8341</c:v>
                </c:pt>
                <c:pt idx="8">
                  <c:v>8469</c:v>
                </c:pt>
                <c:pt idx="9">
                  <c:v>8322</c:v>
                </c:pt>
                <c:pt idx="10">
                  <c:v>8472</c:v>
                </c:pt>
                <c:pt idx="11">
                  <c:v>8690</c:v>
                </c:pt>
                <c:pt idx="12">
                  <c:v>8744</c:v>
                </c:pt>
                <c:pt idx="13">
                  <c:v>9102</c:v>
                </c:pt>
                <c:pt idx="14">
                  <c:v>9366</c:v>
                </c:pt>
                <c:pt idx="15">
                  <c:v>9075</c:v>
                </c:pt>
                <c:pt idx="16">
                  <c:v>9040</c:v>
                </c:pt>
                <c:pt idx="17">
                  <c:v>8739</c:v>
                </c:pt>
                <c:pt idx="18">
                  <c:v>8813</c:v>
                </c:pt>
                <c:pt idx="19">
                  <c:v>8396</c:v>
                </c:pt>
                <c:pt idx="20">
                  <c:v>10</c:v>
                </c:pt>
                <c:pt idx="21">
                  <c:v>18258</c:v>
                </c:pt>
                <c:pt idx="22">
                  <c:v>15179</c:v>
                </c:pt>
                <c:pt idx="23">
                  <c:v>1073</c:v>
                </c:pt>
                <c:pt idx="24">
                  <c:v>7846</c:v>
                </c:pt>
                <c:pt idx="25">
                  <c:v>8723</c:v>
                </c:pt>
                <c:pt idx="26">
                  <c:v>8580</c:v>
                </c:pt>
                <c:pt idx="27">
                  <c:v>9170</c:v>
                </c:pt>
                <c:pt idx="28">
                  <c:v>8961</c:v>
                </c:pt>
                <c:pt idx="29">
                  <c:v>9168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164</c:v>
                </c:pt>
                <c:pt idx="1">
                  <c:v>158</c:v>
                </c:pt>
                <c:pt idx="2">
                  <c:v>155</c:v>
                </c:pt>
                <c:pt idx="3">
                  <c:v>146</c:v>
                </c:pt>
                <c:pt idx="4">
                  <c:v>187</c:v>
                </c:pt>
                <c:pt idx="5">
                  <c:v>172</c:v>
                </c:pt>
                <c:pt idx="6">
                  <c:v>116</c:v>
                </c:pt>
                <c:pt idx="7">
                  <c:v>138</c:v>
                </c:pt>
                <c:pt idx="8">
                  <c:v>90</c:v>
                </c:pt>
                <c:pt idx="9">
                  <c:v>182</c:v>
                </c:pt>
                <c:pt idx="10">
                  <c:v>160</c:v>
                </c:pt>
                <c:pt idx="11">
                  <c:v>149</c:v>
                </c:pt>
                <c:pt idx="12">
                  <c:v>138</c:v>
                </c:pt>
                <c:pt idx="13">
                  <c:v>151</c:v>
                </c:pt>
                <c:pt idx="14">
                  <c:v>138</c:v>
                </c:pt>
                <c:pt idx="15">
                  <c:v>150</c:v>
                </c:pt>
                <c:pt idx="16">
                  <c:v>181</c:v>
                </c:pt>
                <c:pt idx="17">
                  <c:v>136</c:v>
                </c:pt>
                <c:pt idx="18">
                  <c:v>150</c:v>
                </c:pt>
                <c:pt idx="19">
                  <c:v>183</c:v>
                </c:pt>
                <c:pt idx="20">
                  <c:v>44</c:v>
                </c:pt>
                <c:pt idx="21">
                  <c:v>218</c:v>
                </c:pt>
                <c:pt idx="22">
                  <c:v>9</c:v>
                </c:pt>
                <c:pt idx="23">
                  <c:v>300</c:v>
                </c:pt>
                <c:pt idx="24">
                  <c:v>144</c:v>
                </c:pt>
                <c:pt idx="25">
                  <c:v>196</c:v>
                </c:pt>
                <c:pt idx="26">
                  <c:v>169</c:v>
                </c:pt>
                <c:pt idx="27">
                  <c:v>141</c:v>
                </c:pt>
                <c:pt idx="28">
                  <c:v>150</c:v>
                </c:pt>
                <c:pt idx="29">
                  <c:v>108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2967668</xdr:colOff>
      <xdr:row>0</xdr:row>
      <xdr:rowOff>21306</xdr:rowOff>
    </xdr:from>
    <xdr:to>
      <xdr:col>8</xdr:col>
      <xdr:colOff>18625</xdr:colOff>
      <xdr:row>0</xdr:row>
      <xdr:rowOff>633628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0130" y="20955"/>
          <a:ext cx="3156585" cy="612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238060</xdr:colOff>
      <xdr:row>0</xdr:row>
      <xdr:rowOff>115660</xdr:rowOff>
    </xdr:from>
    <xdr:to>
      <xdr:col>8</xdr:col>
      <xdr:colOff>4259</xdr:colOff>
      <xdr:row>0</xdr:row>
      <xdr:rowOff>741589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7515" y="115570"/>
          <a:ext cx="3614420" cy="625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_k\Downloads\Downtown%20Rotana%20-%20HEP%20-%20Daily%20-%20October%202025.xlsx" TargetMode="External"/><Relationship Id="rId1" Type="http://schemas.openxmlformats.org/officeDocument/2006/relationships/externalLinkPath" Target="Downtown%20Rotana%20-%20HEP%20-%20Daily%20-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heet1"/>
    </sheetNames>
    <sheetDataSet>
      <sheetData sheetId="0"/>
      <sheetData sheetId="1">
        <row r="26">
          <cell r="Y26">
            <v>17227.439999999999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abSelected="1" workbookViewId="0">
      <selection activeCell="L2" sqref="L2"/>
    </sheetView>
  </sheetViews>
  <sheetFormatPr defaultColWidth="11.5546875" defaultRowHeight="14.4"/>
  <cols>
    <col min="1" max="1" width="29.109375" style="42" bestFit="1" customWidth="1"/>
    <col min="2" max="3" width="11.5546875" style="37"/>
    <col min="4" max="4" width="13.44140625" style="37" customWidth="1"/>
    <col min="5" max="5" width="12.5546875" style="40" customWidth="1"/>
    <col min="6" max="6" width="12.5546875" style="39" customWidth="1"/>
    <col min="7" max="7" width="11.5546875" style="40"/>
    <col min="8" max="8" width="11.5546875" style="39"/>
    <col min="9" max="9" width="11.5546875" style="40"/>
    <col min="10" max="10" width="11.5546875" style="41"/>
    <col min="11" max="11" width="11.5546875" style="40"/>
    <col min="12" max="12" width="11.5546875" style="41"/>
    <col min="13" max="26" width="11.5546875" style="40"/>
    <col min="27" max="16384" width="11.5546875" style="43"/>
  </cols>
  <sheetData>
    <row r="1" spans="1:15" s="35" customFormat="1" ht="43.2">
      <c r="A1" s="31" t="s">
        <v>26</v>
      </c>
      <c r="B1" s="31" t="s">
        <v>27</v>
      </c>
      <c r="C1" s="31" t="s">
        <v>28</v>
      </c>
      <c r="D1" s="31" t="s">
        <v>29</v>
      </c>
      <c r="E1" s="32" t="s">
        <v>30</v>
      </c>
      <c r="F1" s="33" t="s">
        <v>31</v>
      </c>
      <c r="G1" s="32" t="s">
        <v>37</v>
      </c>
      <c r="H1" s="33" t="s">
        <v>38</v>
      </c>
      <c r="I1" s="32" t="s">
        <v>32</v>
      </c>
      <c r="J1" s="34" t="s">
        <v>33</v>
      </c>
      <c r="K1" s="32" t="s">
        <v>39</v>
      </c>
      <c r="L1" s="34" t="s">
        <v>40</v>
      </c>
      <c r="M1" s="32" t="s">
        <v>34</v>
      </c>
      <c r="N1" s="32" t="s">
        <v>35</v>
      </c>
    </row>
    <row r="2" spans="1:15">
      <c r="A2" s="36" t="s">
        <v>36</v>
      </c>
      <c r="B2" s="37">
        <v>1</v>
      </c>
      <c r="C2" s="37">
        <v>8</v>
      </c>
      <c r="D2" s="37">
        <v>2025</v>
      </c>
      <c r="E2" s="38">
        <f>IF('BAN Extension '!D6&gt;0,'BAN Extension '!D6,0)</f>
        <v>9397</v>
      </c>
      <c r="F2" s="39">
        <v>0.2</v>
      </c>
      <c r="G2" s="38">
        <v>1</v>
      </c>
      <c r="H2" s="39">
        <v>5.42</v>
      </c>
      <c r="I2" s="38">
        <f>IF('BAN - EXT- Extension '!D6+'BAN - EXT- Extension '!F6&gt;0,'BAN - EXT- Extension '!D6+'BAN - EXT- Extension '!F6,0)</f>
        <v>524</v>
      </c>
      <c r="J2" s="39">
        <v>7.84</v>
      </c>
      <c r="K2" s="38">
        <f>IF('BAN Extension '!F6&gt;0,'BAN Extension '!F6,0)</f>
        <v>164</v>
      </c>
      <c r="L2" s="39">
        <v>7.84</v>
      </c>
      <c r="M2" s="38"/>
      <c r="N2" s="38"/>
      <c r="O2" s="40">
        <f>I2*J2</f>
        <v>4108.16</v>
      </c>
    </row>
    <row r="3" spans="1:15">
      <c r="A3" s="36" t="s">
        <v>36</v>
      </c>
      <c r="B3" s="37">
        <f>B2+1</f>
        <v>2</v>
      </c>
      <c r="C3" s="37">
        <v>8</v>
      </c>
      <c r="D3" s="37">
        <v>2025</v>
      </c>
      <c r="E3" s="38">
        <f>IF('BAN Extension '!D7&gt;0,'BAN Extension '!D7,0)</f>
        <v>9389</v>
      </c>
      <c r="F3" s="39">
        <v>0.2</v>
      </c>
      <c r="G3" s="38"/>
      <c r="H3" s="39">
        <v>5.42</v>
      </c>
      <c r="I3" s="38">
        <f>IF('BAN - EXT- Extension '!D7+'BAN - EXT- Extension '!F7&gt;0,'BAN - EXT- Extension '!D7+'BAN - EXT- Extension '!F7,0)</f>
        <v>475</v>
      </c>
      <c r="J3" s="39">
        <v>7.84</v>
      </c>
      <c r="K3" s="38">
        <f>IF('BAN Extension '!F7&gt;0,'BAN Extension '!F7,0)</f>
        <v>158</v>
      </c>
      <c r="L3" s="39">
        <v>7.84</v>
      </c>
      <c r="M3" s="38"/>
      <c r="N3" s="38"/>
      <c r="O3" s="40">
        <f t="shared" ref="O3:O32" si="0">I3*J3</f>
        <v>3724</v>
      </c>
    </row>
    <row r="4" spans="1:15">
      <c r="A4" s="36" t="s">
        <v>36</v>
      </c>
      <c r="B4" s="37">
        <f t="shared" ref="B4:B32" si="1">B3+1</f>
        <v>3</v>
      </c>
      <c r="C4" s="37">
        <v>8</v>
      </c>
      <c r="D4" s="37">
        <v>2025</v>
      </c>
      <c r="E4" s="38">
        <f>IF('BAN Extension '!D8&gt;0,'BAN Extension '!D8,0)</f>
        <v>8799</v>
      </c>
      <c r="F4" s="39">
        <v>0.2</v>
      </c>
      <c r="G4" s="38"/>
      <c r="H4" s="39">
        <v>5.42</v>
      </c>
      <c r="I4" s="38">
        <f>IF('BAN - EXT- Extension '!D8+'BAN - EXT- Extension '!F8&gt;0,'BAN - EXT- Extension '!D8+'BAN - EXT- Extension '!F8,0)</f>
        <v>434</v>
      </c>
      <c r="J4" s="39">
        <v>7.84</v>
      </c>
      <c r="K4" s="38">
        <f>IF('BAN Extension '!F8&gt;0,'BAN Extension '!F8,0)</f>
        <v>155</v>
      </c>
      <c r="L4" s="39">
        <v>7.84</v>
      </c>
      <c r="M4" s="38"/>
      <c r="N4" s="38"/>
      <c r="O4" s="40">
        <f t="shared" si="0"/>
        <v>3402.56</v>
      </c>
    </row>
    <row r="5" spans="1:15">
      <c r="A5" s="36" t="s">
        <v>36</v>
      </c>
      <c r="B5" s="37">
        <f t="shared" si="1"/>
        <v>4</v>
      </c>
      <c r="C5" s="37">
        <v>8</v>
      </c>
      <c r="D5" s="37">
        <v>2025</v>
      </c>
      <c r="E5" s="38">
        <f>IF('BAN Extension '!D9&gt;0,'BAN Extension '!D9,0)</f>
        <v>9019</v>
      </c>
      <c r="F5" s="39">
        <v>0.2</v>
      </c>
      <c r="G5" s="38"/>
      <c r="H5" s="39">
        <v>5.42</v>
      </c>
      <c r="I5" s="38">
        <f>IF('BAN - EXT- Extension '!D9+'BAN - EXT- Extension '!F9&gt;0,'BAN - EXT- Extension '!D9+'BAN - EXT- Extension '!F9,0)</f>
        <v>478</v>
      </c>
      <c r="J5" s="39">
        <v>7.84</v>
      </c>
      <c r="K5" s="38">
        <f>IF('BAN Extension '!F9&gt;0,'BAN Extension '!F9,0)</f>
        <v>146</v>
      </c>
      <c r="L5" s="39">
        <v>7.84</v>
      </c>
      <c r="M5" s="38"/>
      <c r="N5" s="38"/>
      <c r="O5" s="40">
        <f t="shared" si="0"/>
        <v>3747.52</v>
      </c>
    </row>
    <row r="6" spans="1:15">
      <c r="A6" s="36" t="s">
        <v>36</v>
      </c>
      <c r="B6" s="37">
        <f t="shared" si="1"/>
        <v>5</v>
      </c>
      <c r="C6" s="37">
        <v>8</v>
      </c>
      <c r="D6" s="37">
        <v>2025</v>
      </c>
      <c r="E6" s="38">
        <f>IF('BAN Extension '!D10&gt;0,'BAN Extension '!D10,0)</f>
        <v>8810</v>
      </c>
      <c r="F6" s="39">
        <v>0.2</v>
      </c>
      <c r="G6" s="38"/>
      <c r="H6" s="39">
        <v>5.42</v>
      </c>
      <c r="I6" s="38">
        <f>IF('BAN - EXT- Extension '!D10+'BAN - EXT- Extension '!F10&gt;0,'BAN - EXT- Extension '!D10+'BAN - EXT- Extension '!F10,0)</f>
        <v>516</v>
      </c>
      <c r="J6" s="39">
        <v>7.84</v>
      </c>
      <c r="K6" s="38">
        <f>IF('BAN Extension '!F10&gt;0,'BAN Extension '!F10,0)</f>
        <v>187</v>
      </c>
      <c r="L6" s="39">
        <v>7.84</v>
      </c>
      <c r="M6" s="38"/>
      <c r="N6" s="38"/>
      <c r="O6" s="40">
        <f t="shared" si="0"/>
        <v>4045.44</v>
      </c>
    </row>
    <row r="7" spans="1:15">
      <c r="A7" s="36" t="s">
        <v>36</v>
      </c>
      <c r="B7" s="37">
        <f t="shared" si="1"/>
        <v>6</v>
      </c>
      <c r="C7" s="37">
        <v>8</v>
      </c>
      <c r="D7" s="37">
        <v>2025</v>
      </c>
      <c r="E7" s="38">
        <f>IF('BAN Extension '!D11&gt;0,'BAN Extension '!D11,0)</f>
        <v>8887</v>
      </c>
      <c r="F7" s="39">
        <v>0.2</v>
      </c>
      <c r="G7" s="38"/>
      <c r="H7" s="39">
        <v>5.42</v>
      </c>
      <c r="I7" s="38">
        <f>IF('BAN - EXT- Extension '!D11+'BAN - EXT- Extension '!F11&gt;0,'BAN - EXT- Extension '!D11+'BAN - EXT- Extension '!F11,0)</f>
        <v>562</v>
      </c>
      <c r="J7" s="39">
        <v>7.84</v>
      </c>
      <c r="K7" s="38">
        <f>IF('BAN Extension '!F11&gt;0,'BAN Extension '!F11,0)</f>
        <v>172</v>
      </c>
      <c r="L7" s="39">
        <v>7.84</v>
      </c>
      <c r="M7" s="38"/>
      <c r="N7" s="38"/>
      <c r="O7" s="40">
        <f t="shared" si="0"/>
        <v>4406.08</v>
      </c>
    </row>
    <row r="8" spans="1:15">
      <c r="A8" s="36" t="s">
        <v>36</v>
      </c>
      <c r="B8" s="37">
        <f t="shared" si="1"/>
        <v>7</v>
      </c>
      <c r="C8" s="37">
        <v>8</v>
      </c>
      <c r="D8" s="37">
        <v>2025</v>
      </c>
      <c r="E8" s="38">
        <f>IF('BAN Extension '!D12&gt;0,'BAN Extension '!D12,0)</f>
        <v>8922</v>
      </c>
      <c r="F8" s="39">
        <v>0.2</v>
      </c>
      <c r="G8" s="38"/>
      <c r="H8" s="39">
        <v>5.42</v>
      </c>
      <c r="I8" s="38">
        <f>IF('BAN - EXT- Extension '!D12+'BAN - EXT- Extension '!F12&gt;0,'BAN - EXT- Extension '!D12+'BAN - EXT- Extension '!F12,0)</f>
        <v>503</v>
      </c>
      <c r="J8" s="39">
        <v>7.84</v>
      </c>
      <c r="K8" s="38">
        <f>IF('BAN Extension '!F12&gt;0,'BAN Extension '!F12,0)</f>
        <v>116</v>
      </c>
      <c r="L8" s="39">
        <v>7.84</v>
      </c>
      <c r="M8" s="38"/>
      <c r="N8" s="38"/>
      <c r="O8" s="40">
        <f t="shared" si="0"/>
        <v>3943.52</v>
      </c>
    </row>
    <row r="9" spans="1:15">
      <c r="A9" s="36" t="s">
        <v>36</v>
      </c>
      <c r="B9" s="37">
        <f t="shared" si="1"/>
        <v>8</v>
      </c>
      <c r="C9" s="37">
        <v>8</v>
      </c>
      <c r="D9" s="37">
        <v>2025</v>
      </c>
      <c r="E9" s="38">
        <f>IF('BAN Extension '!D13&gt;0,'BAN Extension '!D13,0)</f>
        <v>8341</v>
      </c>
      <c r="F9" s="39">
        <v>0.2</v>
      </c>
      <c r="G9" s="38"/>
      <c r="H9" s="39">
        <v>5.42</v>
      </c>
      <c r="I9" s="38">
        <f>IF('BAN - EXT- Extension '!D13+'BAN - EXT- Extension '!F13&gt;0,'BAN - EXT- Extension '!D13+'BAN - EXT- Extension '!F13,0)</f>
        <v>662</v>
      </c>
      <c r="J9" s="39">
        <v>7.84</v>
      </c>
      <c r="K9" s="38">
        <f>IF('BAN Extension '!F13&gt;0,'BAN Extension '!F13,0)</f>
        <v>138</v>
      </c>
      <c r="L9" s="39">
        <v>7.84</v>
      </c>
      <c r="M9" s="38"/>
      <c r="N9" s="38"/>
      <c r="O9" s="40">
        <f t="shared" si="0"/>
        <v>5190.08</v>
      </c>
    </row>
    <row r="10" spans="1:15">
      <c r="A10" s="36" t="s">
        <v>36</v>
      </c>
      <c r="B10" s="37">
        <f t="shared" si="1"/>
        <v>9</v>
      </c>
      <c r="C10" s="37">
        <v>8</v>
      </c>
      <c r="D10" s="37">
        <v>2025</v>
      </c>
      <c r="E10" s="38">
        <f>IF('BAN Extension '!D14&gt;0,'BAN Extension '!D14,0)</f>
        <v>8469</v>
      </c>
      <c r="F10" s="39">
        <v>0.2</v>
      </c>
      <c r="G10" s="38"/>
      <c r="H10" s="39">
        <v>5.42</v>
      </c>
      <c r="I10" s="38">
        <f>IF('BAN - EXT- Extension '!D14+'BAN - EXT- Extension '!F14&gt;0,'BAN - EXT- Extension '!D14+'BAN - EXT- Extension '!F14,0)</f>
        <v>1040</v>
      </c>
      <c r="J10" s="39">
        <v>7.84</v>
      </c>
      <c r="K10" s="38">
        <f>IF('BAN Extension '!F14&gt;0,'BAN Extension '!F14,0)</f>
        <v>90</v>
      </c>
      <c r="L10" s="39">
        <v>7.84</v>
      </c>
      <c r="M10" s="38"/>
      <c r="N10" s="38"/>
      <c r="O10" s="40">
        <f t="shared" si="0"/>
        <v>8153.5999999999995</v>
      </c>
    </row>
    <row r="11" spans="1:15">
      <c r="A11" s="36" t="s">
        <v>36</v>
      </c>
      <c r="B11" s="37">
        <f t="shared" si="1"/>
        <v>10</v>
      </c>
      <c r="C11" s="37">
        <v>8</v>
      </c>
      <c r="D11" s="37">
        <v>2025</v>
      </c>
      <c r="E11" s="38">
        <f>IF('BAN Extension '!D15&gt;0,'BAN Extension '!D15,0)</f>
        <v>8322</v>
      </c>
      <c r="F11" s="39">
        <v>0.2</v>
      </c>
      <c r="G11" s="38"/>
      <c r="H11" s="39">
        <v>5.42</v>
      </c>
      <c r="I11" s="38">
        <f>IF('BAN - EXT- Extension '!D15+'BAN - EXT- Extension '!F15&gt;0,'BAN - EXT- Extension '!D15+'BAN - EXT- Extension '!F15,0)</f>
        <v>860</v>
      </c>
      <c r="J11" s="39">
        <v>7.84</v>
      </c>
      <c r="K11" s="38">
        <f>IF('BAN Extension '!F15&gt;0,'BAN Extension '!F15,0)</f>
        <v>182</v>
      </c>
      <c r="L11" s="39">
        <v>7.84</v>
      </c>
      <c r="M11" s="38"/>
      <c r="N11" s="38"/>
      <c r="O11" s="40">
        <f t="shared" si="0"/>
        <v>6742.4</v>
      </c>
    </row>
    <row r="12" spans="1:15">
      <c r="A12" s="36" t="s">
        <v>36</v>
      </c>
      <c r="B12" s="37">
        <f t="shared" si="1"/>
        <v>11</v>
      </c>
      <c r="C12" s="37">
        <v>8</v>
      </c>
      <c r="D12" s="37">
        <v>2025</v>
      </c>
      <c r="E12" s="38">
        <f>IF('BAN Extension '!D16&gt;0,'BAN Extension '!D16,0)</f>
        <v>8472</v>
      </c>
      <c r="F12" s="39">
        <v>0.2</v>
      </c>
      <c r="G12" s="38"/>
      <c r="H12" s="39">
        <v>5.42</v>
      </c>
      <c r="I12" s="38">
        <f>IF('BAN - EXT- Extension '!D16+'BAN - EXT- Extension '!F16&gt;0,'BAN - EXT- Extension '!D16+'BAN - EXT- Extension '!F16,0)</f>
        <v>607</v>
      </c>
      <c r="J12" s="39">
        <v>7.84</v>
      </c>
      <c r="K12" s="38">
        <f>IF('BAN Extension '!F16&gt;0,'BAN Extension '!F16,0)</f>
        <v>160</v>
      </c>
      <c r="L12" s="39">
        <v>7.84</v>
      </c>
      <c r="M12" s="38"/>
      <c r="N12" s="38"/>
      <c r="O12" s="40">
        <f t="shared" si="0"/>
        <v>4758.88</v>
      </c>
    </row>
    <row r="13" spans="1:15">
      <c r="A13" s="36" t="s">
        <v>36</v>
      </c>
      <c r="B13" s="37">
        <f t="shared" si="1"/>
        <v>12</v>
      </c>
      <c r="C13" s="37">
        <v>8</v>
      </c>
      <c r="D13" s="37">
        <v>2025</v>
      </c>
      <c r="E13" s="38">
        <f>IF('BAN Extension '!D17&gt;0,'BAN Extension '!D17,0)</f>
        <v>8690</v>
      </c>
      <c r="F13" s="39">
        <v>0.2</v>
      </c>
      <c r="G13" s="38"/>
      <c r="H13" s="39">
        <v>5.42</v>
      </c>
      <c r="I13" s="38">
        <f>IF('BAN - EXT- Extension '!D17+'BAN - EXT- Extension '!F17&gt;0,'BAN - EXT- Extension '!D17+'BAN - EXT- Extension '!F17,0)</f>
        <v>590</v>
      </c>
      <c r="J13" s="39">
        <v>7.84</v>
      </c>
      <c r="K13" s="38">
        <f>IF('BAN Extension '!F17&gt;0,'BAN Extension '!F17,0)</f>
        <v>149</v>
      </c>
      <c r="L13" s="39">
        <v>7.84</v>
      </c>
      <c r="M13" s="38"/>
      <c r="N13" s="38"/>
      <c r="O13" s="40">
        <f t="shared" si="0"/>
        <v>4625.6000000000004</v>
      </c>
    </row>
    <row r="14" spans="1:15">
      <c r="A14" s="36" t="s">
        <v>36</v>
      </c>
      <c r="B14" s="37">
        <f t="shared" si="1"/>
        <v>13</v>
      </c>
      <c r="C14" s="37">
        <v>8</v>
      </c>
      <c r="D14" s="37">
        <v>2025</v>
      </c>
      <c r="E14" s="38">
        <f>IF('BAN Extension '!D18&gt;0,'BAN Extension '!D18,0)</f>
        <v>8744</v>
      </c>
      <c r="F14" s="39">
        <v>0.2</v>
      </c>
      <c r="G14" s="38"/>
      <c r="H14" s="39">
        <v>5.42</v>
      </c>
      <c r="I14" s="38">
        <f>IF('BAN - EXT- Extension '!D18+'BAN - EXT- Extension '!F18&gt;0,'BAN - EXT- Extension '!D18+'BAN - EXT- Extension '!F18,0)</f>
        <v>645</v>
      </c>
      <c r="J14" s="39">
        <v>7.84</v>
      </c>
      <c r="K14" s="38">
        <f>IF('BAN Extension '!F18&gt;0,'BAN Extension '!F18,0)</f>
        <v>138</v>
      </c>
      <c r="L14" s="39">
        <v>7.84</v>
      </c>
      <c r="M14" s="38"/>
      <c r="N14" s="38"/>
      <c r="O14" s="40">
        <f t="shared" si="0"/>
        <v>5056.8</v>
      </c>
    </row>
    <row r="15" spans="1:15">
      <c r="A15" s="36" t="s">
        <v>36</v>
      </c>
      <c r="B15" s="37">
        <f t="shared" si="1"/>
        <v>14</v>
      </c>
      <c r="C15" s="37">
        <v>8</v>
      </c>
      <c r="D15" s="37">
        <v>2025</v>
      </c>
      <c r="E15" s="38">
        <f>IF('BAN Extension '!D19&gt;0,'BAN Extension '!D19,0)</f>
        <v>9102</v>
      </c>
      <c r="F15" s="39">
        <v>0.2</v>
      </c>
      <c r="G15" s="38"/>
      <c r="H15" s="39">
        <v>5.42</v>
      </c>
      <c r="I15" s="38">
        <f>IF('BAN - EXT- Extension '!D19+'BAN - EXT- Extension '!F19&gt;0,'BAN - EXT- Extension '!D19+'BAN - EXT- Extension '!F19,0)</f>
        <v>674</v>
      </c>
      <c r="J15" s="39">
        <v>7.84</v>
      </c>
      <c r="K15" s="38">
        <f>IF('BAN Extension '!F19&gt;0,'BAN Extension '!F19,0)</f>
        <v>151</v>
      </c>
      <c r="L15" s="39">
        <v>7.84</v>
      </c>
      <c r="M15" s="38"/>
      <c r="N15" s="38"/>
      <c r="O15" s="40">
        <f t="shared" si="0"/>
        <v>5284.16</v>
      </c>
    </row>
    <row r="16" spans="1:15">
      <c r="A16" s="36" t="s">
        <v>36</v>
      </c>
      <c r="B16" s="37">
        <f t="shared" si="1"/>
        <v>15</v>
      </c>
      <c r="C16" s="37">
        <v>8</v>
      </c>
      <c r="D16" s="37">
        <v>2025</v>
      </c>
      <c r="E16" s="38">
        <f>IF('BAN Extension '!D20&gt;0,'BAN Extension '!D20,0)</f>
        <v>9366</v>
      </c>
      <c r="F16" s="39">
        <v>0.2</v>
      </c>
      <c r="G16" s="38"/>
      <c r="H16" s="39">
        <v>5.42</v>
      </c>
      <c r="I16" s="38">
        <f>IF('BAN - EXT- Extension '!D20+'BAN - EXT- Extension '!F20&gt;0,'BAN - EXT- Extension '!D20+'BAN - EXT- Extension '!F20,0)</f>
        <v>679</v>
      </c>
      <c r="J16" s="39">
        <v>7.84</v>
      </c>
      <c r="K16" s="38">
        <f>IF('BAN Extension '!F20&gt;0,'BAN Extension '!F20,0)</f>
        <v>138</v>
      </c>
      <c r="L16" s="39">
        <v>7.84</v>
      </c>
      <c r="M16" s="38"/>
      <c r="N16" s="38"/>
      <c r="O16" s="40">
        <f t="shared" si="0"/>
        <v>5323.36</v>
      </c>
    </row>
    <row r="17" spans="1:15">
      <c r="A17" s="36" t="s">
        <v>36</v>
      </c>
      <c r="B17" s="37">
        <f t="shared" si="1"/>
        <v>16</v>
      </c>
      <c r="C17" s="37">
        <v>8</v>
      </c>
      <c r="D17" s="37">
        <v>2025</v>
      </c>
      <c r="E17" s="38">
        <f>IF('BAN Extension '!D21&gt;0,'BAN Extension '!D21,0)</f>
        <v>9075</v>
      </c>
      <c r="F17" s="39">
        <v>0.2</v>
      </c>
      <c r="G17" s="38"/>
      <c r="H17" s="39">
        <v>5.42</v>
      </c>
      <c r="I17" s="38">
        <f>IF('BAN - EXT- Extension '!D21+'BAN - EXT- Extension '!F21&gt;0,'BAN - EXT- Extension '!D21+'BAN - EXT- Extension '!F21,0)</f>
        <v>783</v>
      </c>
      <c r="J17" s="39">
        <v>7.84</v>
      </c>
      <c r="K17" s="38">
        <f>IF('BAN Extension '!F21&gt;0,'BAN Extension '!F21,0)</f>
        <v>150</v>
      </c>
      <c r="L17" s="39">
        <v>7.84</v>
      </c>
      <c r="M17" s="38"/>
      <c r="N17" s="38"/>
      <c r="O17" s="40">
        <f t="shared" si="0"/>
        <v>6138.72</v>
      </c>
    </row>
    <row r="18" spans="1:15">
      <c r="A18" s="36" t="s">
        <v>36</v>
      </c>
      <c r="B18" s="37">
        <f t="shared" si="1"/>
        <v>17</v>
      </c>
      <c r="C18" s="37">
        <v>8</v>
      </c>
      <c r="D18" s="37">
        <v>2025</v>
      </c>
      <c r="E18" s="38">
        <f>IF('BAN Extension '!D22&gt;0,'BAN Extension '!D22,0)</f>
        <v>9040</v>
      </c>
      <c r="F18" s="39">
        <v>0.2</v>
      </c>
      <c r="G18" s="38"/>
      <c r="H18" s="39">
        <v>5.42</v>
      </c>
      <c r="I18" s="38">
        <f>IF('BAN - EXT- Extension '!D22+'BAN - EXT- Extension '!F22&gt;0,'BAN - EXT- Extension '!D22+'BAN - EXT- Extension '!F22,0)</f>
        <v>568</v>
      </c>
      <c r="J18" s="39">
        <v>7.84</v>
      </c>
      <c r="K18" s="38">
        <f>IF('BAN Extension '!F22&gt;0,'BAN Extension '!F22,0)</f>
        <v>181</v>
      </c>
      <c r="L18" s="39">
        <v>7.84</v>
      </c>
      <c r="M18" s="38"/>
      <c r="N18" s="38"/>
      <c r="O18" s="40">
        <f t="shared" si="0"/>
        <v>4453.12</v>
      </c>
    </row>
    <row r="19" spans="1:15">
      <c r="A19" s="36" t="s">
        <v>36</v>
      </c>
      <c r="B19" s="37">
        <f t="shared" si="1"/>
        <v>18</v>
      </c>
      <c r="C19" s="37">
        <v>8</v>
      </c>
      <c r="D19" s="37">
        <v>2025</v>
      </c>
      <c r="E19" s="38">
        <f>IF('BAN Extension '!D23&gt;0,'BAN Extension '!D23,0)</f>
        <v>8739</v>
      </c>
      <c r="F19" s="39">
        <v>0.2</v>
      </c>
      <c r="G19" s="38"/>
      <c r="H19" s="39">
        <v>5.42</v>
      </c>
      <c r="I19" s="38">
        <f>IF('BAN - EXT- Extension '!D23+'BAN - EXT- Extension '!F23&gt;0,'BAN - EXT- Extension '!D23+'BAN - EXT- Extension '!F23,0)</f>
        <v>735</v>
      </c>
      <c r="J19" s="39">
        <v>7.84</v>
      </c>
      <c r="K19" s="38">
        <f>IF('BAN Extension '!F23&gt;0,'BAN Extension '!F23,0)</f>
        <v>136</v>
      </c>
      <c r="L19" s="39">
        <v>7.84</v>
      </c>
      <c r="M19" s="38"/>
      <c r="N19" s="38"/>
      <c r="O19" s="40">
        <f t="shared" si="0"/>
        <v>5762.4</v>
      </c>
    </row>
    <row r="20" spans="1:15">
      <c r="A20" s="36" t="s">
        <v>36</v>
      </c>
      <c r="B20" s="37">
        <f t="shared" si="1"/>
        <v>19</v>
      </c>
      <c r="C20" s="37">
        <v>8</v>
      </c>
      <c r="D20" s="37">
        <v>2025</v>
      </c>
      <c r="E20" s="38">
        <f>IF('BAN Extension '!D24&gt;0,'BAN Extension '!D24,0)</f>
        <v>8813</v>
      </c>
      <c r="F20" s="39">
        <v>0.2</v>
      </c>
      <c r="G20" s="38"/>
      <c r="H20" s="39">
        <v>5.42</v>
      </c>
      <c r="I20" s="38">
        <f>IF('BAN - EXT- Extension '!D24+'BAN - EXT- Extension '!F24&gt;0,'BAN - EXT- Extension '!D24+'BAN - EXT- Extension '!F24,0)</f>
        <v>638</v>
      </c>
      <c r="J20" s="39">
        <v>7.84</v>
      </c>
      <c r="K20" s="38">
        <f>IF('BAN Extension '!F24&gt;0,'BAN Extension '!F24,0)</f>
        <v>150</v>
      </c>
      <c r="L20" s="39">
        <v>7.84</v>
      </c>
      <c r="M20" s="38"/>
      <c r="N20" s="38"/>
      <c r="O20" s="40">
        <f t="shared" si="0"/>
        <v>5001.92</v>
      </c>
    </row>
    <row r="21" spans="1:15">
      <c r="A21" s="36" t="s">
        <v>36</v>
      </c>
      <c r="B21" s="37">
        <f t="shared" si="1"/>
        <v>20</v>
      </c>
      <c r="C21" s="37">
        <v>8</v>
      </c>
      <c r="D21" s="37">
        <v>2025</v>
      </c>
      <c r="E21" s="38">
        <f>IF('BAN Extension '!D25&gt;0,'BAN Extension '!D25,0)</f>
        <v>8396</v>
      </c>
      <c r="F21" s="39">
        <v>0.2</v>
      </c>
      <c r="G21" s="38"/>
      <c r="H21" s="39">
        <v>5.42</v>
      </c>
      <c r="I21" s="38">
        <f>IF('BAN - EXT- Extension '!D25+'BAN - EXT- Extension '!F25&gt;0,'BAN - EXT- Extension '!D25+'BAN - EXT- Extension '!F25,0)</f>
        <v>538</v>
      </c>
      <c r="J21" s="39">
        <v>7.84</v>
      </c>
      <c r="K21" s="38">
        <f>IF('BAN Extension '!F25&gt;0,'BAN Extension '!F25,0)</f>
        <v>183</v>
      </c>
      <c r="L21" s="39">
        <v>7.84</v>
      </c>
      <c r="M21" s="38"/>
      <c r="N21" s="38"/>
      <c r="O21" s="40">
        <f t="shared" si="0"/>
        <v>4217.92</v>
      </c>
    </row>
    <row r="22" spans="1:15">
      <c r="A22" s="36" t="s">
        <v>36</v>
      </c>
      <c r="B22" s="37">
        <f t="shared" si="1"/>
        <v>21</v>
      </c>
      <c r="C22" s="37">
        <v>8</v>
      </c>
      <c r="D22" s="37">
        <v>2025</v>
      </c>
      <c r="E22" s="38">
        <f>IF('BAN Extension '!D26&gt;0,'BAN Extension '!D26,0)</f>
        <v>10</v>
      </c>
      <c r="F22" s="39">
        <v>0.2</v>
      </c>
      <c r="G22" s="38"/>
      <c r="H22" s="39">
        <v>5.42</v>
      </c>
      <c r="I22" s="38">
        <f>IF('BAN - EXT- Extension '!D26+'BAN - EXT- Extension '!F26&gt;0,'BAN - EXT- Extension '!D26+'BAN - EXT- Extension '!F26,0)</f>
        <v>479</v>
      </c>
      <c r="J22" s="39">
        <v>7.84</v>
      </c>
      <c r="K22" s="38">
        <f>IF('BAN Extension '!F26&gt;0,'BAN Extension '!F26,0)</f>
        <v>44</v>
      </c>
      <c r="L22" s="39">
        <v>7.84</v>
      </c>
      <c r="M22" s="38"/>
      <c r="N22" s="38"/>
      <c r="O22" s="40">
        <f t="shared" si="0"/>
        <v>3755.36</v>
      </c>
    </row>
    <row r="23" spans="1:15">
      <c r="A23" s="36" t="s">
        <v>36</v>
      </c>
      <c r="B23" s="37">
        <f t="shared" si="1"/>
        <v>22</v>
      </c>
      <c r="C23" s="37">
        <v>8</v>
      </c>
      <c r="D23" s="37">
        <v>2025</v>
      </c>
      <c r="E23" s="38">
        <f>IF('BAN Extension '!D27&gt;0,'BAN Extension '!D27,0)</f>
        <v>18258</v>
      </c>
      <c r="F23" s="39">
        <v>0.2</v>
      </c>
      <c r="G23" s="38"/>
      <c r="H23" s="39">
        <v>5.42</v>
      </c>
      <c r="I23" s="38">
        <f>IF('BAN - EXT- Extension '!D27+'BAN - EXT- Extension '!F27&gt;0,'BAN - EXT- Extension '!D27+'BAN - EXT- Extension '!F27,0)</f>
        <v>564</v>
      </c>
      <c r="J23" s="39">
        <v>7.84</v>
      </c>
      <c r="K23" s="38">
        <f>IF('BAN Extension '!F27&gt;0,'BAN Extension '!F27,0)</f>
        <v>218</v>
      </c>
      <c r="L23" s="39">
        <v>7.84</v>
      </c>
      <c r="M23" s="38"/>
      <c r="N23" s="38"/>
      <c r="O23" s="40">
        <f t="shared" si="0"/>
        <v>4421.76</v>
      </c>
    </row>
    <row r="24" spans="1:15">
      <c r="A24" s="36" t="s">
        <v>36</v>
      </c>
      <c r="B24" s="37">
        <f t="shared" si="1"/>
        <v>23</v>
      </c>
      <c r="C24" s="37">
        <v>8</v>
      </c>
      <c r="D24" s="37">
        <v>2025</v>
      </c>
      <c r="E24" s="38">
        <f>IF('BAN Extension '!D28&gt;0,'BAN Extension '!D28,0)</f>
        <v>15179</v>
      </c>
      <c r="F24" s="39">
        <v>0.2</v>
      </c>
      <c r="G24" s="38"/>
      <c r="H24" s="39">
        <v>5.42</v>
      </c>
      <c r="I24" s="38">
        <f>IF('BAN - EXT- Extension '!D28+'BAN - EXT- Extension '!F28&gt;0,'BAN - EXT- Extension '!D28+'BAN - EXT- Extension '!F28,0)</f>
        <v>467</v>
      </c>
      <c r="J24" s="39">
        <v>7.84</v>
      </c>
      <c r="K24" s="38">
        <f>IF('BAN Extension '!F28&gt;0,'BAN Extension '!F28,0)</f>
        <v>9</v>
      </c>
      <c r="L24" s="39">
        <v>7.84</v>
      </c>
      <c r="M24" s="38"/>
      <c r="N24" s="38"/>
      <c r="O24" s="40">
        <f t="shared" si="0"/>
        <v>3661.2799999999997</v>
      </c>
    </row>
    <row r="25" spans="1:15">
      <c r="A25" s="36" t="s">
        <v>36</v>
      </c>
      <c r="B25" s="37">
        <f t="shared" si="1"/>
        <v>24</v>
      </c>
      <c r="C25" s="37">
        <v>8</v>
      </c>
      <c r="D25" s="37">
        <v>2025</v>
      </c>
      <c r="E25" s="38">
        <f>IF('BAN Extension '!D29&gt;0,'BAN Extension '!D29,0)</f>
        <v>1073</v>
      </c>
      <c r="F25" s="39">
        <v>0.2</v>
      </c>
      <c r="G25" s="38"/>
      <c r="H25" s="39">
        <v>5.42</v>
      </c>
      <c r="I25" s="38">
        <f>IF('BAN - EXT- Extension '!D29+'BAN - EXT- Extension '!F29&gt;0,'BAN - EXT- Extension '!D29+'BAN - EXT- Extension '!F29,0)</f>
        <v>587</v>
      </c>
      <c r="J25" s="39">
        <v>7.84</v>
      </c>
      <c r="K25" s="38">
        <f>IF('BAN Extension '!F29&gt;0,'BAN Extension '!F29,0)</f>
        <v>300</v>
      </c>
      <c r="L25" s="39">
        <v>7.84</v>
      </c>
      <c r="M25" s="38"/>
      <c r="N25" s="38"/>
      <c r="O25" s="40">
        <f t="shared" si="0"/>
        <v>4602.08</v>
      </c>
    </row>
    <row r="26" spans="1:15">
      <c r="A26" s="36" t="s">
        <v>36</v>
      </c>
      <c r="B26" s="37">
        <f>B25+1</f>
        <v>25</v>
      </c>
      <c r="C26" s="37">
        <v>8</v>
      </c>
      <c r="D26" s="37">
        <v>2025</v>
      </c>
      <c r="E26" s="38">
        <f>IF('BAN Extension '!D30&gt;0,'BAN Extension '!D30,0)</f>
        <v>7846</v>
      </c>
      <c r="F26" s="39">
        <v>0.2</v>
      </c>
      <c r="G26" s="38"/>
      <c r="H26" s="39">
        <v>5.42</v>
      </c>
      <c r="I26" s="38">
        <f>IF('BAN - EXT- Extension '!D30+'BAN - EXT- Extension '!F30&gt;0,'BAN - EXT- Extension '!D30+'BAN - EXT- Extension '!F30,0)</f>
        <v>424</v>
      </c>
      <c r="J26" s="39">
        <v>7.84</v>
      </c>
      <c r="K26" s="38">
        <f>IF('BAN Extension '!F30&gt;0,'BAN Extension '!F30,0)</f>
        <v>144</v>
      </c>
      <c r="L26" s="39">
        <v>7.84</v>
      </c>
      <c r="M26" s="38"/>
      <c r="N26" s="38"/>
      <c r="O26" s="40">
        <f t="shared" si="0"/>
        <v>3324.16</v>
      </c>
    </row>
    <row r="27" spans="1:15">
      <c r="A27" s="36" t="s">
        <v>36</v>
      </c>
      <c r="B27" s="37">
        <f t="shared" si="1"/>
        <v>26</v>
      </c>
      <c r="C27" s="37">
        <v>8</v>
      </c>
      <c r="D27" s="37">
        <v>2025</v>
      </c>
      <c r="E27" s="38">
        <f>IF('BAN Extension '!D31&gt;0,'BAN Extension '!D31,0)</f>
        <v>8723</v>
      </c>
      <c r="F27" s="39">
        <v>0.2</v>
      </c>
      <c r="G27" s="38"/>
      <c r="H27" s="39">
        <v>5.42</v>
      </c>
      <c r="I27" s="38">
        <f>IF('BAN - EXT- Extension '!D31+'BAN - EXT- Extension '!F31&gt;0,'BAN - EXT- Extension '!D31+'BAN - EXT- Extension '!F31,0)</f>
        <v>525</v>
      </c>
      <c r="J27" s="39">
        <v>7.84</v>
      </c>
      <c r="K27" s="38">
        <f>IF('BAN Extension '!F31&gt;0,'BAN Extension '!F31,0)</f>
        <v>196</v>
      </c>
      <c r="L27" s="39">
        <v>7.84</v>
      </c>
      <c r="M27" s="38"/>
      <c r="N27" s="38"/>
      <c r="O27" s="40">
        <f t="shared" si="0"/>
        <v>4116</v>
      </c>
    </row>
    <row r="28" spans="1:15">
      <c r="A28" s="36" t="s">
        <v>36</v>
      </c>
      <c r="B28" s="37">
        <f t="shared" si="1"/>
        <v>27</v>
      </c>
      <c r="C28" s="37">
        <v>8</v>
      </c>
      <c r="D28" s="37">
        <v>2025</v>
      </c>
      <c r="E28" s="38">
        <f>IF('BAN Extension '!D32&gt;0,'BAN Extension '!D32,0)</f>
        <v>8580</v>
      </c>
      <c r="F28" s="39">
        <v>0.2</v>
      </c>
      <c r="G28" s="38"/>
      <c r="H28" s="39">
        <v>5.42</v>
      </c>
      <c r="I28" s="38">
        <f>IF('BAN - EXT- Extension '!D32+'BAN - EXT- Extension '!F32&gt;0,'BAN - EXT- Extension '!D32+'BAN - EXT- Extension '!F32,0)</f>
        <v>527</v>
      </c>
      <c r="J28" s="39">
        <v>7.84</v>
      </c>
      <c r="K28" s="38">
        <f>IF('BAN Extension '!F32&gt;0,'BAN Extension '!F32,0)</f>
        <v>169</v>
      </c>
      <c r="L28" s="39">
        <v>7.84</v>
      </c>
      <c r="M28" s="38"/>
      <c r="N28" s="38"/>
      <c r="O28" s="40">
        <f t="shared" si="0"/>
        <v>4131.68</v>
      </c>
    </row>
    <row r="29" spans="1:15">
      <c r="A29" s="36" t="s">
        <v>36</v>
      </c>
      <c r="B29" s="37">
        <f t="shared" si="1"/>
        <v>28</v>
      </c>
      <c r="C29" s="37">
        <v>8</v>
      </c>
      <c r="D29" s="37">
        <v>2025</v>
      </c>
      <c r="E29" s="38">
        <f>IF('BAN Extension '!D33&gt;0,'BAN Extension '!D33,0)</f>
        <v>9170</v>
      </c>
      <c r="F29" s="39">
        <v>0.2</v>
      </c>
      <c r="G29" s="38"/>
      <c r="H29" s="39">
        <v>5.42</v>
      </c>
      <c r="I29" s="38">
        <f>IF('BAN - EXT- Extension '!D33+'BAN - EXT- Extension '!F33&gt;0,'BAN - EXT- Extension '!D33+'BAN - EXT- Extension '!F33,0)</f>
        <v>604</v>
      </c>
      <c r="J29" s="39">
        <v>7.84</v>
      </c>
      <c r="K29" s="38">
        <f>IF('BAN Extension '!F33&gt;0,'BAN Extension '!F33,0)</f>
        <v>141</v>
      </c>
      <c r="L29" s="39">
        <v>7.84</v>
      </c>
      <c r="M29" s="38"/>
      <c r="N29" s="38"/>
      <c r="O29" s="40">
        <f t="shared" si="0"/>
        <v>4735.3599999999997</v>
      </c>
    </row>
    <row r="30" spans="1:15">
      <c r="A30" s="36" t="s">
        <v>36</v>
      </c>
      <c r="B30" s="37">
        <f t="shared" si="1"/>
        <v>29</v>
      </c>
      <c r="C30" s="37">
        <v>8</v>
      </c>
      <c r="D30" s="37">
        <v>2025</v>
      </c>
      <c r="E30" s="38">
        <f>IF('BAN Extension '!D34&gt;0,'BAN Extension '!D34,0)</f>
        <v>8961</v>
      </c>
      <c r="F30" s="39">
        <v>0.2</v>
      </c>
      <c r="G30" s="38"/>
      <c r="H30" s="39">
        <v>5.42</v>
      </c>
      <c r="I30" s="38">
        <f>IF('BAN - EXT- Extension '!D34+'BAN - EXT- Extension '!F34&gt;0,'BAN - EXT- Extension '!D34+'BAN - EXT- Extension '!F34,0)</f>
        <v>544</v>
      </c>
      <c r="J30" s="39">
        <v>7.84</v>
      </c>
      <c r="K30" s="38">
        <f>IF('BAN Extension '!F34&gt;0,'BAN Extension '!F34,0)</f>
        <v>150</v>
      </c>
      <c r="L30" s="39">
        <v>7.84</v>
      </c>
      <c r="M30" s="38"/>
      <c r="N30" s="38"/>
      <c r="O30" s="40">
        <f t="shared" si="0"/>
        <v>4264.96</v>
      </c>
    </row>
    <row r="31" spans="1:15">
      <c r="A31" s="36" t="s">
        <v>36</v>
      </c>
      <c r="B31" s="37">
        <f t="shared" si="1"/>
        <v>30</v>
      </c>
      <c r="C31" s="37">
        <v>8</v>
      </c>
      <c r="D31" s="37">
        <v>2025</v>
      </c>
      <c r="E31" s="38">
        <f>IF('BAN Extension '!D35&gt;0,'BAN Extension '!D35,0)</f>
        <v>9168</v>
      </c>
      <c r="F31" s="39">
        <v>0.2</v>
      </c>
      <c r="G31" s="38"/>
      <c r="H31" s="39">
        <v>5.42</v>
      </c>
      <c r="I31" s="38">
        <f>IF('BAN - EXT- Extension '!D35+'BAN - EXT- Extension '!F35&gt;0,'BAN - EXT- Extension '!D35+'BAN - EXT- Extension '!F35,0)</f>
        <v>438</v>
      </c>
      <c r="J31" s="39">
        <v>7.84</v>
      </c>
      <c r="K31" s="38">
        <f>IF('BAN Extension '!F35&gt;0,'BAN Extension '!F35,0)</f>
        <v>108</v>
      </c>
      <c r="L31" s="39">
        <v>7.84</v>
      </c>
      <c r="M31" s="38"/>
      <c r="N31" s="38"/>
      <c r="O31" s="40">
        <f t="shared" si="0"/>
        <v>3433.92</v>
      </c>
    </row>
    <row r="32" spans="1:15">
      <c r="A32" s="36" t="s">
        <v>36</v>
      </c>
      <c r="B32" s="37">
        <f t="shared" si="1"/>
        <v>31</v>
      </c>
      <c r="C32" s="37">
        <v>8</v>
      </c>
      <c r="D32" s="37">
        <v>2025</v>
      </c>
      <c r="E32" s="38">
        <f>IF('BAN Extension '!D36&gt;0,'BAN Extension '!D36,0)</f>
        <v>0</v>
      </c>
      <c r="F32" s="39">
        <v>0.2</v>
      </c>
      <c r="G32" s="38"/>
      <c r="H32" s="39">
        <v>5.42</v>
      </c>
      <c r="I32" s="38">
        <f>IF('BAN - EXT- Extension '!D36+'BAN - EXT- Extension '!F36&gt;0,'BAN - EXT- Extension '!D36+'BAN - EXT- Extension '!F36,0)</f>
        <v>0</v>
      </c>
      <c r="J32" s="39">
        <v>7.84</v>
      </c>
      <c r="K32" s="38">
        <f>IF('BAN Extension '!F36&gt;0,'BAN Extension '!F36,0)</f>
        <v>0</v>
      </c>
      <c r="L32" s="39">
        <v>7.84</v>
      </c>
      <c r="M32" s="38"/>
      <c r="N32" s="38"/>
      <c r="O32" s="40">
        <f t="shared" si="0"/>
        <v>0</v>
      </c>
    </row>
    <row r="33" spans="7:15">
      <c r="G33" s="38"/>
      <c r="I33" s="38"/>
      <c r="O33" s="40">
        <f>SUM(O2:O32)</f>
        <v>138532.80000000002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zoomScale="85" zoomScaleNormal="85" zoomScaleSheetLayoutView="80" workbookViewId="0">
      <selection activeCell="F6" sqref="F6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5546875" style="1" customWidth="1"/>
    <col min="7" max="7" width="46.44140625" style="1" customWidth="1"/>
    <col min="8" max="8" width="45.109375" style="1" customWidth="1"/>
  </cols>
  <sheetData>
    <row r="1" spans="1:8" ht="57.75" customHeight="1">
      <c r="A1" s="22" t="s">
        <v>0</v>
      </c>
      <c r="B1" s="23"/>
      <c r="C1" s="23"/>
      <c r="D1" s="23"/>
      <c r="E1" s="23"/>
      <c r="F1" s="23"/>
      <c r="G1" s="23"/>
      <c r="H1" s="23"/>
    </row>
    <row r="2" spans="1:8" ht="22.5" customHeight="1">
      <c r="A2" s="2" t="s">
        <v>1</v>
      </c>
      <c r="B2" s="2" t="s">
        <v>2</v>
      </c>
      <c r="C2" s="2" t="s">
        <v>3</v>
      </c>
      <c r="D2" s="2"/>
      <c r="E2" s="2" t="s">
        <v>3</v>
      </c>
      <c r="F2" s="2"/>
      <c r="G2" s="24" t="s">
        <v>4</v>
      </c>
      <c r="H2" s="24" t="s">
        <v>5</v>
      </c>
    </row>
    <row r="3" spans="1:8" ht="22.5" customHeight="1">
      <c r="A3" s="2" t="s">
        <v>6</v>
      </c>
      <c r="B3" s="2"/>
      <c r="C3" s="2" t="s">
        <v>7</v>
      </c>
      <c r="D3" s="2"/>
      <c r="E3" s="2" t="s">
        <v>8</v>
      </c>
      <c r="F3" s="2"/>
      <c r="G3" s="26"/>
      <c r="H3" s="26"/>
    </row>
    <row r="4" spans="1:8" ht="22.5" customHeight="1">
      <c r="A4" s="24" t="s">
        <v>9</v>
      </c>
      <c r="B4" s="5"/>
      <c r="C4" s="2" t="s">
        <v>10</v>
      </c>
      <c r="D4" s="2" t="s">
        <v>11</v>
      </c>
      <c r="E4" s="2" t="s">
        <v>12</v>
      </c>
      <c r="F4" s="2" t="s">
        <v>11</v>
      </c>
      <c r="G4" s="26"/>
      <c r="H4" s="26"/>
    </row>
    <row r="5" spans="1:8" ht="22.5" customHeight="1">
      <c r="A5" s="25"/>
      <c r="B5" s="6"/>
      <c r="C5" s="5" t="s">
        <v>13</v>
      </c>
      <c r="D5" s="5" t="s">
        <v>13</v>
      </c>
      <c r="E5" s="14" t="s">
        <v>13</v>
      </c>
      <c r="F5" s="5" t="s">
        <v>13</v>
      </c>
      <c r="G5" s="25"/>
      <c r="H5" s="25"/>
    </row>
    <row r="6" spans="1:8" ht="35.25" customHeight="1">
      <c r="A6" s="8">
        <v>45870</v>
      </c>
      <c r="B6" s="8"/>
      <c r="C6" s="10">
        <v>112109</v>
      </c>
      <c r="D6" s="15">
        <f>C7-C6</f>
        <v>95</v>
      </c>
      <c r="E6" s="16">
        <v>285383</v>
      </c>
      <c r="F6" s="16">
        <f>E7-E6</f>
        <v>429</v>
      </c>
      <c r="G6" s="10" t="s">
        <v>14</v>
      </c>
      <c r="H6" s="10"/>
    </row>
    <row r="7" spans="1:8" ht="35.25" customHeight="1">
      <c r="A7" s="8">
        <v>45871</v>
      </c>
      <c r="B7" s="8"/>
      <c r="C7" s="10">
        <v>112204</v>
      </c>
      <c r="D7" s="15">
        <f t="shared" ref="D7:D13" si="0">C8-C7</f>
        <v>81</v>
      </c>
      <c r="E7" s="16">
        <v>285812</v>
      </c>
      <c r="F7" s="16">
        <f t="shared" ref="F7:F13" si="1">E8-E7</f>
        <v>394</v>
      </c>
      <c r="G7" s="10"/>
      <c r="H7" s="10"/>
    </row>
    <row r="8" spans="1:8" ht="35.25" customHeight="1">
      <c r="A8" s="8">
        <v>45872</v>
      </c>
      <c r="B8" s="8"/>
      <c r="C8" s="10">
        <v>112285</v>
      </c>
      <c r="D8" s="15">
        <f t="shared" si="0"/>
        <v>80</v>
      </c>
      <c r="E8" s="16">
        <v>286206</v>
      </c>
      <c r="F8" s="16">
        <f t="shared" si="1"/>
        <v>354</v>
      </c>
      <c r="G8" s="10"/>
      <c r="H8" s="10"/>
    </row>
    <row r="9" spans="1:8" ht="35.25" customHeight="1">
      <c r="A9" s="8">
        <v>45873</v>
      </c>
      <c r="B9" s="8"/>
      <c r="C9" s="10">
        <v>112365</v>
      </c>
      <c r="D9" s="15">
        <f t="shared" si="0"/>
        <v>90</v>
      </c>
      <c r="E9" s="16">
        <v>286560</v>
      </c>
      <c r="F9" s="16">
        <f t="shared" si="1"/>
        <v>388</v>
      </c>
      <c r="G9" s="10"/>
      <c r="H9" s="10"/>
    </row>
    <row r="10" spans="1:8" ht="35.25" customHeight="1">
      <c r="A10" s="8">
        <v>45874</v>
      </c>
      <c r="B10" s="8"/>
      <c r="C10" s="10">
        <v>112455</v>
      </c>
      <c r="D10" s="15">
        <f t="shared" si="0"/>
        <v>83</v>
      </c>
      <c r="E10" s="16">
        <v>286948</v>
      </c>
      <c r="F10" s="16">
        <f t="shared" si="1"/>
        <v>433</v>
      </c>
      <c r="G10" s="10"/>
      <c r="H10" s="10"/>
    </row>
    <row r="11" spans="1:8" ht="35.25" customHeight="1">
      <c r="A11" s="8">
        <v>45875</v>
      </c>
      <c r="B11" s="8"/>
      <c r="C11" s="10">
        <v>112538</v>
      </c>
      <c r="D11" s="15">
        <f t="shared" si="0"/>
        <v>95</v>
      </c>
      <c r="E11" s="16">
        <v>287381</v>
      </c>
      <c r="F11" s="16">
        <f t="shared" si="1"/>
        <v>467</v>
      </c>
      <c r="G11" s="10"/>
      <c r="H11" s="10"/>
    </row>
    <row r="12" spans="1:8" ht="35.25" customHeight="1">
      <c r="A12" s="8">
        <v>45876</v>
      </c>
      <c r="B12" s="8"/>
      <c r="C12" s="10">
        <v>112633</v>
      </c>
      <c r="D12" s="15">
        <f t="shared" si="0"/>
        <v>86</v>
      </c>
      <c r="E12" s="16">
        <v>287848</v>
      </c>
      <c r="F12" s="16">
        <f t="shared" si="1"/>
        <v>417</v>
      </c>
      <c r="G12" s="10"/>
      <c r="H12" s="10"/>
    </row>
    <row r="13" spans="1:8" ht="35.25" customHeight="1">
      <c r="A13" s="8">
        <v>45877</v>
      </c>
      <c r="B13" s="8"/>
      <c r="C13" s="17">
        <v>112719</v>
      </c>
      <c r="D13" s="15">
        <f t="shared" si="0"/>
        <v>100</v>
      </c>
      <c r="E13" s="18">
        <v>288265</v>
      </c>
      <c r="F13" s="16">
        <f t="shared" si="1"/>
        <v>562</v>
      </c>
      <c r="G13" s="19"/>
      <c r="H13" s="19"/>
    </row>
    <row r="14" spans="1:8" ht="35.25" customHeight="1">
      <c r="A14" s="8">
        <v>45878</v>
      </c>
      <c r="B14" s="8"/>
      <c r="C14" s="15">
        <v>112819</v>
      </c>
      <c r="D14" s="15">
        <f t="shared" ref="D14:D21" si="2">C15-C14</f>
        <v>128</v>
      </c>
      <c r="E14" s="16">
        <v>288827</v>
      </c>
      <c r="F14" s="16">
        <f t="shared" ref="F14:F21" si="3">E15-E14</f>
        <v>912</v>
      </c>
      <c r="G14" s="20"/>
      <c r="H14" s="20"/>
    </row>
    <row r="15" spans="1:8" ht="35.25" customHeight="1">
      <c r="A15" s="8">
        <v>45879</v>
      </c>
      <c r="B15" s="8"/>
      <c r="C15" s="15">
        <v>112947</v>
      </c>
      <c r="D15" s="15">
        <f t="shared" si="2"/>
        <v>119</v>
      </c>
      <c r="E15" s="16">
        <v>289739</v>
      </c>
      <c r="F15" s="16">
        <f t="shared" si="3"/>
        <v>741</v>
      </c>
      <c r="G15" s="20"/>
      <c r="H15" s="20"/>
    </row>
    <row r="16" spans="1:8" ht="35.25" customHeight="1">
      <c r="A16" s="8">
        <v>45880</v>
      </c>
      <c r="B16" s="8"/>
      <c r="C16" s="15">
        <v>113066</v>
      </c>
      <c r="D16" s="15">
        <f t="shared" si="2"/>
        <v>94</v>
      </c>
      <c r="E16" s="16">
        <v>290480</v>
      </c>
      <c r="F16" s="16">
        <f t="shared" si="3"/>
        <v>513</v>
      </c>
      <c r="G16" s="20"/>
      <c r="H16" s="20"/>
    </row>
    <row r="17" spans="1:8" ht="35.25" customHeight="1">
      <c r="A17" s="8">
        <v>45881</v>
      </c>
      <c r="B17" s="8"/>
      <c r="C17" s="15">
        <v>113160</v>
      </c>
      <c r="D17" s="15">
        <f t="shared" si="2"/>
        <v>96</v>
      </c>
      <c r="E17" s="16">
        <v>290993</v>
      </c>
      <c r="F17" s="16">
        <f t="shared" si="3"/>
        <v>494</v>
      </c>
      <c r="G17" s="20"/>
      <c r="H17" s="20"/>
    </row>
    <row r="18" spans="1:8" ht="35.25" customHeight="1">
      <c r="A18" s="8">
        <v>45882</v>
      </c>
      <c r="B18" s="8"/>
      <c r="C18" s="15">
        <v>113256</v>
      </c>
      <c r="D18" s="15">
        <f t="shared" si="2"/>
        <v>105</v>
      </c>
      <c r="E18" s="16">
        <v>291487</v>
      </c>
      <c r="F18" s="16">
        <f t="shared" si="3"/>
        <v>540</v>
      </c>
      <c r="G18" s="20"/>
      <c r="H18" s="20"/>
    </row>
    <row r="19" spans="1:8" ht="35.25" customHeight="1">
      <c r="A19" s="8">
        <v>45883</v>
      </c>
      <c r="B19" s="8"/>
      <c r="C19" s="15">
        <v>113361</v>
      </c>
      <c r="D19" s="15">
        <f t="shared" si="2"/>
        <v>98</v>
      </c>
      <c r="E19" s="16">
        <v>292027</v>
      </c>
      <c r="F19" s="16">
        <f t="shared" si="3"/>
        <v>576</v>
      </c>
      <c r="G19" s="20"/>
      <c r="H19" s="20"/>
    </row>
    <row r="20" spans="1:8" ht="35.25" customHeight="1">
      <c r="A20" s="8">
        <v>45884</v>
      </c>
      <c r="B20" s="8"/>
      <c r="C20" s="15">
        <v>113459</v>
      </c>
      <c r="D20" s="15">
        <f t="shared" si="2"/>
        <v>106</v>
      </c>
      <c r="E20" s="16">
        <v>292603</v>
      </c>
      <c r="F20" s="16">
        <f t="shared" si="3"/>
        <v>573</v>
      </c>
      <c r="G20" s="20"/>
      <c r="H20" s="20"/>
    </row>
    <row r="21" spans="1:8" ht="35.25" customHeight="1">
      <c r="A21" s="8">
        <v>45885</v>
      </c>
      <c r="B21" s="8"/>
      <c r="C21" s="9">
        <v>113565</v>
      </c>
      <c r="D21" s="15">
        <f t="shared" si="2"/>
        <v>156</v>
      </c>
      <c r="E21" s="16">
        <v>293176</v>
      </c>
      <c r="F21" s="16">
        <f t="shared" si="3"/>
        <v>627</v>
      </c>
      <c r="G21" s="10"/>
      <c r="H21" s="10"/>
    </row>
    <row r="22" spans="1:8" ht="35.25" customHeight="1">
      <c r="A22" s="8">
        <v>45886</v>
      </c>
      <c r="B22" s="8"/>
      <c r="C22" s="9">
        <v>113721</v>
      </c>
      <c r="D22" s="15">
        <f t="shared" ref="D22:D27" si="4">C23-C22</f>
        <v>104</v>
      </c>
      <c r="E22" s="16">
        <v>293803</v>
      </c>
      <c r="F22" s="16">
        <f t="shared" ref="F22:F25" si="5">E23-E22</f>
        <v>464</v>
      </c>
      <c r="G22" s="10"/>
      <c r="H22" s="10"/>
    </row>
    <row r="23" spans="1:8" ht="35.25" customHeight="1">
      <c r="A23" s="8">
        <v>45887</v>
      </c>
      <c r="B23" s="8"/>
      <c r="C23" s="9">
        <v>113825</v>
      </c>
      <c r="D23" s="15">
        <f t="shared" si="4"/>
        <v>115</v>
      </c>
      <c r="E23" s="16">
        <v>294267</v>
      </c>
      <c r="F23" s="16">
        <f t="shared" si="5"/>
        <v>620</v>
      </c>
      <c r="G23" s="10"/>
      <c r="H23" s="10"/>
    </row>
    <row r="24" spans="1:8" ht="35.25" customHeight="1">
      <c r="A24" s="8">
        <v>45888</v>
      </c>
      <c r="B24" s="8"/>
      <c r="C24" s="9">
        <v>113940</v>
      </c>
      <c r="D24" s="15">
        <f t="shared" si="4"/>
        <v>98</v>
      </c>
      <c r="E24" s="16">
        <v>294887</v>
      </c>
      <c r="F24" s="16">
        <f t="shared" si="5"/>
        <v>540</v>
      </c>
      <c r="G24" s="10"/>
      <c r="H24" s="10"/>
    </row>
    <row r="25" spans="1:8" ht="35.25" customHeight="1">
      <c r="A25" s="8">
        <v>45889</v>
      </c>
      <c r="B25" s="8"/>
      <c r="C25" s="15">
        <v>114038</v>
      </c>
      <c r="D25" s="15">
        <f t="shared" si="4"/>
        <v>98</v>
      </c>
      <c r="E25" s="16">
        <v>295427</v>
      </c>
      <c r="F25" s="16">
        <f t="shared" si="5"/>
        <v>440</v>
      </c>
      <c r="G25" s="20"/>
      <c r="H25" s="20"/>
    </row>
    <row r="26" spans="1:8" ht="35.25" customHeight="1">
      <c r="A26" s="8">
        <v>45890</v>
      </c>
      <c r="B26" s="8"/>
      <c r="C26" s="15">
        <v>114136</v>
      </c>
      <c r="D26" s="15">
        <f t="shared" si="4"/>
        <v>11</v>
      </c>
      <c r="E26" s="16">
        <v>295867</v>
      </c>
      <c r="F26" s="16">
        <f t="shared" ref="F26:F35" si="6">E27-E26</f>
        <v>468</v>
      </c>
      <c r="G26" s="20"/>
      <c r="H26" s="20"/>
    </row>
    <row r="27" spans="1:8" ht="35.25" customHeight="1">
      <c r="A27" s="8">
        <v>45891</v>
      </c>
      <c r="B27" s="8"/>
      <c r="C27" s="15">
        <v>114147</v>
      </c>
      <c r="D27" s="15">
        <f t="shared" si="4"/>
        <v>186</v>
      </c>
      <c r="E27" s="16">
        <v>296335</v>
      </c>
      <c r="F27" s="16">
        <f t="shared" si="6"/>
        <v>378</v>
      </c>
      <c r="G27" s="20"/>
      <c r="H27" s="20"/>
    </row>
    <row r="28" spans="1:8" ht="35.25" customHeight="1">
      <c r="A28" s="8">
        <v>45892</v>
      </c>
      <c r="B28" s="8"/>
      <c r="C28" s="15">
        <v>114333</v>
      </c>
      <c r="D28" s="15">
        <f t="shared" ref="D28:D35" si="7">C29-C28</f>
        <v>89</v>
      </c>
      <c r="E28" s="16">
        <v>296713</v>
      </c>
      <c r="F28" s="16">
        <f t="shared" si="6"/>
        <v>378</v>
      </c>
      <c r="G28" s="20"/>
      <c r="H28" s="20"/>
    </row>
    <row r="29" spans="1:8" ht="35.25" customHeight="1">
      <c r="A29" s="8">
        <v>45893</v>
      </c>
      <c r="B29" s="8"/>
      <c r="C29" s="15">
        <v>114422</v>
      </c>
      <c r="D29" s="15">
        <f t="shared" si="7"/>
        <v>91</v>
      </c>
      <c r="E29" s="16">
        <v>297091</v>
      </c>
      <c r="F29" s="16">
        <f t="shared" si="6"/>
        <v>496</v>
      </c>
      <c r="G29" s="20"/>
      <c r="H29" s="20"/>
    </row>
    <row r="30" spans="1:8" ht="35.25" customHeight="1">
      <c r="A30" s="8">
        <v>45894</v>
      </c>
      <c r="B30" s="8"/>
      <c r="C30" s="15">
        <v>114513</v>
      </c>
      <c r="D30" s="15">
        <f t="shared" si="7"/>
        <v>88</v>
      </c>
      <c r="E30" s="16">
        <v>297587</v>
      </c>
      <c r="F30" s="16">
        <f t="shared" si="6"/>
        <v>336</v>
      </c>
      <c r="G30" s="20"/>
      <c r="H30" s="20"/>
    </row>
    <row r="31" spans="1:8" ht="35.25" customHeight="1">
      <c r="A31" s="8">
        <v>45895</v>
      </c>
      <c r="B31" s="8"/>
      <c r="C31" s="15">
        <v>114601</v>
      </c>
      <c r="D31" s="15">
        <f t="shared" si="7"/>
        <v>97</v>
      </c>
      <c r="E31" s="16">
        <v>297923</v>
      </c>
      <c r="F31" s="16">
        <f t="shared" si="6"/>
        <v>428</v>
      </c>
      <c r="G31" s="20"/>
      <c r="H31" s="20"/>
    </row>
    <row r="32" spans="1:8" ht="35.25" customHeight="1">
      <c r="A32" s="8">
        <v>45896</v>
      </c>
      <c r="B32" s="8"/>
      <c r="C32" s="15">
        <v>114698</v>
      </c>
      <c r="D32" s="15">
        <f t="shared" si="7"/>
        <v>94</v>
      </c>
      <c r="E32" s="16">
        <v>298351</v>
      </c>
      <c r="F32" s="16">
        <f t="shared" si="6"/>
        <v>433</v>
      </c>
      <c r="G32" s="20"/>
      <c r="H32" s="20"/>
    </row>
    <row r="33" spans="1:8" ht="35.25" customHeight="1">
      <c r="A33" s="8">
        <v>45897</v>
      </c>
      <c r="B33" s="8"/>
      <c r="C33" s="15">
        <v>114792</v>
      </c>
      <c r="D33" s="15">
        <f t="shared" si="7"/>
        <v>104</v>
      </c>
      <c r="E33" s="16">
        <v>298784</v>
      </c>
      <c r="F33" s="16">
        <f t="shared" si="6"/>
        <v>500</v>
      </c>
      <c r="G33" s="20"/>
      <c r="H33" s="20"/>
    </row>
    <row r="34" spans="1:8" ht="35.25" customHeight="1">
      <c r="A34" s="8">
        <v>45898</v>
      </c>
      <c r="B34" s="8"/>
      <c r="C34" s="15">
        <v>114896</v>
      </c>
      <c r="D34" s="15">
        <f t="shared" si="7"/>
        <v>95</v>
      </c>
      <c r="E34" s="16">
        <v>299284</v>
      </c>
      <c r="F34" s="16">
        <f t="shared" si="6"/>
        <v>449</v>
      </c>
      <c r="G34" s="20"/>
      <c r="H34" s="20"/>
    </row>
    <row r="35" spans="1:8" ht="35.25" customHeight="1">
      <c r="A35" s="8">
        <v>45899</v>
      </c>
      <c r="B35" s="8"/>
      <c r="C35" s="15">
        <v>114991</v>
      </c>
      <c r="D35" s="15">
        <f t="shared" si="7"/>
        <v>88</v>
      </c>
      <c r="E35" s="16">
        <v>299733</v>
      </c>
      <c r="F35" s="16">
        <f t="shared" si="6"/>
        <v>350</v>
      </c>
      <c r="G35" s="20"/>
      <c r="H35" s="20"/>
    </row>
    <row r="36" spans="1:8" ht="35.25" customHeight="1">
      <c r="A36" s="8">
        <v>45900</v>
      </c>
      <c r="B36" s="8"/>
      <c r="C36" s="21">
        <v>115079</v>
      </c>
      <c r="D36" s="21"/>
      <c r="E36" s="20">
        <v>300083</v>
      </c>
      <c r="F36" s="20"/>
      <c r="G36" s="20"/>
      <c r="H36" s="20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6" activePane="bottomLeft" state="frozen"/>
      <selection pane="bottomLeft" activeCell="D36" sqref="D36"/>
    </sheetView>
  </sheetViews>
  <sheetFormatPr defaultColWidth="9" defaultRowHeight="14.4"/>
  <cols>
    <col min="1" max="2" width="21.33203125" customWidth="1"/>
    <col min="3" max="3" width="30.33203125" style="1" customWidth="1"/>
    <col min="4" max="4" width="20.33203125" style="1" customWidth="1"/>
    <col min="5" max="5" width="24.109375" style="1" customWidth="1"/>
    <col min="6" max="6" width="20.33203125" style="1" customWidth="1"/>
    <col min="7" max="8" width="18.6640625" style="1" customWidth="1"/>
  </cols>
  <sheetData>
    <row r="1" spans="1:11" ht="60" customHeight="1">
      <c r="C1" s="23"/>
      <c r="D1" s="23"/>
      <c r="E1" s="23"/>
      <c r="F1" s="23"/>
      <c r="G1" s="23"/>
      <c r="H1" s="23"/>
      <c r="K1" s="13"/>
    </row>
    <row r="2" spans="1:11" s="1" customFormat="1" ht="54.75" customHeight="1">
      <c r="A2" s="2" t="s">
        <v>1</v>
      </c>
      <c r="B2" s="2" t="s">
        <v>2</v>
      </c>
      <c r="C2" s="3" t="s">
        <v>15</v>
      </c>
      <c r="D2" s="27" t="s">
        <v>16</v>
      </c>
      <c r="E2" s="3" t="s">
        <v>17</v>
      </c>
      <c r="F2" s="27" t="s">
        <v>18</v>
      </c>
      <c r="G2" s="28" t="s">
        <v>19</v>
      </c>
      <c r="H2" s="28" t="s">
        <v>5</v>
      </c>
    </row>
    <row r="3" spans="1:11" ht="24.9" customHeight="1">
      <c r="A3" s="2" t="s">
        <v>20</v>
      </c>
      <c r="B3" s="2"/>
      <c r="C3" s="3" t="s">
        <v>21</v>
      </c>
      <c r="D3" s="27"/>
      <c r="E3" s="3"/>
      <c r="F3" s="27"/>
      <c r="G3" s="29"/>
      <c r="H3" s="29" t="s">
        <v>5</v>
      </c>
    </row>
    <row r="4" spans="1:11" ht="46.5" customHeight="1">
      <c r="A4" s="24" t="s">
        <v>9</v>
      </c>
      <c r="B4" s="5"/>
      <c r="C4" s="3" t="s">
        <v>22</v>
      </c>
      <c r="D4" s="27"/>
      <c r="E4" s="4" t="s">
        <v>23</v>
      </c>
      <c r="F4" s="27"/>
      <c r="G4" s="29"/>
      <c r="H4" s="29"/>
    </row>
    <row r="5" spans="1:11" ht="24.9" customHeight="1">
      <c r="A5" s="25"/>
      <c r="B5" s="6"/>
      <c r="C5" s="7" t="s">
        <v>24</v>
      </c>
      <c r="D5" s="7" t="s">
        <v>24</v>
      </c>
      <c r="E5" s="7" t="s">
        <v>25</v>
      </c>
      <c r="F5" s="7" t="s">
        <v>25</v>
      </c>
      <c r="G5" s="30"/>
      <c r="H5" s="30"/>
    </row>
    <row r="6" spans="1:11" ht="39" customHeight="1">
      <c r="A6" s="8">
        <v>45870</v>
      </c>
      <c r="B6" s="8"/>
      <c r="C6" s="9">
        <v>4272973</v>
      </c>
      <c r="D6" s="9">
        <f>C7-C6</f>
        <v>9397</v>
      </c>
      <c r="E6" s="9">
        <v>13908</v>
      </c>
      <c r="F6" s="9">
        <f>E7-E6</f>
        <v>164</v>
      </c>
      <c r="G6" s="9"/>
      <c r="H6" s="9"/>
    </row>
    <row r="7" spans="1:11" ht="39" customHeight="1">
      <c r="A7" s="8">
        <v>45871</v>
      </c>
      <c r="B7" s="8"/>
      <c r="C7" s="9">
        <v>4282370</v>
      </c>
      <c r="D7" s="9">
        <f t="shared" ref="D7:D21" si="0">C8-C7</f>
        <v>9389</v>
      </c>
      <c r="E7" s="9">
        <v>14072</v>
      </c>
      <c r="F7" s="9">
        <f t="shared" ref="F7:F21" si="1">E8-E7</f>
        <v>158</v>
      </c>
      <c r="G7" s="9"/>
      <c r="H7" s="9"/>
    </row>
    <row r="8" spans="1:11" ht="39" customHeight="1">
      <c r="A8" s="8">
        <v>45872</v>
      </c>
      <c r="B8" s="8"/>
      <c r="C8" s="9">
        <v>4291759</v>
      </c>
      <c r="D8" s="9">
        <f t="shared" si="0"/>
        <v>8799</v>
      </c>
      <c r="E8" s="9">
        <v>14230</v>
      </c>
      <c r="F8" s="9">
        <f t="shared" si="1"/>
        <v>155</v>
      </c>
      <c r="G8" s="9"/>
      <c r="H8" s="9"/>
    </row>
    <row r="9" spans="1:11" ht="39" customHeight="1">
      <c r="A9" s="8">
        <v>45873</v>
      </c>
      <c r="B9" s="8"/>
      <c r="C9" s="9">
        <v>4300558</v>
      </c>
      <c r="D9" s="9">
        <f t="shared" si="0"/>
        <v>9019</v>
      </c>
      <c r="E9" s="9">
        <v>14385</v>
      </c>
      <c r="F9" s="9">
        <f t="shared" si="1"/>
        <v>146</v>
      </c>
      <c r="G9" s="9"/>
      <c r="H9" s="9"/>
    </row>
    <row r="10" spans="1:11" ht="39" customHeight="1">
      <c r="A10" s="8">
        <v>45874</v>
      </c>
      <c r="B10" s="8"/>
      <c r="C10" s="9">
        <v>4309577</v>
      </c>
      <c r="D10" s="9">
        <f t="shared" si="0"/>
        <v>8810</v>
      </c>
      <c r="E10" s="9">
        <v>14531</v>
      </c>
      <c r="F10" s="9">
        <f t="shared" si="1"/>
        <v>187</v>
      </c>
      <c r="G10" s="9"/>
      <c r="H10" s="9"/>
    </row>
    <row r="11" spans="1:11" ht="39" customHeight="1">
      <c r="A11" s="8">
        <v>45875</v>
      </c>
      <c r="B11" s="8"/>
      <c r="C11" s="9">
        <v>4318387</v>
      </c>
      <c r="D11" s="9">
        <f t="shared" si="0"/>
        <v>8887</v>
      </c>
      <c r="E11" s="9">
        <v>14718</v>
      </c>
      <c r="F11" s="9">
        <f t="shared" si="1"/>
        <v>172</v>
      </c>
      <c r="G11" s="9"/>
      <c r="H11" s="9"/>
    </row>
    <row r="12" spans="1:11" ht="39" customHeight="1">
      <c r="A12" s="8">
        <v>45876</v>
      </c>
      <c r="B12" s="8"/>
      <c r="C12" s="9">
        <v>4327274</v>
      </c>
      <c r="D12" s="9">
        <f t="shared" si="0"/>
        <v>8922</v>
      </c>
      <c r="E12" s="9">
        <v>14890</v>
      </c>
      <c r="F12" s="9">
        <f t="shared" si="1"/>
        <v>116</v>
      </c>
      <c r="G12" s="9"/>
      <c r="H12" s="9"/>
    </row>
    <row r="13" spans="1:11" ht="39" customHeight="1">
      <c r="A13" s="8">
        <v>45877</v>
      </c>
      <c r="B13" s="8"/>
      <c r="C13" s="10">
        <v>4336196</v>
      </c>
      <c r="D13" s="9">
        <f t="shared" si="0"/>
        <v>8341</v>
      </c>
      <c r="E13" s="9">
        <v>15006</v>
      </c>
      <c r="F13" s="9">
        <f t="shared" si="1"/>
        <v>138</v>
      </c>
      <c r="G13" s="9"/>
      <c r="H13" s="9"/>
    </row>
    <row r="14" spans="1:11" ht="39" customHeight="1">
      <c r="A14" s="8">
        <v>45878</v>
      </c>
      <c r="B14" s="8"/>
      <c r="C14" s="9">
        <v>4344537</v>
      </c>
      <c r="D14" s="9">
        <f t="shared" si="0"/>
        <v>8469</v>
      </c>
      <c r="E14" s="9">
        <v>15144</v>
      </c>
      <c r="F14" s="9">
        <f t="shared" si="1"/>
        <v>90</v>
      </c>
      <c r="G14" s="9"/>
      <c r="H14" s="9"/>
    </row>
    <row r="15" spans="1:11" ht="39" customHeight="1">
      <c r="A15" s="8">
        <v>45879</v>
      </c>
      <c r="B15" s="8"/>
      <c r="C15" s="9">
        <v>4353006</v>
      </c>
      <c r="D15" s="9">
        <f t="shared" si="0"/>
        <v>8322</v>
      </c>
      <c r="E15" s="9">
        <v>15234</v>
      </c>
      <c r="F15" s="9">
        <f t="shared" si="1"/>
        <v>182</v>
      </c>
      <c r="G15" s="9"/>
      <c r="H15" s="9"/>
    </row>
    <row r="16" spans="1:11" ht="39" customHeight="1">
      <c r="A16" s="8">
        <v>45880</v>
      </c>
      <c r="B16" s="8"/>
      <c r="C16" s="9">
        <v>4361328</v>
      </c>
      <c r="D16" s="9">
        <f t="shared" si="0"/>
        <v>8472</v>
      </c>
      <c r="E16" s="9">
        <v>15416</v>
      </c>
      <c r="F16" s="9">
        <f t="shared" si="1"/>
        <v>160</v>
      </c>
      <c r="G16" s="9"/>
      <c r="H16" s="9"/>
    </row>
    <row r="17" spans="1:8" ht="39" customHeight="1">
      <c r="A17" s="8">
        <v>45881</v>
      </c>
      <c r="B17" s="8"/>
      <c r="C17" s="9">
        <v>4369800</v>
      </c>
      <c r="D17" s="9">
        <f t="shared" si="0"/>
        <v>8690</v>
      </c>
      <c r="E17" s="9">
        <v>15576</v>
      </c>
      <c r="F17" s="9">
        <f t="shared" si="1"/>
        <v>149</v>
      </c>
      <c r="G17" s="9"/>
      <c r="H17" s="9"/>
    </row>
    <row r="18" spans="1:8" ht="39" customHeight="1">
      <c r="A18" s="8">
        <v>45882</v>
      </c>
      <c r="B18" s="8"/>
      <c r="C18" s="9">
        <v>4378490</v>
      </c>
      <c r="D18" s="9">
        <f t="shared" si="0"/>
        <v>8744</v>
      </c>
      <c r="E18" s="9">
        <v>15725</v>
      </c>
      <c r="F18" s="9">
        <f t="shared" si="1"/>
        <v>138</v>
      </c>
      <c r="G18" s="9"/>
      <c r="H18" s="9"/>
    </row>
    <row r="19" spans="1:8" ht="39" customHeight="1">
      <c r="A19" s="8">
        <v>45883</v>
      </c>
      <c r="B19" s="8"/>
      <c r="C19" s="9">
        <v>4387234</v>
      </c>
      <c r="D19" s="9">
        <f t="shared" si="0"/>
        <v>9102</v>
      </c>
      <c r="E19" s="9">
        <v>15863</v>
      </c>
      <c r="F19" s="9">
        <f t="shared" si="1"/>
        <v>151</v>
      </c>
      <c r="G19" s="9"/>
      <c r="H19" s="9"/>
    </row>
    <row r="20" spans="1:8" ht="39" customHeight="1">
      <c r="A20" s="8">
        <v>45884</v>
      </c>
      <c r="B20" s="8"/>
      <c r="C20" s="9">
        <v>4396336</v>
      </c>
      <c r="D20" s="9">
        <f t="shared" si="0"/>
        <v>9366</v>
      </c>
      <c r="E20" s="9">
        <v>16014</v>
      </c>
      <c r="F20" s="9">
        <f t="shared" si="1"/>
        <v>138</v>
      </c>
      <c r="G20" s="9"/>
      <c r="H20" s="9"/>
    </row>
    <row r="21" spans="1:8" ht="39" customHeight="1">
      <c r="A21" s="8">
        <v>45885</v>
      </c>
      <c r="B21" s="8"/>
      <c r="C21" s="9">
        <v>4405702</v>
      </c>
      <c r="D21" s="9">
        <f t="shared" si="0"/>
        <v>9075</v>
      </c>
      <c r="E21" s="9">
        <v>16152</v>
      </c>
      <c r="F21" s="9">
        <f t="shared" si="1"/>
        <v>150</v>
      </c>
      <c r="G21" s="9"/>
      <c r="H21" s="9"/>
    </row>
    <row r="22" spans="1:8" ht="39" customHeight="1">
      <c r="A22" s="8">
        <v>45886</v>
      </c>
      <c r="B22" s="8"/>
      <c r="C22" s="9">
        <v>4414777</v>
      </c>
      <c r="D22" s="9">
        <f t="shared" ref="D22:D27" si="2">C23-C22</f>
        <v>9040</v>
      </c>
      <c r="E22" s="9">
        <v>16302</v>
      </c>
      <c r="F22" s="9">
        <f t="shared" ref="F22:F27" si="3">E23-E22</f>
        <v>181</v>
      </c>
      <c r="G22" s="9"/>
      <c r="H22" s="9"/>
    </row>
    <row r="23" spans="1:8" ht="39" customHeight="1">
      <c r="A23" s="8">
        <v>45887</v>
      </c>
      <c r="B23" s="8"/>
      <c r="C23" s="9">
        <v>4423817</v>
      </c>
      <c r="D23" s="9">
        <f t="shared" si="2"/>
        <v>8739</v>
      </c>
      <c r="E23" s="9">
        <v>16483</v>
      </c>
      <c r="F23" s="9">
        <f t="shared" si="3"/>
        <v>136</v>
      </c>
      <c r="G23" s="9"/>
      <c r="H23" s="9"/>
    </row>
    <row r="24" spans="1:8" ht="39" customHeight="1">
      <c r="A24" s="8">
        <v>45888</v>
      </c>
      <c r="B24" s="8"/>
      <c r="C24" s="9">
        <v>4432556</v>
      </c>
      <c r="D24" s="9">
        <f t="shared" si="2"/>
        <v>8813</v>
      </c>
      <c r="E24" s="9">
        <v>16619</v>
      </c>
      <c r="F24" s="9">
        <f t="shared" si="3"/>
        <v>150</v>
      </c>
      <c r="G24" s="9"/>
      <c r="H24" s="9"/>
    </row>
    <row r="25" spans="1:8" ht="39" customHeight="1">
      <c r="A25" s="8">
        <v>45889</v>
      </c>
      <c r="B25" s="8"/>
      <c r="C25" s="9">
        <v>4441369</v>
      </c>
      <c r="D25" s="9">
        <f t="shared" si="2"/>
        <v>8396</v>
      </c>
      <c r="E25" s="9">
        <v>16769</v>
      </c>
      <c r="F25" s="9">
        <f t="shared" si="3"/>
        <v>183</v>
      </c>
      <c r="G25" s="9"/>
      <c r="H25" s="9"/>
    </row>
    <row r="26" spans="1:8" ht="39" customHeight="1">
      <c r="A26" s="8">
        <v>45890</v>
      </c>
      <c r="B26" s="8"/>
      <c r="C26" s="9">
        <v>4449765</v>
      </c>
      <c r="D26" s="9">
        <f t="shared" si="2"/>
        <v>10</v>
      </c>
      <c r="E26" s="9">
        <v>16952</v>
      </c>
      <c r="F26" s="9">
        <f t="shared" si="3"/>
        <v>44</v>
      </c>
      <c r="G26" s="9"/>
      <c r="H26" s="9"/>
    </row>
    <row r="27" spans="1:8" ht="39" customHeight="1">
      <c r="A27" s="8">
        <v>45891</v>
      </c>
      <c r="B27" s="8"/>
      <c r="C27" s="11">
        <v>4449775</v>
      </c>
      <c r="D27" s="9">
        <f t="shared" si="2"/>
        <v>18258</v>
      </c>
      <c r="E27" s="9">
        <v>16996</v>
      </c>
      <c r="F27" s="9">
        <f t="shared" si="3"/>
        <v>218</v>
      </c>
      <c r="G27" s="9"/>
      <c r="H27" s="9"/>
    </row>
    <row r="28" spans="1:8" ht="39" customHeight="1">
      <c r="A28" s="8">
        <v>45892</v>
      </c>
      <c r="B28" s="8"/>
      <c r="C28" s="9">
        <v>4468033</v>
      </c>
      <c r="D28" s="9">
        <f t="shared" ref="D28:D35" si="4">C29-C28</f>
        <v>15179</v>
      </c>
      <c r="E28" s="9">
        <v>17214</v>
      </c>
      <c r="F28" s="9">
        <f t="shared" ref="F28:F35" si="5">E29-E28</f>
        <v>9</v>
      </c>
      <c r="G28" s="9"/>
      <c r="H28" s="9"/>
    </row>
    <row r="29" spans="1:8" ht="39" customHeight="1">
      <c r="A29" s="8">
        <v>45893</v>
      </c>
      <c r="B29" s="8"/>
      <c r="C29" s="11">
        <v>4483212</v>
      </c>
      <c r="D29" s="9">
        <f t="shared" si="4"/>
        <v>1073</v>
      </c>
      <c r="E29" s="9">
        <v>17223</v>
      </c>
      <c r="F29" s="9">
        <f t="shared" si="5"/>
        <v>300</v>
      </c>
      <c r="G29" s="9"/>
      <c r="H29" s="9"/>
    </row>
    <row r="30" spans="1:8" ht="39" customHeight="1">
      <c r="A30" s="8">
        <v>45894</v>
      </c>
      <c r="B30" s="8"/>
      <c r="C30" s="11">
        <v>4484285</v>
      </c>
      <c r="D30" s="9">
        <f t="shared" si="4"/>
        <v>7846</v>
      </c>
      <c r="E30" s="9">
        <v>17523</v>
      </c>
      <c r="F30" s="9">
        <f t="shared" si="5"/>
        <v>144</v>
      </c>
      <c r="G30" s="9"/>
      <c r="H30" s="9"/>
    </row>
    <row r="31" spans="1:8" ht="39" customHeight="1">
      <c r="A31" s="8">
        <v>45895</v>
      </c>
      <c r="B31" s="8"/>
      <c r="C31" s="11">
        <v>4492131</v>
      </c>
      <c r="D31" s="9">
        <f t="shared" si="4"/>
        <v>8723</v>
      </c>
      <c r="E31" s="1">
        <v>17667</v>
      </c>
      <c r="F31" s="9">
        <f t="shared" si="5"/>
        <v>196</v>
      </c>
      <c r="G31" s="9"/>
      <c r="H31" s="9"/>
    </row>
    <row r="32" spans="1:8" ht="39" customHeight="1">
      <c r="A32" s="8">
        <v>45896</v>
      </c>
      <c r="B32" s="8"/>
      <c r="C32" s="9">
        <v>4500854</v>
      </c>
      <c r="D32" s="9">
        <f t="shared" si="4"/>
        <v>8580</v>
      </c>
      <c r="E32" s="9">
        <v>17863</v>
      </c>
      <c r="F32" s="9">
        <f t="shared" si="5"/>
        <v>169</v>
      </c>
      <c r="G32" s="9"/>
      <c r="H32" s="9"/>
    </row>
    <row r="33" spans="1:8" ht="39" customHeight="1">
      <c r="A33" s="8">
        <v>45897</v>
      </c>
      <c r="B33" s="8"/>
      <c r="C33" s="9">
        <v>4509434</v>
      </c>
      <c r="D33" s="9">
        <f t="shared" si="4"/>
        <v>9170</v>
      </c>
      <c r="E33" s="9">
        <v>18032</v>
      </c>
      <c r="F33" s="9">
        <f t="shared" si="5"/>
        <v>141</v>
      </c>
      <c r="G33" s="9"/>
      <c r="H33" s="9"/>
    </row>
    <row r="34" spans="1:8" ht="39" customHeight="1">
      <c r="A34" s="8">
        <v>45898</v>
      </c>
      <c r="B34" s="8"/>
      <c r="C34" s="9">
        <v>4518604</v>
      </c>
      <c r="D34" s="9">
        <f t="shared" si="4"/>
        <v>8961</v>
      </c>
      <c r="E34" s="9">
        <v>18173</v>
      </c>
      <c r="F34" s="9">
        <f t="shared" si="5"/>
        <v>150</v>
      </c>
      <c r="G34" s="9"/>
      <c r="H34" s="9"/>
    </row>
    <row r="35" spans="1:8" ht="39" customHeight="1">
      <c r="A35" s="8">
        <v>45899</v>
      </c>
      <c r="B35" s="8"/>
      <c r="C35" s="9">
        <v>4527565</v>
      </c>
      <c r="D35" s="9">
        <f t="shared" si="4"/>
        <v>9168</v>
      </c>
      <c r="E35" s="9">
        <v>18323</v>
      </c>
      <c r="F35" s="9">
        <f t="shared" si="5"/>
        <v>108</v>
      </c>
      <c r="G35" s="9"/>
      <c r="H35" s="9"/>
    </row>
    <row r="36" spans="1:8" ht="39" customHeight="1">
      <c r="A36" s="8">
        <v>45900</v>
      </c>
      <c r="B36" s="8"/>
      <c r="C36" s="9">
        <v>4536733</v>
      </c>
      <c r="D36" s="9"/>
      <c r="E36" s="9">
        <v>18431</v>
      </c>
      <c r="F36" s="9"/>
      <c r="G36" s="9"/>
      <c r="H36" s="9"/>
    </row>
    <row r="37" spans="1:8">
      <c r="E37" s="12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2025-06-12T01:59:00Z</cp:lastPrinted>
  <dcterms:created xsi:type="dcterms:W3CDTF">2018-12-27T05:07:00Z</dcterms:created>
  <dcterms:modified xsi:type="dcterms:W3CDTF">2025-10-20T16:07:54Z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