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0/"/>
    </mc:Choice>
  </mc:AlternateContent>
  <xr:revisionPtr revIDLastSave="859" documentId="8_{8847650D-614C-4264-8C87-30D8B5EB4252}" xr6:coauthVersionLast="47" xr6:coauthVersionMax="47" xr10:uidLastSave="{19EDF932-6A6D-4BD7-B1BA-632D6F71321C}"/>
  <bookViews>
    <workbookView xWindow="-108" yWindow="-108" windowWidth="23256" windowHeight="12456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" i="5" l="1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E6" i="3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4" i="6"/>
  <c r="G2" i="2" s="1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E22" i="3" s="1"/>
  <c r="Q21" i="3"/>
  <c r="AC21" i="3"/>
  <c r="E2" i="2" l="1" a="1"/>
  <c r="E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<sst xmlns="http://schemas.openxmlformats.org/spreadsheetml/2006/main" count="123" uniqueCount="88">
  <si>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</si>
  <si>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</si>
  <si>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</si>
  <si>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</si>
  <si>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</si>
  <si>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</si>
  <si>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</si>
  <si>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</si>
  <si>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</si>
  <si>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</si>
  <si>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</si>
  <si>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</si>
  <si>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</si>
  <si>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</si>
  <si>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</si>
  <si>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</si>
  <si>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</si>
  <si>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</si>
  <si>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</si>
  <si>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</si>
  <si>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</si>
  <si>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</si>
  <si>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</si>
  <si>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</si>
  <si>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</si>
  <si>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</si>
  <si>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</si>
  <si>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</si>
  <si>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</si>
  <si>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</si>
  <si>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</si>
  <si>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</si>
  <si>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</si>
  <si>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</si>
  <si>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</si>
  <si>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</si>
  <si>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</si>
  <si>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</si>
  <si>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</si>
  <si>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</si>
  <si>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</si>
  <si>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</si>
  <si>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</si>
  <si>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</si>
  <si>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</si>
  <si>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</si>
  <si>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</si>
  <si>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</si>
  <si>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</si>
  <si>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</si>
  <si>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</si>
  <si>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</si>
  <si>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</si>
  <si>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</si>
  <si>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</si>
  <si>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</si>
  <si>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</si>
  <si>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</si>
  <si>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</si>
  <si>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</si>
  <si>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</si>
  <si>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</si>
  <si>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</si>
  <si>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</si>
  <si>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</si>
  <si>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</si>
  <si>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</si>
  <si>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</si>
  <si>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</si>
  <si>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</si>
  <si>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</si>
  <si>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</si>
  <si>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</si>
  <si>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</si>
  <si>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</si>
  <si>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</si>
  <si>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</si>
  <si>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</si>
  <si>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 xml:space="preserve">                                       </t>
  </si>
  <si>
    <t>TOTAL Consumption</t>
  </si>
  <si>
    <t>Date</t>
  </si>
  <si>
    <t>Occupied</t>
  </si>
  <si>
    <t># Guest</t>
  </si>
  <si>
    <t>TOTAL MTD</t>
  </si>
  <si>
    <t>DAILY ELECTRICITY METER READINGS &amp; CONSUMPTION MARCH 2020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</si>
  <si>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MARCH  2020</t>
    </r>
  </si>
  <si>
    <t>Occupied Room &amp; Number of Guest
March 2020</t>
  </si>
  <si>
    <t>DAILY GAS METER READINGS &amp; CONSUMPTION (Liters) MARCH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</si>
</sst>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9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164" fontId="2" fillId="0" borderId="0" xfId="0" applyNumberFormat="1" applyFont="1"/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68" fontId="26" fillId="0" borderId="21" xfId="1" applyNumberFormat="1" applyFont="1" applyFill="1" applyBorder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H2" sqref="H2:H32"/>
    </sheetView>
  </sheetViews>
  <sheetFormatPr defaultColWidth="11.5546875" defaultRowHeight="14.4" x14ac:dyDescent="0.3"/>
  <cols>
    <col min="1" max="1" width="29.109375" style="2" bestFit="1" customWidth="1"/>
    <col min="2" max="3" width="11.5546875" style="10"/>
    <col min="4" max="4" width="13.44140625" style="10" customWidth="1"/>
    <col min="5" max="5" width="12.5546875" style="3" customWidth="1"/>
    <col min="6" max="6" width="12.5546875" style="11" customWidth="1"/>
    <col min="7" max="7" width="11.5546875" style="3"/>
    <col min="8" max="8" width="11.5546875" style="11"/>
    <col min="9" max="9" width="11.5546875" style="3"/>
    <col min="10" max="10" width="11.5546875" style="12"/>
    <col min="11" max="24" width="11.5546875" style="3"/>
  </cols>
  <sheetData>
    <row r="1" spans="1:12" s="8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3">
      <c r="A2" s="9" t="s">
        <v>12</v>
      </c>
      <c r="B2" s="10">
        <v>1</v>
      </c>
      <c r="C2" s="10">
        <v>3</v>
      </c>
      <c r="D2" s="10">
        <v>2020</v>
      </c>
      <c r="E2" s="4" cm="1">
        <f t="array" ref="E2:E32">TRANSPOSE(Electricity!E21:AI21)</f>
        <v>29938</v>
      </c>
      <c r="F2" s="11">
        <v>0.2</v>
      </c>
      <c r="G2" s="4">
        <f>LPG!C4</f>
        <v>2100.0667741935486</v>
      </c>
      <c r="H2" s="11">
        <v>1.4500038170829284</v>
      </c>
      <c r="I2" s="4" cm="1">
        <f t="array" ref="I2:I32">TRANSPOSE(Water!E15:AI15)</f>
        <v>338.12400000000997</v>
      </c>
      <c r="J2" s="11">
        <v>7.84</v>
      </c>
      <c r="K2" s="4">
        <f>'Occupied &amp; No. of Guest'!B3</f>
        <v>371</v>
      </c>
      <c r="L2" s="4">
        <f>'Occupied &amp; No. of Guest'!C3</f>
        <v>459</v>
      </c>
    </row>
    <row r="3" spans="1:12" x14ac:dyDescent="0.3">
      <c r="A3" s="9" t="s">
        <v>12</v>
      </c>
      <c r="B3" s="10">
        <f>B2+1</f>
        <v>2</v>
      </c>
      <c r="C3" s="10">
        <v>3</v>
      </c>
      <c r="D3" s="10">
        <v>2020</v>
      </c>
      <c r="E3" s="4">
        <v>30335</v>
      </c>
      <c r="F3" s="11">
        <v>0.2</v>
      </c>
      <c r="G3" s="4">
        <f>LPG!C5</f>
        <v>2100.0667741935486</v>
      </c>
      <c r="H3" s="11">
        <v>1.4500038170829284</v>
      </c>
      <c r="I3" s="4">
        <v>349.91199999998372</v>
      </c>
      <c r="J3" s="11">
        <v>7.84</v>
      </c>
      <c r="K3" s="4">
        <f>'Occupied &amp; No. of Guest'!B4</f>
        <v>361</v>
      </c>
      <c r="L3" s="4">
        <f>'Occupied &amp; No. of Guest'!C4</f>
        <v>427</v>
      </c>
    </row>
    <row r="4" spans="1:12" x14ac:dyDescent="0.3">
      <c r="A4" s="9" t="s">
        <v>12</v>
      </c>
      <c r="B4" s="10">
        <f t="shared" ref="B4:B32" si="0">B3+1</f>
        <v>3</v>
      </c>
      <c r="C4" s="10">
        <v>3</v>
      </c>
      <c r="D4" s="10">
        <v>2020</v>
      </c>
      <c r="E4" s="4">
        <v>29920</v>
      </c>
      <c r="F4" s="11">
        <v>0.2</v>
      </c>
      <c r="G4" s="4">
        <f>LPG!C6</f>
        <v>2100.0667741935486</v>
      </c>
      <c r="H4" s="11">
        <v>1.4500038170829284</v>
      </c>
      <c r="I4" s="4">
        <v>352.06700000000018</v>
      </c>
      <c r="J4" s="11">
        <v>7.84</v>
      </c>
      <c r="K4" s="4">
        <f>'Occupied &amp; No. of Guest'!B5</f>
        <v>396</v>
      </c>
      <c r="L4" s="4">
        <f>'Occupied &amp; No. of Guest'!C5</f>
        <v>492</v>
      </c>
    </row>
    <row r="5" spans="1:12" x14ac:dyDescent="0.3">
      <c r="A5" s="9" t="s">
        <v>12</v>
      </c>
      <c r="B5" s="10">
        <f t="shared" si="0"/>
        <v>4</v>
      </c>
      <c r="C5" s="10">
        <v>3</v>
      </c>
      <c r="D5" s="10">
        <v>2020</v>
      </c>
      <c r="E5" s="4">
        <v>29104</v>
      </c>
      <c r="F5" s="11">
        <v>0.2</v>
      </c>
      <c r="G5" s="4">
        <f>LPG!C7</f>
        <v>2100.0667741935486</v>
      </c>
      <c r="H5" s="11">
        <v>1.4500038170829284</v>
      </c>
      <c r="I5" s="4">
        <v>268.78299999999126</v>
      </c>
      <c r="J5" s="11">
        <v>7.84</v>
      </c>
      <c r="K5" s="4">
        <f>'Occupied &amp; No. of Guest'!B6</f>
        <v>342</v>
      </c>
      <c r="L5" s="4">
        <f>'Occupied &amp; No. of Guest'!C6</f>
        <v>386</v>
      </c>
    </row>
    <row r="6" spans="1:12" x14ac:dyDescent="0.3">
      <c r="A6" s="9" t="s">
        <v>12</v>
      </c>
      <c r="B6" s="10">
        <f t="shared" si="0"/>
        <v>5</v>
      </c>
      <c r="C6" s="10">
        <v>3</v>
      </c>
      <c r="D6" s="10">
        <v>2020</v>
      </c>
      <c r="E6" s="4">
        <v>29159</v>
      </c>
      <c r="F6" s="11">
        <v>0.2</v>
      </c>
      <c r="G6" s="4">
        <f>LPG!C8</f>
        <v>2100.0667741935486</v>
      </c>
      <c r="H6" s="11">
        <v>1.4500038170829284</v>
      </c>
      <c r="I6" s="4">
        <v>401.56999999999971</v>
      </c>
      <c r="J6" s="11">
        <v>7.84</v>
      </c>
      <c r="K6" s="4">
        <f>'Occupied &amp; No. of Guest'!B7</f>
        <v>309</v>
      </c>
      <c r="L6" s="4">
        <f>'Occupied &amp; No. of Guest'!C7</f>
        <v>374</v>
      </c>
    </row>
    <row r="7" spans="1:12" x14ac:dyDescent="0.3">
      <c r="A7" s="9" t="s">
        <v>12</v>
      </c>
      <c r="B7" s="10">
        <f t="shared" si="0"/>
        <v>6</v>
      </c>
      <c r="C7" s="10">
        <v>3</v>
      </c>
      <c r="D7" s="10">
        <v>2020</v>
      </c>
      <c r="E7" s="4">
        <v>29504</v>
      </c>
      <c r="F7" s="11">
        <v>0.2</v>
      </c>
      <c r="G7" s="4">
        <f>LPG!C9</f>
        <v>2100.0667741935486</v>
      </c>
      <c r="H7" s="11">
        <v>1.4500038170829284</v>
      </c>
      <c r="I7" s="4">
        <v>225.88100000001413</v>
      </c>
      <c r="J7" s="11">
        <v>7.84</v>
      </c>
      <c r="K7" s="4">
        <f>'Occupied &amp; No. of Guest'!B8</f>
        <v>286</v>
      </c>
      <c r="L7" s="4">
        <f>'Occupied &amp; No. of Guest'!C8</f>
        <v>339</v>
      </c>
    </row>
    <row r="8" spans="1:12" x14ac:dyDescent="0.3">
      <c r="A8" s="9" t="s">
        <v>12</v>
      </c>
      <c r="B8" s="10">
        <f t="shared" si="0"/>
        <v>7</v>
      </c>
      <c r="C8" s="10">
        <v>3</v>
      </c>
      <c r="D8" s="10">
        <v>2020</v>
      </c>
      <c r="E8" s="4">
        <v>30924</v>
      </c>
      <c r="F8" s="11">
        <v>0.2</v>
      </c>
      <c r="G8" s="4">
        <f>LPG!C10</f>
        <v>2100.0667741935486</v>
      </c>
      <c r="H8" s="11">
        <v>1.4500038170829284</v>
      </c>
      <c r="I8" s="4">
        <v>339.12400000000014</v>
      </c>
      <c r="J8" s="11">
        <v>7.84</v>
      </c>
      <c r="K8" s="4">
        <f>'Occupied &amp; No. of Guest'!B9</f>
        <v>312</v>
      </c>
      <c r="L8" s="4">
        <f>'Occupied &amp; No. of Guest'!C9</f>
        <v>374</v>
      </c>
    </row>
    <row r="9" spans="1:12" x14ac:dyDescent="0.3">
      <c r="A9" s="9" t="s">
        <v>12</v>
      </c>
      <c r="B9" s="10">
        <f t="shared" si="0"/>
        <v>8</v>
      </c>
      <c r="C9" s="10">
        <v>3</v>
      </c>
      <c r="D9" s="10">
        <v>2020</v>
      </c>
      <c r="E9" s="4">
        <v>28915</v>
      </c>
      <c r="F9" s="11">
        <v>0.2</v>
      </c>
      <c r="G9" s="4">
        <f>LPG!C11</f>
        <v>2100.0667741935486</v>
      </c>
      <c r="H9" s="11">
        <v>1.4500038170829284</v>
      </c>
      <c r="I9" s="4">
        <v>299.96099999997733</v>
      </c>
      <c r="J9" s="11">
        <v>7.84</v>
      </c>
      <c r="K9" s="4">
        <f>'Occupied &amp; No. of Guest'!B10</f>
        <v>323</v>
      </c>
      <c r="L9" s="4">
        <f>'Occupied &amp; No. of Guest'!C10</f>
        <v>369</v>
      </c>
    </row>
    <row r="10" spans="1:12" x14ac:dyDescent="0.3">
      <c r="A10" s="9" t="s">
        <v>12</v>
      </c>
      <c r="B10" s="10">
        <f t="shared" si="0"/>
        <v>9</v>
      </c>
      <c r="C10" s="10">
        <v>3</v>
      </c>
      <c r="D10" s="10">
        <v>2020</v>
      </c>
      <c r="E10" s="4">
        <v>28911</v>
      </c>
      <c r="F10" s="11">
        <v>0.2</v>
      </c>
      <c r="G10" s="4">
        <f>LPG!C12</f>
        <v>2100.0667741935486</v>
      </c>
      <c r="H10" s="11">
        <v>1.4500038170829284</v>
      </c>
      <c r="I10" s="4">
        <v>371.95600000000286</v>
      </c>
      <c r="J10" s="11">
        <v>7.84</v>
      </c>
      <c r="K10" s="4">
        <f>'Occupied &amp; No. of Guest'!B11</f>
        <v>344</v>
      </c>
      <c r="L10" s="4">
        <f>'Occupied &amp; No. of Guest'!C11</f>
        <v>398</v>
      </c>
    </row>
    <row r="11" spans="1:12" x14ac:dyDescent="0.3">
      <c r="A11" s="9" t="s">
        <v>12</v>
      </c>
      <c r="B11" s="10">
        <f t="shared" si="0"/>
        <v>10</v>
      </c>
      <c r="C11" s="10">
        <v>3</v>
      </c>
      <c r="D11" s="10">
        <v>2020</v>
      </c>
      <c r="E11" s="4">
        <v>28919</v>
      </c>
      <c r="F11" s="11">
        <v>0.2</v>
      </c>
      <c r="G11" s="4">
        <f>LPG!C13</f>
        <v>2100.0667741935486</v>
      </c>
      <c r="H11" s="11">
        <v>1.4500038170829284</v>
      </c>
      <c r="I11" s="4">
        <v>286.62200000001957</v>
      </c>
      <c r="J11" s="11">
        <v>7.84</v>
      </c>
      <c r="K11" s="4">
        <f>'Occupied &amp; No. of Guest'!B12</f>
        <v>331</v>
      </c>
      <c r="L11" s="4">
        <f>'Occupied &amp; No. of Guest'!C12</f>
        <v>381</v>
      </c>
    </row>
    <row r="12" spans="1:12" x14ac:dyDescent="0.3">
      <c r="A12" s="9" t="s">
        <v>12</v>
      </c>
      <c r="B12" s="10">
        <f t="shared" si="0"/>
        <v>11</v>
      </c>
      <c r="C12" s="10">
        <v>3</v>
      </c>
      <c r="D12" s="10">
        <v>2020</v>
      </c>
      <c r="E12" s="4">
        <v>25914</v>
      </c>
      <c r="F12" s="11">
        <v>0.2</v>
      </c>
      <c r="G12" s="4">
        <f>LPG!C14</f>
        <v>2100.0667741935486</v>
      </c>
      <c r="H12" s="11">
        <v>1.4500038170829284</v>
      </c>
      <c r="I12" s="4">
        <v>278.39100000000019</v>
      </c>
      <c r="J12" s="11">
        <v>7.84</v>
      </c>
      <c r="K12" s="4">
        <f>'Occupied &amp; No. of Guest'!B13</f>
        <v>349</v>
      </c>
      <c r="L12" s="4">
        <f>'Occupied &amp; No. of Guest'!C13</f>
        <v>408</v>
      </c>
    </row>
    <row r="13" spans="1:12" x14ac:dyDescent="0.3">
      <c r="A13" s="9" t="s">
        <v>12</v>
      </c>
      <c r="B13" s="10">
        <f t="shared" si="0"/>
        <v>12</v>
      </c>
      <c r="C13" s="10">
        <v>3</v>
      </c>
      <c r="D13" s="10">
        <v>2020</v>
      </c>
      <c r="E13" s="4">
        <v>29321</v>
      </c>
      <c r="F13" s="11">
        <v>0.2</v>
      </c>
      <c r="G13" s="4">
        <f>LPG!C15</f>
        <v>2100.0667741935486</v>
      </c>
      <c r="H13" s="11">
        <v>1.4500038170829284</v>
      </c>
      <c r="I13" s="4">
        <v>367.25599999998269</v>
      </c>
      <c r="J13" s="11">
        <v>7.84</v>
      </c>
      <c r="K13" s="4">
        <f>'Occupied &amp; No. of Guest'!B14</f>
        <v>285</v>
      </c>
      <c r="L13" s="4">
        <f>'Occupied &amp; No. of Guest'!C14</f>
        <v>325</v>
      </c>
    </row>
    <row r="14" spans="1:12" x14ac:dyDescent="0.3">
      <c r="A14" s="9" t="s">
        <v>12</v>
      </c>
      <c r="B14" s="10">
        <f t="shared" si="0"/>
        <v>13</v>
      </c>
      <c r="C14" s="10">
        <v>3</v>
      </c>
      <c r="D14" s="10">
        <v>2020</v>
      </c>
      <c r="E14" s="4">
        <v>27532</v>
      </c>
      <c r="F14" s="11">
        <v>0.2</v>
      </c>
      <c r="G14" s="4">
        <f>LPG!C16</f>
        <v>2100.0667741935486</v>
      </c>
      <c r="H14" s="11">
        <v>1.4500038170829284</v>
      </c>
      <c r="I14" s="4">
        <v>214.86099999999442</v>
      </c>
      <c r="J14" s="11">
        <v>7.84</v>
      </c>
      <c r="K14" s="4">
        <f>'Occupied &amp; No. of Guest'!B15</f>
        <v>324</v>
      </c>
      <c r="L14" s="4">
        <f>'Occupied &amp; No. of Guest'!C15</f>
        <v>391</v>
      </c>
    </row>
    <row r="15" spans="1:12" x14ac:dyDescent="0.3">
      <c r="A15" s="9" t="s">
        <v>12</v>
      </c>
      <c r="B15" s="10">
        <f t="shared" si="0"/>
        <v>14</v>
      </c>
      <c r="C15" s="10">
        <v>3</v>
      </c>
      <c r="D15" s="10">
        <v>2020</v>
      </c>
      <c r="E15" s="4">
        <v>28542</v>
      </c>
      <c r="F15" s="11">
        <v>0.2</v>
      </c>
      <c r="G15" s="4">
        <f>LPG!C17</f>
        <v>2100.0667741935486</v>
      </c>
      <c r="H15" s="11">
        <v>1.4500038170829284</v>
      </c>
      <c r="I15" s="4">
        <v>377.31100000001186</v>
      </c>
      <c r="J15" s="11">
        <v>7.84</v>
      </c>
      <c r="K15" s="4">
        <f>'Occupied &amp; No. of Guest'!B16</f>
        <v>290</v>
      </c>
      <c r="L15" s="4">
        <f>'Occupied &amp; No. of Guest'!C16</f>
        <v>322</v>
      </c>
    </row>
    <row r="16" spans="1:12" x14ac:dyDescent="0.3">
      <c r="A16" s="9" t="s">
        <v>12</v>
      </c>
      <c r="B16" s="10">
        <f t="shared" si="0"/>
        <v>15</v>
      </c>
      <c r="C16" s="10">
        <v>3</v>
      </c>
      <c r="D16" s="10">
        <v>2020</v>
      </c>
      <c r="E16" s="4">
        <v>26512</v>
      </c>
      <c r="F16" s="11">
        <v>0.2</v>
      </c>
      <c r="G16" s="4">
        <f>LPG!C18</f>
        <v>2100.0667741935486</v>
      </c>
      <c r="H16" s="11">
        <v>1.4500038170829284</v>
      </c>
      <c r="I16" s="4">
        <v>252.70600000000451</v>
      </c>
      <c r="J16" s="11">
        <v>7.84</v>
      </c>
      <c r="K16" s="4">
        <f>'Occupied &amp; No. of Guest'!B17</f>
        <v>309</v>
      </c>
      <c r="L16" s="4">
        <f>'Occupied &amp; No. of Guest'!C17</f>
        <v>348</v>
      </c>
    </row>
    <row r="17" spans="1:12" x14ac:dyDescent="0.3">
      <c r="A17" s="9" t="s">
        <v>12</v>
      </c>
      <c r="B17" s="10">
        <f t="shared" si="0"/>
        <v>16</v>
      </c>
      <c r="C17" s="10">
        <v>3</v>
      </c>
      <c r="D17" s="10">
        <v>2020</v>
      </c>
      <c r="E17" s="4">
        <v>27925</v>
      </c>
      <c r="F17" s="11">
        <v>0.2</v>
      </c>
      <c r="G17" s="4">
        <f>LPG!C19</f>
        <v>2100.0667741935486</v>
      </c>
      <c r="H17" s="11">
        <v>1.4500038170829284</v>
      </c>
      <c r="I17" s="4">
        <v>418.31699999999108</v>
      </c>
      <c r="J17" s="11">
        <v>7.84</v>
      </c>
      <c r="K17" s="4">
        <f>'Occupied &amp; No. of Guest'!B18</f>
        <v>293</v>
      </c>
      <c r="L17" s="4">
        <f>'Occupied &amp; No. of Guest'!C18</f>
        <v>330</v>
      </c>
    </row>
    <row r="18" spans="1:12" x14ac:dyDescent="0.3">
      <c r="A18" s="9" t="s">
        <v>12</v>
      </c>
      <c r="B18" s="10">
        <f t="shared" si="0"/>
        <v>17</v>
      </c>
      <c r="C18" s="10">
        <v>3</v>
      </c>
      <c r="D18" s="10">
        <v>2020</v>
      </c>
      <c r="E18" s="4">
        <v>28321</v>
      </c>
      <c r="F18" s="11">
        <v>0.2</v>
      </c>
      <c r="G18" s="4">
        <f>LPG!C20</f>
        <v>2100.0667741935486</v>
      </c>
      <c r="H18" s="11">
        <v>1.4500038170829284</v>
      </c>
      <c r="I18" s="4">
        <v>220.32100000000119</v>
      </c>
      <c r="J18" s="11">
        <v>7.84</v>
      </c>
      <c r="K18" s="4">
        <f>'Occupied &amp; No. of Guest'!B19</f>
        <v>277</v>
      </c>
      <c r="L18" s="4">
        <f>'Occupied &amp; No. of Guest'!C19</f>
        <v>314</v>
      </c>
    </row>
    <row r="19" spans="1:12" x14ac:dyDescent="0.3">
      <c r="A19" s="9" t="s">
        <v>12</v>
      </c>
      <c r="B19" s="10">
        <f t="shared" si="0"/>
        <v>18</v>
      </c>
      <c r="C19" s="10">
        <v>3</v>
      </c>
      <c r="D19" s="10">
        <v>2020</v>
      </c>
      <c r="E19" s="4">
        <v>26509</v>
      </c>
      <c r="F19" s="11">
        <v>0.2</v>
      </c>
      <c r="G19" s="4">
        <f>LPG!C21</f>
        <v>2100.0667741935486</v>
      </c>
      <c r="H19" s="11">
        <v>1.4500038170829284</v>
      </c>
      <c r="I19" s="4">
        <v>358.82400000000217</v>
      </c>
      <c r="J19" s="11">
        <v>7.84</v>
      </c>
      <c r="K19" s="4">
        <f>'Occupied &amp; No. of Guest'!B20</f>
        <v>292</v>
      </c>
      <c r="L19" s="4">
        <f>'Occupied &amp; No. of Guest'!C20</f>
        <v>330</v>
      </c>
    </row>
    <row r="20" spans="1:12" x14ac:dyDescent="0.3">
      <c r="A20" s="9" t="s">
        <v>12</v>
      </c>
      <c r="B20" s="10">
        <f t="shared" si="0"/>
        <v>19</v>
      </c>
      <c r="C20" s="10">
        <v>3</v>
      </c>
      <c r="D20" s="10">
        <v>2020</v>
      </c>
      <c r="E20" s="4">
        <v>26490</v>
      </c>
      <c r="F20" s="11">
        <v>0.2</v>
      </c>
      <c r="G20" s="4">
        <f>LPG!C22</f>
        <v>2100.0667741935486</v>
      </c>
      <c r="H20" s="11">
        <v>1.4500038170829284</v>
      </c>
      <c r="I20" s="4">
        <v>328.63000000000267</v>
      </c>
      <c r="J20" s="11">
        <v>7.84</v>
      </c>
      <c r="K20" s="4">
        <f>'Occupied &amp; No. of Guest'!B21</f>
        <v>274</v>
      </c>
      <c r="L20" s="4">
        <f>'Occupied &amp; No. of Guest'!C21</f>
        <v>311</v>
      </c>
    </row>
    <row r="21" spans="1:12" x14ac:dyDescent="0.3">
      <c r="A21" s="9" t="s">
        <v>12</v>
      </c>
      <c r="B21" s="10">
        <f t="shared" si="0"/>
        <v>20</v>
      </c>
      <c r="C21" s="10">
        <v>3</v>
      </c>
      <c r="D21" s="10">
        <v>2020</v>
      </c>
      <c r="E21" s="4">
        <v>26088</v>
      </c>
      <c r="F21" s="11">
        <v>0.2</v>
      </c>
      <c r="G21" s="4">
        <f>LPG!C23</f>
        <v>2100.0667741935486</v>
      </c>
      <c r="H21" s="11">
        <v>1.4500038170829284</v>
      </c>
      <c r="I21" s="4">
        <v>229.08200000000744</v>
      </c>
      <c r="J21" s="11">
        <v>7.84</v>
      </c>
      <c r="K21" s="4">
        <f>'Occupied &amp; No. of Guest'!B22</f>
        <v>273</v>
      </c>
      <c r="L21" s="4">
        <f>'Occupied &amp; No. of Guest'!C22</f>
        <v>307</v>
      </c>
    </row>
    <row r="22" spans="1:12" x14ac:dyDescent="0.3">
      <c r="A22" s="9" t="s">
        <v>12</v>
      </c>
      <c r="B22" s="10">
        <f t="shared" si="0"/>
        <v>21</v>
      </c>
      <c r="C22" s="10">
        <v>3</v>
      </c>
      <c r="D22" s="10">
        <v>2020</v>
      </c>
      <c r="E22" s="4">
        <v>26499</v>
      </c>
      <c r="F22" s="11">
        <v>0.2</v>
      </c>
      <c r="G22" s="4">
        <f>LPG!C24</f>
        <v>2100.0667741935486</v>
      </c>
      <c r="H22" s="11">
        <v>1.4500038170829284</v>
      </c>
      <c r="I22" s="4">
        <v>209.3529999999875</v>
      </c>
      <c r="J22" s="11">
        <v>7.84</v>
      </c>
      <c r="K22" s="4">
        <f>'Occupied &amp; No. of Guest'!B23</f>
        <v>263</v>
      </c>
      <c r="L22" s="4">
        <f>'Occupied &amp; No. of Guest'!C23</f>
        <v>295</v>
      </c>
    </row>
    <row r="23" spans="1:12" x14ac:dyDescent="0.3">
      <c r="A23" s="9" t="s">
        <v>12</v>
      </c>
      <c r="B23" s="10">
        <f t="shared" si="0"/>
        <v>22</v>
      </c>
      <c r="C23" s="10">
        <v>3</v>
      </c>
      <c r="D23" s="10">
        <v>2020</v>
      </c>
      <c r="E23" s="4">
        <v>26489</v>
      </c>
      <c r="F23" s="11">
        <v>0.2</v>
      </c>
      <c r="G23" s="4">
        <f>LPG!C25</f>
        <v>2100.0667741935486</v>
      </c>
      <c r="H23" s="11">
        <v>1.4500038170829284</v>
      </c>
      <c r="I23" s="4">
        <v>205.63600000001171</v>
      </c>
      <c r="J23" s="11">
        <v>7.84</v>
      </c>
      <c r="K23" s="4">
        <f>'Occupied &amp; No. of Guest'!B24</f>
        <v>244</v>
      </c>
      <c r="L23" s="4">
        <f>'Occupied &amp; No. of Guest'!C24</f>
        <v>276</v>
      </c>
    </row>
    <row r="24" spans="1:12" x14ac:dyDescent="0.3">
      <c r="A24" s="9" t="s">
        <v>12</v>
      </c>
      <c r="B24" s="10">
        <f t="shared" si="0"/>
        <v>23</v>
      </c>
      <c r="C24" s="10">
        <v>3</v>
      </c>
      <c r="D24" s="10">
        <v>2020</v>
      </c>
      <c r="E24" s="4">
        <v>24880</v>
      </c>
      <c r="F24" s="11">
        <v>0.2</v>
      </c>
      <c r="G24" s="4">
        <f>LPG!C26</f>
        <v>2100.0667741935486</v>
      </c>
      <c r="H24" s="11">
        <v>1.4500038170829284</v>
      </c>
      <c r="I24" s="4">
        <v>287.50600000000338</v>
      </c>
      <c r="J24" s="11">
        <v>7.84</v>
      </c>
      <c r="K24" s="4">
        <f>'Occupied &amp; No. of Guest'!B25</f>
        <v>252</v>
      </c>
      <c r="L24" s="4">
        <f>'Occupied &amp; No. of Guest'!C25</f>
        <v>286</v>
      </c>
    </row>
    <row r="25" spans="1:12" x14ac:dyDescent="0.3">
      <c r="A25" s="9" t="s">
        <v>12</v>
      </c>
      <c r="B25" s="10">
        <f t="shared" si="0"/>
        <v>24</v>
      </c>
      <c r="C25" s="10">
        <v>3</v>
      </c>
      <c r="D25" s="10">
        <v>2020</v>
      </c>
      <c r="E25" s="4">
        <v>23468</v>
      </c>
      <c r="F25" s="11">
        <v>0.2</v>
      </c>
      <c r="G25" s="4">
        <f>LPG!C27</f>
        <v>2100.0667741935486</v>
      </c>
      <c r="H25" s="11">
        <v>1.4500038170829284</v>
      </c>
      <c r="I25" s="4">
        <v>203.94899999998398</v>
      </c>
      <c r="J25" s="11">
        <v>7.84</v>
      </c>
      <c r="K25" s="4">
        <f>'Occupied &amp; No. of Guest'!B26</f>
        <v>236</v>
      </c>
      <c r="L25" s="4">
        <f>'Occupied &amp; No. of Guest'!C26</f>
        <v>266</v>
      </c>
    </row>
    <row r="26" spans="1:12" x14ac:dyDescent="0.3">
      <c r="A26" s="9" t="s">
        <v>12</v>
      </c>
      <c r="B26" s="10">
        <f>B25+1</f>
        <v>25</v>
      </c>
      <c r="C26" s="10">
        <v>3</v>
      </c>
      <c r="D26" s="10">
        <v>2020</v>
      </c>
      <c r="E26" s="4">
        <v>24495</v>
      </c>
      <c r="F26" s="11">
        <v>0.2</v>
      </c>
      <c r="G26" s="4">
        <f>LPG!C28</f>
        <v>2100.0667741935486</v>
      </c>
      <c r="H26" s="11">
        <v>1.4500038170829284</v>
      </c>
      <c r="I26" s="4">
        <v>227.68900000002031</v>
      </c>
      <c r="J26" s="11">
        <v>7.84</v>
      </c>
      <c r="K26" s="4">
        <f>'Occupied &amp; No. of Guest'!B27</f>
        <v>245</v>
      </c>
      <c r="L26" s="4">
        <f>'Occupied &amp; No. of Guest'!C27</f>
        <v>279</v>
      </c>
    </row>
    <row r="27" spans="1:12" x14ac:dyDescent="0.3">
      <c r="A27" s="9" t="s">
        <v>12</v>
      </c>
      <c r="B27" s="10">
        <f t="shared" si="0"/>
        <v>26</v>
      </c>
      <c r="C27" s="10">
        <v>3</v>
      </c>
      <c r="D27" s="10">
        <v>2020</v>
      </c>
      <c r="E27" s="4">
        <v>24269</v>
      </c>
      <c r="F27" s="11">
        <v>0.2</v>
      </c>
      <c r="G27" s="4">
        <f>LPG!C29</f>
        <v>2100.0667741935486</v>
      </c>
      <c r="H27" s="11">
        <v>1.4500038170829284</v>
      </c>
      <c r="I27" s="4">
        <v>306.74100000000124</v>
      </c>
      <c r="J27" s="11">
        <v>7.84</v>
      </c>
      <c r="K27" s="4">
        <f>'Occupied &amp; No. of Guest'!B28</f>
        <v>234</v>
      </c>
      <c r="L27" s="4">
        <f>'Occupied &amp; No. of Guest'!C28</f>
        <v>266</v>
      </c>
    </row>
    <row r="28" spans="1:12" x14ac:dyDescent="0.3">
      <c r="A28" s="9" t="s">
        <v>12</v>
      </c>
      <c r="B28" s="10">
        <f t="shared" si="0"/>
        <v>27</v>
      </c>
      <c r="C28" s="10">
        <v>3</v>
      </c>
      <c r="D28" s="10">
        <v>2020</v>
      </c>
      <c r="E28" s="4">
        <v>22866</v>
      </c>
      <c r="F28" s="11">
        <v>0.2</v>
      </c>
      <c r="G28" s="4">
        <f>LPG!C30</f>
        <v>2100.0667741935486</v>
      </c>
      <c r="H28" s="11">
        <v>1.4500038170829284</v>
      </c>
      <c r="I28" s="4">
        <v>124.66599999999707</v>
      </c>
      <c r="J28" s="11">
        <v>7.84</v>
      </c>
      <c r="K28" s="4">
        <f>'Occupied &amp; No. of Guest'!B29</f>
        <v>232</v>
      </c>
      <c r="L28" s="4">
        <f>'Occupied &amp; No. of Guest'!C29</f>
        <v>261</v>
      </c>
    </row>
    <row r="29" spans="1:12" x14ac:dyDescent="0.3">
      <c r="A29" s="9" t="s">
        <v>12</v>
      </c>
      <c r="B29" s="10">
        <f t="shared" si="0"/>
        <v>28</v>
      </c>
      <c r="C29" s="10">
        <v>3</v>
      </c>
      <c r="D29" s="10">
        <v>2020</v>
      </c>
      <c r="E29" s="4">
        <v>23264</v>
      </c>
      <c r="F29" s="11">
        <v>0.2</v>
      </c>
      <c r="G29" s="4">
        <f>LPG!C31</f>
        <v>2100.0667741935486</v>
      </c>
      <c r="H29" s="11">
        <v>1.4500038170829284</v>
      </c>
      <c r="I29" s="4">
        <v>364.25099999998821</v>
      </c>
      <c r="J29" s="11">
        <v>7.84</v>
      </c>
      <c r="K29" s="4">
        <f>'Occupied &amp; No. of Guest'!B30</f>
        <v>232</v>
      </c>
      <c r="L29" s="4">
        <f>'Occupied &amp; No. of Guest'!C30</f>
        <v>261</v>
      </c>
    </row>
    <row r="30" spans="1:12" x14ac:dyDescent="0.3">
      <c r="A30" s="9" t="s">
        <v>12</v>
      </c>
      <c r="B30" s="10">
        <f t="shared" si="0"/>
        <v>29</v>
      </c>
      <c r="C30" s="10">
        <v>3</v>
      </c>
      <c r="D30" s="10">
        <v>2020</v>
      </c>
      <c r="E30" s="4">
        <v>23672</v>
      </c>
      <c r="F30" s="11">
        <v>0.2</v>
      </c>
      <c r="G30" s="4">
        <f>LPG!C32</f>
        <v>2100.0667741935486</v>
      </c>
      <c r="H30" s="11">
        <v>1.4500038170829284</v>
      </c>
      <c r="I30" s="4">
        <v>166.17999999998631</v>
      </c>
      <c r="J30" s="11">
        <v>7.84</v>
      </c>
      <c r="K30" s="4">
        <f>'Occupied &amp; No. of Guest'!B31</f>
        <v>234</v>
      </c>
      <c r="L30" s="4">
        <f>'Occupied &amp; No. of Guest'!C31</f>
        <v>263</v>
      </c>
    </row>
    <row r="31" spans="1:12" x14ac:dyDescent="0.3">
      <c r="A31" s="9" t="s">
        <v>12</v>
      </c>
      <c r="B31" s="10">
        <f t="shared" si="0"/>
        <v>30</v>
      </c>
      <c r="C31" s="10">
        <v>3</v>
      </c>
      <c r="D31" s="10">
        <v>2020</v>
      </c>
      <c r="E31" s="4">
        <v>24480</v>
      </c>
      <c r="F31" s="11">
        <v>0.2</v>
      </c>
      <c r="G31" s="4">
        <f>LPG!C33</f>
        <v>2100.0667741935486</v>
      </c>
      <c r="H31" s="11">
        <v>1.4500038170829284</v>
      </c>
      <c r="I31" s="4">
        <v>350.76600000000997</v>
      </c>
      <c r="J31" s="11">
        <v>7.84</v>
      </c>
      <c r="K31" s="4">
        <f>'Occupied &amp; No. of Guest'!B32</f>
        <v>234</v>
      </c>
      <c r="L31" s="4">
        <f>'Occupied &amp; No. of Guest'!C32</f>
        <v>262</v>
      </c>
    </row>
    <row r="32" spans="1:12" x14ac:dyDescent="0.3">
      <c r="A32" s="9" t="s">
        <v>12</v>
      </c>
      <c r="B32" s="10">
        <f t="shared" si="0"/>
        <v>31</v>
      </c>
      <c r="C32" s="10">
        <v>3</v>
      </c>
      <c r="D32" s="10">
        <v>2020</v>
      </c>
      <c r="E32" s="4">
        <v>24289</v>
      </c>
      <c r="F32" s="11">
        <v>0.2</v>
      </c>
      <c r="G32" s="4">
        <f>LPG!C34</f>
        <v>2100.0667741935486</v>
      </c>
      <c r="H32" s="11">
        <v>1.4500038170829284</v>
      </c>
      <c r="I32" s="4">
        <v>211.58299999999781</v>
      </c>
      <c r="J32" s="11">
        <v>7.84</v>
      </c>
      <c r="K32" s="4">
        <f>'Occupied &amp; No. of Guest'!B33</f>
        <v>226</v>
      </c>
      <c r="L32" s="4">
        <f>'Occupied &amp; No. of Guest'!C33</f>
        <v>254</v>
      </c>
    </row>
    <row r="33" spans="7:7" x14ac:dyDescent="0.3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topLeftCell="A12" zoomScale="115" zoomScaleNormal="115" zoomScaleSheetLayoutView="85" workbookViewId="0">
      <selection activeCell="E22" sqref="E22"/>
    </sheetView>
  </sheetViews>
  <sheetFormatPr defaultColWidth="9.109375" defaultRowHeight="27" customHeight="1" x14ac:dyDescent="0.3"/>
  <cols>
    <col min="1" max="1" width="5.6640625" style="13" customWidth="1"/>
    <col min="2" max="2" width="17.33203125" style="26" customWidth="1"/>
    <col min="3" max="3" width="21.44140625" style="26" customWidth="1"/>
    <col min="4" max="4" width="10.5546875" style="13" customWidth="1"/>
    <col min="5" max="6" width="15" style="14" customWidth="1"/>
    <col min="7" max="35" width="15" style="13" customWidth="1"/>
    <col min="36" max="16384" width="9.109375" style="13"/>
  </cols>
  <sheetData>
    <row r="1" spans="1:67" ht="29.25" customHeight="1" x14ac:dyDescent="0.3">
      <c r="B1" s="13"/>
      <c r="C1" s="14"/>
      <c r="D1" s="14"/>
      <c r="G1" s="14"/>
    </row>
    <row r="2" spans="1:67" s="14" customFormat="1" ht="29.25" customHeight="1" x14ac:dyDescent="0.3">
      <c r="A2" s="64" t="s">
        <v>84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</row>
    <row r="3" spans="1:67" s="14" customFormat="1" ht="29.25" customHeight="1" thickBot="1" x14ac:dyDescent="0.35"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</row>
    <row r="4" spans="1:67" ht="42" thickBot="1" x14ac:dyDescent="0.35">
      <c r="A4" s="15" t="s">
        <v>13</v>
      </c>
      <c r="B4" s="16" t="s">
        <v>14</v>
      </c>
      <c r="C4" s="17" t="s">
        <v>15</v>
      </c>
      <c r="D4" s="18" t="s">
        <v>16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3">
      <c r="A5" s="66">
        <v>1</v>
      </c>
      <c r="B5" s="20" t="s">
        <v>17</v>
      </c>
      <c r="C5" s="68" t="s">
        <v>18</v>
      </c>
      <c r="D5" s="21">
        <v>70589</v>
      </c>
      <c r="E5" s="21">
        <v>70611</v>
      </c>
      <c r="F5" s="21">
        <v>70633</v>
      </c>
      <c r="G5" s="21">
        <v>70655</v>
      </c>
      <c r="H5" s="21">
        <v>70677</v>
      </c>
      <c r="I5" s="21">
        <v>70699</v>
      </c>
      <c r="J5" s="21">
        <v>70721</v>
      </c>
      <c r="K5" s="21">
        <v>70744</v>
      </c>
      <c r="L5" s="21">
        <v>70765</v>
      </c>
      <c r="M5" s="21">
        <v>70786</v>
      </c>
      <c r="N5" s="21">
        <v>70807</v>
      </c>
      <c r="O5" s="21">
        <v>70827</v>
      </c>
      <c r="P5" s="21">
        <v>70848</v>
      </c>
      <c r="Q5" s="21">
        <v>70868</v>
      </c>
      <c r="R5" s="21">
        <v>70889</v>
      </c>
      <c r="S5" s="21">
        <v>70908</v>
      </c>
      <c r="T5" s="21">
        <v>70928</v>
      </c>
      <c r="U5" s="21">
        <v>70948</v>
      </c>
      <c r="V5" s="21">
        <v>70966</v>
      </c>
      <c r="W5" s="21">
        <v>70984</v>
      </c>
      <c r="X5" s="21">
        <v>71002</v>
      </c>
      <c r="Y5" s="21">
        <v>71020</v>
      </c>
      <c r="Z5" s="21">
        <v>71038</v>
      </c>
      <c r="AA5" s="21">
        <v>71056</v>
      </c>
      <c r="AB5" s="21">
        <v>71073</v>
      </c>
      <c r="AC5" s="21">
        <v>71091</v>
      </c>
      <c r="AD5" s="21">
        <v>71108</v>
      </c>
      <c r="AE5" s="21">
        <v>71124</v>
      </c>
      <c r="AF5" s="21">
        <v>71140</v>
      </c>
      <c r="AG5" s="21">
        <v>71156</v>
      </c>
      <c r="AH5" s="21">
        <v>71172</v>
      </c>
      <c r="AI5" s="21">
        <v>71189</v>
      </c>
    </row>
    <row r="6" spans="1:67" s="24" customFormat="1" ht="21.75" customHeight="1" x14ac:dyDescent="0.3">
      <c r="A6" s="67"/>
      <c r="B6" s="22"/>
      <c r="C6" s="69"/>
      <c r="D6" s="23"/>
      <c r="E6" s="23">
        <f>(E5-D5)*1000</f>
        <v>22000</v>
      </c>
      <c r="F6" s="23">
        <f t="shared" ref="F6:AI6" si="0">(F5-E5)*1000</f>
        <v>22000</v>
      </c>
      <c r="G6" s="23">
        <f t="shared" si="0"/>
        <v>22000</v>
      </c>
      <c r="H6" s="23">
        <f t="shared" si="0"/>
        <v>22000</v>
      </c>
      <c r="I6" s="23">
        <f t="shared" si="0"/>
        <v>22000</v>
      </c>
      <c r="J6" s="23">
        <f t="shared" si="0"/>
        <v>22000</v>
      </c>
      <c r="K6" s="23">
        <f t="shared" si="0"/>
        <v>23000</v>
      </c>
      <c r="L6" s="23">
        <f t="shared" si="0"/>
        <v>21000</v>
      </c>
      <c r="M6" s="23">
        <f t="shared" si="0"/>
        <v>21000</v>
      </c>
      <c r="N6" s="23">
        <f t="shared" si="0"/>
        <v>21000</v>
      </c>
      <c r="O6" s="23">
        <f t="shared" si="0"/>
        <v>20000</v>
      </c>
      <c r="P6" s="23">
        <f t="shared" si="0"/>
        <v>21000</v>
      </c>
      <c r="Q6" s="23">
        <f t="shared" si="0"/>
        <v>20000</v>
      </c>
      <c r="R6" s="23">
        <f t="shared" si="0"/>
        <v>21000</v>
      </c>
      <c r="S6" s="23">
        <f t="shared" si="0"/>
        <v>19000</v>
      </c>
      <c r="T6" s="23">
        <f t="shared" si="0"/>
        <v>20000</v>
      </c>
      <c r="U6" s="23">
        <f t="shared" si="0"/>
        <v>20000</v>
      </c>
      <c r="V6" s="23">
        <f t="shared" si="0"/>
        <v>18000</v>
      </c>
      <c r="W6" s="23">
        <f t="shared" si="0"/>
        <v>18000</v>
      </c>
      <c r="X6" s="23">
        <f t="shared" si="0"/>
        <v>18000</v>
      </c>
      <c r="Y6" s="23">
        <f t="shared" si="0"/>
        <v>18000</v>
      </c>
      <c r="Z6" s="23">
        <f t="shared" si="0"/>
        <v>18000</v>
      </c>
      <c r="AA6" s="23">
        <f t="shared" si="0"/>
        <v>18000</v>
      </c>
      <c r="AB6" s="23">
        <f t="shared" si="0"/>
        <v>17000</v>
      </c>
      <c r="AC6" s="23">
        <f t="shared" si="0"/>
        <v>18000</v>
      </c>
      <c r="AD6" s="23">
        <f t="shared" si="0"/>
        <v>17000</v>
      </c>
      <c r="AE6" s="23">
        <f t="shared" si="0"/>
        <v>16000</v>
      </c>
      <c r="AF6" s="23">
        <f t="shared" si="0"/>
        <v>16000</v>
      </c>
      <c r="AG6" s="23">
        <f t="shared" si="0"/>
        <v>16000</v>
      </c>
      <c r="AH6" s="23">
        <f t="shared" si="0"/>
        <v>16000</v>
      </c>
      <c r="AI6" s="23">
        <f t="shared" si="0"/>
        <v>17000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3">
      <c r="A7" s="70">
        <v>2</v>
      </c>
      <c r="B7" s="25" t="s">
        <v>19</v>
      </c>
      <c r="C7" s="72" t="s">
        <v>20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>
        <v>29383</v>
      </c>
      <c r="AH7" s="21">
        <v>29383</v>
      </c>
      <c r="AI7" s="21">
        <v>29383</v>
      </c>
    </row>
    <row r="8" spans="1:67" s="24" customFormat="1" ht="21.75" customHeight="1" x14ac:dyDescent="0.3">
      <c r="A8" s="71"/>
      <c r="B8" s="22"/>
      <c r="C8" s="69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>
        <f t="shared" ref="AG8" si="28">(AG7-AF7)*1000</f>
        <v>0</v>
      </c>
      <c r="AH8" s="23">
        <f t="shared" ref="AH8" si="29">(AH7-AG7)*1000</f>
        <v>0</v>
      </c>
      <c r="AI8" s="23">
        <f t="shared" ref="AI8" si="30">(AI7-AH7)*1000</f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3">
      <c r="A9" s="77">
        <v>3</v>
      </c>
      <c r="B9" s="36" t="s">
        <v>21</v>
      </c>
      <c r="C9" s="79" t="s">
        <v>22</v>
      </c>
      <c r="D9" s="21">
        <v>85885</v>
      </c>
      <c r="E9" s="21">
        <v>85888</v>
      </c>
      <c r="F9" s="21">
        <v>85891</v>
      </c>
      <c r="G9" s="21">
        <v>85894</v>
      </c>
      <c r="H9" s="21">
        <v>85910</v>
      </c>
      <c r="I9" s="21">
        <v>85926</v>
      </c>
      <c r="J9" s="21">
        <v>85943</v>
      </c>
      <c r="K9" s="21">
        <v>85961</v>
      </c>
      <c r="L9" s="21">
        <v>85979</v>
      </c>
      <c r="M9" s="21">
        <v>85994</v>
      </c>
      <c r="N9" s="21">
        <v>86009</v>
      </c>
      <c r="O9" s="21">
        <v>86023</v>
      </c>
      <c r="P9" s="21">
        <v>86037</v>
      </c>
      <c r="Q9" s="21">
        <v>86051</v>
      </c>
      <c r="R9" s="21">
        <v>86066</v>
      </c>
      <c r="S9" s="21">
        <v>86081</v>
      </c>
      <c r="T9" s="21">
        <v>86096</v>
      </c>
      <c r="U9" s="21">
        <v>86105</v>
      </c>
      <c r="V9" s="21">
        <v>86106</v>
      </c>
      <c r="W9" s="21">
        <v>86106</v>
      </c>
      <c r="X9" s="21">
        <v>86106</v>
      </c>
      <c r="Y9" s="21">
        <v>86107</v>
      </c>
      <c r="Z9" s="21">
        <v>86107</v>
      </c>
      <c r="AA9" s="21">
        <v>86107</v>
      </c>
      <c r="AB9" s="21">
        <v>86108</v>
      </c>
      <c r="AC9" s="21">
        <v>86112</v>
      </c>
      <c r="AD9" s="21">
        <v>86116</v>
      </c>
      <c r="AE9" s="21">
        <v>86120</v>
      </c>
      <c r="AF9" s="21">
        <v>86123</v>
      </c>
      <c r="AG9" s="21">
        <v>86126</v>
      </c>
      <c r="AH9" s="21">
        <v>86130</v>
      </c>
      <c r="AI9" s="21">
        <v>86133</v>
      </c>
    </row>
    <row r="10" spans="1:67" s="24" customFormat="1" ht="21.75" customHeight="1" x14ac:dyDescent="0.3">
      <c r="A10" s="78"/>
      <c r="B10" s="37"/>
      <c r="C10" s="76"/>
      <c r="D10" s="23"/>
      <c r="E10" s="23">
        <f>(E9-D9)*1000</f>
        <v>3000</v>
      </c>
      <c r="F10" s="23">
        <f t="shared" ref="F10" si="31">(F9-E9)*1000</f>
        <v>3000</v>
      </c>
      <c r="G10" s="23">
        <f t="shared" ref="G10" si="32">(G9-F9)*1000</f>
        <v>3000</v>
      </c>
      <c r="H10" s="23">
        <f t="shared" ref="H10" si="33">(H9-G9)*1000</f>
        <v>16000</v>
      </c>
      <c r="I10" s="23">
        <f t="shared" ref="I10" si="34">(I9-H9)*1000</f>
        <v>16000</v>
      </c>
      <c r="J10" s="23">
        <f t="shared" ref="J10" si="35">(J9-I9)*1000</f>
        <v>17000</v>
      </c>
      <c r="K10" s="23">
        <f t="shared" ref="K10" si="36">(K9-J9)*1000</f>
        <v>18000</v>
      </c>
      <c r="L10" s="23">
        <f t="shared" ref="L10" si="37">(L9-K9)*1000</f>
        <v>18000</v>
      </c>
      <c r="M10" s="23">
        <f t="shared" ref="M10" si="38">(M9-L9)*1000</f>
        <v>15000</v>
      </c>
      <c r="N10" s="23">
        <f t="shared" ref="N10" si="39">(N9-M9)*1000</f>
        <v>15000</v>
      </c>
      <c r="O10" s="23">
        <f t="shared" ref="O10" si="40">(O9-N9)*1000</f>
        <v>14000</v>
      </c>
      <c r="P10" s="23">
        <f t="shared" ref="P10" si="41">(P9-O9)*1000</f>
        <v>14000</v>
      </c>
      <c r="Q10" s="23">
        <f t="shared" ref="Q10" si="42">(Q9-P9)*1000</f>
        <v>14000</v>
      </c>
      <c r="R10" s="23">
        <f t="shared" ref="R10" si="43">(R9-Q9)*1000</f>
        <v>15000</v>
      </c>
      <c r="S10" s="23">
        <f t="shared" ref="S10" si="44">(S9-R9)*1000</f>
        <v>15000</v>
      </c>
      <c r="T10" s="23">
        <f t="shared" ref="T10" si="45">(T9-S9)*1000</f>
        <v>15000</v>
      </c>
      <c r="U10" s="23">
        <f t="shared" ref="U10" si="46">(U9-T9)*1000</f>
        <v>9000</v>
      </c>
      <c r="V10" s="23">
        <f t="shared" ref="V10" si="47">(V9-U9)*1000</f>
        <v>1000</v>
      </c>
      <c r="W10" s="23">
        <f t="shared" ref="W10" si="48">(W9-V9)*1000</f>
        <v>0</v>
      </c>
      <c r="X10" s="23">
        <f t="shared" ref="X10" si="49">(X9-W9)*1000</f>
        <v>0</v>
      </c>
      <c r="Y10" s="23">
        <f t="shared" ref="Y10" si="50">(Y9-X9)*1000</f>
        <v>1000</v>
      </c>
      <c r="Z10" s="23">
        <f t="shared" ref="Z10" si="51">(Z9-Y9)*1000</f>
        <v>0</v>
      </c>
      <c r="AA10" s="23">
        <f t="shared" ref="AA10" si="52">(AA9-Z9)*1000</f>
        <v>0</v>
      </c>
      <c r="AB10" s="23">
        <f t="shared" ref="AB10" si="53">(AB9-AA9)*1000</f>
        <v>1000</v>
      </c>
      <c r="AC10" s="23">
        <f t="shared" ref="AC10" si="54">(AC9-AB9)*1000</f>
        <v>4000</v>
      </c>
      <c r="AD10" s="23">
        <f t="shared" ref="AD10" si="55">(AD9-AC9)*1000</f>
        <v>4000</v>
      </c>
      <c r="AE10" s="23">
        <f t="shared" ref="AE10" si="56">(AE9-AD9)*1000</f>
        <v>4000</v>
      </c>
      <c r="AF10" s="23">
        <f t="shared" ref="AF10" si="57">(AF9-AE9)*1000</f>
        <v>3000</v>
      </c>
      <c r="AG10" s="23">
        <f t="shared" ref="AG10" si="58">(AG9-AF9)*1000</f>
        <v>3000</v>
      </c>
      <c r="AH10" s="23">
        <f t="shared" ref="AH10" si="59">(AH9-AG9)*1000</f>
        <v>4000</v>
      </c>
      <c r="AI10" s="23">
        <f t="shared" ref="AI10" si="60">(AI9-AH9)*1000</f>
        <v>3000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3">
      <c r="A11" s="73">
        <v>4</v>
      </c>
      <c r="B11" s="36" t="s">
        <v>23</v>
      </c>
      <c r="C11" s="79" t="s">
        <v>24</v>
      </c>
      <c r="D11" s="21">
        <v>70712</v>
      </c>
      <c r="E11" s="21">
        <v>70728</v>
      </c>
      <c r="F11" s="21">
        <v>70745</v>
      </c>
      <c r="G11" s="21">
        <v>70761</v>
      </c>
      <c r="H11" s="21">
        <v>70762</v>
      </c>
      <c r="I11" s="21">
        <v>70763</v>
      </c>
      <c r="J11" s="21">
        <v>70764</v>
      </c>
      <c r="K11" s="21">
        <v>70765</v>
      </c>
      <c r="L11" s="21">
        <v>70766</v>
      </c>
      <c r="M11" s="21">
        <v>70770</v>
      </c>
      <c r="N11" s="21">
        <v>70774</v>
      </c>
      <c r="O11" s="21">
        <v>70774</v>
      </c>
      <c r="P11" s="21">
        <v>70780</v>
      </c>
      <c r="Q11" s="21">
        <v>70784</v>
      </c>
      <c r="R11" s="21">
        <v>70787</v>
      </c>
      <c r="S11" s="21">
        <v>70790</v>
      </c>
      <c r="T11" s="21">
        <v>70794</v>
      </c>
      <c r="U11" s="21">
        <v>70805</v>
      </c>
      <c r="V11" s="21">
        <v>70825</v>
      </c>
      <c r="W11" s="21">
        <v>70846</v>
      </c>
      <c r="X11" s="21">
        <v>70866</v>
      </c>
      <c r="Y11" s="21">
        <v>70886</v>
      </c>
      <c r="Z11" s="21">
        <v>70907</v>
      </c>
      <c r="AA11" s="21">
        <v>70924</v>
      </c>
      <c r="AB11" s="21">
        <v>70939</v>
      </c>
      <c r="AC11" s="21">
        <v>70951</v>
      </c>
      <c r="AD11" s="21">
        <v>70965</v>
      </c>
      <c r="AE11" s="21">
        <v>70978</v>
      </c>
      <c r="AF11" s="21">
        <v>70993</v>
      </c>
      <c r="AG11" s="21">
        <v>71009</v>
      </c>
      <c r="AH11" s="21">
        <v>71026</v>
      </c>
      <c r="AI11" s="21">
        <v>71041</v>
      </c>
    </row>
    <row r="12" spans="1:67" s="38" customFormat="1" ht="21.75" customHeight="1" x14ac:dyDescent="0.3">
      <c r="A12" s="74"/>
      <c r="B12" s="37"/>
      <c r="C12" s="76"/>
      <c r="D12" s="23"/>
      <c r="E12" s="23">
        <f>(E11-D11)*1000</f>
        <v>16000</v>
      </c>
      <c r="F12" s="23">
        <f t="shared" ref="F12" si="61">(F11-E11)*1000</f>
        <v>17000</v>
      </c>
      <c r="G12" s="23">
        <f t="shared" ref="G12" si="62">(G11-F11)*1000</f>
        <v>16000</v>
      </c>
      <c r="H12" s="23">
        <f t="shared" ref="H12" si="63">(H11-G11)*1000</f>
        <v>1000</v>
      </c>
      <c r="I12" s="23">
        <f t="shared" ref="I12" si="64">(I11-H11)*1000</f>
        <v>1000</v>
      </c>
      <c r="J12" s="23">
        <f t="shared" ref="J12" si="65">(J11-I11)*1000</f>
        <v>1000</v>
      </c>
      <c r="K12" s="23">
        <f t="shared" ref="K12" si="66">(K11-J11)*1000</f>
        <v>1000</v>
      </c>
      <c r="L12" s="23">
        <f t="shared" ref="L12" si="67">(L11-K11)*1000</f>
        <v>1000</v>
      </c>
      <c r="M12" s="23">
        <f t="shared" ref="M12" si="68">(M11-L11)*1000</f>
        <v>4000</v>
      </c>
      <c r="N12" s="23">
        <f t="shared" ref="N12" si="69">(N11-M11)*1000</f>
        <v>4000</v>
      </c>
      <c r="O12" s="23">
        <f t="shared" ref="O12" si="70">(O11-N11)*1000</f>
        <v>0</v>
      </c>
      <c r="P12" s="23">
        <f t="shared" ref="P12" si="71">(P11-O11)*1000</f>
        <v>6000</v>
      </c>
      <c r="Q12" s="23">
        <f t="shared" ref="Q12" si="72">(Q11-P11)*1000</f>
        <v>4000</v>
      </c>
      <c r="R12" s="23">
        <f t="shared" ref="R12" si="73">(R11-Q11)*1000</f>
        <v>3000</v>
      </c>
      <c r="S12" s="23">
        <f t="shared" ref="S12" si="74">(S11-R11)*1000</f>
        <v>3000</v>
      </c>
      <c r="T12" s="23">
        <f t="shared" ref="T12" si="75">(T11-S11)*1000</f>
        <v>4000</v>
      </c>
      <c r="U12" s="23">
        <f t="shared" ref="U12" si="76">(U11-T11)*1000</f>
        <v>11000</v>
      </c>
      <c r="V12" s="23">
        <f t="shared" ref="V12" si="77">(V11-U11)*1000</f>
        <v>20000</v>
      </c>
      <c r="W12" s="23">
        <f t="shared" ref="W12" si="78">(W11-V11)*1000</f>
        <v>21000</v>
      </c>
      <c r="X12" s="23">
        <f t="shared" ref="X12" si="79">(X11-W11)*1000</f>
        <v>20000</v>
      </c>
      <c r="Y12" s="23">
        <f t="shared" ref="Y12" si="80">(Y11-X11)*1000</f>
        <v>20000</v>
      </c>
      <c r="Z12" s="23">
        <f t="shared" ref="Z12" si="81">(Z11-Y11)*1000</f>
        <v>21000</v>
      </c>
      <c r="AA12" s="23">
        <f t="shared" ref="AA12" si="82">(AA11-Z11)*1000</f>
        <v>17000</v>
      </c>
      <c r="AB12" s="23">
        <f t="shared" ref="AB12" si="83">(AB11-AA11)*1000</f>
        <v>15000</v>
      </c>
      <c r="AC12" s="23">
        <f t="shared" ref="AC12" si="84">(AC11-AB11)*1000</f>
        <v>12000</v>
      </c>
      <c r="AD12" s="23">
        <f t="shared" ref="AD12" si="85">(AD11-AC11)*1000</f>
        <v>14000</v>
      </c>
      <c r="AE12" s="23">
        <f t="shared" ref="AE12" si="86">(AE11-AD11)*1000</f>
        <v>13000</v>
      </c>
      <c r="AF12" s="23">
        <f t="shared" ref="AF12" si="87">(AF11-AE11)*1000</f>
        <v>15000</v>
      </c>
      <c r="AG12" s="23">
        <f t="shared" ref="AG12" si="88">(AG11-AF11)*1000</f>
        <v>16000</v>
      </c>
      <c r="AH12" s="23">
        <f t="shared" ref="AH12" si="89">(AH11-AG11)*1000</f>
        <v>17000</v>
      </c>
      <c r="AI12" s="23">
        <f t="shared" ref="AI12" si="90">(AI11-AH11)*1000</f>
        <v>15000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3">
      <c r="A13" s="77">
        <v>7</v>
      </c>
      <c r="B13" s="39" t="s">
        <v>25</v>
      </c>
      <c r="C13" s="75" t="s">
        <v>26</v>
      </c>
      <c r="D13" s="40">
        <v>2941</v>
      </c>
      <c r="E13" s="40">
        <v>2941</v>
      </c>
      <c r="F13" s="40">
        <v>2941</v>
      </c>
      <c r="G13" s="40">
        <v>2941</v>
      </c>
      <c r="H13" s="40">
        <v>2941</v>
      </c>
      <c r="I13" s="40">
        <v>2941</v>
      </c>
      <c r="J13" s="40">
        <v>2941</v>
      </c>
      <c r="K13" s="40">
        <v>2941</v>
      </c>
      <c r="L13" s="40">
        <v>2941</v>
      </c>
      <c r="M13" s="40">
        <v>2941</v>
      </c>
      <c r="N13" s="40">
        <v>2941</v>
      </c>
      <c r="O13" s="40">
        <v>2941</v>
      </c>
      <c r="P13" s="40">
        <v>2941</v>
      </c>
      <c r="Q13" s="40">
        <v>2941</v>
      </c>
      <c r="R13" s="40">
        <v>2941</v>
      </c>
      <c r="S13" s="40">
        <v>2941</v>
      </c>
      <c r="T13" s="40">
        <v>2941</v>
      </c>
      <c r="U13" s="40">
        <v>2941</v>
      </c>
      <c r="V13" s="40">
        <v>2941</v>
      </c>
      <c r="W13" s="40">
        <v>2941</v>
      </c>
      <c r="X13" s="40">
        <v>2941</v>
      </c>
      <c r="Y13" s="40">
        <v>2944</v>
      </c>
      <c r="Z13" s="40">
        <v>2944</v>
      </c>
      <c r="AA13" s="40">
        <v>2944</v>
      </c>
      <c r="AB13" s="40">
        <v>2944</v>
      </c>
      <c r="AC13" s="40">
        <v>2944</v>
      </c>
      <c r="AD13" s="40">
        <v>2946</v>
      </c>
      <c r="AE13" s="40">
        <v>2946</v>
      </c>
      <c r="AF13" s="40">
        <v>2946</v>
      </c>
      <c r="AG13" s="40">
        <v>2946</v>
      </c>
      <c r="AH13" s="40">
        <v>2946</v>
      </c>
      <c r="AI13" s="40">
        <v>2946</v>
      </c>
    </row>
    <row r="14" spans="1:67" s="24" customFormat="1" ht="21.75" customHeight="1" x14ac:dyDescent="0.3">
      <c r="A14" s="78"/>
      <c r="B14" s="41"/>
      <c r="C14" s="76"/>
      <c r="D14" s="42"/>
      <c r="E14" s="42">
        <f t="shared" ref="E14:AG14" si="91">E13-D13</f>
        <v>0</v>
      </c>
      <c r="F14" s="42">
        <f t="shared" si="91"/>
        <v>0</v>
      </c>
      <c r="G14" s="42">
        <f t="shared" si="91"/>
        <v>0</v>
      </c>
      <c r="H14" s="42">
        <f t="shared" si="91"/>
        <v>0</v>
      </c>
      <c r="I14" s="42">
        <f t="shared" si="91"/>
        <v>0</v>
      </c>
      <c r="J14" s="42">
        <f t="shared" si="91"/>
        <v>0</v>
      </c>
      <c r="K14" s="42">
        <f t="shared" si="91"/>
        <v>0</v>
      </c>
      <c r="L14" s="42">
        <f t="shared" si="91"/>
        <v>0</v>
      </c>
      <c r="M14" s="42">
        <f t="shared" si="91"/>
        <v>0</v>
      </c>
      <c r="N14" s="42">
        <f t="shared" si="91"/>
        <v>0</v>
      </c>
      <c r="O14" s="42">
        <f t="shared" si="91"/>
        <v>0</v>
      </c>
      <c r="P14" s="42">
        <f t="shared" si="91"/>
        <v>0</v>
      </c>
      <c r="Q14" s="42">
        <f t="shared" si="91"/>
        <v>0</v>
      </c>
      <c r="R14" s="42">
        <f t="shared" si="91"/>
        <v>0</v>
      </c>
      <c r="S14" s="42">
        <f t="shared" si="91"/>
        <v>0</v>
      </c>
      <c r="T14" s="42">
        <f t="shared" si="91"/>
        <v>0</v>
      </c>
      <c r="U14" s="42">
        <f t="shared" si="91"/>
        <v>0</v>
      </c>
      <c r="V14" s="42">
        <f t="shared" si="91"/>
        <v>0</v>
      </c>
      <c r="W14" s="42">
        <f t="shared" si="91"/>
        <v>0</v>
      </c>
      <c r="X14" s="42">
        <f t="shared" si="91"/>
        <v>0</v>
      </c>
      <c r="Y14" s="42">
        <f t="shared" si="91"/>
        <v>3</v>
      </c>
      <c r="Z14" s="42">
        <f t="shared" si="91"/>
        <v>0</v>
      </c>
      <c r="AA14" s="42">
        <f t="shared" si="91"/>
        <v>0</v>
      </c>
      <c r="AB14" s="42">
        <f t="shared" si="91"/>
        <v>0</v>
      </c>
      <c r="AC14" s="42">
        <f t="shared" si="91"/>
        <v>0</v>
      </c>
      <c r="AD14" s="42">
        <f t="shared" si="91"/>
        <v>2</v>
      </c>
      <c r="AE14" s="42">
        <f t="shared" si="91"/>
        <v>0</v>
      </c>
      <c r="AF14" s="42">
        <f t="shared" si="91"/>
        <v>0</v>
      </c>
      <c r="AG14" s="42">
        <f t="shared" si="91"/>
        <v>0</v>
      </c>
      <c r="AH14" s="42">
        <f>AH13-AG13</f>
        <v>0</v>
      </c>
      <c r="AI14" s="42">
        <f t="shared" ref="AI14" si="92">AI13-AH13</f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3">
      <c r="A15" s="73">
        <v>8</v>
      </c>
      <c r="B15" s="39" t="s">
        <v>27</v>
      </c>
      <c r="C15" s="75" t="s">
        <v>28</v>
      </c>
      <c r="D15" s="40">
        <v>295</v>
      </c>
      <c r="E15" s="40">
        <v>295</v>
      </c>
      <c r="F15" s="40">
        <v>296</v>
      </c>
      <c r="G15" s="40">
        <v>296</v>
      </c>
      <c r="H15" s="40">
        <v>296</v>
      </c>
      <c r="I15" s="40">
        <v>296</v>
      </c>
      <c r="J15" s="40">
        <v>296</v>
      </c>
      <c r="K15" s="40">
        <v>296</v>
      </c>
      <c r="L15" s="40">
        <v>296</v>
      </c>
      <c r="M15" s="40">
        <v>296</v>
      </c>
      <c r="N15" s="40">
        <v>296</v>
      </c>
      <c r="O15" s="40">
        <v>296</v>
      </c>
      <c r="P15" s="40">
        <v>296</v>
      </c>
      <c r="Q15" s="40">
        <v>296</v>
      </c>
      <c r="R15" s="40">
        <v>296</v>
      </c>
      <c r="S15" s="40">
        <v>296</v>
      </c>
      <c r="T15" s="40">
        <v>296</v>
      </c>
      <c r="U15" s="40">
        <v>297</v>
      </c>
      <c r="V15" s="40">
        <v>297</v>
      </c>
      <c r="W15" s="40">
        <v>297</v>
      </c>
      <c r="X15" s="40">
        <v>297</v>
      </c>
      <c r="Y15" s="40">
        <v>297</v>
      </c>
      <c r="Z15" s="40">
        <v>297</v>
      </c>
      <c r="AA15" s="40">
        <v>297</v>
      </c>
      <c r="AB15" s="40">
        <v>297</v>
      </c>
      <c r="AC15" s="40">
        <v>297</v>
      </c>
      <c r="AD15" s="40">
        <v>299</v>
      </c>
      <c r="AE15" s="40">
        <v>299</v>
      </c>
      <c r="AF15" s="40">
        <v>299</v>
      </c>
      <c r="AG15" s="40">
        <v>299</v>
      </c>
      <c r="AH15" s="40">
        <v>299</v>
      </c>
      <c r="AI15" s="40">
        <v>299</v>
      </c>
    </row>
    <row r="16" spans="1:67" s="24" customFormat="1" ht="21.75" customHeight="1" x14ac:dyDescent="0.3">
      <c r="A16" s="74"/>
      <c r="B16" s="41"/>
      <c r="C16" s="76"/>
      <c r="D16" s="42"/>
      <c r="E16" s="42">
        <f t="shared" ref="E16:AI16" si="93">E15-D15</f>
        <v>0</v>
      </c>
      <c r="F16" s="42">
        <f t="shared" si="93"/>
        <v>1</v>
      </c>
      <c r="G16" s="42">
        <f t="shared" si="93"/>
        <v>0</v>
      </c>
      <c r="H16" s="42">
        <f t="shared" si="93"/>
        <v>0</v>
      </c>
      <c r="I16" s="42">
        <f t="shared" si="93"/>
        <v>0</v>
      </c>
      <c r="J16" s="42">
        <f t="shared" si="93"/>
        <v>0</v>
      </c>
      <c r="K16" s="42">
        <f t="shared" si="93"/>
        <v>0</v>
      </c>
      <c r="L16" s="42">
        <f t="shared" si="93"/>
        <v>0</v>
      </c>
      <c r="M16" s="42">
        <f t="shared" si="93"/>
        <v>0</v>
      </c>
      <c r="N16" s="42">
        <f t="shared" si="93"/>
        <v>0</v>
      </c>
      <c r="O16" s="42">
        <f t="shared" si="93"/>
        <v>0</v>
      </c>
      <c r="P16" s="42">
        <f t="shared" si="93"/>
        <v>0</v>
      </c>
      <c r="Q16" s="42">
        <f t="shared" si="93"/>
        <v>0</v>
      </c>
      <c r="R16" s="42">
        <f t="shared" si="93"/>
        <v>0</v>
      </c>
      <c r="S16" s="42">
        <f t="shared" si="93"/>
        <v>0</v>
      </c>
      <c r="T16" s="42">
        <f t="shared" si="93"/>
        <v>0</v>
      </c>
      <c r="U16" s="42">
        <f t="shared" si="93"/>
        <v>1</v>
      </c>
      <c r="V16" s="42">
        <f t="shared" si="93"/>
        <v>0</v>
      </c>
      <c r="W16" s="42">
        <f t="shared" si="93"/>
        <v>0</v>
      </c>
      <c r="X16" s="42">
        <f t="shared" si="93"/>
        <v>0</v>
      </c>
      <c r="Y16" s="42">
        <f t="shared" si="93"/>
        <v>0</v>
      </c>
      <c r="Z16" s="42">
        <f t="shared" si="93"/>
        <v>0</v>
      </c>
      <c r="AA16" s="42">
        <f t="shared" si="93"/>
        <v>0</v>
      </c>
      <c r="AB16" s="42">
        <f t="shared" si="93"/>
        <v>0</v>
      </c>
      <c r="AC16" s="42">
        <f t="shared" si="93"/>
        <v>0</v>
      </c>
      <c r="AD16" s="42">
        <f t="shared" si="93"/>
        <v>2</v>
      </c>
      <c r="AE16" s="42">
        <f t="shared" si="93"/>
        <v>0</v>
      </c>
      <c r="AF16" s="42">
        <f t="shared" si="93"/>
        <v>0</v>
      </c>
      <c r="AG16" s="42">
        <f t="shared" si="93"/>
        <v>0</v>
      </c>
      <c r="AH16" s="42">
        <f t="shared" si="93"/>
        <v>0</v>
      </c>
      <c r="AI16" s="42">
        <f t="shared" si="93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3">
      <c r="A17" s="73">
        <v>13</v>
      </c>
      <c r="B17" s="39" t="s">
        <v>29</v>
      </c>
      <c r="C17" s="75" t="s">
        <v>30</v>
      </c>
      <c r="D17" s="40">
        <v>1073351</v>
      </c>
      <c r="E17" s="40">
        <v>1073646</v>
      </c>
      <c r="F17" s="40">
        <v>1073933</v>
      </c>
      <c r="G17" s="40">
        <v>1074208</v>
      </c>
      <c r="H17" s="40">
        <v>1074468</v>
      </c>
      <c r="I17" s="40">
        <v>1074780</v>
      </c>
      <c r="J17" s="40">
        <v>1075040</v>
      </c>
      <c r="K17" s="40">
        <v>1075314</v>
      </c>
      <c r="L17" s="40">
        <v>1075580</v>
      </c>
      <c r="M17" s="40">
        <v>1075843</v>
      </c>
      <c r="N17" s="40">
        <v>1076113</v>
      </c>
      <c r="O17" s="40">
        <v>1076379</v>
      </c>
      <c r="P17" s="40">
        <v>1076651</v>
      </c>
      <c r="Q17" s="40">
        <v>1076931</v>
      </c>
      <c r="R17" s="40">
        <v>1077217</v>
      </c>
      <c r="S17" s="40">
        <v>1077478</v>
      </c>
      <c r="T17" s="40">
        <v>1077754</v>
      </c>
      <c r="U17" s="40">
        <v>1078028</v>
      </c>
      <c r="V17" s="40">
        <v>1078102</v>
      </c>
      <c r="W17" s="40">
        <v>1078148</v>
      </c>
      <c r="X17" s="40">
        <v>1078192</v>
      </c>
      <c r="Y17" s="40">
        <v>1078236</v>
      </c>
      <c r="Z17" s="40">
        <v>1078280</v>
      </c>
      <c r="AA17" s="40">
        <v>1078325</v>
      </c>
      <c r="AB17" s="40">
        <v>1078357</v>
      </c>
      <c r="AC17" s="40">
        <v>1078416</v>
      </c>
      <c r="AD17" s="40">
        <v>1078446</v>
      </c>
      <c r="AE17" s="40">
        <v>1078477</v>
      </c>
      <c r="AF17" s="40">
        <v>1078508</v>
      </c>
      <c r="AG17" s="40">
        <v>1078546</v>
      </c>
      <c r="AH17" s="40">
        <v>1078591</v>
      </c>
      <c r="AI17" s="40">
        <v>1078639</v>
      </c>
    </row>
    <row r="18" spans="1:35" ht="21.75" customHeight="1" x14ac:dyDescent="0.3">
      <c r="A18" s="81"/>
      <c r="B18" s="43"/>
      <c r="C18" s="82"/>
      <c r="D18" s="42"/>
      <c r="E18" s="42">
        <f t="shared" ref="E18:AI18" si="94">E17-D17</f>
        <v>295</v>
      </c>
      <c r="F18" s="42">
        <f t="shared" si="94"/>
        <v>287</v>
      </c>
      <c r="G18" s="42">
        <f t="shared" si="94"/>
        <v>275</v>
      </c>
      <c r="H18" s="42">
        <f t="shared" si="94"/>
        <v>260</v>
      </c>
      <c r="I18" s="42">
        <f t="shared" si="94"/>
        <v>312</v>
      </c>
      <c r="J18" s="42">
        <f t="shared" si="94"/>
        <v>260</v>
      </c>
      <c r="K18" s="42">
        <f t="shared" si="94"/>
        <v>274</v>
      </c>
      <c r="L18" s="42">
        <f t="shared" si="94"/>
        <v>266</v>
      </c>
      <c r="M18" s="42">
        <f t="shared" si="94"/>
        <v>263</v>
      </c>
      <c r="N18" s="42">
        <f t="shared" si="94"/>
        <v>270</v>
      </c>
      <c r="O18" s="42">
        <f t="shared" si="94"/>
        <v>266</v>
      </c>
      <c r="P18" s="42">
        <f t="shared" si="94"/>
        <v>272</v>
      </c>
      <c r="Q18" s="42">
        <f t="shared" si="94"/>
        <v>280</v>
      </c>
      <c r="R18" s="42">
        <f t="shared" si="94"/>
        <v>286</v>
      </c>
      <c r="S18" s="42">
        <f t="shared" si="94"/>
        <v>261</v>
      </c>
      <c r="T18" s="42">
        <f t="shared" si="94"/>
        <v>276</v>
      </c>
      <c r="U18" s="42">
        <f t="shared" si="94"/>
        <v>274</v>
      </c>
      <c r="V18" s="42">
        <f t="shared" si="94"/>
        <v>74</v>
      </c>
      <c r="W18" s="42">
        <f t="shared" si="94"/>
        <v>46</v>
      </c>
      <c r="X18" s="42">
        <f t="shared" si="94"/>
        <v>44</v>
      </c>
      <c r="Y18" s="42">
        <f t="shared" si="94"/>
        <v>44</v>
      </c>
      <c r="Z18" s="42">
        <f t="shared" si="94"/>
        <v>44</v>
      </c>
      <c r="AA18" s="42">
        <f t="shared" si="94"/>
        <v>45</v>
      </c>
      <c r="AB18" s="42">
        <f t="shared" si="94"/>
        <v>32</v>
      </c>
      <c r="AC18" s="42">
        <f t="shared" si="94"/>
        <v>59</v>
      </c>
      <c r="AD18" s="42">
        <f t="shared" si="94"/>
        <v>30</v>
      </c>
      <c r="AE18" s="42">
        <f t="shared" si="94"/>
        <v>31</v>
      </c>
      <c r="AF18" s="42">
        <f t="shared" si="94"/>
        <v>31</v>
      </c>
      <c r="AG18" s="42">
        <f t="shared" si="94"/>
        <v>38</v>
      </c>
      <c r="AH18" s="42">
        <f t="shared" si="94"/>
        <v>45</v>
      </c>
      <c r="AI18" s="42">
        <f t="shared" si="94"/>
        <v>48</v>
      </c>
    </row>
    <row r="19" spans="1:35" ht="21.75" customHeight="1" x14ac:dyDescent="0.3">
      <c r="A19" s="83">
        <v>14</v>
      </c>
      <c r="B19" s="39" t="s">
        <v>31</v>
      </c>
      <c r="C19" s="75" t="s">
        <v>32</v>
      </c>
      <c r="D19" s="40">
        <v>312497</v>
      </c>
      <c r="E19" s="40">
        <v>312540</v>
      </c>
      <c r="F19" s="40">
        <v>312587</v>
      </c>
      <c r="G19" s="40">
        <v>312632</v>
      </c>
      <c r="H19" s="40">
        <v>312676</v>
      </c>
      <c r="I19" s="40">
        <v>312723</v>
      </c>
      <c r="J19" s="40">
        <v>312767</v>
      </c>
      <c r="K19" s="40">
        <v>312817</v>
      </c>
      <c r="L19" s="40">
        <v>312866</v>
      </c>
      <c r="M19" s="40">
        <v>312914</v>
      </c>
      <c r="N19" s="40">
        <v>312963</v>
      </c>
      <c r="O19" s="40">
        <v>313011</v>
      </c>
      <c r="P19" s="40">
        <v>313060</v>
      </c>
      <c r="Q19" s="40">
        <v>313112</v>
      </c>
      <c r="R19" s="40">
        <v>313168</v>
      </c>
      <c r="S19" s="40">
        <v>313219</v>
      </c>
      <c r="T19" s="40">
        <v>313268</v>
      </c>
      <c r="U19" s="40">
        <v>313314</v>
      </c>
      <c r="V19" s="40">
        <v>313349</v>
      </c>
      <c r="W19" s="40">
        <v>313393</v>
      </c>
      <c r="X19" s="40">
        <v>313437</v>
      </c>
      <c r="Y19" s="40">
        <v>313489</v>
      </c>
      <c r="Z19" s="40">
        <v>313534</v>
      </c>
      <c r="AA19" s="40">
        <v>313569</v>
      </c>
      <c r="AB19" s="40">
        <v>313605</v>
      </c>
      <c r="AC19" s="40">
        <v>313641</v>
      </c>
      <c r="AD19" s="40">
        <v>313676</v>
      </c>
      <c r="AE19" s="40">
        <v>313711</v>
      </c>
      <c r="AF19" s="40">
        <v>313744</v>
      </c>
      <c r="AG19" s="40">
        <v>313778</v>
      </c>
      <c r="AH19" s="40">
        <v>313813</v>
      </c>
      <c r="AI19" s="40">
        <v>313854</v>
      </c>
    </row>
    <row r="20" spans="1:35" ht="21.75" customHeight="1" x14ac:dyDescent="0.3">
      <c r="A20" s="78"/>
      <c r="B20" s="43"/>
      <c r="C20" s="82"/>
      <c r="D20" s="42"/>
      <c r="E20" s="42">
        <f t="shared" ref="E20:AI20" si="95">E19-D19</f>
        <v>43</v>
      </c>
      <c r="F20" s="42">
        <f t="shared" si="95"/>
        <v>47</v>
      </c>
      <c r="G20" s="42">
        <f t="shared" si="95"/>
        <v>45</v>
      </c>
      <c r="H20" s="42">
        <f t="shared" si="95"/>
        <v>44</v>
      </c>
      <c r="I20" s="42">
        <f t="shared" si="95"/>
        <v>47</v>
      </c>
      <c r="J20" s="42">
        <f t="shared" si="95"/>
        <v>44</v>
      </c>
      <c r="K20" s="42">
        <f t="shared" si="95"/>
        <v>50</v>
      </c>
      <c r="L20" s="42">
        <f t="shared" si="95"/>
        <v>49</v>
      </c>
      <c r="M20" s="42">
        <f t="shared" si="95"/>
        <v>48</v>
      </c>
      <c r="N20" s="42">
        <f t="shared" si="95"/>
        <v>49</v>
      </c>
      <c r="O20" s="42">
        <f t="shared" si="95"/>
        <v>48</v>
      </c>
      <c r="P20" s="42">
        <f t="shared" si="95"/>
        <v>49</v>
      </c>
      <c r="Q20" s="42">
        <f t="shared" si="95"/>
        <v>52</v>
      </c>
      <c r="R20" s="42">
        <f t="shared" si="95"/>
        <v>56</v>
      </c>
      <c r="S20" s="42">
        <f t="shared" si="95"/>
        <v>51</v>
      </c>
      <c r="T20" s="42">
        <f t="shared" si="95"/>
        <v>49</v>
      </c>
      <c r="U20" s="42">
        <f t="shared" si="95"/>
        <v>46</v>
      </c>
      <c r="V20" s="42">
        <f t="shared" si="95"/>
        <v>35</v>
      </c>
      <c r="W20" s="42">
        <f t="shared" si="95"/>
        <v>44</v>
      </c>
      <c r="X20" s="42">
        <f t="shared" si="95"/>
        <v>44</v>
      </c>
      <c r="Y20" s="42">
        <f t="shared" si="95"/>
        <v>52</v>
      </c>
      <c r="Z20" s="42">
        <f t="shared" si="95"/>
        <v>45</v>
      </c>
      <c r="AA20" s="42">
        <f t="shared" si="95"/>
        <v>35</v>
      </c>
      <c r="AB20" s="42">
        <f t="shared" si="95"/>
        <v>36</v>
      </c>
      <c r="AC20" s="42">
        <f t="shared" si="95"/>
        <v>36</v>
      </c>
      <c r="AD20" s="42">
        <f t="shared" si="95"/>
        <v>35</v>
      </c>
      <c r="AE20" s="42">
        <f t="shared" si="95"/>
        <v>35</v>
      </c>
      <c r="AF20" s="42">
        <f t="shared" si="95"/>
        <v>33</v>
      </c>
      <c r="AG20" s="42">
        <f t="shared" si="95"/>
        <v>34</v>
      </c>
      <c r="AH20" s="42">
        <f t="shared" si="95"/>
        <v>35</v>
      </c>
      <c r="AI20" s="42">
        <f t="shared" si="95"/>
        <v>41</v>
      </c>
    </row>
    <row r="21" spans="1:35" ht="27" customHeight="1" x14ac:dyDescent="0.3">
      <c r="B21" s="84" t="s">
        <v>33</v>
      </c>
      <c r="C21" s="84"/>
      <c r="D21" s="44"/>
      <c r="E21" s="45">
        <f>((E6+E8)+((E10+E12)*40%)+(E14+E16+E18+E20))</f>
        <v>29938</v>
      </c>
      <c r="F21" s="45">
        <f t="shared" ref="F21:AI21" si="96">((F6+F8)+((F10+F12)*40%)+(F14+F16+F18+F20))</f>
        <v>30335</v>
      </c>
      <c r="G21" s="45">
        <f t="shared" si="96"/>
        <v>29920</v>
      </c>
      <c r="H21" s="45">
        <f t="shared" si="96"/>
        <v>29104</v>
      </c>
      <c r="I21" s="45">
        <f t="shared" si="96"/>
        <v>29159</v>
      </c>
      <c r="J21" s="45">
        <f t="shared" si="96"/>
        <v>29504</v>
      </c>
      <c r="K21" s="45">
        <f t="shared" si="96"/>
        <v>30924</v>
      </c>
      <c r="L21" s="45">
        <f t="shared" si="96"/>
        <v>28915</v>
      </c>
      <c r="M21" s="45">
        <f t="shared" si="96"/>
        <v>28911</v>
      </c>
      <c r="N21" s="45">
        <f t="shared" si="96"/>
        <v>28919</v>
      </c>
      <c r="O21" s="45">
        <f t="shared" si="96"/>
        <v>25914</v>
      </c>
      <c r="P21" s="45">
        <f t="shared" si="96"/>
        <v>29321</v>
      </c>
      <c r="Q21" s="45">
        <f t="shared" si="96"/>
        <v>27532</v>
      </c>
      <c r="R21" s="45">
        <f t="shared" si="96"/>
        <v>28542</v>
      </c>
      <c r="S21" s="45">
        <f t="shared" si="96"/>
        <v>26512</v>
      </c>
      <c r="T21" s="45">
        <f t="shared" si="96"/>
        <v>27925</v>
      </c>
      <c r="U21" s="45">
        <f t="shared" si="96"/>
        <v>28321</v>
      </c>
      <c r="V21" s="45">
        <f t="shared" si="96"/>
        <v>26509</v>
      </c>
      <c r="W21" s="45">
        <f t="shared" si="96"/>
        <v>26490</v>
      </c>
      <c r="X21" s="45">
        <f t="shared" si="96"/>
        <v>26088</v>
      </c>
      <c r="Y21" s="45">
        <f t="shared" si="96"/>
        <v>26499</v>
      </c>
      <c r="Z21" s="45">
        <f t="shared" si="96"/>
        <v>26489</v>
      </c>
      <c r="AA21" s="45">
        <f t="shared" si="96"/>
        <v>24880</v>
      </c>
      <c r="AB21" s="45">
        <f t="shared" si="96"/>
        <v>23468</v>
      </c>
      <c r="AC21" s="45">
        <f t="shared" si="96"/>
        <v>24495</v>
      </c>
      <c r="AD21" s="45">
        <f t="shared" si="96"/>
        <v>24269</v>
      </c>
      <c r="AE21" s="45">
        <f t="shared" si="96"/>
        <v>22866</v>
      </c>
      <c r="AF21" s="45">
        <f t="shared" si="96"/>
        <v>23264</v>
      </c>
      <c r="AG21" s="45">
        <f t="shared" si="96"/>
        <v>23672</v>
      </c>
      <c r="AH21" s="45">
        <f t="shared" si="96"/>
        <v>24480</v>
      </c>
      <c r="AI21" s="45">
        <f t="shared" si="96"/>
        <v>24289</v>
      </c>
    </row>
    <row r="22" spans="1:35" ht="27" customHeight="1" x14ac:dyDescent="0.3">
      <c r="B22" s="80" t="s">
        <v>34</v>
      </c>
      <c r="C22" s="80"/>
      <c r="D22" s="44"/>
      <c r="E22" s="59">
        <f>SUM(E21:AI21)</f>
        <v>837454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Normal="100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E16" sqref="E16"/>
    </sheetView>
  </sheetViews>
  <sheetFormatPr defaultColWidth="9.109375" defaultRowHeight="70.5" customHeight="1" x14ac:dyDescent="0.3"/>
  <cols>
    <col min="1" max="1" width="5.6640625" style="2" customWidth="1"/>
    <col min="2" max="2" width="21.88671875" style="8" customWidth="1"/>
    <col min="3" max="3" width="23" style="35" customWidth="1"/>
    <col min="4" max="6" width="10.109375" style="8" customWidth="1"/>
    <col min="7" max="35" width="10.109375" style="2" customWidth="1"/>
    <col min="36" max="16384" width="9.109375" style="2"/>
  </cols>
  <sheetData>
    <row r="2" spans="1:42" s="8" customFormat="1" ht="25.65" customHeight="1" x14ac:dyDescent="0.5">
      <c r="B2" s="87" t="s">
        <v>85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</row>
    <row r="3" spans="1:42" s="8" customFormat="1" ht="30" customHeight="1" thickBot="1" x14ac:dyDescent="0.35"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</row>
    <row r="4" spans="1:42" s="30" customFormat="1" ht="57.75" customHeight="1" thickBot="1" x14ac:dyDescent="0.35">
      <c r="A4" s="15" t="s">
        <v>13</v>
      </c>
      <c r="B4" s="27" t="s">
        <v>35</v>
      </c>
      <c r="C4" s="27" t="s">
        <v>15</v>
      </c>
      <c r="D4" s="28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  <c r="K4" s="29" t="s">
        <v>43</v>
      </c>
      <c r="L4" s="29" t="s">
        <v>44</v>
      </c>
      <c r="M4" s="29" t="s">
        <v>45</v>
      </c>
      <c r="N4" s="29" t="s">
        <v>46</v>
      </c>
      <c r="O4" s="29" t="s">
        <v>47</v>
      </c>
      <c r="P4" s="29" t="s">
        <v>48</v>
      </c>
      <c r="Q4" s="29" t="s">
        <v>49</v>
      </c>
      <c r="R4" s="29" t="s">
        <v>50</v>
      </c>
      <c r="S4" s="29" t="s">
        <v>51</v>
      </c>
      <c r="T4" s="29" t="s">
        <v>52</v>
      </c>
      <c r="U4" s="29" t="s">
        <v>53</v>
      </c>
      <c r="V4" s="29" t="s">
        <v>54</v>
      </c>
      <c r="W4" s="29" t="s">
        <v>55</v>
      </c>
      <c r="X4" s="29" t="s">
        <v>56</v>
      </c>
      <c r="Y4" s="29" t="s">
        <v>57</v>
      </c>
      <c r="Z4" s="29" t="s">
        <v>58</v>
      </c>
      <c r="AA4" s="29" t="s">
        <v>59</v>
      </c>
      <c r="AB4" s="29" t="s">
        <v>60</v>
      </c>
      <c r="AC4" s="29" t="s">
        <v>61</v>
      </c>
      <c r="AD4" s="29" t="s">
        <v>62</v>
      </c>
      <c r="AE4" s="29" t="s">
        <v>63</v>
      </c>
      <c r="AF4" s="29" t="s">
        <v>64</v>
      </c>
      <c r="AG4" s="29" t="s">
        <v>65</v>
      </c>
      <c r="AH4" s="29" t="s">
        <v>66</v>
      </c>
      <c r="AI4" s="29" t="s">
        <v>67</v>
      </c>
    </row>
    <row r="5" spans="1:42" s="8" customFormat="1" ht="40.5" customHeight="1" thickBot="1" x14ac:dyDescent="0.35">
      <c r="A5" s="90" t="s">
        <v>37</v>
      </c>
      <c r="B5" s="27" t="s">
        <v>68</v>
      </c>
      <c r="C5" s="92" t="s">
        <v>69</v>
      </c>
      <c r="D5" s="31">
        <v>140192.70000000001</v>
      </c>
      <c r="E5" s="31">
        <v>140404.20000000001</v>
      </c>
      <c r="F5" s="31">
        <v>140578.1</v>
      </c>
      <c r="G5" s="31">
        <v>140810</v>
      </c>
      <c r="H5" s="31">
        <v>141004.4</v>
      </c>
      <c r="I5" s="31">
        <v>141236.29999999999</v>
      </c>
      <c r="J5" s="31">
        <v>141419.6</v>
      </c>
      <c r="K5" s="31">
        <v>141588.20000000001</v>
      </c>
      <c r="L5" s="31">
        <v>141818.29999999999</v>
      </c>
      <c r="M5" s="31">
        <v>142006.29999999999</v>
      </c>
      <c r="N5" s="31">
        <v>142212.6</v>
      </c>
      <c r="O5" s="31">
        <v>142422.5</v>
      </c>
      <c r="P5" s="31">
        <v>142596.79999999999</v>
      </c>
      <c r="Q5" s="31">
        <v>142764.79999999999</v>
      </c>
      <c r="R5" s="31">
        <v>142935.5</v>
      </c>
      <c r="S5" s="31">
        <v>143104.9</v>
      </c>
      <c r="T5" s="31">
        <v>143303.79999999999</v>
      </c>
      <c r="U5" s="31">
        <v>143455.9</v>
      </c>
      <c r="V5" s="31">
        <v>143610.4</v>
      </c>
      <c r="W5" s="31">
        <v>143762.4</v>
      </c>
      <c r="X5" s="31">
        <v>143923.6</v>
      </c>
      <c r="Y5" s="31">
        <v>144077.79999999999</v>
      </c>
      <c r="Z5" s="31">
        <v>144233</v>
      </c>
      <c r="AA5" s="31">
        <v>144381.20000000001</v>
      </c>
      <c r="AB5" s="31">
        <v>144511.29999999999</v>
      </c>
      <c r="AC5" s="31">
        <v>144629.1</v>
      </c>
      <c r="AD5" s="31">
        <v>144780.20000000001</v>
      </c>
      <c r="AE5" s="31">
        <v>144866.70000000001</v>
      </c>
      <c r="AF5" s="31">
        <v>145026.5</v>
      </c>
      <c r="AG5" s="31">
        <v>145120.79999999999</v>
      </c>
      <c r="AH5" s="31">
        <v>145277.29999999999</v>
      </c>
      <c r="AI5" s="31">
        <v>145422.9</v>
      </c>
    </row>
    <row r="6" spans="1:42" s="34" customFormat="1" ht="25.65" customHeight="1" thickBot="1" x14ac:dyDescent="0.35">
      <c r="A6" s="91"/>
      <c r="B6" s="32"/>
      <c r="C6" s="92"/>
      <c r="D6" s="33"/>
      <c r="E6" s="33">
        <f t="shared" ref="E6:AI6" si="0">E5-D5</f>
        <v>211.5</v>
      </c>
      <c r="F6" s="33">
        <f t="shared" si="0"/>
        <v>173.89999999999418</v>
      </c>
      <c r="G6" s="33">
        <f t="shared" si="0"/>
        <v>231.89999999999418</v>
      </c>
      <c r="H6" s="33">
        <f t="shared" si="0"/>
        <v>194.39999999999418</v>
      </c>
      <c r="I6" s="33">
        <f t="shared" si="0"/>
        <v>231.89999999999418</v>
      </c>
      <c r="J6" s="33">
        <f t="shared" si="0"/>
        <v>183.30000000001746</v>
      </c>
      <c r="K6" s="33">
        <f t="shared" si="0"/>
        <v>168.60000000000582</v>
      </c>
      <c r="L6" s="33">
        <f t="shared" si="0"/>
        <v>230.09999999997672</v>
      </c>
      <c r="M6" s="33">
        <f t="shared" si="0"/>
        <v>188</v>
      </c>
      <c r="N6" s="33">
        <f t="shared" si="0"/>
        <v>206.30000000001746</v>
      </c>
      <c r="O6" s="33">
        <f t="shared" si="0"/>
        <v>209.89999999999418</v>
      </c>
      <c r="P6" s="33">
        <f t="shared" si="0"/>
        <v>174.29999999998836</v>
      </c>
      <c r="Q6" s="33">
        <f t="shared" si="0"/>
        <v>168</v>
      </c>
      <c r="R6" s="33">
        <f t="shared" si="0"/>
        <v>170.70000000001164</v>
      </c>
      <c r="S6" s="33">
        <f t="shared" si="0"/>
        <v>169.39999999999418</v>
      </c>
      <c r="T6" s="33">
        <f t="shared" si="0"/>
        <v>198.89999999999418</v>
      </c>
      <c r="U6" s="33">
        <f t="shared" si="0"/>
        <v>152.10000000000582</v>
      </c>
      <c r="V6" s="33">
        <f t="shared" si="0"/>
        <v>154.5</v>
      </c>
      <c r="W6" s="33">
        <f t="shared" si="0"/>
        <v>152</v>
      </c>
      <c r="X6" s="33">
        <f t="shared" si="0"/>
        <v>161.20000000001164</v>
      </c>
      <c r="Y6" s="33">
        <f t="shared" si="0"/>
        <v>154.19999999998254</v>
      </c>
      <c r="Z6" s="33">
        <f t="shared" si="0"/>
        <v>155.20000000001164</v>
      </c>
      <c r="AA6" s="33">
        <f t="shared" si="0"/>
        <v>148.20000000001164</v>
      </c>
      <c r="AB6" s="33">
        <f t="shared" si="0"/>
        <v>130.09999999997672</v>
      </c>
      <c r="AC6" s="33">
        <f t="shared" si="0"/>
        <v>117.80000000001746</v>
      </c>
      <c r="AD6" s="33">
        <f t="shared" si="0"/>
        <v>151.10000000000582</v>
      </c>
      <c r="AE6" s="33">
        <f t="shared" si="0"/>
        <v>86.5</v>
      </c>
      <c r="AF6" s="33">
        <f t="shared" si="0"/>
        <v>159.79999999998836</v>
      </c>
      <c r="AG6" s="33">
        <f t="shared" si="0"/>
        <v>94.299999999988358</v>
      </c>
      <c r="AH6" s="33">
        <f t="shared" si="0"/>
        <v>156.5</v>
      </c>
      <c r="AI6" s="33">
        <f t="shared" si="0"/>
        <v>145.60000000000582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5">
      <c r="A7" s="90" t="s">
        <v>39</v>
      </c>
      <c r="B7" s="49" t="s">
        <v>70</v>
      </c>
      <c r="C7" s="92" t="s">
        <v>71</v>
      </c>
      <c r="D7" s="31">
        <v>165065.29999999999</v>
      </c>
      <c r="E7" s="31">
        <v>165278.70000000001</v>
      </c>
      <c r="F7" s="31">
        <v>165535.79999999999</v>
      </c>
      <c r="G7" s="31">
        <v>165714.5</v>
      </c>
      <c r="H7" s="31">
        <v>165841.4</v>
      </c>
      <c r="I7" s="31">
        <v>166070.6</v>
      </c>
      <c r="J7" s="31">
        <v>166159.5</v>
      </c>
      <c r="K7" s="31">
        <v>166394.29999999999</v>
      </c>
      <c r="L7" s="31">
        <v>166522.29999999999</v>
      </c>
      <c r="M7" s="31">
        <v>166799.9</v>
      </c>
      <c r="N7" s="31">
        <v>166908</v>
      </c>
      <c r="O7" s="31">
        <v>167031.70000000001</v>
      </c>
      <c r="P7" s="31">
        <v>167299</v>
      </c>
      <c r="Q7" s="31">
        <v>167398.29999999999</v>
      </c>
      <c r="R7" s="31">
        <v>167678.79999999999</v>
      </c>
      <c r="S7" s="31">
        <v>167819.7</v>
      </c>
      <c r="T7" s="31">
        <v>168118.1</v>
      </c>
      <c r="U7" s="31">
        <v>168237.4</v>
      </c>
      <c r="V7" s="31">
        <v>168515.5</v>
      </c>
      <c r="W7" s="31">
        <v>168773.6</v>
      </c>
      <c r="X7" s="31">
        <v>168922.9</v>
      </c>
      <c r="Y7" s="31">
        <v>169033.1</v>
      </c>
      <c r="Z7" s="31">
        <v>169142.6</v>
      </c>
      <c r="AA7" s="31">
        <v>169340.3</v>
      </c>
      <c r="AB7" s="31">
        <v>169463.6</v>
      </c>
      <c r="AC7" s="31">
        <v>169682.2</v>
      </c>
      <c r="AD7" s="31">
        <v>169829</v>
      </c>
      <c r="AE7" s="31">
        <v>169913.4</v>
      </c>
      <c r="AF7" s="31">
        <v>170189.4</v>
      </c>
      <c r="AG7" s="31">
        <v>170324.8</v>
      </c>
      <c r="AH7" s="31">
        <v>170592.2</v>
      </c>
      <c r="AI7" s="31">
        <v>170700.4</v>
      </c>
    </row>
    <row r="8" spans="1:42" s="34" customFormat="1" ht="25.65" customHeight="1" thickBot="1" x14ac:dyDescent="0.35">
      <c r="A8" s="91"/>
      <c r="B8" s="47"/>
      <c r="C8" s="92"/>
      <c r="D8" s="33"/>
      <c r="E8" s="33">
        <f t="shared" ref="E8:AI8" si="1">E7-D7</f>
        <v>213.40000000002328</v>
      </c>
      <c r="F8" s="33">
        <f t="shared" si="1"/>
        <v>257.09999999997672</v>
      </c>
      <c r="G8" s="33">
        <f t="shared" si="1"/>
        <v>178.70000000001164</v>
      </c>
      <c r="H8" s="33">
        <f t="shared" si="1"/>
        <v>126.89999999999418</v>
      </c>
      <c r="I8" s="33">
        <f t="shared" si="1"/>
        <v>229.20000000001164</v>
      </c>
      <c r="J8" s="33">
        <f t="shared" si="1"/>
        <v>88.899999999994179</v>
      </c>
      <c r="K8" s="33">
        <f t="shared" si="1"/>
        <v>234.79999999998836</v>
      </c>
      <c r="L8" s="33">
        <f t="shared" si="1"/>
        <v>128</v>
      </c>
      <c r="M8" s="33">
        <f t="shared" si="1"/>
        <v>277.60000000000582</v>
      </c>
      <c r="N8" s="33">
        <f t="shared" si="1"/>
        <v>108.10000000000582</v>
      </c>
      <c r="O8" s="33">
        <f t="shared" si="1"/>
        <v>123.70000000001164</v>
      </c>
      <c r="P8" s="33">
        <f t="shared" si="1"/>
        <v>267.29999999998836</v>
      </c>
      <c r="Q8" s="33">
        <f t="shared" si="1"/>
        <v>99.299999999988358</v>
      </c>
      <c r="R8" s="33">
        <f t="shared" si="1"/>
        <v>280.5</v>
      </c>
      <c r="S8" s="33">
        <f t="shared" si="1"/>
        <v>140.90000000002328</v>
      </c>
      <c r="T8" s="33">
        <f t="shared" si="1"/>
        <v>298.39999999999418</v>
      </c>
      <c r="U8" s="33">
        <f t="shared" si="1"/>
        <v>119.29999999998836</v>
      </c>
      <c r="V8" s="33">
        <f t="shared" si="1"/>
        <v>278.10000000000582</v>
      </c>
      <c r="W8" s="33">
        <f t="shared" si="1"/>
        <v>258.10000000000582</v>
      </c>
      <c r="X8" s="33">
        <f t="shared" si="1"/>
        <v>149.29999999998836</v>
      </c>
      <c r="Y8" s="33">
        <f t="shared" si="1"/>
        <v>110.20000000001164</v>
      </c>
      <c r="Z8" s="33">
        <f t="shared" si="1"/>
        <v>109.5</v>
      </c>
      <c r="AA8" s="33">
        <f t="shared" si="1"/>
        <v>197.69999999998254</v>
      </c>
      <c r="AB8" s="33">
        <f t="shared" si="1"/>
        <v>123.30000000001746</v>
      </c>
      <c r="AC8" s="33">
        <f t="shared" si="1"/>
        <v>218.60000000000582</v>
      </c>
      <c r="AD8" s="33">
        <f t="shared" si="1"/>
        <v>146.79999999998836</v>
      </c>
      <c r="AE8" s="33">
        <f t="shared" si="1"/>
        <v>84.399999999994179</v>
      </c>
      <c r="AF8" s="33">
        <f t="shared" si="1"/>
        <v>276</v>
      </c>
      <c r="AG8" s="33">
        <f t="shared" si="1"/>
        <v>135.39999999999418</v>
      </c>
      <c r="AH8" s="33">
        <f t="shared" si="1"/>
        <v>267.40000000002328</v>
      </c>
      <c r="AI8" s="33">
        <f t="shared" si="1"/>
        <v>108.19999999998254</v>
      </c>
      <c r="AJ8" s="8"/>
      <c r="AK8" s="8"/>
      <c r="AL8" s="8"/>
      <c r="AM8" s="8"/>
      <c r="AN8" s="8"/>
      <c r="AO8" s="8"/>
      <c r="AP8" s="8"/>
    </row>
    <row r="9" spans="1:42" s="8" customFormat="1" ht="25.65" customHeight="1" thickBot="1" x14ac:dyDescent="0.35">
      <c r="A9" s="90">
        <v>4</v>
      </c>
      <c r="B9" s="46" t="s">
        <v>72</v>
      </c>
      <c r="C9" s="92" t="s">
        <v>73</v>
      </c>
      <c r="D9" s="31">
        <v>43714</v>
      </c>
      <c r="E9" s="31">
        <v>43771</v>
      </c>
      <c r="F9" s="31">
        <v>43896</v>
      </c>
      <c r="G9" s="31">
        <v>43978</v>
      </c>
      <c r="H9" s="31">
        <v>44010</v>
      </c>
      <c r="I9" s="31">
        <v>44153</v>
      </c>
      <c r="J9" s="31">
        <v>44154</v>
      </c>
      <c r="K9" s="31">
        <v>44289</v>
      </c>
      <c r="L9" s="31">
        <v>44310</v>
      </c>
      <c r="M9" s="31">
        <v>44436</v>
      </c>
      <c r="N9" s="31">
        <v>44500</v>
      </c>
      <c r="O9" s="31">
        <v>44524</v>
      </c>
      <c r="P9" s="31">
        <v>44680</v>
      </c>
      <c r="Q9" s="31">
        <v>44681</v>
      </c>
      <c r="R9" s="31">
        <v>44855</v>
      </c>
      <c r="S9" s="31">
        <v>44890</v>
      </c>
      <c r="T9" s="31">
        <v>45074</v>
      </c>
      <c r="U9" s="31">
        <v>45082</v>
      </c>
      <c r="V9" s="31">
        <v>45254</v>
      </c>
      <c r="W9" s="31">
        <v>45386</v>
      </c>
      <c r="X9" s="31">
        <v>45386</v>
      </c>
      <c r="Y9" s="31">
        <v>45394</v>
      </c>
      <c r="Z9" s="31">
        <v>45394</v>
      </c>
      <c r="AA9" s="31">
        <v>45505</v>
      </c>
      <c r="AB9" s="31">
        <v>45544</v>
      </c>
      <c r="AC9" s="31">
        <v>45569</v>
      </c>
      <c r="AD9" s="31">
        <v>45767</v>
      </c>
      <c r="AE9" s="31">
        <v>45767</v>
      </c>
      <c r="AF9" s="31">
        <v>45945</v>
      </c>
      <c r="AG9" s="31">
        <v>45969</v>
      </c>
      <c r="AH9" s="31">
        <v>46133</v>
      </c>
      <c r="AI9" s="31">
        <v>46169</v>
      </c>
    </row>
    <row r="10" spans="1:42" s="34" customFormat="1" ht="25.65" customHeight="1" thickBot="1" x14ac:dyDescent="0.35">
      <c r="A10" s="91"/>
      <c r="B10" s="47"/>
      <c r="C10" s="92"/>
      <c r="D10" s="33"/>
      <c r="E10" s="33">
        <f t="shared" ref="E10:AI10" si="2">E9-D9</f>
        <v>57</v>
      </c>
      <c r="F10" s="33">
        <f t="shared" si="2"/>
        <v>125</v>
      </c>
      <c r="G10" s="33">
        <f t="shared" si="2"/>
        <v>82</v>
      </c>
      <c r="H10" s="33">
        <f t="shared" si="2"/>
        <v>32</v>
      </c>
      <c r="I10" s="33">
        <f t="shared" si="2"/>
        <v>143</v>
      </c>
      <c r="J10" s="33">
        <f t="shared" si="2"/>
        <v>1</v>
      </c>
      <c r="K10" s="33">
        <f t="shared" si="2"/>
        <v>135</v>
      </c>
      <c r="L10" s="33">
        <f t="shared" si="2"/>
        <v>21</v>
      </c>
      <c r="M10" s="33">
        <f t="shared" si="2"/>
        <v>126</v>
      </c>
      <c r="N10" s="33">
        <f t="shared" si="2"/>
        <v>64</v>
      </c>
      <c r="O10" s="33">
        <f t="shared" si="2"/>
        <v>24</v>
      </c>
      <c r="P10" s="33">
        <f t="shared" si="2"/>
        <v>156</v>
      </c>
      <c r="Q10" s="33">
        <f t="shared" si="2"/>
        <v>1</v>
      </c>
      <c r="R10" s="33">
        <f t="shared" si="2"/>
        <v>174</v>
      </c>
      <c r="S10" s="33">
        <f t="shared" si="2"/>
        <v>35</v>
      </c>
      <c r="T10" s="33">
        <f t="shared" si="2"/>
        <v>184</v>
      </c>
      <c r="U10" s="33">
        <f t="shared" si="2"/>
        <v>8</v>
      </c>
      <c r="V10" s="33">
        <f t="shared" si="2"/>
        <v>172</v>
      </c>
      <c r="W10" s="33">
        <f t="shared" si="2"/>
        <v>132</v>
      </c>
      <c r="X10" s="33">
        <f t="shared" si="2"/>
        <v>0</v>
      </c>
      <c r="Y10" s="33">
        <f t="shared" si="2"/>
        <v>8</v>
      </c>
      <c r="Z10" s="33">
        <f t="shared" si="2"/>
        <v>0</v>
      </c>
      <c r="AA10" s="33">
        <f t="shared" si="2"/>
        <v>111</v>
      </c>
      <c r="AB10" s="33">
        <f t="shared" si="2"/>
        <v>39</v>
      </c>
      <c r="AC10" s="33">
        <f t="shared" si="2"/>
        <v>25</v>
      </c>
      <c r="AD10" s="33">
        <f t="shared" si="2"/>
        <v>198</v>
      </c>
      <c r="AE10" s="33">
        <f t="shared" si="2"/>
        <v>0</v>
      </c>
      <c r="AF10" s="33">
        <f t="shared" si="2"/>
        <v>178</v>
      </c>
      <c r="AG10" s="33">
        <f t="shared" si="2"/>
        <v>24</v>
      </c>
      <c r="AH10" s="33">
        <f t="shared" si="2"/>
        <v>164</v>
      </c>
      <c r="AI10" s="33">
        <f t="shared" si="2"/>
        <v>36</v>
      </c>
      <c r="AJ10" s="8"/>
      <c r="AK10" s="8"/>
      <c r="AL10" s="8"/>
      <c r="AM10" s="8"/>
      <c r="AN10" s="8"/>
      <c r="AO10" s="8"/>
      <c r="AP10" s="8"/>
    </row>
    <row r="11" spans="1:42" s="8" customFormat="1" ht="25.65" customHeight="1" thickBot="1" x14ac:dyDescent="0.35">
      <c r="A11" s="93">
        <v>5</v>
      </c>
      <c r="B11" s="27">
        <v>68864837</v>
      </c>
      <c r="C11" s="92" t="s">
        <v>74</v>
      </c>
      <c r="D11" s="31">
        <v>4465.8720000000003</v>
      </c>
      <c r="E11" s="31">
        <v>4467.5619999999999</v>
      </c>
      <c r="F11" s="31">
        <v>4469.2659999999996</v>
      </c>
      <c r="G11" s="31">
        <v>4470.7120000000004</v>
      </c>
      <c r="H11" s="31">
        <v>4472.8130000000001</v>
      </c>
      <c r="I11" s="31">
        <v>4473.9260000000004</v>
      </c>
      <c r="J11" s="31">
        <v>4475.3649999999998</v>
      </c>
      <c r="K11" s="31">
        <v>4476.7969999999996</v>
      </c>
      <c r="L11" s="31">
        <v>4478.366</v>
      </c>
      <c r="M11" s="31">
        <v>4479.46</v>
      </c>
      <c r="N11" s="31">
        <v>4480.1729999999998</v>
      </c>
      <c r="O11" s="31">
        <v>4481.3940000000002</v>
      </c>
      <c r="P11" s="31">
        <v>4482.4639999999999</v>
      </c>
      <c r="Q11" s="31">
        <v>4483.277</v>
      </c>
      <c r="R11" s="31">
        <v>4484.527</v>
      </c>
      <c r="S11" s="31">
        <v>4485.7129999999997</v>
      </c>
      <c r="T11" s="31">
        <v>4486.5259999999998</v>
      </c>
      <c r="U11" s="31">
        <v>4487.4129999999996</v>
      </c>
      <c r="V11" s="31">
        <v>4488.5069999999996</v>
      </c>
      <c r="W11" s="31">
        <v>4488.6679999999997</v>
      </c>
      <c r="X11" s="31">
        <v>4488.6760000000004</v>
      </c>
      <c r="Y11" s="31">
        <v>4488.6760000000004</v>
      </c>
      <c r="Z11" s="31">
        <v>4488.6760000000004</v>
      </c>
      <c r="AA11" s="31">
        <v>4488.6760000000004</v>
      </c>
      <c r="AB11" s="31">
        <v>4488.6909999999998</v>
      </c>
      <c r="AC11" s="31">
        <v>4488.7209999999995</v>
      </c>
      <c r="AD11" s="31">
        <v>4488.7470000000003</v>
      </c>
      <c r="AE11" s="31">
        <v>4488.7470000000003</v>
      </c>
      <c r="AF11" s="31">
        <v>4488.7470000000003</v>
      </c>
      <c r="AG11" s="31">
        <v>4488.7470000000003</v>
      </c>
      <c r="AH11" s="31">
        <v>4488.7510000000002</v>
      </c>
      <c r="AI11" s="31">
        <v>4488.7550000000001</v>
      </c>
    </row>
    <row r="12" spans="1:42" s="8" customFormat="1" ht="25.65" customHeight="1" thickBot="1" x14ac:dyDescent="0.35">
      <c r="A12" s="94"/>
      <c r="B12" s="48"/>
      <c r="C12" s="92"/>
      <c r="D12" s="33"/>
      <c r="E12" s="33">
        <f t="shared" ref="E12:AI12" si="3">E11-D11</f>
        <v>1.6899999999995998</v>
      </c>
      <c r="F12" s="33">
        <f t="shared" si="3"/>
        <v>1.7039999999997235</v>
      </c>
      <c r="G12" s="33">
        <f t="shared" si="3"/>
        <v>1.4460000000008222</v>
      </c>
      <c r="H12" s="33">
        <f t="shared" si="3"/>
        <v>2.100999999999658</v>
      </c>
      <c r="I12" s="33">
        <f t="shared" si="3"/>
        <v>1.1130000000002838</v>
      </c>
      <c r="J12" s="33">
        <f t="shared" si="3"/>
        <v>1.4389999999993961</v>
      </c>
      <c r="K12" s="33">
        <f t="shared" si="3"/>
        <v>1.431999999999789</v>
      </c>
      <c r="L12" s="33">
        <f t="shared" si="3"/>
        <v>1.5690000000004147</v>
      </c>
      <c r="M12" s="33">
        <f t="shared" si="3"/>
        <v>1.0940000000000509</v>
      </c>
      <c r="N12" s="33">
        <f t="shared" si="3"/>
        <v>0.71299999999973807</v>
      </c>
      <c r="O12" s="33">
        <f t="shared" si="3"/>
        <v>1.2210000000004584</v>
      </c>
      <c r="P12" s="33">
        <f t="shared" si="3"/>
        <v>1.069999999999709</v>
      </c>
      <c r="Q12" s="33">
        <f t="shared" si="3"/>
        <v>0.81300000000010186</v>
      </c>
      <c r="R12" s="33">
        <f t="shared" si="3"/>
        <v>1.25</v>
      </c>
      <c r="S12" s="33">
        <f t="shared" si="3"/>
        <v>1.1859999999996944</v>
      </c>
      <c r="T12" s="33">
        <f t="shared" si="3"/>
        <v>0.81300000000010186</v>
      </c>
      <c r="U12" s="33">
        <f t="shared" si="3"/>
        <v>0.88699999999971624</v>
      </c>
      <c r="V12" s="33">
        <f t="shared" si="3"/>
        <v>1.0940000000000509</v>
      </c>
      <c r="W12" s="33">
        <f t="shared" si="3"/>
        <v>0.16100000000005821</v>
      </c>
      <c r="X12" s="33">
        <f t="shared" si="3"/>
        <v>8.0000000007203198E-3</v>
      </c>
      <c r="Y12" s="33">
        <f t="shared" si="3"/>
        <v>0</v>
      </c>
      <c r="Z12" s="33">
        <f t="shared" si="3"/>
        <v>0</v>
      </c>
      <c r="AA12" s="33">
        <f t="shared" si="3"/>
        <v>0</v>
      </c>
      <c r="AB12" s="33">
        <f t="shared" si="3"/>
        <v>1.4999999999417923E-2</v>
      </c>
      <c r="AC12" s="33">
        <f t="shared" si="3"/>
        <v>2.9999999999745341E-2</v>
      </c>
      <c r="AD12" s="33">
        <f t="shared" si="3"/>
        <v>2.6000000000749424E-2</v>
      </c>
      <c r="AE12" s="33">
        <f t="shared" si="3"/>
        <v>0</v>
      </c>
      <c r="AF12" s="33">
        <f t="shared" si="3"/>
        <v>0</v>
      </c>
      <c r="AG12" s="33">
        <f t="shared" si="3"/>
        <v>0</v>
      </c>
      <c r="AH12" s="33">
        <f t="shared" si="3"/>
        <v>3.9999999999054126E-3</v>
      </c>
      <c r="AI12" s="33">
        <f t="shared" si="3"/>
        <v>3.9999999999054126E-3</v>
      </c>
    </row>
    <row r="13" spans="1:42" s="8" customFormat="1" ht="25.65" customHeight="1" thickBot="1" x14ac:dyDescent="0.35">
      <c r="A13" s="93">
        <v>6</v>
      </c>
      <c r="B13" s="27">
        <v>65296485</v>
      </c>
      <c r="C13" s="92" t="s">
        <v>75</v>
      </c>
      <c r="D13" s="31">
        <v>7707.835</v>
      </c>
      <c r="E13" s="31">
        <v>7711.0889999999999</v>
      </c>
      <c r="F13" s="31">
        <v>7713.4520000000002</v>
      </c>
      <c r="G13" s="31">
        <v>7714.8580000000002</v>
      </c>
      <c r="H13" s="31">
        <v>7715.6350000000002</v>
      </c>
      <c r="I13" s="31">
        <v>7716.7020000000002</v>
      </c>
      <c r="J13" s="31">
        <v>7717.3890000000001</v>
      </c>
      <c r="K13" s="31">
        <v>7720.0709999999999</v>
      </c>
      <c r="L13" s="31">
        <v>7721.3130000000001</v>
      </c>
      <c r="M13" s="31">
        <v>7722.5550000000003</v>
      </c>
      <c r="N13" s="31">
        <v>7724.7190000000001</v>
      </c>
      <c r="O13" s="31">
        <v>7725.5240000000003</v>
      </c>
      <c r="P13" s="31">
        <v>7726.9250000000002</v>
      </c>
      <c r="Q13" s="31">
        <v>7727.8379999999997</v>
      </c>
      <c r="R13" s="31">
        <v>7728.674</v>
      </c>
      <c r="S13" s="31">
        <v>7731.6390000000001</v>
      </c>
      <c r="T13" s="31">
        <v>7733.1629999999996</v>
      </c>
      <c r="U13" s="31">
        <v>7743.2120000000004</v>
      </c>
      <c r="V13" s="31">
        <v>7743.8969999999999</v>
      </c>
      <c r="W13" s="31">
        <v>7744.8209999999999</v>
      </c>
      <c r="X13" s="31">
        <v>7745.51</v>
      </c>
      <c r="Y13" s="31">
        <v>7747.473</v>
      </c>
      <c r="Z13" s="31">
        <v>7748.634</v>
      </c>
      <c r="AA13" s="31">
        <v>7749.0249999999996</v>
      </c>
      <c r="AB13" s="31">
        <v>7749.8239999999996</v>
      </c>
      <c r="AC13" s="31">
        <v>7750.0630000000001</v>
      </c>
      <c r="AD13" s="31">
        <v>7750.518</v>
      </c>
      <c r="AE13" s="31">
        <v>7750.7039999999997</v>
      </c>
      <c r="AF13" s="31">
        <v>7750.8549999999996</v>
      </c>
      <c r="AG13" s="31">
        <v>7751.0050000000001</v>
      </c>
      <c r="AH13" s="31">
        <v>7751.1369999999997</v>
      </c>
      <c r="AI13" s="31">
        <v>7752.2259999999997</v>
      </c>
    </row>
    <row r="14" spans="1:42" s="8" customFormat="1" ht="25.65" customHeight="1" thickBot="1" x14ac:dyDescent="0.35">
      <c r="A14" s="94"/>
      <c r="B14" s="48"/>
      <c r="C14" s="92"/>
      <c r="D14" s="33"/>
      <c r="E14" s="33">
        <f t="shared" ref="E14:AI14" si="4">E13-D13</f>
        <v>3.2539999999999054</v>
      </c>
      <c r="F14" s="33">
        <f t="shared" si="4"/>
        <v>2.3630000000002838</v>
      </c>
      <c r="G14" s="33">
        <f t="shared" si="4"/>
        <v>1.4059999999999491</v>
      </c>
      <c r="H14" s="33">
        <f t="shared" si="4"/>
        <v>0.77700000000004366</v>
      </c>
      <c r="I14" s="33">
        <f t="shared" si="4"/>
        <v>1.0670000000000073</v>
      </c>
      <c r="J14" s="33">
        <f t="shared" si="4"/>
        <v>0.68699999999989814</v>
      </c>
      <c r="K14" s="33">
        <f t="shared" si="4"/>
        <v>2.681999999999789</v>
      </c>
      <c r="L14" s="33">
        <f t="shared" si="4"/>
        <v>1.2420000000001892</v>
      </c>
      <c r="M14" s="33">
        <f t="shared" si="4"/>
        <v>1.2420000000001892</v>
      </c>
      <c r="N14" s="33">
        <f t="shared" si="4"/>
        <v>2.1639999999997599</v>
      </c>
      <c r="O14" s="33">
        <f t="shared" si="4"/>
        <v>0.80500000000029104</v>
      </c>
      <c r="P14" s="33">
        <f t="shared" si="4"/>
        <v>1.4009999999998399</v>
      </c>
      <c r="Q14" s="33">
        <f t="shared" si="4"/>
        <v>0.91299999999955617</v>
      </c>
      <c r="R14" s="33">
        <f t="shared" si="4"/>
        <v>0.83600000000024011</v>
      </c>
      <c r="S14" s="33">
        <f t="shared" si="4"/>
        <v>2.9650000000001455</v>
      </c>
      <c r="T14" s="33">
        <f t="shared" si="4"/>
        <v>1.5239999999994325</v>
      </c>
      <c r="U14" s="33">
        <f t="shared" si="4"/>
        <v>10.049000000000888</v>
      </c>
      <c r="V14" s="33">
        <f t="shared" si="4"/>
        <v>0.68499999999949068</v>
      </c>
      <c r="W14" s="33">
        <f t="shared" si="4"/>
        <v>0.92399999999997817</v>
      </c>
      <c r="X14" s="33">
        <f t="shared" si="4"/>
        <v>0.68900000000030559</v>
      </c>
      <c r="Y14" s="33">
        <f t="shared" si="4"/>
        <v>1.9629999999997381</v>
      </c>
      <c r="Z14" s="33">
        <f t="shared" si="4"/>
        <v>1.1610000000000582</v>
      </c>
      <c r="AA14" s="33">
        <f t="shared" si="4"/>
        <v>0.39099999999962165</v>
      </c>
      <c r="AB14" s="33">
        <f t="shared" si="4"/>
        <v>0.79899999999997817</v>
      </c>
      <c r="AC14" s="33">
        <f t="shared" si="4"/>
        <v>0.23900000000048749</v>
      </c>
      <c r="AD14" s="33">
        <f t="shared" si="4"/>
        <v>0.45499999999992724</v>
      </c>
      <c r="AE14" s="33">
        <f t="shared" si="4"/>
        <v>0.18599999999969441</v>
      </c>
      <c r="AF14" s="33">
        <f t="shared" si="4"/>
        <v>0.15099999999983993</v>
      </c>
      <c r="AG14" s="33">
        <f t="shared" si="4"/>
        <v>0.1500000000005457</v>
      </c>
      <c r="AH14" s="33">
        <f t="shared" si="4"/>
        <v>0.1319999999996071</v>
      </c>
      <c r="AI14" s="33">
        <f t="shared" si="4"/>
        <v>1.0889999999999418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3">
      <c r="B15" s="86" t="s">
        <v>76</v>
      </c>
      <c r="C15" s="86"/>
      <c r="D15" s="50"/>
      <c r="E15" s="50">
        <f>E6+((E8*45%)+(E10*45%)+(E12+E14))</f>
        <v>338.12400000000997</v>
      </c>
      <c r="F15" s="50">
        <f t="shared" ref="F15:AI15" si="5">F6+((F8*45%)+(F10*45%)+(F12+F14))</f>
        <v>349.91199999998372</v>
      </c>
      <c r="G15" s="50">
        <f t="shared" si="5"/>
        <v>352.06700000000018</v>
      </c>
      <c r="H15" s="50">
        <f t="shared" si="5"/>
        <v>268.78299999999126</v>
      </c>
      <c r="I15" s="50">
        <f t="shared" si="5"/>
        <v>401.56999999999971</v>
      </c>
      <c r="J15" s="50">
        <f t="shared" si="5"/>
        <v>225.88100000001413</v>
      </c>
      <c r="K15" s="50">
        <f t="shared" si="5"/>
        <v>339.12400000000014</v>
      </c>
      <c r="L15" s="50">
        <f t="shared" si="5"/>
        <v>299.96099999997733</v>
      </c>
      <c r="M15" s="50">
        <f t="shared" si="5"/>
        <v>371.95600000000286</v>
      </c>
      <c r="N15" s="50">
        <f t="shared" si="5"/>
        <v>286.62200000001957</v>
      </c>
      <c r="O15" s="50">
        <f t="shared" si="5"/>
        <v>278.39100000000019</v>
      </c>
      <c r="P15" s="50">
        <f t="shared" si="5"/>
        <v>367.25599999998269</v>
      </c>
      <c r="Q15" s="50">
        <f t="shared" si="5"/>
        <v>214.86099999999442</v>
      </c>
      <c r="R15" s="50">
        <f t="shared" si="5"/>
        <v>377.31100000001186</v>
      </c>
      <c r="S15" s="50">
        <f t="shared" si="5"/>
        <v>252.70600000000451</v>
      </c>
      <c r="T15" s="50">
        <f t="shared" si="5"/>
        <v>418.31699999999108</v>
      </c>
      <c r="U15" s="50">
        <f t="shared" si="5"/>
        <v>220.32100000000119</v>
      </c>
      <c r="V15" s="50">
        <f t="shared" si="5"/>
        <v>358.82400000000217</v>
      </c>
      <c r="W15" s="50">
        <f t="shared" si="5"/>
        <v>328.63000000000267</v>
      </c>
      <c r="X15" s="50">
        <f t="shared" si="5"/>
        <v>229.08200000000744</v>
      </c>
      <c r="Y15" s="50">
        <f t="shared" si="5"/>
        <v>209.3529999999875</v>
      </c>
      <c r="Z15" s="50">
        <f t="shared" si="5"/>
        <v>205.63600000001171</v>
      </c>
      <c r="AA15" s="50">
        <f t="shared" si="5"/>
        <v>287.50600000000338</v>
      </c>
      <c r="AB15" s="50">
        <f t="shared" si="5"/>
        <v>203.94899999998398</v>
      </c>
      <c r="AC15" s="50">
        <f t="shared" si="5"/>
        <v>227.68900000002031</v>
      </c>
      <c r="AD15" s="50">
        <f t="shared" si="5"/>
        <v>306.74100000000124</v>
      </c>
      <c r="AE15" s="50">
        <f t="shared" si="5"/>
        <v>124.66599999999707</v>
      </c>
      <c r="AF15" s="50">
        <f t="shared" si="5"/>
        <v>364.25099999998821</v>
      </c>
      <c r="AG15" s="50">
        <f t="shared" si="5"/>
        <v>166.17999999998631</v>
      </c>
      <c r="AH15" s="50">
        <f t="shared" si="5"/>
        <v>350.76600000000997</v>
      </c>
      <c r="AI15" s="50">
        <f t="shared" si="5"/>
        <v>211.58299999999781</v>
      </c>
    </row>
    <row r="16" spans="1:42" ht="33" customHeight="1" x14ac:dyDescent="0.3">
      <c r="B16" s="85" t="s">
        <v>77</v>
      </c>
      <c r="C16" s="85"/>
      <c r="D16" s="50"/>
      <c r="E16" s="58">
        <f>SUM(E15:AI15)</f>
        <v>8938.018999999982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3"/>
    <row r="22" s="2" customFormat="1" ht="70.5" customHeight="1" x14ac:dyDescent="0.3"/>
    <row r="23" s="2" customFormat="1" ht="70.5" customHeight="1" x14ac:dyDescent="0.3"/>
    <row r="24" s="2" customFormat="1" ht="70.5" customHeight="1" x14ac:dyDescent="0.3"/>
    <row r="25" s="2" customFormat="1" ht="70.5" customHeight="1" x14ac:dyDescent="0.3"/>
    <row r="26" s="2" customFormat="1" ht="70.5" customHeight="1" x14ac:dyDescent="0.3"/>
    <row r="27" s="2" customFormat="1" ht="70.5" customHeight="1" x14ac:dyDescent="0.3"/>
    <row r="28" s="2" customFormat="1" ht="70.5" customHeight="1" x14ac:dyDescent="0.3"/>
    <row r="29" s="2" customFormat="1" ht="70.5" customHeight="1" x14ac:dyDescent="0.3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5" activePane="bottomLeft" state="frozen"/>
      <selection pane="bottomLeft" activeCell="C5" sqref="C5:C34"/>
    </sheetView>
  </sheetViews>
  <sheetFormatPr defaultRowHeight="14.4" x14ac:dyDescent="0.3"/>
  <cols>
    <col min="1" max="1" width="9.6640625" customWidth="1"/>
    <col min="2" max="2" width="10.6640625" customWidth="1"/>
    <col min="3" max="3" width="12.33203125" bestFit="1" customWidth="1"/>
  </cols>
  <sheetData>
    <row r="1" spans="1:7" ht="50.25" customHeight="1" x14ac:dyDescent="0.3">
      <c r="A1" s="96" t="s">
        <v>87</v>
      </c>
      <c r="B1" s="96"/>
      <c r="C1" s="96"/>
    </row>
    <row r="3" spans="1:7" ht="48" x14ac:dyDescent="0.3">
      <c r="A3" s="51" t="s">
        <v>36</v>
      </c>
      <c r="B3" s="52">
        <v>65102.07</v>
      </c>
      <c r="C3" s="53"/>
    </row>
    <row r="4" spans="1:7" ht="28.5" customHeight="1" x14ac:dyDescent="0.3">
      <c r="A4" s="54">
        <v>1</v>
      </c>
      <c r="B4" s="52"/>
      <c r="C4" s="53">
        <f>B3/31</f>
        <v>2100.0667741935486</v>
      </c>
    </row>
    <row r="5" spans="1:7" ht="28.5" customHeight="1" x14ac:dyDescent="0.3">
      <c r="A5" s="54">
        <v>2</v>
      </c>
      <c r="B5" s="52"/>
      <c r="C5" s="53">
        <v>2100.0667741935486</v>
      </c>
    </row>
    <row r="6" spans="1:7" ht="28.5" customHeight="1" x14ac:dyDescent="0.3">
      <c r="A6" s="55">
        <v>3</v>
      </c>
      <c r="B6" s="52"/>
      <c r="C6" s="53">
        <v>2100.0667741935486</v>
      </c>
    </row>
    <row r="7" spans="1:7" ht="28.5" customHeight="1" x14ac:dyDescent="0.3">
      <c r="A7" s="54">
        <v>4</v>
      </c>
      <c r="B7" s="52"/>
      <c r="C7" s="53">
        <v>2100.0667741935486</v>
      </c>
    </row>
    <row r="8" spans="1:7" ht="28.5" customHeight="1" x14ac:dyDescent="0.3">
      <c r="A8" s="54">
        <v>5</v>
      </c>
      <c r="B8" s="52"/>
      <c r="C8" s="53">
        <v>2100.0667741935486</v>
      </c>
    </row>
    <row r="9" spans="1:7" ht="28.5" customHeight="1" x14ac:dyDescent="0.3">
      <c r="A9" s="54">
        <v>6</v>
      </c>
      <c r="B9" s="52"/>
      <c r="C9" s="53">
        <v>2100.0667741935486</v>
      </c>
      <c r="G9" t="s">
        <v>78</v>
      </c>
    </row>
    <row r="10" spans="1:7" ht="28.5" customHeight="1" x14ac:dyDescent="0.3">
      <c r="A10" s="54">
        <v>7</v>
      </c>
      <c r="B10" s="52"/>
      <c r="C10" s="53">
        <v>2100.0667741935486</v>
      </c>
    </row>
    <row r="11" spans="1:7" ht="28.5" customHeight="1" x14ac:dyDescent="0.3">
      <c r="A11" s="54">
        <v>8</v>
      </c>
      <c r="B11" s="52"/>
      <c r="C11" s="53">
        <v>2100.0667741935486</v>
      </c>
    </row>
    <row r="12" spans="1:7" ht="28.5" customHeight="1" x14ac:dyDescent="0.3">
      <c r="A12" s="54">
        <v>9</v>
      </c>
      <c r="B12" s="52"/>
      <c r="C12" s="53">
        <v>2100.0667741935486</v>
      </c>
    </row>
    <row r="13" spans="1:7" ht="28.5" customHeight="1" x14ac:dyDescent="0.3">
      <c r="A13" s="54">
        <v>10</v>
      </c>
      <c r="B13" s="52"/>
      <c r="C13" s="53">
        <v>2100.0667741935486</v>
      </c>
    </row>
    <row r="14" spans="1:7" ht="28.5" customHeight="1" x14ac:dyDescent="0.3">
      <c r="A14" s="54">
        <v>11</v>
      </c>
      <c r="B14" s="52"/>
      <c r="C14" s="53">
        <v>2100.0667741935486</v>
      </c>
    </row>
    <row r="15" spans="1:7" ht="28.5" customHeight="1" x14ac:dyDescent="0.3">
      <c r="A15" s="54">
        <v>12</v>
      </c>
      <c r="B15" s="52"/>
      <c r="C15" s="53">
        <v>2100.0667741935486</v>
      </c>
    </row>
    <row r="16" spans="1:7" ht="28.5" customHeight="1" x14ac:dyDescent="0.3">
      <c r="A16" s="54">
        <v>13</v>
      </c>
      <c r="B16" s="52"/>
      <c r="C16" s="53">
        <v>2100.0667741935486</v>
      </c>
    </row>
    <row r="17" spans="1:4" ht="28.5" customHeight="1" x14ac:dyDescent="0.3">
      <c r="A17" s="54">
        <v>14</v>
      </c>
      <c r="B17" s="52"/>
      <c r="C17" s="53">
        <v>2100.0667741935486</v>
      </c>
    </row>
    <row r="18" spans="1:4" ht="28.5" customHeight="1" x14ac:dyDescent="0.3">
      <c r="A18" s="54">
        <v>15</v>
      </c>
      <c r="B18" s="52"/>
      <c r="C18" s="53">
        <v>2100.0667741935486</v>
      </c>
    </row>
    <row r="19" spans="1:4" ht="28.5" customHeight="1" x14ac:dyDescent="0.3">
      <c r="A19" s="54">
        <v>16</v>
      </c>
      <c r="B19" s="52"/>
      <c r="C19" s="53">
        <v>2100.0667741935486</v>
      </c>
    </row>
    <row r="20" spans="1:4" ht="28.5" customHeight="1" x14ac:dyDescent="0.3">
      <c r="A20" s="54">
        <v>17</v>
      </c>
      <c r="B20" s="52"/>
      <c r="C20" s="53">
        <v>2100.0667741935486</v>
      </c>
    </row>
    <row r="21" spans="1:4" ht="28.5" customHeight="1" x14ac:dyDescent="0.3">
      <c r="A21" s="54">
        <v>18</v>
      </c>
      <c r="B21" s="52"/>
      <c r="C21" s="53">
        <v>2100.0667741935486</v>
      </c>
    </row>
    <row r="22" spans="1:4" ht="28.5" customHeight="1" x14ac:dyDescent="0.3">
      <c r="A22" s="54">
        <v>19</v>
      </c>
      <c r="B22" s="52"/>
      <c r="C22" s="53">
        <v>2100.0667741935486</v>
      </c>
    </row>
    <row r="23" spans="1:4" ht="28.5" customHeight="1" x14ac:dyDescent="0.3">
      <c r="A23" s="54">
        <v>20</v>
      </c>
      <c r="B23" s="52"/>
      <c r="C23" s="53">
        <v>2100.0667741935486</v>
      </c>
    </row>
    <row r="24" spans="1:4" ht="28.5" customHeight="1" x14ac:dyDescent="0.3">
      <c r="A24" s="54">
        <v>21</v>
      </c>
      <c r="B24" s="52"/>
      <c r="C24" s="53">
        <v>2100.0667741935486</v>
      </c>
    </row>
    <row r="25" spans="1:4" ht="28.5" customHeight="1" x14ac:dyDescent="0.3">
      <c r="A25" s="54">
        <v>22</v>
      </c>
      <c r="B25" s="52"/>
      <c r="C25" s="53">
        <v>2100.0667741935486</v>
      </c>
    </row>
    <row r="26" spans="1:4" ht="28.5" customHeight="1" x14ac:dyDescent="0.3">
      <c r="A26" s="54">
        <v>23</v>
      </c>
      <c r="B26" s="52"/>
      <c r="C26" s="53">
        <v>2100.0667741935486</v>
      </c>
    </row>
    <row r="27" spans="1:4" ht="28.5" customHeight="1" x14ac:dyDescent="0.3">
      <c r="A27" s="54">
        <v>24</v>
      </c>
      <c r="B27" s="52"/>
      <c r="C27" s="53">
        <v>2100.0667741935486</v>
      </c>
    </row>
    <row r="28" spans="1:4" ht="28.5" customHeight="1" x14ac:dyDescent="0.3">
      <c r="A28" s="54">
        <v>25</v>
      </c>
      <c r="B28" s="52"/>
      <c r="C28" s="53">
        <v>2100.0667741935486</v>
      </c>
      <c r="D28" s="56"/>
    </row>
    <row r="29" spans="1:4" ht="28.5" customHeight="1" x14ac:dyDescent="0.3">
      <c r="A29" s="54">
        <v>26</v>
      </c>
      <c r="B29" s="52"/>
      <c r="C29" s="53">
        <v>2100.0667741935486</v>
      </c>
      <c r="D29" s="56"/>
    </row>
    <row r="30" spans="1:4" ht="28.5" customHeight="1" x14ac:dyDescent="0.3">
      <c r="A30" s="54">
        <v>27</v>
      </c>
      <c r="B30" s="52"/>
      <c r="C30" s="53">
        <v>2100.0667741935486</v>
      </c>
    </row>
    <row r="31" spans="1:4" ht="28.5" customHeight="1" x14ac:dyDescent="0.3">
      <c r="A31" s="54">
        <v>28</v>
      </c>
      <c r="B31" s="52"/>
      <c r="C31" s="53">
        <v>2100.0667741935486</v>
      </c>
    </row>
    <row r="32" spans="1:4" ht="28.5" customHeight="1" x14ac:dyDescent="0.3">
      <c r="A32" s="54">
        <v>29</v>
      </c>
      <c r="B32" s="52"/>
      <c r="C32" s="53">
        <v>2100.0667741935486</v>
      </c>
    </row>
    <row r="33" spans="1:3" ht="28.5" customHeight="1" x14ac:dyDescent="0.3">
      <c r="A33" s="54">
        <v>30</v>
      </c>
      <c r="B33" s="52"/>
      <c r="C33" s="53">
        <v>2100.0667741935486</v>
      </c>
    </row>
    <row r="34" spans="1:3" ht="28.5" customHeight="1" x14ac:dyDescent="0.3">
      <c r="A34" s="54">
        <v>31</v>
      </c>
      <c r="B34" s="52"/>
      <c r="C34" s="53">
        <v>2100.0667741935486</v>
      </c>
    </row>
    <row r="35" spans="1:3" x14ac:dyDescent="0.3">
      <c r="A35" s="95" t="s">
        <v>79</v>
      </c>
      <c r="B35" s="95"/>
      <c r="C35" s="57">
        <f>SUM(C4:C34)</f>
        <v>65102.069999999963</v>
      </c>
    </row>
  </sheetData>
  <mergeCells count="2">
    <mergeCell ref="A1:C1"/>
    <mergeCell ref="A35:B35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21" zoomScaleNormal="100" workbookViewId="0">
      <selection activeCell="D33" sqref="D33"/>
    </sheetView>
  </sheetViews>
  <sheetFormatPr defaultRowHeight="14.4" x14ac:dyDescent="0.3"/>
  <cols>
    <col min="1" max="1" width="12.6640625" customWidth="1"/>
    <col min="2" max="2" width="17.44140625" customWidth="1"/>
    <col min="3" max="3" width="18" customWidth="1"/>
  </cols>
  <sheetData>
    <row r="1" spans="1:3" ht="35.25" customHeight="1" x14ac:dyDescent="0.3">
      <c r="A1" s="96" t="s">
        <v>86</v>
      </c>
      <c r="B1" s="96"/>
      <c r="C1" s="96"/>
    </row>
    <row r="2" spans="1:3" ht="24.9" customHeight="1" x14ac:dyDescent="0.3">
      <c r="A2" s="60" t="s">
        <v>80</v>
      </c>
      <c r="B2" s="60" t="s">
        <v>81</v>
      </c>
      <c r="C2" s="60" t="s">
        <v>82</v>
      </c>
    </row>
    <row r="3" spans="1:3" ht="24.9" customHeight="1" x14ac:dyDescent="0.3">
      <c r="A3" s="61">
        <v>43891</v>
      </c>
      <c r="B3" s="63">
        <v>371</v>
      </c>
      <c r="C3" s="63">
        <v>459</v>
      </c>
    </row>
    <row r="4" spans="1:3" ht="24.9" customHeight="1" x14ac:dyDescent="0.3">
      <c r="A4" s="61">
        <v>43892</v>
      </c>
      <c r="B4" s="63">
        <v>361</v>
      </c>
      <c r="C4" s="63">
        <v>427</v>
      </c>
    </row>
    <row r="5" spans="1:3" ht="24.9" customHeight="1" x14ac:dyDescent="0.3">
      <c r="A5" s="61">
        <v>43893</v>
      </c>
      <c r="B5" s="63">
        <v>396</v>
      </c>
      <c r="C5" s="63">
        <v>492</v>
      </c>
    </row>
    <row r="6" spans="1:3" ht="24.9" customHeight="1" x14ac:dyDescent="0.3">
      <c r="A6" s="61">
        <v>43894</v>
      </c>
      <c r="B6" s="63">
        <v>342</v>
      </c>
      <c r="C6" s="63">
        <v>386</v>
      </c>
    </row>
    <row r="7" spans="1:3" ht="24.9" customHeight="1" x14ac:dyDescent="0.3">
      <c r="A7" s="61">
        <v>43895</v>
      </c>
      <c r="B7" s="63">
        <v>309</v>
      </c>
      <c r="C7" s="63">
        <v>374</v>
      </c>
    </row>
    <row r="8" spans="1:3" ht="24.9" customHeight="1" x14ac:dyDescent="0.3">
      <c r="A8" s="61">
        <v>43896</v>
      </c>
      <c r="B8" s="63">
        <v>286</v>
      </c>
      <c r="C8" s="63">
        <v>339</v>
      </c>
    </row>
    <row r="9" spans="1:3" ht="24.9" customHeight="1" x14ac:dyDescent="0.3">
      <c r="A9" s="61">
        <v>43897</v>
      </c>
      <c r="B9" s="63">
        <v>312</v>
      </c>
      <c r="C9" s="63">
        <v>374</v>
      </c>
    </row>
    <row r="10" spans="1:3" ht="24.9" customHeight="1" x14ac:dyDescent="0.3">
      <c r="A10" s="61">
        <v>43898</v>
      </c>
      <c r="B10" s="63">
        <v>323</v>
      </c>
      <c r="C10" s="63">
        <v>369</v>
      </c>
    </row>
    <row r="11" spans="1:3" ht="24.9" customHeight="1" x14ac:dyDescent="0.3">
      <c r="A11" s="61">
        <v>43899</v>
      </c>
      <c r="B11" s="63">
        <v>344</v>
      </c>
      <c r="C11" s="63">
        <v>398</v>
      </c>
    </row>
    <row r="12" spans="1:3" ht="24.9" customHeight="1" x14ac:dyDescent="0.3">
      <c r="A12" s="61">
        <v>43900</v>
      </c>
      <c r="B12" s="63">
        <v>331</v>
      </c>
      <c r="C12" s="63">
        <v>381</v>
      </c>
    </row>
    <row r="13" spans="1:3" ht="24.9" customHeight="1" x14ac:dyDescent="0.3">
      <c r="A13" s="61">
        <v>43901</v>
      </c>
      <c r="B13" s="63">
        <v>349</v>
      </c>
      <c r="C13" s="63">
        <v>408</v>
      </c>
    </row>
    <row r="14" spans="1:3" ht="24.9" customHeight="1" x14ac:dyDescent="0.3">
      <c r="A14" s="61">
        <v>43902</v>
      </c>
      <c r="B14" s="63">
        <v>285</v>
      </c>
      <c r="C14" s="63">
        <v>325</v>
      </c>
    </row>
    <row r="15" spans="1:3" ht="24.9" customHeight="1" x14ac:dyDescent="0.3">
      <c r="A15" s="61">
        <v>43903</v>
      </c>
      <c r="B15" s="63">
        <v>324</v>
      </c>
      <c r="C15" s="63">
        <v>391</v>
      </c>
    </row>
    <row r="16" spans="1:3" ht="24.9" customHeight="1" x14ac:dyDescent="0.3">
      <c r="A16" s="61">
        <v>43904</v>
      </c>
      <c r="B16" s="63">
        <v>290</v>
      </c>
      <c r="C16" s="63">
        <v>322</v>
      </c>
    </row>
    <row r="17" spans="1:3" ht="24.9" customHeight="1" x14ac:dyDescent="0.3">
      <c r="A17" s="61">
        <v>43905</v>
      </c>
      <c r="B17" s="63">
        <v>309</v>
      </c>
      <c r="C17" s="63">
        <v>348</v>
      </c>
    </row>
    <row r="18" spans="1:3" ht="24.9" customHeight="1" x14ac:dyDescent="0.3">
      <c r="A18" s="61">
        <v>43906</v>
      </c>
      <c r="B18" s="63">
        <v>293</v>
      </c>
      <c r="C18" s="63">
        <v>330</v>
      </c>
    </row>
    <row r="19" spans="1:3" ht="24.9" customHeight="1" x14ac:dyDescent="0.3">
      <c r="A19" s="61">
        <v>43907</v>
      </c>
      <c r="B19" s="63">
        <v>277</v>
      </c>
      <c r="C19" s="63">
        <v>314</v>
      </c>
    </row>
    <row r="20" spans="1:3" ht="24.9" customHeight="1" x14ac:dyDescent="0.3">
      <c r="A20" s="61">
        <v>43908</v>
      </c>
      <c r="B20" s="63">
        <v>292</v>
      </c>
      <c r="C20" s="63">
        <v>330</v>
      </c>
    </row>
    <row r="21" spans="1:3" ht="24.9" customHeight="1" x14ac:dyDescent="0.3">
      <c r="A21" s="61">
        <v>43909</v>
      </c>
      <c r="B21" s="63">
        <v>274</v>
      </c>
      <c r="C21" s="63">
        <v>311</v>
      </c>
    </row>
    <row r="22" spans="1:3" ht="24.9" customHeight="1" x14ac:dyDescent="0.3">
      <c r="A22" s="61">
        <v>43910</v>
      </c>
      <c r="B22" s="63">
        <v>273</v>
      </c>
      <c r="C22" s="63">
        <v>307</v>
      </c>
    </row>
    <row r="23" spans="1:3" ht="24.9" customHeight="1" x14ac:dyDescent="0.3">
      <c r="A23" s="61">
        <v>43911</v>
      </c>
      <c r="B23" s="63">
        <v>263</v>
      </c>
      <c r="C23" s="63">
        <v>295</v>
      </c>
    </row>
    <row r="24" spans="1:3" ht="24.9" customHeight="1" x14ac:dyDescent="0.3">
      <c r="A24" s="61">
        <v>43912</v>
      </c>
      <c r="B24" s="63">
        <v>244</v>
      </c>
      <c r="C24" s="63">
        <v>276</v>
      </c>
    </row>
    <row r="25" spans="1:3" ht="24.9" customHeight="1" x14ac:dyDescent="0.3">
      <c r="A25" s="61">
        <v>43913</v>
      </c>
      <c r="B25" s="63">
        <v>252</v>
      </c>
      <c r="C25" s="63">
        <v>286</v>
      </c>
    </row>
    <row r="26" spans="1:3" ht="24.9" customHeight="1" x14ac:dyDescent="0.3">
      <c r="A26" s="61">
        <v>43914</v>
      </c>
      <c r="B26" s="63">
        <v>236</v>
      </c>
      <c r="C26" s="63">
        <v>266</v>
      </c>
    </row>
    <row r="27" spans="1:3" ht="24.9" customHeight="1" x14ac:dyDescent="0.3">
      <c r="A27" s="61">
        <v>43915</v>
      </c>
      <c r="B27" s="63">
        <v>245</v>
      </c>
      <c r="C27" s="63">
        <v>279</v>
      </c>
    </row>
    <row r="28" spans="1:3" ht="24.9" customHeight="1" x14ac:dyDescent="0.3">
      <c r="A28" s="61">
        <v>43916</v>
      </c>
      <c r="B28" s="63">
        <v>234</v>
      </c>
      <c r="C28" s="63">
        <v>266</v>
      </c>
    </row>
    <row r="29" spans="1:3" ht="24.9" customHeight="1" x14ac:dyDescent="0.3">
      <c r="A29" s="61">
        <v>43917</v>
      </c>
      <c r="B29" s="63">
        <v>232</v>
      </c>
      <c r="C29" s="63">
        <v>261</v>
      </c>
    </row>
    <row r="30" spans="1:3" ht="24.9" customHeight="1" x14ac:dyDescent="0.3">
      <c r="A30" s="61">
        <v>43918</v>
      </c>
      <c r="B30" s="63">
        <v>232</v>
      </c>
      <c r="C30" s="63">
        <v>261</v>
      </c>
    </row>
    <row r="31" spans="1:3" ht="24.9" customHeight="1" x14ac:dyDescent="0.3">
      <c r="A31" s="61">
        <v>43919</v>
      </c>
      <c r="B31" s="63">
        <v>234</v>
      </c>
      <c r="C31" s="63">
        <v>263</v>
      </c>
    </row>
    <row r="32" spans="1:3" ht="24.9" customHeight="1" x14ac:dyDescent="0.3">
      <c r="A32" s="61">
        <v>43920</v>
      </c>
      <c r="B32" s="63">
        <v>234</v>
      </c>
      <c r="C32" s="63">
        <v>262</v>
      </c>
    </row>
    <row r="33" spans="1:3" ht="24.9" customHeight="1" x14ac:dyDescent="0.3">
      <c r="A33" s="61">
        <v>43921</v>
      </c>
      <c r="B33" s="63">
        <v>226</v>
      </c>
      <c r="C33" s="63">
        <v>254</v>
      </c>
    </row>
    <row r="34" spans="1:3" ht="30.75" customHeight="1" x14ac:dyDescent="0.3">
      <c r="A34" s="60" t="s">
        <v>83</v>
      </c>
      <c r="B34" s="62">
        <f>SUM(B3:B33)</f>
        <v>8973</v>
      </c>
      <c r="C34" s="62">
        <f>SUM(C3:C33)</f>
        <v>10354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2025-03-20T18:18:30Z</dcterms:modified>
  <cp:category/>
  <cp:contentStatus/>
</cp:coreProperties>
</file>