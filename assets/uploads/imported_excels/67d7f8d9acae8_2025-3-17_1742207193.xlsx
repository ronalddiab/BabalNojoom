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rotanahq-my.sharepoint.com/personal/bms_park_rotana_com/Documents/Engineering/29 HEP - Energy Portal/01 Daily/2023/"/>
    </mc:Choice>
  </mc:AlternateContent>
  <xr:revisionPtr revIDLastSave="598" documentId="8_{8847650D-614C-4264-8C87-30D8B5EB4252}" xr6:coauthVersionLast="47" xr6:coauthVersionMax="47" xr10:uidLastSave="{46534F32-B00C-4729-B0EA-3DB8242F6EE5}"/>
  <bookViews>
    <workbookView xWindow="-120" yWindow="-120" windowWidth="29040" windowHeight="15720" xr2:uid="{00000000-000D-0000-FFFF-FFFF00000000}"/>
  </bookViews>
  <sheets>
    <sheet name="Total" sheetId="2" r:id="rId1"/>
    <sheet name="Electricity" sheetId="3" r:id="rId2"/>
    <sheet name="LPG" sheetId="6" r:id="rId3"/>
    <sheet name="Water" sheetId="5" r:id="rId4"/>
    <sheet name="Occupied &amp; No. of Guest" sheetId="7" r:id="rId5"/>
  </sheets>
  <definedNames>
    <definedName name="_xlnm._FilterDatabase" localSheetId="2" hidden="1">LPG!$A$3:$C$3</definedName>
    <definedName name="_xlnm.Print_Area" localSheetId="2">LPG!$A$1:$C$36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2" i="2"/>
  <c r="C4" i="6"/>
  <c r="AI14" i="5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AF15" i="5" l="1"/>
  <c r="AH15" i="5"/>
  <c r="AG15" i="5"/>
  <c r="K3" i="2"/>
  <c r="L3" i="2"/>
  <c r="K4" i="2"/>
  <c r="L4" i="2"/>
  <c r="K5" i="2"/>
  <c r="L5" i="2"/>
  <c r="K6" i="2"/>
  <c r="L6" i="2"/>
  <c r="K7" i="2"/>
  <c r="L7" i="2"/>
  <c r="K8" i="2"/>
  <c r="L8" i="2"/>
  <c r="K9" i="2"/>
  <c r="L9" i="2"/>
  <c r="K10" i="2"/>
  <c r="L10" i="2"/>
  <c r="K11" i="2"/>
  <c r="L11" i="2"/>
  <c r="K12" i="2"/>
  <c r="L12" i="2"/>
  <c r="K13" i="2"/>
  <c r="L13" i="2"/>
  <c r="K14" i="2"/>
  <c r="L14" i="2"/>
  <c r="K15" i="2"/>
  <c r="L15" i="2"/>
  <c r="K16" i="2"/>
  <c r="L16" i="2"/>
  <c r="K17" i="2"/>
  <c r="L17" i="2"/>
  <c r="K18" i="2"/>
  <c r="L18" i="2"/>
  <c r="K19" i="2"/>
  <c r="L19" i="2"/>
  <c r="K20" i="2"/>
  <c r="L20" i="2"/>
  <c r="K21" i="2"/>
  <c r="L21" i="2"/>
  <c r="K22" i="2"/>
  <c r="L22" i="2"/>
  <c r="K23" i="2"/>
  <c r="L23" i="2"/>
  <c r="K24" i="2"/>
  <c r="L24" i="2"/>
  <c r="K25" i="2"/>
  <c r="L25" i="2"/>
  <c r="K26" i="2"/>
  <c r="L26" i="2"/>
  <c r="K27" i="2"/>
  <c r="L27" i="2"/>
  <c r="K28" i="2"/>
  <c r="L28" i="2"/>
  <c r="K29" i="2"/>
  <c r="L29" i="2"/>
  <c r="K30" i="2"/>
  <c r="L30" i="2"/>
  <c r="K31" i="2"/>
  <c r="L31" i="2"/>
  <c r="K32" i="2"/>
  <c r="L32" i="2"/>
  <c r="L2" i="2"/>
  <c r="K2" i="2"/>
  <c r="C34" i="7"/>
  <c r="B34" i="7"/>
  <c r="AF21" i="3" l="1"/>
  <c r="AG21" i="3"/>
  <c r="AH21" i="3"/>
  <c r="C35" i="6" l="1"/>
  <c r="AI15" i="5" l="1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AI21" i="3"/>
  <c r="AE21" i="3"/>
  <c r="AD21" i="3"/>
  <c r="W21" i="3"/>
  <c r="V21" i="3"/>
  <c r="U21" i="3"/>
  <c r="T21" i="3"/>
  <c r="S21" i="3"/>
  <c r="R21" i="3"/>
  <c r="K21" i="3"/>
  <c r="J21" i="3"/>
  <c r="I21" i="3"/>
  <c r="H21" i="3"/>
  <c r="G21" i="3"/>
  <c r="F21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I2" i="2" l="1" a="1"/>
  <c r="I2" i="2" s="1"/>
  <c r="E16" i="5"/>
  <c r="X21" i="3"/>
  <c r="Y21" i="3"/>
  <c r="L21" i="3"/>
  <c r="M21" i="3"/>
  <c r="N21" i="3"/>
  <c r="Z21" i="3"/>
  <c r="O21" i="3"/>
  <c r="AA21" i="3"/>
  <c r="P21" i="3"/>
  <c r="AB21" i="3"/>
  <c r="E21" i="3"/>
  <c r="Q21" i="3"/>
  <c r="AC21" i="3"/>
  <c r="E2" i="2" l="1" a="1"/>
  <c r="E2" i="2" s="1"/>
  <c r="E2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C5" authorId="0" shapeId="0" xr:uid="{BF8AF5D1-25BF-4947-BDAD-F7F7A728BCF1}">
      <text>
        <r>
          <rPr>
            <b/>
            <sz val="9"/>
            <color indexed="81"/>
            <rFont val="Tahoma"/>
            <family val="2"/>
          </rPr>
          <t>New Meter for Incomer 1 and 2 Hotel and Arjaan replaced on March 1, 2023. Megawatt change to kilowatt</t>
        </r>
      </text>
    </comment>
    <comment ref="C9" authorId="0" shapeId="0" xr:uid="{5FE99E23-FAC4-4837-88FD-C11E450EC330}">
      <text>
        <r>
          <rPr>
            <b/>
            <sz val="9"/>
            <color indexed="81"/>
            <rFont val="Tahoma"/>
            <family val="2"/>
          </rPr>
          <t>New meter installed on March 1, 2023. Megawatt change to kilowatt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tc={1C61DFB7-0857-4D3E-B4C5-89079B7E43DE}</author>
  </authors>
  <commentList>
    <comment ref="B30" authorId="0" shapeId="0" xr:uid="{1C61DFB7-0857-4D3E-B4C5-89079B7E43D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reading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B5" authorId="0" shapeId="0" xr:uid="{A094905B-3145-4E91-B966-D3C7F85E3C96}">
      <text>
        <r>
          <rPr>
            <b/>
            <sz val="9"/>
            <color indexed="81"/>
            <rFont val="Tahoma"/>
            <family val="2"/>
          </rPr>
          <t>New water meter replaced on April 13, 2023</t>
        </r>
      </text>
    </comment>
    <comment ref="B9" authorId="0" shapeId="0" xr:uid="{CE22F3E7-64FB-40B2-8E39-2202A3B38411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New meter installed on 26--10-2021
</t>
        </r>
      </text>
    </comment>
    <comment ref="B11" authorId="0" shapeId="0" xr:uid="{BD763E3D-3444-4579-8973-D00AB9A06EE4}">
      <text>
        <r>
          <rPr>
            <b/>
            <sz val="9"/>
            <color indexed="81"/>
            <rFont val="Tahoma"/>
            <family val="2"/>
          </rPr>
          <t>New Meter as of July 8, 2020 by Mohammad Habdeel Hamid from ADDC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3" authorId="0" shapeId="0" xr:uid="{E53EB796-BEFA-44EC-BFBB-E6DBBDAFCA14}">
      <text>
        <r>
          <rPr>
            <b/>
            <sz val="9"/>
            <color indexed="81"/>
            <rFont val="Tahoma"/>
            <family val="2"/>
          </rPr>
          <t>Replaced new water meter by ADDC on April 5, 2021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<sst xmlns="http://schemas.openxmlformats.org/spreadsheetml/2006/main" count="123" uniqueCount="88">
  <si>
    <t>Site Name</t>
  </si>
  <si>
    <t>Day</t>
  </si>
  <si>
    <t>Month</t>
  </si>
  <si>
    <t>Year</t>
  </si>
  <si>
    <t xml:space="preserve">Room Nights </t>
  </si>
  <si>
    <t xml:space="preserve">Total Guests </t>
  </si>
  <si>
    <t>Total Electricity Kwh</t>
  </si>
  <si>
    <t>Electricity Tariff ($/Kwh)</t>
  </si>
  <si>
    <t>Water Utility Supply (m3) m3</t>
  </si>
  <si>
    <t>Water Utility Supply (m3) $/m3</t>
  </si>
  <si>
    <t>S/N</t>
  </si>
  <si>
    <r>
      <t>METER NUMBER &amp;</t>
    </r>
    <r>
      <rPr>
        <b/>
        <sz val="9"/>
        <color rgb="FFFF0000"/>
        <rFont val="Arial Narrow"/>
        <family val="2"/>
      </rPr>
      <t>LOCATION</t>
    </r>
  </si>
  <si>
    <t>AREA SERVED</t>
  </si>
  <si>
    <t>Last Month Final Readings</t>
  </si>
  <si>
    <t>I5T18D002265/ No. 72039516</t>
  </si>
  <si>
    <t>Hotel &amp; Arjaan incomer 1 (Kilowatt)</t>
  </si>
  <si>
    <t>I5T18D002266/ No. 72039517</t>
  </si>
  <si>
    <t>Hotel &amp; Arjaan incomer 2 (Kilowatt)</t>
  </si>
  <si>
    <r>
      <t xml:space="preserve">METER NUMBER     &amp;                      </t>
    </r>
    <r>
      <rPr>
        <b/>
        <sz val="10"/>
        <color rgb="FFFF0000"/>
        <rFont val="Arial Narrow"/>
        <family val="2"/>
      </rPr>
      <t>LOCATION</t>
    </r>
  </si>
  <si>
    <t>LAST MONTH'S FINAL READING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</si>
  <si>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</si>
  <si>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</si>
  <si>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</si>
  <si>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</si>
  <si>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</si>
  <si>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</si>
  <si>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</si>
  <si>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</si>
  <si>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</si>
  <si>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</si>
  <si>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</si>
  <si>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</si>
  <si>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</si>
  <si>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</si>
  <si>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</si>
  <si>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</si>
  <si>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</si>
  <si>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</si>
  <si>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</si>
  <si>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</si>
  <si>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</si>
  <si>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</si>
  <si>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</si>
  <si>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</si>
  <si>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</si>
  <si>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</si>
  <si>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</si>
  <si>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</si>
  <si>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48242051 (Hotel &amp; Arjaan Main Meter)</t>
  </si>
  <si>
    <t>Hotel &amp; Arjaan / Raw Water Tank for Hotel,Arjaan,Kitchen,Laundry,Staff Locker,Hotel Swimming Pool</t>
  </si>
  <si>
    <t xml:space="preserve">LPG (Liters) </t>
  </si>
  <si>
    <t>LPG $/Liters</t>
  </si>
  <si>
    <t>Park Rotana and Park Arjaan Abu Dhabi</t>
  </si>
  <si>
    <t>I5T18D002318 / 72039569</t>
  </si>
  <si>
    <t>Chillers (SMDB CH 1) (Kilowatt)</t>
  </si>
  <si>
    <t>I5T18D002317 / 72039568</t>
  </si>
  <si>
    <t>Chillers (SMDB CH 2) (Kilowatt)</t>
  </si>
  <si>
    <t>E5T09D035490</t>
  </si>
  <si>
    <t>Fire Pump 2 S (Kwh)</t>
  </si>
  <si>
    <t>E5TO9D035489</t>
  </si>
  <si>
    <t>Fire Pump 1 S (Kwh)</t>
  </si>
  <si>
    <t>E5T09D034337</t>
  </si>
  <si>
    <t>SMDB Spa S (Kwh)</t>
  </si>
  <si>
    <t>E5T09D034327</t>
  </si>
  <si>
    <t>Hotel Gym S (Kwh)</t>
  </si>
  <si>
    <t>Total Daily Consumption (kw)</t>
  </si>
  <si>
    <t>Total Monthly Consumption (kw)</t>
  </si>
  <si>
    <t>2045000686(Sub Meter)</t>
  </si>
  <si>
    <t>Irrigation water Tank</t>
  </si>
  <si>
    <t>EMK17100DA17081056 (Cooling Tower Meter)</t>
  </si>
  <si>
    <t>Cooling Towers, Irrigation Tank,CHW Make up Line,Residence Pool, Cooling Tower Blow Down</t>
  </si>
  <si>
    <t>Total Daily Consumption (m3)</t>
  </si>
  <si>
    <t>Total Monthly Consumption (m3)</t>
  </si>
  <si>
    <t>Hotel  &amp; Arjaan Gym</t>
  </si>
  <si>
    <t>Hotel &amp; Arjaan Spa</t>
  </si>
  <si>
    <t xml:space="preserve">                                       </t>
  </si>
  <si>
    <t>TOTAL Consumption</t>
  </si>
  <si>
    <t>29</t>
  </si>
  <si>
    <t>30</t>
  </si>
  <si>
    <t>31</t>
  </si>
  <si>
    <t>Occupied</t>
  </si>
  <si>
    <t># Guest</t>
  </si>
  <si>
    <t>Date</t>
  </si>
  <si>
    <t>TOTAL MTD</t>
  </si>
  <si>
    <t>DAILY ELECTRICITY METER READINGS &amp; CONSUMPTION MAY 2023</t>
  </si>
  <si>
    <t>DAILY GAS METER READINGS &amp; CONSUMPTION (Liters) MAY 2023</t>
  </si>
  <si>
    <r>
      <t>DAILY WATER METER READINGS &amp; CONSUMPTION (m</t>
    </r>
    <r>
      <rPr>
        <b/>
        <vertAlign val="superscript"/>
        <sz val="20"/>
        <color rgb="FF000000"/>
        <rFont val="Calibri"/>
        <family val="2"/>
      </rPr>
      <t>3</t>
    </r>
    <r>
      <rPr>
        <b/>
        <sz val="20"/>
        <color rgb="FF000000"/>
        <rFont val="Calibri"/>
        <family val="2"/>
      </rPr>
      <t>) MAY  2023</t>
    </r>
  </si>
  <si>
    <t>Occupied Room &amp; Number of Guest
May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</si>
</sst>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"/>
    <numFmt numFmtId="165" formatCode="#,##0.000"/>
    <numFmt numFmtId="166" formatCode="#,##0.0"/>
    <numFmt numFmtId="167" formatCode="0.0"/>
  </numFmts>
  <fonts count="2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Arial Narrow"/>
      <family val="2"/>
    </font>
    <font>
      <b/>
      <sz val="18"/>
      <color theme="1"/>
      <name val="Arial Narrow"/>
      <family val="2"/>
    </font>
    <font>
      <b/>
      <sz val="9"/>
      <color theme="1"/>
      <name val="Arial Narrow"/>
      <family val="2"/>
    </font>
    <font>
      <b/>
      <sz val="9"/>
      <color rgb="FFFF0000"/>
      <name val="Arial Narrow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b/>
      <sz val="9"/>
      <color indexed="81"/>
      <name val="Tahoma"/>
      <family val="2"/>
    </font>
    <font>
      <b/>
      <sz val="20"/>
      <color rgb="FF000000"/>
      <name val="Calibri"/>
      <family val="2"/>
    </font>
    <font>
      <b/>
      <vertAlign val="superscript"/>
      <sz val="20"/>
      <color rgb="FF000000"/>
      <name val="Calibri"/>
      <family val="2"/>
    </font>
    <font>
      <b/>
      <sz val="20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9"/>
      <color theme="1"/>
      <name val="Arial Narrow"/>
      <family val="2"/>
    </font>
    <font>
      <sz val="9"/>
      <name val="Arial Narrow"/>
      <family val="2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70C0"/>
      <name val="Arial Narrow"/>
      <family val="2"/>
    </font>
    <font>
      <sz val="9"/>
      <color indexed="81"/>
      <name val="Tahoma"/>
      <family val="2"/>
    </font>
    <font>
      <b/>
      <sz val="11"/>
      <name val="Arial Narrow"/>
      <family val="2"/>
    </font>
    <font>
      <sz val="10"/>
      <color rgb="FFFF0000"/>
      <name val="Arial Narrow"/>
      <family val="2"/>
    </font>
    <font>
      <b/>
      <sz val="12"/>
      <color theme="1"/>
      <name val="Arial Narrow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FF9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20" fillId="0" borderId="0" applyFont="0" applyFill="0" applyBorder="0" applyAlignment="0" applyProtection="0"/>
  </cellStyleXfs>
  <cellXfs count="9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 wrapText="1"/>
    </xf>
    <xf numFmtId="164" fontId="7" fillId="7" borderId="10" xfId="0" applyNumberFormat="1" applyFont="1" applyFill="1" applyBorder="1" applyAlignment="1">
      <alignment horizontal="center" vertical="center"/>
    </xf>
    <xf numFmtId="0" fontId="5" fillId="6" borderId="0" xfId="0" applyFont="1" applyFill="1"/>
    <xf numFmtId="0" fontId="5" fillId="5" borderId="1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1" fontId="5" fillId="9" borderId="2" xfId="0" quotePrefix="1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166" fontId="18" fillId="10" borderId="2" xfId="0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5" fillId="5" borderId="15" xfId="0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  <xf numFmtId="0" fontId="21" fillId="6" borderId="0" xfId="0" applyFont="1" applyFill="1"/>
    <xf numFmtId="0" fontId="5" fillId="2" borderId="15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 wrapText="1"/>
    </xf>
    <xf numFmtId="164" fontId="7" fillId="10" borderId="10" xfId="0" applyNumberFormat="1" applyFont="1" applyFill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 wrapText="1"/>
    </xf>
    <xf numFmtId="4" fontId="23" fillId="11" borderId="0" xfId="1" applyNumberFormat="1" applyFont="1" applyFill="1"/>
    <xf numFmtId="4" fontId="23" fillId="11" borderId="0" xfId="1" applyNumberFormat="1" applyFont="1" applyFill="1" applyAlignment="1">
      <alignment horizontal="center" vertical="center"/>
    </xf>
    <xf numFmtId="0" fontId="5" fillId="6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24" fillId="6" borderId="2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4" fontId="16" fillId="11" borderId="0" xfId="0" applyNumberFormat="1" applyFont="1" applyFill="1" applyAlignment="1">
      <alignment horizontal="center" vertical="center"/>
    </xf>
    <xf numFmtId="0" fontId="19" fillId="3" borderId="10" xfId="0" applyFont="1" applyFill="1" applyBorder="1" applyAlignment="1">
      <alignment horizontal="center" vertical="center" wrapText="1"/>
    </xf>
    <xf numFmtId="3" fontId="9" fillId="0" borderId="10" xfId="0" applyNumberFormat="1" applyFont="1" applyBorder="1" applyAlignment="1">
      <alignment horizontal="center" vertical="center"/>
    </xf>
    <xf numFmtId="167" fontId="19" fillId="7" borderId="10" xfId="0" applyNumberFormat="1" applyFont="1" applyFill="1" applyBorder="1" applyAlignment="1">
      <alignment horizontal="center" vertical="center"/>
    </xf>
    <xf numFmtId="1" fontId="9" fillId="3" borderId="10" xfId="0" applyNumberFormat="1" applyFont="1" applyFill="1" applyBorder="1" applyAlignment="1">
      <alignment horizontal="center" vertical="center" wrapText="1"/>
    </xf>
    <xf numFmtId="1" fontId="9" fillId="4" borderId="10" xfId="0" applyNumberFormat="1" applyFont="1" applyFill="1" applyBorder="1" applyAlignment="1">
      <alignment horizontal="center" vertical="center" wrapText="1"/>
    </xf>
    <xf numFmtId="0" fontId="0" fillId="6" borderId="0" xfId="0" applyFill="1"/>
    <xf numFmtId="164" fontId="2" fillId="0" borderId="0" xfId="0" applyNumberFormat="1" applyFont="1"/>
    <xf numFmtId="3" fontId="16" fillId="11" borderId="0" xfId="0" applyNumberFormat="1" applyFont="1" applyFill="1" applyAlignment="1">
      <alignment horizontal="center" vertical="center"/>
    </xf>
    <xf numFmtId="3" fontId="23" fillId="11" borderId="0" xfId="1" applyNumberFormat="1" applyFont="1" applyFill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5" fontId="0" fillId="0" borderId="10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6" borderId="19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4" fontId="23" fillId="11" borderId="0" xfId="1" applyNumberFormat="1" applyFont="1" applyFill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4" fontId="23" fillId="11" borderId="13" xfId="1" applyNumberFormat="1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2" fillId="0" borderId="20" xfId="0" applyFont="1" applyBorder="1" applyAlignment="1">
      <alignment horizontal="center"/>
    </xf>
    <xf numFmtId="4" fontId="16" fillId="11" borderId="0" xfId="0" applyNumberFormat="1" applyFont="1" applyFill="1" applyAlignment="1">
      <alignment horizontal="center" vertical="center"/>
    </xf>
    <xf numFmtId="4" fontId="25" fillId="11" borderId="13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6" fillId="6" borderId="12" xfId="0" quotePrefix="1" applyFont="1" applyFill="1" applyBorder="1" applyAlignment="1">
      <alignment horizontal="center" vertical="center"/>
    </xf>
    <xf numFmtId="0" fontId="16" fillId="6" borderId="8" xfId="0" applyFont="1" applyFill="1" applyBorder="1" applyAlignment="1">
      <alignment horizontal="center" vertical="center"/>
    </xf>
    <xf numFmtId="0" fontId="17" fillId="8" borderId="2" xfId="0" applyFont="1" applyFill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57154</xdr:rowOff>
    </xdr:from>
    <xdr:to>
      <xdr:col>2</xdr:col>
      <xdr:colOff>200025</xdr:colOff>
      <xdr:row>2</xdr:row>
      <xdr:rowOff>342900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9DDD8A2D-8435-4EE5-9251-D99B69BA006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422914"/>
          <a:ext cx="1758315" cy="6515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30</xdr:col>
      <xdr:colOff>137747</xdr:colOff>
      <xdr:row>1</xdr:row>
      <xdr:rowOff>54284</xdr:rowOff>
    </xdr:from>
    <xdr:ext cx="1838325" cy="590550"/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885EC474-E378-49DB-A752-BBCE02E657EE}"/>
            </a:ext>
            <a:ext uri="{147F2762-F138-4A5C-976F-8EAC2B608ADB}">
              <a16:predDERef xmlns:a16="http://schemas.microsoft.com/office/drawing/2014/main" pred="{9D40EFC6-BAA9-4AC4-9296-204E786A57BF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0655847" y="420044"/>
          <a:ext cx="1838325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57151</xdr:rowOff>
    </xdr:from>
    <xdr:to>
      <xdr:col>2</xdr:col>
      <xdr:colOff>0</xdr:colOff>
      <xdr:row>0</xdr:row>
      <xdr:rowOff>844826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B5DDD607-CB1B-47F0-81CD-B4BBCFAE84EF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57151"/>
          <a:ext cx="1851660" cy="78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30</xdr:col>
      <xdr:colOff>170091</xdr:colOff>
      <xdr:row>0</xdr:row>
      <xdr:rowOff>49918</xdr:rowOff>
    </xdr:from>
    <xdr:to>
      <xdr:col>32</xdr:col>
      <xdr:colOff>614858</xdr:colOff>
      <xdr:row>0</xdr:row>
      <xdr:rowOff>836766</xdr:rowOff>
    </xdr:to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23C56294-5804-42BC-8869-E26CB2FDA511}"/>
            </a:ext>
            <a:ext uri="{147F2762-F138-4A5C-976F-8EAC2B608ADB}">
              <a16:predDERef xmlns:a16="http://schemas.microsoft.com/office/drawing/2014/main" pred="{650EFB77-1C68-4279-946F-FD273D2E21D6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359531" y="49918"/>
          <a:ext cx="1843534" cy="7868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MS Operator Park Rotana" id="{BAD7BC8A-F836-4635-9C99-C11CA53DCF4D}" userId="S::bms.park@rotana.com::3c5fb006-525e-436b-b7c7-7f78db1fde1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0" dT="2023-05-27T20:16:15.93" personId="{BAD7BC8A-F836-4635-9C99-C11CA53DCF4D}" id="{1C61DFB7-0857-4D3E-B4C5-89079B7E43DE}">
    <text>No reading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3"/>
  <sheetViews>
    <sheetView tabSelected="1" workbookViewId="0">
      <selection activeCell="E2" sqref="E2"/>
    </sheetView>
  </sheetViews>
  <sheetFormatPr defaultColWidth="11.5703125" defaultRowHeight="15" x14ac:dyDescent="0.25"/>
  <cols>
    <col min="1" max="1" width="29.140625" style="2" bestFit="1" customWidth="1"/>
    <col min="2" max="3" width="11.5703125" style="10"/>
    <col min="4" max="4" width="13.42578125" style="10" customWidth="1"/>
    <col min="5" max="5" width="12.5703125" style="3" customWidth="1"/>
    <col min="6" max="6" width="12.5703125" style="11" customWidth="1"/>
    <col min="7" max="7" width="11.5703125" style="3"/>
    <col min="8" max="8" width="11.5703125" style="11"/>
    <col min="9" max="9" width="11.5703125" style="3"/>
    <col min="10" max="10" width="11.5703125" style="12"/>
    <col min="11" max="24" width="11.5703125" style="3"/>
  </cols>
  <sheetData>
    <row r="1" spans="1:12" s="8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5" t="s">
        <v>6</v>
      </c>
      <c r="F1" s="6" t="s">
        <v>7</v>
      </c>
      <c r="G1" s="5" t="s">
        <v>50</v>
      </c>
      <c r="H1" s="6" t="s">
        <v>51</v>
      </c>
      <c r="I1" s="5" t="s">
        <v>8</v>
      </c>
      <c r="J1" s="7" t="s">
        <v>9</v>
      </c>
      <c r="K1" s="5" t="s">
        <v>4</v>
      </c>
      <c r="L1" s="5" t="s">
        <v>5</v>
      </c>
    </row>
    <row r="2" spans="1:12" x14ac:dyDescent="0.25">
      <c r="A2" s="9" t="s">
        <v>52</v>
      </c>
      <c r="B2" s="10">
        <v>1</v>
      </c>
      <c r="C2" s="10">
        <v>5</v>
      </c>
      <c r="D2" s="10">
        <v>2023</v>
      </c>
      <c r="E2" s="4" cm="1">
        <f t="array" ref="E2:E32">TRANSPOSE(Electricity!E21:AI21)</f>
        <v>35406.6</v>
      </c>
      <c r="F2" s="11">
        <v>0.2</v>
      </c>
      <c r="G2" s="4">
        <f>LPG!C4</f>
        <v>1829.1029032258066</v>
      </c>
      <c r="H2" s="11">
        <v>1.5099998783115784</v>
      </c>
      <c r="I2" s="4" cm="1">
        <f t="array" ref="I2:I32">TRANSPOSE(Water!E15:AI15)</f>
        <v>179.53200000001056</v>
      </c>
      <c r="J2" s="11">
        <v>7.84</v>
      </c>
      <c r="K2" s="4">
        <f>'Occupied &amp; No. of Guest'!B3</f>
        <v>261</v>
      </c>
      <c r="L2" s="4">
        <f>'Occupied &amp; No. of Guest'!C3</f>
        <v>334</v>
      </c>
    </row>
    <row r="3" spans="1:12" x14ac:dyDescent="0.25">
      <c r="A3" s="9" t="s">
        <v>52</v>
      </c>
      <c r="B3" s="10">
        <f>B2+1</f>
        <v>2</v>
      </c>
      <c r="C3" s="10">
        <v>5</v>
      </c>
      <c r="D3" s="10">
        <v>2023</v>
      </c>
      <c r="E3" s="4">
        <v>36075.599999999999</v>
      </c>
      <c r="F3" s="11">
        <v>0.2</v>
      </c>
      <c r="G3" s="4">
        <f>LPG!C5</f>
        <v>1829.1029032258066</v>
      </c>
      <c r="H3" s="11">
        <v>1.5099998783115784</v>
      </c>
      <c r="I3" s="4">
        <v>61.51399999998948</v>
      </c>
      <c r="J3" s="11">
        <v>7.84</v>
      </c>
      <c r="K3" s="4">
        <f>'Occupied &amp; No. of Guest'!B4</f>
        <v>273</v>
      </c>
      <c r="L3" s="4">
        <f>'Occupied &amp; No. of Guest'!C4</f>
        <v>354</v>
      </c>
    </row>
    <row r="4" spans="1:12" x14ac:dyDescent="0.25">
      <c r="A4" s="9" t="s">
        <v>52</v>
      </c>
      <c r="B4" s="10">
        <f t="shared" ref="B4:B32" si="0">B3+1</f>
        <v>3</v>
      </c>
      <c r="C4" s="10">
        <v>5</v>
      </c>
      <c r="D4" s="10">
        <v>2023</v>
      </c>
      <c r="E4" s="4">
        <v>36985.4</v>
      </c>
      <c r="F4" s="11">
        <v>0.2</v>
      </c>
      <c r="G4" s="4">
        <f>LPG!C6</f>
        <v>1829.1029032258066</v>
      </c>
      <c r="H4" s="11">
        <v>1.5099998783115784</v>
      </c>
      <c r="I4" s="4">
        <v>44.819500000007245</v>
      </c>
      <c r="J4" s="11">
        <v>7.84</v>
      </c>
      <c r="K4" s="4">
        <f>'Occupied &amp; No. of Guest'!B5</f>
        <v>356</v>
      </c>
      <c r="L4" s="4">
        <f>'Occupied &amp; No. of Guest'!C5</f>
        <v>473</v>
      </c>
    </row>
    <row r="5" spans="1:12" x14ac:dyDescent="0.25">
      <c r="A5" s="9" t="s">
        <v>52</v>
      </c>
      <c r="B5" s="10">
        <f t="shared" si="0"/>
        <v>4</v>
      </c>
      <c r="C5" s="10">
        <v>5</v>
      </c>
      <c r="D5" s="10">
        <v>2023</v>
      </c>
      <c r="E5" s="4">
        <v>35677.199999999997</v>
      </c>
      <c r="F5" s="11">
        <v>0.2</v>
      </c>
      <c r="G5" s="4">
        <f>LPG!C7</f>
        <v>1829.1029032258066</v>
      </c>
      <c r="H5" s="11">
        <v>1.5099998783115784</v>
      </c>
      <c r="I5" s="4">
        <v>114.79149999999814</v>
      </c>
      <c r="J5" s="11">
        <v>7.84</v>
      </c>
      <c r="K5" s="4">
        <f>'Occupied &amp; No. of Guest'!B6</f>
        <v>345</v>
      </c>
      <c r="L5" s="4">
        <f>'Occupied &amp; No. of Guest'!C6</f>
        <v>485</v>
      </c>
    </row>
    <row r="6" spans="1:12" x14ac:dyDescent="0.25">
      <c r="A6" s="9" t="s">
        <v>52</v>
      </c>
      <c r="B6" s="10">
        <f t="shared" si="0"/>
        <v>5</v>
      </c>
      <c r="C6" s="10">
        <v>5</v>
      </c>
      <c r="D6" s="10">
        <v>2023</v>
      </c>
      <c r="E6" s="4">
        <v>36307.4</v>
      </c>
      <c r="F6" s="11">
        <v>0.2</v>
      </c>
      <c r="G6" s="4">
        <f>LPG!C8</f>
        <v>1829.1029032258066</v>
      </c>
      <c r="H6" s="11">
        <v>1.5099998783115784</v>
      </c>
      <c r="I6" s="4">
        <v>342.9349999999946</v>
      </c>
      <c r="J6" s="11">
        <v>7.84</v>
      </c>
      <c r="K6" s="4">
        <f>'Occupied &amp; No. of Guest'!B7</f>
        <v>322</v>
      </c>
      <c r="L6" s="4">
        <f>'Occupied &amp; No. of Guest'!C7</f>
        <v>488</v>
      </c>
    </row>
    <row r="7" spans="1:12" x14ac:dyDescent="0.25">
      <c r="A7" s="9" t="s">
        <v>52</v>
      </c>
      <c r="B7" s="10">
        <f t="shared" si="0"/>
        <v>6</v>
      </c>
      <c r="C7" s="10">
        <v>5</v>
      </c>
      <c r="D7" s="10">
        <v>2023</v>
      </c>
      <c r="E7" s="4">
        <v>36950.800000000003</v>
      </c>
      <c r="F7" s="11">
        <v>0.2</v>
      </c>
      <c r="G7" s="4">
        <f>LPG!C9</f>
        <v>1829.1029032258066</v>
      </c>
      <c r="H7" s="11">
        <v>1.5099998783115784</v>
      </c>
      <c r="I7" s="4">
        <v>803.06099999998969</v>
      </c>
      <c r="J7" s="11">
        <v>7.84</v>
      </c>
      <c r="K7" s="4">
        <f>'Occupied &amp; No. of Guest'!B8</f>
        <v>355</v>
      </c>
      <c r="L7" s="4">
        <f>'Occupied &amp; No. of Guest'!C8</f>
        <v>546</v>
      </c>
    </row>
    <row r="8" spans="1:12" x14ac:dyDescent="0.25">
      <c r="A8" s="9" t="s">
        <v>52</v>
      </c>
      <c r="B8" s="10">
        <f t="shared" si="0"/>
        <v>7</v>
      </c>
      <c r="C8" s="10">
        <v>5</v>
      </c>
      <c r="D8" s="10">
        <v>2023</v>
      </c>
      <c r="E8" s="4">
        <v>36867.4</v>
      </c>
      <c r="F8" s="11">
        <v>0.2</v>
      </c>
      <c r="G8" s="4">
        <f>LPG!C10</f>
        <v>1829.1029032258066</v>
      </c>
      <c r="H8" s="11">
        <v>1.5099998783115784</v>
      </c>
      <c r="I8" s="4">
        <v>303.90900000000516</v>
      </c>
      <c r="J8" s="11">
        <v>7.84</v>
      </c>
      <c r="K8" s="4">
        <f>'Occupied &amp; No. of Guest'!B9</f>
        <v>348</v>
      </c>
      <c r="L8" s="4">
        <f>'Occupied &amp; No. of Guest'!C9</f>
        <v>497</v>
      </c>
    </row>
    <row r="9" spans="1:12" x14ac:dyDescent="0.25">
      <c r="A9" s="9" t="s">
        <v>52</v>
      </c>
      <c r="B9" s="10">
        <f t="shared" si="0"/>
        <v>8</v>
      </c>
      <c r="C9" s="10">
        <v>5</v>
      </c>
      <c r="D9" s="10">
        <v>2023</v>
      </c>
      <c r="E9" s="4">
        <v>36493.199999999997</v>
      </c>
      <c r="F9" s="11">
        <v>0.2</v>
      </c>
      <c r="G9" s="4">
        <f>LPG!C11</f>
        <v>1829.1029032258066</v>
      </c>
      <c r="H9" s="11">
        <v>1.5099998783115784</v>
      </c>
      <c r="I9" s="4">
        <v>728.61299999999471</v>
      </c>
      <c r="J9" s="11">
        <v>7.84</v>
      </c>
      <c r="K9" s="4">
        <f>'Occupied &amp; No. of Guest'!B10</f>
        <v>418</v>
      </c>
      <c r="L9" s="4">
        <f>'Occupied &amp; No. of Guest'!C10</f>
        <v>570</v>
      </c>
    </row>
    <row r="10" spans="1:12" x14ac:dyDescent="0.25">
      <c r="A10" s="9" t="s">
        <v>52</v>
      </c>
      <c r="B10" s="10">
        <f t="shared" si="0"/>
        <v>9</v>
      </c>
      <c r="C10" s="10">
        <v>5</v>
      </c>
      <c r="D10" s="10">
        <v>2023</v>
      </c>
      <c r="E10" s="4">
        <v>36322.400000000001</v>
      </c>
      <c r="F10" s="11">
        <v>0.2</v>
      </c>
      <c r="G10" s="4">
        <f>LPG!C12</f>
        <v>1829.1029032258066</v>
      </c>
      <c r="H10" s="11">
        <v>1.5099998783115784</v>
      </c>
      <c r="I10" s="4">
        <v>313.1310000000052</v>
      </c>
      <c r="J10" s="11">
        <v>7.84</v>
      </c>
      <c r="K10" s="4">
        <f>'Occupied &amp; No. of Guest'!B11</f>
        <v>403</v>
      </c>
      <c r="L10" s="4">
        <f>'Occupied &amp; No. of Guest'!C11</f>
        <v>513</v>
      </c>
    </row>
    <row r="11" spans="1:12" x14ac:dyDescent="0.25">
      <c r="A11" s="9" t="s">
        <v>52</v>
      </c>
      <c r="B11" s="10">
        <f t="shared" si="0"/>
        <v>10</v>
      </c>
      <c r="C11" s="10">
        <v>5</v>
      </c>
      <c r="D11" s="10">
        <v>2023</v>
      </c>
      <c r="E11" s="4">
        <v>41057</v>
      </c>
      <c r="F11" s="11">
        <v>0.2</v>
      </c>
      <c r="G11" s="4">
        <f>LPG!C13</f>
        <v>1829.1029032258066</v>
      </c>
      <c r="H11" s="11">
        <v>1.5099998783115784</v>
      </c>
      <c r="I11" s="4">
        <v>393.25500000000005</v>
      </c>
      <c r="J11" s="11">
        <v>7.84</v>
      </c>
      <c r="K11" s="4">
        <f>'Occupied &amp; No. of Guest'!B12</f>
        <v>436</v>
      </c>
      <c r="L11" s="4">
        <f>'Occupied &amp; No. of Guest'!C12</f>
        <v>574</v>
      </c>
    </row>
    <row r="12" spans="1:12" x14ac:dyDescent="0.25">
      <c r="A12" s="9" t="s">
        <v>52</v>
      </c>
      <c r="B12" s="10">
        <f t="shared" si="0"/>
        <v>11</v>
      </c>
      <c r="C12" s="10">
        <v>5</v>
      </c>
      <c r="D12" s="10">
        <v>2023</v>
      </c>
      <c r="E12" s="4">
        <v>33409.199999999997</v>
      </c>
      <c r="F12" s="11">
        <v>0.2</v>
      </c>
      <c r="G12" s="4">
        <f>LPG!C14</f>
        <v>1829.1029032258066</v>
      </c>
      <c r="H12" s="11">
        <v>1.5099998783115784</v>
      </c>
      <c r="I12" s="4">
        <v>323.7079999999948</v>
      </c>
      <c r="J12" s="11">
        <v>7.84</v>
      </c>
      <c r="K12" s="4">
        <f>'Occupied &amp; No. of Guest'!B13</f>
        <v>335</v>
      </c>
      <c r="L12" s="4">
        <f>'Occupied &amp; No. of Guest'!C13</f>
        <v>459</v>
      </c>
    </row>
    <row r="13" spans="1:12" x14ac:dyDescent="0.25">
      <c r="A13" s="9" t="s">
        <v>52</v>
      </c>
      <c r="B13" s="10">
        <f t="shared" si="0"/>
        <v>12</v>
      </c>
      <c r="C13" s="10">
        <v>5</v>
      </c>
      <c r="D13" s="10">
        <v>2023</v>
      </c>
      <c r="E13" s="4">
        <v>37166</v>
      </c>
      <c r="F13" s="11">
        <v>0.2</v>
      </c>
      <c r="G13" s="4">
        <f>LPG!C15</f>
        <v>1829.1029032258066</v>
      </c>
      <c r="H13" s="11">
        <v>1.5099998783115784</v>
      </c>
      <c r="I13" s="4">
        <v>190.10699999999997</v>
      </c>
      <c r="J13" s="11">
        <v>7.84</v>
      </c>
      <c r="K13" s="4">
        <f>'Occupied &amp; No. of Guest'!B14</f>
        <v>287</v>
      </c>
      <c r="L13" s="4">
        <f>'Occupied &amp; No. of Guest'!C14</f>
        <v>424</v>
      </c>
    </row>
    <row r="14" spans="1:12" x14ac:dyDescent="0.25">
      <c r="A14" s="9" t="s">
        <v>52</v>
      </c>
      <c r="B14" s="10">
        <f t="shared" si="0"/>
        <v>13</v>
      </c>
      <c r="C14" s="10">
        <v>5</v>
      </c>
      <c r="D14" s="10">
        <v>2023</v>
      </c>
      <c r="E14" s="4">
        <v>39463.199999999997</v>
      </c>
      <c r="F14" s="11">
        <v>0.2</v>
      </c>
      <c r="G14" s="4">
        <f>LPG!C16</f>
        <v>1829.1029032258066</v>
      </c>
      <c r="H14" s="11">
        <v>1.5099998783115784</v>
      </c>
      <c r="I14" s="4">
        <v>395.42900000001566</v>
      </c>
      <c r="J14" s="11">
        <v>7.84</v>
      </c>
      <c r="K14" s="4">
        <f>'Occupied &amp; No. of Guest'!B15</f>
        <v>334</v>
      </c>
      <c r="L14" s="4">
        <f>'Occupied &amp; No. of Guest'!C15</f>
        <v>486</v>
      </c>
    </row>
    <row r="15" spans="1:12" x14ac:dyDescent="0.25">
      <c r="A15" s="9" t="s">
        <v>52</v>
      </c>
      <c r="B15" s="10">
        <f t="shared" si="0"/>
        <v>14</v>
      </c>
      <c r="C15" s="10">
        <v>5</v>
      </c>
      <c r="D15" s="10">
        <v>2023</v>
      </c>
      <c r="E15" s="4">
        <v>38721.4</v>
      </c>
      <c r="F15" s="11">
        <v>0.2</v>
      </c>
      <c r="G15" s="4">
        <f>LPG!C17</f>
        <v>1829.1029032258066</v>
      </c>
      <c r="H15" s="11">
        <v>1.5099998783115784</v>
      </c>
      <c r="I15" s="4">
        <v>317.28299999998433</v>
      </c>
      <c r="J15" s="11">
        <v>7.84</v>
      </c>
      <c r="K15" s="4">
        <f>'Occupied &amp; No. of Guest'!B16</f>
        <v>411</v>
      </c>
      <c r="L15" s="4">
        <f>'Occupied &amp; No. of Guest'!C16</f>
        <v>552</v>
      </c>
    </row>
    <row r="16" spans="1:12" x14ac:dyDescent="0.25">
      <c r="A16" s="9" t="s">
        <v>52</v>
      </c>
      <c r="B16" s="10">
        <f t="shared" si="0"/>
        <v>15</v>
      </c>
      <c r="C16" s="10">
        <v>5</v>
      </c>
      <c r="D16" s="10">
        <v>2023</v>
      </c>
      <c r="E16" s="4">
        <v>37336.6</v>
      </c>
      <c r="F16" s="11">
        <v>0.2</v>
      </c>
      <c r="G16" s="4">
        <f>LPG!C18</f>
        <v>1829.1029032258066</v>
      </c>
      <c r="H16" s="11">
        <v>1.5099998783115784</v>
      </c>
      <c r="I16" s="4">
        <v>269.67800000001591</v>
      </c>
      <c r="J16" s="11">
        <v>7.84</v>
      </c>
      <c r="K16" s="4">
        <f>'Occupied &amp; No. of Guest'!B17</f>
        <v>471</v>
      </c>
      <c r="L16" s="4">
        <f>'Occupied &amp; No. of Guest'!C17</f>
        <v>603</v>
      </c>
    </row>
    <row r="17" spans="1:12" x14ac:dyDescent="0.25">
      <c r="A17" s="9" t="s">
        <v>52</v>
      </c>
      <c r="B17" s="10">
        <f t="shared" si="0"/>
        <v>16</v>
      </c>
      <c r="C17" s="10">
        <v>5</v>
      </c>
      <c r="D17" s="10">
        <v>2023</v>
      </c>
      <c r="E17" s="4">
        <v>37463.199999999997</v>
      </c>
      <c r="F17" s="11">
        <v>0.2</v>
      </c>
      <c r="G17" s="4">
        <f>LPG!C19</f>
        <v>1829.1029032258066</v>
      </c>
      <c r="H17" s="11">
        <v>1.5099998783115784</v>
      </c>
      <c r="I17" s="4">
        <v>436.16199999998946</v>
      </c>
      <c r="J17" s="11">
        <v>7.84</v>
      </c>
      <c r="K17" s="4">
        <f>'Occupied &amp; No. of Guest'!B18</f>
        <v>464</v>
      </c>
      <c r="L17" s="4">
        <f>'Occupied &amp; No. of Guest'!C18</f>
        <v>579</v>
      </c>
    </row>
    <row r="18" spans="1:12" x14ac:dyDescent="0.25">
      <c r="A18" s="9" t="s">
        <v>52</v>
      </c>
      <c r="B18" s="10">
        <f t="shared" si="0"/>
        <v>17</v>
      </c>
      <c r="C18" s="10">
        <v>5</v>
      </c>
      <c r="D18" s="10">
        <v>2023</v>
      </c>
      <c r="E18" s="4">
        <v>38587.800000000003</v>
      </c>
      <c r="F18" s="11">
        <v>0.2</v>
      </c>
      <c r="G18" s="4">
        <f>LPG!C20</f>
        <v>1829.1029032258066</v>
      </c>
      <c r="H18" s="11">
        <v>1.5099998783115784</v>
      </c>
      <c r="I18" s="4">
        <v>292.12200000000496</v>
      </c>
      <c r="J18" s="11">
        <v>7.84</v>
      </c>
      <c r="K18" s="4">
        <f>'Occupied &amp; No. of Guest'!B19</f>
        <v>469</v>
      </c>
      <c r="L18" s="4">
        <f>'Occupied &amp; No. of Guest'!C19</f>
        <v>600</v>
      </c>
    </row>
    <row r="19" spans="1:12" x14ac:dyDescent="0.25">
      <c r="A19" s="9" t="s">
        <v>52</v>
      </c>
      <c r="B19" s="10">
        <f t="shared" si="0"/>
        <v>18</v>
      </c>
      <c r="C19" s="10">
        <v>5</v>
      </c>
      <c r="D19" s="10">
        <v>2023</v>
      </c>
      <c r="E19" s="4">
        <v>37199</v>
      </c>
      <c r="F19" s="11">
        <v>0.2</v>
      </c>
      <c r="G19" s="4">
        <f>LPG!C21</f>
        <v>1829.1029032258066</v>
      </c>
      <c r="H19" s="11">
        <v>1.5099998783115784</v>
      </c>
      <c r="I19" s="4">
        <v>315.10100000000028</v>
      </c>
      <c r="J19" s="11">
        <v>7.84</v>
      </c>
      <c r="K19" s="4">
        <f>'Occupied &amp; No. of Guest'!B20</f>
        <v>375</v>
      </c>
      <c r="L19" s="4">
        <f>'Occupied &amp; No. of Guest'!C20</f>
        <v>506</v>
      </c>
    </row>
    <row r="20" spans="1:12" x14ac:dyDescent="0.25">
      <c r="A20" s="9" t="s">
        <v>52</v>
      </c>
      <c r="B20" s="10">
        <f t="shared" si="0"/>
        <v>19</v>
      </c>
      <c r="C20" s="10">
        <v>5</v>
      </c>
      <c r="D20" s="10">
        <v>2023</v>
      </c>
      <c r="E20" s="4">
        <v>38785.800000000003</v>
      </c>
      <c r="F20" s="11">
        <v>0.2</v>
      </c>
      <c r="G20" s="4">
        <f>LPG!C22</f>
        <v>1829.1029032258066</v>
      </c>
      <c r="H20" s="11">
        <v>1.5099998783115784</v>
      </c>
      <c r="I20" s="4">
        <v>249.81300000001028</v>
      </c>
      <c r="J20" s="11">
        <v>7.84</v>
      </c>
      <c r="K20" s="4">
        <f>'Occupied &amp; No. of Guest'!B21</f>
        <v>242</v>
      </c>
      <c r="L20" s="4">
        <f>'Occupied &amp; No. of Guest'!C21</f>
        <v>357</v>
      </c>
    </row>
    <row r="21" spans="1:12" x14ac:dyDescent="0.25">
      <c r="A21" s="9" t="s">
        <v>52</v>
      </c>
      <c r="B21" s="10">
        <f t="shared" si="0"/>
        <v>20</v>
      </c>
      <c r="C21" s="10">
        <v>5</v>
      </c>
      <c r="D21" s="10">
        <v>2023</v>
      </c>
      <c r="E21" s="4">
        <v>38953</v>
      </c>
      <c r="F21" s="11">
        <v>0.2</v>
      </c>
      <c r="G21" s="4">
        <f>LPG!C23</f>
        <v>1829.1029032258066</v>
      </c>
      <c r="H21" s="11">
        <v>1.5099998783115784</v>
      </c>
      <c r="I21" s="4">
        <v>275.77499999998952</v>
      </c>
      <c r="J21" s="11">
        <v>7.84</v>
      </c>
      <c r="K21" s="4">
        <f>'Occupied &amp; No. of Guest'!B22</f>
        <v>270</v>
      </c>
      <c r="L21" s="4">
        <f>'Occupied &amp; No. of Guest'!C22</f>
        <v>408</v>
      </c>
    </row>
    <row r="22" spans="1:12" x14ac:dyDescent="0.25">
      <c r="A22" s="9" t="s">
        <v>52</v>
      </c>
      <c r="B22" s="10">
        <f t="shared" si="0"/>
        <v>21</v>
      </c>
      <c r="C22" s="10">
        <v>5</v>
      </c>
      <c r="D22" s="10">
        <v>2023</v>
      </c>
      <c r="E22" s="4">
        <v>38163.599999999999</v>
      </c>
      <c r="F22" s="11">
        <v>0.2</v>
      </c>
      <c r="G22" s="4">
        <f>LPG!C24</f>
        <v>1829.1029032258066</v>
      </c>
      <c r="H22" s="11">
        <v>1.5099998783115784</v>
      </c>
      <c r="I22" s="4">
        <v>330.46399999999483</v>
      </c>
      <c r="J22" s="11">
        <v>7.84</v>
      </c>
      <c r="K22" s="4">
        <f>'Occupied &amp; No. of Guest'!B23</f>
        <v>343</v>
      </c>
      <c r="L22" s="4">
        <f>'Occupied &amp; No. of Guest'!C23</f>
        <v>456</v>
      </c>
    </row>
    <row r="23" spans="1:12" x14ac:dyDescent="0.25">
      <c r="A23" s="9" t="s">
        <v>52</v>
      </c>
      <c r="B23" s="10">
        <f t="shared" si="0"/>
        <v>22</v>
      </c>
      <c r="C23" s="10">
        <v>5</v>
      </c>
      <c r="D23" s="10">
        <v>2023</v>
      </c>
      <c r="E23" s="4">
        <v>39301.800000000003</v>
      </c>
      <c r="F23" s="11">
        <v>0.2</v>
      </c>
      <c r="G23" s="4">
        <f>LPG!C25</f>
        <v>1829.1029032258066</v>
      </c>
      <c r="H23" s="11">
        <v>1.5099998783115784</v>
      </c>
      <c r="I23" s="4">
        <v>288.32799999999463</v>
      </c>
      <c r="J23" s="11">
        <v>7.84</v>
      </c>
      <c r="K23" s="4">
        <f>'Occupied &amp; No. of Guest'!B24</f>
        <v>407</v>
      </c>
      <c r="L23" s="4">
        <f>'Occupied &amp; No. of Guest'!C24</f>
        <v>508</v>
      </c>
    </row>
    <row r="24" spans="1:12" x14ac:dyDescent="0.25">
      <c r="A24" s="9" t="s">
        <v>52</v>
      </c>
      <c r="B24" s="10">
        <f t="shared" si="0"/>
        <v>23</v>
      </c>
      <c r="C24" s="10">
        <v>5</v>
      </c>
      <c r="D24" s="10">
        <v>2023</v>
      </c>
      <c r="E24" s="4">
        <v>39652.400000000001</v>
      </c>
      <c r="F24" s="11">
        <v>0.2</v>
      </c>
      <c r="G24" s="4">
        <f>LPG!C26</f>
        <v>1829.1029032258066</v>
      </c>
      <c r="H24" s="11">
        <v>1.5099998783115784</v>
      </c>
      <c r="I24" s="4">
        <v>299.75700000000529</v>
      </c>
      <c r="J24" s="11">
        <v>7.84</v>
      </c>
      <c r="K24" s="4">
        <f>'Occupied &amp; No. of Guest'!B25</f>
        <v>448</v>
      </c>
      <c r="L24" s="4">
        <f>'Occupied &amp; No. of Guest'!C25</f>
        <v>563</v>
      </c>
    </row>
    <row r="25" spans="1:12" x14ac:dyDescent="0.25">
      <c r="A25" s="9" t="s">
        <v>52</v>
      </c>
      <c r="B25" s="10">
        <f t="shared" si="0"/>
        <v>24</v>
      </c>
      <c r="C25" s="10">
        <v>5</v>
      </c>
      <c r="D25" s="10">
        <v>2023</v>
      </c>
      <c r="E25" s="4">
        <v>40191.4</v>
      </c>
      <c r="F25" s="11">
        <v>0.2</v>
      </c>
      <c r="G25" s="4">
        <f>LPG!C27</f>
        <v>1829.1029032258066</v>
      </c>
      <c r="H25" s="11">
        <v>1.5099998783115784</v>
      </c>
      <c r="I25" s="4">
        <v>336.65000000001561</v>
      </c>
      <c r="J25" s="11">
        <v>7.84</v>
      </c>
      <c r="K25" s="4">
        <f>'Occupied &amp; No. of Guest'!B26</f>
        <v>410</v>
      </c>
      <c r="L25" s="4">
        <f>'Occupied &amp; No. of Guest'!C26</f>
        <v>528</v>
      </c>
    </row>
    <row r="26" spans="1:12" x14ac:dyDescent="0.25">
      <c r="A26" s="9" t="s">
        <v>52</v>
      </c>
      <c r="B26" s="10">
        <f>B25+1</f>
        <v>25</v>
      </c>
      <c r="C26" s="10">
        <v>5</v>
      </c>
      <c r="D26" s="10">
        <v>2023</v>
      </c>
      <c r="E26" s="4">
        <v>38031.4</v>
      </c>
      <c r="F26" s="11">
        <v>0.2</v>
      </c>
      <c r="G26" s="4">
        <f>LPG!C28</f>
        <v>1829.1029032258066</v>
      </c>
      <c r="H26" s="11">
        <v>1.5099998783115784</v>
      </c>
      <c r="I26" s="4">
        <v>356.85500000000025</v>
      </c>
      <c r="J26" s="11">
        <v>7.84</v>
      </c>
      <c r="K26" s="4">
        <f>'Occupied &amp; No. of Guest'!B27</f>
        <v>391</v>
      </c>
      <c r="L26" s="4">
        <f>'Occupied &amp; No. of Guest'!C27</f>
        <v>569</v>
      </c>
    </row>
    <row r="27" spans="1:12" x14ac:dyDescent="0.25">
      <c r="A27" s="9" t="s">
        <v>52</v>
      </c>
      <c r="B27" s="10">
        <f t="shared" si="0"/>
        <v>26</v>
      </c>
      <c r="C27" s="10">
        <v>5</v>
      </c>
      <c r="D27" s="10">
        <v>2023</v>
      </c>
      <c r="E27" s="4">
        <v>38403.199999999997</v>
      </c>
      <c r="F27" s="11">
        <v>0.2</v>
      </c>
      <c r="G27" s="4">
        <f>LPG!C29</f>
        <v>1829.1029032258066</v>
      </c>
      <c r="H27" s="11">
        <v>1.5099998783115784</v>
      </c>
      <c r="I27" s="4">
        <v>210.33899999999477</v>
      </c>
      <c r="J27" s="11">
        <v>7.84</v>
      </c>
      <c r="K27" s="4">
        <f>'Occupied &amp; No. of Guest'!B28</f>
        <v>396</v>
      </c>
      <c r="L27" s="4">
        <f>'Occupied &amp; No. of Guest'!C28</f>
        <v>595</v>
      </c>
    </row>
    <row r="28" spans="1:12" x14ac:dyDescent="0.25">
      <c r="A28" s="9" t="s">
        <v>52</v>
      </c>
      <c r="B28" s="10">
        <f t="shared" si="0"/>
        <v>27</v>
      </c>
      <c r="C28" s="10">
        <v>5</v>
      </c>
      <c r="D28" s="10">
        <v>2023</v>
      </c>
      <c r="E28" s="4">
        <v>39014.800000000003</v>
      </c>
      <c r="F28" s="11">
        <v>0.2</v>
      </c>
      <c r="G28" s="4">
        <f>LPG!C30</f>
        <v>1829.1029032258066</v>
      </c>
      <c r="H28" s="11">
        <v>1.5099998783115784</v>
      </c>
      <c r="I28" s="4">
        <v>364.98100000000528</v>
      </c>
      <c r="J28" s="11">
        <v>7.84</v>
      </c>
      <c r="K28" s="4">
        <f>'Occupied &amp; No. of Guest'!B29</f>
        <v>427</v>
      </c>
      <c r="L28" s="4">
        <f>'Occupied &amp; No. of Guest'!C29</f>
        <v>618</v>
      </c>
    </row>
    <row r="29" spans="1:12" x14ac:dyDescent="0.25">
      <c r="A29" s="9" t="s">
        <v>52</v>
      </c>
      <c r="B29" s="10">
        <f t="shared" si="0"/>
        <v>28</v>
      </c>
      <c r="C29" s="10">
        <v>5</v>
      </c>
      <c r="D29" s="10">
        <v>2023</v>
      </c>
      <c r="E29" s="4">
        <v>40036.199999999997</v>
      </c>
      <c r="F29" s="11">
        <v>0.2</v>
      </c>
      <c r="G29" s="4">
        <f>LPG!C31</f>
        <v>1829.1029032258066</v>
      </c>
      <c r="H29" s="11">
        <v>1.5099998783115784</v>
      </c>
      <c r="I29" s="4">
        <v>360.04399999999464</v>
      </c>
      <c r="J29" s="11">
        <v>7.84</v>
      </c>
      <c r="K29" s="4">
        <f>'Occupied &amp; No. of Guest'!B30</f>
        <v>260</v>
      </c>
      <c r="L29" s="4">
        <f>'Occupied &amp; No. of Guest'!C30</f>
        <v>342</v>
      </c>
    </row>
    <row r="30" spans="1:12" x14ac:dyDescent="0.25">
      <c r="A30" s="9" t="s">
        <v>52</v>
      </c>
      <c r="B30" s="10">
        <f t="shared" si="0"/>
        <v>29</v>
      </c>
      <c r="C30" s="10">
        <v>5</v>
      </c>
      <c r="D30" s="10">
        <v>2023</v>
      </c>
      <c r="E30" s="4">
        <v>39958.800000000003</v>
      </c>
      <c r="F30" s="11">
        <v>0.2</v>
      </c>
      <c r="G30" s="4">
        <f>LPG!C32</f>
        <v>1829.1029032258066</v>
      </c>
      <c r="H30" s="11">
        <v>1.5099998783115784</v>
      </c>
      <c r="I30" s="4">
        <v>338.16599999998959</v>
      </c>
      <c r="J30" s="11">
        <v>7.84</v>
      </c>
      <c r="K30" s="4">
        <f>'Occupied &amp; No. of Guest'!B31</f>
        <v>310</v>
      </c>
      <c r="L30" s="4">
        <f>'Occupied &amp; No. of Guest'!C31</f>
        <v>409</v>
      </c>
    </row>
    <row r="31" spans="1:12" x14ac:dyDescent="0.25">
      <c r="A31" s="9" t="s">
        <v>52</v>
      </c>
      <c r="B31" s="10">
        <f t="shared" si="0"/>
        <v>30</v>
      </c>
      <c r="C31" s="10">
        <v>5</v>
      </c>
      <c r="D31" s="10">
        <v>2023</v>
      </c>
      <c r="E31" s="4">
        <v>41532.800000000003</v>
      </c>
      <c r="F31" s="11">
        <v>0.2</v>
      </c>
      <c r="G31" s="4">
        <f>LPG!C33</f>
        <v>1829.1029032258066</v>
      </c>
      <c r="H31" s="11">
        <v>1.5099998783115784</v>
      </c>
      <c r="I31" s="4">
        <v>365.14500000001067</v>
      </c>
      <c r="J31" s="11">
        <v>7.84</v>
      </c>
      <c r="K31" s="4">
        <f>'Occupied &amp; No. of Guest'!B32</f>
        <v>359</v>
      </c>
      <c r="L31" s="4">
        <f>'Occupied &amp; No. of Guest'!C32</f>
        <v>453</v>
      </c>
    </row>
    <row r="32" spans="1:12" x14ac:dyDescent="0.25">
      <c r="A32" s="9" t="s">
        <v>52</v>
      </c>
      <c r="B32" s="10">
        <f t="shared" si="0"/>
        <v>31</v>
      </c>
      <c r="C32" s="10">
        <v>5</v>
      </c>
      <c r="D32" s="10">
        <v>2023</v>
      </c>
      <c r="E32" s="4">
        <v>41400</v>
      </c>
      <c r="F32" s="11">
        <v>0.2</v>
      </c>
      <c r="G32" s="4">
        <f>LPG!C34</f>
        <v>1829.1029032258066</v>
      </c>
      <c r="H32" s="11">
        <v>1.5099998783115784</v>
      </c>
      <c r="I32" s="4">
        <v>296.57700000000494</v>
      </c>
      <c r="J32" s="11">
        <v>7.84</v>
      </c>
      <c r="K32" s="4">
        <f>'Occupied &amp; No. of Guest'!B33</f>
        <v>326</v>
      </c>
      <c r="L32" s="4">
        <f>'Occupied &amp; No. of Guest'!C33</f>
        <v>416</v>
      </c>
    </row>
    <row r="33" spans="7:7" x14ac:dyDescent="0.25">
      <c r="G3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C785D-AAE3-4932-B36D-B3428EA355C6}">
  <sheetPr>
    <pageSetUpPr fitToPage="1"/>
  </sheetPr>
  <dimension ref="A1:BO22"/>
  <sheetViews>
    <sheetView zoomScale="115" zoomScaleNormal="115" zoomScaleSheetLayoutView="85" workbookViewId="0">
      <pane xSplit="4" ySplit="4" topLeftCell="E16" activePane="bottomRight" state="frozen"/>
      <selection pane="topRight" activeCell="E1" sqref="E1"/>
      <selection pane="bottomLeft" activeCell="A5" sqref="A5"/>
      <selection pane="bottomRight" activeCell="D17" sqref="D17:AI20"/>
    </sheetView>
  </sheetViews>
  <sheetFormatPr defaultColWidth="9.140625" defaultRowHeight="27" customHeight="1" x14ac:dyDescent="0.2"/>
  <cols>
    <col min="1" max="1" width="5.7109375" style="13" customWidth="1"/>
    <col min="2" max="2" width="17.28515625" style="26" customWidth="1"/>
    <col min="3" max="3" width="21.42578125" style="26" customWidth="1"/>
    <col min="4" max="4" width="10.5703125" style="13" customWidth="1"/>
    <col min="5" max="6" width="15" style="14" customWidth="1"/>
    <col min="7" max="35" width="15" style="13" customWidth="1"/>
    <col min="36" max="16384" width="9.140625" style="13"/>
  </cols>
  <sheetData>
    <row r="1" spans="1:67" ht="29.25" customHeight="1" x14ac:dyDescent="0.2">
      <c r="B1" s="13"/>
      <c r="C1" s="14"/>
      <c r="D1" s="14"/>
      <c r="G1" s="14"/>
    </row>
    <row r="2" spans="1:67" s="14" customFormat="1" ht="29.25" customHeight="1" x14ac:dyDescent="0.25">
      <c r="A2" s="64" t="s">
        <v>84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</row>
    <row r="3" spans="1:67" s="14" customFormat="1" ht="29.25" customHeight="1" thickBot="1" x14ac:dyDescent="0.3"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</row>
    <row r="4" spans="1:67" ht="39" thickBot="1" x14ac:dyDescent="0.25">
      <c r="A4" s="15" t="s">
        <v>10</v>
      </c>
      <c r="B4" s="16" t="s">
        <v>11</v>
      </c>
      <c r="C4" s="17" t="s">
        <v>12</v>
      </c>
      <c r="D4" s="18" t="s">
        <v>13</v>
      </c>
      <c r="E4" s="18">
        <v>1</v>
      </c>
      <c r="F4" s="18">
        <v>2</v>
      </c>
      <c r="G4" s="19">
        <v>3</v>
      </c>
      <c r="H4" s="18">
        <v>4</v>
      </c>
      <c r="I4" s="18">
        <v>5</v>
      </c>
      <c r="J4" s="18">
        <v>6</v>
      </c>
      <c r="K4" s="18">
        <v>7</v>
      </c>
      <c r="L4" s="18">
        <v>8</v>
      </c>
      <c r="M4" s="18">
        <v>9</v>
      </c>
      <c r="N4" s="18">
        <v>10</v>
      </c>
      <c r="O4" s="18">
        <v>11</v>
      </c>
      <c r="P4" s="18">
        <v>12</v>
      </c>
      <c r="Q4" s="18">
        <v>13</v>
      </c>
      <c r="R4" s="18">
        <v>14</v>
      </c>
      <c r="S4" s="18">
        <v>15</v>
      </c>
      <c r="T4" s="18">
        <v>16</v>
      </c>
      <c r="U4" s="18">
        <v>17</v>
      </c>
      <c r="V4" s="18">
        <v>18</v>
      </c>
      <c r="W4" s="18">
        <v>19</v>
      </c>
      <c r="X4" s="18">
        <v>20</v>
      </c>
      <c r="Y4" s="18">
        <v>21</v>
      </c>
      <c r="Z4" s="18">
        <v>22</v>
      </c>
      <c r="AA4" s="18">
        <v>23</v>
      </c>
      <c r="AB4" s="18">
        <v>24</v>
      </c>
      <c r="AC4" s="18">
        <v>25</v>
      </c>
      <c r="AD4" s="18">
        <v>26</v>
      </c>
      <c r="AE4" s="18">
        <v>27</v>
      </c>
      <c r="AF4" s="18">
        <v>28</v>
      </c>
      <c r="AG4" s="18">
        <v>29</v>
      </c>
      <c r="AH4" s="18">
        <v>30</v>
      </c>
      <c r="AI4" s="18">
        <v>31</v>
      </c>
    </row>
    <row r="5" spans="1:67" ht="26.25" customHeight="1" x14ac:dyDescent="0.2">
      <c r="A5" s="66">
        <v>1</v>
      </c>
      <c r="B5" s="20" t="s">
        <v>14</v>
      </c>
      <c r="C5" s="68" t="s">
        <v>15</v>
      </c>
      <c r="D5" s="21">
        <v>1358906</v>
      </c>
      <c r="E5" s="21">
        <v>1381900</v>
      </c>
      <c r="F5" s="21">
        <v>1404713</v>
      </c>
      <c r="G5" s="21">
        <v>1428341</v>
      </c>
      <c r="H5" s="21">
        <v>1451216</v>
      </c>
      <c r="I5" s="21">
        <v>1474556</v>
      </c>
      <c r="J5" s="21">
        <v>1498544</v>
      </c>
      <c r="K5" s="21">
        <v>1521901</v>
      </c>
      <c r="L5" s="21">
        <v>1544932</v>
      </c>
      <c r="M5" s="21">
        <v>1567377</v>
      </c>
      <c r="N5" s="21">
        <v>1592841</v>
      </c>
      <c r="O5" s="21">
        <v>1613827</v>
      </c>
      <c r="P5" s="21">
        <v>1636797</v>
      </c>
      <c r="Q5" s="21">
        <v>1660545</v>
      </c>
      <c r="R5" s="21">
        <v>1684304</v>
      </c>
      <c r="S5" s="21">
        <v>1706542</v>
      </c>
      <c r="T5" s="21">
        <v>1729010</v>
      </c>
      <c r="U5" s="21">
        <v>1751748</v>
      </c>
      <c r="V5" s="21">
        <v>1773991</v>
      </c>
      <c r="W5" s="21">
        <v>1796777</v>
      </c>
      <c r="X5" s="21">
        <v>1819725</v>
      </c>
      <c r="Y5" s="21">
        <v>1841740</v>
      </c>
      <c r="Z5" s="21">
        <v>1864385</v>
      </c>
      <c r="AA5" s="21">
        <v>1887257</v>
      </c>
      <c r="AB5" s="21">
        <v>1910370</v>
      </c>
      <c r="AC5" s="21">
        <v>1932243</v>
      </c>
      <c r="AD5" s="21">
        <v>1954218</v>
      </c>
      <c r="AE5" s="21">
        <v>1976754</v>
      </c>
      <c r="AF5" s="21">
        <v>2000240</v>
      </c>
      <c r="AG5" s="21">
        <v>2023534</v>
      </c>
      <c r="AH5" s="21">
        <v>2047017</v>
      </c>
      <c r="AI5" s="21">
        <v>2070342</v>
      </c>
    </row>
    <row r="6" spans="1:67" s="24" customFormat="1" ht="21.75" customHeight="1" thickBot="1" x14ac:dyDescent="0.25">
      <c r="A6" s="67"/>
      <c r="B6" s="22"/>
      <c r="C6" s="69"/>
      <c r="D6" s="23"/>
      <c r="E6" s="23">
        <f t="shared" ref="E6:AI6" si="0">E5-D5</f>
        <v>22994</v>
      </c>
      <c r="F6" s="23">
        <f t="shared" si="0"/>
        <v>22813</v>
      </c>
      <c r="G6" s="23">
        <f t="shared" si="0"/>
        <v>23628</v>
      </c>
      <c r="H6" s="23">
        <f t="shared" si="0"/>
        <v>22875</v>
      </c>
      <c r="I6" s="23">
        <f t="shared" si="0"/>
        <v>23340</v>
      </c>
      <c r="J6" s="23">
        <f t="shared" si="0"/>
        <v>23988</v>
      </c>
      <c r="K6" s="23">
        <f t="shared" si="0"/>
        <v>23357</v>
      </c>
      <c r="L6" s="23">
        <f t="shared" si="0"/>
        <v>23031</v>
      </c>
      <c r="M6" s="23">
        <f t="shared" si="0"/>
        <v>22445</v>
      </c>
      <c r="N6" s="23">
        <f t="shared" si="0"/>
        <v>25464</v>
      </c>
      <c r="O6" s="23">
        <f t="shared" si="0"/>
        <v>20986</v>
      </c>
      <c r="P6" s="23">
        <f t="shared" si="0"/>
        <v>22970</v>
      </c>
      <c r="Q6" s="23">
        <f t="shared" si="0"/>
        <v>23748</v>
      </c>
      <c r="R6" s="23">
        <f t="shared" si="0"/>
        <v>23759</v>
      </c>
      <c r="S6" s="23">
        <f t="shared" si="0"/>
        <v>22238</v>
      </c>
      <c r="T6" s="23">
        <f t="shared" si="0"/>
        <v>22468</v>
      </c>
      <c r="U6" s="23">
        <f t="shared" si="0"/>
        <v>22738</v>
      </c>
      <c r="V6" s="23">
        <f t="shared" si="0"/>
        <v>22243</v>
      </c>
      <c r="W6" s="23">
        <f t="shared" si="0"/>
        <v>22786</v>
      </c>
      <c r="X6" s="23">
        <f t="shared" si="0"/>
        <v>22948</v>
      </c>
      <c r="Y6" s="23">
        <f t="shared" si="0"/>
        <v>22015</v>
      </c>
      <c r="Z6" s="23">
        <f t="shared" si="0"/>
        <v>22645</v>
      </c>
      <c r="AA6" s="23">
        <f t="shared" si="0"/>
        <v>22872</v>
      </c>
      <c r="AB6" s="23">
        <f t="shared" si="0"/>
        <v>23113</v>
      </c>
      <c r="AC6" s="23">
        <f t="shared" si="0"/>
        <v>21873</v>
      </c>
      <c r="AD6" s="23">
        <f t="shared" si="0"/>
        <v>21975</v>
      </c>
      <c r="AE6" s="23">
        <f t="shared" si="0"/>
        <v>22536</v>
      </c>
      <c r="AF6" s="23">
        <f t="shared" si="0"/>
        <v>23486</v>
      </c>
      <c r="AG6" s="23">
        <f t="shared" si="0"/>
        <v>23294</v>
      </c>
      <c r="AH6" s="23">
        <f t="shared" si="0"/>
        <v>23483</v>
      </c>
      <c r="AI6" s="23">
        <f t="shared" si="0"/>
        <v>23325</v>
      </c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</row>
    <row r="7" spans="1:67" ht="22.5" customHeight="1" x14ac:dyDescent="0.2">
      <c r="A7" s="70">
        <v>2</v>
      </c>
      <c r="B7" s="25" t="s">
        <v>16</v>
      </c>
      <c r="C7" s="72" t="s">
        <v>17</v>
      </c>
      <c r="D7" s="21">
        <v>620</v>
      </c>
      <c r="E7" s="21">
        <v>620</v>
      </c>
      <c r="F7" s="21">
        <v>620</v>
      </c>
      <c r="G7" s="21">
        <v>620</v>
      </c>
      <c r="H7" s="21">
        <v>620</v>
      </c>
      <c r="I7" s="21">
        <v>620</v>
      </c>
      <c r="J7" s="21">
        <v>620</v>
      </c>
      <c r="K7" s="21">
        <v>620</v>
      </c>
      <c r="L7" s="21">
        <v>620</v>
      </c>
      <c r="M7" s="21">
        <v>620</v>
      </c>
      <c r="N7" s="21">
        <v>620</v>
      </c>
      <c r="O7" s="21">
        <v>620</v>
      </c>
      <c r="P7" s="21">
        <v>620</v>
      </c>
      <c r="Q7" s="21">
        <v>620</v>
      </c>
      <c r="R7" s="21">
        <v>620</v>
      </c>
      <c r="S7" s="21">
        <v>620</v>
      </c>
      <c r="T7" s="21">
        <v>620</v>
      </c>
      <c r="U7" s="21">
        <v>620</v>
      </c>
      <c r="V7" s="21">
        <v>620</v>
      </c>
      <c r="W7" s="21">
        <v>620</v>
      </c>
      <c r="X7" s="21">
        <v>620</v>
      </c>
      <c r="Y7" s="21">
        <v>620</v>
      </c>
      <c r="Z7" s="21">
        <v>620</v>
      </c>
      <c r="AA7" s="21">
        <v>620</v>
      </c>
      <c r="AB7" s="21">
        <v>620</v>
      </c>
      <c r="AC7" s="21">
        <v>620</v>
      </c>
      <c r="AD7" s="21">
        <v>620</v>
      </c>
      <c r="AE7" s="21">
        <v>620</v>
      </c>
      <c r="AF7" s="21">
        <v>620</v>
      </c>
      <c r="AG7" s="21">
        <v>620</v>
      </c>
      <c r="AH7" s="21">
        <v>620</v>
      </c>
      <c r="AI7" s="21">
        <v>620</v>
      </c>
    </row>
    <row r="8" spans="1:67" s="24" customFormat="1" ht="21.75" customHeight="1" thickBot="1" x14ac:dyDescent="0.25">
      <c r="A8" s="71"/>
      <c r="B8" s="22"/>
      <c r="C8" s="69"/>
      <c r="D8" s="23"/>
      <c r="E8" s="23">
        <f t="shared" ref="E8:AI8" si="1">E7-D7</f>
        <v>0</v>
      </c>
      <c r="F8" s="23">
        <f t="shared" si="1"/>
        <v>0</v>
      </c>
      <c r="G8" s="23">
        <f t="shared" si="1"/>
        <v>0</v>
      </c>
      <c r="H8" s="23">
        <f t="shared" si="1"/>
        <v>0</v>
      </c>
      <c r="I8" s="23">
        <f t="shared" si="1"/>
        <v>0</v>
      </c>
      <c r="J8" s="23">
        <f t="shared" si="1"/>
        <v>0</v>
      </c>
      <c r="K8" s="23">
        <f t="shared" si="1"/>
        <v>0</v>
      </c>
      <c r="L8" s="23">
        <f t="shared" si="1"/>
        <v>0</v>
      </c>
      <c r="M8" s="23">
        <f t="shared" si="1"/>
        <v>0</v>
      </c>
      <c r="N8" s="23">
        <f t="shared" si="1"/>
        <v>0</v>
      </c>
      <c r="O8" s="23">
        <f t="shared" si="1"/>
        <v>0</v>
      </c>
      <c r="P8" s="23">
        <f t="shared" si="1"/>
        <v>0</v>
      </c>
      <c r="Q8" s="23">
        <f t="shared" si="1"/>
        <v>0</v>
      </c>
      <c r="R8" s="23">
        <f t="shared" si="1"/>
        <v>0</v>
      </c>
      <c r="S8" s="23">
        <f t="shared" si="1"/>
        <v>0</v>
      </c>
      <c r="T8" s="23">
        <f t="shared" si="1"/>
        <v>0</v>
      </c>
      <c r="U8" s="23">
        <f t="shared" si="1"/>
        <v>0</v>
      </c>
      <c r="V8" s="23">
        <f t="shared" si="1"/>
        <v>0</v>
      </c>
      <c r="W8" s="23">
        <f t="shared" si="1"/>
        <v>0</v>
      </c>
      <c r="X8" s="23">
        <f t="shared" si="1"/>
        <v>0</v>
      </c>
      <c r="Y8" s="23">
        <f t="shared" si="1"/>
        <v>0</v>
      </c>
      <c r="Z8" s="23">
        <f t="shared" si="1"/>
        <v>0</v>
      </c>
      <c r="AA8" s="23">
        <f t="shared" si="1"/>
        <v>0</v>
      </c>
      <c r="AB8" s="23">
        <f t="shared" si="1"/>
        <v>0</v>
      </c>
      <c r="AC8" s="23">
        <f t="shared" si="1"/>
        <v>0</v>
      </c>
      <c r="AD8" s="23">
        <f t="shared" si="1"/>
        <v>0</v>
      </c>
      <c r="AE8" s="23">
        <f t="shared" si="1"/>
        <v>0</v>
      </c>
      <c r="AF8" s="23">
        <f t="shared" si="1"/>
        <v>0</v>
      </c>
      <c r="AG8" s="23">
        <f t="shared" si="1"/>
        <v>0</v>
      </c>
      <c r="AH8" s="23">
        <f t="shared" si="1"/>
        <v>0</v>
      </c>
      <c r="AI8" s="23">
        <f t="shared" si="1"/>
        <v>0</v>
      </c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</row>
    <row r="9" spans="1:67" ht="21.75" customHeight="1" x14ac:dyDescent="0.2">
      <c r="A9" s="77">
        <v>3</v>
      </c>
      <c r="B9" s="36" t="s">
        <v>53</v>
      </c>
      <c r="C9" s="79" t="s">
        <v>54</v>
      </c>
      <c r="D9" s="21">
        <v>870735</v>
      </c>
      <c r="E9" s="21">
        <v>889763</v>
      </c>
      <c r="F9" s="21">
        <v>909454</v>
      </c>
      <c r="G9" s="21">
        <v>929126</v>
      </c>
      <c r="H9" s="21">
        <v>942987</v>
      </c>
      <c r="I9" s="21">
        <v>962723</v>
      </c>
      <c r="J9" s="21">
        <v>982691</v>
      </c>
      <c r="K9" s="21">
        <v>1002903</v>
      </c>
      <c r="L9" s="21">
        <v>1023063</v>
      </c>
      <c r="M9" s="21">
        <v>1043459</v>
      </c>
      <c r="N9" s="21">
        <v>1066216</v>
      </c>
      <c r="O9" s="21">
        <v>1089930</v>
      </c>
      <c r="P9" s="21">
        <v>1111298</v>
      </c>
      <c r="Q9" s="21">
        <v>1131180</v>
      </c>
      <c r="R9" s="21">
        <v>1151969</v>
      </c>
      <c r="S9" s="21">
        <v>1170868</v>
      </c>
      <c r="T9" s="21">
        <v>1189241</v>
      </c>
      <c r="U9" s="21">
        <v>1209943</v>
      </c>
      <c r="V9" s="21">
        <v>1242843</v>
      </c>
      <c r="W9" s="21">
        <v>1278144</v>
      </c>
      <c r="X9" s="21">
        <v>1307325</v>
      </c>
      <c r="Y9" s="21">
        <v>1327166</v>
      </c>
      <c r="Z9" s="21">
        <v>1347787</v>
      </c>
      <c r="AA9" s="21">
        <v>1368907</v>
      </c>
      <c r="AB9" s="21">
        <v>1390601</v>
      </c>
      <c r="AC9" s="21">
        <v>1411205</v>
      </c>
      <c r="AD9" s="21">
        <v>1437830</v>
      </c>
      <c r="AE9" s="21">
        <v>1466747</v>
      </c>
      <c r="AF9" s="21">
        <v>1488068</v>
      </c>
      <c r="AG9" s="21">
        <v>1510706</v>
      </c>
      <c r="AH9" s="21">
        <v>1535422</v>
      </c>
      <c r="AI9" s="21">
        <v>1560251</v>
      </c>
    </row>
    <row r="10" spans="1:67" s="24" customFormat="1" ht="21.75" customHeight="1" thickBot="1" x14ac:dyDescent="0.25">
      <c r="A10" s="78"/>
      <c r="B10" s="37"/>
      <c r="C10" s="76"/>
      <c r="D10" s="23"/>
      <c r="E10" s="23">
        <f t="shared" ref="E10:AI10" si="2">E9-D9</f>
        <v>19028</v>
      </c>
      <c r="F10" s="23">
        <f t="shared" si="2"/>
        <v>19691</v>
      </c>
      <c r="G10" s="23">
        <f t="shared" si="2"/>
        <v>19672</v>
      </c>
      <c r="H10" s="23">
        <f t="shared" si="2"/>
        <v>13861</v>
      </c>
      <c r="I10" s="23">
        <f t="shared" si="2"/>
        <v>19736</v>
      </c>
      <c r="J10" s="23">
        <f t="shared" si="2"/>
        <v>19968</v>
      </c>
      <c r="K10" s="23">
        <f t="shared" si="2"/>
        <v>20212</v>
      </c>
      <c r="L10" s="23">
        <f t="shared" si="2"/>
        <v>20160</v>
      </c>
      <c r="M10" s="23">
        <f t="shared" si="2"/>
        <v>20396</v>
      </c>
      <c r="N10" s="23">
        <f t="shared" si="2"/>
        <v>22757</v>
      </c>
      <c r="O10" s="23">
        <f t="shared" si="2"/>
        <v>23714</v>
      </c>
      <c r="P10" s="23">
        <f t="shared" si="2"/>
        <v>21368</v>
      </c>
      <c r="Q10" s="23">
        <f t="shared" si="2"/>
        <v>19882</v>
      </c>
      <c r="R10" s="23">
        <f t="shared" si="2"/>
        <v>20789</v>
      </c>
      <c r="S10" s="23">
        <f t="shared" si="2"/>
        <v>18899</v>
      </c>
      <c r="T10" s="23">
        <f t="shared" si="2"/>
        <v>18373</v>
      </c>
      <c r="U10" s="23">
        <f t="shared" si="2"/>
        <v>20702</v>
      </c>
      <c r="V10" s="23">
        <f t="shared" si="2"/>
        <v>32900</v>
      </c>
      <c r="W10" s="23">
        <f t="shared" si="2"/>
        <v>35301</v>
      </c>
      <c r="X10" s="23">
        <f t="shared" si="2"/>
        <v>29181</v>
      </c>
      <c r="Y10" s="23">
        <f t="shared" si="2"/>
        <v>19841</v>
      </c>
      <c r="Z10" s="23">
        <f t="shared" si="2"/>
        <v>20621</v>
      </c>
      <c r="AA10" s="23">
        <f t="shared" si="2"/>
        <v>21120</v>
      </c>
      <c r="AB10" s="23">
        <f t="shared" si="2"/>
        <v>21694</v>
      </c>
      <c r="AC10" s="23">
        <f t="shared" si="2"/>
        <v>20604</v>
      </c>
      <c r="AD10" s="23">
        <f t="shared" si="2"/>
        <v>26625</v>
      </c>
      <c r="AE10" s="23">
        <f t="shared" si="2"/>
        <v>28917</v>
      </c>
      <c r="AF10" s="23">
        <f t="shared" si="2"/>
        <v>21321</v>
      </c>
      <c r="AG10" s="23">
        <f t="shared" si="2"/>
        <v>22638</v>
      </c>
      <c r="AH10" s="23">
        <f t="shared" si="2"/>
        <v>24716</v>
      </c>
      <c r="AI10" s="23">
        <f t="shared" si="2"/>
        <v>24829</v>
      </c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</row>
    <row r="11" spans="1:67" ht="21.75" customHeight="1" x14ac:dyDescent="0.2">
      <c r="A11" s="73">
        <v>4</v>
      </c>
      <c r="B11" s="36" t="s">
        <v>55</v>
      </c>
      <c r="C11" s="79" t="s">
        <v>56</v>
      </c>
      <c r="D11" s="21">
        <v>598070</v>
      </c>
      <c r="E11" s="21">
        <v>609291</v>
      </c>
      <c r="F11" s="21">
        <v>622024</v>
      </c>
      <c r="G11" s="21">
        <v>634933</v>
      </c>
      <c r="H11" s="21">
        <v>652155</v>
      </c>
      <c r="I11" s="21">
        <v>664045</v>
      </c>
      <c r="J11" s="21">
        <v>675624</v>
      </c>
      <c r="K11" s="21">
        <v>688308</v>
      </c>
      <c r="L11" s="21">
        <v>701036</v>
      </c>
      <c r="M11" s="21">
        <v>714381</v>
      </c>
      <c r="N11" s="21">
        <v>729794</v>
      </c>
      <c r="O11" s="21">
        <v>736303</v>
      </c>
      <c r="P11" s="21">
        <v>749610</v>
      </c>
      <c r="Q11" s="21">
        <v>768156</v>
      </c>
      <c r="R11" s="21">
        <v>783878</v>
      </c>
      <c r="S11" s="21">
        <v>801863</v>
      </c>
      <c r="T11" s="21">
        <v>820113</v>
      </c>
      <c r="U11" s="21">
        <v>838098</v>
      </c>
      <c r="V11" s="21">
        <v>841763</v>
      </c>
      <c r="W11" s="21">
        <v>845589</v>
      </c>
      <c r="X11" s="21">
        <v>855568</v>
      </c>
      <c r="Y11" s="21">
        <v>875266</v>
      </c>
      <c r="Z11" s="21">
        <v>895467</v>
      </c>
      <c r="AA11" s="21">
        <v>915393</v>
      </c>
      <c r="AB11" s="21">
        <v>935490</v>
      </c>
      <c r="AC11" s="21">
        <v>954322</v>
      </c>
      <c r="AD11" s="21">
        <v>967935</v>
      </c>
      <c r="AE11" s="21">
        <v>979350</v>
      </c>
      <c r="AF11" s="21">
        <v>998512</v>
      </c>
      <c r="AG11" s="21">
        <v>1016741</v>
      </c>
      <c r="AH11" s="21">
        <v>1036297</v>
      </c>
      <c r="AI11" s="21">
        <v>1055788</v>
      </c>
    </row>
    <row r="12" spans="1:67" s="38" customFormat="1" ht="21.75" customHeight="1" thickBot="1" x14ac:dyDescent="0.25">
      <c r="A12" s="74"/>
      <c r="B12" s="37"/>
      <c r="C12" s="76"/>
      <c r="D12" s="23"/>
      <c r="E12" s="23">
        <f t="shared" ref="E12:AI12" si="3">E11-D11</f>
        <v>11221</v>
      </c>
      <c r="F12" s="23">
        <f t="shared" si="3"/>
        <v>12733</v>
      </c>
      <c r="G12" s="23">
        <f t="shared" si="3"/>
        <v>12909</v>
      </c>
      <c r="H12" s="23">
        <f t="shared" si="3"/>
        <v>17222</v>
      </c>
      <c r="I12" s="23">
        <f t="shared" si="3"/>
        <v>11890</v>
      </c>
      <c r="J12" s="23">
        <f t="shared" si="3"/>
        <v>11579</v>
      </c>
      <c r="K12" s="23">
        <f t="shared" si="3"/>
        <v>12684</v>
      </c>
      <c r="L12" s="23">
        <f t="shared" si="3"/>
        <v>12728</v>
      </c>
      <c r="M12" s="23">
        <f t="shared" si="3"/>
        <v>13345</v>
      </c>
      <c r="N12" s="23">
        <f t="shared" si="3"/>
        <v>15413</v>
      </c>
      <c r="O12" s="23">
        <f t="shared" si="3"/>
        <v>6509</v>
      </c>
      <c r="P12" s="23">
        <f t="shared" si="3"/>
        <v>13307</v>
      </c>
      <c r="Q12" s="23">
        <f t="shared" si="3"/>
        <v>18546</v>
      </c>
      <c r="R12" s="23">
        <f t="shared" si="3"/>
        <v>15722</v>
      </c>
      <c r="S12" s="23">
        <f t="shared" si="3"/>
        <v>17985</v>
      </c>
      <c r="T12" s="23">
        <f t="shared" si="3"/>
        <v>18250</v>
      </c>
      <c r="U12" s="23">
        <f t="shared" si="3"/>
        <v>17985</v>
      </c>
      <c r="V12" s="23">
        <f t="shared" si="3"/>
        <v>3665</v>
      </c>
      <c r="W12" s="23">
        <f t="shared" si="3"/>
        <v>3826</v>
      </c>
      <c r="X12" s="23">
        <f t="shared" si="3"/>
        <v>9979</v>
      </c>
      <c r="Y12" s="23">
        <f t="shared" si="3"/>
        <v>19698</v>
      </c>
      <c r="Z12" s="23">
        <f t="shared" si="3"/>
        <v>20201</v>
      </c>
      <c r="AA12" s="23">
        <f t="shared" si="3"/>
        <v>19926</v>
      </c>
      <c r="AB12" s="23">
        <f t="shared" si="3"/>
        <v>20097</v>
      </c>
      <c r="AC12" s="23">
        <f t="shared" si="3"/>
        <v>18832</v>
      </c>
      <c r="AD12" s="23">
        <f t="shared" si="3"/>
        <v>13613</v>
      </c>
      <c r="AE12" s="23">
        <f t="shared" si="3"/>
        <v>11415</v>
      </c>
      <c r="AF12" s="23">
        <f t="shared" si="3"/>
        <v>19162</v>
      </c>
      <c r="AG12" s="23">
        <f t="shared" si="3"/>
        <v>18229</v>
      </c>
      <c r="AH12" s="23">
        <f t="shared" si="3"/>
        <v>19556</v>
      </c>
      <c r="AI12" s="23">
        <f t="shared" si="3"/>
        <v>19491</v>
      </c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</row>
    <row r="13" spans="1:67" ht="21.75" customHeight="1" x14ac:dyDescent="0.2">
      <c r="A13" s="77">
        <v>7</v>
      </c>
      <c r="B13" s="39" t="s">
        <v>57</v>
      </c>
      <c r="C13" s="75" t="s">
        <v>58</v>
      </c>
      <c r="D13" s="40">
        <v>3151</v>
      </c>
      <c r="E13" s="40">
        <v>3152</v>
      </c>
      <c r="F13" s="40">
        <v>3152</v>
      </c>
      <c r="G13" s="40">
        <v>3152</v>
      </c>
      <c r="H13" s="40">
        <v>3152</v>
      </c>
      <c r="I13" s="40">
        <v>3152</v>
      </c>
      <c r="J13" s="40">
        <v>3152</v>
      </c>
      <c r="K13" s="40">
        <v>3152</v>
      </c>
      <c r="L13" s="40">
        <v>3152</v>
      </c>
      <c r="M13" s="40">
        <v>3152</v>
      </c>
      <c r="N13" s="40">
        <v>3152</v>
      </c>
      <c r="O13" s="40">
        <v>3152</v>
      </c>
      <c r="P13" s="40">
        <v>3152</v>
      </c>
      <c r="Q13" s="40">
        <v>3152</v>
      </c>
      <c r="R13" s="40">
        <v>3152</v>
      </c>
      <c r="S13" s="40">
        <v>3152</v>
      </c>
      <c r="T13" s="40">
        <v>3152</v>
      </c>
      <c r="U13" s="40">
        <v>3152</v>
      </c>
      <c r="V13" s="40">
        <v>3152</v>
      </c>
      <c r="W13" s="40">
        <v>3152</v>
      </c>
      <c r="X13" s="40">
        <v>3152</v>
      </c>
      <c r="Y13" s="40">
        <v>3152</v>
      </c>
      <c r="Z13" s="40">
        <v>3152</v>
      </c>
      <c r="AA13" s="40">
        <v>3152</v>
      </c>
      <c r="AB13" s="40">
        <v>3152</v>
      </c>
      <c r="AC13" s="40">
        <v>3152</v>
      </c>
      <c r="AD13" s="40">
        <v>3152</v>
      </c>
      <c r="AE13" s="40">
        <v>3152</v>
      </c>
      <c r="AF13" s="40">
        <v>3152</v>
      </c>
      <c r="AG13" s="40">
        <v>3152</v>
      </c>
      <c r="AH13" s="40">
        <v>3152</v>
      </c>
      <c r="AI13" s="40">
        <v>3152</v>
      </c>
    </row>
    <row r="14" spans="1:67" s="24" customFormat="1" ht="21.75" customHeight="1" thickBot="1" x14ac:dyDescent="0.25">
      <c r="A14" s="78"/>
      <c r="B14" s="41"/>
      <c r="C14" s="76"/>
      <c r="D14" s="42"/>
      <c r="E14" s="42">
        <f t="shared" ref="E14:AI14" si="4">E13-D13</f>
        <v>1</v>
      </c>
      <c r="F14" s="42">
        <f t="shared" si="4"/>
        <v>0</v>
      </c>
      <c r="G14" s="42">
        <f t="shared" si="4"/>
        <v>0</v>
      </c>
      <c r="H14" s="42">
        <f t="shared" si="4"/>
        <v>0</v>
      </c>
      <c r="I14" s="42">
        <f t="shared" si="4"/>
        <v>0</v>
      </c>
      <c r="J14" s="42">
        <f t="shared" si="4"/>
        <v>0</v>
      </c>
      <c r="K14" s="42">
        <f t="shared" si="4"/>
        <v>0</v>
      </c>
      <c r="L14" s="42">
        <f t="shared" si="4"/>
        <v>0</v>
      </c>
      <c r="M14" s="42">
        <f t="shared" si="4"/>
        <v>0</v>
      </c>
      <c r="N14" s="42">
        <f t="shared" si="4"/>
        <v>0</v>
      </c>
      <c r="O14" s="42">
        <f t="shared" si="4"/>
        <v>0</v>
      </c>
      <c r="P14" s="42">
        <f t="shared" si="4"/>
        <v>0</v>
      </c>
      <c r="Q14" s="42">
        <f t="shared" si="4"/>
        <v>0</v>
      </c>
      <c r="R14" s="42">
        <f t="shared" si="4"/>
        <v>0</v>
      </c>
      <c r="S14" s="42">
        <f t="shared" si="4"/>
        <v>0</v>
      </c>
      <c r="T14" s="42">
        <f t="shared" si="4"/>
        <v>0</v>
      </c>
      <c r="U14" s="42">
        <f t="shared" si="4"/>
        <v>0</v>
      </c>
      <c r="V14" s="42">
        <f t="shared" si="4"/>
        <v>0</v>
      </c>
      <c r="W14" s="42">
        <f t="shared" si="4"/>
        <v>0</v>
      </c>
      <c r="X14" s="42">
        <f t="shared" si="4"/>
        <v>0</v>
      </c>
      <c r="Y14" s="42">
        <f t="shared" si="4"/>
        <v>0</v>
      </c>
      <c r="Z14" s="42">
        <f t="shared" si="4"/>
        <v>0</v>
      </c>
      <c r="AA14" s="42">
        <f t="shared" si="4"/>
        <v>0</v>
      </c>
      <c r="AB14" s="42">
        <f t="shared" si="4"/>
        <v>0</v>
      </c>
      <c r="AC14" s="42">
        <f t="shared" si="4"/>
        <v>0</v>
      </c>
      <c r="AD14" s="42">
        <f t="shared" si="4"/>
        <v>0</v>
      </c>
      <c r="AE14" s="42">
        <f t="shared" si="4"/>
        <v>0</v>
      </c>
      <c r="AF14" s="42">
        <f t="shared" si="4"/>
        <v>0</v>
      </c>
      <c r="AG14" s="42">
        <f t="shared" si="4"/>
        <v>0</v>
      </c>
      <c r="AH14" s="42">
        <f t="shared" si="4"/>
        <v>0</v>
      </c>
      <c r="AI14" s="42">
        <f t="shared" si="4"/>
        <v>0</v>
      </c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</row>
    <row r="15" spans="1:67" ht="21.75" customHeight="1" x14ac:dyDescent="0.2">
      <c r="A15" s="73">
        <v>8</v>
      </c>
      <c r="B15" s="39" t="s">
        <v>59</v>
      </c>
      <c r="C15" s="75" t="s">
        <v>60</v>
      </c>
      <c r="D15" s="40">
        <v>401</v>
      </c>
      <c r="E15" s="40">
        <v>401</v>
      </c>
      <c r="F15" s="40">
        <v>402</v>
      </c>
      <c r="G15" s="40">
        <v>402</v>
      </c>
      <c r="H15" s="40">
        <v>402</v>
      </c>
      <c r="I15" s="40">
        <v>402</v>
      </c>
      <c r="J15" s="40">
        <v>402</v>
      </c>
      <c r="K15" s="40">
        <v>402</v>
      </c>
      <c r="L15" s="40">
        <v>402</v>
      </c>
      <c r="M15" s="40">
        <v>402</v>
      </c>
      <c r="N15" s="40">
        <v>402</v>
      </c>
      <c r="O15" s="40">
        <v>402</v>
      </c>
      <c r="P15" s="40">
        <v>402</v>
      </c>
      <c r="Q15" s="40">
        <v>402</v>
      </c>
      <c r="R15" s="40">
        <v>402</v>
      </c>
      <c r="S15" s="40">
        <v>402</v>
      </c>
      <c r="T15" s="40">
        <v>402</v>
      </c>
      <c r="U15" s="40">
        <v>403</v>
      </c>
      <c r="V15" s="40">
        <v>403</v>
      </c>
      <c r="W15" s="40">
        <v>403</v>
      </c>
      <c r="X15" s="40">
        <v>403</v>
      </c>
      <c r="Y15" s="40">
        <v>403</v>
      </c>
      <c r="Z15" s="40">
        <v>403</v>
      </c>
      <c r="AA15" s="40">
        <v>403</v>
      </c>
      <c r="AB15" s="40">
        <v>403</v>
      </c>
      <c r="AC15" s="40">
        <v>403</v>
      </c>
      <c r="AD15" s="40">
        <v>403</v>
      </c>
      <c r="AE15" s="40">
        <v>403</v>
      </c>
      <c r="AF15" s="40">
        <v>403</v>
      </c>
      <c r="AG15" s="40">
        <v>403</v>
      </c>
      <c r="AH15" s="40">
        <v>403</v>
      </c>
      <c r="AI15" s="40">
        <v>403</v>
      </c>
    </row>
    <row r="16" spans="1:67" s="24" customFormat="1" ht="21.75" customHeight="1" thickBot="1" x14ac:dyDescent="0.25">
      <c r="A16" s="74"/>
      <c r="B16" s="41"/>
      <c r="C16" s="76"/>
      <c r="D16" s="42"/>
      <c r="E16" s="42">
        <f t="shared" ref="E16:AI16" si="5">E15-D15</f>
        <v>0</v>
      </c>
      <c r="F16" s="42">
        <f t="shared" si="5"/>
        <v>1</v>
      </c>
      <c r="G16" s="42">
        <f t="shared" si="5"/>
        <v>0</v>
      </c>
      <c r="H16" s="42">
        <f t="shared" si="5"/>
        <v>0</v>
      </c>
      <c r="I16" s="42">
        <f t="shared" si="5"/>
        <v>0</v>
      </c>
      <c r="J16" s="42">
        <f t="shared" si="5"/>
        <v>0</v>
      </c>
      <c r="K16" s="42">
        <f t="shared" si="5"/>
        <v>0</v>
      </c>
      <c r="L16" s="42">
        <f t="shared" si="5"/>
        <v>0</v>
      </c>
      <c r="M16" s="42">
        <f t="shared" si="5"/>
        <v>0</v>
      </c>
      <c r="N16" s="42">
        <f t="shared" si="5"/>
        <v>0</v>
      </c>
      <c r="O16" s="42">
        <f t="shared" si="5"/>
        <v>0</v>
      </c>
      <c r="P16" s="42">
        <f t="shared" si="5"/>
        <v>0</v>
      </c>
      <c r="Q16" s="42">
        <f t="shared" si="5"/>
        <v>0</v>
      </c>
      <c r="R16" s="42">
        <f t="shared" si="5"/>
        <v>0</v>
      </c>
      <c r="S16" s="42">
        <f t="shared" si="5"/>
        <v>0</v>
      </c>
      <c r="T16" s="42">
        <f t="shared" si="5"/>
        <v>0</v>
      </c>
      <c r="U16" s="42">
        <f t="shared" si="5"/>
        <v>1</v>
      </c>
      <c r="V16" s="42">
        <f t="shared" si="5"/>
        <v>0</v>
      </c>
      <c r="W16" s="42">
        <f t="shared" si="5"/>
        <v>0</v>
      </c>
      <c r="X16" s="42">
        <f t="shared" si="5"/>
        <v>0</v>
      </c>
      <c r="Y16" s="42">
        <f t="shared" si="5"/>
        <v>0</v>
      </c>
      <c r="Z16" s="42">
        <f t="shared" si="5"/>
        <v>0</v>
      </c>
      <c r="AA16" s="42">
        <f t="shared" si="5"/>
        <v>0</v>
      </c>
      <c r="AB16" s="42">
        <f t="shared" si="5"/>
        <v>0</v>
      </c>
      <c r="AC16" s="42">
        <f t="shared" si="5"/>
        <v>0</v>
      </c>
      <c r="AD16" s="42">
        <f t="shared" si="5"/>
        <v>0</v>
      </c>
      <c r="AE16" s="42">
        <f t="shared" si="5"/>
        <v>0</v>
      </c>
      <c r="AF16" s="42">
        <f t="shared" si="5"/>
        <v>0</v>
      </c>
      <c r="AG16" s="42">
        <f t="shared" si="5"/>
        <v>0</v>
      </c>
      <c r="AH16" s="42">
        <f t="shared" si="5"/>
        <v>0</v>
      </c>
      <c r="AI16" s="42">
        <f t="shared" si="5"/>
        <v>0</v>
      </c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</row>
    <row r="17" spans="1:35" ht="21.75" customHeight="1" x14ac:dyDescent="0.2">
      <c r="A17" s="73">
        <v>13</v>
      </c>
      <c r="B17" s="39" t="s">
        <v>61</v>
      </c>
      <c r="C17" s="75" t="s">
        <v>62</v>
      </c>
      <c r="D17" s="40">
        <v>1299186</v>
      </c>
      <c r="E17" s="40">
        <v>1299456</v>
      </c>
      <c r="F17" s="40">
        <v>1299706</v>
      </c>
      <c r="G17" s="40">
        <v>1299988</v>
      </c>
      <c r="H17" s="40">
        <v>1300315</v>
      </c>
      <c r="I17" s="40">
        <v>1300587</v>
      </c>
      <c r="J17" s="40">
        <v>1300887</v>
      </c>
      <c r="K17" s="40">
        <v>1301196</v>
      </c>
      <c r="L17" s="40">
        <v>1301458</v>
      </c>
      <c r="M17" s="40">
        <v>1301794</v>
      </c>
      <c r="N17" s="40">
        <v>1302071</v>
      </c>
      <c r="O17" s="40">
        <v>1302366</v>
      </c>
      <c r="P17" s="40">
        <v>1302650</v>
      </c>
      <c r="Q17" s="40">
        <v>1302949</v>
      </c>
      <c r="R17" s="40">
        <v>1303261</v>
      </c>
      <c r="S17" s="40">
        <v>1303563</v>
      </c>
      <c r="T17" s="40">
        <v>1303865</v>
      </c>
      <c r="U17" s="40">
        <v>1304194</v>
      </c>
      <c r="V17" s="40">
        <v>1304479</v>
      </c>
      <c r="W17" s="40">
        <v>1304785</v>
      </c>
      <c r="X17" s="40">
        <v>1305079</v>
      </c>
      <c r="Y17" s="40">
        <v>1305368</v>
      </c>
      <c r="Z17" s="40">
        <v>1305649</v>
      </c>
      <c r="AA17" s="40">
        <v>1305964</v>
      </c>
      <c r="AB17" s="40">
        <v>1306278</v>
      </c>
      <c r="AC17" s="40">
        <v>1306614</v>
      </c>
      <c r="AD17" s="40">
        <v>1306900</v>
      </c>
      <c r="AE17" s="40">
        <v>1307194</v>
      </c>
      <c r="AF17" s="40">
        <v>1307504</v>
      </c>
      <c r="AG17" s="40">
        <v>1307777</v>
      </c>
      <c r="AH17" s="40">
        <v>1308073</v>
      </c>
      <c r="AI17" s="40">
        <v>1308375</v>
      </c>
    </row>
    <row r="18" spans="1:35" ht="21.75" customHeight="1" thickBot="1" x14ac:dyDescent="0.25">
      <c r="A18" s="81"/>
      <c r="B18" s="43"/>
      <c r="C18" s="82"/>
      <c r="D18" s="42"/>
      <c r="E18" s="42">
        <f t="shared" ref="E18:AI18" si="6">E17-D17</f>
        <v>270</v>
      </c>
      <c r="F18" s="42">
        <f t="shared" si="6"/>
        <v>250</v>
      </c>
      <c r="G18" s="42">
        <f t="shared" si="6"/>
        <v>282</v>
      </c>
      <c r="H18" s="42">
        <f t="shared" si="6"/>
        <v>327</v>
      </c>
      <c r="I18" s="42">
        <f t="shared" si="6"/>
        <v>272</v>
      </c>
      <c r="J18" s="42">
        <f t="shared" si="6"/>
        <v>300</v>
      </c>
      <c r="K18" s="42">
        <f t="shared" si="6"/>
        <v>309</v>
      </c>
      <c r="L18" s="42">
        <f t="shared" si="6"/>
        <v>262</v>
      </c>
      <c r="M18" s="42">
        <f t="shared" si="6"/>
        <v>336</v>
      </c>
      <c r="N18" s="42">
        <f t="shared" si="6"/>
        <v>277</v>
      </c>
      <c r="O18" s="42">
        <f t="shared" si="6"/>
        <v>295</v>
      </c>
      <c r="P18" s="42">
        <f t="shared" si="6"/>
        <v>284</v>
      </c>
      <c r="Q18" s="42">
        <f t="shared" si="6"/>
        <v>299</v>
      </c>
      <c r="R18" s="42">
        <f t="shared" si="6"/>
        <v>312</v>
      </c>
      <c r="S18" s="42">
        <f t="shared" si="6"/>
        <v>302</v>
      </c>
      <c r="T18" s="42">
        <f t="shared" si="6"/>
        <v>302</v>
      </c>
      <c r="U18" s="42">
        <f t="shared" si="6"/>
        <v>329</v>
      </c>
      <c r="V18" s="42">
        <f t="shared" si="6"/>
        <v>285</v>
      </c>
      <c r="W18" s="42">
        <f t="shared" si="6"/>
        <v>306</v>
      </c>
      <c r="X18" s="42">
        <f t="shared" si="6"/>
        <v>294</v>
      </c>
      <c r="Y18" s="42">
        <f t="shared" si="6"/>
        <v>289</v>
      </c>
      <c r="Z18" s="42">
        <f t="shared" si="6"/>
        <v>281</v>
      </c>
      <c r="AA18" s="42">
        <f t="shared" si="6"/>
        <v>315</v>
      </c>
      <c r="AB18" s="42">
        <f t="shared" si="6"/>
        <v>314</v>
      </c>
      <c r="AC18" s="42">
        <f t="shared" si="6"/>
        <v>336</v>
      </c>
      <c r="AD18" s="42">
        <f t="shared" si="6"/>
        <v>286</v>
      </c>
      <c r="AE18" s="42">
        <f t="shared" si="6"/>
        <v>294</v>
      </c>
      <c r="AF18" s="42">
        <f t="shared" si="6"/>
        <v>310</v>
      </c>
      <c r="AG18" s="42">
        <f t="shared" si="6"/>
        <v>273</v>
      </c>
      <c r="AH18" s="42">
        <f t="shared" si="6"/>
        <v>296</v>
      </c>
      <c r="AI18" s="42">
        <f t="shared" si="6"/>
        <v>302</v>
      </c>
    </row>
    <row r="19" spans="1:35" ht="21.75" customHeight="1" x14ac:dyDescent="0.2">
      <c r="A19" s="83">
        <v>14</v>
      </c>
      <c r="B19" s="39" t="s">
        <v>63</v>
      </c>
      <c r="C19" s="75" t="s">
        <v>64</v>
      </c>
      <c r="D19" s="40">
        <v>358715</v>
      </c>
      <c r="E19" s="40">
        <v>358757</v>
      </c>
      <c r="F19" s="40">
        <v>358799</v>
      </c>
      <c r="G19" s="40">
        <v>358842</v>
      </c>
      <c r="H19" s="40">
        <v>358884</v>
      </c>
      <c r="I19" s="40">
        <v>358929</v>
      </c>
      <c r="J19" s="40">
        <v>358973</v>
      </c>
      <c r="K19" s="40">
        <v>359016</v>
      </c>
      <c r="L19" s="40">
        <v>359061</v>
      </c>
      <c r="M19" s="40">
        <v>359106</v>
      </c>
      <c r="N19" s="40">
        <v>359154</v>
      </c>
      <c r="O19" s="40">
        <v>359193</v>
      </c>
      <c r="P19" s="40">
        <v>359235</v>
      </c>
      <c r="Q19" s="40">
        <v>359280</v>
      </c>
      <c r="R19" s="40">
        <v>359326</v>
      </c>
      <c r="S19" s="40">
        <v>359369</v>
      </c>
      <c r="T19" s="40">
        <v>359413</v>
      </c>
      <c r="U19" s="40">
        <v>359458</v>
      </c>
      <c r="V19" s="40">
        <v>359503</v>
      </c>
      <c r="W19" s="40">
        <v>359546</v>
      </c>
      <c r="X19" s="40">
        <v>359593</v>
      </c>
      <c r="Y19" s="40">
        <v>359637</v>
      </c>
      <c r="Z19" s="40">
        <v>359684</v>
      </c>
      <c r="AA19" s="40">
        <v>359731</v>
      </c>
      <c r="AB19" s="40">
        <v>359779</v>
      </c>
      <c r="AC19" s="40">
        <v>359827</v>
      </c>
      <c r="AD19" s="40">
        <v>359874</v>
      </c>
      <c r="AE19" s="40">
        <v>359926</v>
      </c>
      <c r="AF19" s="40">
        <v>359973</v>
      </c>
      <c r="AG19" s="40">
        <v>360018</v>
      </c>
      <c r="AH19" s="40">
        <v>360063</v>
      </c>
      <c r="AI19" s="40">
        <v>360108</v>
      </c>
    </row>
    <row r="20" spans="1:35" ht="21.75" customHeight="1" thickBot="1" x14ac:dyDescent="0.25">
      <c r="A20" s="78"/>
      <c r="B20" s="43"/>
      <c r="C20" s="82"/>
      <c r="D20" s="42"/>
      <c r="E20" s="42">
        <f t="shared" ref="E20:AI20" si="7">E19-D19</f>
        <v>42</v>
      </c>
      <c r="F20" s="42">
        <f t="shared" si="7"/>
        <v>42</v>
      </c>
      <c r="G20" s="42">
        <f t="shared" si="7"/>
        <v>43</v>
      </c>
      <c r="H20" s="42">
        <f t="shared" si="7"/>
        <v>42</v>
      </c>
      <c r="I20" s="42">
        <f t="shared" si="7"/>
        <v>45</v>
      </c>
      <c r="J20" s="42">
        <f t="shared" si="7"/>
        <v>44</v>
      </c>
      <c r="K20" s="42">
        <f t="shared" si="7"/>
        <v>43</v>
      </c>
      <c r="L20" s="42">
        <f t="shared" si="7"/>
        <v>45</v>
      </c>
      <c r="M20" s="42">
        <f t="shared" si="7"/>
        <v>45</v>
      </c>
      <c r="N20" s="42">
        <f t="shared" si="7"/>
        <v>48</v>
      </c>
      <c r="O20" s="42">
        <f t="shared" si="7"/>
        <v>39</v>
      </c>
      <c r="P20" s="42">
        <f t="shared" si="7"/>
        <v>42</v>
      </c>
      <c r="Q20" s="42">
        <f t="shared" si="7"/>
        <v>45</v>
      </c>
      <c r="R20" s="42">
        <f t="shared" si="7"/>
        <v>46</v>
      </c>
      <c r="S20" s="42">
        <f t="shared" si="7"/>
        <v>43</v>
      </c>
      <c r="T20" s="42">
        <f t="shared" si="7"/>
        <v>44</v>
      </c>
      <c r="U20" s="42">
        <f t="shared" si="7"/>
        <v>45</v>
      </c>
      <c r="V20" s="42">
        <f t="shared" si="7"/>
        <v>45</v>
      </c>
      <c r="W20" s="42">
        <f t="shared" si="7"/>
        <v>43</v>
      </c>
      <c r="X20" s="42">
        <f t="shared" si="7"/>
        <v>47</v>
      </c>
      <c r="Y20" s="42">
        <f t="shared" si="7"/>
        <v>44</v>
      </c>
      <c r="Z20" s="42">
        <f t="shared" si="7"/>
        <v>47</v>
      </c>
      <c r="AA20" s="42">
        <f t="shared" si="7"/>
        <v>47</v>
      </c>
      <c r="AB20" s="42">
        <f t="shared" si="7"/>
        <v>48</v>
      </c>
      <c r="AC20" s="42">
        <f t="shared" si="7"/>
        <v>48</v>
      </c>
      <c r="AD20" s="42">
        <f t="shared" si="7"/>
        <v>47</v>
      </c>
      <c r="AE20" s="42">
        <f t="shared" si="7"/>
        <v>52</v>
      </c>
      <c r="AF20" s="42">
        <f t="shared" si="7"/>
        <v>47</v>
      </c>
      <c r="AG20" s="42">
        <f t="shared" si="7"/>
        <v>45</v>
      </c>
      <c r="AH20" s="42">
        <f t="shared" si="7"/>
        <v>45</v>
      </c>
      <c r="AI20" s="42">
        <f t="shared" si="7"/>
        <v>45</v>
      </c>
    </row>
    <row r="21" spans="1:35" ht="27" customHeight="1" x14ac:dyDescent="0.3">
      <c r="B21" s="84" t="s">
        <v>65</v>
      </c>
      <c r="C21" s="84"/>
      <c r="D21" s="44"/>
      <c r="E21" s="59">
        <f>((E6+E8)+((E10+E12)*40%)+(E14+E16+E18+E20))</f>
        <v>35406.6</v>
      </c>
      <c r="F21" s="59">
        <f t="shared" ref="F21:AI21" si="8">((F6+F8)+((F10+F12)*40%)+(F14+F16+F18+F20))</f>
        <v>36075.599999999999</v>
      </c>
      <c r="G21" s="59">
        <f t="shared" si="8"/>
        <v>36985.4</v>
      </c>
      <c r="H21" s="59">
        <f t="shared" si="8"/>
        <v>35677.199999999997</v>
      </c>
      <c r="I21" s="59">
        <f t="shared" si="8"/>
        <v>36307.4</v>
      </c>
      <c r="J21" s="59">
        <f t="shared" si="8"/>
        <v>36950.800000000003</v>
      </c>
      <c r="K21" s="59">
        <f t="shared" si="8"/>
        <v>36867.4</v>
      </c>
      <c r="L21" s="59">
        <f t="shared" si="8"/>
        <v>36493.199999999997</v>
      </c>
      <c r="M21" s="59">
        <f t="shared" si="8"/>
        <v>36322.400000000001</v>
      </c>
      <c r="N21" s="59">
        <f t="shared" si="8"/>
        <v>41057</v>
      </c>
      <c r="O21" s="59">
        <f t="shared" si="8"/>
        <v>33409.199999999997</v>
      </c>
      <c r="P21" s="59">
        <f t="shared" si="8"/>
        <v>37166</v>
      </c>
      <c r="Q21" s="59">
        <f t="shared" si="8"/>
        <v>39463.199999999997</v>
      </c>
      <c r="R21" s="59">
        <f t="shared" si="8"/>
        <v>38721.4</v>
      </c>
      <c r="S21" s="59">
        <f t="shared" si="8"/>
        <v>37336.6</v>
      </c>
      <c r="T21" s="59">
        <f t="shared" si="8"/>
        <v>37463.199999999997</v>
      </c>
      <c r="U21" s="59">
        <f t="shared" si="8"/>
        <v>38587.800000000003</v>
      </c>
      <c r="V21" s="59">
        <f t="shared" si="8"/>
        <v>37199</v>
      </c>
      <c r="W21" s="59">
        <f t="shared" si="8"/>
        <v>38785.800000000003</v>
      </c>
      <c r="X21" s="59">
        <f t="shared" si="8"/>
        <v>38953</v>
      </c>
      <c r="Y21" s="59">
        <f t="shared" si="8"/>
        <v>38163.599999999999</v>
      </c>
      <c r="Z21" s="59">
        <f t="shared" si="8"/>
        <v>39301.800000000003</v>
      </c>
      <c r="AA21" s="59">
        <f t="shared" si="8"/>
        <v>39652.400000000001</v>
      </c>
      <c r="AB21" s="59">
        <f t="shared" si="8"/>
        <v>40191.4</v>
      </c>
      <c r="AC21" s="59">
        <f t="shared" si="8"/>
        <v>38031.4</v>
      </c>
      <c r="AD21" s="59">
        <f t="shared" si="8"/>
        <v>38403.199999999997</v>
      </c>
      <c r="AE21" s="59">
        <f t="shared" si="8"/>
        <v>39014.800000000003</v>
      </c>
      <c r="AF21" s="59">
        <f t="shared" si="8"/>
        <v>40036.199999999997</v>
      </c>
      <c r="AG21" s="59">
        <f t="shared" si="8"/>
        <v>39958.800000000003</v>
      </c>
      <c r="AH21" s="59">
        <f t="shared" si="8"/>
        <v>41532.800000000003</v>
      </c>
      <c r="AI21" s="59">
        <f t="shared" si="8"/>
        <v>41400</v>
      </c>
    </row>
    <row r="22" spans="1:35" ht="27" customHeight="1" x14ac:dyDescent="0.3">
      <c r="B22" s="80" t="s">
        <v>66</v>
      </c>
      <c r="C22" s="80"/>
      <c r="D22" s="44"/>
      <c r="E22" s="59">
        <f>SUM(E21:AI21)</f>
        <v>1180914.6000000003</v>
      </c>
      <c r="F22" s="45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</row>
  </sheetData>
  <mergeCells count="20">
    <mergeCell ref="B22:C22"/>
    <mergeCell ref="A17:A18"/>
    <mergeCell ref="C17:C18"/>
    <mergeCell ref="A19:A20"/>
    <mergeCell ref="C19:C20"/>
    <mergeCell ref="B21:C21"/>
    <mergeCell ref="A15:A16"/>
    <mergeCell ref="C15:C16"/>
    <mergeCell ref="A9:A10"/>
    <mergeCell ref="C9:C10"/>
    <mergeCell ref="A11:A12"/>
    <mergeCell ref="C11:C12"/>
    <mergeCell ref="A13:A14"/>
    <mergeCell ref="C13:C14"/>
    <mergeCell ref="A2:AI2"/>
    <mergeCell ref="C3:AI3"/>
    <mergeCell ref="A5:A6"/>
    <mergeCell ref="C5:C6"/>
    <mergeCell ref="A7:A8"/>
    <mergeCell ref="C7:C8"/>
  </mergeCells>
  <pageMargins left="0.25" right="0.25" top="0.75" bottom="0.75" header="0.3" footer="0.3"/>
  <pageSetup scale="19" orientation="portrait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28519-3124-402A-B866-B6A3B7F5FCE4}">
  <sheetPr>
    <pageSetUpPr fitToPage="1"/>
  </sheetPr>
  <dimension ref="A1:G35"/>
  <sheetViews>
    <sheetView zoomScaleNormal="100" workbookViewId="0">
      <pane ySplit="3" topLeftCell="A11" activePane="bottomLeft" state="frozen"/>
      <selection pane="bottomLeft" activeCell="B3" sqref="B3"/>
    </sheetView>
  </sheetViews>
  <sheetFormatPr defaultRowHeight="15" x14ac:dyDescent="0.25"/>
  <cols>
    <col min="1" max="1" width="9.7109375" customWidth="1"/>
    <col min="2" max="2" width="10.7109375" customWidth="1"/>
    <col min="3" max="3" width="12.28515625" bestFit="1" customWidth="1"/>
  </cols>
  <sheetData>
    <row r="1" spans="1:7" ht="50.25" customHeight="1" x14ac:dyDescent="0.25">
      <c r="A1" s="85" t="s">
        <v>85</v>
      </c>
      <c r="B1" s="85"/>
      <c r="C1" s="85"/>
    </row>
    <row r="3" spans="1:7" ht="48" x14ac:dyDescent="0.25">
      <c r="A3" s="51" t="s">
        <v>19</v>
      </c>
      <c r="B3" s="52">
        <v>56702.19</v>
      </c>
      <c r="C3" s="53"/>
    </row>
    <row r="4" spans="1:7" ht="28.5" customHeight="1" x14ac:dyDescent="0.25">
      <c r="A4" s="54">
        <v>1</v>
      </c>
      <c r="B4" s="52"/>
      <c r="C4" s="53">
        <f>B3/31</f>
        <v>1829.1029032258066</v>
      </c>
    </row>
    <row r="5" spans="1:7" ht="28.5" customHeight="1" x14ac:dyDescent="0.25">
      <c r="A5" s="54">
        <v>2</v>
      </c>
      <c r="B5" s="52"/>
      <c r="C5" s="53">
        <v>1829.1029032258066</v>
      </c>
    </row>
    <row r="6" spans="1:7" ht="28.5" customHeight="1" x14ac:dyDescent="0.25">
      <c r="A6" s="55">
        <v>3</v>
      </c>
      <c r="B6" s="52"/>
      <c r="C6" s="53">
        <v>1829.1029032258066</v>
      </c>
    </row>
    <row r="7" spans="1:7" ht="28.5" customHeight="1" x14ac:dyDescent="0.25">
      <c r="A7" s="54">
        <v>4</v>
      </c>
      <c r="B7" s="52"/>
      <c r="C7" s="53">
        <v>1829.1029032258066</v>
      </c>
    </row>
    <row r="8" spans="1:7" ht="28.5" customHeight="1" x14ac:dyDescent="0.25">
      <c r="A8" s="54">
        <v>5</v>
      </c>
      <c r="B8" s="52"/>
      <c r="C8" s="53">
        <v>1829.1029032258066</v>
      </c>
    </row>
    <row r="9" spans="1:7" ht="28.5" customHeight="1" x14ac:dyDescent="0.25">
      <c r="A9" s="54">
        <v>6</v>
      </c>
      <c r="B9" s="52"/>
      <c r="C9" s="53">
        <v>1829.1029032258066</v>
      </c>
      <c r="G9" t="s">
        <v>75</v>
      </c>
    </row>
    <row r="10" spans="1:7" ht="28.5" customHeight="1" x14ac:dyDescent="0.25">
      <c r="A10" s="54">
        <v>7</v>
      </c>
      <c r="B10" s="52"/>
      <c r="C10" s="53">
        <v>1829.1029032258066</v>
      </c>
    </row>
    <row r="11" spans="1:7" ht="28.5" customHeight="1" x14ac:dyDescent="0.25">
      <c r="A11" s="54">
        <v>8</v>
      </c>
      <c r="B11" s="52"/>
      <c r="C11" s="53">
        <v>1829.1029032258066</v>
      </c>
    </row>
    <row r="12" spans="1:7" ht="28.5" customHeight="1" x14ac:dyDescent="0.25">
      <c r="A12" s="54">
        <v>9</v>
      </c>
      <c r="B12" s="52"/>
      <c r="C12" s="53">
        <v>1829.1029032258066</v>
      </c>
    </row>
    <row r="13" spans="1:7" ht="28.5" customHeight="1" x14ac:dyDescent="0.25">
      <c r="A13" s="54">
        <v>10</v>
      </c>
      <c r="B13" s="52"/>
      <c r="C13" s="53">
        <v>1829.1029032258066</v>
      </c>
    </row>
    <row r="14" spans="1:7" ht="28.5" customHeight="1" x14ac:dyDescent="0.25">
      <c r="A14" s="54">
        <v>11</v>
      </c>
      <c r="B14" s="52"/>
      <c r="C14" s="53">
        <v>1829.1029032258066</v>
      </c>
    </row>
    <row r="15" spans="1:7" ht="28.5" customHeight="1" x14ac:dyDescent="0.25">
      <c r="A15" s="54">
        <v>12</v>
      </c>
      <c r="B15" s="52"/>
      <c r="C15" s="53">
        <v>1829.1029032258066</v>
      </c>
    </row>
    <row r="16" spans="1:7" ht="28.5" customHeight="1" x14ac:dyDescent="0.25">
      <c r="A16" s="54">
        <v>13</v>
      </c>
      <c r="B16" s="52"/>
      <c r="C16" s="53">
        <v>1829.1029032258066</v>
      </c>
    </row>
    <row r="17" spans="1:4" ht="28.5" customHeight="1" x14ac:dyDescent="0.25">
      <c r="A17" s="54">
        <v>14</v>
      </c>
      <c r="B17" s="52"/>
      <c r="C17" s="53">
        <v>1829.1029032258066</v>
      </c>
    </row>
    <row r="18" spans="1:4" ht="28.5" customHeight="1" x14ac:dyDescent="0.25">
      <c r="A18" s="54">
        <v>15</v>
      </c>
      <c r="B18" s="52"/>
      <c r="C18" s="53">
        <v>1829.1029032258066</v>
      </c>
    </row>
    <row r="19" spans="1:4" ht="28.5" customHeight="1" x14ac:dyDescent="0.25">
      <c r="A19" s="54">
        <v>16</v>
      </c>
      <c r="B19" s="52"/>
      <c r="C19" s="53">
        <v>1829.1029032258066</v>
      </c>
    </row>
    <row r="20" spans="1:4" ht="28.5" customHeight="1" x14ac:dyDescent="0.25">
      <c r="A20" s="54">
        <v>17</v>
      </c>
      <c r="B20" s="52"/>
      <c r="C20" s="53">
        <v>1829.1029032258066</v>
      </c>
    </row>
    <row r="21" spans="1:4" ht="28.5" customHeight="1" x14ac:dyDescent="0.25">
      <c r="A21" s="54">
        <v>18</v>
      </c>
      <c r="B21" s="52"/>
      <c r="C21" s="53">
        <v>1829.1029032258066</v>
      </c>
    </row>
    <row r="22" spans="1:4" ht="28.5" customHeight="1" x14ac:dyDescent="0.25">
      <c r="A22" s="54">
        <v>19</v>
      </c>
      <c r="B22" s="52"/>
      <c r="C22" s="53">
        <v>1829.1029032258066</v>
      </c>
    </row>
    <row r="23" spans="1:4" ht="28.5" customHeight="1" x14ac:dyDescent="0.25">
      <c r="A23" s="54">
        <v>20</v>
      </c>
      <c r="B23" s="52"/>
      <c r="C23" s="53">
        <v>1829.1029032258066</v>
      </c>
    </row>
    <row r="24" spans="1:4" ht="28.5" customHeight="1" x14ac:dyDescent="0.25">
      <c r="A24" s="54">
        <v>21</v>
      </c>
      <c r="B24" s="52"/>
      <c r="C24" s="53">
        <v>1829.1029032258066</v>
      </c>
    </row>
    <row r="25" spans="1:4" ht="28.5" customHeight="1" x14ac:dyDescent="0.25">
      <c r="A25" s="54">
        <v>22</v>
      </c>
      <c r="B25" s="52"/>
      <c r="C25" s="53">
        <v>1829.1029032258066</v>
      </c>
    </row>
    <row r="26" spans="1:4" ht="28.5" customHeight="1" x14ac:dyDescent="0.25">
      <c r="A26" s="54">
        <v>23</v>
      </c>
      <c r="B26" s="52"/>
      <c r="C26" s="53">
        <v>1829.1029032258066</v>
      </c>
    </row>
    <row r="27" spans="1:4" ht="28.5" customHeight="1" x14ac:dyDescent="0.25">
      <c r="A27" s="54">
        <v>24</v>
      </c>
      <c r="B27" s="52"/>
      <c r="C27" s="53">
        <v>1829.1029032258066</v>
      </c>
    </row>
    <row r="28" spans="1:4" ht="28.5" customHeight="1" x14ac:dyDescent="0.25">
      <c r="A28" s="54">
        <v>25</v>
      </c>
      <c r="B28" s="52"/>
      <c r="C28" s="53">
        <v>1829.1029032258066</v>
      </c>
      <c r="D28" s="56"/>
    </row>
    <row r="29" spans="1:4" ht="28.5" customHeight="1" x14ac:dyDescent="0.25">
      <c r="A29" s="54">
        <v>26</v>
      </c>
      <c r="B29" s="52"/>
      <c r="C29" s="53">
        <v>1829.1029032258066</v>
      </c>
      <c r="D29" s="56"/>
    </row>
    <row r="30" spans="1:4" ht="28.5" customHeight="1" x14ac:dyDescent="0.25">
      <c r="A30" s="54">
        <v>27</v>
      </c>
      <c r="B30" s="52"/>
      <c r="C30" s="53">
        <v>1829.1029032258066</v>
      </c>
    </row>
    <row r="31" spans="1:4" ht="28.5" customHeight="1" x14ac:dyDescent="0.25">
      <c r="A31" s="54">
        <v>28</v>
      </c>
      <c r="B31" s="52"/>
      <c r="C31" s="53">
        <v>1829.1029032258066</v>
      </c>
    </row>
    <row r="32" spans="1:4" ht="28.5" customHeight="1" x14ac:dyDescent="0.25">
      <c r="A32" s="54">
        <v>29</v>
      </c>
      <c r="B32" s="52"/>
      <c r="C32" s="53">
        <v>1829.1029032258066</v>
      </c>
    </row>
    <row r="33" spans="1:3" ht="28.5" customHeight="1" x14ac:dyDescent="0.25">
      <c r="A33" s="54">
        <v>30</v>
      </c>
      <c r="B33" s="52"/>
      <c r="C33" s="53">
        <v>1829.1029032258066</v>
      </c>
    </row>
    <row r="34" spans="1:3" ht="28.5" customHeight="1" x14ac:dyDescent="0.25">
      <c r="A34" s="54">
        <v>31</v>
      </c>
      <c r="B34" s="52"/>
      <c r="C34" s="53">
        <v>1829.1029032258066</v>
      </c>
    </row>
    <row r="35" spans="1:3" x14ac:dyDescent="0.25">
      <c r="A35" s="86" t="s">
        <v>76</v>
      </c>
      <c r="B35" s="86"/>
      <c r="C35" s="57">
        <f>SUM(C4:C34)</f>
        <v>56702.190000000046</v>
      </c>
    </row>
  </sheetData>
  <mergeCells count="2">
    <mergeCell ref="A35:B35"/>
    <mergeCell ref="A1:C1"/>
  </mergeCells>
  <printOptions horizontalCentered="1"/>
  <pageMargins left="0" right="0" top="0" bottom="0" header="0.3" footer="0.3"/>
  <pageSetup paperSize="9" scale="71" fitToHeight="0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95EAA-47F4-4B4C-AF06-1BB06658B4C9}">
  <sheetPr>
    <pageSetUpPr fitToPage="1"/>
  </sheetPr>
  <dimension ref="A2:AP29"/>
  <sheetViews>
    <sheetView zoomScale="115" zoomScaleNormal="115" workbookViewId="0">
      <pane xSplit="3" ySplit="4" topLeftCell="D12" activePane="bottomRight" state="frozen"/>
      <selection pane="topRight" activeCell="D1" sqref="D1"/>
      <selection pane="bottomLeft" activeCell="A5" sqref="A5"/>
      <selection pane="bottomRight" activeCell="D7" sqref="D7:AI14"/>
    </sheetView>
  </sheetViews>
  <sheetFormatPr defaultColWidth="9.140625" defaultRowHeight="70.5" customHeight="1" x14ac:dyDescent="0.25"/>
  <cols>
    <col min="1" max="1" width="5.7109375" style="2" customWidth="1"/>
    <col min="2" max="2" width="21.85546875" style="8" customWidth="1"/>
    <col min="3" max="3" width="23" style="35" customWidth="1"/>
    <col min="4" max="6" width="10.140625" style="8" customWidth="1"/>
    <col min="7" max="35" width="10.140625" style="2" customWidth="1"/>
    <col min="36" max="16384" width="9.140625" style="2"/>
  </cols>
  <sheetData>
    <row r="2" spans="1:42" s="8" customFormat="1" ht="25.7" customHeight="1" x14ac:dyDescent="0.4">
      <c r="B2" s="89" t="s">
        <v>86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</row>
    <row r="3" spans="1:42" s="8" customFormat="1" ht="30" customHeight="1" thickBot="1" x14ac:dyDescent="0.3"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</row>
    <row r="4" spans="1:42" s="30" customFormat="1" ht="57.75" customHeight="1" thickBot="1" x14ac:dyDescent="0.3">
      <c r="A4" s="15" t="s">
        <v>10</v>
      </c>
      <c r="B4" s="27" t="s">
        <v>18</v>
      </c>
      <c r="C4" s="27" t="s">
        <v>12</v>
      </c>
      <c r="D4" s="28" t="s">
        <v>19</v>
      </c>
      <c r="E4" s="29" t="s">
        <v>20</v>
      </c>
      <c r="F4" s="29" t="s">
        <v>21</v>
      </c>
      <c r="G4" s="29" t="s">
        <v>22</v>
      </c>
      <c r="H4" s="29" t="s">
        <v>23</v>
      </c>
      <c r="I4" s="29" t="s">
        <v>24</v>
      </c>
      <c r="J4" s="29" t="s">
        <v>25</v>
      </c>
      <c r="K4" s="29" t="s">
        <v>26</v>
      </c>
      <c r="L4" s="29" t="s">
        <v>27</v>
      </c>
      <c r="M4" s="29" t="s">
        <v>28</v>
      </c>
      <c r="N4" s="29" t="s">
        <v>29</v>
      </c>
      <c r="O4" s="29" t="s">
        <v>30</v>
      </c>
      <c r="P4" s="29" t="s">
        <v>31</v>
      </c>
      <c r="Q4" s="29" t="s">
        <v>32</v>
      </c>
      <c r="R4" s="29" t="s">
        <v>33</v>
      </c>
      <c r="S4" s="29" t="s">
        <v>34</v>
      </c>
      <c r="T4" s="29" t="s">
        <v>35</v>
      </c>
      <c r="U4" s="29" t="s">
        <v>36</v>
      </c>
      <c r="V4" s="29" t="s">
        <v>37</v>
      </c>
      <c r="W4" s="29" t="s">
        <v>38</v>
      </c>
      <c r="X4" s="29" t="s">
        <v>39</v>
      </c>
      <c r="Y4" s="29" t="s">
        <v>40</v>
      </c>
      <c r="Z4" s="29" t="s">
        <v>41</v>
      </c>
      <c r="AA4" s="29" t="s">
        <v>42</v>
      </c>
      <c r="AB4" s="29" t="s">
        <v>43</v>
      </c>
      <c r="AC4" s="29" t="s">
        <v>44</v>
      </c>
      <c r="AD4" s="29" t="s">
        <v>45</v>
      </c>
      <c r="AE4" s="29" t="s">
        <v>46</v>
      </c>
      <c r="AF4" s="29" t="s">
        <v>47</v>
      </c>
      <c r="AG4" s="29" t="s">
        <v>77</v>
      </c>
      <c r="AH4" s="29" t="s">
        <v>78</v>
      </c>
      <c r="AI4" s="29" t="s">
        <v>79</v>
      </c>
    </row>
    <row r="5" spans="1:42" s="8" customFormat="1" ht="40.5" customHeight="1" thickBot="1" x14ac:dyDescent="0.3">
      <c r="A5" s="92" t="s">
        <v>20</v>
      </c>
      <c r="B5" s="27" t="s">
        <v>48</v>
      </c>
      <c r="C5" s="94" t="s">
        <v>49</v>
      </c>
      <c r="D5" s="31">
        <v>3239</v>
      </c>
      <c r="E5" s="31">
        <v>3304</v>
      </c>
      <c r="F5" s="31">
        <v>3304</v>
      </c>
      <c r="G5" s="31">
        <v>3304</v>
      </c>
      <c r="H5" s="31">
        <v>3336</v>
      </c>
      <c r="I5" s="31">
        <v>3648</v>
      </c>
      <c r="J5" s="31">
        <v>4352</v>
      </c>
      <c r="K5" s="31">
        <v>4454</v>
      </c>
      <c r="L5" s="31">
        <v>4980</v>
      </c>
      <c r="M5" s="31">
        <v>5168</v>
      </c>
      <c r="N5" s="31">
        <v>5435</v>
      </c>
      <c r="O5" s="31">
        <v>5621</v>
      </c>
      <c r="P5" s="31">
        <v>5781</v>
      </c>
      <c r="Q5" s="31">
        <v>6014</v>
      </c>
      <c r="R5" s="31">
        <v>6204</v>
      </c>
      <c r="S5" s="31">
        <v>6418</v>
      </c>
      <c r="T5" s="31">
        <v>6624</v>
      </c>
      <c r="U5" s="31">
        <v>6805</v>
      </c>
      <c r="V5" s="31">
        <v>7002</v>
      </c>
      <c r="W5" s="31">
        <v>7188</v>
      </c>
      <c r="X5" s="31">
        <v>7334</v>
      </c>
      <c r="Y5" s="31">
        <v>7538</v>
      </c>
      <c r="Z5" s="31">
        <v>7707</v>
      </c>
      <c r="AA5" s="31">
        <v>7899</v>
      </c>
      <c r="AB5" s="31">
        <v>8099</v>
      </c>
      <c r="AC5" s="31">
        <v>8316</v>
      </c>
      <c r="AD5" s="31">
        <v>8495</v>
      </c>
      <c r="AE5" s="31">
        <v>8729</v>
      </c>
      <c r="AF5" s="31">
        <v>8954</v>
      </c>
      <c r="AG5" s="31">
        <v>9109</v>
      </c>
      <c r="AH5" s="31">
        <v>9319</v>
      </c>
      <c r="AI5" s="31">
        <v>9491</v>
      </c>
    </row>
    <row r="6" spans="1:42" s="34" customFormat="1" ht="25.7" customHeight="1" thickBot="1" x14ac:dyDescent="0.3">
      <c r="A6" s="93"/>
      <c r="B6" s="32"/>
      <c r="C6" s="94"/>
      <c r="D6" s="33"/>
      <c r="E6" s="33">
        <f t="shared" ref="E6:AI6" si="0">E5-D5</f>
        <v>65</v>
      </c>
      <c r="F6" s="33">
        <f t="shared" si="0"/>
        <v>0</v>
      </c>
      <c r="G6" s="33">
        <f t="shared" si="0"/>
        <v>0</v>
      </c>
      <c r="H6" s="33">
        <f t="shared" si="0"/>
        <v>32</v>
      </c>
      <c r="I6" s="33">
        <f t="shared" si="0"/>
        <v>312</v>
      </c>
      <c r="J6" s="33">
        <f t="shared" si="0"/>
        <v>704</v>
      </c>
      <c r="K6" s="33">
        <f t="shared" si="0"/>
        <v>102</v>
      </c>
      <c r="L6" s="33">
        <f t="shared" si="0"/>
        <v>526</v>
      </c>
      <c r="M6" s="33">
        <f t="shared" si="0"/>
        <v>188</v>
      </c>
      <c r="N6" s="33">
        <f t="shared" si="0"/>
        <v>267</v>
      </c>
      <c r="O6" s="33">
        <f t="shared" si="0"/>
        <v>186</v>
      </c>
      <c r="P6" s="33">
        <f t="shared" si="0"/>
        <v>160</v>
      </c>
      <c r="Q6" s="33">
        <f t="shared" si="0"/>
        <v>233</v>
      </c>
      <c r="R6" s="33">
        <f t="shared" si="0"/>
        <v>190</v>
      </c>
      <c r="S6" s="33">
        <f t="shared" si="0"/>
        <v>214</v>
      </c>
      <c r="T6" s="33">
        <f t="shared" si="0"/>
        <v>206</v>
      </c>
      <c r="U6" s="33">
        <f t="shared" si="0"/>
        <v>181</v>
      </c>
      <c r="V6" s="33">
        <f t="shared" si="0"/>
        <v>197</v>
      </c>
      <c r="W6" s="33">
        <f t="shared" si="0"/>
        <v>186</v>
      </c>
      <c r="X6" s="33">
        <f t="shared" si="0"/>
        <v>146</v>
      </c>
      <c r="Y6" s="33">
        <f t="shared" si="0"/>
        <v>204</v>
      </c>
      <c r="Z6" s="33">
        <f t="shared" si="0"/>
        <v>169</v>
      </c>
      <c r="AA6" s="33">
        <f t="shared" si="0"/>
        <v>192</v>
      </c>
      <c r="AB6" s="33">
        <f t="shared" si="0"/>
        <v>200</v>
      </c>
      <c r="AC6" s="33">
        <f t="shared" si="0"/>
        <v>217</v>
      </c>
      <c r="AD6" s="33">
        <f t="shared" si="0"/>
        <v>179</v>
      </c>
      <c r="AE6" s="33">
        <f t="shared" si="0"/>
        <v>234</v>
      </c>
      <c r="AF6" s="33">
        <f t="shared" si="0"/>
        <v>225</v>
      </c>
      <c r="AG6" s="33">
        <f t="shared" si="0"/>
        <v>155</v>
      </c>
      <c r="AH6" s="33">
        <f t="shared" si="0"/>
        <v>210</v>
      </c>
      <c r="AI6" s="33">
        <f t="shared" si="0"/>
        <v>172</v>
      </c>
      <c r="AJ6" s="8"/>
      <c r="AK6" s="8"/>
      <c r="AL6" s="8"/>
      <c r="AM6" s="8"/>
      <c r="AN6" s="8"/>
      <c r="AO6" s="8"/>
      <c r="AP6" s="8"/>
    </row>
    <row r="7" spans="1:42" s="8" customFormat="1" ht="39.75" customHeight="1" thickBot="1" x14ac:dyDescent="0.3">
      <c r="A7" s="92" t="s">
        <v>22</v>
      </c>
      <c r="B7" s="49" t="s">
        <v>69</v>
      </c>
      <c r="C7" s="94" t="s">
        <v>70</v>
      </c>
      <c r="D7" s="31">
        <v>383022</v>
      </c>
      <c r="E7" s="31">
        <v>383117.9</v>
      </c>
      <c r="F7" s="31">
        <v>383213</v>
      </c>
      <c r="G7" s="31">
        <v>383270.33</v>
      </c>
      <c r="H7" s="31">
        <v>383320.7</v>
      </c>
      <c r="I7" s="31">
        <v>383371.5</v>
      </c>
      <c r="J7" s="31">
        <v>383463.6</v>
      </c>
      <c r="K7" s="31">
        <v>383617.8</v>
      </c>
      <c r="L7" s="31">
        <v>383781.1</v>
      </c>
      <c r="M7" s="31">
        <v>383901.8</v>
      </c>
      <c r="N7" s="31">
        <v>384032.3</v>
      </c>
      <c r="O7" s="31">
        <v>384162.6</v>
      </c>
      <c r="P7" s="31">
        <v>384222.6</v>
      </c>
      <c r="Q7" s="31">
        <v>384389.7</v>
      </c>
      <c r="R7" s="31">
        <v>384520.1</v>
      </c>
      <c r="S7" s="31">
        <v>384603.7</v>
      </c>
      <c r="T7" s="31">
        <v>384816.8</v>
      </c>
      <c r="U7" s="31">
        <v>384937</v>
      </c>
      <c r="V7" s="31">
        <v>385020.5</v>
      </c>
      <c r="W7" s="31">
        <v>385150.9</v>
      </c>
      <c r="X7" s="31">
        <v>385257.5</v>
      </c>
      <c r="Y7" s="31">
        <v>385390.3</v>
      </c>
      <c r="Z7" s="31">
        <v>385533.6</v>
      </c>
      <c r="AA7" s="31">
        <v>385626.8</v>
      </c>
      <c r="AB7" s="31">
        <v>385835.4</v>
      </c>
      <c r="AC7" s="31">
        <v>385985.4</v>
      </c>
      <c r="AD7" s="31">
        <v>386044.7</v>
      </c>
      <c r="AE7" s="31">
        <v>386163.9</v>
      </c>
      <c r="AF7" s="31">
        <v>386326.2</v>
      </c>
      <c r="AG7" s="31">
        <v>386564.3</v>
      </c>
      <c r="AH7" s="31">
        <v>386746.7</v>
      </c>
      <c r="AI7" s="31">
        <v>386917.4</v>
      </c>
    </row>
    <row r="8" spans="1:42" s="34" customFormat="1" ht="25.7" customHeight="1" thickBot="1" x14ac:dyDescent="0.3">
      <c r="A8" s="93"/>
      <c r="B8" s="47"/>
      <c r="C8" s="94"/>
      <c r="D8" s="33"/>
      <c r="E8" s="33">
        <f t="shared" ref="E8:AI8" si="1">E7-D7</f>
        <v>95.900000000023283</v>
      </c>
      <c r="F8" s="33">
        <f t="shared" si="1"/>
        <v>95.099999999976717</v>
      </c>
      <c r="G8" s="33">
        <f t="shared" si="1"/>
        <v>57.330000000016298</v>
      </c>
      <c r="H8" s="33">
        <f t="shared" si="1"/>
        <v>50.369999999995343</v>
      </c>
      <c r="I8" s="33">
        <f t="shared" si="1"/>
        <v>50.799999999988358</v>
      </c>
      <c r="J8" s="33">
        <f t="shared" si="1"/>
        <v>92.099999999976717</v>
      </c>
      <c r="K8" s="33">
        <f t="shared" si="1"/>
        <v>154.20000000001164</v>
      </c>
      <c r="L8" s="33">
        <f t="shared" si="1"/>
        <v>163.29999999998836</v>
      </c>
      <c r="M8" s="33">
        <f t="shared" si="1"/>
        <v>120.70000000001164</v>
      </c>
      <c r="N8" s="33">
        <f t="shared" si="1"/>
        <v>130.5</v>
      </c>
      <c r="O8" s="33">
        <f t="shared" si="1"/>
        <v>130.29999999998836</v>
      </c>
      <c r="P8" s="33">
        <f t="shared" si="1"/>
        <v>60</v>
      </c>
      <c r="Q8" s="33">
        <f t="shared" si="1"/>
        <v>167.10000000003492</v>
      </c>
      <c r="R8" s="33">
        <f t="shared" si="1"/>
        <v>130.39999999996508</v>
      </c>
      <c r="S8" s="33">
        <f t="shared" si="1"/>
        <v>83.600000000034925</v>
      </c>
      <c r="T8" s="33">
        <f t="shared" si="1"/>
        <v>213.09999999997672</v>
      </c>
      <c r="U8" s="33">
        <f t="shared" si="1"/>
        <v>120.20000000001164</v>
      </c>
      <c r="V8" s="33">
        <f t="shared" si="1"/>
        <v>83.5</v>
      </c>
      <c r="W8" s="33">
        <f t="shared" si="1"/>
        <v>130.40000000002328</v>
      </c>
      <c r="X8" s="33">
        <f t="shared" si="1"/>
        <v>106.59999999997672</v>
      </c>
      <c r="Y8" s="33">
        <f t="shared" si="1"/>
        <v>132.79999999998836</v>
      </c>
      <c r="Z8" s="33">
        <f t="shared" si="1"/>
        <v>143.29999999998836</v>
      </c>
      <c r="AA8" s="33">
        <f t="shared" si="1"/>
        <v>93.200000000011642</v>
      </c>
      <c r="AB8" s="33">
        <f t="shared" si="1"/>
        <v>208.60000000003492</v>
      </c>
      <c r="AC8" s="33">
        <f t="shared" si="1"/>
        <v>150</v>
      </c>
      <c r="AD8" s="33">
        <f t="shared" si="1"/>
        <v>59.299999999988358</v>
      </c>
      <c r="AE8" s="33">
        <f t="shared" si="1"/>
        <v>119.20000000001164</v>
      </c>
      <c r="AF8" s="33">
        <f t="shared" si="1"/>
        <v>162.29999999998836</v>
      </c>
      <c r="AG8" s="33">
        <f t="shared" si="1"/>
        <v>238.09999999997672</v>
      </c>
      <c r="AH8" s="33">
        <f t="shared" si="1"/>
        <v>182.40000000002328</v>
      </c>
      <c r="AI8" s="33">
        <f t="shared" si="1"/>
        <v>170.70000000001164</v>
      </c>
      <c r="AJ8" s="8"/>
      <c r="AK8" s="8"/>
      <c r="AL8" s="8"/>
      <c r="AM8" s="8"/>
      <c r="AN8" s="8"/>
      <c r="AO8" s="8"/>
      <c r="AP8" s="8"/>
    </row>
    <row r="9" spans="1:42" s="8" customFormat="1" ht="25.7" customHeight="1" thickBot="1" x14ac:dyDescent="0.3">
      <c r="A9" s="92">
        <v>4</v>
      </c>
      <c r="B9" s="46" t="s">
        <v>67</v>
      </c>
      <c r="C9" s="94" t="s">
        <v>68</v>
      </c>
      <c r="D9" s="31">
        <v>46677</v>
      </c>
      <c r="E9" s="31">
        <v>46819</v>
      </c>
      <c r="F9" s="31">
        <v>46851</v>
      </c>
      <c r="G9" s="31">
        <v>46887</v>
      </c>
      <c r="H9" s="31">
        <v>46997</v>
      </c>
      <c r="I9" s="31">
        <v>46997</v>
      </c>
      <c r="J9" s="31">
        <v>47103</v>
      </c>
      <c r="K9" s="31">
        <v>47390</v>
      </c>
      <c r="L9" s="31">
        <v>47669</v>
      </c>
      <c r="M9" s="31">
        <v>47815</v>
      </c>
      <c r="N9" s="31">
        <v>47943</v>
      </c>
      <c r="O9" s="31">
        <v>48099</v>
      </c>
      <c r="P9" s="31">
        <v>48099</v>
      </c>
      <c r="Q9" s="31">
        <v>48269</v>
      </c>
      <c r="R9" s="31">
        <v>48410</v>
      </c>
      <c r="S9" s="31">
        <v>48440</v>
      </c>
      <c r="T9" s="31">
        <v>48723</v>
      </c>
      <c r="U9" s="31">
        <v>48837</v>
      </c>
      <c r="V9" s="31">
        <v>48992</v>
      </c>
      <c r="W9" s="31">
        <v>48992</v>
      </c>
      <c r="X9" s="31">
        <v>49164</v>
      </c>
      <c r="Y9" s="31">
        <v>49306</v>
      </c>
      <c r="Z9" s="31">
        <v>49405</v>
      </c>
      <c r="AA9" s="31">
        <v>49544</v>
      </c>
      <c r="AB9" s="31">
        <v>49636</v>
      </c>
      <c r="AC9" s="31">
        <v>49791</v>
      </c>
      <c r="AD9" s="31">
        <v>49791</v>
      </c>
      <c r="AE9" s="31">
        <v>49953</v>
      </c>
      <c r="AF9" s="31">
        <v>50072</v>
      </c>
      <c r="AG9" s="31">
        <v>50224</v>
      </c>
      <c r="AH9" s="31">
        <v>50367</v>
      </c>
      <c r="AI9" s="31">
        <v>50467</v>
      </c>
    </row>
    <row r="10" spans="1:42" s="34" customFormat="1" ht="25.7" customHeight="1" thickBot="1" x14ac:dyDescent="0.3">
      <c r="A10" s="93"/>
      <c r="B10" s="47"/>
      <c r="C10" s="94"/>
      <c r="D10" s="33"/>
      <c r="E10" s="33">
        <f t="shared" ref="E10:AI10" si="2">E9-D9</f>
        <v>142</v>
      </c>
      <c r="F10" s="33">
        <f t="shared" si="2"/>
        <v>32</v>
      </c>
      <c r="G10" s="33">
        <f t="shared" si="2"/>
        <v>36</v>
      </c>
      <c r="H10" s="33">
        <f t="shared" si="2"/>
        <v>110</v>
      </c>
      <c r="I10" s="33">
        <f t="shared" si="2"/>
        <v>0</v>
      </c>
      <c r="J10" s="33">
        <f t="shared" si="2"/>
        <v>106</v>
      </c>
      <c r="K10" s="33">
        <f t="shared" si="2"/>
        <v>287</v>
      </c>
      <c r="L10" s="33">
        <f t="shared" si="2"/>
        <v>279</v>
      </c>
      <c r="M10" s="33">
        <f t="shared" si="2"/>
        <v>146</v>
      </c>
      <c r="N10" s="33">
        <f t="shared" si="2"/>
        <v>128</v>
      </c>
      <c r="O10" s="33">
        <f t="shared" si="2"/>
        <v>156</v>
      </c>
      <c r="P10" s="33">
        <f t="shared" si="2"/>
        <v>0</v>
      </c>
      <c r="Q10" s="33">
        <f t="shared" si="2"/>
        <v>170</v>
      </c>
      <c r="R10" s="33">
        <f t="shared" si="2"/>
        <v>141</v>
      </c>
      <c r="S10" s="33">
        <f t="shared" si="2"/>
        <v>30</v>
      </c>
      <c r="T10" s="33">
        <f t="shared" si="2"/>
        <v>283</v>
      </c>
      <c r="U10" s="33">
        <f t="shared" si="2"/>
        <v>114</v>
      </c>
      <c r="V10" s="33">
        <f t="shared" si="2"/>
        <v>155</v>
      </c>
      <c r="W10" s="33">
        <f t="shared" si="2"/>
        <v>0</v>
      </c>
      <c r="X10" s="33">
        <f t="shared" si="2"/>
        <v>172</v>
      </c>
      <c r="Y10" s="33">
        <f t="shared" si="2"/>
        <v>142</v>
      </c>
      <c r="Z10" s="33">
        <f t="shared" si="2"/>
        <v>99</v>
      </c>
      <c r="AA10" s="33">
        <f t="shared" si="2"/>
        <v>139</v>
      </c>
      <c r="AB10" s="33">
        <f t="shared" si="2"/>
        <v>92</v>
      </c>
      <c r="AC10" s="33">
        <f t="shared" si="2"/>
        <v>155</v>
      </c>
      <c r="AD10" s="33">
        <f t="shared" si="2"/>
        <v>0</v>
      </c>
      <c r="AE10" s="33">
        <f t="shared" si="2"/>
        <v>162</v>
      </c>
      <c r="AF10" s="33">
        <f t="shared" si="2"/>
        <v>119</v>
      </c>
      <c r="AG10" s="33">
        <f t="shared" si="2"/>
        <v>152</v>
      </c>
      <c r="AH10" s="33">
        <f t="shared" si="2"/>
        <v>143</v>
      </c>
      <c r="AI10" s="33">
        <f t="shared" si="2"/>
        <v>100</v>
      </c>
      <c r="AJ10" s="8"/>
      <c r="AK10" s="8"/>
      <c r="AL10" s="8"/>
      <c r="AM10" s="8"/>
      <c r="AN10" s="8"/>
      <c r="AO10" s="8"/>
      <c r="AP10" s="8"/>
    </row>
    <row r="11" spans="1:42" s="8" customFormat="1" ht="25.7" customHeight="1" thickBot="1" x14ac:dyDescent="0.3">
      <c r="A11" s="95">
        <v>5</v>
      </c>
      <c r="B11" s="27">
        <v>68864837</v>
      </c>
      <c r="C11" s="94" t="s">
        <v>74</v>
      </c>
      <c r="D11" s="31">
        <v>1324.338</v>
      </c>
      <c r="E11" s="31">
        <v>1330.3779999999999</v>
      </c>
      <c r="F11" s="31">
        <v>1333.405</v>
      </c>
      <c r="G11" s="31">
        <v>1335.4829999999999</v>
      </c>
      <c r="H11" s="31">
        <v>1340.248</v>
      </c>
      <c r="I11" s="31">
        <v>1345.2809999999999</v>
      </c>
      <c r="J11" s="31">
        <v>1349.326</v>
      </c>
      <c r="K11" s="31">
        <v>1352.3989999999999</v>
      </c>
      <c r="L11" s="31">
        <v>1354.1669999999999</v>
      </c>
      <c r="M11" s="31">
        <v>1358.087</v>
      </c>
      <c r="N11" s="31">
        <v>1363.5530000000001</v>
      </c>
      <c r="O11" s="31">
        <v>1367.63</v>
      </c>
      <c r="P11" s="31">
        <v>1370.7</v>
      </c>
      <c r="Q11" s="31">
        <v>1377.6679999999999</v>
      </c>
      <c r="R11" s="31">
        <v>1379.5640000000001</v>
      </c>
      <c r="S11" s="31">
        <v>1381.6020000000001</v>
      </c>
      <c r="T11" s="31">
        <v>1383.2180000000001</v>
      </c>
      <c r="U11" s="31">
        <v>1384.944</v>
      </c>
      <c r="V11" s="31">
        <v>1387.46</v>
      </c>
      <c r="W11" s="31">
        <v>1388.4849999999999</v>
      </c>
      <c r="X11" s="31">
        <v>1390.905</v>
      </c>
      <c r="Y11" s="31">
        <v>1392.242</v>
      </c>
      <c r="Z11" s="31">
        <v>1400.318</v>
      </c>
      <c r="AA11" s="31">
        <v>1402.211</v>
      </c>
      <c r="AB11" s="31">
        <v>1402.9179999999999</v>
      </c>
      <c r="AC11" s="31">
        <v>1404.893</v>
      </c>
      <c r="AD11" s="31">
        <v>1407.481</v>
      </c>
      <c r="AE11" s="31">
        <v>1409.2380000000001</v>
      </c>
      <c r="AF11" s="31">
        <v>1411.021</v>
      </c>
      <c r="AG11" s="31">
        <v>1413.268</v>
      </c>
      <c r="AH11" s="31">
        <v>1414.1790000000001</v>
      </c>
      <c r="AI11" s="31">
        <v>1415.8119999999999</v>
      </c>
    </row>
    <row r="12" spans="1:42" s="8" customFormat="1" ht="25.7" customHeight="1" thickBot="1" x14ac:dyDescent="0.3">
      <c r="A12" s="96"/>
      <c r="B12" s="48"/>
      <c r="C12" s="94"/>
      <c r="D12" s="33"/>
      <c r="E12" s="33">
        <f t="shared" ref="E12:AI12" si="3">E11-D11</f>
        <v>6.0399999999999636</v>
      </c>
      <c r="F12" s="33">
        <f t="shared" si="3"/>
        <v>3.0270000000000437</v>
      </c>
      <c r="G12" s="33">
        <f t="shared" si="3"/>
        <v>2.0779999999999745</v>
      </c>
      <c r="H12" s="33">
        <f t="shared" si="3"/>
        <v>4.7650000000001</v>
      </c>
      <c r="I12" s="33">
        <f t="shared" si="3"/>
        <v>5.0329999999999018</v>
      </c>
      <c r="J12" s="33">
        <f t="shared" si="3"/>
        <v>4.0450000000000728</v>
      </c>
      <c r="K12" s="33">
        <f t="shared" si="3"/>
        <v>3.0729999999998654</v>
      </c>
      <c r="L12" s="33">
        <f t="shared" si="3"/>
        <v>1.7680000000000291</v>
      </c>
      <c r="M12" s="33">
        <f t="shared" si="3"/>
        <v>3.9200000000000728</v>
      </c>
      <c r="N12" s="33">
        <f t="shared" si="3"/>
        <v>5.4660000000001219</v>
      </c>
      <c r="O12" s="33">
        <f t="shared" si="3"/>
        <v>4.0769999999999982</v>
      </c>
      <c r="P12" s="33">
        <f t="shared" si="3"/>
        <v>3.0699999999999363</v>
      </c>
      <c r="Q12" s="33">
        <f t="shared" si="3"/>
        <v>6.9679999999998472</v>
      </c>
      <c r="R12" s="33">
        <f t="shared" si="3"/>
        <v>1.8960000000001855</v>
      </c>
      <c r="S12" s="33">
        <f t="shared" si="3"/>
        <v>2.0380000000000109</v>
      </c>
      <c r="T12" s="33">
        <f t="shared" si="3"/>
        <v>1.6159999999999854</v>
      </c>
      <c r="U12" s="33">
        <f t="shared" si="3"/>
        <v>1.7259999999998854</v>
      </c>
      <c r="V12" s="33">
        <f t="shared" si="3"/>
        <v>2.5160000000000764</v>
      </c>
      <c r="W12" s="33">
        <f t="shared" si="3"/>
        <v>1.0249999999998636</v>
      </c>
      <c r="X12" s="33">
        <f t="shared" si="3"/>
        <v>2.4200000000000728</v>
      </c>
      <c r="Y12" s="33">
        <f t="shared" si="3"/>
        <v>1.3369999999999891</v>
      </c>
      <c r="Z12" s="33">
        <f t="shared" si="3"/>
        <v>8.0760000000000218</v>
      </c>
      <c r="AA12" s="33">
        <f t="shared" si="3"/>
        <v>1.8930000000000291</v>
      </c>
      <c r="AB12" s="33">
        <f t="shared" si="3"/>
        <v>0.70699999999987995</v>
      </c>
      <c r="AC12" s="33">
        <f t="shared" si="3"/>
        <v>1.9750000000001364</v>
      </c>
      <c r="AD12" s="33">
        <f t="shared" si="3"/>
        <v>2.5879999999999654</v>
      </c>
      <c r="AE12" s="33">
        <f t="shared" si="3"/>
        <v>1.7570000000000618</v>
      </c>
      <c r="AF12" s="33">
        <f t="shared" si="3"/>
        <v>1.7829999999999018</v>
      </c>
      <c r="AG12" s="33">
        <f t="shared" si="3"/>
        <v>2.2470000000000709</v>
      </c>
      <c r="AH12" s="33">
        <f t="shared" si="3"/>
        <v>0.91100000000005821</v>
      </c>
      <c r="AI12" s="33">
        <f t="shared" si="3"/>
        <v>1.6329999999998108</v>
      </c>
    </row>
    <row r="13" spans="1:42" s="8" customFormat="1" ht="25.7" customHeight="1" thickBot="1" x14ac:dyDescent="0.3">
      <c r="A13" s="95">
        <v>6</v>
      </c>
      <c r="B13" s="27">
        <v>65296485</v>
      </c>
      <c r="C13" s="94" t="s">
        <v>73</v>
      </c>
      <c r="D13" s="31">
        <v>1509.4259999999999</v>
      </c>
      <c r="E13" s="31">
        <v>1510.8630000000001</v>
      </c>
      <c r="F13" s="31">
        <v>1512.155</v>
      </c>
      <c r="G13" s="31">
        <v>1512.8979999999999</v>
      </c>
      <c r="H13" s="31">
        <v>1518.758</v>
      </c>
      <c r="I13" s="31">
        <v>1521.8</v>
      </c>
      <c r="J13" s="31">
        <v>1527.671</v>
      </c>
      <c r="K13" s="31">
        <v>1527.9670000000001</v>
      </c>
      <c r="L13" s="31">
        <v>1529.777</v>
      </c>
      <c r="M13" s="31">
        <v>1530.973</v>
      </c>
      <c r="N13" s="31">
        <v>1535.4369999999999</v>
      </c>
      <c r="O13" s="31">
        <v>1540.2329999999999</v>
      </c>
      <c r="P13" s="31">
        <v>1540.27</v>
      </c>
      <c r="Q13" s="31">
        <v>1544.0360000000001</v>
      </c>
      <c r="R13" s="31">
        <v>1547.2929999999999</v>
      </c>
      <c r="S13" s="31">
        <v>1549.8130000000001</v>
      </c>
      <c r="T13" s="31">
        <v>1555.114</v>
      </c>
      <c r="U13" s="31">
        <v>1559.12</v>
      </c>
      <c r="V13" s="31">
        <v>1567.38</v>
      </c>
      <c r="W13" s="31">
        <v>1571.4880000000001</v>
      </c>
      <c r="X13" s="31">
        <v>1573.473</v>
      </c>
      <c r="Y13" s="31">
        <v>1574.94</v>
      </c>
      <c r="Z13" s="31">
        <v>1577.1569999999999</v>
      </c>
      <c r="AA13" s="31">
        <v>1578.5309999999999</v>
      </c>
      <c r="AB13" s="31">
        <v>1579.204</v>
      </c>
      <c r="AC13" s="31">
        <v>1579.8340000000001</v>
      </c>
      <c r="AD13" s="31">
        <v>1581.9</v>
      </c>
      <c r="AE13" s="31">
        <v>1584.5840000000001</v>
      </c>
      <c r="AF13" s="31">
        <v>1591.26</v>
      </c>
      <c r="AG13" s="31">
        <v>1596.634</v>
      </c>
      <c r="AH13" s="31">
        <v>1604.4380000000001</v>
      </c>
      <c r="AI13" s="31">
        <v>1605.567</v>
      </c>
    </row>
    <row r="14" spans="1:42" s="8" customFormat="1" ht="25.7" customHeight="1" thickBot="1" x14ac:dyDescent="0.3">
      <c r="A14" s="96"/>
      <c r="B14" s="48"/>
      <c r="C14" s="94"/>
      <c r="D14" s="33"/>
      <c r="E14" s="33">
        <f t="shared" ref="E14:AI14" si="4">E13-D13</f>
        <v>1.4370000000001255</v>
      </c>
      <c r="F14" s="33">
        <f t="shared" si="4"/>
        <v>1.2919999999999163</v>
      </c>
      <c r="G14" s="33">
        <f t="shared" si="4"/>
        <v>0.74299999999993815</v>
      </c>
      <c r="H14" s="33">
        <f t="shared" si="4"/>
        <v>5.8600000000001273</v>
      </c>
      <c r="I14" s="33">
        <f t="shared" si="4"/>
        <v>3.0419999999999163</v>
      </c>
      <c r="J14" s="33">
        <f t="shared" si="4"/>
        <v>5.8710000000000946</v>
      </c>
      <c r="K14" s="33">
        <f t="shared" si="4"/>
        <v>0.29600000000004911</v>
      </c>
      <c r="L14" s="33">
        <f t="shared" si="4"/>
        <v>1.8099999999999454</v>
      </c>
      <c r="M14" s="33">
        <f t="shared" si="4"/>
        <v>1.1959999999999127</v>
      </c>
      <c r="N14" s="33">
        <f t="shared" si="4"/>
        <v>4.4639999999999418</v>
      </c>
      <c r="O14" s="33">
        <f t="shared" si="4"/>
        <v>4.7960000000000491</v>
      </c>
      <c r="P14" s="33">
        <f t="shared" si="4"/>
        <v>3.7000000000034561E-2</v>
      </c>
      <c r="Q14" s="33">
        <f t="shared" si="4"/>
        <v>3.7660000000000764</v>
      </c>
      <c r="R14" s="33">
        <f t="shared" si="4"/>
        <v>3.2569999999998345</v>
      </c>
      <c r="S14" s="33">
        <f t="shared" si="4"/>
        <v>2.5200000000002092</v>
      </c>
      <c r="T14" s="33">
        <f t="shared" si="4"/>
        <v>5.3009999999999309</v>
      </c>
      <c r="U14" s="33">
        <f t="shared" si="4"/>
        <v>4.0059999999998581</v>
      </c>
      <c r="V14" s="33">
        <f t="shared" si="4"/>
        <v>8.2600000000002183</v>
      </c>
      <c r="W14" s="33">
        <f t="shared" si="4"/>
        <v>4.1079999999999472</v>
      </c>
      <c r="X14" s="33">
        <f t="shared" si="4"/>
        <v>1.9849999999999</v>
      </c>
      <c r="Y14" s="33">
        <f t="shared" si="4"/>
        <v>1.4670000000000982</v>
      </c>
      <c r="Z14" s="33">
        <f t="shared" si="4"/>
        <v>2.2169999999998709</v>
      </c>
      <c r="AA14" s="33">
        <f t="shared" si="4"/>
        <v>1.3740000000000236</v>
      </c>
      <c r="AB14" s="33">
        <f t="shared" si="4"/>
        <v>0.67300000000000182</v>
      </c>
      <c r="AC14" s="33">
        <f t="shared" si="4"/>
        <v>0.63000000000010914</v>
      </c>
      <c r="AD14" s="33">
        <f t="shared" si="4"/>
        <v>2.0660000000000309</v>
      </c>
      <c r="AE14" s="33">
        <f t="shared" si="4"/>
        <v>2.6839999999999691</v>
      </c>
      <c r="AF14" s="33">
        <f t="shared" si="4"/>
        <v>6.6759999999999309</v>
      </c>
      <c r="AG14" s="33">
        <f t="shared" si="4"/>
        <v>5.3740000000000236</v>
      </c>
      <c r="AH14" s="33">
        <f t="shared" si="4"/>
        <v>7.8040000000000873</v>
      </c>
      <c r="AI14" s="33">
        <f t="shared" si="4"/>
        <v>1.1289999999999054</v>
      </c>
      <c r="AJ14" s="2"/>
      <c r="AK14" s="2"/>
      <c r="AL14" s="2"/>
      <c r="AM14" s="2"/>
      <c r="AN14" s="2"/>
      <c r="AO14" s="2"/>
      <c r="AP14" s="2"/>
    </row>
    <row r="15" spans="1:42" ht="33" customHeight="1" x14ac:dyDescent="0.25">
      <c r="B15" s="88" t="s">
        <v>71</v>
      </c>
      <c r="C15" s="88"/>
      <c r="D15" s="50"/>
      <c r="E15" s="58">
        <f>E6+((E8*45%)+(E10*45%)+(E12+E14))</f>
        <v>179.53200000001056</v>
      </c>
      <c r="F15" s="58">
        <f t="shared" ref="F15:AI15" si="5">F6+((F8*45%)+(F10*45%)+(F12+F14))</f>
        <v>61.51399999998948</v>
      </c>
      <c r="G15" s="58">
        <f t="shared" si="5"/>
        <v>44.819500000007245</v>
      </c>
      <c r="H15" s="58">
        <f t="shared" si="5"/>
        <v>114.79149999999814</v>
      </c>
      <c r="I15" s="58">
        <f t="shared" si="5"/>
        <v>342.9349999999946</v>
      </c>
      <c r="J15" s="58">
        <f t="shared" si="5"/>
        <v>803.06099999998969</v>
      </c>
      <c r="K15" s="58">
        <f t="shared" si="5"/>
        <v>303.90900000000516</v>
      </c>
      <c r="L15" s="58">
        <f t="shared" si="5"/>
        <v>728.61299999999471</v>
      </c>
      <c r="M15" s="58">
        <f t="shared" si="5"/>
        <v>313.1310000000052</v>
      </c>
      <c r="N15" s="58">
        <f t="shared" si="5"/>
        <v>393.25500000000005</v>
      </c>
      <c r="O15" s="58">
        <f t="shared" si="5"/>
        <v>323.7079999999948</v>
      </c>
      <c r="P15" s="58">
        <f t="shared" si="5"/>
        <v>190.10699999999997</v>
      </c>
      <c r="Q15" s="58">
        <f t="shared" si="5"/>
        <v>395.42900000001566</v>
      </c>
      <c r="R15" s="58">
        <f t="shared" si="5"/>
        <v>317.28299999998433</v>
      </c>
      <c r="S15" s="58">
        <f t="shared" si="5"/>
        <v>269.67800000001591</v>
      </c>
      <c r="T15" s="58">
        <f t="shared" si="5"/>
        <v>436.16199999998946</v>
      </c>
      <c r="U15" s="58">
        <f t="shared" si="5"/>
        <v>292.12200000000496</v>
      </c>
      <c r="V15" s="58">
        <f t="shared" si="5"/>
        <v>315.10100000000028</v>
      </c>
      <c r="W15" s="58">
        <f t="shared" si="5"/>
        <v>249.81300000001028</v>
      </c>
      <c r="X15" s="58">
        <f t="shared" si="5"/>
        <v>275.77499999998952</v>
      </c>
      <c r="Y15" s="58">
        <f t="shared" si="5"/>
        <v>330.46399999999483</v>
      </c>
      <c r="Z15" s="58">
        <f t="shared" si="5"/>
        <v>288.32799999999463</v>
      </c>
      <c r="AA15" s="58">
        <f t="shared" si="5"/>
        <v>299.75700000000529</v>
      </c>
      <c r="AB15" s="58">
        <f t="shared" si="5"/>
        <v>336.65000000001561</v>
      </c>
      <c r="AC15" s="58">
        <f t="shared" si="5"/>
        <v>356.85500000000025</v>
      </c>
      <c r="AD15" s="58">
        <f t="shared" si="5"/>
        <v>210.33899999999477</v>
      </c>
      <c r="AE15" s="58">
        <f t="shared" si="5"/>
        <v>364.98100000000528</v>
      </c>
      <c r="AF15" s="58">
        <f t="shared" si="5"/>
        <v>360.04399999999464</v>
      </c>
      <c r="AG15" s="58">
        <f t="shared" si="5"/>
        <v>338.16599999998959</v>
      </c>
      <c r="AH15" s="58">
        <f t="shared" si="5"/>
        <v>365.14500000001067</v>
      </c>
      <c r="AI15" s="58">
        <f t="shared" si="5"/>
        <v>296.57700000000494</v>
      </c>
    </row>
    <row r="16" spans="1:42" ht="33" customHeight="1" x14ac:dyDescent="0.25">
      <c r="B16" s="87" t="s">
        <v>72</v>
      </c>
      <c r="C16" s="87"/>
      <c r="D16" s="50"/>
      <c r="E16" s="58">
        <f>SUM(E15:AI15)</f>
        <v>9898.0450000000128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</row>
    <row r="21" s="2" customFormat="1" ht="70.5" customHeight="1" x14ac:dyDescent="0.25"/>
    <row r="22" s="2" customFormat="1" ht="70.5" customHeight="1" x14ac:dyDescent="0.25"/>
    <row r="23" s="2" customFormat="1" ht="70.5" customHeight="1" x14ac:dyDescent="0.25"/>
    <row r="24" s="2" customFormat="1" ht="70.5" customHeight="1" x14ac:dyDescent="0.25"/>
    <row r="25" s="2" customFormat="1" ht="70.5" customHeight="1" x14ac:dyDescent="0.25"/>
    <row r="26" s="2" customFormat="1" ht="70.5" customHeight="1" x14ac:dyDescent="0.25"/>
    <row r="27" s="2" customFormat="1" ht="70.5" customHeight="1" x14ac:dyDescent="0.25"/>
    <row r="28" s="2" customFormat="1" ht="70.5" customHeight="1" x14ac:dyDescent="0.25"/>
    <row r="29" s="2" customFormat="1" ht="70.5" customHeight="1" x14ac:dyDescent="0.25"/>
  </sheetData>
  <mergeCells count="14">
    <mergeCell ref="B16:C16"/>
    <mergeCell ref="B15:C15"/>
    <mergeCell ref="B2:AI2"/>
    <mergeCell ref="B3:AI3"/>
    <mergeCell ref="A5:A6"/>
    <mergeCell ref="C5:C6"/>
    <mergeCell ref="A9:A10"/>
    <mergeCell ref="C9:C10"/>
    <mergeCell ref="A11:A12"/>
    <mergeCell ref="C11:C12"/>
    <mergeCell ref="A13:A14"/>
    <mergeCell ref="C13:C14"/>
    <mergeCell ref="A7:A8"/>
    <mergeCell ref="C7:C8"/>
  </mergeCells>
  <phoneticPr fontId="27" type="noConversion"/>
  <printOptions horizontalCentered="1" verticalCentered="1"/>
  <pageMargins left="0.25" right="0.25" top="0.75" bottom="0.75" header="0.3" footer="0.3"/>
  <pageSetup paperSize="8" scale="49" orientation="landscape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35B19-7E3F-48ED-B7AD-3E9E86FFAF8F}">
  <dimension ref="A1:C34"/>
  <sheetViews>
    <sheetView topLeftCell="A19" zoomScaleNormal="100" workbookViewId="0">
      <selection activeCell="C33" sqref="C33"/>
    </sheetView>
  </sheetViews>
  <sheetFormatPr defaultRowHeight="15" x14ac:dyDescent="0.25"/>
  <cols>
    <col min="1" max="1" width="12.7109375" customWidth="1"/>
    <col min="2" max="2" width="17.42578125" customWidth="1"/>
    <col min="3" max="3" width="18" customWidth="1"/>
  </cols>
  <sheetData>
    <row r="1" spans="1:3" ht="35.25" customHeight="1" x14ac:dyDescent="0.25">
      <c r="A1" s="97" t="s">
        <v>87</v>
      </c>
      <c r="B1" s="97"/>
      <c r="C1" s="97"/>
    </row>
    <row r="2" spans="1:3" ht="24.95" customHeight="1" x14ac:dyDescent="0.25">
      <c r="A2" s="60" t="s">
        <v>82</v>
      </c>
      <c r="B2" s="60" t="s">
        <v>80</v>
      </c>
      <c r="C2" s="60" t="s">
        <v>81</v>
      </c>
    </row>
    <row r="3" spans="1:3" ht="24.95" customHeight="1" x14ac:dyDescent="0.25">
      <c r="A3" s="61">
        <v>45047</v>
      </c>
      <c r="B3" s="62">
        <v>261</v>
      </c>
      <c r="C3" s="62">
        <v>334</v>
      </c>
    </row>
    <row r="4" spans="1:3" ht="24.95" customHeight="1" x14ac:dyDescent="0.25">
      <c r="A4" s="61">
        <v>45048</v>
      </c>
      <c r="B4" s="62">
        <v>273</v>
      </c>
      <c r="C4" s="62">
        <v>354</v>
      </c>
    </row>
    <row r="5" spans="1:3" ht="24.95" customHeight="1" x14ac:dyDescent="0.25">
      <c r="A5" s="61">
        <v>45049</v>
      </c>
      <c r="B5" s="62">
        <v>356</v>
      </c>
      <c r="C5" s="62">
        <v>473</v>
      </c>
    </row>
    <row r="6" spans="1:3" ht="24.95" customHeight="1" x14ac:dyDescent="0.25">
      <c r="A6" s="61">
        <v>45050</v>
      </c>
      <c r="B6" s="62">
        <v>345</v>
      </c>
      <c r="C6" s="62">
        <v>485</v>
      </c>
    </row>
    <row r="7" spans="1:3" ht="24.95" customHeight="1" x14ac:dyDescent="0.25">
      <c r="A7" s="61">
        <v>45051</v>
      </c>
      <c r="B7" s="62">
        <v>322</v>
      </c>
      <c r="C7" s="62">
        <v>488</v>
      </c>
    </row>
    <row r="8" spans="1:3" ht="24.95" customHeight="1" x14ac:dyDescent="0.25">
      <c r="A8" s="61">
        <v>45052</v>
      </c>
      <c r="B8" s="62">
        <v>355</v>
      </c>
      <c r="C8" s="62">
        <v>546</v>
      </c>
    </row>
    <row r="9" spans="1:3" ht="24.95" customHeight="1" x14ac:dyDescent="0.25">
      <c r="A9" s="61">
        <v>45053</v>
      </c>
      <c r="B9" s="62">
        <v>348</v>
      </c>
      <c r="C9" s="62">
        <v>497</v>
      </c>
    </row>
    <row r="10" spans="1:3" ht="24.95" customHeight="1" x14ac:dyDescent="0.25">
      <c r="A10" s="61">
        <v>45054</v>
      </c>
      <c r="B10" s="62">
        <v>418</v>
      </c>
      <c r="C10" s="62">
        <v>570</v>
      </c>
    </row>
    <row r="11" spans="1:3" ht="24.95" customHeight="1" x14ac:dyDescent="0.25">
      <c r="A11" s="61">
        <v>45055</v>
      </c>
      <c r="B11" s="62">
        <v>403</v>
      </c>
      <c r="C11" s="62">
        <v>513</v>
      </c>
    </row>
    <row r="12" spans="1:3" ht="24.95" customHeight="1" x14ac:dyDescent="0.25">
      <c r="A12" s="61">
        <v>45056</v>
      </c>
      <c r="B12" s="62">
        <v>436</v>
      </c>
      <c r="C12" s="62">
        <v>574</v>
      </c>
    </row>
    <row r="13" spans="1:3" ht="24.95" customHeight="1" x14ac:dyDescent="0.25">
      <c r="A13" s="61">
        <v>45057</v>
      </c>
      <c r="B13" s="62">
        <v>335</v>
      </c>
      <c r="C13" s="62">
        <v>459</v>
      </c>
    </row>
    <row r="14" spans="1:3" ht="24.95" customHeight="1" x14ac:dyDescent="0.25">
      <c r="A14" s="61">
        <v>45058</v>
      </c>
      <c r="B14" s="62">
        <v>287</v>
      </c>
      <c r="C14" s="62">
        <v>424</v>
      </c>
    </row>
    <row r="15" spans="1:3" ht="24.95" customHeight="1" x14ac:dyDescent="0.25">
      <c r="A15" s="61">
        <v>45059</v>
      </c>
      <c r="B15" s="62">
        <v>334</v>
      </c>
      <c r="C15" s="62">
        <v>486</v>
      </c>
    </row>
    <row r="16" spans="1:3" ht="24.95" customHeight="1" x14ac:dyDescent="0.25">
      <c r="A16" s="61">
        <v>45060</v>
      </c>
      <c r="B16" s="62">
        <v>411</v>
      </c>
      <c r="C16" s="62">
        <v>552</v>
      </c>
    </row>
    <row r="17" spans="1:3" ht="24.95" customHeight="1" x14ac:dyDescent="0.25">
      <c r="A17" s="61">
        <v>45061</v>
      </c>
      <c r="B17" s="62">
        <v>471</v>
      </c>
      <c r="C17" s="62">
        <v>603</v>
      </c>
    </row>
    <row r="18" spans="1:3" ht="24.95" customHeight="1" x14ac:dyDescent="0.25">
      <c r="A18" s="61">
        <v>45062</v>
      </c>
      <c r="B18" s="62">
        <v>464</v>
      </c>
      <c r="C18" s="62">
        <v>579</v>
      </c>
    </row>
    <row r="19" spans="1:3" ht="24.95" customHeight="1" x14ac:dyDescent="0.25">
      <c r="A19" s="61">
        <v>45063</v>
      </c>
      <c r="B19" s="62">
        <v>469</v>
      </c>
      <c r="C19" s="62">
        <v>600</v>
      </c>
    </row>
    <row r="20" spans="1:3" ht="24.95" customHeight="1" x14ac:dyDescent="0.25">
      <c r="A20" s="61">
        <v>45064</v>
      </c>
      <c r="B20" s="62">
        <v>375</v>
      </c>
      <c r="C20" s="62">
        <v>506</v>
      </c>
    </row>
    <row r="21" spans="1:3" ht="24.95" customHeight="1" x14ac:dyDescent="0.25">
      <c r="A21" s="61">
        <v>45065</v>
      </c>
      <c r="B21" s="62">
        <v>242</v>
      </c>
      <c r="C21" s="62">
        <v>357</v>
      </c>
    </row>
    <row r="22" spans="1:3" ht="24.95" customHeight="1" x14ac:dyDescent="0.25">
      <c r="A22" s="61">
        <v>45066</v>
      </c>
      <c r="B22" s="62">
        <v>270</v>
      </c>
      <c r="C22" s="62">
        <v>408</v>
      </c>
    </row>
    <row r="23" spans="1:3" ht="24.95" customHeight="1" x14ac:dyDescent="0.25">
      <c r="A23" s="61">
        <v>45067</v>
      </c>
      <c r="B23" s="62">
        <v>343</v>
      </c>
      <c r="C23" s="62">
        <v>456</v>
      </c>
    </row>
    <row r="24" spans="1:3" ht="24.95" customHeight="1" x14ac:dyDescent="0.25">
      <c r="A24" s="61">
        <v>45068</v>
      </c>
      <c r="B24" s="62">
        <v>407</v>
      </c>
      <c r="C24" s="62">
        <v>508</v>
      </c>
    </row>
    <row r="25" spans="1:3" ht="24.95" customHeight="1" x14ac:dyDescent="0.25">
      <c r="A25" s="61">
        <v>45069</v>
      </c>
      <c r="B25" s="62">
        <v>448</v>
      </c>
      <c r="C25" s="62">
        <v>563</v>
      </c>
    </row>
    <row r="26" spans="1:3" ht="24.95" customHeight="1" x14ac:dyDescent="0.25">
      <c r="A26" s="61">
        <v>45070</v>
      </c>
      <c r="B26" s="62">
        <v>410</v>
      </c>
      <c r="C26" s="62">
        <v>528</v>
      </c>
    </row>
    <row r="27" spans="1:3" ht="24.95" customHeight="1" x14ac:dyDescent="0.25">
      <c r="A27" s="61">
        <v>45071</v>
      </c>
      <c r="B27" s="62">
        <v>391</v>
      </c>
      <c r="C27" s="62">
        <v>569</v>
      </c>
    </row>
    <row r="28" spans="1:3" ht="24.95" customHeight="1" x14ac:dyDescent="0.25">
      <c r="A28" s="61">
        <v>45072</v>
      </c>
      <c r="B28" s="62">
        <v>396</v>
      </c>
      <c r="C28" s="62">
        <v>595</v>
      </c>
    </row>
    <row r="29" spans="1:3" ht="24.95" customHeight="1" x14ac:dyDescent="0.25">
      <c r="A29" s="61">
        <v>45073</v>
      </c>
      <c r="B29" s="62">
        <v>427</v>
      </c>
      <c r="C29" s="62">
        <v>618</v>
      </c>
    </row>
    <row r="30" spans="1:3" ht="24.95" customHeight="1" x14ac:dyDescent="0.25">
      <c r="A30" s="61">
        <v>45074</v>
      </c>
      <c r="B30" s="62">
        <v>260</v>
      </c>
      <c r="C30" s="62">
        <v>342</v>
      </c>
    </row>
    <row r="31" spans="1:3" ht="24.95" customHeight="1" x14ac:dyDescent="0.25">
      <c r="A31" s="61">
        <v>45075</v>
      </c>
      <c r="B31" s="62">
        <v>310</v>
      </c>
      <c r="C31" s="62">
        <v>409</v>
      </c>
    </row>
    <row r="32" spans="1:3" ht="24.95" customHeight="1" x14ac:dyDescent="0.25">
      <c r="A32" s="61">
        <v>45076</v>
      </c>
      <c r="B32" s="62">
        <v>359</v>
      </c>
      <c r="C32" s="62">
        <v>453</v>
      </c>
    </row>
    <row r="33" spans="1:3" ht="24.95" customHeight="1" x14ac:dyDescent="0.25">
      <c r="A33" s="61">
        <v>45077</v>
      </c>
      <c r="B33" s="62">
        <v>326</v>
      </c>
      <c r="C33" s="62">
        <v>416</v>
      </c>
    </row>
    <row r="34" spans="1:3" ht="30.75" customHeight="1" x14ac:dyDescent="0.25">
      <c r="A34" s="60" t="s">
        <v>83</v>
      </c>
      <c r="B34" s="63">
        <f>SUM(B3:B33)</f>
        <v>11252</v>
      </c>
      <c r="C34" s="63">
        <f>SUM(C3:C33)</f>
        <v>15265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Total</vt:lpstr>
      <vt:lpstr>Electricity</vt:lpstr>
      <vt:lpstr>LPG</vt:lpstr>
      <vt:lpstr>Water</vt:lpstr>
      <vt:lpstr>Occupied &amp; No. of Guest</vt:lpstr>
      <vt:lpstr>LPG!Print_Area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 Chitian</dc:creator>
  <cp:lastModifiedBy>Lesley Ann Almazan</cp:lastModifiedBy>
  <dcterms:created xsi:type="dcterms:W3CDTF">2019-05-13T11:08:30Z</dcterms:created>
  <dcterms:modified xsi:type="dcterms:W3CDTF">2025-03-17T08:12:35Z</dcterms:modified>
</cp:coreProperties>
</file>