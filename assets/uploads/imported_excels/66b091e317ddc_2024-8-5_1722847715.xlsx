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0" documentId="13_ncr:1_{917E09FF-7B38-4253-9556-2249ADF1DB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8" i="6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Z38" i="6" s="1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K23" i="4" l="1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<sst xmlns="http://schemas.openxmlformats.org/spreadsheetml/2006/main" count="249" uniqueCount="105">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</sst>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70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70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3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43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43" fontId="18" fillId="0" borderId="0" xfId="0" applyNumberFormat="1" applyFont="1"/>
    <xf numFmtId="167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6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43" fontId="17" fillId="0" borderId="41" xfId="18" applyFont="1" applyBorder="1" applyAlignment="1">
      <alignment vertical="center"/>
    </xf>
    <xf numFmtId="167" fontId="19" fillId="0" borderId="39" xfId="20" applyNumberFormat="1" applyFont="1" applyBorder="1" applyAlignment="1">
      <alignment horizontal="center" vertical="center"/>
    </xf>
    <xf numFmtId="167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165" fontId="18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7" fontId="19" fillId="0" borderId="39" xfId="20" applyNumberFormat="1" applyFont="1" applyBorder="1" applyAlignment="1">
      <alignment horizontal="right" vertical="center"/>
    </xf>
    <xf numFmtId="167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17" fillId="0" borderId="39" xfId="18" applyFont="1" applyBorder="1" applyAlignment="1">
      <alignment vertical="center"/>
    </xf>
    <xf numFmtId="43" fontId="17" fillId="0" borderId="0" xfId="18" applyFont="1" applyBorder="1" applyAlignment="1">
      <alignment horizontal="center" vertical="center"/>
    </xf>
    <xf numFmtId="43" fontId="17" fillId="0" borderId="26" xfId="18" applyFont="1" applyBorder="1" applyAlignment="1">
      <alignment vertical="center"/>
    </xf>
    <xf numFmtId="168" fontId="15" fillId="0" borderId="26" xfId="18" applyNumberFormat="1" applyFont="1" applyBorder="1" applyAlignment="1">
      <alignment horizontal="center" vertical="center"/>
    </xf>
    <xf numFmtId="168" fontId="21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7" fillId="0" borderId="0" xfId="18" applyNumberFormat="1" applyFont="1" applyBorder="1" applyAlignment="1">
      <alignment horizontal="center" vertical="center"/>
    </xf>
    <xf numFmtId="168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43" fontId="17" fillId="0" borderId="43" xfId="18" applyFont="1" applyBorder="1" applyAlignment="1">
      <alignment vertical="center"/>
    </xf>
    <xf numFmtId="168" fontId="15" fillId="0" borderId="43" xfId="18" applyNumberFormat="1" applyFont="1" applyBorder="1" applyAlignment="1">
      <alignment horizontal="center" vertical="center"/>
    </xf>
    <xf numFmtId="168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3" fontId="19" fillId="0" borderId="31" xfId="18" applyFont="1" applyBorder="1" applyAlignment="1">
      <alignment horizontal="center" vertical="center"/>
    </xf>
    <xf numFmtId="43" fontId="19" fillId="0" borderId="48" xfId="18" applyFont="1" applyBorder="1" applyAlignment="1">
      <alignment horizontal="center" vertical="center"/>
    </xf>
    <xf numFmtId="43" fontId="17" fillId="0" borderId="26" xfId="18" applyFont="1" applyBorder="1" applyAlignment="1">
      <alignment horizontal="center" vertical="center"/>
    </xf>
    <xf numFmtId="43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43" fontId="19" fillId="0" borderId="56" xfId="18" applyFont="1" applyBorder="1" applyAlignment="1">
      <alignment horizontal="center" vertical="center"/>
    </xf>
    <xf numFmtId="43" fontId="19" fillId="0" borderId="57" xfId="18" applyFont="1" applyBorder="1" applyAlignment="1">
      <alignment horizontal="center" vertical="center"/>
    </xf>
    <xf numFmtId="43" fontId="17" fillId="0" borderId="43" xfId="18" applyFont="1" applyBorder="1" applyAlignment="1">
      <alignment horizontal="center" vertical="center"/>
    </xf>
    <xf numFmtId="43" fontId="17" fillId="0" borderId="41" xfId="18" applyFont="1" applyBorder="1" applyAlignment="1">
      <alignment horizontal="center" vertical="center"/>
    </xf>
    <xf numFmtId="43" fontId="19" fillId="0" borderId="26" xfId="18" applyFont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43" fontId="19" fillId="0" borderId="43" xfId="18" applyFont="1" applyBorder="1" applyAlignment="1">
      <alignment horizontal="center" vertical="center"/>
    </xf>
    <xf numFmtId="43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H41" sqref="H4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'June 2024'!T5</f>
        <v>35.893800000000006</v>
      </c>
      <c r="H2" s="18">
        <v>11.902583127025405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0.75616224871185767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'June 2024'!T6</f>
        <v>36.9495</v>
      </c>
      <c r="H3" s="18">
        <v>11.902583127025405</v>
      </c>
      <c r="I3" s="9">
        <f>Submetering!H3</f>
        <v>85</v>
      </c>
      <c r="J3" s="17">
        <v>7.84</v>
      </c>
      <c r="K3" s="19">
        <f>Submetering!K3</f>
        <v>10805.11</v>
      </c>
      <c r="L3" s="17">
        <v>0.75616224871185767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'June 2024'!T7</f>
        <v>38.005200000000002</v>
      </c>
      <c r="H4" s="18">
        <v>11.902583127025405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0.75616224871185767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'June 2024'!T8</f>
        <v>39.060900000000004</v>
      </c>
      <c r="H5" s="18">
        <v>11.902583127025405</v>
      </c>
      <c r="I5" s="9">
        <f>Submetering!H5</f>
        <v>101</v>
      </c>
      <c r="J5" s="17">
        <v>7.84</v>
      </c>
      <c r="K5" s="19">
        <f>Submetering!K5</f>
        <v>10805.11</v>
      </c>
      <c r="L5" s="17">
        <v>0.75616224871185767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'June 2024'!T9</f>
        <v>41.1723</v>
      </c>
      <c r="H6" s="18">
        <v>11.902583127025405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0.75616224871185767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'June 2024'!T10</f>
        <v>42.228000000000002</v>
      </c>
      <c r="H7" s="18">
        <v>11.902583127025405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0.75616224871185767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'June 2024'!T11</f>
        <v>42.228000000000002</v>
      </c>
      <c r="H8" s="18">
        <v>11.902583127025405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0.75616224871185767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'June 2024'!T12</f>
        <v>38.005200000000002</v>
      </c>
      <c r="H9" s="18">
        <v>11.902583127025405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0.75616224871185767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'June 2024'!T13</f>
        <v>39.060900000000004</v>
      </c>
      <c r="H10" s="18">
        <v>11.902583127025405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0.75616224871185767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'June 2024'!T14</f>
        <v>40.116600000000005</v>
      </c>
      <c r="H11" s="18">
        <v>11.902583127025405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0.75616224871185767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'June 2024'!T15</f>
        <v>40.116600000000005</v>
      </c>
      <c r="H12" s="18">
        <v>11.902583127025405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0.75616224871185767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'June 2024'!T16</f>
        <v>39.060900000000004</v>
      </c>
      <c r="H13" s="18">
        <v>11.902583127025405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0.75616224871185767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'June 2024'!T17</f>
        <v>39.060900000000004</v>
      </c>
      <c r="H14" s="18">
        <v>11.902583127025405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0.75616224871185767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'June 2024'!T18</f>
        <v>39.060900000000004</v>
      </c>
      <c r="H15" s="18">
        <v>11.902583127025405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0.75616224871185767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'June 2024'!T19</f>
        <v>40.116600000000005</v>
      </c>
      <c r="H16" s="18">
        <v>11.902583127025405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0.75616224871185767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'June 2024'!T20</f>
        <v>38.005200000000002</v>
      </c>
      <c r="H17" s="18">
        <v>11.902583127025405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0.75616224871185767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'June 2024'!T21</f>
        <v>38.005200000000002</v>
      </c>
      <c r="H18" s="18">
        <v>11.902583127025405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0.75616224871185767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'June 2024'!T22</f>
        <v>39.060900000000004</v>
      </c>
      <c r="H19" s="18">
        <v>11.902583127025405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0.75616224871185767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'June 2024'!T23</f>
        <v>38.005200000000002</v>
      </c>
      <c r="H20" s="18">
        <v>11.902583127025405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0.75616224871185767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'June 2024'!T24</f>
        <v>41.1723</v>
      </c>
      <c r="H21" s="18">
        <v>11.902583127025405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0.75616224871185767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'June 2024'!T25</f>
        <v>42.228000000000002</v>
      </c>
      <c r="H22" s="18">
        <v>11.902583127025405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0.75616224871185767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'June 2024'!T26</f>
        <v>43.283700000000003</v>
      </c>
      <c r="H23" s="18">
        <v>11.902583127025405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0.75616224871185767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'June 2024'!T27</f>
        <v>36.9495</v>
      </c>
      <c r="H24" s="18">
        <v>11.902583127025405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0.75616224871185767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'June 2024'!T28</f>
        <v>40.116600000000005</v>
      </c>
      <c r="H25" s="18">
        <v>11.902583127025405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0.75616224871185767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'June 2024'!T29</f>
        <v>36.9495</v>
      </c>
      <c r="H26" s="18">
        <v>11.902583127025405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0.75616224871185767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'June 2024'!T30</f>
        <v>42.228000000000002</v>
      </c>
      <c r="H27" s="18">
        <v>11.902583127025405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0.75616224871185767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'June 2024'!T31</f>
        <v>36.9495</v>
      </c>
      <c r="H28" s="18">
        <v>11.902583127025405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0.75616224871185767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'June 2024'!T32</f>
        <v>40.116600000000005</v>
      </c>
      <c r="H29" s="18">
        <v>11.902583127025405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0.75616224871185767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'June 2024'!T33</f>
        <v>35.893800000000006</v>
      </c>
      <c r="H30" s="18">
        <v>11.902583127025405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0.75616224871185767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'June 2024'!T34</f>
        <v>33.782400000000003</v>
      </c>
      <c r="H31" s="18">
        <v>11.902583127025405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0.75616224871185767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Q2" sqref="Q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3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3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3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3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3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3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3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3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3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3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3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3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3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3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3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3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3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3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3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3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3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3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3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3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3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3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3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3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3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3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D1" zoomScale="80" zoomScaleNormal="80" zoomScaleSheetLayoutView="80" workbookViewId="0">
      <pane ySplit="4" topLeftCell="A25" activePane="bottomLeft" state="frozen"/>
      <selection pane="bottomLeft" activeCell="AC38" sqref="AC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90" t="s">
        <v>101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65"/>
      <c r="AG1" s="165"/>
      <c r="AH1" s="165"/>
    </row>
    <row r="2" spans="1:49" s="6" customFormat="1" ht="24.95" customHeight="1" thickBot="1" x14ac:dyDescent="0.35">
      <c r="A2" s="192" t="s">
        <v>0</v>
      </c>
      <c r="B2" s="195" t="s">
        <v>3</v>
      </c>
      <c r="C2" s="196"/>
      <c r="D2" s="196"/>
      <c r="E2" s="196"/>
      <c r="F2" s="196"/>
      <c r="G2" s="196"/>
      <c r="H2" s="196"/>
      <c r="I2" s="196"/>
      <c r="J2" s="197" t="s">
        <v>4</v>
      </c>
      <c r="K2" s="198"/>
      <c r="L2" s="198"/>
      <c r="M2" s="199" t="s">
        <v>50</v>
      </c>
      <c r="N2" s="200"/>
      <c r="O2" s="200"/>
      <c r="P2" s="200"/>
      <c r="Q2" s="200"/>
      <c r="R2" s="200"/>
      <c r="S2" s="200"/>
      <c r="T2" s="200"/>
      <c r="U2" s="201"/>
      <c r="V2" s="202" t="s">
        <v>2</v>
      </c>
      <c r="W2" s="203"/>
      <c r="X2" s="203"/>
      <c r="Y2" s="203"/>
      <c r="Z2" s="203"/>
      <c r="AA2" s="203"/>
      <c r="AB2" s="203"/>
      <c r="AC2" s="204"/>
      <c r="AD2" s="205" t="s">
        <v>17</v>
      </c>
      <c r="AE2" s="206"/>
      <c r="AF2" s="205" t="s">
        <v>59</v>
      </c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17"/>
    </row>
    <row r="3" spans="1:49" s="5" customFormat="1" ht="36.75" customHeight="1" x14ac:dyDescent="0.25">
      <c r="A3" s="193"/>
      <c r="B3" s="218" t="s">
        <v>37</v>
      </c>
      <c r="C3" s="219"/>
      <c r="D3" s="220" t="s">
        <v>38</v>
      </c>
      <c r="E3" s="221"/>
      <c r="F3" s="220" t="s">
        <v>39</v>
      </c>
      <c r="G3" s="221"/>
      <c r="H3" s="219" t="s">
        <v>20</v>
      </c>
      <c r="I3" s="223" t="s">
        <v>7</v>
      </c>
      <c r="J3" s="225" t="s">
        <v>21</v>
      </c>
      <c r="K3" s="227" t="s">
        <v>22</v>
      </c>
      <c r="L3" s="229" t="s">
        <v>6</v>
      </c>
      <c r="M3" s="231" t="s">
        <v>35</v>
      </c>
      <c r="N3" s="207"/>
      <c r="O3" s="207" t="s">
        <v>36</v>
      </c>
      <c r="P3" s="207"/>
      <c r="Q3" s="207" t="s">
        <v>40</v>
      </c>
      <c r="R3" s="207" t="s">
        <v>33</v>
      </c>
      <c r="S3" s="207" t="s">
        <v>34</v>
      </c>
      <c r="T3" s="215" t="s">
        <v>18</v>
      </c>
      <c r="U3" s="209" t="s">
        <v>31</v>
      </c>
      <c r="V3" s="211" t="s">
        <v>23</v>
      </c>
      <c r="W3" s="213" t="s">
        <v>8</v>
      </c>
      <c r="X3" s="213" t="s">
        <v>9</v>
      </c>
      <c r="Y3" s="213" t="s">
        <v>10</v>
      </c>
      <c r="Z3" s="213" t="s">
        <v>11</v>
      </c>
      <c r="AA3" s="213" t="s">
        <v>12</v>
      </c>
      <c r="AB3" s="213" t="s">
        <v>32</v>
      </c>
      <c r="AC3" s="238" t="s">
        <v>64</v>
      </c>
      <c r="AD3" s="240" t="s">
        <v>63</v>
      </c>
      <c r="AE3" s="234" t="s">
        <v>19</v>
      </c>
      <c r="AF3" s="236" t="s">
        <v>65</v>
      </c>
      <c r="AG3" s="232"/>
      <c r="AH3" s="233"/>
      <c r="AI3" s="237" t="s">
        <v>66</v>
      </c>
      <c r="AJ3" s="232"/>
      <c r="AK3" s="233"/>
      <c r="AL3" s="236" t="s">
        <v>67</v>
      </c>
      <c r="AM3" s="232"/>
      <c r="AN3" s="233"/>
      <c r="AO3" s="236" t="s">
        <v>68</v>
      </c>
      <c r="AP3" s="232"/>
      <c r="AQ3" s="233"/>
      <c r="AR3" s="236" t="s">
        <v>70</v>
      </c>
      <c r="AS3" s="232"/>
      <c r="AT3" s="233"/>
      <c r="AU3" s="232" t="s">
        <v>69</v>
      </c>
      <c r="AV3" s="232"/>
      <c r="AW3" s="233"/>
    </row>
    <row r="4" spans="1:49" s="5" customFormat="1" ht="36.75" customHeight="1" thickBot="1" x14ac:dyDescent="0.3">
      <c r="A4" s="194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22"/>
      <c r="I4" s="224"/>
      <c r="J4" s="226"/>
      <c r="K4" s="228"/>
      <c r="L4" s="230"/>
      <c r="M4" s="114" t="s">
        <v>1</v>
      </c>
      <c r="N4" s="46" t="s">
        <v>5</v>
      </c>
      <c r="O4" s="46" t="s">
        <v>1</v>
      </c>
      <c r="P4" s="46" t="s">
        <v>5</v>
      </c>
      <c r="Q4" s="208"/>
      <c r="R4" s="208"/>
      <c r="S4" s="208"/>
      <c r="T4" s="216"/>
      <c r="U4" s="210"/>
      <c r="V4" s="212"/>
      <c r="W4" s="214"/>
      <c r="X4" s="214"/>
      <c r="Y4" s="214"/>
      <c r="Z4" s="214"/>
      <c r="AA4" s="214"/>
      <c r="AB4" s="214"/>
      <c r="AC4" s="239"/>
      <c r="AD4" s="241"/>
      <c r="AE4" s="235"/>
      <c r="AF4" s="169" t="s">
        <v>61</v>
      </c>
      <c r="AG4" s="170" t="s">
        <v>62</v>
      </c>
      <c r="AH4" s="157" t="s">
        <v>13</v>
      </c>
      <c r="AI4" s="170" t="s">
        <v>61</v>
      </c>
      <c r="AJ4" s="170" t="s">
        <v>62</v>
      </c>
      <c r="AK4" s="157" t="s">
        <v>13</v>
      </c>
      <c r="AL4" s="169" t="s">
        <v>61</v>
      </c>
      <c r="AM4" s="170" t="s">
        <v>62</v>
      </c>
      <c r="AN4" s="157" t="s">
        <v>13</v>
      </c>
      <c r="AO4" s="169" t="s">
        <v>61</v>
      </c>
      <c r="AP4" s="170" t="s">
        <v>60</v>
      </c>
      <c r="AQ4" s="157" t="s">
        <v>13</v>
      </c>
      <c r="AR4" s="169" t="s">
        <v>61</v>
      </c>
      <c r="AS4" s="170" t="s">
        <v>60</v>
      </c>
      <c r="AT4" s="157" t="s">
        <v>13</v>
      </c>
      <c r="AU4" s="171" t="s">
        <v>61</v>
      </c>
      <c r="AV4" s="170" t="s">
        <v>60</v>
      </c>
      <c r="AW4" s="157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5">
        <v>68826</v>
      </c>
      <c r="W5" s="105">
        <v>35</v>
      </c>
      <c r="X5" s="184">
        <f>IF(ISBLANK(V5),"0 ",W5*284.345)</f>
        <v>9952.0750000000007</v>
      </c>
      <c r="Y5" s="184">
        <f>X5*0.3442</f>
        <v>3425.5042150000004</v>
      </c>
      <c r="Z5" s="184">
        <f>IF(ISBLANK(V5),"0",1570*1546.86/12/30*0.65)</f>
        <v>4384.9184166666664</v>
      </c>
      <c r="AA5" s="186">
        <f>Y5+Z5</f>
        <v>7810.4226316666663</v>
      </c>
      <c r="AB5" s="187">
        <v>6647133</v>
      </c>
      <c r="AC5" s="188">
        <v>12601</v>
      </c>
      <c r="AD5" s="147">
        <v>0.60950000000000004</v>
      </c>
      <c r="AE5" s="153">
        <v>268</v>
      </c>
      <c r="AF5" s="95">
        <v>13613857</v>
      </c>
      <c r="AG5" s="152">
        <v>4704</v>
      </c>
      <c r="AH5" s="168">
        <f>AG5*0.2</f>
        <v>940.80000000000007</v>
      </c>
      <c r="AI5" s="95">
        <v>6311413</v>
      </c>
      <c r="AJ5" s="152">
        <v>2016</v>
      </c>
      <c r="AK5" s="168">
        <f>AJ5*0.2</f>
        <v>403.20000000000005</v>
      </c>
      <c r="AL5" s="161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3">
        <f>AP5*7.84</f>
        <v>94.08</v>
      </c>
      <c r="AR5" s="95">
        <v>2831</v>
      </c>
      <c r="AS5" s="105">
        <v>0</v>
      </c>
      <c r="AT5" s="111">
        <f>AS5*7.84</f>
        <v>0</v>
      </c>
      <c r="AU5" s="160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4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4">
        <f>IF(ISBLANK(AB6),"0 ",AB6-AB5)</f>
        <v>12546</v>
      </c>
      <c r="AD6" s="148">
        <v>0.8286</v>
      </c>
      <c r="AE6" s="154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4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4">
        <f t="shared" si="8"/>
        <v>4384.9184166666664</v>
      </c>
      <c r="AA7" s="77">
        <f t="shared" si="9"/>
        <v>8006.1657296666672</v>
      </c>
      <c r="AB7" s="100">
        <v>6672398</v>
      </c>
      <c r="AC7" s="164">
        <f t="shared" ref="AC7:AC34" si="18">IF(ISBLANK(AB7),"0 ",AB7-AB6)</f>
        <v>12719</v>
      </c>
      <c r="AD7" s="148">
        <v>0.97140000000000004</v>
      </c>
      <c r="AE7" s="154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4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4">
        <f t="shared" si="8"/>
        <v>4384.9184166666664</v>
      </c>
      <c r="AA8" s="77">
        <f t="shared" si="9"/>
        <v>8104.0372786666667</v>
      </c>
      <c r="AB8" s="100">
        <v>6685296</v>
      </c>
      <c r="AC8" s="164">
        <f t="shared" si="18"/>
        <v>12898</v>
      </c>
      <c r="AD8" s="149">
        <v>0.99050000000000005</v>
      </c>
      <c r="AE8" s="154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4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4">
        <f t="shared" si="8"/>
        <v>4384.9184166666664</v>
      </c>
      <c r="AA9" s="77">
        <f t="shared" si="9"/>
        <v>7908.2941806666677</v>
      </c>
      <c r="AB9" s="100">
        <v>6697617</v>
      </c>
      <c r="AC9" s="164">
        <f t="shared" si="18"/>
        <v>12321</v>
      </c>
      <c r="AD9" s="148">
        <v>0.87619999999999998</v>
      </c>
      <c r="AE9" s="154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4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4">
        <f t="shared" si="8"/>
        <v>4384.9184166666664</v>
      </c>
      <c r="AA10" s="77">
        <f t="shared" si="9"/>
        <v>7516.8079846666669</v>
      </c>
      <c r="AB10" s="100">
        <v>6708650</v>
      </c>
      <c r="AC10" s="164">
        <f t="shared" si="18"/>
        <v>11033</v>
      </c>
      <c r="AD10" s="148">
        <v>0.93330000000000002</v>
      </c>
      <c r="AE10" s="154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4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4">
        <f t="shared" si="8"/>
        <v>4384.9184166666664</v>
      </c>
      <c r="AA11" s="77">
        <f t="shared" si="9"/>
        <v>7810.4226316666663</v>
      </c>
      <c r="AB11" s="100">
        <v>6720398</v>
      </c>
      <c r="AC11" s="164">
        <f t="shared" si="18"/>
        <v>11748</v>
      </c>
      <c r="AD11" s="148">
        <v>0.8952</v>
      </c>
      <c r="AE11" s="154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4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4">
        <f t="shared" si="8"/>
        <v>4384.9184166666664</v>
      </c>
      <c r="AA12" s="77">
        <f t="shared" si="9"/>
        <v>7614.6795336666664</v>
      </c>
      <c r="AB12" s="100">
        <v>6731512</v>
      </c>
      <c r="AC12" s="164">
        <f t="shared" si="18"/>
        <v>11114</v>
      </c>
      <c r="AD12" s="150">
        <v>0.92700000000000005</v>
      </c>
      <c r="AE12" s="154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4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4">
        <f t="shared" si="8"/>
        <v>4384.9184166666664</v>
      </c>
      <c r="AA13" s="77">
        <f t="shared" si="9"/>
        <v>8006.1657296666672</v>
      </c>
      <c r="AB13" s="100">
        <v>6743920</v>
      </c>
      <c r="AC13" s="164">
        <f t="shared" si="18"/>
        <v>12408</v>
      </c>
      <c r="AD13" s="148">
        <v>0.86980000000000002</v>
      </c>
      <c r="AE13" s="154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4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4">
        <f t="shared" si="8"/>
        <v>4384.9184166666664</v>
      </c>
      <c r="AA14" s="77">
        <f t="shared" si="9"/>
        <v>8104.0372786666667</v>
      </c>
      <c r="AB14" s="100">
        <v>6756697</v>
      </c>
      <c r="AC14" s="164">
        <f t="shared" si="18"/>
        <v>12777</v>
      </c>
      <c r="AD14" s="148">
        <v>0.8508</v>
      </c>
      <c r="AE14" s="154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4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4">
        <f t="shared" si="8"/>
        <v>4384.9184166666664</v>
      </c>
      <c r="AA15" s="77">
        <f t="shared" si="9"/>
        <v>8006.1657296666672</v>
      </c>
      <c r="AB15" s="100">
        <v>6769346</v>
      </c>
      <c r="AC15" s="164">
        <f t="shared" si="18"/>
        <v>12649</v>
      </c>
      <c r="AD15" s="148">
        <v>0.8</v>
      </c>
      <c r="AE15" s="154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4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4">
        <f t="shared" si="8"/>
        <v>4384.9184166666664</v>
      </c>
      <c r="AA16" s="77">
        <f t="shared" si="9"/>
        <v>7810.4226316666663</v>
      </c>
      <c r="AB16" s="100">
        <v>6781431</v>
      </c>
      <c r="AC16" s="164">
        <f t="shared" si="18"/>
        <v>12085</v>
      </c>
      <c r="AD16" s="148">
        <v>0.73019999999999996</v>
      </c>
      <c r="AE16" s="154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4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4">
        <f t="shared" si="8"/>
        <v>4384.9184166666664</v>
      </c>
      <c r="AA17" s="77">
        <f t="shared" si="9"/>
        <v>7908.2941806666677</v>
      </c>
      <c r="AB17" s="100">
        <v>6793641</v>
      </c>
      <c r="AC17" s="164">
        <f t="shared" si="18"/>
        <v>12210</v>
      </c>
      <c r="AD17" s="150">
        <v>0.72060000000000002</v>
      </c>
      <c r="AE17" s="154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4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4">
        <f t="shared" si="8"/>
        <v>4384.9184166666664</v>
      </c>
      <c r="AA18" s="77">
        <f t="shared" si="9"/>
        <v>7908.2941806666677</v>
      </c>
      <c r="AB18" s="100">
        <v>6805793</v>
      </c>
      <c r="AC18" s="164">
        <f t="shared" si="18"/>
        <v>12152</v>
      </c>
      <c r="AD18" s="148">
        <v>0.71430000000000005</v>
      </c>
      <c r="AE18" s="154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4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4">
        <f t="shared" si="8"/>
        <v>4384.9184166666664</v>
      </c>
      <c r="AA19" s="77">
        <f t="shared" si="9"/>
        <v>7516.8079846666669</v>
      </c>
      <c r="AB19" s="100">
        <v>6816518</v>
      </c>
      <c r="AC19" s="164">
        <f t="shared" si="18"/>
        <v>10725</v>
      </c>
      <c r="AD19" s="148">
        <v>0.54290000000000005</v>
      </c>
      <c r="AE19" s="154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4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4">
        <f t="shared" si="8"/>
        <v>4384.9184166666664</v>
      </c>
      <c r="AA20" s="77">
        <f t="shared" si="9"/>
        <v>7712.5510826666668</v>
      </c>
      <c r="AB20" s="100">
        <v>6828027</v>
      </c>
      <c r="AC20" s="164">
        <f t="shared" si="18"/>
        <v>11509</v>
      </c>
      <c r="AD20" s="148">
        <v>0.67300000000000004</v>
      </c>
      <c r="AE20" s="154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4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4">
        <f t="shared" si="8"/>
        <v>4384.9184166666664</v>
      </c>
      <c r="AA21" s="77">
        <f t="shared" si="9"/>
        <v>8201.9088276666662</v>
      </c>
      <c r="AB21" s="100">
        <v>6841011</v>
      </c>
      <c r="AC21" s="164">
        <f t="shared" si="18"/>
        <v>12984</v>
      </c>
      <c r="AD21" s="148">
        <v>0.82220000000000004</v>
      </c>
      <c r="AE21" s="154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4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4">
        <f t="shared" si="8"/>
        <v>4384.9184166666664</v>
      </c>
      <c r="AA22" s="77">
        <f t="shared" si="9"/>
        <v>8201.9088276666662</v>
      </c>
      <c r="AB22" s="100">
        <v>6853936</v>
      </c>
      <c r="AC22" s="164">
        <f t="shared" si="18"/>
        <v>12925</v>
      </c>
      <c r="AD22" s="148">
        <v>0.80630000000000002</v>
      </c>
      <c r="AE22" s="154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4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4">
        <f t="shared" si="8"/>
        <v>4384.9184166666664</v>
      </c>
      <c r="AA23" s="77">
        <f t="shared" si="9"/>
        <v>8201.9088276666662</v>
      </c>
      <c r="AB23" s="100">
        <v>6867057</v>
      </c>
      <c r="AC23" s="164">
        <f t="shared" si="18"/>
        <v>13121</v>
      </c>
      <c r="AD23" s="148">
        <v>0.70789999999999997</v>
      </c>
      <c r="AE23" s="154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4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4">
        <f t="shared" si="8"/>
        <v>4384.9184166666664</v>
      </c>
      <c r="AA24" s="77">
        <f t="shared" si="9"/>
        <v>8104.0372786666667</v>
      </c>
      <c r="AB24" s="100">
        <v>6880006</v>
      </c>
      <c r="AC24" s="164">
        <f t="shared" si="18"/>
        <v>12949</v>
      </c>
      <c r="AD24" s="148">
        <v>0.71430000000000005</v>
      </c>
      <c r="AE24" s="154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9">
        <v>6833</v>
      </c>
      <c r="AP24" s="96">
        <f t="shared" si="30"/>
        <v>9</v>
      </c>
      <c r="AQ24" s="154">
        <f t="shared" si="25"/>
        <v>70.56</v>
      </c>
      <c r="AR24" s="158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4">
        <f t="shared" si="8"/>
        <v>4384.9184166666664</v>
      </c>
      <c r="AA25" s="78">
        <f t="shared" si="9"/>
        <v>8104.0372786666667</v>
      </c>
      <c r="AB25" s="100">
        <v>6892791</v>
      </c>
      <c r="AC25" s="164">
        <f t="shared" si="18"/>
        <v>12785</v>
      </c>
      <c r="AD25" s="151">
        <v>0.8508</v>
      </c>
      <c r="AE25" s="155">
        <v>439</v>
      </c>
      <c r="AF25" s="158">
        <v>13720023</v>
      </c>
      <c r="AG25" s="96">
        <f t="shared" si="19"/>
        <v>5588</v>
      </c>
      <c r="AH25" s="102">
        <f t="shared" si="20"/>
        <v>1117.6000000000001</v>
      </c>
      <c r="AI25" s="158">
        <v>6353665</v>
      </c>
      <c r="AJ25" s="96">
        <f t="shared" si="21"/>
        <v>2136</v>
      </c>
      <c r="AK25" s="102">
        <f t="shared" si="22"/>
        <v>427.20000000000005</v>
      </c>
      <c r="AL25" s="159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4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8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4">
        <f t="shared" si="8"/>
        <v>4384.9184166666664</v>
      </c>
      <c r="AA26" s="77">
        <f t="shared" si="9"/>
        <v>8593.3950236666678</v>
      </c>
      <c r="AB26" s="100">
        <v>6907022</v>
      </c>
      <c r="AC26" s="164">
        <f t="shared" si="18"/>
        <v>14231</v>
      </c>
      <c r="AD26" s="148">
        <v>0.71109999999999995</v>
      </c>
      <c r="AE26" s="154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4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4">
        <f t="shared" si="8"/>
        <v>4384.9184166666664</v>
      </c>
      <c r="AA27" s="77">
        <f t="shared" si="9"/>
        <v>8299.7803766666675</v>
      </c>
      <c r="AB27" s="100">
        <v>6920454</v>
      </c>
      <c r="AC27" s="164">
        <f t="shared" si="18"/>
        <v>13432</v>
      </c>
      <c r="AD27" s="148">
        <v>0.83489999999999998</v>
      </c>
      <c r="AE27" s="154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4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4">
        <f t="shared" si="8"/>
        <v>4384.9184166666664</v>
      </c>
      <c r="AA28" s="77">
        <f t="shared" si="9"/>
        <v>8201.9088276666662</v>
      </c>
      <c r="AB28" s="100">
        <v>6933814</v>
      </c>
      <c r="AC28" s="164">
        <f t="shared" si="18"/>
        <v>13360</v>
      </c>
      <c r="AD28" s="148">
        <v>0.97460000000000002</v>
      </c>
      <c r="AE28" s="154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4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4">
        <f t="shared" si="8"/>
        <v>4384.9184166666664</v>
      </c>
      <c r="AA29" s="77">
        <f t="shared" si="9"/>
        <v>8201.9088276666662</v>
      </c>
      <c r="AB29" s="100">
        <v>6947264</v>
      </c>
      <c r="AC29" s="164">
        <f t="shared" si="18"/>
        <v>13450</v>
      </c>
      <c r="AD29" s="148">
        <v>0.94289999999999996</v>
      </c>
      <c r="AE29" s="154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4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4">
        <f t="shared" si="8"/>
        <v>4384.9184166666664</v>
      </c>
      <c r="AA30" s="77">
        <f t="shared" si="9"/>
        <v>8397.651925666667</v>
      </c>
      <c r="AB30" s="100">
        <v>6961128</v>
      </c>
      <c r="AC30" s="164">
        <f t="shared" si="18"/>
        <v>13864</v>
      </c>
      <c r="AD30" s="148">
        <v>0.93330000000000002</v>
      </c>
      <c r="AE30" s="154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4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4">
        <f t="shared" si="8"/>
        <v>4384.9184166666664</v>
      </c>
      <c r="AA31" s="77">
        <f t="shared" si="9"/>
        <v>8006.1657296666672</v>
      </c>
      <c r="AB31" s="100">
        <v>6973784</v>
      </c>
      <c r="AC31" s="164">
        <f t="shared" si="18"/>
        <v>12656</v>
      </c>
      <c r="AD31" s="148">
        <v>0.9365</v>
      </c>
      <c r="AE31" s="154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4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4">
        <f t="shared" si="8"/>
        <v>4384.9184166666664</v>
      </c>
      <c r="AA32" s="77">
        <f t="shared" si="9"/>
        <v>8593.3950236666678</v>
      </c>
      <c r="AB32" s="100">
        <v>6988405</v>
      </c>
      <c r="AC32" s="164">
        <f t="shared" si="18"/>
        <v>14621</v>
      </c>
      <c r="AD32" s="148">
        <v>0.96830000000000005</v>
      </c>
      <c r="AE32" s="154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4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4">
        <f t="shared" si="8"/>
        <v>4384.9184166666664</v>
      </c>
      <c r="AA33" s="77">
        <f t="shared" si="9"/>
        <v>8397.651925666667</v>
      </c>
      <c r="AB33" s="100">
        <v>7002137</v>
      </c>
      <c r="AC33" s="164">
        <f t="shared" si="18"/>
        <v>13732</v>
      </c>
      <c r="AD33" s="148">
        <v>0.84440000000000004</v>
      </c>
      <c r="AE33" s="154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4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4">
        <f t="shared" si="8"/>
        <v>4384.9184166666664</v>
      </c>
      <c r="AA34" s="77">
        <f t="shared" si="9"/>
        <v>8104.0372786666667</v>
      </c>
      <c r="AB34" s="100">
        <v>7014741</v>
      </c>
      <c r="AC34" s="164">
        <f t="shared" si="18"/>
        <v>12604</v>
      </c>
      <c r="AD34" s="148">
        <v>0.93020000000000003</v>
      </c>
      <c r="AE34" s="154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4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3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6">
        <f>SUM(AE5:AE34)</f>
        <v>10905</v>
      </c>
      <c r="AF35" s="80"/>
      <c r="AG35" s="162">
        <f>SUM(AG5:AG34)</f>
        <v>158113</v>
      </c>
      <c r="AH35" s="163">
        <f>SUM(AH5:AH34)</f>
        <v>31622.600000000002</v>
      </c>
      <c r="AI35" s="80"/>
      <c r="AJ35" s="162">
        <f>SUM(AJ5:AJ34)</f>
        <v>63642</v>
      </c>
      <c r="AK35" s="163">
        <f>SUM(AK5:AK34)</f>
        <v>12728.400000000003</v>
      </c>
      <c r="AL35" s="80"/>
      <c r="AM35" s="162">
        <f>SUM(AM5:AM34)</f>
        <v>14848</v>
      </c>
      <c r="AN35" s="163">
        <f>SUM(AN5:AN34)</f>
        <v>2969.6000000000008</v>
      </c>
      <c r="AO35" s="80"/>
      <c r="AP35" s="162">
        <f>SUM(AP5:AP34)</f>
        <v>283</v>
      </c>
      <c r="AQ35" s="163">
        <f>SUM(AQ5:AQ34)</f>
        <v>2218.7199999999998</v>
      </c>
      <c r="AR35" s="80"/>
      <c r="AS35" s="162">
        <f>SUM(AS5:AS34)</f>
        <v>37</v>
      </c>
      <c r="AT35" s="163">
        <f>SUM(AT5:AT34)</f>
        <v>290.08000000000004</v>
      </c>
      <c r="AU35" s="80"/>
      <c r="AV35" s="162">
        <f>SUM(AV5:AV34)</f>
        <v>25</v>
      </c>
      <c r="AW35" s="163">
        <f>SUM(AW5:AW34)</f>
        <v>196.00000000000006</v>
      </c>
    </row>
    <row r="36" spans="1:165" s="8" customFormat="1" ht="22.5" customHeight="1" thickBot="1" x14ac:dyDescent="0.3">
      <c r="A36" s="242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4"/>
      <c r="V36" s="245" t="s">
        <v>24</v>
      </c>
      <c r="W36" s="246"/>
      <c r="X36" s="246"/>
      <c r="Y36" s="246"/>
      <c r="Z36" s="246"/>
      <c r="AA36" s="246"/>
      <c r="AB36" s="247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2"/>
      <c r="B37" s="248" t="s">
        <v>3</v>
      </c>
      <c r="C37" s="249"/>
      <c r="D37" s="249" t="s">
        <v>13</v>
      </c>
      <c r="E37" s="249"/>
      <c r="F37" s="249"/>
      <c r="G37" s="249" t="s">
        <v>14</v>
      </c>
      <c r="H37" s="249"/>
      <c r="I37" s="250"/>
      <c r="J37" s="251" t="s">
        <v>4</v>
      </c>
      <c r="K37" s="252"/>
      <c r="L37" s="45" t="s">
        <v>13</v>
      </c>
      <c r="M37" s="252" t="s">
        <v>49</v>
      </c>
      <c r="N37" s="253"/>
      <c r="O37" s="254" t="s">
        <v>25</v>
      </c>
      <c r="P37" s="255"/>
      <c r="Q37" s="255"/>
      <c r="R37" s="255" t="s">
        <v>13</v>
      </c>
      <c r="S37" s="255"/>
      <c r="T37" s="255" t="s">
        <v>49</v>
      </c>
      <c r="U37" s="256"/>
      <c r="V37" s="257" t="s">
        <v>15</v>
      </c>
      <c r="W37" s="258"/>
      <c r="X37" s="258" t="s">
        <v>13</v>
      </c>
      <c r="Y37" s="258"/>
      <c r="Z37" s="258" t="s">
        <v>16</v>
      </c>
      <c r="AA37" s="258"/>
      <c r="AB37" s="259"/>
      <c r="AC37" s="123"/>
      <c r="AD37" s="182"/>
      <c r="AE37" s="182"/>
      <c r="AF37"/>
      <c r="AG37" s="181">
        <f>131547.55*6</f>
        <v>789285.29999999993</v>
      </c>
      <c r="AH37" s="260" t="s">
        <v>96</v>
      </c>
      <c r="AI37" s="261"/>
      <c r="AJ37" s="261"/>
      <c r="AK37" s="26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63" t="s">
        <v>102</v>
      </c>
      <c r="C38" s="264"/>
      <c r="D38" s="265">
        <f>I35</f>
        <v>85515.8</v>
      </c>
      <c r="E38" s="265"/>
      <c r="F38" s="265"/>
      <c r="G38" s="266">
        <f t="shared" ref="G38:G43" si="32">D38/0.2</f>
        <v>427579</v>
      </c>
      <c r="H38" s="266"/>
      <c r="I38" s="267"/>
      <c r="J38" s="263" t="str">
        <f t="shared" ref="J38:J43" si="33">B38</f>
        <v>Actual June 2024</v>
      </c>
      <c r="K38" s="264"/>
      <c r="L38" s="42">
        <f>L35</f>
        <v>23943.360000000001</v>
      </c>
      <c r="M38" s="266">
        <f>K35</f>
        <v>3054</v>
      </c>
      <c r="N38" s="267"/>
      <c r="O38" s="263" t="str">
        <f t="shared" ref="O38:O43" si="34">B38</f>
        <v>Actual June 2024</v>
      </c>
      <c r="P38" s="264"/>
      <c r="Q38" s="264"/>
      <c r="R38" s="270">
        <f>U35</f>
        <v>19460.333835000005</v>
      </c>
      <c r="S38" s="270"/>
      <c r="T38" s="266">
        <f>T35</f>
        <v>1172.8827000000003</v>
      </c>
      <c r="U38" s="267"/>
      <c r="V38" s="263" t="str">
        <f t="shared" ref="V38:V43" si="35">B38</f>
        <v>Actual June 2024</v>
      </c>
      <c r="W38" s="264"/>
      <c r="X38" s="265">
        <f>AA35</f>
        <v>241457.30202699997</v>
      </c>
      <c r="Y38" s="265"/>
      <c r="Z38" s="266">
        <f>X35</f>
        <v>319319.43500000011</v>
      </c>
      <c r="AA38" s="266"/>
      <c r="AB38" s="267"/>
      <c r="AC38" s="121">
        <f>(R38-5500)/T38</f>
        <v>11.902583127025405</v>
      </c>
      <c r="AD38" s="124">
        <f>AC35</f>
        <v>380209</v>
      </c>
      <c r="AE38" s="125">
        <f>AD38-X35</f>
        <v>60889.564999999886</v>
      </c>
      <c r="AF38" s="183"/>
      <c r="AG38" s="132">
        <f>126488.42*6</f>
        <v>758930.52</v>
      </c>
      <c r="AH38" s="260" t="s">
        <v>52</v>
      </c>
      <c r="AI38" s="261"/>
      <c r="AJ38" s="261"/>
      <c r="AK38" s="26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63" t="s">
        <v>103</v>
      </c>
      <c r="C39" s="264"/>
      <c r="D39" s="268">
        <v>94027.5</v>
      </c>
      <c r="E39" s="268"/>
      <c r="F39" s="268"/>
      <c r="G39" s="266">
        <f t="shared" si="32"/>
        <v>470137.5</v>
      </c>
      <c r="H39" s="266"/>
      <c r="I39" s="267"/>
      <c r="J39" s="263" t="str">
        <f t="shared" si="33"/>
        <v>Budget June 2024</v>
      </c>
      <c r="K39" s="264"/>
      <c r="L39" s="39">
        <v>20143.670716351899</v>
      </c>
      <c r="M39" s="266">
        <f>L39/7.84</f>
        <v>2569.3457546367217</v>
      </c>
      <c r="N39" s="267"/>
      <c r="O39" s="263" t="str">
        <f t="shared" si="34"/>
        <v>Budget June 2024</v>
      </c>
      <c r="P39" s="264"/>
      <c r="Q39" s="264"/>
      <c r="R39" s="269">
        <v>18008.243923260201</v>
      </c>
      <c r="S39" s="269"/>
      <c r="T39" s="266">
        <f>(R39-6500)/11.05</f>
        <v>1041.4700383040906</v>
      </c>
      <c r="U39" s="267"/>
      <c r="V39" s="263" t="str">
        <f t="shared" si="35"/>
        <v>Budget June 2024</v>
      </c>
      <c r="W39" s="264"/>
      <c r="X39" s="268">
        <v>232006.63200000001</v>
      </c>
      <c r="Y39" s="268"/>
      <c r="Z39" s="266">
        <f>AG39/0.3442</f>
        <v>291862.52760023251</v>
      </c>
      <c r="AA39" s="266"/>
      <c r="AB39" s="267"/>
      <c r="AC39" s="122"/>
      <c r="AD39" s="176"/>
      <c r="AE39" s="177"/>
      <c r="AF39" s="179"/>
      <c r="AG39" s="126">
        <f>X39-131547.55</f>
        <v>100459.08200000002</v>
      </c>
      <c r="AH39" s="260" t="s">
        <v>97</v>
      </c>
      <c r="AI39" s="261"/>
      <c r="AJ39" s="261"/>
      <c r="AK39" s="26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63" t="s">
        <v>104</v>
      </c>
      <c r="C40" s="264"/>
      <c r="D40" s="268">
        <v>93055</v>
      </c>
      <c r="E40" s="268"/>
      <c r="F40" s="268"/>
      <c r="G40" s="266">
        <f t="shared" si="32"/>
        <v>465275</v>
      </c>
      <c r="H40" s="266"/>
      <c r="I40" s="267"/>
      <c r="J40" s="263" t="str">
        <f t="shared" si="33"/>
        <v>Actual June 2023</v>
      </c>
      <c r="K40" s="264"/>
      <c r="L40" s="39">
        <v>20219.36</v>
      </c>
      <c r="M40" s="266">
        <f>L40/7.84</f>
        <v>2579</v>
      </c>
      <c r="N40" s="267"/>
      <c r="O40" s="263" t="str">
        <f t="shared" si="34"/>
        <v>Actual June 2023</v>
      </c>
      <c r="P40" s="264"/>
      <c r="Q40" s="264"/>
      <c r="R40" s="269">
        <v>17896.939999999999</v>
      </c>
      <c r="S40" s="269"/>
      <c r="T40" s="266">
        <f>(R40-6500)/11.05</f>
        <v>1031.3972850678731</v>
      </c>
      <c r="U40" s="267"/>
      <c r="V40" s="263" t="str">
        <f t="shared" si="35"/>
        <v>Actual June 2023</v>
      </c>
      <c r="W40" s="264"/>
      <c r="X40" s="268">
        <v>223083.3</v>
      </c>
      <c r="Y40" s="268"/>
      <c r="Z40" s="266">
        <f>AG40/0.3435</f>
        <v>281207.80203784566</v>
      </c>
      <c r="AA40" s="266"/>
      <c r="AB40" s="267"/>
      <c r="AC40" s="122"/>
      <c r="AD40" s="178"/>
      <c r="AE40" s="11"/>
      <c r="AF40" s="179"/>
      <c r="AG40" s="127">
        <f>X40-126488.42</f>
        <v>96594.87999999999</v>
      </c>
      <c r="AH40" s="260" t="s">
        <v>98</v>
      </c>
      <c r="AI40" s="261"/>
      <c r="AJ40" s="261"/>
      <c r="AK40" s="26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63" t="s">
        <v>71</v>
      </c>
      <c r="C41" s="264"/>
      <c r="D41" s="265">
        <f>D38+441064.2</f>
        <v>526580</v>
      </c>
      <c r="E41" s="265"/>
      <c r="F41" s="265"/>
      <c r="G41" s="266">
        <f t="shared" si="32"/>
        <v>2632900</v>
      </c>
      <c r="H41" s="266"/>
      <c r="I41" s="267"/>
      <c r="J41" s="263" t="str">
        <f t="shared" si="33"/>
        <v>Actual YTD 2024</v>
      </c>
      <c r="K41" s="264"/>
      <c r="L41" s="42">
        <f>L38+119066.08</f>
        <v>143009.44</v>
      </c>
      <c r="M41" s="266">
        <f>L41/7.84</f>
        <v>18241</v>
      </c>
      <c r="N41" s="267"/>
      <c r="O41" s="271" t="str">
        <f t="shared" si="34"/>
        <v>Actual YTD 2024</v>
      </c>
      <c r="P41" s="272"/>
      <c r="Q41" s="273"/>
      <c r="R41" s="270">
        <f>R38+90695.64</f>
        <v>110155.97383500001</v>
      </c>
      <c r="S41" s="270"/>
      <c r="T41" s="266">
        <f>(R41-6500*6)/11.05</f>
        <v>6439.4546457013585</v>
      </c>
      <c r="U41" s="267"/>
      <c r="V41" s="263" t="str">
        <f t="shared" si="35"/>
        <v>Actual YTD 2024</v>
      </c>
      <c r="W41" s="264"/>
      <c r="X41" s="265">
        <f>X38+979026.7</f>
        <v>1220484.0020269998</v>
      </c>
      <c r="Y41" s="265"/>
      <c r="Z41" s="266">
        <f>AG41/0.3442</f>
        <v>1252756.2522574081</v>
      </c>
      <c r="AA41" s="266"/>
      <c r="AB41" s="267"/>
      <c r="AC41" s="122"/>
      <c r="AD41" s="178"/>
      <c r="AF41" s="179"/>
      <c r="AG41" s="126">
        <f>X41-AG37</f>
        <v>431198.7020269999</v>
      </c>
      <c r="AH41" s="260" t="s">
        <v>99</v>
      </c>
      <c r="AI41" s="261"/>
      <c r="AJ41" s="261"/>
      <c r="AK41" s="26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63" t="s">
        <v>72</v>
      </c>
      <c r="C42" s="264"/>
      <c r="D42" s="268">
        <f>D39+480463.2</f>
        <v>574490.69999999995</v>
      </c>
      <c r="E42" s="268"/>
      <c r="F42" s="268"/>
      <c r="G42" s="266">
        <f t="shared" si="32"/>
        <v>2872453.4999999995</v>
      </c>
      <c r="H42" s="266"/>
      <c r="I42" s="267"/>
      <c r="J42" s="263" t="str">
        <f t="shared" si="33"/>
        <v>Budget YTD 2024</v>
      </c>
      <c r="K42" s="264"/>
      <c r="L42" s="39">
        <f>L39+123958.23</f>
        <v>144101.9007163519</v>
      </c>
      <c r="M42" s="266">
        <f>L42/7.84</f>
        <v>18380.344479126517</v>
      </c>
      <c r="N42" s="267"/>
      <c r="O42" s="263" t="str">
        <f t="shared" si="34"/>
        <v>Budget YTD 2024</v>
      </c>
      <c r="P42" s="264"/>
      <c r="Q42" s="264"/>
      <c r="R42" s="269">
        <f>R39+91106.69</f>
        <v>109114.93392326021</v>
      </c>
      <c r="S42" s="269"/>
      <c r="T42" s="266">
        <f>(R42-6500*6)/11.05</f>
        <v>6345.2428889828234</v>
      </c>
      <c r="U42" s="267"/>
      <c r="V42" s="263" t="str">
        <f t="shared" si="35"/>
        <v>Budget YTD 2024</v>
      </c>
      <c r="W42" s="264"/>
      <c r="X42" s="268">
        <f>X39+965317.77</f>
        <v>1197324.402</v>
      </c>
      <c r="Y42" s="268"/>
      <c r="Z42" s="274">
        <f>AG42/0.3442</f>
        <v>1185470.9529343406</v>
      </c>
      <c r="AA42" s="275"/>
      <c r="AB42" s="276"/>
      <c r="AC42" s="122"/>
      <c r="AD42" s="178"/>
      <c r="AF42" s="179"/>
      <c r="AG42" s="126">
        <f>X42-AG37</f>
        <v>408039.10200000007</v>
      </c>
      <c r="AH42" s="260" t="s">
        <v>100</v>
      </c>
      <c r="AI42" s="261"/>
      <c r="AJ42" s="261"/>
      <c r="AK42" s="26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91" t="s">
        <v>51</v>
      </c>
      <c r="C43" s="292"/>
      <c r="D43" s="277">
        <v>559575.19999999995</v>
      </c>
      <c r="E43" s="277"/>
      <c r="F43" s="277"/>
      <c r="G43" s="278">
        <f t="shared" si="32"/>
        <v>2797875.9999999995</v>
      </c>
      <c r="H43" s="278"/>
      <c r="I43" s="279"/>
      <c r="J43" s="291" t="str">
        <f t="shared" si="33"/>
        <v>Actual YTD 2023</v>
      </c>
      <c r="K43" s="292"/>
      <c r="L43" s="43">
        <v>127721.44</v>
      </c>
      <c r="M43" s="278">
        <f>L43/7.84</f>
        <v>16291</v>
      </c>
      <c r="N43" s="279"/>
      <c r="O43" s="291" t="str">
        <f t="shared" si="34"/>
        <v>Actual YTD 2023</v>
      </c>
      <c r="P43" s="292"/>
      <c r="Q43" s="292"/>
      <c r="R43" s="293">
        <v>99596.79</v>
      </c>
      <c r="S43" s="293"/>
      <c r="T43" s="278">
        <f>(R43-6500*6)/11.05</f>
        <v>5483.8723981900439</v>
      </c>
      <c r="U43" s="279"/>
      <c r="V43" s="291" t="str">
        <f t="shared" si="35"/>
        <v>Actual YTD 2023</v>
      </c>
      <c r="W43" s="292"/>
      <c r="X43" s="277">
        <v>1142895.28</v>
      </c>
      <c r="Y43" s="277"/>
      <c r="Z43" s="278">
        <f>AG43/0.3435</f>
        <v>1117801.3391557497</v>
      </c>
      <c r="AA43" s="278"/>
      <c r="AB43" s="279"/>
      <c r="AC43" s="122"/>
      <c r="AD43" s="178"/>
      <c r="AF43" s="179"/>
      <c r="AG43" s="128">
        <f>X43-AG38</f>
        <v>383964.76</v>
      </c>
      <c r="AH43" s="260" t="s">
        <v>53</v>
      </c>
      <c r="AI43" s="261"/>
      <c r="AJ43" s="261"/>
      <c r="AK43" s="262"/>
      <c r="AL43" s="8"/>
      <c r="AM43" s="8"/>
      <c r="AN43" s="8"/>
      <c r="AO43" s="8"/>
      <c r="AP43" s="8"/>
    </row>
    <row r="44" spans="1:165" ht="27.95" customHeight="1" x14ac:dyDescent="0.25">
      <c r="G44" s="145"/>
      <c r="H44" s="145">
        <v>45444</v>
      </c>
      <c r="I44" s="89">
        <f ca="1">TODAY()</f>
        <v>45509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80"/>
      <c r="AE44" s="180"/>
      <c r="AF44" s="180"/>
      <c r="AG44" s="175"/>
      <c r="AH44" s="175"/>
      <c r="AI44" s="174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80" t="s">
        <v>26</v>
      </c>
      <c r="B45" s="281"/>
      <c r="D45" s="282" t="s">
        <v>27</v>
      </c>
      <c r="E45" s="283"/>
      <c r="F45" s="283"/>
      <c r="G45" s="284"/>
      <c r="H45" s="48"/>
      <c r="I45" s="285" t="s">
        <v>28</v>
      </c>
      <c r="J45" s="286"/>
      <c r="K45" s="286"/>
      <c r="L45" s="287"/>
      <c r="M45" s="49"/>
      <c r="N45" s="282" t="s">
        <v>29</v>
      </c>
      <c r="O45" s="283"/>
      <c r="P45" s="283"/>
      <c r="Q45" s="283"/>
      <c r="R45" s="283"/>
      <c r="S45" s="284"/>
      <c r="T45" s="2"/>
      <c r="U45" s="282" t="s">
        <v>30</v>
      </c>
      <c r="V45" s="283"/>
      <c r="W45" s="283"/>
      <c r="X45" s="284"/>
      <c r="Y45"/>
      <c r="Z45" s="282" t="s">
        <v>54</v>
      </c>
      <c r="AA45" s="283"/>
      <c r="AB45" s="284"/>
      <c r="AC45"/>
      <c r="AD45" s="288" t="s">
        <v>55</v>
      </c>
      <c r="AE45" s="289"/>
      <c r="AF45" s="290"/>
      <c r="AG45" s="141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294" t="s">
        <v>3</v>
      </c>
      <c r="E46" s="295"/>
      <c r="F46" s="295"/>
      <c r="G46" s="40">
        <f>B46/30</f>
        <v>3134.25</v>
      </c>
      <c r="H46" s="146"/>
      <c r="I46" s="294" t="s">
        <v>3</v>
      </c>
      <c r="J46" s="295"/>
      <c r="K46" s="295"/>
      <c r="L46" s="129">
        <f>I35/J44</f>
        <v>2850.5266666666666</v>
      </c>
      <c r="M46" s="50"/>
      <c r="N46" s="294" t="s">
        <v>3</v>
      </c>
      <c r="O46" s="295"/>
      <c r="P46" s="295"/>
      <c r="Q46" s="295"/>
      <c r="R46" s="296">
        <f>G46*J44</f>
        <v>94027.5</v>
      </c>
      <c r="S46" s="297"/>
      <c r="T46" s="51"/>
      <c r="U46" s="294" t="s">
        <v>3</v>
      </c>
      <c r="V46" s="295"/>
      <c r="W46" s="298">
        <f>I35</f>
        <v>85515.8</v>
      </c>
      <c r="X46" s="299"/>
      <c r="Y46" s="52">
        <f>R46-W46</f>
        <v>8511.6999999999971</v>
      </c>
      <c r="Z46" s="294" t="s">
        <v>3</v>
      </c>
      <c r="AA46" s="295"/>
      <c r="AB46" s="133">
        <f>R46+480463.2</f>
        <v>574490.69999999995</v>
      </c>
      <c r="AC46"/>
      <c r="AD46" s="294" t="s">
        <v>3</v>
      </c>
      <c r="AE46" s="295"/>
      <c r="AF46" s="135">
        <f>W46+441064.2</f>
        <v>526580</v>
      </c>
      <c r="AG46" s="136">
        <f>AB46-AF46</f>
        <v>47910.699999999953</v>
      </c>
      <c r="AH46" s="137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294" t="s">
        <v>4</v>
      </c>
      <c r="E47" s="295"/>
      <c r="F47" s="295"/>
      <c r="G47" s="40">
        <f>B47/30</f>
        <v>671.45569054506325</v>
      </c>
      <c r="H47" s="146"/>
      <c r="I47" s="294" t="s">
        <v>4</v>
      </c>
      <c r="J47" s="295"/>
      <c r="K47" s="295"/>
      <c r="L47" s="130">
        <f>L35/J44</f>
        <v>798.11199999999997</v>
      </c>
      <c r="M47" s="50"/>
      <c r="N47" s="294" t="s">
        <v>4</v>
      </c>
      <c r="O47" s="295"/>
      <c r="P47" s="295"/>
      <c r="Q47" s="295"/>
      <c r="R47" s="296">
        <f>G47*J44</f>
        <v>20143.670716351899</v>
      </c>
      <c r="S47" s="297"/>
      <c r="T47" s="51"/>
      <c r="U47" s="294" t="s">
        <v>4</v>
      </c>
      <c r="V47" s="295"/>
      <c r="W47" s="298">
        <f>L35</f>
        <v>23943.360000000001</v>
      </c>
      <c r="X47" s="299"/>
      <c r="Y47" s="52">
        <f>R47-W47</f>
        <v>-3799.689283648102</v>
      </c>
      <c r="Z47" s="294" t="s">
        <v>4</v>
      </c>
      <c r="AA47" s="295"/>
      <c r="AB47" s="133">
        <f>R47+119066.08</f>
        <v>139209.7507163519</v>
      </c>
      <c r="AC47"/>
      <c r="AD47" s="294" t="s">
        <v>4</v>
      </c>
      <c r="AE47" s="295"/>
      <c r="AF47" s="135">
        <f>W47+119066.08</f>
        <v>143009.44</v>
      </c>
      <c r="AG47" s="136">
        <f>AB47-AF47</f>
        <v>-3799.6892836480984</v>
      </c>
      <c r="AH47" s="137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294" t="s">
        <v>25</v>
      </c>
      <c r="E48" s="295"/>
      <c r="F48" s="295"/>
      <c r="G48" s="40">
        <f>B48/30</f>
        <v>600.27479744200673</v>
      </c>
      <c r="H48" s="50"/>
      <c r="I48" s="294" t="s">
        <v>25</v>
      </c>
      <c r="J48" s="295"/>
      <c r="K48" s="295"/>
      <c r="L48" s="130">
        <f>U35/J44</f>
        <v>648.67779450000012</v>
      </c>
      <c r="M48" s="50"/>
      <c r="N48" s="294" t="s">
        <v>25</v>
      </c>
      <c r="O48" s="295"/>
      <c r="P48" s="295"/>
      <c r="Q48" s="295"/>
      <c r="R48" s="296">
        <f>G48*J44</f>
        <v>18008.243923260201</v>
      </c>
      <c r="S48" s="297"/>
      <c r="T48" s="51"/>
      <c r="U48" s="294" t="s">
        <v>25</v>
      </c>
      <c r="V48" s="295"/>
      <c r="W48" s="298">
        <f>U35</f>
        <v>19460.333835000005</v>
      </c>
      <c r="X48" s="299"/>
      <c r="Y48" s="52">
        <f>R48-W48</f>
        <v>-1452.0899117398039</v>
      </c>
      <c r="Z48" s="294" t="s">
        <v>25</v>
      </c>
      <c r="AA48" s="295"/>
      <c r="AB48" s="133">
        <f>R48+91106.7</f>
        <v>109114.9439232602</v>
      </c>
      <c r="AC48"/>
      <c r="AD48" s="294" t="s">
        <v>25</v>
      </c>
      <c r="AE48" s="295"/>
      <c r="AF48" s="135">
        <f>W48+90695.64</f>
        <v>110155.97383500001</v>
      </c>
      <c r="AG48" s="136">
        <f>AB48-AF48</f>
        <v>-1041.0299117398099</v>
      </c>
      <c r="AH48" s="137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300" t="s">
        <v>15</v>
      </c>
      <c r="E49" s="301"/>
      <c r="F49" s="301"/>
      <c r="G49" s="38">
        <f>B49/30</f>
        <v>7733.5544</v>
      </c>
      <c r="H49" s="53"/>
      <c r="I49" s="300" t="s">
        <v>15</v>
      </c>
      <c r="J49" s="301"/>
      <c r="K49" s="301"/>
      <c r="L49" s="131">
        <f>AA35/J44</f>
        <v>8048.576734233332</v>
      </c>
      <c r="M49" s="53"/>
      <c r="N49" s="300" t="s">
        <v>15</v>
      </c>
      <c r="O49" s="301"/>
      <c r="P49" s="301"/>
      <c r="Q49" s="301"/>
      <c r="R49" s="304">
        <f>G49*J44</f>
        <v>232006.63200000001</v>
      </c>
      <c r="S49" s="305"/>
      <c r="T49" s="51"/>
      <c r="U49" s="300" t="s">
        <v>15</v>
      </c>
      <c r="V49" s="301"/>
      <c r="W49" s="306">
        <f>AA35</f>
        <v>241457.30202699997</v>
      </c>
      <c r="X49" s="307"/>
      <c r="Y49" s="52">
        <f>R49-W49</f>
        <v>-9450.6700269999565</v>
      </c>
      <c r="Z49" s="300" t="s">
        <v>15</v>
      </c>
      <c r="AA49" s="301"/>
      <c r="AB49" s="65">
        <f>R49+965317.77</f>
        <v>1197324.402</v>
      </c>
      <c r="AC49"/>
      <c r="AD49" s="300" t="s">
        <v>15</v>
      </c>
      <c r="AE49" s="301"/>
      <c r="AF49" s="142">
        <f>W49+979026.7</f>
        <v>1220484.0020269998</v>
      </c>
      <c r="AG49" s="143">
        <f>AB49-AF49</f>
        <v>-23159.600026999833</v>
      </c>
      <c r="AH49" s="144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302">
        <f>SUM(R46:S49)</f>
        <v>364186.04663961212</v>
      </c>
      <c r="S50" s="302"/>
      <c r="T50" s="56"/>
      <c r="U50" s="56"/>
      <c r="V50" s="56"/>
      <c r="W50" s="302">
        <f>SUM(W46:X49)</f>
        <v>370376.79586199997</v>
      </c>
      <c r="X50" s="302"/>
      <c r="Y50" s="52">
        <f>R50-W50</f>
        <v>-6190.7492223878508</v>
      </c>
      <c r="Z50" s="303"/>
      <c r="AA50" s="303" t="s">
        <v>58</v>
      </c>
      <c r="AB50" s="134">
        <f>SUM(AB46:AB49)</f>
        <v>2020139.7966396119</v>
      </c>
      <c r="AD50" s="138"/>
      <c r="AF50" s="134">
        <f>SUM(AF46:AF49)</f>
        <v>2000229.4158619998</v>
      </c>
      <c r="AG50" s="139">
        <f>AB50-AF50</f>
        <v>19910.380777612096</v>
      </c>
      <c r="AH50" s="134"/>
      <c r="AI50" s="139"/>
      <c r="AJ50" s="139"/>
      <c r="AK50" s="139"/>
      <c r="AL50" s="140"/>
      <c r="AM50" s="140"/>
      <c r="AN50" s="140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80" t="s">
        <v>41</v>
      </c>
      <c r="B53" s="281"/>
      <c r="D53" s="282" t="s">
        <v>42</v>
      </c>
      <c r="E53" s="283"/>
      <c r="F53" s="283"/>
      <c r="G53" s="284"/>
      <c r="H53" s="48"/>
      <c r="I53" s="285" t="s">
        <v>43</v>
      </c>
      <c r="J53" s="286"/>
      <c r="K53" s="286"/>
      <c r="L53" s="287"/>
      <c r="M53" s="49"/>
      <c r="N53" s="282" t="s">
        <v>30</v>
      </c>
      <c r="O53" s="283"/>
      <c r="P53" s="283"/>
      <c r="Q53" s="283"/>
      <c r="R53" s="283"/>
      <c r="S53" s="284"/>
      <c r="T53" s="2"/>
      <c r="U53" s="282" t="s">
        <v>44</v>
      </c>
      <c r="V53" s="283"/>
      <c r="W53" s="283"/>
      <c r="X53" s="284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6"/>
      <c r="AG53" s="166"/>
      <c r="AH53" s="166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294" t="s">
        <v>3</v>
      </c>
      <c r="E54" s="295"/>
      <c r="F54" s="295"/>
      <c r="G54" s="40">
        <f>B54/30</f>
        <v>3101.8333333333335</v>
      </c>
      <c r="H54" s="50"/>
      <c r="I54" s="294" t="s">
        <v>3</v>
      </c>
      <c r="J54" s="295"/>
      <c r="K54" s="295"/>
      <c r="L54" s="66">
        <f>G54*J44</f>
        <v>93055</v>
      </c>
      <c r="M54" s="50"/>
      <c r="N54" s="294" t="s">
        <v>3</v>
      </c>
      <c r="O54" s="295"/>
      <c r="P54" s="295"/>
      <c r="Q54" s="295"/>
      <c r="R54" s="308">
        <f>W46</f>
        <v>85515.8</v>
      </c>
      <c r="S54" s="309"/>
      <c r="T54" s="51"/>
      <c r="U54" s="294" t="s">
        <v>3</v>
      </c>
      <c r="V54" s="295"/>
      <c r="W54" s="298">
        <f>L54-R54</f>
        <v>7539.1999999999971</v>
      </c>
      <c r="X54" s="299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7"/>
      <c r="AG54" s="167"/>
      <c r="AH54" s="167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294" t="s">
        <v>4</v>
      </c>
      <c r="E55" s="295"/>
      <c r="F55" s="295"/>
      <c r="G55" s="40">
        <f>B55/30</f>
        <v>673.97866666666664</v>
      </c>
      <c r="H55" s="50"/>
      <c r="I55" s="294" t="s">
        <v>4</v>
      </c>
      <c r="J55" s="295"/>
      <c r="K55" s="295"/>
      <c r="L55" s="66">
        <f>G55*J44</f>
        <v>20219.36</v>
      </c>
      <c r="M55" s="50"/>
      <c r="N55" s="294" t="s">
        <v>4</v>
      </c>
      <c r="O55" s="295"/>
      <c r="P55" s="295"/>
      <c r="Q55" s="295"/>
      <c r="R55" s="308">
        <f>W47</f>
        <v>23943.360000000001</v>
      </c>
      <c r="S55" s="309"/>
      <c r="T55" s="51"/>
      <c r="U55" s="294" t="s">
        <v>4</v>
      </c>
      <c r="V55" s="295"/>
      <c r="W55" s="298">
        <f>L55-R55</f>
        <v>-3724</v>
      </c>
      <c r="X55" s="299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7"/>
      <c r="AG55" s="167"/>
      <c r="AH55" s="16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294" t="s">
        <v>25</v>
      </c>
      <c r="E56" s="295"/>
      <c r="F56" s="295"/>
      <c r="G56" s="40">
        <f>B56/30</f>
        <v>596.56466666666665</v>
      </c>
      <c r="H56" s="50"/>
      <c r="I56" s="294" t="s">
        <v>25</v>
      </c>
      <c r="J56" s="295"/>
      <c r="K56" s="295"/>
      <c r="L56" s="66">
        <f>G56*J44</f>
        <v>17896.939999999999</v>
      </c>
      <c r="M56" s="50"/>
      <c r="N56" s="294" t="s">
        <v>25</v>
      </c>
      <c r="O56" s="295"/>
      <c r="P56" s="295"/>
      <c r="Q56" s="295"/>
      <c r="R56" s="308">
        <f>W48</f>
        <v>19460.333835000005</v>
      </c>
      <c r="S56" s="309"/>
      <c r="T56" s="51"/>
      <c r="U56" s="294" t="s">
        <v>25</v>
      </c>
      <c r="V56" s="295"/>
      <c r="W56" s="298">
        <f>L56-R56</f>
        <v>-1563.3938350000062</v>
      </c>
      <c r="X56" s="299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7"/>
      <c r="AG56" s="167"/>
      <c r="AH56" s="16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300" t="s">
        <v>15</v>
      </c>
      <c r="E57" s="301"/>
      <c r="F57" s="301"/>
      <c r="G57" s="38">
        <f>B57/30</f>
        <v>7436.11</v>
      </c>
      <c r="H57" s="53"/>
      <c r="I57" s="300" t="s">
        <v>15</v>
      </c>
      <c r="J57" s="301"/>
      <c r="K57" s="301"/>
      <c r="L57" s="67">
        <f>G57*J44</f>
        <v>223083.3</v>
      </c>
      <c r="M57" s="53"/>
      <c r="N57" s="300" t="s">
        <v>15</v>
      </c>
      <c r="O57" s="301"/>
      <c r="P57" s="301"/>
      <c r="Q57" s="301"/>
      <c r="R57" s="310">
        <f>W49</f>
        <v>241457.30202699997</v>
      </c>
      <c r="S57" s="311"/>
      <c r="T57" s="51"/>
      <c r="U57" s="300" t="s">
        <v>15</v>
      </c>
      <c r="V57" s="301"/>
      <c r="W57" s="306">
        <f>L57-R57</f>
        <v>-18374.00202699998</v>
      </c>
      <c r="X57" s="307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7"/>
      <c r="AG57" s="167"/>
      <c r="AH57" s="16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302">
        <f>SUM(R54:S57)</f>
        <v>370376.79586199997</v>
      </c>
      <c r="S58" s="302"/>
      <c r="T58" s="56"/>
      <c r="U58" s="56"/>
      <c r="V58" s="56"/>
      <c r="W58" s="302">
        <f>SUM(W54:X57)</f>
        <v>-16122.19586199999</v>
      </c>
      <c r="X58" s="302"/>
      <c r="Y58" s="52"/>
      <c r="Z58" s="189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7"/>
      <c r="AG58" s="167"/>
      <c r="AH58" s="16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313"/>
      <c r="C61" s="313"/>
      <c r="D61" s="313"/>
      <c r="E61" s="313"/>
      <c r="F61" s="313"/>
      <c r="G61" s="313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13"/>
      <c r="AA61" s="13"/>
      <c r="AB61" s="313"/>
      <c r="AC61" s="313"/>
      <c r="AD61" s="313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2024-08-05T08:48:03Z</dcterms:modified>
</cp:coreProperties>
</file>