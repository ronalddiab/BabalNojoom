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rotanahq-my.sharepoint.com/personal/bms_park_rotana_com/Documents/Engineering/29 HEP - Energy Portal/01 Daily/2024/"/>
    </mc:Choice>
  </mc:AlternateContent>
  <xr:revisionPtr revIDLastSave="613" documentId="8_{8847650D-614C-4264-8C87-30D8B5EB4252}" xr6:coauthVersionLast="47" xr6:coauthVersionMax="47" xr10:uidLastSave="{71C5BCED-B58A-42DB-92C2-D02613D73E58}"/>
  <bookViews>
    <workbookView xWindow="-120" yWindow="-120" windowWidth="29040" windowHeight="15720" activeTab="4" xr2:uid="{00000000-000D-0000-FFFF-FFFF00000000}"/>
  </bookViews>
  <sheets>
    <sheet name="Total" sheetId="2" r:id="rId1"/>
    <sheet name="Electricity" sheetId="3" r:id="rId2"/>
    <sheet name="LPG" sheetId="6" r:id="rId3"/>
    <sheet name="Water" sheetId="5" r:id="rId4"/>
    <sheet name="Occupied &amp; No. of Guest" sheetId="7" r:id="rId5"/>
  </sheets>
  <definedNames>
    <definedName name="_xlnm._FilterDatabase" localSheetId="2" hidden="1">LPG!$A$5:$N$5</definedName>
    <definedName name="_xlnm.Print_Area" localSheetId="2">LPG!$A$1:$M$40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4" i="5" l="1"/>
  <c r="AH14" i="5"/>
  <c r="AG14" i="5"/>
  <c r="AF14" i="5"/>
  <c r="AE14" i="5"/>
  <c r="AD14" i="5"/>
  <c r="AC14" i="5"/>
  <c r="AB14" i="5"/>
  <c r="AA14" i="5"/>
  <c r="Z14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AI12" i="5"/>
  <c r="AH12" i="5"/>
  <c r="AG12" i="5"/>
  <c r="AF12" i="5"/>
  <c r="AE12" i="5"/>
  <c r="AD12" i="5"/>
  <c r="AC12" i="5"/>
  <c r="AB12" i="5"/>
  <c r="AA12" i="5"/>
  <c r="Z12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AI10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AI20" i="3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AI14" i="3"/>
  <c r="AH14" i="3"/>
  <c r="AG14" i="3"/>
  <c r="AF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AI10" i="3"/>
  <c r="AH10" i="3"/>
  <c r="AG10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AI8" i="3"/>
  <c r="AH8" i="3"/>
  <c r="AG8" i="3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AI6" i="3"/>
  <c r="AH6" i="3"/>
  <c r="AG6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AF15" i="5" l="1"/>
  <c r="AH15" i="5"/>
  <c r="AG15" i="5"/>
  <c r="K3" i="2"/>
  <c r="L3" i="2"/>
  <c r="K4" i="2"/>
  <c r="L4" i="2"/>
  <c r="K5" i="2"/>
  <c r="L5" i="2"/>
  <c r="K6" i="2"/>
  <c r="L6" i="2"/>
  <c r="K7" i="2"/>
  <c r="L7" i="2"/>
  <c r="K8" i="2"/>
  <c r="L8" i="2"/>
  <c r="K9" i="2"/>
  <c r="L9" i="2"/>
  <c r="K10" i="2"/>
  <c r="L10" i="2"/>
  <c r="K11" i="2"/>
  <c r="L11" i="2"/>
  <c r="K12" i="2"/>
  <c r="L12" i="2"/>
  <c r="K13" i="2"/>
  <c r="L13" i="2"/>
  <c r="K14" i="2"/>
  <c r="L14" i="2"/>
  <c r="K15" i="2"/>
  <c r="L15" i="2"/>
  <c r="K16" i="2"/>
  <c r="L16" i="2"/>
  <c r="K17" i="2"/>
  <c r="L17" i="2"/>
  <c r="K18" i="2"/>
  <c r="L18" i="2"/>
  <c r="K19" i="2"/>
  <c r="L19" i="2"/>
  <c r="K20" i="2"/>
  <c r="L20" i="2"/>
  <c r="K21" i="2"/>
  <c r="L21" i="2"/>
  <c r="K22" i="2"/>
  <c r="L22" i="2"/>
  <c r="K23" i="2"/>
  <c r="L23" i="2"/>
  <c r="K24" i="2"/>
  <c r="L24" i="2"/>
  <c r="K25" i="2"/>
  <c r="L25" i="2"/>
  <c r="K26" i="2"/>
  <c r="L26" i="2"/>
  <c r="K27" i="2"/>
  <c r="L27" i="2"/>
  <c r="K28" i="2"/>
  <c r="L28" i="2"/>
  <c r="K29" i="2"/>
  <c r="L29" i="2"/>
  <c r="K30" i="2"/>
  <c r="L30" i="2"/>
  <c r="K31" i="2"/>
  <c r="L31" i="2"/>
  <c r="K32" i="2"/>
  <c r="L32" i="2"/>
  <c r="L2" i="2"/>
  <c r="K2" i="2"/>
  <c r="C34" i="7"/>
  <c r="B34" i="7"/>
  <c r="M7" i="6" l="1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M6" i="6"/>
  <c r="K6" i="6"/>
  <c r="I6" i="6"/>
  <c r="G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6" i="6"/>
  <c r="N34" i="6" l="1"/>
  <c r="G30" i="2" s="1"/>
  <c r="AF21" i="3"/>
  <c r="AG21" i="3"/>
  <c r="AH21" i="3"/>
  <c r="N35" i="6" l="1"/>
  <c r="G31" i="2" s="1"/>
  <c r="N36" i="6"/>
  <c r="G32" i="2" s="1"/>
  <c r="N12" i="6" l="1"/>
  <c r="G8" i="2" s="1"/>
  <c r="N24" i="6"/>
  <c r="G20" i="2" s="1"/>
  <c r="N13" i="6" l="1"/>
  <c r="G9" i="2" s="1"/>
  <c r="N25" i="6"/>
  <c r="G21" i="2" s="1"/>
  <c r="N31" i="6"/>
  <c r="G27" i="2" s="1"/>
  <c r="N7" i="6"/>
  <c r="G3" i="2" s="1"/>
  <c r="N19" i="6"/>
  <c r="G15" i="2" s="1"/>
  <c r="N29" i="6"/>
  <c r="G25" i="2" s="1"/>
  <c r="N17" i="6"/>
  <c r="G13" i="2" s="1"/>
  <c r="G37" i="6"/>
  <c r="N26" i="6"/>
  <c r="G22" i="2" s="1"/>
  <c r="M37" i="6"/>
  <c r="N20" i="6"/>
  <c r="G16" i="2" s="1"/>
  <c r="K37" i="6"/>
  <c r="N23" i="6"/>
  <c r="G19" i="2" s="1"/>
  <c r="N30" i="6"/>
  <c r="G26" i="2" s="1"/>
  <c r="N18" i="6"/>
  <c r="G14" i="2" s="1"/>
  <c r="N21" i="6"/>
  <c r="G17" i="2" s="1"/>
  <c r="N11" i="6"/>
  <c r="G7" i="2" s="1"/>
  <c r="N8" i="6"/>
  <c r="G4" i="2" s="1"/>
  <c r="I37" i="6"/>
  <c r="N33" i="6"/>
  <c r="G29" i="2" s="1"/>
  <c r="N22" i="6"/>
  <c r="G18" i="2" s="1"/>
  <c r="N10" i="6"/>
  <c r="G6" i="2" s="1"/>
  <c r="N32" i="6"/>
  <c r="G28" i="2" s="1"/>
  <c r="N15" i="6"/>
  <c r="G11" i="2" s="1"/>
  <c r="N6" i="6"/>
  <c r="G2" i="2" s="1"/>
  <c r="N16" i="6"/>
  <c r="G12" i="2" s="1"/>
  <c r="N28" i="6"/>
  <c r="G24" i="2" s="1"/>
  <c r="E37" i="6"/>
  <c r="N14" i="6"/>
  <c r="G10" i="2" s="1"/>
  <c r="N9" i="6"/>
  <c r="G5" i="2" s="1"/>
  <c r="N27" i="6"/>
  <c r="G23" i="2" s="1"/>
  <c r="C37" i="6"/>
  <c r="C39" i="6" s="1"/>
  <c r="C40" i="6" l="1"/>
  <c r="C41" i="6" s="1"/>
  <c r="AI15" i="5"/>
  <c r="AE15" i="5"/>
  <c r="AD15" i="5"/>
  <c r="AC15" i="5"/>
  <c r="AB15" i="5"/>
  <c r="AA15" i="5"/>
  <c r="Z15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AI21" i="3"/>
  <c r="AE21" i="3"/>
  <c r="AD21" i="3"/>
  <c r="W21" i="3"/>
  <c r="V21" i="3"/>
  <c r="U21" i="3"/>
  <c r="T21" i="3"/>
  <c r="S21" i="3"/>
  <c r="R21" i="3"/>
  <c r="K21" i="3"/>
  <c r="J21" i="3"/>
  <c r="I21" i="3"/>
  <c r="H21" i="3"/>
  <c r="G21" i="3"/>
  <c r="F21" i="3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I2" i="2" l="1" a="1"/>
  <c r="I2" i="2" s="1"/>
  <c r="E16" i="5"/>
  <c r="X21" i="3"/>
  <c r="Y21" i="3"/>
  <c r="L21" i="3"/>
  <c r="M21" i="3"/>
  <c r="N21" i="3"/>
  <c r="Z21" i="3"/>
  <c r="O21" i="3"/>
  <c r="AA21" i="3"/>
  <c r="P21" i="3"/>
  <c r="AB21" i="3"/>
  <c r="E21" i="3"/>
  <c r="Q21" i="3"/>
  <c r="AC21" i="3"/>
  <c r="E2" i="2" l="1" a="1"/>
  <c r="E2" i="2" s="1"/>
  <c r="E2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BMS Operator Park Rotana</author>
  </authors>
  <commentList>
    <comment ref="C5" authorId="0" shapeId="0" xr:uid="{BF8AF5D1-25BF-4947-BDAD-F7F7A728BCF1}">
      <text>
        <r>
          <rPr>
            <b/>
            <sz val="9"/>
            <color indexed="81"/>
            <rFont val="Tahoma"/>
            <family val="2"/>
          </rPr>
          <t>New Meter for Incomer 1 and 2 Hotel and Arjaan replaced on March 1, 2023. Megawatt change to kilowatt</t>
        </r>
      </text>
    </comment>
    <comment ref="C9" authorId="0" shapeId="0" xr:uid="{5FE99E23-FAC4-4837-88FD-C11E450EC330}">
      <text>
        <r>
          <rPr>
            <b/>
            <sz val="9"/>
            <color indexed="81"/>
            <rFont val="Tahoma"/>
            <family val="2"/>
          </rPr>
          <t>New meter installed on March 1, 2023. Megawatt change to kilowatt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BMS Operator Park Rotana</author>
  </authors>
  <commentList>
    <comment ref="B5" authorId="0" shapeId="0" xr:uid="{A094905B-3145-4E91-B966-D3C7F85E3C96}">
      <text>
        <r>
          <rPr>
            <b/>
            <sz val="9"/>
            <color indexed="81"/>
            <rFont val="Tahoma"/>
            <family val="2"/>
          </rPr>
          <t>New water meter replaced on April 13, 2023</t>
        </r>
      </text>
    </comment>
    <comment ref="B9" authorId="0" shapeId="0" xr:uid="{CE22F3E7-64FB-40B2-8E39-2202A3B38411}">
      <text>
        <r>
          <rPr>
            <b/>
            <sz val="9"/>
            <color indexed="81"/>
            <rFont val="Tahoma"/>
            <family val="2"/>
          </rPr>
          <t>BMS Operator Park Rotana:</t>
        </r>
        <r>
          <rPr>
            <sz val="9"/>
            <color indexed="81"/>
            <rFont val="Tahoma"/>
            <family val="2"/>
          </rPr>
          <t xml:space="preserve">
New meter installed on 26--10-2021
</t>
        </r>
      </text>
    </comment>
    <comment ref="B11" authorId="0" shapeId="0" xr:uid="{BD763E3D-3444-4579-8973-D00AB9A06EE4}">
      <text>
        <r>
          <rPr>
            <b/>
            <sz val="9"/>
            <color indexed="81"/>
            <rFont val="Tahoma"/>
            <family val="2"/>
          </rPr>
          <t>New Meter as of July 8, 2020 by Mohammad Habdeel Hamid from ADDC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3" authorId="0" shapeId="0" xr:uid="{E53EB796-BEFA-44EC-BFBB-E6DBBDAFCA14}">
      <text>
        <r>
          <rPr>
            <b/>
            <sz val="9"/>
            <color indexed="81"/>
            <rFont val="Tahoma"/>
            <family val="2"/>
          </rPr>
          <t>Replaced new water meter by ADDC on April 5, 2021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<sst xmlns="http://schemas.openxmlformats.org/spreadsheetml/2006/main" count="135" uniqueCount="99">
  <si>
    <t>Site Name</t>
  </si>
  <si>
    <t>Day</t>
  </si>
  <si>
    <t>Month</t>
  </si>
  <si>
    <t>Year</t>
  </si>
  <si>
    <t xml:space="preserve">Room Nights </t>
  </si>
  <si>
    <t xml:space="preserve">Total Guests </t>
  </si>
  <si>
    <t>Total Electricity Kwh</t>
  </si>
  <si>
    <t>Electricity Tariff ($/Kwh)</t>
  </si>
  <si>
    <t>Water Utility Supply (m3) m3</t>
  </si>
  <si>
    <t>Water Utility Supply (m3) $/m3</t>
  </si>
  <si>
    <t>S/N</t>
  </si>
  <si>
    <r>
      <t>METER NUMBER &amp;</t>
    </r>
    <r>
      <rPr>
        <b/>
        <sz val="9"/>
        <color rgb="FFFF0000"/>
        <rFont val="Arial Narrow"/>
        <family val="2"/>
      </rPr>
      <t>LOCATION</t>
    </r>
  </si>
  <si>
    <t>AREA SERVED</t>
  </si>
  <si>
    <t>Last Month Final Readings</t>
  </si>
  <si>
    <t>I5T18D002265/ No. 72039516</t>
  </si>
  <si>
    <t>Hotel &amp; Arjaan incomer 1 (Kilowatt)</t>
  </si>
  <si>
    <t>I5T18D002266/ No. 72039517</t>
  </si>
  <si>
    <t>Hotel &amp; Arjaan incomer 2 (Kilowatt)</t>
  </si>
  <si>
    <r>
      <t xml:space="preserve">METER NUMBER     &amp;                      </t>
    </r>
    <r>
      <rPr>
        <b/>
        <sz val="10"/>
        <color rgb="FFFF0000"/>
        <rFont val="Arial Narrow"/>
        <family val="2"/>
      </rPr>
      <t>LOCATION</t>
    </r>
  </si>
  <si>
    <t>LAST MONTH'S FINAL READING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</si>
  <si>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</si>
  <si>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</si>
  <si>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</si>
  <si>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</si>
  <si>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</si>
  <si>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</si>
  <si>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</si>
  <si>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</si>
  <si>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</si>
  <si>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</si>
  <si>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</si>
  <si>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</si>
  <si>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</si>
  <si>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</si>
  <si>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</si>
  <si>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</si>
  <si>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</si>
  <si>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</si>
  <si>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</si>
  <si>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</si>
  <si>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</si>
  <si>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</si>
  <si>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</si>
  <si>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</si>
  <si>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</si>
  <si>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</si>
  <si>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</si>
  <si>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</si>
  <si>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48242051 (Hotel &amp; Arjaan Main Meter)</t>
  </si>
  <si>
    <t>Hotel &amp; Arjaan / Raw Water Tank for Hotel,Arjaan,Kitchen,Laundry,Staff Locker,Hotel Swimming Pool</t>
  </si>
  <si>
    <t xml:space="preserve">LPG (Liters) </t>
  </si>
  <si>
    <t>LPG $/Liters</t>
  </si>
  <si>
    <t>Park Rotana and Park Arjaan Abu Dhabi</t>
  </si>
  <si>
    <t>I5T18D002318 / 72039569</t>
  </si>
  <si>
    <t>Chillers (SMDB CH 1) (Kilowatt)</t>
  </si>
  <si>
    <t>I5T18D002317 / 72039568</t>
  </si>
  <si>
    <t>Chillers (SMDB CH 2) (Kilowatt)</t>
  </si>
  <si>
    <t>E5T09D035490</t>
  </si>
  <si>
    <t>Fire Pump 2 S (Kwh)</t>
  </si>
  <si>
    <t>E5TO9D035489</t>
  </si>
  <si>
    <t>Fire Pump 1 S (Kwh)</t>
  </si>
  <si>
    <t>E5T09D034337</t>
  </si>
  <si>
    <t>SMDB Spa S (Kwh)</t>
  </si>
  <si>
    <t>E5T09D034327</t>
  </si>
  <si>
    <t>Hotel Gym S (Kwh)</t>
  </si>
  <si>
    <t>Total Daily Consumption (kw)</t>
  </si>
  <si>
    <t>Total Monthly Consumption (kw)</t>
  </si>
  <si>
    <t>2045000686(Sub Meter)</t>
  </si>
  <si>
    <t>Irrigation water Tank</t>
  </si>
  <si>
    <t>EMK17100DA17081056 (Cooling Tower Meter)</t>
  </si>
  <si>
    <t>Cooling Towers, Irrigation Tank,CHW Make up Line,Residence Pool, Cooling Tower Blow Down</t>
  </si>
  <si>
    <t>Total Daily Consumption (m3)</t>
  </si>
  <si>
    <t>Total Monthly Consumption (m3)</t>
  </si>
  <si>
    <t>Hotel  &amp; Arjaan Gym</t>
  </si>
  <si>
    <t>Hotel &amp; Arjaan Spa</t>
  </si>
  <si>
    <t>BOILER 1 &amp; 2</t>
  </si>
  <si>
    <t>MAIN KITCHEN</t>
  </si>
  <si>
    <t>PASTRY KITCHEN</t>
  </si>
  <si>
    <t>GINGER KITCHEN</t>
  </si>
  <si>
    <t>TEATRO</t>
  </si>
  <si>
    <t>COOPER'S KITCHEN</t>
  </si>
  <si>
    <t>PRESSURE        (mBar)</t>
  </si>
  <si>
    <t xml:space="preserve">                                       </t>
  </si>
  <si>
    <t>TOTAL Consumption</t>
  </si>
  <si>
    <t>TOTAL BOILER</t>
  </si>
  <si>
    <t>TOTAL KITCHEN</t>
  </si>
  <si>
    <t>TOTAL Boiler &amp; Kitchen</t>
  </si>
  <si>
    <t>Daily Consumption</t>
  </si>
  <si>
    <t>29</t>
  </si>
  <si>
    <t>30</t>
  </si>
  <si>
    <t>31</t>
  </si>
  <si>
    <t>Occupied</t>
  </si>
  <si>
    <t># Guest</t>
  </si>
  <si>
    <t>Date</t>
  </si>
  <si>
    <t>TOTAL MTD</t>
  </si>
  <si>
    <t>Occupied Room &amp; Number of Guest
December 2024</t>
  </si>
  <si>
    <r>
      <t>DAILY WATER METER READINGS &amp; CONSUMPTION (m</t>
    </r>
    <r>
      <rPr>
        <b/>
        <vertAlign val="superscript"/>
        <sz val="20"/>
        <color rgb="FF000000"/>
        <rFont val="Calibri"/>
        <family val="2"/>
      </rPr>
      <t>3</t>
    </r>
    <r>
      <rPr>
        <b/>
        <sz val="20"/>
        <color rgb="FF000000"/>
        <rFont val="Calibri"/>
        <family val="2"/>
      </rPr>
      <t>) DECEMBER  2024</t>
    </r>
  </si>
  <si>
    <t>DAILY GAS METER READINGS &amp; CONSUMPTION (Liters) DEEMBER 2024</t>
  </si>
  <si>
    <t>DAILY ELECTRICITY METER READINGS &amp; CONSUMPTION DECEMBER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</si>
</sst>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00"/>
    <numFmt numFmtId="165" formatCode="#,##0.000"/>
    <numFmt numFmtId="166" formatCode="#,##0.0"/>
    <numFmt numFmtId="167" formatCode="0.0"/>
  </numFmts>
  <fonts count="31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Arial Narrow"/>
      <family val="2"/>
    </font>
    <font>
      <b/>
      <sz val="18"/>
      <color theme="1"/>
      <name val="Arial Narrow"/>
      <family val="2"/>
    </font>
    <font>
      <b/>
      <sz val="9"/>
      <color theme="1"/>
      <name val="Arial Narrow"/>
      <family val="2"/>
    </font>
    <font>
      <b/>
      <sz val="9"/>
      <color rgb="FFFF0000"/>
      <name val="Arial Narrow"/>
      <family val="2"/>
    </font>
    <font>
      <b/>
      <sz val="10"/>
      <color theme="1"/>
      <name val="Calibri"/>
      <family val="2"/>
      <scheme val="minor"/>
    </font>
    <font>
      <b/>
      <sz val="10"/>
      <color rgb="FFFF0000"/>
      <name val="Arial Narrow"/>
      <family val="2"/>
    </font>
    <font>
      <b/>
      <sz val="9"/>
      <color indexed="81"/>
      <name val="Tahoma"/>
      <family val="2"/>
    </font>
    <font>
      <b/>
      <sz val="20"/>
      <color rgb="FF000000"/>
      <name val="Calibri"/>
      <family val="2"/>
    </font>
    <font>
      <b/>
      <vertAlign val="superscript"/>
      <sz val="20"/>
      <color rgb="FF000000"/>
      <name val="Calibri"/>
      <family val="2"/>
    </font>
    <font>
      <b/>
      <sz val="20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9"/>
      <color theme="1"/>
      <name val="Arial Narrow"/>
      <family val="2"/>
    </font>
    <font>
      <sz val="9"/>
      <name val="Arial Narrow"/>
      <family val="2"/>
    </font>
    <font>
      <b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70C0"/>
      <name val="Arial Narrow"/>
      <family val="2"/>
    </font>
    <font>
      <sz val="9"/>
      <color indexed="81"/>
      <name val="Tahoma"/>
      <family val="2"/>
    </font>
    <font>
      <b/>
      <sz val="11"/>
      <name val="Arial Narrow"/>
      <family val="2"/>
    </font>
    <font>
      <sz val="10"/>
      <color rgb="FFFF0000"/>
      <name val="Arial Narrow"/>
      <family val="2"/>
    </font>
    <font>
      <b/>
      <sz val="12"/>
      <color theme="1"/>
      <name val="Arial Narrow"/>
      <family val="2"/>
    </font>
    <font>
      <b/>
      <sz val="14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theme="0" tint="-0.3499862666707357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theme="0" tint="-0.34998626667073579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20" fillId="0" borderId="0" applyFont="0" applyFill="0" applyBorder="0" applyAlignment="0" applyProtection="0"/>
  </cellStyleXfs>
  <cellXfs count="11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1" fontId="5" fillId="3" borderId="2" xfId="0" applyNumberFormat="1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center" vertical="center" wrapText="1"/>
    </xf>
    <xf numFmtId="164" fontId="7" fillId="7" borderId="10" xfId="0" applyNumberFormat="1" applyFont="1" applyFill="1" applyBorder="1" applyAlignment="1">
      <alignment horizontal="center" vertical="center"/>
    </xf>
    <xf numFmtId="0" fontId="5" fillId="6" borderId="0" xfId="0" applyFont="1" applyFill="1"/>
    <xf numFmtId="0" fontId="5" fillId="5" borderId="1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1" fontId="5" fillId="9" borderId="2" xfId="0" quotePrefix="1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 wrapText="1"/>
    </xf>
    <xf numFmtId="166" fontId="18" fillId="10" borderId="2" xfId="0" applyNumberFormat="1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5" fillId="5" borderId="15" xfId="0" applyFont="1" applyFill="1" applyBorder="1" applyAlignment="1">
      <alignment horizontal="center" vertical="center" wrapText="1"/>
    </xf>
    <xf numFmtId="0" fontId="10" fillId="5" borderId="18" xfId="0" applyFont="1" applyFill="1" applyBorder="1" applyAlignment="1">
      <alignment horizontal="center" vertical="center" wrapText="1"/>
    </xf>
    <xf numFmtId="0" fontId="21" fillId="6" borderId="0" xfId="0" applyFont="1" applyFill="1"/>
    <xf numFmtId="0" fontId="5" fillId="2" borderId="15" xfId="0" applyFont="1" applyFill="1" applyBorder="1" applyAlignment="1">
      <alignment horizontal="center" vertical="center" wrapText="1"/>
    </xf>
    <xf numFmtId="0" fontId="9" fillId="6" borderId="10" xfId="0" applyFont="1" applyFill="1" applyBorder="1" applyAlignment="1">
      <alignment horizontal="center" vertical="center"/>
    </xf>
    <xf numFmtId="0" fontId="5" fillId="6" borderId="18" xfId="0" applyFont="1" applyFill="1" applyBorder="1" applyAlignment="1">
      <alignment horizontal="center" vertical="center" wrapText="1"/>
    </xf>
    <xf numFmtId="164" fontId="7" fillId="10" borderId="10" xfId="0" applyNumberFormat="1" applyFont="1" applyFill="1" applyBorder="1" applyAlignment="1">
      <alignment horizontal="center" vertical="center"/>
    </xf>
    <xf numFmtId="0" fontId="10" fillId="4" borderId="18" xfId="0" applyFont="1" applyFill="1" applyBorder="1" applyAlignment="1">
      <alignment horizontal="center" vertical="center" wrapText="1"/>
    </xf>
    <xf numFmtId="4" fontId="23" fillId="11" borderId="0" xfId="1" applyNumberFormat="1" applyFont="1" applyFill="1"/>
    <xf numFmtId="4" fontId="23" fillId="11" borderId="0" xfId="1" applyNumberFormat="1" applyFont="1" applyFill="1" applyAlignment="1">
      <alignment horizontal="center" vertical="center"/>
    </xf>
    <xf numFmtId="0" fontId="5" fillId="6" borderId="3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24" fillId="6" borderId="2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4" fontId="16" fillId="11" borderId="0" xfId="0" applyNumberFormat="1" applyFont="1" applyFill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19" fillId="3" borderId="10" xfId="0" applyFont="1" applyFill="1" applyBorder="1" applyAlignment="1">
      <alignment horizontal="center" vertical="center" wrapText="1"/>
    </xf>
    <xf numFmtId="3" fontId="9" fillId="0" borderId="10" xfId="0" applyNumberFormat="1" applyFont="1" applyBorder="1" applyAlignment="1">
      <alignment horizontal="center" vertical="center"/>
    </xf>
    <xf numFmtId="167" fontId="19" fillId="7" borderId="10" xfId="0" applyNumberFormat="1" applyFont="1" applyFill="1" applyBorder="1" applyAlignment="1">
      <alignment horizontal="center" vertical="center"/>
    </xf>
    <xf numFmtId="1" fontId="9" fillId="3" borderId="10" xfId="0" applyNumberFormat="1" applyFont="1" applyFill="1" applyBorder="1" applyAlignment="1">
      <alignment horizontal="center" vertical="center" wrapText="1"/>
    </xf>
    <xf numFmtId="1" fontId="9" fillId="4" borderId="10" xfId="0" applyNumberFormat="1" applyFont="1" applyFill="1" applyBorder="1" applyAlignment="1">
      <alignment horizontal="center" vertical="center" wrapText="1"/>
    </xf>
    <xf numFmtId="3" fontId="27" fillId="0" borderId="10" xfId="0" applyNumberFormat="1" applyFont="1" applyBorder="1" applyAlignment="1">
      <alignment horizontal="center" vertical="center"/>
    </xf>
    <xf numFmtId="3" fontId="28" fillId="0" borderId="10" xfId="0" applyNumberFormat="1" applyFont="1" applyBorder="1" applyAlignment="1">
      <alignment horizontal="center" vertical="center"/>
    </xf>
    <xf numFmtId="0" fontId="0" fillId="6" borderId="0" xfId="0" applyFill="1"/>
    <xf numFmtId="164" fontId="2" fillId="0" borderId="0" xfId="0" applyNumberFormat="1" applyFont="1"/>
    <xf numFmtId="3" fontId="0" fillId="13" borderId="0" xfId="0" applyNumberFormat="1" applyFill="1" applyAlignment="1">
      <alignment horizontal="center" vertical="center" wrapText="1"/>
    </xf>
    <xf numFmtId="3" fontId="0" fillId="13" borderId="0" xfId="0" applyNumberFormat="1" applyFill="1" applyAlignment="1">
      <alignment horizontal="center" vertical="center"/>
    </xf>
    <xf numFmtId="3" fontId="16" fillId="11" borderId="0" xfId="0" applyNumberFormat="1" applyFont="1" applyFill="1" applyAlignment="1">
      <alignment horizontal="center" vertical="center"/>
    </xf>
    <xf numFmtId="3" fontId="23" fillId="11" borderId="0" xfId="1" applyNumberFormat="1" applyFont="1" applyFill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15" fontId="0" fillId="0" borderId="10" xfId="0" applyNumberFormat="1" applyBorder="1" applyAlignment="1">
      <alignment horizontal="center" vertical="center"/>
    </xf>
    <xf numFmtId="3" fontId="0" fillId="0" borderId="10" xfId="0" applyNumberFormat="1" applyBorder="1" applyAlignment="1">
      <alignment horizontal="center" vertical="center"/>
    </xf>
    <xf numFmtId="3" fontId="2" fillId="0" borderId="10" xfId="0" applyNumberFormat="1" applyFont="1" applyBorder="1" applyAlignment="1">
      <alignment horizontal="center" vertical="center"/>
    </xf>
    <xf numFmtId="4" fontId="23" fillId="11" borderId="0" xfId="1" applyNumberFormat="1" applyFont="1" applyFill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5" fillId="6" borderId="14" xfId="0" applyFont="1" applyFill="1" applyBorder="1" applyAlignment="1">
      <alignment horizontal="center" vertical="center" wrapText="1"/>
    </xf>
    <xf numFmtId="0" fontId="5" fillId="6" borderId="17" xfId="0" applyFont="1" applyFill="1" applyBorder="1" applyAlignment="1">
      <alignment horizontal="center" vertical="center" wrapText="1"/>
    </xf>
    <xf numFmtId="4" fontId="23" fillId="11" borderId="13" xfId="1" applyNumberFormat="1" applyFont="1" applyFill="1" applyBorder="1" applyAlignment="1">
      <alignment horizontal="center" vertical="center" wrapText="1"/>
    </xf>
    <xf numFmtId="0" fontId="5" fillId="6" borderId="17" xfId="0" applyFont="1" applyFill="1" applyBorder="1" applyAlignment="1">
      <alignment horizontal="center" vertical="center"/>
    </xf>
    <xf numFmtId="0" fontId="7" fillId="6" borderId="19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7" fillId="5" borderId="16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7" fillId="5" borderId="13" xfId="0" applyFont="1" applyFill="1" applyBorder="1" applyAlignment="1">
      <alignment horizontal="center" vertical="center" wrapText="1"/>
    </xf>
    <xf numFmtId="0" fontId="29" fillId="13" borderId="0" xfId="0" applyFont="1" applyFill="1" applyAlignment="1">
      <alignment horizontal="center" vertical="center" wrapText="1"/>
    </xf>
    <xf numFmtId="0" fontId="9" fillId="12" borderId="20" xfId="0" applyFont="1" applyFill="1" applyBorder="1" applyAlignment="1">
      <alignment horizontal="center" vertical="center" wrapText="1"/>
    </xf>
    <xf numFmtId="0" fontId="9" fillId="12" borderId="21" xfId="0" applyFont="1" applyFill="1" applyBorder="1" applyAlignment="1">
      <alignment horizontal="center" vertical="center" wrapText="1"/>
    </xf>
    <xf numFmtId="0" fontId="2" fillId="0" borderId="22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4" fontId="16" fillId="11" borderId="0" xfId="0" applyNumberFormat="1" applyFont="1" applyFill="1" applyAlignment="1">
      <alignment horizontal="center" vertical="center"/>
    </xf>
    <xf numFmtId="4" fontId="25" fillId="11" borderId="13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16" fillId="6" borderId="12" xfId="0" quotePrefix="1" applyFont="1" applyFill="1" applyBorder="1" applyAlignment="1">
      <alignment horizontal="center" vertical="center"/>
    </xf>
    <xf numFmtId="0" fontId="16" fillId="6" borderId="8" xfId="0" applyFont="1" applyFill="1" applyBorder="1" applyAlignment="1">
      <alignment horizontal="center" vertical="center"/>
    </xf>
    <xf numFmtId="0" fontId="17" fillId="8" borderId="2" xfId="0" applyFont="1" applyFill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3" fontId="2" fillId="9" borderId="0" xfId="0" applyNumberFormat="1" applyFont="1" applyFill="1" applyAlignment="1">
      <alignment horizontal="center" vertical="center"/>
    </xf>
    <xf numFmtId="3" fontId="29" fillId="13" borderId="0" xfId="0" applyNumberFormat="1" applyFont="1" applyFill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</xdr:row>
      <xdr:rowOff>57154</xdr:rowOff>
    </xdr:from>
    <xdr:to>
      <xdr:col>2</xdr:col>
      <xdr:colOff>200025</xdr:colOff>
      <xdr:row>2</xdr:row>
      <xdr:rowOff>342900</xdr:rowOff>
    </xdr:to>
    <xdr:pic>
      <xdr:nvPicPr>
        <xdr:cNvPr id="2" name="Picture 1" descr="Park Hotel">
          <a:extLst>
            <a:ext uri="{FF2B5EF4-FFF2-40B4-BE49-F238E27FC236}">
              <a16:creationId xmlns:a16="http://schemas.microsoft.com/office/drawing/2014/main" id="{9DDD8A2D-8435-4EE5-9251-D99B69BA0068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422914"/>
          <a:ext cx="1758315" cy="65150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30</xdr:col>
      <xdr:colOff>137747</xdr:colOff>
      <xdr:row>1</xdr:row>
      <xdr:rowOff>54284</xdr:rowOff>
    </xdr:from>
    <xdr:ext cx="1838325" cy="590550"/>
    <xdr:pic>
      <xdr:nvPicPr>
        <xdr:cNvPr id="3" name="Picture 2" descr="Arjaan Rotana">
          <a:extLst>
            <a:ext uri="{FF2B5EF4-FFF2-40B4-BE49-F238E27FC236}">
              <a16:creationId xmlns:a16="http://schemas.microsoft.com/office/drawing/2014/main" id="{885EC474-E378-49DB-A752-BBCE02E657EE}"/>
            </a:ext>
            <a:ext uri="{147F2762-F138-4A5C-976F-8EAC2B608ADB}">
              <a16:predDERef xmlns:a16="http://schemas.microsoft.com/office/drawing/2014/main" pred="{9D40EFC6-BAA9-4AC4-9296-204E786A57BF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0655847" y="420044"/>
          <a:ext cx="1838325" cy="590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57151</xdr:rowOff>
    </xdr:from>
    <xdr:to>
      <xdr:col>2</xdr:col>
      <xdr:colOff>0</xdr:colOff>
      <xdr:row>0</xdr:row>
      <xdr:rowOff>844826</xdr:rowOff>
    </xdr:to>
    <xdr:pic>
      <xdr:nvPicPr>
        <xdr:cNvPr id="2" name="Picture 1" descr="Park Hotel">
          <a:extLst>
            <a:ext uri="{FF2B5EF4-FFF2-40B4-BE49-F238E27FC236}">
              <a16:creationId xmlns:a16="http://schemas.microsoft.com/office/drawing/2014/main" id="{B5DDD607-CB1B-47F0-81CD-B4BBCFAE84EF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57151"/>
          <a:ext cx="1851660" cy="787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30</xdr:col>
      <xdr:colOff>170091</xdr:colOff>
      <xdr:row>0</xdr:row>
      <xdr:rowOff>49918</xdr:rowOff>
    </xdr:from>
    <xdr:to>
      <xdr:col>32</xdr:col>
      <xdr:colOff>614858</xdr:colOff>
      <xdr:row>0</xdr:row>
      <xdr:rowOff>836766</xdr:rowOff>
    </xdr:to>
    <xdr:pic>
      <xdr:nvPicPr>
        <xdr:cNvPr id="3" name="Picture 2" descr="Arjaan Rotana">
          <a:extLst>
            <a:ext uri="{FF2B5EF4-FFF2-40B4-BE49-F238E27FC236}">
              <a16:creationId xmlns:a16="http://schemas.microsoft.com/office/drawing/2014/main" id="{23C56294-5804-42BC-8869-E26CB2FDA511}"/>
            </a:ext>
            <a:ext uri="{147F2762-F138-4A5C-976F-8EAC2B608ADB}">
              <a16:predDERef xmlns:a16="http://schemas.microsoft.com/office/drawing/2014/main" pred="{650EFB77-1C68-4279-946F-FD273D2E21D6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359531" y="49918"/>
          <a:ext cx="1843534" cy="7868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3"/>
  <sheetViews>
    <sheetView workbookViewId="0">
      <selection activeCell="A24" sqref="A24"/>
    </sheetView>
  </sheetViews>
  <sheetFormatPr defaultColWidth="11.5703125" defaultRowHeight="15" x14ac:dyDescent="0.25"/>
  <cols>
    <col min="1" max="1" width="29.140625" style="2" bestFit="1" customWidth="1"/>
    <col min="2" max="3" width="11.5703125" style="10"/>
    <col min="4" max="4" width="13.42578125" style="10" customWidth="1"/>
    <col min="5" max="5" width="12.5703125" style="3" customWidth="1"/>
    <col min="6" max="6" width="12.5703125" style="11" customWidth="1"/>
    <col min="7" max="7" width="11.5703125" style="3"/>
    <col min="8" max="8" width="11.5703125" style="11"/>
    <col min="9" max="9" width="11.5703125" style="3"/>
    <col min="10" max="10" width="11.5703125" style="12"/>
    <col min="11" max="24" width="11.5703125" style="3"/>
  </cols>
  <sheetData>
    <row r="1" spans="1:12" s="8" customFormat="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5" t="s">
        <v>6</v>
      </c>
      <c r="F1" s="6" t="s">
        <v>7</v>
      </c>
      <c r="G1" s="5" t="s">
        <v>50</v>
      </c>
      <c r="H1" s="6" t="s">
        <v>51</v>
      </c>
      <c r="I1" s="5" t="s">
        <v>8</v>
      </c>
      <c r="J1" s="7" t="s">
        <v>9</v>
      </c>
      <c r="K1" s="5" t="s">
        <v>4</v>
      </c>
      <c r="L1" s="5" t="s">
        <v>5</v>
      </c>
    </row>
    <row r="2" spans="1:12" x14ac:dyDescent="0.25">
      <c r="A2" s="9" t="s">
        <v>52</v>
      </c>
      <c r="B2" s="10">
        <v>1</v>
      </c>
      <c r="C2" s="10">
        <v>12</v>
      </c>
      <c r="D2" s="10">
        <v>2024</v>
      </c>
      <c r="E2" s="4" cm="1">
        <f t="array" ref="E2:E32">TRANSPOSE(Electricity!E21:AI21)</f>
        <v>32163.200000000001</v>
      </c>
      <c r="F2" s="11">
        <v>0.2</v>
      </c>
      <c r="G2" s="4">
        <f>LPG!N6</f>
        <v>3807.855000000061</v>
      </c>
      <c r="H2" s="11">
        <v>1.67</v>
      </c>
      <c r="I2" s="4" cm="1">
        <f t="array" ref="I2:I32">TRANSPOSE(Water!E15:AI15)</f>
        <v>298.85500000001082</v>
      </c>
      <c r="J2" s="11">
        <v>7.84</v>
      </c>
      <c r="K2" s="4">
        <f>'Occupied &amp; No. of Guest'!B3</f>
        <v>414</v>
      </c>
      <c r="L2" s="4">
        <f>'Occupied &amp; No. of Guest'!C3</f>
        <v>613</v>
      </c>
    </row>
    <row r="3" spans="1:12" x14ac:dyDescent="0.25">
      <c r="A3" s="9" t="s">
        <v>52</v>
      </c>
      <c r="B3" s="10">
        <f>B2+1</f>
        <v>2</v>
      </c>
      <c r="C3" s="10">
        <v>12</v>
      </c>
      <c r="D3" s="10">
        <v>2024</v>
      </c>
      <c r="E3" s="4">
        <v>28486.2</v>
      </c>
      <c r="F3" s="11">
        <v>0.2</v>
      </c>
      <c r="G3" s="4">
        <f>LPG!N7</f>
        <v>3834.8279999999268</v>
      </c>
      <c r="H3" s="11">
        <v>1.67</v>
      </c>
      <c r="I3" s="4">
        <v>210.77099999999982</v>
      </c>
      <c r="J3" s="11">
        <v>7.84</v>
      </c>
      <c r="K3" s="4">
        <f>'Occupied &amp; No. of Guest'!B4</f>
        <v>464</v>
      </c>
      <c r="L3" s="4">
        <f>'Occupied &amp; No. of Guest'!C4</f>
        <v>619</v>
      </c>
    </row>
    <row r="4" spans="1:12" x14ac:dyDescent="0.25">
      <c r="A4" s="9" t="s">
        <v>52</v>
      </c>
      <c r="B4" s="10">
        <f t="shared" ref="B4:B32" si="0">B3+1</f>
        <v>3</v>
      </c>
      <c r="C4" s="10">
        <v>12</v>
      </c>
      <c r="D4" s="10">
        <v>2024</v>
      </c>
      <c r="E4" s="4">
        <v>29672.6</v>
      </c>
      <c r="F4" s="11">
        <v>0.2</v>
      </c>
      <c r="G4" s="4">
        <f>LPG!N8</f>
        <v>0</v>
      </c>
      <c r="H4" s="11">
        <v>1.67</v>
      </c>
      <c r="I4" s="4">
        <v>247.23199999999997</v>
      </c>
      <c r="J4" s="11">
        <v>7.84</v>
      </c>
      <c r="K4" s="4">
        <f>'Occupied &amp; No. of Guest'!B5</f>
        <v>451</v>
      </c>
      <c r="L4" s="4">
        <f>'Occupied &amp; No. of Guest'!C5</f>
        <v>551</v>
      </c>
    </row>
    <row r="5" spans="1:12" x14ac:dyDescent="0.25">
      <c r="A5" s="9" t="s">
        <v>52</v>
      </c>
      <c r="B5" s="10">
        <f t="shared" si="0"/>
        <v>4</v>
      </c>
      <c r="C5" s="10">
        <v>12</v>
      </c>
      <c r="D5" s="10">
        <v>2024</v>
      </c>
      <c r="E5" s="4">
        <v>30612</v>
      </c>
      <c r="F5" s="11">
        <v>0.2</v>
      </c>
      <c r="G5" s="4">
        <f>LPG!N9</f>
        <v>7542.0800000000509</v>
      </c>
      <c r="H5" s="11">
        <v>1.67</v>
      </c>
      <c r="I5" s="4">
        <v>266.67400000000009</v>
      </c>
      <c r="J5" s="11">
        <v>7.84</v>
      </c>
      <c r="K5" s="4">
        <f>'Occupied &amp; No. of Guest'!B6</f>
        <v>412</v>
      </c>
      <c r="L5" s="4">
        <f>'Occupied &amp; No. of Guest'!C6</f>
        <v>496</v>
      </c>
    </row>
    <row r="6" spans="1:12" x14ac:dyDescent="0.25">
      <c r="A6" s="9" t="s">
        <v>52</v>
      </c>
      <c r="B6" s="10">
        <f t="shared" si="0"/>
        <v>5</v>
      </c>
      <c r="C6" s="10">
        <v>12</v>
      </c>
      <c r="D6" s="10">
        <v>2024</v>
      </c>
      <c r="E6" s="4">
        <v>30531.599999999999</v>
      </c>
      <c r="F6" s="11">
        <v>0.2</v>
      </c>
      <c r="G6" s="4">
        <f>LPG!N10</f>
        <v>3414.1749999999497</v>
      </c>
      <c r="H6" s="11">
        <v>1.67</v>
      </c>
      <c r="I6" s="4">
        <v>270.47199999999492</v>
      </c>
      <c r="J6" s="11">
        <v>7.84</v>
      </c>
      <c r="K6" s="4">
        <f>'Occupied &amp; No. of Guest'!B7</f>
        <v>465</v>
      </c>
      <c r="L6" s="4">
        <f>'Occupied &amp; No. of Guest'!C7</f>
        <v>542</v>
      </c>
    </row>
    <row r="7" spans="1:12" x14ac:dyDescent="0.25">
      <c r="A7" s="9" t="s">
        <v>52</v>
      </c>
      <c r="B7" s="10">
        <f t="shared" si="0"/>
        <v>6</v>
      </c>
      <c r="C7" s="10">
        <v>12</v>
      </c>
      <c r="D7" s="10">
        <v>2024</v>
      </c>
      <c r="E7" s="4">
        <v>32565.599999999999</v>
      </c>
      <c r="F7" s="11">
        <v>0.2</v>
      </c>
      <c r="G7" s="4">
        <f>LPG!N11</f>
        <v>3374.7330000000375</v>
      </c>
      <c r="H7" s="11">
        <v>1.67</v>
      </c>
      <c r="I7" s="4">
        <v>284.35400000000482</v>
      </c>
      <c r="J7" s="11">
        <v>7.84</v>
      </c>
      <c r="K7" s="4">
        <f>'Occupied &amp; No. of Guest'!B8</f>
        <v>474</v>
      </c>
      <c r="L7" s="4">
        <f>'Occupied &amp; No. of Guest'!C8</f>
        <v>567</v>
      </c>
    </row>
    <row r="8" spans="1:12" x14ac:dyDescent="0.25">
      <c r="A8" s="9" t="s">
        <v>52</v>
      </c>
      <c r="B8" s="10">
        <f t="shared" si="0"/>
        <v>7</v>
      </c>
      <c r="C8" s="10">
        <v>12</v>
      </c>
      <c r="D8" s="10">
        <v>2024</v>
      </c>
      <c r="E8" s="4">
        <v>32245.599999999999</v>
      </c>
      <c r="F8" s="11">
        <v>0.2</v>
      </c>
      <c r="G8" s="4">
        <f>LPG!N12</f>
        <v>178.48799999996049</v>
      </c>
      <c r="H8" s="11">
        <v>1.67</v>
      </c>
      <c r="I8" s="4">
        <v>229.08399999998954</v>
      </c>
      <c r="J8" s="11">
        <v>7.84</v>
      </c>
      <c r="K8" s="4">
        <f>'Occupied &amp; No. of Guest'!B9</f>
        <v>485</v>
      </c>
      <c r="L8" s="4">
        <f>'Occupied &amp; No. of Guest'!C9</f>
        <v>595</v>
      </c>
    </row>
    <row r="9" spans="1:12" x14ac:dyDescent="0.25">
      <c r="A9" s="9" t="s">
        <v>52</v>
      </c>
      <c r="B9" s="10">
        <f t="shared" si="0"/>
        <v>8</v>
      </c>
      <c r="C9" s="10">
        <v>12</v>
      </c>
      <c r="D9" s="10">
        <v>2024</v>
      </c>
      <c r="E9" s="4">
        <v>31272.6</v>
      </c>
      <c r="F9" s="11">
        <v>0.2</v>
      </c>
      <c r="G9" s="4">
        <f>LPG!N13</f>
        <v>6943.3460000000487</v>
      </c>
      <c r="H9" s="11">
        <v>1.67</v>
      </c>
      <c r="I9" s="4">
        <v>266.60800000001564</v>
      </c>
      <c r="J9" s="11">
        <v>7.84</v>
      </c>
      <c r="K9" s="4">
        <f>'Occupied &amp; No. of Guest'!B10</f>
        <v>476</v>
      </c>
      <c r="L9" s="4">
        <f>'Occupied &amp; No. of Guest'!C10</f>
        <v>567</v>
      </c>
    </row>
    <row r="10" spans="1:12" x14ac:dyDescent="0.25">
      <c r="A10" s="9" t="s">
        <v>52</v>
      </c>
      <c r="B10" s="10">
        <f t="shared" si="0"/>
        <v>9</v>
      </c>
      <c r="C10" s="10">
        <v>12</v>
      </c>
      <c r="D10" s="10">
        <v>2024</v>
      </c>
      <c r="E10" s="4">
        <v>30045.599999999999</v>
      </c>
      <c r="F10" s="11">
        <v>0.2</v>
      </c>
      <c r="G10" s="4">
        <f>LPG!N14</f>
        <v>3161.8719999999716</v>
      </c>
      <c r="H10" s="11">
        <v>1.67</v>
      </c>
      <c r="I10" s="4">
        <v>282.5599999999842</v>
      </c>
      <c r="J10" s="11">
        <v>7.84</v>
      </c>
      <c r="K10" s="4">
        <f>'Occupied &amp; No. of Guest'!B11</f>
        <v>461</v>
      </c>
      <c r="L10" s="4">
        <f>'Occupied &amp; No. of Guest'!C11</f>
        <v>566</v>
      </c>
    </row>
    <row r="11" spans="1:12" x14ac:dyDescent="0.25">
      <c r="A11" s="9" t="s">
        <v>52</v>
      </c>
      <c r="B11" s="10">
        <f t="shared" si="0"/>
        <v>10</v>
      </c>
      <c r="C11" s="10">
        <v>12</v>
      </c>
      <c r="D11" s="10">
        <v>2024</v>
      </c>
      <c r="E11" s="4">
        <v>30157.200000000001</v>
      </c>
      <c r="F11" s="11">
        <v>0.2</v>
      </c>
      <c r="G11" s="4">
        <f>LPG!N15</f>
        <v>3533.2409999999909</v>
      </c>
      <c r="H11" s="11">
        <v>1.67</v>
      </c>
      <c r="I11" s="4">
        <v>271.17200000000003</v>
      </c>
      <c r="J11" s="11">
        <v>7.84</v>
      </c>
      <c r="K11" s="4">
        <f>'Occupied &amp; No. of Guest'!B12</f>
        <v>464</v>
      </c>
      <c r="L11" s="4">
        <f>'Occupied &amp; No. of Guest'!C12</f>
        <v>608</v>
      </c>
    </row>
    <row r="12" spans="1:12" x14ac:dyDescent="0.25">
      <c r="A12" s="9" t="s">
        <v>52</v>
      </c>
      <c r="B12" s="10">
        <f t="shared" si="0"/>
        <v>11</v>
      </c>
      <c r="C12" s="10">
        <v>12</v>
      </c>
      <c r="D12" s="10">
        <v>2024</v>
      </c>
      <c r="E12" s="4">
        <v>32432.400000000001</v>
      </c>
      <c r="F12" s="11">
        <v>0.2</v>
      </c>
      <c r="G12" s="4">
        <f>LPG!N16</f>
        <v>3365.9639999999808</v>
      </c>
      <c r="H12" s="11">
        <v>1.67</v>
      </c>
      <c r="I12" s="4">
        <v>292.20400000001052</v>
      </c>
      <c r="J12" s="11">
        <v>7.84</v>
      </c>
      <c r="K12" s="4">
        <f>'Occupied &amp; No. of Guest'!B13</f>
        <v>467</v>
      </c>
      <c r="L12" s="4">
        <f>'Occupied &amp; No. of Guest'!C13</f>
        <v>639</v>
      </c>
    </row>
    <row r="13" spans="1:12" x14ac:dyDescent="0.25">
      <c r="A13" s="9" t="s">
        <v>52</v>
      </c>
      <c r="B13" s="10">
        <f t="shared" si="0"/>
        <v>12</v>
      </c>
      <c r="C13" s="10">
        <v>12</v>
      </c>
      <c r="D13" s="10">
        <v>2024</v>
      </c>
      <c r="E13" s="4">
        <v>31115</v>
      </c>
      <c r="F13" s="11">
        <v>0.2</v>
      </c>
      <c r="G13" s="4">
        <f>LPG!N17</f>
        <v>3098.4540000000193</v>
      </c>
      <c r="H13" s="11">
        <v>1.67</v>
      </c>
      <c r="I13" s="4">
        <v>327.39300000000549</v>
      </c>
      <c r="J13" s="11">
        <v>7.84</v>
      </c>
      <c r="K13" s="4">
        <f>'Occupied &amp; No. of Guest'!B14</f>
        <v>455</v>
      </c>
      <c r="L13" s="4">
        <f>'Occupied &amp; No. of Guest'!C14</f>
        <v>657</v>
      </c>
    </row>
    <row r="14" spans="1:12" x14ac:dyDescent="0.25">
      <c r="A14" s="9" t="s">
        <v>52</v>
      </c>
      <c r="B14" s="10">
        <f t="shared" si="0"/>
        <v>13</v>
      </c>
      <c r="C14" s="10">
        <v>12</v>
      </c>
      <c r="D14" s="10">
        <v>2024</v>
      </c>
      <c r="E14" s="4">
        <v>31444.2</v>
      </c>
      <c r="F14" s="11">
        <v>0.2</v>
      </c>
      <c r="G14" s="4">
        <f>LPG!N18</f>
        <v>3825.6889999999962</v>
      </c>
      <c r="H14" s="11">
        <v>1.67</v>
      </c>
      <c r="I14" s="4">
        <v>285.78499999999957</v>
      </c>
      <c r="J14" s="11">
        <v>7.84</v>
      </c>
      <c r="K14" s="4">
        <f>'Occupied &amp; No. of Guest'!B15</f>
        <v>379</v>
      </c>
      <c r="L14" s="4">
        <f>'Occupied &amp; No. of Guest'!C15</f>
        <v>553</v>
      </c>
    </row>
    <row r="15" spans="1:12" x14ac:dyDescent="0.25">
      <c r="A15" s="9" t="s">
        <v>52</v>
      </c>
      <c r="B15" s="10">
        <f t="shared" si="0"/>
        <v>14</v>
      </c>
      <c r="C15" s="10">
        <v>12</v>
      </c>
      <c r="D15" s="10">
        <v>2024</v>
      </c>
      <c r="E15" s="4">
        <v>30893</v>
      </c>
      <c r="F15" s="11">
        <v>0.2</v>
      </c>
      <c r="G15" s="4">
        <f>LPG!N19</f>
        <v>3513.6679999999828</v>
      </c>
      <c r="H15" s="11">
        <v>1.67</v>
      </c>
      <c r="I15" s="4">
        <v>235.73099999998485</v>
      </c>
      <c r="J15" s="11">
        <v>7.84</v>
      </c>
      <c r="K15" s="4">
        <f>'Occupied &amp; No. of Guest'!B16</f>
        <v>409</v>
      </c>
      <c r="L15" s="4">
        <f>'Occupied &amp; No. of Guest'!C16</f>
        <v>581</v>
      </c>
    </row>
    <row r="16" spans="1:12" x14ac:dyDescent="0.25">
      <c r="A16" s="9" t="s">
        <v>52</v>
      </c>
      <c r="B16" s="10">
        <f t="shared" si="0"/>
        <v>15</v>
      </c>
      <c r="C16" s="10">
        <v>12</v>
      </c>
      <c r="D16" s="10">
        <v>2024</v>
      </c>
      <c r="E16" s="4">
        <v>29804.799999999999</v>
      </c>
      <c r="F16" s="11">
        <v>0.2</v>
      </c>
      <c r="G16" s="4">
        <f>LPG!N20</f>
        <v>3578.5660000000262</v>
      </c>
      <c r="H16" s="11">
        <v>1.67</v>
      </c>
      <c r="I16" s="4">
        <v>307.74900000001008</v>
      </c>
      <c r="J16" s="11">
        <v>7.84</v>
      </c>
      <c r="K16" s="4">
        <f>'Occupied &amp; No. of Guest'!B17</f>
        <v>444</v>
      </c>
      <c r="L16" s="4">
        <f>'Occupied &amp; No. of Guest'!C17</f>
        <v>596</v>
      </c>
    </row>
    <row r="17" spans="1:12" x14ac:dyDescent="0.25">
      <c r="A17" s="9" t="s">
        <v>52</v>
      </c>
      <c r="B17" s="10">
        <f t="shared" si="0"/>
        <v>16</v>
      </c>
      <c r="C17" s="10">
        <v>12</v>
      </c>
      <c r="D17" s="10">
        <v>2024</v>
      </c>
      <c r="E17" s="4">
        <v>29394.400000000001</v>
      </c>
      <c r="F17" s="11">
        <v>0.2</v>
      </c>
      <c r="G17" s="4">
        <f>LPG!N21</f>
        <v>3732.8190000000013</v>
      </c>
      <c r="H17" s="11">
        <v>1.67</v>
      </c>
      <c r="I17" s="4">
        <v>313.70499999998964</v>
      </c>
      <c r="J17" s="11">
        <v>7.84</v>
      </c>
      <c r="K17" s="4">
        <f>'Occupied &amp; No. of Guest'!B18</f>
        <v>481</v>
      </c>
      <c r="L17" s="4">
        <f>'Occupied &amp; No. of Guest'!C18</f>
        <v>656</v>
      </c>
    </row>
    <row r="18" spans="1:12" x14ac:dyDescent="0.25">
      <c r="A18" s="9" t="s">
        <v>52</v>
      </c>
      <c r="B18" s="10">
        <f t="shared" si="0"/>
        <v>17</v>
      </c>
      <c r="C18" s="10">
        <v>12</v>
      </c>
      <c r="D18" s="10">
        <v>2024</v>
      </c>
      <c r="E18" s="4">
        <v>29322.799999999999</v>
      </c>
      <c r="F18" s="11">
        <v>0.2</v>
      </c>
      <c r="G18" s="4">
        <f>LPG!N22</f>
        <v>3807.1149999999993</v>
      </c>
      <c r="H18" s="11">
        <v>1.67</v>
      </c>
      <c r="I18" s="4">
        <v>278.93900000000519</v>
      </c>
      <c r="J18" s="11">
        <v>7.84</v>
      </c>
      <c r="K18" s="4">
        <f>'Occupied &amp; No. of Guest'!B19</f>
        <v>478</v>
      </c>
      <c r="L18" s="4">
        <f>'Occupied &amp; No. of Guest'!C19</f>
        <v>684</v>
      </c>
    </row>
    <row r="19" spans="1:12" x14ac:dyDescent="0.25">
      <c r="A19" s="9" t="s">
        <v>52</v>
      </c>
      <c r="B19" s="10">
        <f t="shared" si="0"/>
        <v>18</v>
      </c>
      <c r="C19" s="10">
        <v>12</v>
      </c>
      <c r="D19" s="10">
        <v>2024</v>
      </c>
      <c r="E19" s="4">
        <v>29327.4</v>
      </c>
      <c r="F19" s="11">
        <v>0.2</v>
      </c>
      <c r="G19" s="4">
        <f>LPG!N23</f>
        <v>3615.7509999999511</v>
      </c>
      <c r="H19" s="11">
        <v>1.67</v>
      </c>
      <c r="I19" s="4">
        <v>338.88799999999475</v>
      </c>
      <c r="J19" s="11">
        <v>7.84</v>
      </c>
      <c r="K19" s="4">
        <f>'Occupied &amp; No. of Guest'!B20</f>
        <v>478</v>
      </c>
      <c r="L19" s="4">
        <f>'Occupied &amp; No. of Guest'!C20</f>
        <v>702</v>
      </c>
    </row>
    <row r="20" spans="1:12" x14ac:dyDescent="0.25">
      <c r="A20" s="9" t="s">
        <v>52</v>
      </c>
      <c r="B20" s="10">
        <f t="shared" si="0"/>
        <v>19</v>
      </c>
      <c r="C20" s="10">
        <v>12</v>
      </c>
      <c r="D20" s="10">
        <v>2024</v>
      </c>
      <c r="E20" s="4">
        <v>28862.2</v>
      </c>
      <c r="F20" s="11">
        <v>0.2</v>
      </c>
      <c r="G20" s="4">
        <f>LPG!N24</f>
        <v>3802.4530000000877</v>
      </c>
      <c r="H20" s="11">
        <v>1.67</v>
      </c>
      <c r="I20" s="4">
        <v>300.63800000000555</v>
      </c>
      <c r="J20" s="11">
        <v>7.84</v>
      </c>
      <c r="K20" s="4">
        <f>'Occupied &amp; No. of Guest'!B21</f>
        <v>486</v>
      </c>
      <c r="L20" s="4">
        <f>'Occupied &amp; No. of Guest'!C21</f>
        <v>769</v>
      </c>
    </row>
    <row r="21" spans="1:12" x14ac:dyDescent="0.25">
      <c r="A21" s="9" t="s">
        <v>52</v>
      </c>
      <c r="B21" s="10">
        <f t="shared" si="0"/>
        <v>20</v>
      </c>
      <c r="C21" s="10">
        <v>12</v>
      </c>
      <c r="D21" s="10">
        <v>2024</v>
      </c>
      <c r="E21" s="4">
        <v>29851.8</v>
      </c>
      <c r="F21" s="11">
        <v>0.2</v>
      </c>
      <c r="G21" s="4">
        <f>LPG!N25</f>
        <v>4006.9519999999393</v>
      </c>
      <c r="H21" s="11">
        <v>1.67</v>
      </c>
      <c r="I21" s="4">
        <v>307.36000000001548</v>
      </c>
      <c r="J21" s="11">
        <v>7.84</v>
      </c>
      <c r="K21" s="4">
        <f>'Occupied &amp; No. of Guest'!B22</f>
        <v>407</v>
      </c>
      <c r="L21" s="4">
        <f>'Occupied &amp; No. of Guest'!C22</f>
        <v>680</v>
      </c>
    </row>
    <row r="22" spans="1:12" x14ac:dyDescent="0.25">
      <c r="A22" s="9" t="s">
        <v>52</v>
      </c>
      <c r="B22" s="10">
        <f t="shared" si="0"/>
        <v>21</v>
      </c>
      <c r="C22" s="10">
        <v>12</v>
      </c>
      <c r="D22" s="10">
        <v>2024</v>
      </c>
      <c r="E22" s="4">
        <v>29850</v>
      </c>
      <c r="F22" s="11">
        <v>0.2</v>
      </c>
      <c r="G22" s="4">
        <f>LPG!N26</f>
        <v>3912.3430000000567</v>
      </c>
      <c r="H22" s="11">
        <v>1.67</v>
      </c>
      <c r="I22" s="4">
        <v>283.792999999995</v>
      </c>
      <c r="J22" s="11">
        <v>7.84</v>
      </c>
      <c r="K22" s="4">
        <f>'Occupied &amp; No. of Guest'!B23</f>
        <v>350</v>
      </c>
      <c r="L22" s="4">
        <f>'Occupied &amp; No. of Guest'!C23</f>
        <v>566</v>
      </c>
    </row>
    <row r="23" spans="1:12" x14ac:dyDescent="0.25">
      <c r="A23" s="9" t="s">
        <v>52</v>
      </c>
      <c r="B23" s="10">
        <f t="shared" si="0"/>
        <v>22</v>
      </c>
      <c r="C23" s="10">
        <v>12</v>
      </c>
      <c r="D23" s="10">
        <v>2024</v>
      </c>
      <c r="E23" s="4">
        <v>27933</v>
      </c>
      <c r="F23" s="11">
        <v>0.2</v>
      </c>
      <c r="G23" s="4">
        <f>LPG!N27</f>
        <v>4554.4039999999823</v>
      </c>
      <c r="H23" s="11">
        <v>1.67</v>
      </c>
      <c r="I23" s="4">
        <v>262.90299999999991</v>
      </c>
      <c r="J23" s="11">
        <v>7.84</v>
      </c>
      <c r="K23" s="4">
        <f>'Occupied &amp; No. of Guest'!B24</f>
        <v>348</v>
      </c>
      <c r="L23" s="4">
        <f>'Occupied &amp; No. of Guest'!C24</f>
        <v>590</v>
      </c>
    </row>
    <row r="24" spans="1:12" x14ac:dyDescent="0.25">
      <c r="A24" s="9" t="s">
        <v>52</v>
      </c>
      <c r="B24" s="10">
        <f t="shared" si="0"/>
        <v>23</v>
      </c>
      <c r="C24" s="10">
        <v>12</v>
      </c>
      <c r="D24" s="10">
        <v>2024</v>
      </c>
      <c r="E24" s="4">
        <v>29240.6</v>
      </c>
      <c r="F24" s="11">
        <v>0.2</v>
      </c>
      <c r="G24" s="4">
        <f>LPG!N28</f>
        <v>3000.737000000021</v>
      </c>
      <c r="H24" s="11">
        <v>1.67</v>
      </c>
      <c r="I24" s="4">
        <v>234.56399999999468</v>
      </c>
      <c r="J24" s="11">
        <v>7.84</v>
      </c>
      <c r="K24" s="4">
        <f>'Occupied &amp; No. of Guest'!B25</f>
        <v>398</v>
      </c>
      <c r="L24" s="4">
        <f>'Occupied &amp; No. of Guest'!C25</f>
        <v>682</v>
      </c>
    </row>
    <row r="25" spans="1:12" x14ac:dyDescent="0.25">
      <c r="A25" s="9" t="s">
        <v>52</v>
      </c>
      <c r="B25" s="10">
        <f t="shared" si="0"/>
        <v>24</v>
      </c>
      <c r="C25" s="10">
        <v>12</v>
      </c>
      <c r="D25" s="10">
        <v>2024</v>
      </c>
      <c r="E25" s="4">
        <v>29386</v>
      </c>
      <c r="F25" s="11">
        <v>0.2</v>
      </c>
      <c r="G25" s="4">
        <f>LPG!N29</f>
        <v>3700.406999999982</v>
      </c>
      <c r="H25" s="11">
        <v>1.67</v>
      </c>
      <c r="I25" s="4">
        <v>309.9229999999896</v>
      </c>
      <c r="J25" s="11">
        <v>7.84</v>
      </c>
      <c r="K25" s="4">
        <f>'Occupied &amp; No. of Guest'!B26</f>
        <v>462</v>
      </c>
      <c r="L25" s="4">
        <f>'Occupied &amp; No. of Guest'!C26</f>
        <v>820</v>
      </c>
    </row>
    <row r="26" spans="1:12" x14ac:dyDescent="0.25">
      <c r="A26" s="9" t="s">
        <v>52</v>
      </c>
      <c r="B26" s="10">
        <f>B25+1</f>
        <v>25</v>
      </c>
      <c r="C26" s="10">
        <v>12</v>
      </c>
      <c r="D26" s="10">
        <v>2024</v>
      </c>
      <c r="E26" s="4">
        <v>29920.799999999999</v>
      </c>
      <c r="F26" s="11">
        <v>0.2</v>
      </c>
      <c r="G26" s="4">
        <f>LPG!N30</f>
        <v>3383.8719999999748</v>
      </c>
      <c r="H26" s="11">
        <v>1.67</v>
      </c>
      <c r="I26" s="4">
        <v>299.54200000001549</v>
      </c>
      <c r="J26" s="11">
        <v>7.84</v>
      </c>
      <c r="K26" s="4">
        <f>'Occupied &amp; No. of Guest'!B27</f>
        <v>459</v>
      </c>
      <c r="L26" s="4">
        <f>'Occupied &amp; No. of Guest'!C27</f>
        <v>813</v>
      </c>
    </row>
    <row r="27" spans="1:12" x14ac:dyDescent="0.25">
      <c r="A27" s="9" t="s">
        <v>52</v>
      </c>
      <c r="B27" s="10">
        <f t="shared" si="0"/>
        <v>26</v>
      </c>
      <c r="C27" s="10">
        <v>12</v>
      </c>
      <c r="D27" s="10">
        <v>2024</v>
      </c>
      <c r="E27" s="4">
        <v>30395</v>
      </c>
      <c r="F27" s="11">
        <v>0.2</v>
      </c>
      <c r="G27" s="4">
        <f>LPG!N31</f>
        <v>4024.5270000000246</v>
      </c>
      <c r="H27" s="11">
        <v>1.67</v>
      </c>
      <c r="I27" s="4">
        <v>338.42300000000535</v>
      </c>
      <c r="J27" s="11">
        <v>7.84</v>
      </c>
      <c r="K27" s="4">
        <f>'Occupied &amp; No. of Guest'!B28</f>
        <v>460</v>
      </c>
      <c r="L27" s="4">
        <f>'Occupied &amp; No. of Guest'!C28</f>
        <v>818</v>
      </c>
    </row>
    <row r="28" spans="1:12" x14ac:dyDescent="0.25">
      <c r="A28" s="9" t="s">
        <v>52</v>
      </c>
      <c r="B28" s="10">
        <f t="shared" si="0"/>
        <v>27</v>
      </c>
      <c r="C28" s="10">
        <v>12</v>
      </c>
      <c r="D28" s="10">
        <v>2024</v>
      </c>
      <c r="E28" s="4">
        <v>29968.799999999999</v>
      </c>
      <c r="F28" s="11">
        <v>0.2</v>
      </c>
      <c r="G28" s="4">
        <f>LPG!N32</f>
        <v>3590.9980000000101</v>
      </c>
      <c r="H28" s="11">
        <v>1.67</v>
      </c>
      <c r="I28" s="4">
        <v>279.29499999999507</v>
      </c>
      <c r="J28" s="11">
        <v>7.84</v>
      </c>
      <c r="K28" s="4">
        <f>'Occupied &amp; No. of Guest'!B29</f>
        <v>441</v>
      </c>
      <c r="L28" s="4">
        <f>'Occupied &amp; No. of Guest'!C29</f>
        <v>836</v>
      </c>
    </row>
    <row r="29" spans="1:12" x14ac:dyDescent="0.25">
      <c r="A29" s="9" t="s">
        <v>52</v>
      </c>
      <c r="B29" s="10">
        <f t="shared" si="0"/>
        <v>28</v>
      </c>
      <c r="C29" s="10">
        <v>12</v>
      </c>
      <c r="D29" s="10">
        <v>2024</v>
      </c>
      <c r="E29" s="4">
        <v>29730.400000000001</v>
      </c>
      <c r="F29" s="11">
        <v>0.2</v>
      </c>
      <c r="G29" s="4">
        <f>LPG!N33</f>
        <v>3612.1619999999607</v>
      </c>
      <c r="H29" s="11">
        <v>1.67</v>
      </c>
      <c r="I29" s="4">
        <v>312.84299999998382</v>
      </c>
      <c r="J29" s="11">
        <v>7.84</v>
      </c>
      <c r="K29" s="4">
        <f>'Occupied &amp; No. of Guest'!B30</f>
        <v>482</v>
      </c>
      <c r="L29" s="4">
        <f>'Occupied &amp; No. of Guest'!C30</f>
        <v>926</v>
      </c>
    </row>
    <row r="30" spans="1:12" x14ac:dyDescent="0.25">
      <c r="A30" s="9" t="s">
        <v>52</v>
      </c>
      <c r="B30" s="10">
        <f t="shared" si="0"/>
        <v>29</v>
      </c>
      <c r="C30" s="10">
        <v>12</v>
      </c>
      <c r="D30" s="10">
        <v>2024</v>
      </c>
      <c r="E30" s="4">
        <v>29685.200000000001</v>
      </c>
      <c r="F30" s="11">
        <v>0.2</v>
      </c>
      <c r="G30" s="4">
        <f>LPG!N34</f>
        <v>3634.6579999999421</v>
      </c>
      <c r="H30" s="11">
        <v>1.67</v>
      </c>
      <c r="I30" s="4">
        <v>302.26200000002137</v>
      </c>
      <c r="J30" s="11">
        <v>7.84</v>
      </c>
      <c r="K30" s="4">
        <f>'Occupied &amp; No. of Guest'!B31</f>
        <v>478</v>
      </c>
      <c r="L30" s="4">
        <f>'Occupied &amp; No. of Guest'!C31</f>
        <v>902</v>
      </c>
    </row>
    <row r="31" spans="1:12" x14ac:dyDescent="0.25">
      <c r="A31" s="9" t="s">
        <v>52</v>
      </c>
      <c r="B31" s="10">
        <f t="shared" si="0"/>
        <v>30</v>
      </c>
      <c r="C31" s="10">
        <v>12</v>
      </c>
      <c r="D31" s="10">
        <v>2024</v>
      </c>
      <c r="E31" s="4">
        <v>30334.2</v>
      </c>
      <c r="F31" s="11">
        <v>0.2</v>
      </c>
      <c r="G31" s="4">
        <f>LPG!N35</f>
        <v>3631.6980000001004</v>
      </c>
      <c r="H31" s="11">
        <v>1.67</v>
      </c>
      <c r="I31" s="4">
        <v>349.64899999999432</v>
      </c>
      <c r="J31" s="11">
        <v>7.84</v>
      </c>
      <c r="K31" s="4">
        <f>'Occupied &amp; No. of Guest'!B32</f>
        <v>442</v>
      </c>
      <c r="L31" s="4">
        <f>'Occupied &amp; No. of Guest'!C32</f>
        <v>849</v>
      </c>
    </row>
    <row r="32" spans="1:12" x14ac:dyDescent="0.25">
      <c r="A32" s="9" t="s">
        <v>52</v>
      </c>
      <c r="B32" s="10">
        <f t="shared" si="0"/>
        <v>31</v>
      </c>
      <c r="C32" s="10">
        <v>12</v>
      </c>
      <c r="D32" s="10">
        <v>2024</v>
      </c>
      <c r="E32" s="4">
        <v>30094.800000000003</v>
      </c>
      <c r="F32" s="11">
        <v>0.2</v>
      </c>
      <c r="G32" s="4">
        <f>LPG!N36</f>
        <v>3627.4429999999998</v>
      </c>
      <c r="H32" s="11">
        <v>1.67</v>
      </c>
      <c r="I32" s="4">
        <v>311.42299999998966</v>
      </c>
      <c r="J32" s="11">
        <v>7.84</v>
      </c>
      <c r="K32" s="4">
        <f>'Occupied &amp; No. of Guest'!B33</f>
        <v>438</v>
      </c>
      <c r="L32" s="4">
        <f>'Occupied &amp; No. of Guest'!C33</f>
        <v>855</v>
      </c>
    </row>
    <row r="33" spans="7:7" x14ac:dyDescent="0.25">
      <c r="G3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C785D-AAE3-4932-B36D-B3428EA355C6}">
  <sheetPr>
    <pageSetUpPr fitToPage="1"/>
  </sheetPr>
  <dimension ref="A1:BO22"/>
  <sheetViews>
    <sheetView zoomScale="115" zoomScaleNormal="115" zoomScaleSheetLayoutView="85" workbookViewId="0">
      <pane xSplit="4" ySplit="4" topLeftCell="E8" activePane="bottomRight" state="frozen"/>
      <selection pane="topRight" activeCell="E1" sqref="E1"/>
      <selection pane="bottomLeft" activeCell="A5" sqref="A5"/>
      <selection pane="bottomRight" activeCell="D17" sqref="D17:AI20"/>
    </sheetView>
  </sheetViews>
  <sheetFormatPr defaultColWidth="9.140625" defaultRowHeight="27" customHeight="1" x14ac:dyDescent="0.2"/>
  <cols>
    <col min="1" max="1" width="5.7109375" style="13" customWidth="1"/>
    <col min="2" max="2" width="17.28515625" style="26" customWidth="1"/>
    <col min="3" max="3" width="21.42578125" style="26" customWidth="1"/>
    <col min="4" max="4" width="10.5703125" style="13" customWidth="1"/>
    <col min="5" max="6" width="15" style="14" customWidth="1"/>
    <col min="7" max="35" width="15" style="13" customWidth="1"/>
    <col min="36" max="16384" width="9.140625" style="13"/>
  </cols>
  <sheetData>
    <row r="1" spans="1:67" ht="29.25" customHeight="1" x14ac:dyDescent="0.2">
      <c r="B1" s="13"/>
      <c r="C1" s="14"/>
      <c r="D1" s="14"/>
      <c r="G1" s="14"/>
    </row>
    <row r="2" spans="1:67" s="14" customFormat="1" ht="29.25" customHeight="1" x14ac:dyDescent="0.25">
      <c r="A2" s="81" t="s">
        <v>98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81"/>
      <c r="AG2" s="81"/>
      <c r="AH2" s="81"/>
      <c r="AI2" s="81"/>
    </row>
    <row r="3" spans="1:67" s="14" customFormat="1" ht="29.25" customHeight="1" thickBot="1" x14ac:dyDescent="0.3"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82"/>
    </row>
    <row r="4" spans="1:67" ht="39" thickBot="1" x14ac:dyDescent="0.25">
      <c r="A4" s="15" t="s">
        <v>10</v>
      </c>
      <c r="B4" s="16" t="s">
        <v>11</v>
      </c>
      <c r="C4" s="17" t="s">
        <v>12</v>
      </c>
      <c r="D4" s="18" t="s">
        <v>13</v>
      </c>
      <c r="E4" s="18">
        <v>1</v>
      </c>
      <c r="F4" s="18">
        <v>2</v>
      </c>
      <c r="G4" s="19">
        <v>3</v>
      </c>
      <c r="H4" s="18">
        <v>4</v>
      </c>
      <c r="I4" s="18">
        <v>5</v>
      </c>
      <c r="J4" s="18">
        <v>6</v>
      </c>
      <c r="K4" s="18">
        <v>7</v>
      </c>
      <c r="L4" s="18">
        <v>8</v>
      </c>
      <c r="M4" s="18">
        <v>9</v>
      </c>
      <c r="N4" s="18">
        <v>10</v>
      </c>
      <c r="O4" s="18">
        <v>11</v>
      </c>
      <c r="P4" s="18">
        <v>12</v>
      </c>
      <c r="Q4" s="18">
        <v>13</v>
      </c>
      <c r="R4" s="18">
        <v>14</v>
      </c>
      <c r="S4" s="18">
        <v>15</v>
      </c>
      <c r="T4" s="18">
        <v>16</v>
      </c>
      <c r="U4" s="18">
        <v>17</v>
      </c>
      <c r="V4" s="18">
        <v>18</v>
      </c>
      <c r="W4" s="18">
        <v>19</v>
      </c>
      <c r="X4" s="18">
        <v>20</v>
      </c>
      <c r="Y4" s="18">
        <v>21</v>
      </c>
      <c r="Z4" s="18">
        <v>22</v>
      </c>
      <c r="AA4" s="18">
        <v>23</v>
      </c>
      <c r="AB4" s="18">
        <v>24</v>
      </c>
      <c r="AC4" s="18">
        <v>25</v>
      </c>
      <c r="AD4" s="18">
        <v>26</v>
      </c>
      <c r="AE4" s="18">
        <v>27</v>
      </c>
      <c r="AF4" s="18">
        <v>28</v>
      </c>
      <c r="AG4" s="18">
        <v>29</v>
      </c>
      <c r="AH4" s="18">
        <v>30</v>
      </c>
      <c r="AI4" s="18">
        <v>31</v>
      </c>
    </row>
    <row r="5" spans="1:67" ht="26.25" customHeight="1" x14ac:dyDescent="0.2">
      <c r="A5" s="83">
        <v>1</v>
      </c>
      <c r="B5" s="20" t="s">
        <v>14</v>
      </c>
      <c r="C5" s="85" t="s">
        <v>15</v>
      </c>
      <c r="D5" s="21">
        <v>14129896</v>
      </c>
      <c r="E5" s="21">
        <v>14152422</v>
      </c>
      <c r="F5" s="21">
        <v>14172680</v>
      </c>
      <c r="G5" s="21">
        <v>14193583</v>
      </c>
      <c r="H5" s="21">
        <v>14215283</v>
      </c>
      <c r="I5" s="21">
        <v>14236164</v>
      </c>
      <c r="J5" s="21">
        <v>14257237</v>
      </c>
      <c r="K5" s="21">
        <v>14278190</v>
      </c>
      <c r="L5" s="21">
        <v>14299329</v>
      </c>
      <c r="M5" s="21">
        <v>14320667</v>
      </c>
      <c r="N5" s="21">
        <v>14341384</v>
      </c>
      <c r="O5" s="21">
        <v>14363535</v>
      </c>
      <c r="P5" s="21">
        <v>14385536</v>
      </c>
      <c r="Q5" s="21">
        <v>14407854</v>
      </c>
      <c r="R5" s="21">
        <v>14430057</v>
      </c>
      <c r="S5" s="21">
        <v>14451684</v>
      </c>
      <c r="T5" s="21">
        <v>14472995</v>
      </c>
      <c r="U5" s="21">
        <v>14494117</v>
      </c>
      <c r="V5" s="21">
        <v>14515634</v>
      </c>
      <c r="W5" s="21">
        <v>14536640</v>
      </c>
      <c r="X5" s="21">
        <v>14558520</v>
      </c>
      <c r="Y5" s="21">
        <v>14580503</v>
      </c>
      <c r="Z5" s="21">
        <v>14600982</v>
      </c>
      <c r="AA5" s="21">
        <v>14622440</v>
      </c>
      <c r="AB5" s="21">
        <v>14643734</v>
      </c>
      <c r="AC5" s="21">
        <v>14665368</v>
      </c>
      <c r="AD5" s="21">
        <v>14687066</v>
      </c>
      <c r="AE5" s="21">
        <v>14708705</v>
      </c>
      <c r="AF5" s="21">
        <v>14730326</v>
      </c>
      <c r="AG5" s="21">
        <v>14751940</v>
      </c>
      <c r="AH5" s="21">
        <v>14773405</v>
      </c>
      <c r="AI5" s="21">
        <v>14794812</v>
      </c>
    </row>
    <row r="6" spans="1:67" s="24" customFormat="1" ht="21.75" customHeight="1" thickBot="1" x14ac:dyDescent="0.25">
      <c r="A6" s="84"/>
      <c r="B6" s="22"/>
      <c r="C6" s="86"/>
      <c r="D6" s="23"/>
      <c r="E6" s="23">
        <f t="shared" ref="E6:AI6" si="0">E5-D5</f>
        <v>22526</v>
      </c>
      <c r="F6" s="23">
        <f t="shared" si="0"/>
        <v>20258</v>
      </c>
      <c r="G6" s="23">
        <f t="shared" si="0"/>
        <v>20903</v>
      </c>
      <c r="H6" s="23">
        <f t="shared" si="0"/>
        <v>21700</v>
      </c>
      <c r="I6" s="23">
        <f t="shared" si="0"/>
        <v>20881</v>
      </c>
      <c r="J6" s="23">
        <f t="shared" si="0"/>
        <v>21073</v>
      </c>
      <c r="K6" s="23">
        <f>K5-J5</f>
        <v>20953</v>
      </c>
      <c r="L6" s="23">
        <f t="shared" si="0"/>
        <v>21139</v>
      </c>
      <c r="M6" s="23">
        <f t="shared" si="0"/>
        <v>21338</v>
      </c>
      <c r="N6" s="23">
        <f t="shared" si="0"/>
        <v>20717</v>
      </c>
      <c r="O6" s="23">
        <f t="shared" si="0"/>
        <v>22151</v>
      </c>
      <c r="P6" s="23">
        <f t="shared" si="0"/>
        <v>22001</v>
      </c>
      <c r="Q6" s="23">
        <f t="shared" si="0"/>
        <v>22318</v>
      </c>
      <c r="R6" s="23">
        <f t="shared" si="0"/>
        <v>22203</v>
      </c>
      <c r="S6" s="23">
        <f t="shared" si="0"/>
        <v>21627</v>
      </c>
      <c r="T6" s="23">
        <f t="shared" si="0"/>
        <v>21311</v>
      </c>
      <c r="U6" s="23">
        <f t="shared" si="0"/>
        <v>21122</v>
      </c>
      <c r="V6" s="23">
        <f t="shared" si="0"/>
        <v>21517</v>
      </c>
      <c r="W6" s="23">
        <f t="shared" si="0"/>
        <v>21006</v>
      </c>
      <c r="X6" s="23">
        <f t="shared" si="0"/>
        <v>21880</v>
      </c>
      <c r="Y6" s="23">
        <f t="shared" si="0"/>
        <v>21983</v>
      </c>
      <c r="Z6" s="23">
        <f t="shared" si="0"/>
        <v>20479</v>
      </c>
      <c r="AA6" s="23">
        <f t="shared" si="0"/>
        <v>21458</v>
      </c>
      <c r="AB6" s="23">
        <f t="shared" si="0"/>
        <v>21294</v>
      </c>
      <c r="AC6" s="23">
        <f t="shared" si="0"/>
        <v>21634</v>
      </c>
      <c r="AD6" s="23">
        <f t="shared" si="0"/>
        <v>21698</v>
      </c>
      <c r="AE6" s="23">
        <f t="shared" si="0"/>
        <v>21639</v>
      </c>
      <c r="AF6" s="23">
        <f t="shared" si="0"/>
        <v>21621</v>
      </c>
      <c r="AG6" s="23">
        <f t="shared" si="0"/>
        <v>21614</v>
      </c>
      <c r="AH6" s="23">
        <f t="shared" si="0"/>
        <v>21465</v>
      </c>
      <c r="AI6" s="23">
        <f t="shared" si="0"/>
        <v>21407</v>
      </c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</row>
    <row r="7" spans="1:67" ht="22.5" customHeight="1" x14ac:dyDescent="0.2">
      <c r="A7" s="87">
        <v>2</v>
      </c>
      <c r="B7" s="25" t="s">
        <v>16</v>
      </c>
      <c r="C7" s="89" t="s">
        <v>17</v>
      </c>
      <c r="D7" s="21">
        <v>620</v>
      </c>
      <c r="E7" s="21">
        <v>620</v>
      </c>
      <c r="F7" s="21">
        <v>620</v>
      </c>
      <c r="G7" s="21">
        <v>620</v>
      </c>
      <c r="H7" s="21">
        <v>620</v>
      </c>
      <c r="I7" s="21">
        <v>620</v>
      </c>
      <c r="J7" s="21">
        <v>620</v>
      </c>
      <c r="K7" s="21">
        <v>620</v>
      </c>
      <c r="L7" s="21">
        <v>620</v>
      </c>
      <c r="M7" s="21">
        <v>620</v>
      </c>
      <c r="N7" s="21">
        <v>620</v>
      </c>
      <c r="O7" s="21">
        <v>620</v>
      </c>
      <c r="P7" s="21">
        <v>620</v>
      </c>
      <c r="Q7" s="21">
        <v>620</v>
      </c>
      <c r="R7" s="21">
        <v>620</v>
      </c>
      <c r="S7" s="21">
        <v>620</v>
      </c>
      <c r="T7" s="21">
        <v>620</v>
      </c>
      <c r="U7" s="21">
        <v>620</v>
      </c>
      <c r="V7" s="21">
        <v>620</v>
      </c>
      <c r="W7" s="21">
        <v>620</v>
      </c>
      <c r="X7" s="21">
        <v>620</v>
      </c>
      <c r="Y7" s="21">
        <v>620</v>
      </c>
      <c r="Z7" s="21">
        <v>620</v>
      </c>
      <c r="AA7" s="21">
        <v>620</v>
      </c>
      <c r="AB7" s="21">
        <v>620</v>
      </c>
      <c r="AC7" s="21">
        <v>620</v>
      </c>
      <c r="AD7" s="21">
        <v>620</v>
      </c>
      <c r="AE7" s="21">
        <v>620</v>
      </c>
      <c r="AF7" s="21">
        <v>620</v>
      </c>
      <c r="AG7" s="21">
        <v>620</v>
      </c>
      <c r="AH7" s="21">
        <v>620</v>
      </c>
      <c r="AI7" s="21">
        <v>620</v>
      </c>
    </row>
    <row r="8" spans="1:67" s="24" customFormat="1" ht="21.75" customHeight="1" thickBot="1" x14ac:dyDescent="0.25">
      <c r="A8" s="88"/>
      <c r="B8" s="22"/>
      <c r="C8" s="86"/>
      <c r="D8" s="23"/>
      <c r="E8" s="23">
        <f t="shared" ref="E8:AI8" si="1">E7-D7</f>
        <v>0</v>
      </c>
      <c r="F8" s="23">
        <f t="shared" si="1"/>
        <v>0</v>
      </c>
      <c r="G8" s="23">
        <f t="shared" si="1"/>
        <v>0</v>
      </c>
      <c r="H8" s="23">
        <f t="shared" si="1"/>
        <v>0</v>
      </c>
      <c r="I8" s="23">
        <f t="shared" si="1"/>
        <v>0</v>
      </c>
      <c r="J8" s="23">
        <f t="shared" si="1"/>
        <v>0</v>
      </c>
      <c r="K8" s="23">
        <f t="shared" si="1"/>
        <v>0</v>
      </c>
      <c r="L8" s="23">
        <f t="shared" si="1"/>
        <v>0</v>
      </c>
      <c r="M8" s="23">
        <f t="shared" si="1"/>
        <v>0</v>
      </c>
      <c r="N8" s="23">
        <f t="shared" si="1"/>
        <v>0</v>
      </c>
      <c r="O8" s="23">
        <f t="shared" si="1"/>
        <v>0</v>
      </c>
      <c r="P8" s="23">
        <f t="shared" si="1"/>
        <v>0</v>
      </c>
      <c r="Q8" s="23">
        <f t="shared" si="1"/>
        <v>0</v>
      </c>
      <c r="R8" s="23">
        <f t="shared" si="1"/>
        <v>0</v>
      </c>
      <c r="S8" s="23">
        <f t="shared" si="1"/>
        <v>0</v>
      </c>
      <c r="T8" s="23">
        <f t="shared" si="1"/>
        <v>0</v>
      </c>
      <c r="U8" s="23">
        <f t="shared" si="1"/>
        <v>0</v>
      </c>
      <c r="V8" s="23">
        <f t="shared" si="1"/>
        <v>0</v>
      </c>
      <c r="W8" s="23">
        <f t="shared" si="1"/>
        <v>0</v>
      </c>
      <c r="X8" s="23">
        <f t="shared" si="1"/>
        <v>0</v>
      </c>
      <c r="Y8" s="23">
        <f t="shared" si="1"/>
        <v>0</v>
      </c>
      <c r="Z8" s="23">
        <f t="shared" si="1"/>
        <v>0</v>
      </c>
      <c r="AA8" s="23">
        <f t="shared" si="1"/>
        <v>0</v>
      </c>
      <c r="AB8" s="23">
        <f t="shared" si="1"/>
        <v>0</v>
      </c>
      <c r="AC8" s="23">
        <f t="shared" si="1"/>
        <v>0</v>
      </c>
      <c r="AD8" s="23">
        <f t="shared" si="1"/>
        <v>0</v>
      </c>
      <c r="AE8" s="23">
        <f t="shared" si="1"/>
        <v>0</v>
      </c>
      <c r="AF8" s="23">
        <f t="shared" si="1"/>
        <v>0</v>
      </c>
      <c r="AG8" s="23">
        <f t="shared" si="1"/>
        <v>0</v>
      </c>
      <c r="AH8" s="23">
        <f t="shared" si="1"/>
        <v>0</v>
      </c>
      <c r="AI8" s="23">
        <f t="shared" si="1"/>
        <v>0</v>
      </c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</row>
    <row r="9" spans="1:67" ht="21.75" customHeight="1" x14ac:dyDescent="0.2">
      <c r="A9" s="79">
        <v>3</v>
      </c>
      <c r="B9" s="36" t="s">
        <v>53</v>
      </c>
      <c r="C9" s="80" t="s">
        <v>54</v>
      </c>
      <c r="D9" s="21">
        <v>15654891</v>
      </c>
      <c r="E9" s="21">
        <v>15676345</v>
      </c>
      <c r="F9" s="21">
        <v>15692798</v>
      </c>
      <c r="G9" s="21">
        <v>15709097</v>
      </c>
      <c r="H9" s="21">
        <v>15725701</v>
      </c>
      <c r="I9" s="21">
        <v>15743690</v>
      </c>
      <c r="J9" s="21">
        <v>15765451</v>
      </c>
      <c r="K9" s="21">
        <v>15786747</v>
      </c>
      <c r="L9" s="21">
        <v>15805844</v>
      </c>
      <c r="M9" s="21">
        <v>15822787</v>
      </c>
      <c r="N9" s="21">
        <v>15841690</v>
      </c>
      <c r="O9" s="21">
        <v>15862517</v>
      </c>
      <c r="P9" s="21">
        <v>15880584</v>
      </c>
      <c r="Q9" s="21">
        <v>15898686</v>
      </c>
      <c r="R9" s="21">
        <v>15915911</v>
      </c>
      <c r="S9" s="21">
        <v>15931885</v>
      </c>
      <c r="T9" s="21">
        <v>15949273</v>
      </c>
      <c r="U9" s="21">
        <v>15967647</v>
      </c>
      <c r="V9" s="21">
        <v>15985489</v>
      </c>
      <c r="W9" s="21">
        <v>16001092</v>
      </c>
      <c r="X9" s="21">
        <v>16019311</v>
      </c>
      <c r="Y9" s="21">
        <v>16037377</v>
      </c>
      <c r="Z9" s="21">
        <v>16054429</v>
      </c>
      <c r="AA9" s="21">
        <v>16071680</v>
      </c>
      <c r="AB9" s="21">
        <v>16089437</v>
      </c>
      <c r="AC9" s="21">
        <v>16107602</v>
      </c>
      <c r="AD9" s="21">
        <v>16126254</v>
      </c>
      <c r="AE9" s="21">
        <v>16144363</v>
      </c>
      <c r="AF9" s="21">
        <v>16161884</v>
      </c>
      <c r="AG9" s="21">
        <v>16179434</v>
      </c>
      <c r="AH9" s="21">
        <v>16199617</v>
      </c>
      <c r="AI9" s="21">
        <v>16219487</v>
      </c>
    </row>
    <row r="10" spans="1:67" s="24" customFormat="1" ht="21.75" customHeight="1" thickBot="1" x14ac:dyDescent="0.25">
      <c r="A10" s="75"/>
      <c r="B10" s="37"/>
      <c r="C10" s="78"/>
      <c r="D10" s="23"/>
      <c r="E10" s="23">
        <f t="shared" ref="E10:AI10" si="2">E9-D9</f>
        <v>21454</v>
      </c>
      <c r="F10" s="23">
        <f t="shared" si="2"/>
        <v>16453</v>
      </c>
      <c r="G10" s="23">
        <f t="shared" si="2"/>
        <v>16299</v>
      </c>
      <c r="H10" s="23">
        <f t="shared" si="2"/>
        <v>16604</v>
      </c>
      <c r="I10" s="23">
        <f t="shared" si="2"/>
        <v>17989</v>
      </c>
      <c r="J10" s="23">
        <f>J9-I9</f>
        <v>21761</v>
      </c>
      <c r="K10" s="23">
        <f t="shared" si="2"/>
        <v>21296</v>
      </c>
      <c r="L10" s="23">
        <f t="shared" si="2"/>
        <v>19097</v>
      </c>
      <c r="M10" s="23">
        <f t="shared" si="2"/>
        <v>16943</v>
      </c>
      <c r="N10" s="23">
        <f t="shared" si="2"/>
        <v>18903</v>
      </c>
      <c r="O10" s="23">
        <f t="shared" si="2"/>
        <v>20827</v>
      </c>
      <c r="P10" s="23">
        <f t="shared" si="2"/>
        <v>18067</v>
      </c>
      <c r="Q10" s="23">
        <f t="shared" si="2"/>
        <v>18102</v>
      </c>
      <c r="R10" s="23">
        <f t="shared" si="2"/>
        <v>17225</v>
      </c>
      <c r="S10" s="23">
        <f t="shared" si="2"/>
        <v>15974</v>
      </c>
      <c r="T10" s="23">
        <f t="shared" si="2"/>
        <v>17388</v>
      </c>
      <c r="U10" s="23">
        <f t="shared" si="2"/>
        <v>18374</v>
      </c>
      <c r="V10" s="23">
        <f t="shared" si="2"/>
        <v>17842</v>
      </c>
      <c r="W10" s="23">
        <f t="shared" si="2"/>
        <v>15603</v>
      </c>
      <c r="X10" s="23">
        <f t="shared" si="2"/>
        <v>18219</v>
      </c>
      <c r="Y10" s="23">
        <f t="shared" si="2"/>
        <v>18066</v>
      </c>
      <c r="Z10" s="23">
        <f t="shared" si="2"/>
        <v>17052</v>
      </c>
      <c r="AA10" s="23">
        <f t="shared" si="2"/>
        <v>17251</v>
      </c>
      <c r="AB10" s="23">
        <f t="shared" si="2"/>
        <v>17757</v>
      </c>
      <c r="AC10" s="23">
        <f t="shared" si="2"/>
        <v>18165</v>
      </c>
      <c r="AD10" s="23">
        <f t="shared" si="2"/>
        <v>18652</v>
      </c>
      <c r="AE10" s="23">
        <f t="shared" si="2"/>
        <v>18109</v>
      </c>
      <c r="AF10" s="23">
        <f t="shared" si="2"/>
        <v>17521</v>
      </c>
      <c r="AG10" s="23">
        <f t="shared" si="2"/>
        <v>17550</v>
      </c>
      <c r="AH10" s="23">
        <f t="shared" si="2"/>
        <v>20183</v>
      </c>
      <c r="AI10" s="23">
        <f t="shared" si="2"/>
        <v>19870</v>
      </c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</row>
    <row r="11" spans="1:67" ht="21.75" customHeight="1" x14ac:dyDescent="0.2">
      <c r="A11" s="70">
        <v>4</v>
      </c>
      <c r="B11" s="36" t="s">
        <v>55</v>
      </c>
      <c r="C11" s="80" t="s">
        <v>56</v>
      </c>
      <c r="D11" s="21">
        <v>10568341</v>
      </c>
      <c r="E11" s="21">
        <v>10570115</v>
      </c>
      <c r="F11" s="21">
        <v>10573385</v>
      </c>
      <c r="G11" s="21">
        <v>10578120</v>
      </c>
      <c r="H11" s="21">
        <v>10582976</v>
      </c>
      <c r="I11" s="21">
        <v>10588291</v>
      </c>
      <c r="J11" s="21">
        <v>10594424</v>
      </c>
      <c r="K11" s="21">
        <v>10600532</v>
      </c>
      <c r="L11" s="21">
        <v>10605984</v>
      </c>
      <c r="M11" s="21">
        <v>10609965</v>
      </c>
      <c r="N11" s="21">
        <v>10613820</v>
      </c>
      <c r="O11" s="21">
        <v>10617874</v>
      </c>
      <c r="P11" s="21">
        <v>10621837</v>
      </c>
      <c r="Q11" s="21">
        <v>10625808</v>
      </c>
      <c r="R11" s="21">
        <v>10629603</v>
      </c>
      <c r="S11" s="21">
        <v>10633336</v>
      </c>
      <c r="T11" s="21">
        <v>10635354</v>
      </c>
      <c r="U11" s="21">
        <v>10636727</v>
      </c>
      <c r="V11" s="21">
        <v>10637666</v>
      </c>
      <c r="W11" s="21">
        <v>10640911</v>
      </c>
      <c r="X11" s="21">
        <v>10641884</v>
      </c>
      <c r="Y11" s="21">
        <v>10642788</v>
      </c>
      <c r="Z11" s="21">
        <v>10643661</v>
      </c>
      <c r="AA11" s="21">
        <v>10645114</v>
      </c>
      <c r="AB11" s="21">
        <v>10646797</v>
      </c>
      <c r="AC11" s="21">
        <v>10648514</v>
      </c>
      <c r="AD11" s="21">
        <v>10650802</v>
      </c>
      <c r="AE11" s="21">
        <v>10652760</v>
      </c>
      <c r="AF11" s="21">
        <v>10654685</v>
      </c>
      <c r="AG11" s="21">
        <v>10656523</v>
      </c>
      <c r="AH11" s="21">
        <v>10657713</v>
      </c>
      <c r="AI11" s="21">
        <v>10658765</v>
      </c>
    </row>
    <row r="12" spans="1:67" s="38" customFormat="1" ht="21.75" customHeight="1" thickBot="1" x14ac:dyDescent="0.25">
      <c r="A12" s="77"/>
      <c r="B12" s="37"/>
      <c r="C12" s="78"/>
      <c r="D12" s="23"/>
      <c r="E12" s="23">
        <f t="shared" ref="E12:AI12" si="3">E11-D11</f>
        <v>1774</v>
      </c>
      <c r="F12" s="23">
        <f t="shared" si="3"/>
        <v>3270</v>
      </c>
      <c r="G12" s="23">
        <f t="shared" si="3"/>
        <v>4735</v>
      </c>
      <c r="H12" s="23">
        <f t="shared" si="3"/>
        <v>4856</v>
      </c>
      <c r="I12" s="23">
        <f t="shared" si="3"/>
        <v>5315</v>
      </c>
      <c r="J12" s="23">
        <f>J11-I11</f>
        <v>6133</v>
      </c>
      <c r="K12" s="23">
        <f t="shared" si="3"/>
        <v>6108</v>
      </c>
      <c r="L12" s="23">
        <f t="shared" si="3"/>
        <v>5452</v>
      </c>
      <c r="M12" s="23">
        <f t="shared" si="3"/>
        <v>3981</v>
      </c>
      <c r="N12" s="23">
        <f t="shared" si="3"/>
        <v>3855</v>
      </c>
      <c r="O12" s="23">
        <f t="shared" si="3"/>
        <v>4054</v>
      </c>
      <c r="P12" s="23">
        <f t="shared" si="3"/>
        <v>3963</v>
      </c>
      <c r="Q12" s="23">
        <f t="shared" si="3"/>
        <v>3971</v>
      </c>
      <c r="R12" s="23">
        <f t="shared" si="3"/>
        <v>3795</v>
      </c>
      <c r="S12" s="23">
        <f t="shared" si="3"/>
        <v>3733</v>
      </c>
      <c r="T12" s="23">
        <f t="shared" si="3"/>
        <v>2018</v>
      </c>
      <c r="U12" s="23">
        <f t="shared" si="3"/>
        <v>1373</v>
      </c>
      <c r="V12" s="23">
        <f t="shared" si="3"/>
        <v>939</v>
      </c>
      <c r="W12" s="23">
        <f t="shared" si="3"/>
        <v>3245</v>
      </c>
      <c r="X12" s="23">
        <f t="shared" si="3"/>
        <v>973</v>
      </c>
      <c r="Y12" s="23">
        <f t="shared" si="3"/>
        <v>904</v>
      </c>
      <c r="Z12" s="23">
        <f t="shared" si="3"/>
        <v>873</v>
      </c>
      <c r="AA12" s="23">
        <f t="shared" si="3"/>
        <v>1453</v>
      </c>
      <c r="AB12" s="23">
        <f t="shared" si="3"/>
        <v>1683</v>
      </c>
      <c r="AC12" s="23">
        <f t="shared" si="3"/>
        <v>1717</v>
      </c>
      <c r="AD12" s="23">
        <f t="shared" si="3"/>
        <v>2288</v>
      </c>
      <c r="AE12" s="23">
        <f t="shared" si="3"/>
        <v>1958</v>
      </c>
      <c r="AF12" s="23">
        <f t="shared" si="3"/>
        <v>1925</v>
      </c>
      <c r="AG12" s="23">
        <f t="shared" si="3"/>
        <v>1838</v>
      </c>
      <c r="AH12" s="23">
        <f t="shared" si="3"/>
        <v>1190</v>
      </c>
      <c r="AI12" s="23">
        <f t="shared" si="3"/>
        <v>1052</v>
      </c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</row>
    <row r="13" spans="1:67" ht="21.75" customHeight="1" x14ac:dyDescent="0.2">
      <c r="A13" s="79">
        <v>7</v>
      </c>
      <c r="B13" s="39" t="s">
        <v>57</v>
      </c>
      <c r="C13" s="72" t="s">
        <v>58</v>
      </c>
      <c r="D13" s="40">
        <v>3373</v>
      </c>
      <c r="E13" s="40">
        <v>3377</v>
      </c>
      <c r="F13" s="40">
        <v>3377</v>
      </c>
      <c r="G13" s="40">
        <v>3377</v>
      </c>
      <c r="H13" s="40">
        <v>3377</v>
      </c>
      <c r="I13" s="40">
        <v>3377</v>
      </c>
      <c r="J13" s="40">
        <v>3377</v>
      </c>
      <c r="K13" s="40">
        <v>3377</v>
      </c>
      <c r="L13" s="40">
        <v>3377</v>
      </c>
      <c r="M13" s="40">
        <v>3377</v>
      </c>
      <c r="N13" s="40">
        <v>3377</v>
      </c>
      <c r="O13" s="40">
        <v>3377</v>
      </c>
      <c r="P13" s="40">
        <v>3377</v>
      </c>
      <c r="Q13" s="40">
        <v>3377</v>
      </c>
      <c r="R13" s="40">
        <v>3377</v>
      </c>
      <c r="S13" s="40">
        <v>3377</v>
      </c>
      <c r="T13" s="40">
        <v>3377</v>
      </c>
      <c r="U13" s="40">
        <v>3377</v>
      </c>
      <c r="V13" s="40">
        <v>3377</v>
      </c>
      <c r="W13" s="40">
        <v>3377</v>
      </c>
      <c r="X13" s="40">
        <v>3377</v>
      </c>
      <c r="Y13" s="40">
        <v>3377</v>
      </c>
      <c r="Z13" s="40">
        <v>3377</v>
      </c>
      <c r="AA13" s="40">
        <v>3377</v>
      </c>
      <c r="AB13" s="40">
        <v>3377</v>
      </c>
      <c r="AC13" s="40">
        <v>3377</v>
      </c>
      <c r="AD13" s="40">
        <v>3377</v>
      </c>
      <c r="AE13" s="40">
        <v>3377</v>
      </c>
      <c r="AF13" s="40">
        <v>3377</v>
      </c>
      <c r="AG13" s="40">
        <v>3377</v>
      </c>
      <c r="AH13" s="40">
        <v>3377</v>
      </c>
      <c r="AI13" s="40">
        <v>3377</v>
      </c>
    </row>
    <row r="14" spans="1:67" s="24" customFormat="1" ht="21.75" customHeight="1" thickBot="1" x14ac:dyDescent="0.25">
      <c r="A14" s="75"/>
      <c r="B14" s="41"/>
      <c r="C14" s="78"/>
      <c r="D14" s="42"/>
      <c r="E14" s="42">
        <f t="shared" ref="E14:AI14" si="4">E13-D13</f>
        <v>4</v>
      </c>
      <c r="F14" s="42">
        <f t="shared" si="4"/>
        <v>0</v>
      </c>
      <c r="G14" s="42">
        <f t="shared" si="4"/>
        <v>0</v>
      </c>
      <c r="H14" s="42">
        <f t="shared" si="4"/>
        <v>0</v>
      </c>
      <c r="I14" s="42">
        <f t="shared" si="4"/>
        <v>0</v>
      </c>
      <c r="J14" s="42">
        <f t="shared" si="4"/>
        <v>0</v>
      </c>
      <c r="K14" s="42">
        <f t="shared" si="4"/>
        <v>0</v>
      </c>
      <c r="L14" s="42">
        <f t="shared" si="4"/>
        <v>0</v>
      </c>
      <c r="M14" s="42">
        <f t="shared" si="4"/>
        <v>0</v>
      </c>
      <c r="N14" s="42">
        <f t="shared" si="4"/>
        <v>0</v>
      </c>
      <c r="O14" s="42">
        <f t="shared" si="4"/>
        <v>0</v>
      </c>
      <c r="P14" s="42">
        <f t="shared" si="4"/>
        <v>0</v>
      </c>
      <c r="Q14" s="42">
        <f t="shared" si="4"/>
        <v>0</v>
      </c>
      <c r="R14" s="42">
        <f t="shared" si="4"/>
        <v>0</v>
      </c>
      <c r="S14" s="42">
        <f t="shared" si="4"/>
        <v>0</v>
      </c>
      <c r="T14" s="42">
        <f t="shared" si="4"/>
        <v>0</v>
      </c>
      <c r="U14" s="42">
        <f t="shared" si="4"/>
        <v>0</v>
      </c>
      <c r="V14" s="42">
        <f t="shared" si="4"/>
        <v>0</v>
      </c>
      <c r="W14" s="42">
        <f t="shared" si="4"/>
        <v>0</v>
      </c>
      <c r="X14" s="42">
        <f t="shared" si="4"/>
        <v>0</v>
      </c>
      <c r="Y14" s="42">
        <f t="shared" si="4"/>
        <v>0</v>
      </c>
      <c r="Z14" s="42">
        <f t="shared" si="4"/>
        <v>0</v>
      </c>
      <c r="AA14" s="42">
        <f t="shared" si="4"/>
        <v>0</v>
      </c>
      <c r="AB14" s="42">
        <f t="shared" si="4"/>
        <v>0</v>
      </c>
      <c r="AC14" s="42">
        <f t="shared" si="4"/>
        <v>0</v>
      </c>
      <c r="AD14" s="42">
        <f t="shared" si="4"/>
        <v>0</v>
      </c>
      <c r="AE14" s="42">
        <v>0</v>
      </c>
      <c r="AF14" s="42">
        <f t="shared" si="4"/>
        <v>0</v>
      </c>
      <c r="AG14" s="42">
        <f t="shared" si="4"/>
        <v>0</v>
      </c>
      <c r="AH14" s="42">
        <f t="shared" si="4"/>
        <v>0</v>
      </c>
      <c r="AI14" s="42">
        <f t="shared" si="4"/>
        <v>0</v>
      </c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</row>
    <row r="15" spans="1:67" ht="21.75" customHeight="1" x14ac:dyDescent="0.2">
      <c r="A15" s="70">
        <v>8</v>
      </c>
      <c r="B15" s="39" t="s">
        <v>59</v>
      </c>
      <c r="C15" s="72" t="s">
        <v>60</v>
      </c>
      <c r="D15" s="40">
        <v>487</v>
      </c>
      <c r="E15" s="40">
        <v>490</v>
      </c>
      <c r="F15" s="40">
        <v>490</v>
      </c>
      <c r="G15" s="40">
        <v>490</v>
      </c>
      <c r="H15" s="40">
        <v>490</v>
      </c>
      <c r="I15" s="40">
        <v>490</v>
      </c>
      <c r="J15" s="40">
        <v>490</v>
      </c>
      <c r="K15" s="40">
        <v>491</v>
      </c>
      <c r="L15" s="40">
        <v>491</v>
      </c>
      <c r="M15" s="40">
        <v>491</v>
      </c>
      <c r="N15" s="40">
        <v>491</v>
      </c>
      <c r="O15" s="40">
        <v>491</v>
      </c>
      <c r="P15" s="40">
        <v>491</v>
      </c>
      <c r="Q15" s="40">
        <v>491</v>
      </c>
      <c r="R15" s="40">
        <v>491</v>
      </c>
      <c r="S15" s="40">
        <v>496</v>
      </c>
      <c r="T15" s="40">
        <v>496</v>
      </c>
      <c r="U15" s="40">
        <v>496</v>
      </c>
      <c r="V15" s="40">
        <v>496</v>
      </c>
      <c r="W15" s="40">
        <v>496</v>
      </c>
      <c r="X15" s="40">
        <v>496</v>
      </c>
      <c r="Y15" s="40">
        <v>496</v>
      </c>
      <c r="Z15" s="40">
        <v>496</v>
      </c>
      <c r="AA15" s="40">
        <v>496</v>
      </c>
      <c r="AB15" s="40">
        <v>496</v>
      </c>
      <c r="AC15" s="40">
        <v>496</v>
      </c>
      <c r="AD15" s="40">
        <v>496</v>
      </c>
      <c r="AE15" s="40">
        <v>496</v>
      </c>
      <c r="AF15" s="40">
        <v>496</v>
      </c>
      <c r="AG15" s="40">
        <v>497</v>
      </c>
      <c r="AH15" s="40">
        <v>497</v>
      </c>
      <c r="AI15" s="40">
        <v>497</v>
      </c>
    </row>
    <row r="16" spans="1:67" s="24" customFormat="1" ht="21.75" customHeight="1" thickBot="1" x14ac:dyDescent="0.25">
      <c r="A16" s="77"/>
      <c r="B16" s="41"/>
      <c r="C16" s="78"/>
      <c r="D16" s="42"/>
      <c r="E16" s="42">
        <f t="shared" ref="E16:AI16" si="5">E15-D15</f>
        <v>3</v>
      </c>
      <c r="F16" s="42">
        <f t="shared" si="5"/>
        <v>0</v>
      </c>
      <c r="G16" s="42">
        <f t="shared" si="5"/>
        <v>0</v>
      </c>
      <c r="H16" s="42">
        <f t="shared" si="5"/>
        <v>0</v>
      </c>
      <c r="I16" s="42">
        <f t="shared" si="5"/>
        <v>0</v>
      </c>
      <c r="J16" s="42">
        <f t="shared" si="5"/>
        <v>0</v>
      </c>
      <c r="K16" s="42">
        <f t="shared" si="5"/>
        <v>1</v>
      </c>
      <c r="L16" s="42">
        <f t="shared" si="5"/>
        <v>0</v>
      </c>
      <c r="M16" s="42">
        <f t="shared" si="5"/>
        <v>0</v>
      </c>
      <c r="N16" s="42">
        <f t="shared" si="5"/>
        <v>0</v>
      </c>
      <c r="O16" s="42">
        <f t="shared" si="5"/>
        <v>0</v>
      </c>
      <c r="P16" s="42">
        <f t="shared" si="5"/>
        <v>0</v>
      </c>
      <c r="Q16" s="42">
        <f t="shared" si="5"/>
        <v>0</v>
      </c>
      <c r="R16" s="42">
        <f t="shared" si="5"/>
        <v>0</v>
      </c>
      <c r="S16" s="42">
        <f t="shared" si="5"/>
        <v>5</v>
      </c>
      <c r="T16" s="42">
        <f t="shared" si="5"/>
        <v>0</v>
      </c>
      <c r="U16" s="42">
        <f t="shared" si="5"/>
        <v>0</v>
      </c>
      <c r="V16" s="42">
        <f t="shared" si="5"/>
        <v>0</v>
      </c>
      <c r="W16" s="42">
        <f t="shared" si="5"/>
        <v>0</v>
      </c>
      <c r="X16" s="42">
        <f t="shared" si="5"/>
        <v>0</v>
      </c>
      <c r="Y16" s="42">
        <f t="shared" si="5"/>
        <v>0</v>
      </c>
      <c r="Z16" s="42">
        <f t="shared" si="5"/>
        <v>0</v>
      </c>
      <c r="AA16" s="42">
        <f t="shared" si="5"/>
        <v>0</v>
      </c>
      <c r="AB16" s="42">
        <f t="shared" si="5"/>
        <v>0</v>
      </c>
      <c r="AC16" s="42">
        <f t="shared" si="5"/>
        <v>0</v>
      </c>
      <c r="AD16" s="42">
        <f t="shared" si="5"/>
        <v>0</v>
      </c>
      <c r="AE16" s="42">
        <f t="shared" si="5"/>
        <v>0</v>
      </c>
      <c r="AF16" s="42">
        <f t="shared" si="5"/>
        <v>0</v>
      </c>
      <c r="AG16" s="42">
        <f t="shared" si="5"/>
        <v>1</v>
      </c>
      <c r="AH16" s="42">
        <f t="shared" si="5"/>
        <v>0</v>
      </c>
      <c r="AI16" s="42">
        <f t="shared" si="5"/>
        <v>0</v>
      </c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</row>
    <row r="17" spans="1:35" ht="21.75" customHeight="1" x14ac:dyDescent="0.2">
      <c r="A17" s="70">
        <v>13</v>
      </c>
      <c r="B17" s="39" t="s">
        <v>61</v>
      </c>
      <c r="C17" s="72" t="s">
        <v>62</v>
      </c>
      <c r="D17" s="40">
        <v>1457853</v>
      </c>
      <c r="E17" s="40">
        <v>1458146</v>
      </c>
      <c r="F17" s="40">
        <v>1458443</v>
      </c>
      <c r="G17" s="40">
        <v>1458753</v>
      </c>
      <c r="H17" s="40">
        <v>1459037</v>
      </c>
      <c r="I17" s="40">
        <v>1459324</v>
      </c>
      <c r="J17" s="40">
        <v>1459617</v>
      </c>
      <c r="K17" s="40">
        <v>1459903</v>
      </c>
      <c r="L17" s="40">
        <v>1460175</v>
      </c>
      <c r="M17" s="40">
        <v>1460469</v>
      </c>
      <c r="N17" s="40">
        <v>1460758</v>
      </c>
      <c r="O17" s="40">
        <v>1461049</v>
      </c>
      <c r="P17" s="40">
        <v>1461311</v>
      </c>
      <c r="Q17" s="40">
        <v>1461566</v>
      </c>
      <c r="R17" s="40">
        <v>1461806</v>
      </c>
      <c r="S17" s="40">
        <v>1462054</v>
      </c>
      <c r="T17" s="40">
        <v>1462333</v>
      </c>
      <c r="U17" s="40">
        <v>1462594</v>
      </c>
      <c r="V17" s="40">
        <v>1462851</v>
      </c>
      <c r="W17" s="40">
        <v>1463130</v>
      </c>
      <c r="X17" s="40">
        <v>1463387</v>
      </c>
      <c r="Y17" s="40">
        <v>1463627</v>
      </c>
      <c r="Z17" s="40">
        <v>1463868</v>
      </c>
      <c r="AA17" s="40">
        <v>1464127</v>
      </c>
      <c r="AB17" s="40">
        <v>1464397</v>
      </c>
      <c r="AC17" s="40">
        <v>1464686</v>
      </c>
      <c r="AD17" s="40">
        <v>1464965</v>
      </c>
      <c r="AE17" s="40">
        <v>1465223</v>
      </c>
      <c r="AF17" s="40">
        <v>1465510</v>
      </c>
      <c r="AG17" s="40">
        <v>1465779</v>
      </c>
      <c r="AH17" s="40">
        <v>1466052</v>
      </c>
      <c r="AI17" s="40">
        <v>1466327</v>
      </c>
    </row>
    <row r="18" spans="1:35" ht="21.75" customHeight="1" thickBot="1" x14ac:dyDescent="0.25">
      <c r="A18" s="71"/>
      <c r="B18" s="43"/>
      <c r="C18" s="73"/>
      <c r="D18" s="42"/>
      <c r="E18" s="42">
        <f t="shared" ref="E18:AI18" si="6">E17-D17</f>
        <v>293</v>
      </c>
      <c r="F18" s="42">
        <f t="shared" si="6"/>
        <v>297</v>
      </c>
      <c r="G18" s="42">
        <f t="shared" si="6"/>
        <v>310</v>
      </c>
      <c r="H18" s="42">
        <f t="shared" si="6"/>
        <v>284</v>
      </c>
      <c r="I18" s="42">
        <f t="shared" si="6"/>
        <v>287</v>
      </c>
      <c r="J18" s="42">
        <f t="shared" si="6"/>
        <v>293</v>
      </c>
      <c r="K18" s="42">
        <f t="shared" si="6"/>
        <v>286</v>
      </c>
      <c r="L18" s="42">
        <f t="shared" si="6"/>
        <v>272</v>
      </c>
      <c r="M18" s="42">
        <f t="shared" si="6"/>
        <v>294</v>
      </c>
      <c r="N18" s="42">
        <f t="shared" si="6"/>
        <v>289</v>
      </c>
      <c r="O18" s="42">
        <f t="shared" si="6"/>
        <v>291</v>
      </c>
      <c r="P18" s="42">
        <f t="shared" si="6"/>
        <v>262</v>
      </c>
      <c r="Q18" s="42">
        <f t="shared" si="6"/>
        <v>255</v>
      </c>
      <c r="R18" s="42">
        <f t="shared" si="6"/>
        <v>240</v>
      </c>
      <c r="S18" s="42">
        <f t="shared" si="6"/>
        <v>248</v>
      </c>
      <c r="T18" s="42">
        <f t="shared" si="6"/>
        <v>279</v>
      </c>
      <c r="U18" s="42">
        <f t="shared" si="6"/>
        <v>261</v>
      </c>
      <c r="V18" s="42">
        <f t="shared" si="6"/>
        <v>257</v>
      </c>
      <c r="W18" s="42">
        <f t="shared" si="6"/>
        <v>279</v>
      </c>
      <c r="X18" s="42">
        <f t="shared" si="6"/>
        <v>257</v>
      </c>
      <c r="Y18" s="42">
        <f t="shared" si="6"/>
        <v>240</v>
      </c>
      <c r="Z18" s="42">
        <f t="shared" si="6"/>
        <v>241</v>
      </c>
      <c r="AA18" s="42">
        <f t="shared" si="6"/>
        <v>259</v>
      </c>
      <c r="AB18" s="42">
        <f t="shared" si="6"/>
        <v>270</v>
      </c>
      <c r="AC18" s="42">
        <f t="shared" si="6"/>
        <v>289</v>
      </c>
      <c r="AD18" s="42">
        <f t="shared" si="6"/>
        <v>279</v>
      </c>
      <c r="AE18" s="42">
        <f t="shared" si="6"/>
        <v>258</v>
      </c>
      <c r="AF18" s="42">
        <f t="shared" si="6"/>
        <v>287</v>
      </c>
      <c r="AG18" s="42">
        <f t="shared" si="6"/>
        <v>269</v>
      </c>
      <c r="AH18" s="42">
        <f t="shared" si="6"/>
        <v>273</v>
      </c>
      <c r="AI18" s="42">
        <f t="shared" si="6"/>
        <v>275</v>
      </c>
    </row>
    <row r="19" spans="1:35" ht="21.75" customHeight="1" x14ac:dyDescent="0.2">
      <c r="A19" s="74">
        <v>14</v>
      </c>
      <c r="B19" s="39" t="s">
        <v>63</v>
      </c>
      <c r="C19" s="72" t="s">
        <v>64</v>
      </c>
      <c r="D19" s="40">
        <v>386169</v>
      </c>
      <c r="E19" s="40">
        <v>386215</v>
      </c>
      <c r="F19" s="40">
        <v>386257</v>
      </c>
      <c r="G19" s="40">
        <v>386303</v>
      </c>
      <c r="H19" s="40">
        <v>386347</v>
      </c>
      <c r="I19" s="40">
        <v>386389</v>
      </c>
      <c r="J19" s="40">
        <v>386431</v>
      </c>
      <c r="K19" s="40">
        <v>386475</v>
      </c>
      <c r="L19" s="40">
        <v>386517</v>
      </c>
      <c r="M19" s="40">
        <v>386561</v>
      </c>
      <c r="N19" s="40">
        <v>386609</v>
      </c>
      <c r="O19" s="40">
        <v>386647</v>
      </c>
      <c r="P19" s="40">
        <v>386687</v>
      </c>
      <c r="Q19" s="40">
        <v>386729</v>
      </c>
      <c r="R19" s="40">
        <v>386771</v>
      </c>
      <c r="S19" s="40">
        <v>386813</v>
      </c>
      <c r="T19" s="40">
        <v>386855</v>
      </c>
      <c r="U19" s="40">
        <v>386896</v>
      </c>
      <c r="V19" s="40">
        <v>386937</v>
      </c>
      <c r="W19" s="40">
        <v>386975</v>
      </c>
      <c r="X19" s="40">
        <v>387013</v>
      </c>
      <c r="Y19" s="40">
        <v>387052</v>
      </c>
      <c r="Z19" s="40">
        <v>387095</v>
      </c>
      <c r="AA19" s="40">
        <v>387137</v>
      </c>
      <c r="AB19" s="40">
        <v>387183</v>
      </c>
      <c r="AC19" s="40">
        <v>387228</v>
      </c>
      <c r="AD19" s="40">
        <v>387270</v>
      </c>
      <c r="AE19" s="40">
        <v>387315</v>
      </c>
      <c r="AF19" s="40">
        <v>387359</v>
      </c>
      <c r="AG19" s="40">
        <v>387405</v>
      </c>
      <c r="AH19" s="40">
        <v>387452</v>
      </c>
      <c r="AI19" s="40">
        <v>387496</v>
      </c>
    </row>
    <row r="20" spans="1:35" ht="21.75" customHeight="1" thickBot="1" x14ac:dyDescent="0.25">
      <c r="A20" s="75"/>
      <c r="B20" s="43"/>
      <c r="C20" s="73"/>
      <c r="D20" s="42"/>
      <c r="E20" s="42">
        <f>E19-D19</f>
        <v>46</v>
      </c>
      <c r="F20" s="42">
        <f t="shared" ref="F20:AI20" si="7">F19-E19</f>
        <v>42</v>
      </c>
      <c r="G20" s="42">
        <f t="shared" si="7"/>
        <v>46</v>
      </c>
      <c r="H20" s="42">
        <f t="shared" si="7"/>
        <v>44</v>
      </c>
      <c r="I20" s="42">
        <f t="shared" si="7"/>
        <v>42</v>
      </c>
      <c r="J20" s="42">
        <f t="shared" si="7"/>
        <v>42</v>
      </c>
      <c r="K20" s="42">
        <f t="shared" si="7"/>
        <v>44</v>
      </c>
      <c r="L20" s="42">
        <f t="shared" si="7"/>
        <v>42</v>
      </c>
      <c r="M20" s="42">
        <f t="shared" si="7"/>
        <v>44</v>
      </c>
      <c r="N20" s="42">
        <f t="shared" si="7"/>
        <v>48</v>
      </c>
      <c r="O20" s="42">
        <f t="shared" si="7"/>
        <v>38</v>
      </c>
      <c r="P20" s="42">
        <f t="shared" si="7"/>
        <v>40</v>
      </c>
      <c r="Q20" s="42">
        <f t="shared" si="7"/>
        <v>42</v>
      </c>
      <c r="R20" s="42">
        <f t="shared" si="7"/>
        <v>42</v>
      </c>
      <c r="S20" s="42">
        <f t="shared" si="7"/>
        <v>42</v>
      </c>
      <c r="T20" s="42">
        <f t="shared" si="7"/>
        <v>42</v>
      </c>
      <c r="U20" s="42">
        <f t="shared" si="7"/>
        <v>41</v>
      </c>
      <c r="V20" s="42">
        <f t="shared" si="7"/>
        <v>41</v>
      </c>
      <c r="W20" s="42">
        <f t="shared" si="7"/>
        <v>38</v>
      </c>
      <c r="X20" s="42">
        <f t="shared" si="7"/>
        <v>38</v>
      </c>
      <c r="Y20" s="42">
        <f t="shared" si="7"/>
        <v>39</v>
      </c>
      <c r="Z20" s="42">
        <f t="shared" si="7"/>
        <v>43</v>
      </c>
      <c r="AA20" s="42">
        <f t="shared" si="7"/>
        <v>42</v>
      </c>
      <c r="AB20" s="42">
        <f t="shared" si="7"/>
        <v>46</v>
      </c>
      <c r="AC20" s="42">
        <f t="shared" si="7"/>
        <v>45</v>
      </c>
      <c r="AD20" s="42">
        <f t="shared" si="7"/>
        <v>42</v>
      </c>
      <c r="AE20" s="42">
        <f t="shared" si="7"/>
        <v>45</v>
      </c>
      <c r="AF20" s="42">
        <f t="shared" si="7"/>
        <v>44</v>
      </c>
      <c r="AG20" s="42">
        <f t="shared" si="7"/>
        <v>46</v>
      </c>
      <c r="AH20" s="42">
        <f t="shared" si="7"/>
        <v>47</v>
      </c>
      <c r="AI20" s="42">
        <f t="shared" si="7"/>
        <v>44</v>
      </c>
    </row>
    <row r="21" spans="1:35" ht="27" customHeight="1" x14ac:dyDescent="0.3">
      <c r="B21" s="76" t="s">
        <v>65</v>
      </c>
      <c r="C21" s="76"/>
      <c r="D21" s="44"/>
      <c r="E21" s="64">
        <f>((E6+E8)+((E10+E12)*40%)+(E14+E16+E18+E20))</f>
        <v>32163.200000000001</v>
      </c>
      <c r="F21" s="64">
        <f t="shared" ref="F21:AI21" si="8">((F6+F8)+((F10+F12)*40%)+(F14+F16+F18+F20))</f>
        <v>28486.2</v>
      </c>
      <c r="G21" s="64">
        <f t="shared" si="8"/>
        <v>29672.6</v>
      </c>
      <c r="H21" s="64">
        <f t="shared" si="8"/>
        <v>30612</v>
      </c>
      <c r="I21" s="64">
        <f t="shared" si="8"/>
        <v>30531.599999999999</v>
      </c>
      <c r="J21" s="64">
        <f t="shared" si="8"/>
        <v>32565.599999999999</v>
      </c>
      <c r="K21" s="64">
        <f t="shared" si="8"/>
        <v>32245.599999999999</v>
      </c>
      <c r="L21" s="64">
        <f t="shared" si="8"/>
        <v>31272.6</v>
      </c>
      <c r="M21" s="64">
        <f t="shared" si="8"/>
        <v>30045.599999999999</v>
      </c>
      <c r="N21" s="64">
        <f t="shared" si="8"/>
        <v>30157.200000000001</v>
      </c>
      <c r="O21" s="64">
        <f t="shared" si="8"/>
        <v>32432.400000000001</v>
      </c>
      <c r="P21" s="64">
        <f t="shared" si="8"/>
        <v>31115</v>
      </c>
      <c r="Q21" s="64">
        <f t="shared" si="8"/>
        <v>31444.2</v>
      </c>
      <c r="R21" s="64">
        <f t="shared" si="8"/>
        <v>30893</v>
      </c>
      <c r="S21" s="64">
        <f t="shared" si="8"/>
        <v>29804.799999999999</v>
      </c>
      <c r="T21" s="64">
        <f t="shared" si="8"/>
        <v>29394.400000000001</v>
      </c>
      <c r="U21" s="64">
        <f t="shared" si="8"/>
        <v>29322.799999999999</v>
      </c>
      <c r="V21" s="64">
        <f t="shared" si="8"/>
        <v>29327.4</v>
      </c>
      <c r="W21" s="64">
        <f t="shared" si="8"/>
        <v>28862.2</v>
      </c>
      <c r="X21" s="64">
        <f t="shared" si="8"/>
        <v>29851.8</v>
      </c>
      <c r="Y21" s="64">
        <f t="shared" si="8"/>
        <v>29850</v>
      </c>
      <c r="Z21" s="64">
        <f t="shared" si="8"/>
        <v>27933</v>
      </c>
      <c r="AA21" s="64">
        <f t="shared" si="8"/>
        <v>29240.6</v>
      </c>
      <c r="AB21" s="64">
        <f t="shared" si="8"/>
        <v>29386</v>
      </c>
      <c r="AC21" s="64">
        <f t="shared" si="8"/>
        <v>29920.799999999999</v>
      </c>
      <c r="AD21" s="64">
        <f t="shared" si="8"/>
        <v>30395</v>
      </c>
      <c r="AE21" s="64">
        <f t="shared" si="8"/>
        <v>29968.799999999999</v>
      </c>
      <c r="AF21" s="64">
        <f t="shared" si="8"/>
        <v>29730.400000000001</v>
      </c>
      <c r="AG21" s="64">
        <f t="shared" si="8"/>
        <v>29685.200000000001</v>
      </c>
      <c r="AH21" s="64">
        <f t="shared" si="8"/>
        <v>30334.2</v>
      </c>
      <c r="AI21" s="64">
        <f t="shared" si="8"/>
        <v>30094.800000000003</v>
      </c>
    </row>
    <row r="22" spans="1:35" ht="27" customHeight="1" x14ac:dyDescent="0.3">
      <c r="B22" s="69" t="s">
        <v>66</v>
      </c>
      <c r="C22" s="69"/>
      <c r="D22" s="44"/>
      <c r="E22" s="64">
        <f>SUM(E21:AI21)</f>
        <v>936739.00000000012</v>
      </c>
      <c r="F22" s="45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</row>
  </sheetData>
  <mergeCells count="20">
    <mergeCell ref="A2:AI2"/>
    <mergeCell ref="C3:AI3"/>
    <mergeCell ref="A5:A6"/>
    <mergeCell ref="C5:C6"/>
    <mergeCell ref="A7:A8"/>
    <mergeCell ref="C7:C8"/>
    <mergeCell ref="A15:A16"/>
    <mergeCell ref="C15:C16"/>
    <mergeCell ref="A9:A10"/>
    <mergeCell ref="C9:C10"/>
    <mergeCell ref="A11:A12"/>
    <mergeCell ref="C11:C12"/>
    <mergeCell ref="A13:A14"/>
    <mergeCell ref="C13:C14"/>
    <mergeCell ref="B22:C22"/>
    <mergeCell ref="A17:A18"/>
    <mergeCell ref="C17:C18"/>
    <mergeCell ref="A19:A20"/>
    <mergeCell ref="C19:C20"/>
    <mergeCell ref="B21:C21"/>
  </mergeCells>
  <pageMargins left="0.25" right="0.25" top="0.75" bottom="0.75" header="0.3" footer="0.3"/>
  <pageSetup scale="19" orientation="portrait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28519-3124-402A-B866-B6A3B7F5FCE4}">
  <sheetPr>
    <pageSetUpPr fitToPage="1"/>
  </sheetPr>
  <dimension ref="A1:R41"/>
  <sheetViews>
    <sheetView zoomScaleNormal="100" workbookViewId="0">
      <pane ySplit="5" topLeftCell="A31" activePane="bottomLeft" state="frozen"/>
      <selection pane="bottomLeft" activeCell="C39" sqref="C39:D41"/>
    </sheetView>
  </sheetViews>
  <sheetFormatPr defaultRowHeight="15" x14ac:dyDescent="0.25"/>
  <cols>
    <col min="1" max="1" width="9.7109375" customWidth="1"/>
    <col min="2" max="2" width="10.7109375" customWidth="1"/>
    <col min="3" max="3" width="12.28515625" bestFit="1" customWidth="1"/>
    <col min="4" max="13" width="10.7109375" customWidth="1"/>
    <col min="14" max="14" width="13.85546875" customWidth="1"/>
  </cols>
  <sheetData>
    <row r="1" spans="1:18" ht="50.25" customHeight="1" x14ac:dyDescent="0.25">
      <c r="A1" s="95" t="s">
        <v>97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</row>
    <row r="3" spans="1:18" ht="30" x14ac:dyDescent="0.25">
      <c r="A3" s="51" t="s">
        <v>12</v>
      </c>
      <c r="B3" s="96" t="s">
        <v>75</v>
      </c>
      <c r="C3" s="96"/>
      <c r="D3" s="96" t="s">
        <v>76</v>
      </c>
      <c r="E3" s="96"/>
      <c r="F3" s="96" t="s">
        <v>77</v>
      </c>
      <c r="G3" s="96"/>
      <c r="H3" s="96" t="s">
        <v>78</v>
      </c>
      <c r="I3" s="96"/>
      <c r="J3" s="96" t="s">
        <v>79</v>
      </c>
      <c r="K3" s="96"/>
      <c r="L3" s="96" t="s">
        <v>80</v>
      </c>
      <c r="M3" s="96"/>
    </row>
    <row r="4" spans="1:18" ht="45" x14ac:dyDescent="0.25">
      <c r="A4" s="51" t="s">
        <v>81</v>
      </c>
      <c r="B4" s="91">
        <v>483</v>
      </c>
      <c r="C4" s="92"/>
      <c r="D4" s="91">
        <v>30</v>
      </c>
      <c r="E4" s="92"/>
      <c r="F4" s="91">
        <v>30</v>
      </c>
      <c r="G4" s="92"/>
      <c r="H4" s="91">
        <v>30</v>
      </c>
      <c r="I4" s="92"/>
      <c r="J4" s="91">
        <v>50</v>
      </c>
      <c r="K4" s="92"/>
      <c r="L4" s="91">
        <v>30</v>
      </c>
      <c r="M4" s="92"/>
    </row>
    <row r="5" spans="1:18" ht="48" x14ac:dyDescent="0.25">
      <c r="A5" s="52" t="s">
        <v>19</v>
      </c>
      <c r="B5" s="53">
        <v>127617</v>
      </c>
      <c r="C5" s="54"/>
      <c r="D5" s="53">
        <v>71610.12</v>
      </c>
      <c r="E5" s="54"/>
      <c r="F5" s="53">
        <v>8119.02</v>
      </c>
      <c r="G5" s="54"/>
      <c r="H5" s="53">
        <v>2345</v>
      </c>
      <c r="I5" s="54"/>
      <c r="J5" s="53">
        <v>193533.1</v>
      </c>
      <c r="K5" s="54"/>
      <c r="L5" s="53">
        <v>15354</v>
      </c>
      <c r="M5" s="54"/>
      <c r="N5" s="61" t="s">
        <v>87</v>
      </c>
    </row>
    <row r="6" spans="1:18" ht="28.5" customHeight="1" x14ac:dyDescent="0.25">
      <c r="A6" s="55">
        <v>1</v>
      </c>
      <c r="B6" s="53">
        <v>128616</v>
      </c>
      <c r="C6" s="54">
        <f>(B6-B5)*3.7</f>
        <v>3696.3</v>
      </c>
      <c r="D6" s="53">
        <v>71621.600000000006</v>
      </c>
      <c r="E6" s="54">
        <f>(D6-D5)*3.7</f>
        <v>42.476000000038766</v>
      </c>
      <c r="F6" s="53">
        <v>8121.21</v>
      </c>
      <c r="G6" s="54">
        <f>(F6-F5)*3.7</f>
        <v>8.1029999999985201</v>
      </c>
      <c r="H6" s="53">
        <v>2345.44</v>
      </c>
      <c r="I6" s="54">
        <f>(H6-H5)*3.7</f>
        <v>1.628000000000202</v>
      </c>
      <c r="J6" s="53">
        <v>193544.7</v>
      </c>
      <c r="K6" s="54">
        <f>(J6-J5)*3.7</f>
        <v>42.920000000021538</v>
      </c>
      <c r="L6" s="53">
        <v>15358.44</v>
      </c>
      <c r="M6" s="54">
        <f>(L6-L5)*3.7</f>
        <v>16.428000000001884</v>
      </c>
      <c r="N6" s="62">
        <f>SUM(C6,E6,G6,I6,K6,M6)</f>
        <v>3807.855000000061</v>
      </c>
    </row>
    <row r="7" spans="1:18" ht="28.5" customHeight="1" x14ac:dyDescent="0.25">
      <c r="A7" s="55">
        <v>2</v>
      </c>
      <c r="B7" s="53">
        <v>129632</v>
      </c>
      <c r="C7" s="54">
        <f t="shared" ref="C7:C36" si="0">(B7-B6)*3.7</f>
        <v>3759.2000000000003</v>
      </c>
      <c r="D7" s="53">
        <v>71631.429999999993</v>
      </c>
      <c r="E7" s="54">
        <f t="shared" ref="E7:E36" si="1">(D7-D6)*3.7</f>
        <v>36.370999999952623</v>
      </c>
      <c r="F7" s="53">
        <v>8122.34</v>
      </c>
      <c r="G7" s="54">
        <f t="shared" ref="G7:G36" si="2">(F7-F6)*3.7</f>
        <v>4.1810000000004042</v>
      </c>
      <c r="H7" s="53">
        <v>2345.83</v>
      </c>
      <c r="I7" s="54">
        <f t="shared" ref="I7:I36" si="3">(H7-H6)*3.7</f>
        <v>1.4429999999995289</v>
      </c>
      <c r="J7" s="53">
        <v>193551.1</v>
      </c>
      <c r="K7" s="54">
        <f t="shared" ref="K7:K36" si="4">(J7-J6)*3.7</f>
        <v>23.679999999978463</v>
      </c>
      <c r="L7" s="53">
        <v>15361.13</v>
      </c>
      <c r="M7" s="54">
        <f t="shared" ref="M7:M36" si="5">(L7-L6)*3.7</f>
        <v>9.9529999999951553</v>
      </c>
      <c r="N7" s="62">
        <f t="shared" ref="N7:N15" si="6">SUM(C7,E7,G7,I7,K7,M7)</f>
        <v>3834.8279999999268</v>
      </c>
    </row>
    <row r="8" spans="1:18" ht="28.5" customHeight="1" x14ac:dyDescent="0.25">
      <c r="A8" s="56">
        <v>3</v>
      </c>
      <c r="B8" s="53">
        <v>129632</v>
      </c>
      <c r="C8" s="54">
        <f t="shared" si="0"/>
        <v>0</v>
      </c>
      <c r="D8" s="53">
        <v>71631.429999999993</v>
      </c>
      <c r="E8" s="54">
        <f t="shared" si="1"/>
        <v>0</v>
      </c>
      <c r="F8" s="53">
        <v>8122.34</v>
      </c>
      <c r="G8" s="54">
        <f t="shared" si="2"/>
        <v>0</v>
      </c>
      <c r="H8" s="53">
        <v>2345.83</v>
      </c>
      <c r="I8" s="54">
        <f t="shared" si="3"/>
        <v>0</v>
      </c>
      <c r="J8" s="53">
        <v>193551.1</v>
      </c>
      <c r="K8" s="54">
        <f t="shared" si="4"/>
        <v>0</v>
      </c>
      <c r="L8" s="53">
        <v>15361.13</v>
      </c>
      <c r="M8" s="54">
        <f t="shared" si="5"/>
        <v>0</v>
      </c>
      <c r="N8" s="62">
        <f>SUM(C8,E8,G8,I8,K8,M8)</f>
        <v>0</v>
      </c>
    </row>
    <row r="9" spans="1:18" ht="28.5" customHeight="1" x14ac:dyDescent="0.25">
      <c r="A9" s="55">
        <v>4</v>
      </c>
      <c r="B9" s="53">
        <v>131632</v>
      </c>
      <c r="C9" s="54">
        <f t="shared" si="0"/>
        <v>7400</v>
      </c>
      <c r="D9" s="53">
        <v>71644</v>
      </c>
      <c r="E9" s="54">
        <f t="shared" si="1"/>
        <v>46.50900000002585</v>
      </c>
      <c r="F9" s="53">
        <v>8123.99</v>
      </c>
      <c r="G9" s="54">
        <f t="shared" si="2"/>
        <v>6.1049999999986539</v>
      </c>
      <c r="H9" s="53">
        <v>2346.1799999999998</v>
      </c>
      <c r="I9" s="54">
        <f t="shared" si="3"/>
        <v>1.2949999999996635</v>
      </c>
      <c r="J9" s="53">
        <v>193570.7</v>
      </c>
      <c r="K9" s="54">
        <f t="shared" si="4"/>
        <v>72.52000000002154</v>
      </c>
      <c r="L9" s="53">
        <v>15365.36</v>
      </c>
      <c r="M9" s="54">
        <f t="shared" si="5"/>
        <v>15.651000000005116</v>
      </c>
      <c r="N9" s="62">
        <f t="shared" si="6"/>
        <v>7542.0800000000509</v>
      </c>
    </row>
    <row r="10" spans="1:18" ht="28.5" customHeight="1" x14ac:dyDescent="0.25">
      <c r="A10" s="55">
        <v>5</v>
      </c>
      <c r="B10" s="53">
        <v>132537</v>
      </c>
      <c r="C10" s="54">
        <f t="shared" si="0"/>
        <v>3348.5</v>
      </c>
      <c r="D10" s="53">
        <v>71651.13</v>
      </c>
      <c r="E10" s="54">
        <f t="shared" si="1"/>
        <v>26.381000000017231</v>
      </c>
      <c r="F10" s="53">
        <v>8124.43</v>
      </c>
      <c r="G10" s="54">
        <f t="shared" si="2"/>
        <v>1.6280000000018846</v>
      </c>
      <c r="H10" s="53">
        <v>2346.39</v>
      </c>
      <c r="I10" s="54">
        <f t="shared" si="3"/>
        <v>0.77700000000013469</v>
      </c>
      <c r="J10" s="53">
        <v>193578.9</v>
      </c>
      <c r="K10" s="54">
        <f t="shared" si="4"/>
        <v>30.33999999993539</v>
      </c>
      <c r="L10" s="53">
        <v>15367.13</v>
      </c>
      <c r="M10" s="54">
        <f t="shared" si="5"/>
        <v>6.5489999999948854</v>
      </c>
      <c r="N10" s="62">
        <f t="shared" si="6"/>
        <v>3414.1749999999497</v>
      </c>
    </row>
    <row r="11" spans="1:18" ht="28.5" customHeight="1" x14ac:dyDescent="0.25">
      <c r="A11" s="55">
        <v>6</v>
      </c>
      <c r="B11" s="53">
        <v>133412</v>
      </c>
      <c r="C11" s="54">
        <f t="shared" si="0"/>
        <v>3237.5</v>
      </c>
      <c r="D11" s="53">
        <v>71660.34</v>
      </c>
      <c r="E11" s="54">
        <f t="shared" si="1"/>
        <v>34.07699999996985</v>
      </c>
      <c r="F11" s="53">
        <v>8126.46</v>
      </c>
      <c r="G11" s="54">
        <f t="shared" si="2"/>
        <v>7.5109999999990578</v>
      </c>
      <c r="H11" s="53">
        <v>2346.39</v>
      </c>
      <c r="I11" s="54">
        <f t="shared" si="3"/>
        <v>0</v>
      </c>
      <c r="J11" s="53">
        <v>193592.7</v>
      </c>
      <c r="K11" s="54">
        <f t="shared" si="4"/>
        <v>51.060000000064612</v>
      </c>
      <c r="L11" s="53">
        <v>15379.18</v>
      </c>
      <c r="M11" s="54">
        <f t="shared" si="5"/>
        <v>44.585000000004044</v>
      </c>
      <c r="N11" s="62">
        <f>SUM(C11,E11,G11,I11,K11,M11)</f>
        <v>3374.7330000000375</v>
      </c>
      <c r="R11" t="s">
        <v>82</v>
      </c>
    </row>
    <row r="12" spans="1:18" ht="28.5" customHeight="1" x14ac:dyDescent="0.25">
      <c r="A12" s="55">
        <v>7</v>
      </c>
      <c r="B12" s="53">
        <v>133440</v>
      </c>
      <c r="C12" s="54">
        <f t="shared" si="0"/>
        <v>103.60000000000001</v>
      </c>
      <c r="D12" s="53">
        <v>71668.14</v>
      </c>
      <c r="E12" s="54">
        <f t="shared" si="1"/>
        <v>28.860000000010771</v>
      </c>
      <c r="F12" s="53">
        <v>8127.81</v>
      </c>
      <c r="G12" s="54">
        <f t="shared" si="2"/>
        <v>4.9950000000013466</v>
      </c>
      <c r="H12" s="53">
        <v>2346.6999999999998</v>
      </c>
      <c r="I12" s="54">
        <f t="shared" si="3"/>
        <v>1.1469999999997982</v>
      </c>
      <c r="J12" s="53">
        <v>193599.56</v>
      </c>
      <c r="K12" s="54">
        <f t="shared" si="4"/>
        <v>25.381999999948313</v>
      </c>
      <c r="L12" s="53">
        <v>15383.1</v>
      </c>
      <c r="M12" s="54">
        <f t="shared" si="5"/>
        <v>14.50400000000027</v>
      </c>
      <c r="N12" s="62">
        <f t="shared" si="6"/>
        <v>178.48799999996049</v>
      </c>
    </row>
    <row r="13" spans="1:18" ht="28.5" customHeight="1" x14ac:dyDescent="0.25">
      <c r="A13" s="55">
        <v>8</v>
      </c>
      <c r="B13" s="53">
        <v>135291</v>
      </c>
      <c r="C13" s="54">
        <f t="shared" si="0"/>
        <v>6848.7000000000007</v>
      </c>
      <c r="D13" s="53">
        <v>71678.600000000006</v>
      </c>
      <c r="E13" s="54">
        <f t="shared" si="1"/>
        <v>38.702000000023695</v>
      </c>
      <c r="F13" s="53">
        <v>8128.43</v>
      </c>
      <c r="G13" s="54">
        <f t="shared" si="2"/>
        <v>2.2939999999995964</v>
      </c>
      <c r="H13" s="53">
        <v>2346.92</v>
      </c>
      <c r="I13" s="54">
        <f t="shared" si="3"/>
        <v>0.8140000000009423</v>
      </c>
      <c r="J13" s="53">
        <v>193609.13</v>
      </c>
      <c r="K13" s="54">
        <f t="shared" si="4"/>
        <v>35.409000000025848</v>
      </c>
      <c r="L13" s="53">
        <v>15387.81</v>
      </c>
      <c r="M13" s="54">
        <f t="shared" si="5"/>
        <v>17.42699999999677</v>
      </c>
      <c r="N13" s="62">
        <f t="shared" si="6"/>
        <v>6943.3460000000487</v>
      </c>
    </row>
    <row r="14" spans="1:18" ht="28.5" customHeight="1" x14ac:dyDescent="0.25">
      <c r="A14" s="55">
        <v>9</v>
      </c>
      <c r="B14" s="53">
        <v>136115</v>
      </c>
      <c r="C14" s="54">
        <f t="shared" si="0"/>
        <v>3048.8</v>
      </c>
      <c r="D14" s="53">
        <v>71687.839999999997</v>
      </c>
      <c r="E14" s="54">
        <f t="shared" si="1"/>
        <v>34.187999999965541</v>
      </c>
      <c r="F14" s="53">
        <v>8128.82</v>
      </c>
      <c r="G14" s="54">
        <f t="shared" si="2"/>
        <v>1.4429999999978464</v>
      </c>
      <c r="H14" s="53">
        <v>2346.92</v>
      </c>
      <c r="I14" s="54">
        <f t="shared" si="3"/>
        <v>0</v>
      </c>
      <c r="J14" s="53">
        <v>193623.6</v>
      </c>
      <c r="K14" s="54">
        <f t="shared" si="4"/>
        <v>53.539000000004307</v>
      </c>
      <c r="L14" s="53">
        <v>15394.27</v>
      </c>
      <c r="M14" s="54">
        <f t="shared" si="5"/>
        <v>23.9020000000035</v>
      </c>
      <c r="N14" s="62">
        <f t="shared" si="6"/>
        <v>3161.8719999999716</v>
      </c>
    </row>
    <row r="15" spans="1:18" ht="28.5" customHeight="1" x14ac:dyDescent="0.25">
      <c r="A15" s="55">
        <v>10</v>
      </c>
      <c r="B15" s="53">
        <v>137047</v>
      </c>
      <c r="C15" s="54">
        <f t="shared" si="0"/>
        <v>3448.4</v>
      </c>
      <c r="D15" s="53">
        <v>71696</v>
      </c>
      <c r="E15" s="54">
        <f t="shared" si="1"/>
        <v>30.192000000012925</v>
      </c>
      <c r="F15" s="53">
        <v>8129.87</v>
      </c>
      <c r="G15" s="54">
        <f t="shared" si="2"/>
        <v>3.885000000000673</v>
      </c>
      <c r="H15" s="53">
        <v>2346.92</v>
      </c>
      <c r="I15" s="54">
        <f t="shared" si="3"/>
        <v>0</v>
      </c>
      <c r="J15" s="53">
        <v>193633.5</v>
      </c>
      <c r="K15" s="54">
        <f t="shared" si="4"/>
        <v>36.629999999978466</v>
      </c>
      <c r="L15" s="53">
        <v>15398.09</v>
      </c>
      <c r="M15" s="54">
        <f t="shared" si="5"/>
        <v>14.133999999998924</v>
      </c>
      <c r="N15" s="62">
        <f t="shared" si="6"/>
        <v>3533.2409999999909</v>
      </c>
    </row>
    <row r="16" spans="1:18" ht="28.5" customHeight="1" x14ac:dyDescent="0.25">
      <c r="A16" s="55">
        <v>11</v>
      </c>
      <c r="B16" s="53">
        <v>137934</v>
      </c>
      <c r="C16" s="54">
        <f t="shared" si="0"/>
        <v>3281.9</v>
      </c>
      <c r="D16" s="53">
        <v>71706.100000000006</v>
      </c>
      <c r="E16" s="54">
        <f t="shared" si="1"/>
        <v>37.370000000021541</v>
      </c>
      <c r="F16" s="53">
        <v>8130.14</v>
      </c>
      <c r="G16" s="54">
        <f t="shared" si="2"/>
        <v>0.99900000000161526</v>
      </c>
      <c r="H16" s="53">
        <v>2346.96</v>
      </c>
      <c r="I16" s="54">
        <f t="shared" si="3"/>
        <v>0.14799999999986541</v>
      </c>
      <c r="J16" s="53">
        <v>193641.8</v>
      </c>
      <c r="K16" s="54">
        <f t="shared" si="4"/>
        <v>30.709999999956928</v>
      </c>
      <c r="L16" s="53">
        <v>15402.1</v>
      </c>
      <c r="M16" s="54">
        <f t="shared" si="5"/>
        <v>14.837000000000808</v>
      </c>
      <c r="N16" s="62">
        <f>SUM(C16,E16,G16,I16,K16,M16)</f>
        <v>3365.9639999999808</v>
      </c>
    </row>
    <row r="17" spans="1:15" ht="28.5" customHeight="1" x14ac:dyDescent="0.25">
      <c r="A17" s="55">
        <v>12</v>
      </c>
      <c r="B17" s="53">
        <v>138750</v>
      </c>
      <c r="C17" s="54">
        <f t="shared" si="0"/>
        <v>3019.2000000000003</v>
      </c>
      <c r="D17" s="53">
        <v>71716</v>
      </c>
      <c r="E17" s="54">
        <f t="shared" si="1"/>
        <v>36.629999999978466</v>
      </c>
      <c r="F17" s="53">
        <v>8130.5</v>
      </c>
      <c r="G17" s="54">
        <f t="shared" si="2"/>
        <v>1.3319999999987886</v>
      </c>
      <c r="H17" s="53">
        <v>2347.02</v>
      </c>
      <c r="I17" s="54">
        <f t="shared" si="3"/>
        <v>0.22199999999979811</v>
      </c>
      <c r="J17" s="53">
        <v>193648.5</v>
      </c>
      <c r="K17" s="54">
        <f t="shared" si="4"/>
        <v>24.790000000043076</v>
      </c>
      <c r="L17" s="53">
        <v>15406.5</v>
      </c>
      <c r="M17" s="54">
        <f t="shared" si="5"/>
        <v>16.279999999998655</v>
      </c>
      <c r="N17" s="62">
        <f t="shared" ref="N17:N36" si="7">SUM(C17,E17,G17,I17,K17,M17)</f>
        <v>3098.4540000000193</v>
      </c>
    </row>
    <row r="18" spans="1:15" ht="28.5" customHeight="1" x14ac:dyDescent="0.25">
      <c r="A18" s="55">
        <v>13</v>
      </c>
      <c r="B18" s="53">
        <v>139761</v>
      </c>
      <c r="C18" s="54">
        <f t="shared" si="0"/>
        <v>3740.7000000000003</v>
      </c>
      <c r="D18" s="53">
        <v>71728.03</v>
      </c>
      <c r="E18" s="54">
        <f t="shared" si="1"/>
        <v>44.510999999995697</v>
      </c>
      <c r="F18" s="53">
        <v>8133.57</v>
      </c>
      <c r="G18" s="54">
        <f t="shared" si="2"/>
        <v>11.358999999998924</v>
      </c>
      <c r="H18" s="53">
        <v>2347.29</v>
      </c>
      <c r="I18" s="54">
        <f t="shared" si="3"/>
        <v>0.99899999999993272</v>
      </c>
      <c r="J18" s="53">
        <v>193656</v>
      </c>
      <c r="K18" s="54">
        <f t="shared" si="4"/>
        <v>27.75</v>
      </c>
      <c r="L18" s="53">
        <v>15406.6</v>
      </c>
      <c r="M18" s="54">
        <f t="shared" si="5"/>
        <v>0.37000000000134609</v>
      </c>
      <c r="N18" s="62">
        <f t="shared" si="7"/>
        <v>3825.6889999999962</v>
      </c>
    </row>
    <row r="19" spans="1:15" ht="28.5" customHeight="1" x14ac:dyDescent="0.25">
      <c r="A19" s="55">
        <v>14</v>
      </c>
      <c r="B19" s="53">
        <v>140678</v>
      </c>
      <c r="C19" s="54">
        <f t="shared" si="0"/>
        <v>3392.9</v>
      </c>
      <c r="D19" s="53">
        <v>71743</v>
      </c>
      <c r="E19" s="54">
        <f t="shared" si="1"/>
        <v>55.389000000004309</v>
      </c>
      <c r="F19" s="53">
        <v>8134</v>
      </c>
      <c r="G19" s="54">
        <f t="shared" si="2"/>
        <v>1.5910000000010769</v>
      </c>
      <c r="H19" s="53">
        <v>2347.73</v>
      </c>
      <c r="I19" s="54">
        <f t="shared" si="3"/>
        <v>1.628000000000202</v>
      </c>
      <c r="J19" s="53">
        <v>193668.4</v>
      </c>
      <c r="K19" s="54">
        <f t="shared" si="4"/>
        <v>45.879999999978466</v>
      </c>
      <c r="L19" s="53">
        <v>15411</v>
      </c>
      <c r="M19" s="54">
        <f t="shared" si="5"/>
        <v>16.279999999998655</v>
      </c>
      <c r="N19" s="62">
        <f t="shared" si="7"/>
        <v>3513.6679999999828</v>
      </c>
    </row>
    <row r="20" spans="1:15" ht="28.5" customHeight="1" x14ac:dyDescent="0.25">
      <c r="A20" s="55">
        <v>15</v>
      </c>
      <c r="B20" s="53">
        <v>141612</v>
      </c>
      <c r="C20" s="54">
        <f t="shared" si="0"/>
        <v>3455.8</v>
      </c>
      <c r="D20" s="53">
        <v>71756.070000000007</v>
      </c>
      <c r="E20" s="54">
        <f t="shared" si="1"/>
        <v>48.359000000025844</v>
      </c>
      <c r="F20" s="53">
        <v>8136.63</v>
      </c>
      <c r="G20" s="54">
        <f t="shared" si="2"/>
        <v>9.7310000000004049</v>
      </c>
      <c r="H20" s="53">
        <v>2347.88</v>
      </c>
      <c r="I20" s="54">
        <f t="shared" si="3"/>
        <v>0.55500000000033656</v>
      </c>
      <c r="J20" s="53">
        <v>193680.9</v>
      </c>
      <c r="K20" s="54">
        <f t="shared" si="4"/>
        <v>46.25</v>
      </c>
      <c r="L20" s="53">
        <v>15415.83</v>
      </c>
      <c r="M20" s="54">
        <f t="shared" si="5"/>
        <v>17.870999999999732</v>
      </c>
      <c r="N20" s="62">
        <f t="shared" si="7"/>
        <v>3578.5660000000262</v>
      </c>
    </row>
    <row r="21" spans="1:15" ht="28.5" customHeight="1" x14ac:dyDescent="0.25">
      <c r="A21" s="55">
        <v>16</v>
      </c>
      <c r="B21" s="53">
        <v>142593</v>
      </c>
      <c r="C21" s="54">
        <f t="shared" si="0"/>
        <v>3629.7000000000003</v>
      </c>
      <c r="D21" s="53">
        <v>71766.58</v>
      </c>
      <c r="E21" s="54">
        <f t="shared" si="1"/>
        <v>38.886999999980617</v>
      </c>
      <c r="F21" s="53">
        <v>8137.21</v>
      </c>
      <c r="G21" s="54">
        <f t="shared" si="2"/>
        <v>2.1459999999997308</v>
      </c>
      <c r="H21" s="53">
        <v>2347.98</v>
      </c>
      <c r="I21" s="54">
        <f t="shared" si="3"/>
        <v>0.36999999999966349</v>
      </c>
      <c r="J21" s="53">
        <v>193692.5</v>
      </c>
      <c r="K21" s="54">
        <f t="shared" si="4"/>
        <v>42.920000000021538</v>
      </c>
      <c r="L21" s="53">
        <v>15420.91</v>
      </c>
      <c r="M21" s="54">
        <f t="shared" si="5"/>
        <v>18.795999999999733</v>
      </c>
      <c r="N21" s="62">
        <f t="shared" si="7"/>
        <v>3732.8190000000013</v>
      </c>
    </row>
    <row r="22" spans="1:15" ht="28.5" customHeight="1" x14ac:dyDescent="0.25">
      <c r="A22" s="55">
        <v>17</v>
      </c>
      <c r="B22" s="53">
        <v>143595</v>
      </c>
      <c r="C22" s="54">
        <f t="shared" si="0"/>
        <v>3707.4</v>
      </c>
      <c r="D22" s="53">
        <v>71777.820000000007</v>
      </c>
      <c r="E22" s="54">
        <f t="shared" si="1"/>
        <v>41.588000000019385</v>
      </c>
      <c r="F22" s="53">
        <v>8138.27</v>
      </c>
      <c r="G22" s="54">
        <f t="shared" si="2"/>
        <v>3.9220000000014807</v>
      </c>
      <c r="H22" s="53">
        <v>2348.06</v>
      </c>
      <c r="I22" s="54">
        <f t="shared" si="3"/>
        <v>0.29599999999973081</v>
      </c>
      <c r="J22" s="53">
        <v>193702.9</v>
      </c>
      <c r="K22" s="54">
        <f t="shared" si="4"/>
        <v>38.479999999978467</v>
      </c>
      <c r="L22" s="53">
        <v>15425.08</v>
      </c>
      <c r="M22" s="54">
        <f t="shared" si="5"/>
        <v>15.42900000000027</v>
      </c>
      <c r="N22" s="62">
        <f t="shared" si="7"/>
        <v>3807.1149999999993</v>
      </c>
    </row>
    <row r="23" spans="1:15" ht="28.5" customHeight="1" x14ac:dyDescent="0.25">
      <c r="A23" s="55">
        <v>18</v>
      </c>
      <c r="B23" s="53">
        <v>144548</v>
      </c>
      <c r="C23" s="54">
        <f t="shared" si="0"/>
        <v>3526.1000000000004</v>
      </c>
      <c r="D23" s="53">
        <v>71785.539999999994</v>
      </c>
      <c r="E23" s="54">
        <f t="shared" si="1"/>
        <v>28.563999999950468</v>
      </c>
      <c r="F23" s="53">
        <v>8138.87</v>
      </c>
      <c r="G23" s="54">
        <f t="shared" si="2"/>
        <v>2.2199999999979809</v>
      </c>
      <c r="H23" s="53">
        <v>2348.35</v>
      </c>
      <c r="I23" s="54">
        <f t="shared" si="3"/>
        <v>1.0729999999998654</v>
      </c>
      <c r="J23" s="53">
        <v>193716.4</v>
      </c>
      <c r="K23" s="54">
        <f t="shared" si="4"/>
        <v>49.95</v>
      </c>
      <c r="L23" s="53">
        <v>15427.2</v>
      </c>
      <c r="M23" s="54">
        <f t="shared" si="5"/>
        <v>7.8440000000029615</v>
      </c>
      <c r="N23" s="62">
        <f t="shared" si="7"/>
        <v>3615.7509999999511</v>
      </c>
    </row>
    <row r="24" spans="1:15" ht="28.5" customHeight="1" x14ac:dyDescent="0.25">
      <c r="A24" s="55">
        <v>19</v>
      </c>
      <c r="B24" s="53">
        <v>145553</v>
      </c>
      <c r="C24" s="54">
        <f t="shared" si="0"/>
        <v>3718.5</v>
      </c>
      <c r="D24" s="53">
        <v>71794.210000000006</v>
      </c>
      <c r="E24" s="54">
        <f t="shared" si="1"/>
        <v>32.07900000004738</v>
      </c>
      <c r="F24" s="53">
        <v>8139.1</v>
      </c>
      <c r="G24" s="54">
        <f t="shared" si="2"/>
        <v>0.85100000000174991</v>
      </c>
      <c r="H24" s="53">
        <v>2348.5100000000002</v>
      </c>
      <c r="I24" s="54">
        <f t="shared" si="3"/>
        <v>0.59200000000114417</v>
      </c>
      <c r="J24" s="53">
        <v>193728.1</v>
      </c>
      <c r="K24" s="54">
        <f t="shared" si="4"/>
        <v>43.290000000043072</v>
      </c>
      <c r="L24" s="53">
        <v>15429.13</v>
      </c>
      <c r="M24" s="54">
        <f t="shared" si="5"/>
        <v>7.1409999999943468</v>
      </c>
      <c r="N24" s="62">
        <f t="shared" si="7"/>
        <v>3802.4530000000877</v>
      </c>
    </row>
    <row r="25" spans="1:15" ht="28.5" customHeight="1" x14ac:dyDescent="0.25">
      <c r="A25" s="55">
        <v>20</v>
      </c>
      <c r="B25" s="53">
        <v>146609</v>
      </c>
      <c r="C25" s="54">
        <f t="shared" si="0"/>
        <v>3907.2000000000003</v>
      </c>
      <c r="D25" s="53">
        <v>71803.23</v>
      </c>
      <c r="E25" s="54">
        <f t="shared" si="1"/>
        <v>33.373999999961235</v>
      </c>
      <c r="F25" s="53">
        <v>8141.95</v>
      </c>
      <c r="G25" s="54">
        <f t="shared" si="2"/>
        <v>10.544999999997982</v>
      </c>
      <c r="H25" s="53">
        <v>2348.75</v>
      </c>
      <c r="I25" s="54">
        <f t="shared" si="3"/>
        <v>0.88799999999919244</v>
      </c>
      <c r="J25" s="53">
        <v>193740.5</v>
      </c>
      <c r="K25" s="54">
        <f t="shared" si="4"/>
        <v>45.879999999978466</v>
      </c>
      <c r="L25" s="53">
        <v>15431.58</v>
      </c>
      <c r="M25" s="54">
        <f t="shared" si="5"/>
        <v>9.0650000000026925</v>
      </c>
      <c r="N25" s="62">
        <f t="shared" si="7"/>
        <v>4006.9519999999393</v>
      </c>
    </row>
    <row r="26" spans="1:15" ht="28.5" customHeight="1" x14ac:dyDescent="0.25">
      <c r="A26" s="55">
        <v>21</v>
      </c>
      <c r="B26" s="53">
        <v>147636</v>
      </c>
      <c r="C26" s="54">
        <f t="shared" si="0"/>
        <v>3799.9</v>
      </c>
      <c r="D26" s="53">
        <v>71814.14</v>
      </c>
      <c r="E26" s="54">
        <f t="shared" si="1"/>
        <v>40.367000000012922</v>
      </c>
      <c r="F26" s="53">
        <v>8143.16</v>
      </c>
      <c r="G26" s="54">
        <f t="shared" si="2"/>
        <v>4.4770000000001344</v>
      </c>
      <c r="H26" s="53">
        <v>2348.89</v>
      </c>
      <c r="I26" s="54">
        <f t="shared" si="3"/>
        <v>0.51799999999952895</v>
      </c>
      <c r="J26" s="53">
        <v>193753.7</v>
      </c>
      <c r="K26" s="54">
        <f t="shared" si="4"/>
        <v>48.840000000043077</v>
      </c>
      <c r="L26" s="53">
        <v>15436.51</v>
      </c>
      <c r="M26" s="54">
        <f t="shared" si="5"/>
        <v>18.241000000001076</v>
      </c>
      <c r="N26" s="62">
        <f t="shared" si="7"/>
        <v>3912.3430000000567</v>
      </c>
    </row>
    <row r="27" spans="1:15" ht="28.5" customHeight="1" x14ac:dyDescent="0.25">
      <c r="A27" s="55">
        <v>22</v>
      </c>
      <c r="B27" s="53">
        <v>148842</v>
      </c>
      <c r="C27" s="54">
        <f t="shared" si="0"/>
        <v>4462.2</v>
      </c>
      <c r="D27" s="53">
        <v>71826.25</v>
      </c>
      <c r="E27" s="54">
        <f t="shared" si="1"/>
        <v>44.807000000002155</v>
      </c>
      <c r="F27" s="53">
        <v>8145.01</v>
      </c>
      <c r="G27" s="54">
        <f t="shared" si="2"/>
        <v>6.8450000000013462</v>
      </c>
      <c r="H27" s="53">
        <v>2349.0500000000002</v>
      </c>
      <c r="I27" s="54">
        <f t="shared" si="3"/>
        <v>0.59200000000114417</v>
      </c>
      <c r="J27" s="53">
        <v>193761.1</v>
      </c>
      <c r="K27" s="54">
        <f t="shared" si="4"/>
        <v>27.379999999978466</v>
      </c>
      <c r="L27" s="53">
        <v>15439.91</v>
      </c>
      <c r="M27" s="54">
        <f t="shared" si="5"/>
        <v>12.579999999998655</v>
      </c>
      <c r="N27" s="62">
        <f t="shared" si="7"/>
        <v>4554.4039999999823</v>
      </c>
    </row>
    <row r="28" spans="1:15" ht="28.5" customHeight="1" x14ac:dyDescent="0.25">
      <c r="A28" s="55">
        <v>23</v>
      </c>
      <c r="B28" s="57">
        <v>149628</v>
      </c>
      <c r="C28" s="54">
        <f t="shared" si="0"/>
        <v>2908.2000000000003</v>
      </c>
      <c r="D28" s="57">
        <v>71836.240000000005</v>
      </c>
      <c r="E28" s="54">
        <f t="shared" si="1"/>
        <v>36.963000000019385</v>
      </c>
      <c r="F28" s="57">
        <v>8145.43</v>
      </c>
      <c r="G28" s="54">
        <f t="shared" si="2"/>
        <v>1.5540000000002694</v>
      </c>
      <c r="H28" s="57">
        <v>2349.04</v>
      </c>
      <c r="I28" s="54">
        <f t="shared" si="3"/>
        <v>-3.700000000080763E-2</v>
      </c>
      <c r="J28" s="57">
        <v>193774.1</v>
      </c>
      <c r="K28" s="54">
        <f t="shared" si="4"/>
        <v>48.1</v>
      </c>
      <c r="L28" s="57">
        <v>15441.52</v>
      </c>
      <c r="M28" s="54">
        <f t="shared" si="5"/>
        <v>5.9570000000021537</v>
      </c>
      <c r="N28" s="62">
        <f t="shared" si="7"/>
        <v>3000.737000000021</v>
      </c>
    </row>
    <row r="29" spans="1:15" ht="28.5" customHeight="1" x14ac:dyDescent="0.25">
      <c r="A29" s="55">
        <v>24</v>
      </c>
      <c r="B29" s="53">
        <v>150601</v>
      </c>
      <c r="C29" s="54">
        <f t="shared" si="0"/>
        <v>3600.1000000000004</v>
      </c>
      <c r="D29" s="53">
        <v>71850.87</v>
      </c>
      <c r="E29" s="54">
        <f t="shared" si="1"/>
        <v>54.130999999963393</v>
      </c>
      <c r="F29" s="53">
        <v>8146.65</v>
      </c>
      <c r="G29" s="54">
        <f t="shared" si="2"/>
        <v>4.5139999999975773</v>
      </c>
      <c r="H29" s="53">
        <v>2349.0500000000002</v>
      </c>
      <c r="I29" s="54">
        <f t="shared" si="3"/>
        <v>3.700000000080763E-2</v>
      </c>
      <c r="J29" s="53">
        <v>193782.7</v>
      </c>
      <c r="K29" s="54">
        <f t="shared" si="4"/>
        <v>31.820000000021537</v>
      </c>
      <c r="L29" s="53">
        <v>15444.17</v>
      </c>
      <c r="M29" s="54">
        <f t="shared" si="5"/>
        <v>9.804999999998655</v>
      </c>
      <c r="N29" s="62">
        <f t="shared" si="7"/>
        <v>3700.406999999982</v>
      </c>
    </row>
    <row r="30" spans="1:15" ht="28.5" customHeight="1" x14ac:dyDescent="0.25">
      <c r="A30" s="55">
        <v>25</v>
      </c>
      <c r="B30" s="58">
        <v>151490</v>
      </c>
      <c r="C30" s="54">
        <f t="shared" si="0"/>
        <v>3289.3</v>
      </c>
      <c r="D30" s="53">
        <v>71865.5</v>
      </c>
      <c r="E30" s="54">
        <f t="shared" si="1"/>
        <v>54.131000000017231</v>
      </c>
      <c r="F30" s="53">
        <v>8147.5</v>
      </c>
      <c r="G30" s="54">
        <f t="shared" si="2"/>
        <v>3.1450000000013461</v>
      </c>
      <c r="H30" s="53">
        <v>2349.5</v>
      </c>
      <c r="I30" s="54">
        <f t="shared" si="3"/>
        <v>1.664999999999327</v>
      </c>
      <c r="J30" s="53">
        <v>193790</v>
      </c>
      <c r="K30" s="54">
        <f t="shared" si="4"/>
        <v>27.009999999956928</v>
      </c>
      <c r="L30" s="53">
        <v>15446.5</v>
      </c>
      <c r="M30" s="54">
        <f t="shared" si="5"/>
        <v>8.6209999999997304</v>
      </c>
      <c r="N30" s="62">
        <f t="shared" si="7"/>
        <v>3383.8719999999748</v>
      </c>
      <c r="O30" s="59"/>
    </row>
    <row r="31" spans="1:15" ht="28.5" customHeight="1" x14ac:dyDescent="0.25">
      <c r="A31" s="55">
        <v>26</v>
      </c>
      <c r="B31" s="53">
        <v>152546</v>
      </c>
      <c r="C31" s="54">
        <f t="shared" si="0"/>
        <v>3907.2000000000003</v>
      </c>
      <c r="D31" s="53">
        <v>71877.149999999994</v>
      </c>
      <c r="E31" s="54">
        <f t="shared" si="1"/>
        <v>43.104999999978467</v>
      </c>
      <c r="F31" s="53">
        <v>8148.91</v>
      </c>
      <c r="G31" s="54">
        <f t="shared" si="2"/>
        <v>5.2169999999994614</v>
      </c>
      <c r="H31" s="53">
        <v>2349.5</v>
      </c>
      <c r="I31" s="54">
        <f t="shared" si="3"/>
        <v>0</v>
      </c>
      <c r="J31" s="53">
        <v>193804.2</v>
      </c>
      <c r="K31" s="54">
        <f t="shared" si="4"/>
        <v>52.540000000043079</v>
      </c>
      <c r="L31" s="53">
        <v>15450.95</v>
      </c>
      <c r="M31" s="54">
        <f t="shared" si="5"/>
        <v>16.465000000002693</v>
      </c>
      <c r="N31" s="62">
        <f t="shared" si="7"/>
        <v>4024.5270000000246</v>
      </c>
      <c r="O31" s="59"/>
    </row>
    <row r="32" spans="1:15" ht="28.5" customHeight="1" x14ac:dyDescent="0.25">
      <c r="A32" s="55">
        <v>27</v>
      </c>
      <c r="B32" s="53">
        <v>153491</v>
      </c>
      <c r="C32" s="54">
        <f t="shared" si="0"/>
        <v>3496.5</v>
      </c>
      <c r="D32" s="53">
        <v>71886.66</v>
      </c>
      <c r="E32" s="54">
        <f t="shared" si="1"/>
        <v>35.187000000034459</v>
      </c>
      <c r="F32" s="53">
        <v>8150.35</v>
      </c>
      <c r="G32" s="54">
        <f t="shared" si="2"/>
        <v>5.328000000001885</v>
      </c>
      <c r="H32" s="53">
        <v>2349.58</v>
      </c>
      <c r="I32" s="54">
        <f t="shared" si="3"/>
        <v>0.29599999999973081</v>
      </c>
      <c r="J32" s="53">
        <v>193815.1</v>
      </c>
      <c r="K32" s="54">
        <f t="shared" si="4"/>
        <v>40.329999999978462</v>
      </c>
      <c r="L32" s="53">
        <v>15454.56</v>
      </c>
      <c r="M32" s="54">
        <f t="shared" si="5"/>
        <v>13.356999999995423</v>
      </c>
      <c r="N32" s="62">
        <f>SUM(C32,E32,G32,I32,K32,M32)</f>
        <v>3590.9980000000101</v>
      </c>
    </row>
    <row r="33" spans="1:14" ht="28.5" customHeight="1" x14ac:dyDescent="0.25">
      <c r="A33" s="55">
        <v>28</v>
      </c>
      <c r="B33" s="53">
        <v>154437</v>
      </c>
      <c r="C33" s="54">
        <f t="shared" si="0"/>
        <v>3500.2000000000003</v>
      </c>
      <c r="D33" s="53">
        <v>71900.17</v>
      </c>
      <c r="E33" s="54">
        <f t="shared" si="1"/>
        <v>49.986999999980618</v>
      </c>
      <c r="F33" s="53">
        <v>8151.88</v>
      </c>
      <c r="G33" s="54">
        <f t="shared" si="2"/>
        <v>5.6609999999990581</v>
      </c>
      <c r="H33" s="53">
        <v>2349.8000000000002</v>
      </c>
      <c r="I33" s="54">
        <f t="shared" si="3"/>
        <v>0.8140000000009423</v>
      </c>
      <c r="J33" s="53">
        <v>193826.5</v>
      </c>
      <c r="K33" s="54">
        <f t="shared" si="4"/>
        <v>42.179999999978463</v>
      </c>
      <c r="L33" s="53">
        <v>15458.16</v>
      </c>
      <c r="M33" s="54">
        <f t="shared" si="5"/>
        <v>13.320000000001347</v>
      </c>
      <c r="N33" s="62">
        <f t="shared" si="7"/>
        <v>3612.1619999999607</v>
      </c>
    </row>
    <row r="34" spans="1:14" ht="28.5" customHeight="1" x14ac:dyDescent="0.25">
      <c r="A34" s="55">
        <v>29</v>
      </c>
      <c r="B34" s="57">
        <v>155391</v>
      </c>
      <c r="C34" s="54">
        <f t="shared" si="0"/>
        <v>3529.8</v>
      </c>
      <c r="D34" s="57">
        <v>71913.289999999994</v>
      </c>
      <c r="E34" s="54">
        <f t="shared" si="1"/>
        <v>48.543999999982773</v>
      </c>
      <c r="F34" s="57">
        <v>8153.27</v>
      </c>
      <c r="G34" s="54">
        <f t="shared" si="2"/>
        <v>5.1430000000012113</v>
      </c>
      <c r="H34" s="57">
        <v>2350.15</v>
      </c>
      <c r="I34" s="54">
        <f t="shared" si="3"/>
        <v>1.2949999999996635</v>
      </c>
      <c r="J34" s="57">
        <v>193838.3</v>
      </c>
      <c r="K34" s="54">
        <f t="shared" si="4"/>
        <v>43.659999999956931</v>
      </c>
      <c r="L34" s="57">
        <v>15459.84</v>
      </c>
      <c r="M34" s="54">
        <f t="shared" si="5"/>
        <v>6.2160000000010776</v>
      </c>
      <c r="N34" s="62">
        <f t="shared" si="7"/>
        <v>3634.6579999999421</v>
      </c>
    </row>
    <row r="35" spans="1:14" ht="28.5" customHeight="1" x14ac:dyDescent="0.25">
      <c r="A35" s="55">
        <v>30</v>
      </c>
      <c r="B35" s="53">
        <v>156345</v>
      </c>
      <c r="C35" s="54">
        <f t="shared" si="0"/>
        <v>3529.8</v>
      </c>
      <c r="D35" s="53">
        <v>71927.7</v>
      </c>
      <c r="E35" s="54">
        <f t="shared" si="1"/>
        <v>53.317000000012925</v>
      </c>
      <c r="F35" s="53">
        <v>8154.18</v>
      </c>
      <c r="G35" s="54">
        <f t="shared" si="2"/>
        <v>3.3669999999994618</v>
      </c>
      <c r="H35" s="53">
        <v>2350.2800000000002</v>
      </c>
      <c r="I35" s="54">
        <f t="shared" si="3"/>
        <v>0.48100000000040383</v>
      </c>
      <c r="J35" s="53">
        <v>193848.2</v>
      </c>
      <c r="K35" s="54">
        <f t="shared" si="4"/>
        <v>36.630000000086149</v>
      </c>
      <c r="L35" s="53">
        <v>15462.03</v>
      </c>
      <c r="M35" s="54">
        <f t="shared" si="5"/>
        <v>8.1030000000018845</v>
      </c>
      <c r="N35" s="62">
        <f t="shared" si="7"/>
        <v>3631.6980000001004</v>
      </c>
    </row>
    <row r="36" spans="1:14" ht="28.5" customHeight="1" x14ac:dyDescent="0.25">
      <c r="A36" s="55">
        <v>31</v>
      </c>
      <c r="B36" s="53">
        <v>157297</v>
      </c>
      <c r="C36" s="54">
        <f t="shared" si="0"/>
        <v>3522.4</v>
      </c>
      <c r="D36" s="53">
        <v>71941.77</v>
      </c>
      <c r="E36" s="54">
        <f t="shared" si="1"/>
        <v>52.059000000025847</v>
      </c>
      <c r="F36" s="53">
        <v>8155.13</v>
      </c>
      <c r="G36" s="54">
        <f t="shared" si="2"/>
        <v>3.5149999999993273</v>
      </c>
      <c r="H36" s="53">
        <v>2350.4499999999998</v>
      </c>
      <c r="I36" s="54">
        <f t="shared" si="3"/>
        <v>0.62899999999858669</v>
      </c>
      <c r="J36" s="53">
        <v>193859.1</v>
      </c>
      <c r="K36" s="54">
        <f t="shared" si="4"/>
        <v>40.329999999978462</v>
      </c>
      <c r="L36" s="53">
        <v>15464.33</v>
      </c>
      <c r="M36" s="54">
        <f t="shared" si="5"/>
        <v>8.5099999999973086</v>
      </c>
      <c r="N36" s="62">
        <f t="shared" si="7"/>
        <v>3627.4429999999998</v>
      </c>
    </row>
    <row r="37" spans="1:14" x14ac:dyDescent="0.25">
      <c r="A37" s="93" t="s">
        <v>83</v>
      </c>
      <c r="B37" s="93"/>
      <c r="C37" s="60">
        <f>SUM(C6:C36)</f>
        <v>109815.99999999999</v>
      </c>
      <c r="E37" s="60">
        <f>SUM(E6:E36)</f>
        <v>1227.1050000000325</v>
      </c>
      <c r="G37" s="60">
        <f>SUM(G6:G36)</f>
        <v>133.60699999999878</v>
      </c>
      <c r="I37" s="60">
        <f>SUM(I6:I36)</f>
        <v>20.164999999999324</v>
      </c>
      <c r="K37" s="60">
        <f>SUM(K6:K36)</f>
        <v>1206.2</v>
      </c>
      <c r="M37" s="60">
        <f>SUM(M6:M36)</f>
        <v>408.22099999999978</v>
      </c>
    </row>
    <row r="39" spans="1:14" x14ac:dyDescent="0.25">
      <c r="A39" s="94" t="s">
        <v>84</v>
      </c>
      <c r="B39" s="94"/>
      <c r="C39" s="108">
        <f>SUM(C37)</f>
        <v>109815.99999999999</v>
      </c>
      <c r="D39" s="108"/>
    </row>
    <row r="40" spans="1:14" x14ac:dyDescent="0.25">
      <c r="A40" s="94" t="s">
        <v>85</v>
      </c>
      <c r="B40" s="94"/>
      <c r="C40" s="108">
        <f>SUM(E37,G37,I37,K37,M37)</f>
        <v>2995.2980000000307</v>
      </c>
      <c r="D40" s="108"/>
    </row>
    <row r="41" spans="1:14" ht="47.25" customHeight="1" x14ac:dyDescent="0.25">
      <c r="A41" s="90" t="s">
        <v>86</v>
      </c>
      <c r="B41" s="90"/>
      <c r="C41" s="109">
        <f>SUM(C39:D40)</f>
        <v>112811.29800000001</v>
      </c>
      <c r="D41" s="109"/>
    </row>
  </sheetData>
  <mergeCells count="20">
    <mergeCell ref="H4:I4"/>
    <mergeCell ref="J4:K4"/>
    <mergeCell ref="L4:M4"/>
    <mergeCell ref="A1:M1"/>
    <mergeCell ref="B3:C3"/>
    <mergeCell ref="D3:E3"/>
    <mergeCell ref="F3:G3"/>
    <mergeCell ref="H3:I3"/>
    <mergeCell ref="J3:K3"/>
    <mergeCell ref="L3:M3"/>
    <mergeCell ref="C41:D41"/>
    <mergeCell ref="A41:B41"/>
    <mergeCell ref="B4:C4"/>
    <mergeCell ref="D4:E4"/>
    <mergeCell ref="F4:G4"/>
    <mergeCell ref="A37:B37"/>
    <mergeCell ref="A39:B39"/>
    <mergeCell ref="C39:D39"/>
    <mergeCell ref="A40:B40"/>
    <mergeCell ref="C40:D40"/>
  </mergeCells>
  <printOptions horizontalCentered="1"/>
  <pageMargins left="0" right="0" top="0" bottom="0" header="0.3" footer="0.3"/>
  <pageSetup paperSize="9" scale="71"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95EAA-47F4-4B4C-AF06-1BB06658B4C9}">
  <sheetPr>
    <pageSetUpPr fitToPage="1"/>
  </sheetPr>
  <dimension ref="A2:AP29"/>
  <sheetViews>
    <sheetView zoomScale="115" zoomScaleNormal="115" workbookViewId="0">
      <pane xSplit="3" ySplit="4" topLeftCell="D12" activePane="bottomRight" state="frozen"/>
      <selection pane="topRight" activeCell="D1" sqref="D1"/>
      <selection pane="bottomLeft" activeCell="A5" sqref="A5"/>
      <selection pane="bottomRight" activeCell="D7" sqref="D7:AI14"/>
    </sheetView>
  </sheetViews>
  <sheetFormatPr defaultColWidth="9.140625" defaultRowHeight="70.5" customHeight="1" x14ac:dyDescent="0.25"/>
  <cols>
    <col min="1" max="1" width="5.7109375" style="2" customWidth="1"/>
    <col min="2" max="2" width="21.85546875" style="8" customWidth="1"/>
    <col min="3" max="3" width="23" style="35" customWidth="1"/>
    <col min="4" max="6" width="10.140625" style="8" customWidth="1"/>
    <col min="7" max="35" width="10.140625" style="2" customWidth="1"/>
    <col min="36" max="16384" width="9.140625" style="2"/>
  </cols>
  <sheetData>
    <row r="2" spans="1:42" s="8" customFormat="1" ht="25.7" customHeight="1" x14ac:dyDescent="0.4">
      <c r="B2" s="99" t="s">
        <v>96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  <c r="AF2" s="100"/>
      <c r="AG2" s="100"/>
      <c r="AH2" s="100"/>
      <c r="AI2" s="100"/>
    </row>
    <row r="3" spans="1:42" s="8" customFormat="1" ht="30" customHeight="1" thickBot="1" x14ac:dyDescent="0.3"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  <c r="AF3" s="101"/>
      <c r="AG3" s="101"/>
      <c r="AH3" s="101"/>
      <c r="AI3" s="101"/>
    </row>
    <row r="4" spans="1:42" s="30" customFormat="1" ht="57.75" customHeight="1" thickBot="1" x14ac:dyDescent="0.3">
      <c r="A4" s="15" t="s">
        <v>10</v>
      </c>
      <c r="B4" s="27" t="s">
        <v>18</v>
      </c>
      <c r="C4" s="27" t="s">
        <v>12</v>
      </c>
      <c r="D4" s="28" t="s">
        <v>19</v>
      </c>
      <c r="E4" s="29" t="s">
        <v>20</v>
      </c>
      <c r="F4" s="29" t="s">
        <v>21</v>
      </c>
      <c r="G4" s="29" t="s">
        <v>22</v>
      </c>
      <c r="H4" s="29" t="s">
        <v>23</v>
      </c>
      <c r="I4" s="29" t="s">
        <v>24</v>
      </c>
      <c r="J4" s="29" t="s">
        <v>25</v>
      </c>
      <c r="K4" s="29" t="s">
        <v>26</v>
      </c>
      <c r="L4" s="29" t="s">
        <v>27</v>
      </c>
      <c r="M4" s="29" t="s">
        <v>28</v>
      </c>
      <c r="N4" s="29" t="s">
        <v>29</v>
      </c>
      <c r="O4" s="29" t="s">
        <v>30</v>
      </c>
      <c r="P4" s="29" t="s">
        <v>31</v>
      </c>
      <c r="Q4" s="29" t="s">
        <v>32</v>
      </c>
      <c r="R4" s="29" t="s">
        <v>33</v>
      </c>
      <c r="S4" s="29" t="s">
        <v>34</v>
      </c>
      <c r="T4" s="29" t="s">
        <v>35</v>
      </c>
      <c r="U4" s="29" t="s">
        <v>36</v>
      </c>
      <c r="V4" s="29" t="s">
        <v>37</v>
      </c>
      <c r="W4" s="29" t="s">
        <v>38</v>
      </c>
      <c r="X4" s="29" t="s">
        <v>39</v>
      </c>
      <c r="Y4" s="29" t="s">
        <v>40</v>
      </c>
      <c r="Z4" s="29" t="s">
        <v>41</v>
      </c>
      <c r="AA4" s="29" t="s">
        <v>42</v>
      </c>
      <c r="AB4" s="29" t="s">
        <v>43</v>
      </c>
      <c r="AC4" s="29" t="s">
        <v>44</v>
      </c>
      <c r="AD4" s="29" t="s">
        <v>45</v>
      </c>
      <c r="AE4" s="29" t="s">
        <v>46</v>
      </c>
      <c r="AF4" s="29" t="s">
        <v>47</v>
      </c>
      <c r="AG4" s="29" t="s">
        <v>88</v>
      </c>
      <c r="AH4" s="29" t="s">
        <v>89</v>
      </c>
      <c r="AI4" s="29" t="s">
        <v>90</v>
      </c>
    </row>
    <row r="5" spans="1:42" s="8" customFormat="1" ht="40.5" customHeight="1" thickBot="1" x14ac:dyDescent="0.3">
      <c r="A5" s="102" t="s">
        <v>20</v>
      </c>
      <c r="B5" s="27" t="s">
        <v>48</v>
      </c>
      <c r="C5" s="104" t="s">
        <v>49</v>
      </c>
      <c r="D5" s="31">
        <v>170611</v>
      </c>
      <c r="E5" s="31">
        <v>170850</v>
      </c>
      <c r="F5" s="31">
        <v>171052</v>
      </c>
      <c r="G5" s="31">
        <v>171289</v>
      </c>
      <c r="H5" s="31">
        <v>171499</v>
      </c>
      <c r="I5" s="31">
        <v>171708</v>
      </c>
      <c r="J5" s="31">
        <v>171926</v>
      </c>
      <c r="K5" s="31">
        <v>172143</v>
      </c>
      <c r="L5" s="31">
        <v>172360</v>
      </c>
      <c r="M5" s="31">
        <v>172592</v>
      </c>
      <c r="N5" s="31">
        <v>172806</v>
      </c>
      <c r="O5" s="31">
        <v>173038</v>
      </c>
      <c r="P5" s="31">
        <v>173308</v>
      </c>
      <c r="Q5" s="31">
        <v>173541</v>
      </c>
      <c r="R5" s="31">
        <v>173764</v>
      </c>
      <c r="S5" s="31">
        <v>174026</v>
      </c>
      <c r="T5" s="31">
        <v>174280</v>
      </c>
      <c r="U5" s="31">
        <v>174507</v>
      </c>
      <c r="V5" s="31">
        <v>174793</v>
      </c>
      <c r="W5" s="31">
        <v>175038</v>
      </c>
      <c r="X5" s="31">
        <v>175289</v>
      </c>
      <c r="Y5" s="31">
        <v>175560</v>
      </c>
      <c r="Z5" s="31">
        <v>175776</v>
      </c>
      <c r="AA5" s="31">
        <v>175995</v>
      </c>
      <c r="AB5" s="31">
        <v>176273</v>
      </c>
      <c r="AC5" s="31">
        <v>176532</v>
      </c>
      <c r="AD5" s="31">
        <v>176831</v>
      </c>
      <c r="AE5" s="31">
        <v>177082</v>
      </c>
      <c r="AF5" s="31">
        <v>177386</v>
      </c>
      <c r="AG5" s="31">
        <v>177651</v>
      </c>
      <c r="AH5" s="31">
        <v>177984</v>
      </c>
      <c r="AI5" s="31">
        <v>178247</v>
      </c>
    </row>
    <row r="6" spans="1:42" s="34" customFormat="1" ht="25.7" customHeight="1" thickBot="1" x14ac:dyDescent="0.3">
      <c r="A6" s="103"/>
      <c r="B6" s="32"/>
      <c r="C6" s="104"/>
      <c r="D6" s="33"/>
      <c r="E6" s="33">
        <f>E5-D5</f>
        <v>239</v>
      </c>
      <c r="F6" s="33">
        <f t="shared" ref="F6:AI6" si="0">F5-E5</f>
        <v>202</v>
      </c>
      <c r="G6" s="33">
        <f t="shared" si="0"/>
        <v>237</v>
      </c>
      <c r="H6" s="33">
        <f t="shared" si="0"/>
        <v>210</v>
      </c>
      <c r="I6" s="33">
        <f t="shared" si="0"/>
        <v>209</v>
      </c>
      <c r="J6" s="33">
        <f t="shared" si="0"/>
        <v>218</v>
      </c>
      <c r="K6" s="33">
        <f t="shared" si="0"/>
        <v>217</v>
      </c>
      <c r="L6" s="33">
        <f t="shared" si="0"/>
        <v>217</v>
      </c>
      <c r="M6" s="33">
        <f t="shared" si="0"/>
        <v>232</v>
      </c>
      <c r="N6" s="33">
        <f t="shared" si="0"/>
        <v>214</v>
      </c>
      <c r="O6" s="33">
        <f t="shared" si="0"/>
        <v>232</v>
      </c>
      <c r="P6" s="33">
        <f t="shared" si="0"/>
        <v>270</v>
      </c>
      <c r="Q6" s="33">
        <f t="shared" si="0"/>
        <v>233</v>
      </c>
      <c r="R6" s="33">
        <f t="shared" si="0"/>
        <v>223</v>
      </c>
      <c r="S6" s="33">
        <f t="shared" si="0"/>
        <v>262</v>
      </c>
      <c r="T6" s="33">
        <f t="shared" si="0"/>
        <v>254</v>
      </c>
      <c r="U6" s="33">
        <f>U5-T5</f>
        <v>227</v>
      </c>
      <c r="V6" s="33">
        <f t="shared" si="0"/>
        <v>286</v>
      </c>
      <c r="W6" s="33">
        <f t="shared" si="0"/>
        <v>245</v>
      </c>
      <c r="X6" s="33">
        <f t="shared" si="0"/>
        <v>251</v>
      </c>
      <c r="Y6" s="33">
        <f t="shared" si="0"/>
        <v>271</v>
      </c>
      <c r="Z6" s="33">
        <f t="shared" si="0"/>
        <v>216</v>
      </c>
      <c r="AA6" s="33">
        <f t="shared" si="0"/>
        <v>219</v>
      </c>
      <c r="AB6" s="33">
        <f t="shared" si="0"/>
        <v>278</v>
      </c>
      <c r="AC6" s="33">
        <f t="shared" si="0"/>
        <v>259</v>
      </c>
      <c r="AD6" s="33">
        <f t="shared" si="0"/>
        <v>299</v>
      </c>
      <c r="AE6" s="33">
        <f t="shared" si="0"/>
        <v>251</v>
      </c>
      <c r="AF6" s="33">
        <f t="shared" si="0"/>
        <v>304</v>
      </c>
      <c r="AG6" s="33">
        <f t="shared" si="0"/>
        <v>265</v>
      </c>
      <c r="AH6" s="33">
        <f t="shared" si="0"/>
        <v>333</v>
      </c>
      <c r="AI6" s="33">
        <f t="shared" si="0"/>
        <v>263</v>
      </c>
      <c r="AJ6" s="8"/>
      <c r="AK6" s="8"/>
      <c r="AL6" s="8"/>
      <c r="AM6" s="8"/>
      <c r="AN6" s="8"/>
      <c r="AO6" s="8"/>
      <c r="AP6" s="8"/>
    </row>
    <row r="7" spans="1:42" s="8" customFormat="1" ht="39.75" customHeight="1" thickBot="1" x14ac:dyDescent="0.3">
      <c r="A7" s="102" t="s">
        <v>22</v>
      </c>
      <c r="B7" s="49" t="s">
        <v>69</v>
      </c>
      <c r="C7" s="104" t="s">
        <v>70</v>
      </c>
      <c r="D7" s="31">
        <v>408662.6</v>
      </c>
      <c r="E7" s="31">
        <v>408682</v>
      </c>
      <c r="F7" s="31">
        <v>408693</v>
      </c>
      <c r="G7" s="31">
        <v>408704</v>
      </c>
      <c r="H7" s="31">
        <v>408722</v>
      </c>
      <c r="I7" s="31">
        <v>408741.3</v>
      </c>
      <c r="J7" s="31">
        <v>408762.5</v>
      </c>
      <c r="K7" s="31">
        <v>408776.6</v>
      </c>
      <c r="L7" s="31">
        <v>408797.7</v>
      </c>
      <c r="M7" s="31">
        <v>408815.6</v>
      </c>
      <c r="N7" s="31">
        <v>408836.1</v>
      </c>
      <c r="O7" s="31">
        <v>408857.5</v>
      </c>
      <c r="P7" s="31">
        <v>408880.2</v>
      </c>
      <c r="Q7" s="31">
        <v>408898.2</v>
      </c>
      <c r="R7" s="31">
        <v>408913.1</v>
      </c>
      <c r="S7" s="31">
        <v>408932.5</v>
      </c>
      <c r="T7" s="31">
        <v>408951.6</v>
      </c>
      <c r="U7" s="31">
        <v>408972.3</v>
      </c>
      <c r="V7" s="31">
        <v>408990.1</v>
      </c>
      <c r="W7" s="31">
        <v>409007.3</v>
      </c>
      <c r="X7" s="31">
        <v>409023.9</v>
      </c>
      <c r="Y7" s="31">
        <v>409035.7</v>
      </c>
      <c r="Z7" s="31">
        <v>409049.2</v>
      </c>
      <c r="AA7" s="31">
        <v>409061.5</v>
      </c>
      <c r="AB7" s="31">
        <v>409073.6</v>
      </c>
      <c r="AC7" s="31">
        <v>409089.7</v>
      </c>
      <c r="AD7" s="31">
        <v>409103.9</v>
      </c>
      <c r="AE7" s="31">
        <v>409119.2</v>
      </c>
      <c r="AF7" s="31">
        <v>409129.6</v>
      </c>
      <c r="AG7" s="31">
        <v>409143.4</v>
      </c>
      <c r="AH7" s="31">
        <v>409155.2</v>
      </c>
      <c r="AI7" s="31">
        <v>409169.8</v>
      </c>
    </row>
    <row r="8" spans="1:42" s="34" customFormat="1" ht="25.7" customHeight="1" thickBot="1" x14ac:dyDescent="0.3">
      <c r="A8" s="103"/>
      <c r="B8" s="47"/>
      <c r="C8" s="104"/>
      <c r="D8" s="33"/>
      <c r="E8" s="33">
        <f>E7-D7</f>
        <v>19.400000000023283</v>
      </c>
      <c r="F8" s="33">
        <f t="shared" ref="F8:AI8" si="1">F7-E7</f>
        <v>11</v>
      </c>
      <c r="G8" s="33">
        <f t="shared" si="1"/>
        <v>11</v>
      </c>
      <c r="H8" s="33">
        <f t="shared" si="1"/>
        <v>18</v>
      </c>
      <c r="I8" s="33">
        <f t="shared" si="1"/>
        <v>19.299999999988358</v>
      </c>
      <c r="J8" s="33">
        <f t="shared" si="1"/>
        <v>21.200000000011642</v>
      </c>
      <c r="K8" s="33">
        <f t="shared" si="1"/>
        <v>14.099999999976717</v>
      </c>
      <c r="L8" s="33">
        <f t="shared" si="1"/>
        <v>21.100000000034925</v>
      </c>
      <c r="M8" s="33">
        <f t="shared" si="1"/>
        <v>17.899999999965075</v>
      </c>
      <c r="N8" s="33">
        <f t="shared" si="1"/>
        <v>20.5</v>
      </c>
      <c r="O8" s="33">
        <f t="shared" si="1"/>
        <v>21.400000000023283</v>
      </c>
      <c r="P8" s="33">
        <f t="shared" si="1"/>
        <v>22.700000000011642</v>
      </c>
      <c r="Q8" s="33">
        <f t="shared" si="1"/>
        <v>18</v>
      </c>
      <c r="R8" s="33">
        <f t="shared" si="1"/>
        <v>14.899999999965075</v>
      </c>
      <c r="S8" s="33">
        <f t="shared" si="1"/>
        <v>19.400000000023283</v>
      </c>
      <c r="T8" s="33">
        <f t="shared" si="1"/>
        <v>19.099999999976717</v>
      </c>
      <c r="U8" s="33">
        <f t="shared" si="1"/>
        <v>20.700000000011642</v>
      </c>
      <c r="V8" s="33">
        <f t="shared" si="1"/>
        <v>17.799999999988358</v>
      </c>
      <c r="W8" s="33">
        <f t="shared" si="1"/>
        <v>17.200000000011642</v>
      </c>
      <c r="X8" s="33">
        <f t="shared" si="1"/>
        <v>16.600000000034925</v>
      </c>
      <c r="Y8" s="33">
        <f>Y7-X7</f>
        <v>11.799999999988358</v>
      </c>
      <c r="Z8" s="33">
        <f t="shared" si="1"/>
        <v>13.5</v>
      </c>
      <c r="AA8" s="33">
        <f t="shared" si="1"/>
        <v>12.299999999988358</v>
      </c>
      <c r="AB8" s="33">
        <f t="shared" si="1"/>
        <v>12.099999999976717</v>
      </c>
      <c r="AC8" s="33">
        <f t="shared" si="1"/>
        <v>16.100000000034925</v>
      </c>
      <c r="AD8" s="33">
        <f t="shared" si="1"/>
        <v>14.200000000011642</v>
      </c>
      <c r="AE8" s="33">
        <f t="shared" si="1"/>
        <v>15.299999999988358</v>
      </c>
      <c r="AF8" s="33">
        <f t="shared" si="1"/>
        <v>10.399999999965075</v>
      </c>
      <c r="AG8" s="33">
        <f t="shared" si="1"/>
        <v>13.800000000046566</v>
      </c>
      <c r="AH8" s="33">
        <f t="shared" si="1"/>
        <v>11.799999999988358</v>
      </c>
      <c r="AI8" s="33">
        <f t="shared" si="1"/>
        <v>14.599999999976717</v>
      </c>
      <c r="AJ8" s="8"/>
      <c r="AK8" s="8"/>
      <c r="AL8" s="8"/>
      <c r="AM8" s="8"/>
      <c r="AN8" s="8"/>
      <c r="AO8" s="8"/>
      <c r="AP8" s="8"/>
    </row>
    <row r="9" spans="1:42" s="8" customFormat="1" ht="25.7" customHeight="1" thickBot="1" x14ac:dyDescent="0.3">
      <c r="A9" s="102">
        <v>4</v>
      </c>
      <c r="B9" s="46" t="s">
        <v>67</v>
      </c>
      <c r="C9" s="104" t="s">
        <v>68</v>
      </c>
      <c r="D9" s="31">
        <v>27483</v>
      </c>
      <c r="E9" s="31">
        <v>27590</v>
      </c>
      <c r="F9" s="31">
        <v>27592</v>
      </c>
      <c r="G9" s="31">
        <v>27596</v>
      </c>
      <c r="H9" s="31">
        <v>27696</v>
      </c>
      <c r="I9" s="31">
        <v>27808</v>
      </c>
      <c r="J9" s="31">
        <v>27929</v>
      </c>
      <c r="K9" s="31">
        <v>27929</v>
      </c>
      <c r="L9" s="31">
        <v>28012</v>
      </c>
      <c r="M9" s="31">
        <v>28101</v>
      </c>
      <c r="N9" s="31">
        <v>28198</v>
      </c>
      <c r="O9" s="31">
        <v>28303</v>
      </c>
      <c r="P9" s="31">
        <v>28405</v>
      </c>
      <c r="Q9" s="31">
        <v>28478</v>
      </c>
      <c r="R9" s="31">
        <v>28487</v>
      </c>
      <c r="S9" s="31">
        <v>28561</v>
      </c>
      <c r="T9" s="31">
        <v>28656</v>
      </c>
      <c r="U9" s="31">
        <v>28742</v>
      </c>
      <c r="V9" s="31">
        <v>28826</v>
      </c>
      <c r="W9" s="31">
        <v>28927</v>
      </c>
      <c r="X9" s="31">
        <v>29029</v>
      </c>
      <c r="Y9" s="31">
        <v>29037</v>
      </c>
      <c r="Z9" s="31">
        <v>29109</v>
      </c>
      <c r="AA9" s="31">
        <v>29126</v>
      </c>
      <c r="AB9" s="31">
        <v>29181</v>
      </c>
      <c r="AC9" s="31">
        <v>29247</v>
      </c>
      <c r="AD9" s="31">
        <v>29308</v>
      </c>
      <c r="AE9" s="31">
        <v>29348</v>
      </c>
      <c r="AF9" s="31">
        <v>29348</v>
      </c>
      <c r="AG9" s="31">
        <v>29397</v>
      </c>
      <c r="AH9" s="31">
        <v>29405</v>
      </c>
      <c r="AI9" s="31">
        <v>29483</v>
      </c>
    </row>
    <row r="10" spans="1:42" s="34" customFormat="1" ht="25.7" customHeight="1" thickBot="1" x14ac:dyDescent="0.3">
      <c r="A10" s="103"/>
      <c r="B10" s="47"/>
      <c r="C10" s="104"/>
      <c r="D10" s="33"/>
      <c r="E10" s="33">
        <f t="shared" ref="E10:AI10" si="2">E9-D9</f>
        <v>107</v>
      </c>
      <c r="F10" s="33">
        <f t="shared" si="2"/>
        <v>2</v>
      </c>
      <c r="G10" s="33">
        <f t="shared" si="2"/>
        <v>4</v>
      </c>
      <c r="H10" s="33">
        <f t="shared" si="2"/>
        <v>100</v>
      </c>
      <c r="I10" s="33">
        <f t="shared" si="2"/>
        <v>112</v>
      </c>
      <c r="J10" s="33">
        <f t="shared" si="2"/>
        <v>121</v>
      </c>
      <c r="K10" s="33">
        <f t="shared" si="2"/>
        <v>0</v>
      </c>
      <c r="L10" s="33">
        <f t="shared" si="2"/>
        <v>83</v>
      </c>
      <c r="M10" s="33">
        <f t="shared" si="2"/>
        <v>89</v>
      </c>
      <c r="N10" s="33">
        <f t="shared" si="2"/>
        <v>97</v>
      </c>
      <c r="O10" s="33">
        <f t="shared" si="2"/>
        <v>105</v>
      </c>
      <c r="P10" s="33">
        <f t="shared" si="2"/>
        <v>102</v>
      </c>
      <c r="Q10" s="33">
        <f t="shared" si="2"/>
        <v>73</v>
      </c>
      <c r="R10" s="33">
        <f t="shared" si="2"/>
        <v>9</v>
      </c>
      <c r="S10" s="33">
        <f t="shared" si="2"/>
        <v>74</v>
      </c>
      <c r="T10" s="33">
        <f t="shared" si="2"/>
        <v>95</v>
      </c>
      <c r="U10" s="33">
        <f t="shared" si="2"/>
        <v>86</v>
      </c>
      <c r="V10" s="33">
        <f t="shared" si="2"/>
        <v>84</v>
      </c>
      <c r="W10" s="33">
        <f t="shared" si="2"/>
        <v>101</v>
      </c>
      <c r="X10" s="33">
        <f t="shared" si="2"/>
        <v>102</v>
      </c>
      <c r="Y10" s="33">
        <f t="shared" si="2"/>
        <v>8</v>
      </c>
      <c r="Z10" s="33">
        <f t="shared" si="2"/>
        <v>72</v>
      </c>
      <c r="AA10" s="33">
        <f t="shared" si="2"/>
        <v>17</v>
      </c>
      <c r="AB10" s="33">
        <f t="shared" si="2"/>
        <v>55</v>
      </c>
      <c r="AC10" s="33">
        <f t="shared" si="2"/>
        <v>66</v>
      </c>
      <c r="AD10" s="33">
        <f t="shared" si="2"/>
        <v>61</v>
      </c>
      <c r="AE10" s="33">
        <f t="shared" si="2"/>
        <v>40</v>
      </c>
      <c r="AF10" s="33">
        <f t="shared" si="2"/>
        <v>0</v>
      </c>
      <c r="AG10" s="33">
        <f t="shared" si="2"/>
        <v>49</v>
      </c>
      <c r="AH10" s="33">
        <f t="shared" si="2"/>
        <v>8</v>
      </c>
      <c r="AI10" s="33">
        <f t="shared" si="2"/>
        <v>78</v>
      </c>
      <c r="AJ10" s="8"/>
      <c r="AK10" s="8"/>
      <c r="AL10" s="8"/>
      <c r="AM10" s="8"/>
      <c r="AN10" s="8"/>
      <c r="AO10" s="8"/>
      <c r="AP10" s="8"/>
    </row>
    <row r="11" spans="1:42" s="8" customFormat="1" ht="25.7" customHeight="1" thickBot="1" x14ac:dyDescent="0.3">
      <c r="A11" s="105">
        <v>5</v>
      </c>
      <c r="B11" s="27">
        <v>68864837</v>
      </c>
      <c r="C11" s="104" t="s">
        <v>74</v>
      </c>
      <c r="D11" s="31">
        <v>2349.7979999999998</v>
      </c>
      <c r="E11" s="31">
        <v>2351.5360000000001</v>
      </c>
      <c r="F11" s="31">
        <v>2353.23</v>
      </c>
      <c r="G11" s="31">
        <v>2354.8719999999998</v>
      </c>
      <c r="H11" s="31">
        <v>2356.5010000000002</v>
      </c>
      <c r="I11" s="31">
        <v>2357.8000000000002</v>
      </c>
      <c r="J11" s="31">
        <v>2358.8530000000001</v>
      </c>
      <c r="K11" s="31">
        <v>2361.9029999999998</v>
      </c>
      <c r="L11" s="31">
        <v>2363.6149999999998</v>
      </c>
      <c r="M11" s="31">
        <v>2365.1129999999998</v>
      </c>
      <c r="N11" s="31">
        <v>2366.915</v>
      </c>
      <c r="O11" s="31">
        <v>2368.665</v>
      </c>
      <c r="P11" s="31">
        <v>2369.12</v>
      </c>
      <c r="Q11" s="31">
        <v>2373.7359999999999</v>
      </c>
      <c r="R11" s="31">
        <v>2374.5300000000002</v>
      </c>
      <c r="S11" s="31">
        <v>2375.6</v>
      </c>
      <c r="T11" s="31">
        <v>2383.2429999999999</v>
      </c>
      <c r="U11" s="31">
        <v>2386.2089999999998</v>
      </c>
      <c r="V11" s="31">
        <v>2389.77</v>
      </c>
      <c r="W11" s="31">
        <v>2391.1030000000001</v>
      </c>
      <c r="X11" s="31">
        <v>2393.2530000000002</v>
      </c>
      <c r="Y11" s="31">
        <v>2394.652</v>
      </c>
      <c r="Z11" s="31">
        <v>2395.7260000000001</v>
      </c>
      <c r="AA11" s="31">
        <v>2397.1559999999999</v>
      </c>
      <c r="AB11" s="31">
        <v>2398.0680000000002</v>
      </c>
      <c r="AC11" s="31">
        <v>2399.6619999999998</v>
      </c>
      <c r="AD11" s="31">
        <v>2401.5520000000001</v>
      </c>
      <c r="AE11" s="31">
        <v>2403.8580000000002</v>
      </c>
      <c r="AF11" s="31">
        <v>2406.279</v>
      </c>
      <c r="AG11" s="31">
        <v>2408.817</v>
      </c>
      <c r="AH11" s="31">
        <v>2410.52</v>
      </c>
      <c r="AI11" s="31">
        <v>2412.2449999999999</v>
      </c>
    </row>
    <row r="12" spans="1:42" s="8" customFormat="1" ht="25.7" customHeight="1" thickBot="1" x14ac:dyDescent="0.3">
      <c r="A12" s="106"/>
      <c r="B12" s="48"/>
      <c r="C12" s="104"/>
      <c r="D12" s="33"/>
      <c r="E12" s="33">
        <f>E11-D11</f>
        <v>1.7380000000002838</v>
      </c>
      <c r="F12" s="33">
        <f t="shared" ref="F12:AI12" si="3">F11-E11</f>
        <v>1.69399999999996</v>
      </c>
      <c r="G12" s="33">
        <f t="shared" si="3"/>
        <v>1.6419999999998254</v>
      </c>
      <c r="H12" s="33">
        <f t="shared" si="3"/>
        <v>1.6290000000003602</v>
      </c>
      <c r="I12" s="33">
        <f t="shared" si="3"/>
        <v>1.2989999999999782</v>
      </c>
      <c r="J12" s="33">
        <f t="shared" si="3"/>
        <v>1.0529999999998836</v>
      </c>
      <c r="K12" s="33">
        <f t="shared" si="3"/>
        <v>3.0499999999997272</v>
      </c>
      <c r="L12" s="33">
        <f t="shared" si="3"/>
        <v>1.7119999999999891</v>
      </c>
      <c r="M12" s="33">
        <f t="shared" si="3"/>
        <v>1.4980000000000473</v>
      </c>
      <c r="N12" s="33">
        <f t="shared" si="3"/>
        <v>1.8020000000001346</v>
      </c>
      <c r="O12" s="33">
        <f t="shared" si="3"/>
        <v>1.75</v>
      </c>
      <c r="P12" s="33">
        <f t="shared" si="3"/>
        <v>0.45499999999992724</v>
      </c>
      <c r="Q12" s="33">
        <f t="shared" si="3"/>
        <v>4.6159999999999854</v>
      </c>
      <c r="R12" s="33">
        <f t="shared" si="3"/>
        <v>0.79400000000032378</v>
      </c>
      <c r="S12" s="33">
        <f t="shared" si="3"/>
        <v>1.069999999999709</v>
      </c>
      <c r="T12" s="33">
        <f t="shared" si="3"/>
        <v>7.6430000000000291</v>
      </c>
      <c r="U12" s="33">
        <f t="shared" si="3"/>
        <v>2.9659999999998945</v>
      </c>
      <c r="V12" s="33">
        <f t="shared" si="3"/>
        <v>3.5610000000001492</v>
      </c>
      <c r="W12" s="33">
        <f t="shared" si="3"/>
        <v>1.3330000000000837</v>
      </c>
      <c r="X12" s="33">
        <f t="shared" si="3"/>
        <v>2.1500000000000909</v>
      </c>
      <c r="Y12" s="33">
        <f t="shared" si="3"/>
        <v>1.3989999999998872</v>
      </c>
      <c r="Z12" s="33">
        <f t="shared" si="3"/>
        <v>1.0740000000000691</v>
      </c>
      <c r="AA12" s="33">
        <f t="shared" si="3"/>
        <v>1.4299999999998363</v>
      </c>
      <c r="AB12" s="33">
        <f t="shared" si="3"/>
        <v>0.91200000000026193</v>
      </c>
      <c r="AC12" s="33">
        <f t="shared" si="3"/>
        <v>1.5939999999995962</v>
      </c>
      <c r="AD12" s="33">
        <f t="shared" si="3"/>
        <v>1.8900000000003274</v>
      </c>
      <c r="AE12" s="33">
        <f t="shared" si="3"/>
        <v>2.30600000000004</v>
      </c>
      <c r="AF12" s="33">
        <f t="shared" si="3"/>
        <v>2.4209999999998217</v>
      </c>
      <c r="AG12" s="33">
        <f t="shared" si="3"/>
        <v>2.5380000000000109</v>
      </c>
      <c r="AH12" s="33">
        <f t="shared" si="3"/>
        <v>1.7029999999999745</v>
      </c>
      <c r="AI12" s="33">
        <f t="shared" si="3"/>
        <v>1.7249999999999091</v>
      </c>
    </row>
    <row r="13" spans="1:42" s="8" customFormat="1" ht="25.7" customHeight="1" thickBot="1" x14ac:dyDescent="0.3">
      <c r="A13" s="105">
        <v>6</v>
      </c>
      <c r="B13" s="27">
        <v>65296485</v>
      </c>
      <c r="C13" s="104" t="s">
        <v>73</v>
      </c>
      <c r="D13" s="31">
        <v>2980.3130000000001</v>
      </c>
      <c r="E13" s="31">
        <v>2981.55</v>
      </c>
      <c r="F13" s="31">
        <v>2982.777</v>
      </c>
      <c r="G13" s="31">
        <v>2984.6170000000002</v>
      </c>
      <c r="H13" s="31">
        <v>2986.5619999999999</v>
      </c>
      <c r="I13" s="31">
        <v>2987.65</v>
      </c>
      <c r="J13" s="31">
        <v>2988.9609999999998</v>
      </c>
      <c r="K13" s="31">
        <v>2991.65</v>
      </c>
      <c r="L13" s="31">
        <v>2992.701</v>
      </c>
      <c r="M13" s="31">
        <v>2993.6579999999999</v>
      </c>
      <c r="N13" s="31">
        <v>2996.1529999999998</v>
      </c>
      <c r="O13" s="31">
        <v>2997.7269999999999</v>
      </c>
      <c r="P13" s="31">
        <v>2998.55</v>
      </c>
      <c r="Q13" s="31">
        <v>3005.7689999999998</v>
      </c>
      <c r="R13" s="31">
        <v>3006.951</v>
      </c>
      <c r="S13" s="31">
        <v>3009.6</v>
      </c>
      <c r="T13" s="31">
        <v>3010.317</v>
      </c>
      <c r="U13" s="31">
        <v>3011.2750000000001</v>
      </c>
      <c r="V13" s="31">
        <v>3014.7919999999999</v>
      </c>
      <c r="W13" s="31">
        <v>3015.9070000000002</v>
      </c>
      <c r="X13" s="31">
        <v>3016.7469999999998</v>
      </c>
      <c r="Y13" s="31">
        <v>3019.2310000000002</v>
      </c>
      <c r="Z13" s="31">
        <v>3026.585</v>
      </c>
      <c r="AA13" s="31">
        <v>3027.5340000000001</v>
      </c>
      <c r="AB13" s="31">
        <v>3028.35</v>
      </c>
      <c r="AC13" s="31">
        <v>3030.3530000000001</v>
      </c>
      <c r="AD13" s="31">
        <v>3034.0459999999998</v>
      </c>
      <c r="AE13" s="31">
        <v>3035.15</v>
      </c>
      <c r="AF13" s="31">
        <v>3036.8919999999998</v>
      </c>
      <c r="AG13" s="31">
        <v>3043.3560000000002</v>
      </c>
      <c r="AH13" s="31">
        <v>3049.3919999999998</v>
      </c>
      <c r="AI13" s="31">
        <v>3054.42</v>
      </c>
    </row>
    <row r="14" spans="1:42" s="8" customFormat="1" ht="25.7" customHeight="1" thickBot="1" x14ac:dyDescent="0.3">
      <c r="A14" s="106"/>
      <c r="B14" s="48"/>
      <c r="C14" s="104"/>
      <c r="D14" s="33"/>
      <c r="E14" s="33">
        <f>E13-D13</f>
        <v>1.23700000000008</v>
      </c>
      <c r="F14" s="33">
        <f t="shared" ref="F14:AI14" si="4">F13-E13</f>
        <v>1.2269999999998618</v>
      </c>
      <c r="G14" s="33">
        <f t="shared" si="4"/>
        <v>1.8400000000001455</v>
      </c>
      <c r="H14" s="33">
        <f t="shared" si="4"/>
        <v>1.944999999999709</v>
      </c>
      <c r="I14" s="33">
        <f t="shared" si="4"/>
        <v>1.0880000000001928</v>
      </c>
      <c r="J14" s="33">
        <f t="shared" si="4"/>
        <v>1.3109999999996944</v>
      </c>
      <c r="K14" s="33">
        <f t="shared" si="4"/>
        <v>2.6890000000003056</v>
      </c>
      <c r="L14" s="33">
        <f t="shared" si="4"/>
        <v>1.0509999999999309</v>
      </c>
      <c r="M14" s="33">
        <f t="shared" si="4"/>
        <v>0.95699999999987995</v>
      </c>
      <c r="N14" s="33">
        <f t="shared" si="4"/>
        <v>2.4949999999998909</v>
      </c>
      <c r="O14" s="33">
        <f t="shared" si="4"/>
        <v>1.5740000000000691</v>
      </c>
      <c r="P14" s="33">
        <f t="shared" si="4"/>
        <v>0.82300000000032014</v>
      </c>
      <c r="Q14" s="33">
        <f t="shared" si="4"/>
        <v>7.2189999999995962</v>
      </c>
      <c r="R14" s="33">
        <f t="shared" si="4"/>
        <v>1.1820000000002437</v>
      </c>
      <c r="S14" s="33">
        <f t="shared" si="4"/>
        <v>2.6489999999998872</v>
      </c>
      <c r="T14" s="33">
        <f t="shared" si="4"/>
        <v>0.71700000000009823</v>
      </c>
      <c r="U14" s="33">
        <f t="shared" si="4"/>
        <v>0.95800000000008367</v>
      </c>
      <c r="V14" s="33">
        <f t="shared" si="4"/>
        <v>3.5169999999998254</v>
      </c>
      <c r="W14" s="33">
        <f t="shared" si="4"/>
        <v>1.1150000000002365</v>
      </c>
      <c r="X14" s="33">
        <f t="shared" si="4"/>
        <v>0.83999999999969077</v>
      </c>
      <c r="Y14" s="33">
        <f t="shared" si="4"/>
        <v>2.4840000000003783</v>
      </c>
      <c r="Z14" s="33">
        <f t="shared" si="4"/>
        <v>7.3539999999998145</v>
      </c>
      <c r="AA14" s="33">
        <f t="shared" si="4"/>
        <v>0.94900000000006912</v>
      </c>
      <c r="AB14" s="33">
        <f t="shared" si="4"/>
        <v>0.81599999999980355</v>
      </c>
      <c r="AC14" s="33">
        <f t="shared" si="4"/>
        <v>2.0030000000001564</v>
      </c>
      <c r="AD14" s="33">
        <f t="shared" si="4"/>
        <v>3.6929999999997563</v>
      </c>
      <c r="AE14" s="33">
        <f t="shared" si="4"/>
        <v>1.1040000000002692</v>
      </c>
      <c r="AF14" s="33">
        <f t="shared" si="4"/>
        <v>1.7419999999997344</v>
      </c>
      <c r="AG14" s="33">
        <f t="shared" si="4"/>
        <v>6.4640000000003965</v>
      </c>
      <c r="AH14" s="33">
        <f t="shared" si="4"/>
        <v>6.0359999999996035</v>
      </c>
      <c r="AI14" s="33">
        <f t="shared" si="4"/>
        <v>5.0280000000002474</v>
      </c>
      <c r="AJ14" s="2"/>
      <c r="AK14" s="2"/>
      <c r="AL14" s="2"/>
      <c r="AM14" s="2"/>
      <c r="AN14" s="2"/>
      <c r="AO14" s="2"/>
      <c r="AP14" s="2"/>
    </row>
    <row r="15" spans="1:42" ht="33" customHeight="1" x14ac:dyDescent="0.25">
      <c r="B15" s="98" t="s">
        <v>71</v>
      </c>
      <c r="C15" s="98"/>
      <c r="D15" s="50"/>
      <c r="E15" s="63">
        <f>E6+((E8*45%)+(E10*45%)+(E12+E14))</f>
        <v>298.85500000001082</v>
      </c>
      <c r="F15" s="63">
        <f t="shared" ref="F15:AI15" si="5">F6+((F8*45%)+(F10*45%)+(F12+F14))</f>
        <v>210.77099999999982</v>
      </c>
      <c r="G15" s="63">
        <f t="shared" si="5"/>
        <v>247.23199999999997</v>
      </c>
      <c r="H15" s="63">
        <f t="shared" si="5"/>
        <v>266.67400000000009</v>
      </c>
      <c r="I15" s="63">
        <f t="shared" si="5"/>
        <v>270.47199999999492</v>
      </c>
      <c r="J15" s="63">
        <f t="shared" si="5"/>
        <v>284.35400000000482</v>
      </c>
      <c r="K15" s="63">
        <f t="shared" si="5"/>
        <v>229.08399999998954</v>
      </c>
      <c r="L15" s="63">
        <f t="shared" si="5"/>
        <v>266.60800000001564</v>
      </c>
      <c r="M15" s="63">
        <f t="shared" si="5"/>
        <v>282.5599999999842</v>
      </c>
      <c r="N15" s="63">
        <f t="shared" si="5"/>
        <v>271.17200000000003</v>
      </c>
      <c r="O15" s="63">
        <f t="shared" si="5"/>
        <v>292.20400000001052</v>
      </c>
      <c r="P15" s="63">
        <f t="shared" si="5"/>
        <v>327.39300000000549</v>
      </c>
      <c r="Q15" s="63">
        <f t="shared" si="5"/>
        <v>285.78499999999957</v>
      </c>
      <c r="R15" s="63">
        <f t="shared" si="5"/>
        <v>235.73099999998485</v>
      </c>
      <c r="S15" s="63">
        <f t="shared" si="5"/>
        <v>307.74900000001008</v>
      </c>
      <c r="T15" s="63">
        <f t="shared" si="5"/>
        <v>313.70499999998964</v>
      </c>
      <c r="U15" s="63">
        <f t="shared" si="5"/>
        <v>278.93900000000519</v>
      </c>
      <c r="V15" s="63">
        <f t="shared" si="5"/>
        <v>338.88799999999475</v>
      </c>
      <c r="W15" s="63">
        <f t="shared" si="5"/>
        <v>300.63800000000555</v>
      </c>
      <c r="X15" s="63">
        <f t="shared" si="5"/>
        <v>307.36000000001548</v>
      </c>
      <c r="Y15" s="63">
        <f t="shared" si="5"/>
        <v>283.792999999995</v>
      </c>
      <c r="Z15" s="63">
        <f t="shared" si="5"/>
        <v>262.90299999999991</v>
      </c>
      <c r="AA15" s="63">
        <f t="shared" si="5"/>
        <v>234.56399999999468</v>
      </c>
      <c r="AB15" s="63">
        <f t="shared" si="5"/>
        <v>309.9229999999896</v>
      </c>
      <c r="AC15" s="63">
        <f t="shared" si="5"/>
        <v>299.54200000001549</v>
      </c>
      <c r="AD15" s="63">
        <f t="shared" si="5"/>
        <v>338.42300000000535</v>
      </c>
      <c r="AE15" s="63">
        <f t="shared" si="5"/>
        <v>279.29499999999507</v>
      </c>
      <c r="AF15" s="63">
        <f t="shared" si="5"/>
        <v>312.84299999998382</v>
      </c>
      <c r="AG15" s="63">
        <f t="shared" si="5"/>
        <v>302.26200000002137</v>
      </c>
      <c r="AH15" s="63">
        <f t="shared" si="5"/>
        <v>349.64899999999432</v>
      </c>
      <c r="AI15" s="63">
        <f t="shared" si="5"/>
        <v>311.42299999998966</v>
      </c>
    </row>
    <row r="16" spans="1:42" ht="33" customHeight="1" x14ac:dyDescent="0.25">
      <c r="B16" s="97" t="s">
        <v>72</v>
      </c>
      <c r="C16" s="97"/>
      <c r="D16" s="50"/>
      <c r="E16" s="63">
        <f>SUM(E15:AI15)</f>
        <v>8900.7940000000053</v>
      </c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</row>
    <row r="21" s="2" customFormat="1" ht="70.5" customHeight="1" x14ac:dyDescent="0.25"/>
    <row r="22" s="2" customFormat="1" ht="70.5" customHeight="1" x14ac:dyDescent="0.25"/>
    <row r="23" s="2" customFormat="1" ht="70.5" customHeight="1" x14ac:dyDescent="0.25"/>
    <row r="24" s="2" customFormat="1" ht="70.5" customHeight="1" x14ac:dyDescent="0.25"/>
    <row r="25" s="2" customFormat="1" ht="70.5" customHeight="1" x14ac:dyDescent="0.25"/>
    <row r="26" s="2" customFormat="1" ht="70.5" customHeight="1" x14ac:dyDescent="0.25"/>
    <row r="27" s="2" customFormat="1" ht="70.5" customHeight="1" x14ac:dyDescent="0.25"/>
    <row r="28" s="2" customFormat="1" ht="70.5" customHeight="1" x14ac:dyDescent="0.25"/>
    <row r="29" s="2" customFormat="1" ht="70.5" customHeight="1" x14ac:dyDescent="0.25"/>
  </sheetData>
  <mergeCells count="14">
    <mergeCell ref="B16:C16"/>
    <mergeCell ref="B15:C15"/>
    <mergeCell ref="B2:AI2"/>
    <mergeCell ref="B3:AI3"/>
    <mergeCell ref="A5:A6"/>
    <mergeCell ref="C5:C6"/>
    <mergeCell ref="A9:A10"/>
    <mergeCell ref="C9:C10"/>
    <mergeCell ref="A11:A12"/>
    <mergeCell ref="C11:C12"/>
    <mergeCell ref="A13:A14"/>
    <mergeCell ref="C13:C14"/>
    <mergeCell ref="A7:A8"/>
    <mergeCell ref="C7:C8"/>
  </mergeCells>
  <phoneticPr fontId="30" type="noConversion"/>
  <printOptions horizontalCentered="1" verticalCentered="1"/>
  <pageMargins left="0.25" right="0.25" top="0.75" bottom="0.75" header="0.3" footer="0.3"/>
  <pageSetup paperSize="8" scale="49" orientation="landscape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35B19-7E3F-48ED-B7AD-3E9E86FFAF8F}">
  <dimension ref="A1:C34"/>
  <sheetViews>
    <sheetView tabSelected="1" topLeftCell="A13" zoomScaleNormal="100" workbookViewId="0">
      <selection activeCell="C33" sqref="C33"/>
    </sheetView>
  </sheetViews>
  <sheetFormatPr defaultRowHeight="15" x14ac:dyDescent="0.25"/>
  <cols>
    <col min="1" max="1" width="12.7109375" customWidth="1"/>
    <col min="2" max="2" width="17.42578125" customWidth="1"/>
    <col min="3" max="3" width="18" customWidth="1"/>
  </cols>
  <sheetData>
    <row r="1" spans="1:3" ht="35.25" customHeight="1" x14ac:dyDescent="0.25">
      <c r="A1" s="107" t="s">
        <v>95</v>
      </c>
      <c r="B1" s="107"/>
      <c r="C1" s="107"/>
    </row>
    <row r="2" spans="1:3" ht="24.95" customHeight="1" x14ac:dyDescent="0.25">
      <c r="A2" s="65" t="s">
        <v>93</v>
      </c>
      <c r="B2" s="65" t="s">
        <v>91</v>
      </c>
      <c r="C2" s="65" t="s">
        <v>92</v>
      </c>
    </row>
    <row r="3" spans="1:3" ht="24.95" customHeight="1" x14ac:dyDescent="0.25">
      <c r="A3" s="66">
        <v>45627</v>
      </c>
      <c r="B3" s="67">
        <v>414</v>
      </c>
      <c r="C3" s="67">
        <v>613</v>
      </c>
    </row>
    <row r="4" spans="1:3" ht="24.95" customHeight="1" x14ac:dyDescent="0.25">
      <c r="A4" s="66">
        <v>45628</v>
      </c>
      <c r="B4" s="67">
        <v>464</v>
      </c>
      <c r="C4" s="67">
        <v>619</v>
      </c>
    </row>
    <row r="5" spans="1:3" ht="24.95" customHeight="1" x14ac:dyDescent="0.25">
      <c r="A5" s="66">
        <v>45629</v>
      </c>
      <c r="B5" s="67">
        <v>451</v>
      </c>
      <c r="C5" s="67">
        <v>551</v>
      </c>
    </row>
    <row r="6" spans="1:3" ht="24.95" customHeight="1" x14ac:dyDescent="0.25">
      <c r="A6" s="66">
        <v>45630</v>
      </c>
      <c r="B6" s="67">
        <v>412</v>
      </c>
      <c r="C6" s="67">
        <v>496</v>
      </c>
    </row>
    <row r="7" spans="1:3" ht="24.95" customHeight="1" x14ac:dyDescent="0.25">
      <c r="A7" s="66">
        <v>45631</v>
      </c>
      <c r="B7" s="67">
        <v>465</v>
      </c>
      <c r="C7" s="67">
        <v>542</v>
      </c>
    </row>
    <row r="8" spans="1:3" ht="24.95" customHeight="1" x14ac:dyDescent="0.25">
      <c r="A8" s="66">
        <v>45632</v>
      </c>
      <c r="B8" s="67">
        <v>474</v>
      </c>
      <c r="C8" s="67">
        <v>567</v>
      </c>
    </row>
    <row r="9" spans="1:3" ht="24.95" customHeight="1" x14ac:dyDescent="0.25">
      <c r="A9" s="66">
        <v>45633</v>
      </c>
      <c r="B9" s="67">
        <v>485</v>
      </c>
      <c r="C9" s="67">
        <v>595</v>
      </c>
    </row>
    <row r="10" spans="1:3" ht="24.95" customHeight="1" x14ac:dyDescent="0.25">
      <c r="A10" s="66">
        <v>45634</v>
      </c>
      <c r="B10" s="67">
        <v>476</v>
      </c>
      <c r="C10" s="67">
        <v>567</v>
      </c>
    </row>
    <row r="11" spans="1:3" ht="24.95" customHeight="1" x14ac:dyDescent="0.25">
      <c r="A11" s="66">
        <v>45635</v>
      </c>
      <c r="B11" s="67">
        <v>461</v>
      </c>
      <c r="C11" s="67">
        <v>566</v>
      </c>
    </row>
    <row r="12" spans="1:3" ht="24.95" customHeight="1" x14ac:dyDescent="0.25">
      <c r="A12" s="66">
        <v>45636</v>
      </c>
      <c r="B12" s="67">
        <v>464</v>
      </c>
      <c r="C12" s="67">
        <v>608</v>
      </c>
    </row>
    <row r="13" spans="1:3" ht="24.95" customHeight="1" x14ac:dyDescent="0.25">
      <c r="A13" s="66">
        <v>45637</v>
      </c>
      <c r="B13" s="67">
        <v>467</v>
      </c>
      <c r="C13" s="67">
        <v>639</v>
      </c>
    </row>
    <row r="14" spans="1:3" ht="24.95" customHeight="1" x14ac:dyDescent="0.25">
      <c r="A14" s="66">
        <v>45638</v>
      </c>
      <c r="B14" s="67">
        <v>455</v>
      </c>
      <c r="C14" s="67">
        <v>657</v>
      </c>
    </row>
    <row r="15" spans="1:3" ht="24.95" customHeight="1" x14ac:dyDescent="0.25">
      <c r="A15" s="66">
        <v>45639</v>
      </c>
      <c r="B15" s="67">
        <v>379</v>
      </c>
      <c r="C15" s="67">
        <v>553</v>
      </c>
    </row>
    <row r="16" spans="1:3" ht="24.95" customHeight="1" x14ac:dyDescent="0.25">
      <c r="A16" s="66">
        <v>45640</v>
      </c>
      <c r="B16" s="67">
        <v>409</v>
      </c>
      <c r="C16" s="67">
        <v>581</v>
      </c>
    </row>
    <row r="17" spans="1:3" ht="24.95" customHeight="1" x14ac:dyDescent="0.25">
      <c r="A17" s="66">
        <v>45641</v>
      </c>
      <c r="B17" s="67">
        <v>444</v>
      </c>
      <c r="C17" s="67">
        <v>596</v>
      </c>
    </row>
    <row r="18" spans="1:3" ht="24.95" customHeight="1" x14ac:dyDescent="0.25">
      <c r="A18" s="66">
        <v>45642</v>
      </c>
      <c r="B18" s="67">
        <v>481</v>
      </c>
      <c r="C18" s="67">
        <v>656</v>
      </c>
    </row>
    <row r="19" spans="1:3" ht="24.95" customHeight="1" x14ac:dyDescent="0.25">
      <c r="A19" s="66">
        <v>45643</v>
      </c>
      <c r="B19" s="67">
        <v>478</v>
      </c>
      <c r="C19" s="67">
        <v>684</v>
      </c>
    </row>
    <row r="20" spans="1:3" ht="24.95" customHeight="1" x14ac:dyDescent="0.25">
      <c r="A20" s="66">
        <v>45644</v>
      </c>
      <c r="B20" s="67">
        <v>478</v>
      </c>
      <c r="C20" s="67">
        <v>702</v>
      </c>
    </row>
    <row r="21" spans="1:3" ht="24.95" customHeight="1" x14ac:dyDescent="0.25">
      <c r="A21" s="66">
        <v>45645</v>
      </c>
      <c r="B21" s="67">
        <v>486</v>
      </c>
      <c r="C21" s="67">
        <v>769</v>
      </c>
    </row>
    <row r="22" spans="1:3" ht="24.95" customHeight="1" x14ac:dyDescent="0.25">
      <c r="A22" s="66">
        <v>45646</v>
      </c>
      <c r="B22" s="67">
        <v>407</v>
      </c>
      <c r="C22" s="67">
        <v>680</v>
      </c>
    </row>
    <row r="23" spans="1:3" ht="24.95" customHeight="1" x14ac:dyDescent="0.25">
      <c r="A23" s="66">
        <v>45647</v>
      </c>
      <c r="B23" s="67">
        <v>350</v>
      </c>
      <c r="C23" s="67">
        <v>566</v>
      </c>
    </row>
    <row r="24" spans="1:3" ht="24.95" customHeight="1" x14ac:dyDescent="0.25">
      <c r="A24" s="66">
        <v>45648</v>
      </c>
      <c r="B24" s="67">
        <v>348</v>
      </c>
      <c r="C24" s="67">
        <v>590</v>
      </c>
    </row>
    <row r="25" spans="1:3" ht="24.95" customHeight="1" x14ac:dyDescent="0.25">
      <c r="A25" s="66">
        <v>45649</v>
      </c>
      <c r="B25" s="67">
        <v>398</v>
      </c>
      <c r="C25" s="67">
        <v>682</v>
      </c>
    </row>
    <row r="26" spans="1:3" ht="24.95" customHeight="1" x14ac:dyDescent="0.25">
      <c r="A26" s="66">
        <v>45650</v>
      </c>
      <c r="B26" s="67">
        <v>462</v>
      </c>
      <c r="C26" s="67">
        <v>820</v>
      </c>
    </row>
    <row r="27" spans="1:3" ht="24.95" customHeight="1" x14ac:dyDescent="0.25">
      <c r="A27" s="66">
        <v>45651</v>
      </c>
      <c r="B27" s="67">
        <v>459</v>
      </c>
      <c r="C27" s="67">
        <v>813</v>
      </c>
    </row>
    <row r="28" spans="1:3" ht="24.95" customHeight="1" x14ac:dyDescent="0.25">
      <c r="A28" s="66">
        <v>45652</v>
      </c>
      <c r="B28" s="67">
        <v>460</v>
      </c>
      <c r="C28" s="67">
        <v>818</v>
      </c>
    </row>
    <row r="29" spans="1:3" ht="24.95" customHeight="1" x14ac:dyDescent="0.25">
      <c r="A29" s="66">
        <v>45653</v>
      </c>
      <c r="B29" s="67">
        <v>441</v>
      </c>
      <c r="C29" s="67">
        <v>836</v>
      </c>
    </row>
    <row r="30" spans="1:3" ht="24.95" customHeight="1" x14ac:dyDescent="0.25">
      <c r="A30" s="66">
        <v>45654</v>
      </c>
      <c r="B30" s="67">
        <v>482</v>
      </c>
      <c r="C30" s="67">
        <v>926</v>
      </c>
    </row>
    <row r="31" spans="1:3" ht="24.95" customHeight="1" x14ac:dyDescent="0.25">
      <c r="A31" s="66">
        <v>45655</v>
      </c>
      <c r="B31" s="67">
        <v>478</v>
      </c>
      <c r="C31" s="67">
        <v>902</v>
      </c>
    </row>
    <row r="32" spans="1:3" ht="24.95" customHeight="1" x14ac:dyDescent="0.25">
      <c r="A32" s="66">
        <v>45656</v>
      </c>
      <c r="B32" s="67">
        <v>442</v>
      </c>
      <c r="C32" s="67">
        <v>849</v>
      </c>
    </row>
    <row r="33" spans="1:3" ht="24.95" customHeight="1" x14ac:dyDescent="0.25">
      <c r="A33" s="66">
        <v>45657</v>
      </c>
      <c r="B33" s="67">
        <v>438</v>
      </c>
      <c r="C33" s="67">
        <v>855</v>
      </c>
    </row>
    <row r="34" spans="1:3" ht="30.75" customHeight="1" x14ac:dyDescent="0.25">
      <c r="A34" s="65" t="s">
        <v>94</v>
      </c>
      <c r="B34" s="68">
        <f>SUM(B3:B33)</f>
        <v>13808</v>
      </c>
      <c r="C34" s="68">
        <f>SUM(C3:C33)</f>
        <v>20898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Total</vt:lpstr>
      <vt:lpstr>Electricity</vt:lpstr>
      <vt:lpstr>LPG</vt:lpstr>
      <vt:lpstr>Water</vt:lpstr>
      <vt:lpstr>Occupied &amp; No. of Guest</vt:lpstr>
      <vt:lpstr>LPG!Print_Area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 Chitian</dc:creator>
  <cp:lastModifiedBy>Lesley Ann Almazan</cp:lastModifiedBy>
  <dcterms:created xsi:type="dcterms:W3CDTF">2019-05-13T11:08:30Z</dcterms:created>
  <dcterms:modified xsi:type="dcterms:W3CDTF">2025-03-13T13:44:42Z</dcterms:modified>
</cp:coreProperties>
</file>