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filterPrivacy="1" defaultThemeVersion="124226"/>
  <xr:revisionPtr revIDLastSave="0" documentId="13_ncr:1_{FC7AD4AC-FF19-4412-9C2C-02615AA83989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Total" sheetId="3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B20" i="3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G16" i="2"/>
  <c r="G17" i="2"/>
  <c r="G18" i="2"/>
  <c r="G19" i="2"/>
  <c r="G20" i="2"/>
  <c r="F16" i="2"/>
  <c r="F17" i="2"/>
  <c r="F18" i="2"/>
  <c r="F19" i="2"/>
  <c r="F20" i="2"/>
  <c r="K7" i="2"/>
  <c r="J7" i="2"/>
  <c r="F7" i="2"/>
  <c r="G7" i="2" s="1"/>
  <c r="J38" i="2" l="1"/>
  <c r="F38" i="2"/>
  <c r="J37" i="2"/>
  <c r="K37" i="2" s="1"/>
  <c r="F37" i="2"/>
  <c r="J36" i="2"/>
  <c r="F36" i="2"/>
  <c r="J35" i="2"/>
  <c r="F35" i="2"/>
  <c r="J34" i="2"/>
  <c r="F34" i="2"/>
  <c r="J33" i="2"/>
  <c r="K33" i="2" s="1"/>
  <c r="F33" i="2"/>
  <c r="C33" i="2"/>
  <c r="J32" i="2"/>
  <c r="F32" i="2"/>
  <c r="C32" i="2"/>
  <c r="J31" i="2"/>
  <c r="F31" i="2"/>
  <c r="G31" i="2" s="1"/>
  <c r="C31" i="2"/>
  <c r="J30" i="2"/>
  <c r="F30" i="2"/>
  <c r="C30" i="2"/>
  <c r="J29" i="2"/>
  <c r="F29" i="2"/>
  <c r="C29" i="2"/>
  <c r="J28" i="2"/>
  <c r="F28" i="2"/>
  <c r="C28" i="2"/>
  <c r="J27" i="2"/>
  <c r="F27" i="2"/>
  <c r="C27" i="2"/>
  <c r="J26" i="2"/>
  <c r="F26" i="2"/>
  <c r="C26" i="2"/>
  <c r="J25" i="2"/>
  <c r="F25" i="2"/>
  <c r="C25" i="2"/>
  <c r="J24" i="2"/>
  <c r="F24" i="2"/>
  <c r="C24" i="2"/>
  <c r="J23" i="2"/>
  <c r="F23" i="2"/>
  <c r="C23" i="2"/>
  <c r="J22" i="2"/>
  <c r="F22" i="2"/>
  <c r="C22" i="2"/>
  <c r="J21" i="2"/>
  <c r="F21" i="2"/>
  <c r="C21" i="2"/>
  <c r="J20" i="2"/>
  <c r="C20" i="2"/>
  <c r="J19" i="2"/>
  <c r="C19" i="2"/>
  <c r="J18" i="2"/>
  <c r="C18" i="2"/>
  <c r="J17" i="2"/>
  <c r="K17" i="2" s="1"/>
  <c r="C17" i="2"/>
  <c r="J16" i="2"/>
  <c r="C16" i="2"/>
  <c r="J15" i="2"/>
  <c r="F15" i="2"/>
  <c r="G15" i="2" s="1"/>
  <c r="C15" i="2"/>
  <c r="J14" i="2"/>
  <c r="F14" i="2"/>
  <c r="C14" i="2"/>
  <c r="J13" i="2"/>
  <c r="K13" i="2" s="1"/>
  <c r="F13" i="2"/>
  <c r="C13" i="2"/>
  <c r="J12" i="2"/>
  <c r="F12" i="2"/>
  <c r="C12" i="2"/>
  <c r="J11" i="2"/>
  <c r="F11" i="2"/>
  <c r="G11" i="2" s="1"/>
  <c r="C11" i="2"/>
  <c r="J10" i="2"/>
  <c r="K11" i="2" s="1"/>
  <c r="F10" i="2"/>
  <c r="C10" i="2"/>
  <c r="J9" i="2"/>
  <c r="F9" i="2"/>
  <c r="C9" i="2"/>
  <c r="J8" i="2"/>
  <c r="F8" i="2"/>
  <c r="C8" i="2"/>
  <c r="K27" i="2" l="1"/>
  <c r="K25" i="2"/>
  <c r="K23" i="2"/>
  <c r="K24" i="2"/>
  <c r="G23" i="2"/>
  <c r="G22" i="2"/>
  <c r="G21" i="2"/>
  <c r="K19" i="2"/>
  <c r="K15" i="2"/>
  <c r="K16" i="2"/>
  <c r="K9" i="2"/>
  <c r="K32" i="2"/>
  <c r="G9" i="2"/>
  <c r="G36" i="2"/>
  <c r="K35" i="2"/>
  <c r="K36" i="2"/>
  <c r="K38" i="2"/>
  <c r="I32" i="3" s="1"/>
  <c r="G35" i="2"/>
  <c r="G38" i="2"/>
  <c r="G25" i="2"/>
  <c r="G32" i="2"/>
  <c r="K34" i="2"/>
  <c r="G30" i="2"/>
  <c r="G13" i="2"/>
  <c r="G29" i="2"/>
  <c r="K30" i="2"/>
  <c r="K31" i="2"/>
  <c r="G34" i="2"/>
  <c r="K8" i="2"/>
  <c r="G14" i="2"/>
  <c r="G10" i="2"/>
  <c r="K12" i="2"/>
  <c r="K20" i="2"/>
  <c r="K21" i="2"/>
  <c r="G26" i="2"/>
  <c r="G27" i="2"/>
  <c r="K28" i="2"/>
  <c r="K29" i="2"/>
  <c r="G33" i="2"/>
  <c r="G8" i="2"/>
  <c r="K10" i="2"/>
  <c r="G12" i="2"/>
  <c r="K14" i="2"/>
  <c r="K18" i="2"/>
  <c r="K22" i="2"/>
  <c r="G24" i="2"/>
  <c r="K26" i="2"/>
  <c r="G28" i="2"/>
  <c r="G37" i="2"/>
  <c r="I30" i="3" l="1"/>
  <c r="I31" i="3"/>
  <c r="E30" i="3"/>
  <c r="E31" i="3"/>
  <c r="E32" i="3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</calcChain>
</file>

<file path=xl/sharedStrings.xml><?xml version="1.0" encoding="utf-8"?>
<sst xmlns="http://schemas.openxmlformats.org/spreadsheetml/2006/main" count="64" uniqueCount="32">
  <si>
    <t>Date</t>
  </si>
  <si>
    <t>Occupancy</t>
  </si>
  <si>
    <t>Electricity   (KW)</t>
  </si>
  <si>
    <t>Water     (M³)</t>
  </si>
  <si>
    <t>%</t>
  </si>
  <si>
    <t>Room</t>
  </si>
  <si>
    <t>ALT 11D100051</t>
  </si>
  <si>
    <t>ALT 11D100053</t>
  </si>
  <si>
    <t>Total</t>
  </si>
  <si>
    <t>Consum</t>
  </si>
  <si>
    <t>4010D610084</t>
  </si>
  <si>
    <t>4010D610038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</si>
  <si>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</si>
  <si>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</si>
  <si>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</si>
  <si>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</si>
  <si>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</si>
  <si>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</si>
  <si>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</si>
  <si>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</si>
  <si>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</si>
  <si>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</si>
  <si>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</si>
  <si>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</si>
  <si>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Al Rawda Arjaan</t>
  </si>
  <si>
    <t>AL RAWDA</t>
  </si>
  <si>
    <t>L.P.G</t>
  </si>
  <si>
    <t>Refill</t>
  </si>
  <si>
    <t>TANK  %</t>
  </si>
  <si>
    <t>Cons. %</t>
  </si>
  <si>
    <t>Lit</t>
  </si>
  <si>
    <t>Month : May-2025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</si>
</sst>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4">
    <font>
      <sz val="11"/>
      <color theme="1"/>
      <name val="Calibri"/>
      <family val="2"/>
      <scheme val="minor"/>
    </font>
    <font>
      <sz val="24"/>
      <color theme="1"/>
      <name val="RotanaBold"/>
      <family val="1"/>
    </font>
    <font>
      <b/>
      <sz val="16"/>
      <color theme="1"/>
      <name val="Tahoma"/>
      <family val="2"/>
    </font>
    <font>
      <i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Univers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color rgb="FFFF0000"/>
      <name val="Calibri"/>
      <family val="2"/>
      <scheme val="minor"/>
    </font>
    <font>
      <sz val="10"/>
      <color theme="1"/>
      <name val="Univers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double">
        <color auto="1"/>
      </right>
      <top/>
      <bottom/>
      <diagonal/>
    </border>
  </borders>
  <cellStyleXfs count="2">
    <xf numFmtId="0" fontId="0" fillId="0" borderId="0"/>
    <xf numFmtId="0" fontId="7" fillId="0" borderId="0"/>
  </cellStyleXfs>
  <cellXfs count="94">
    <xf numFmtId="0" fontId="0" fillId="0" borderId="0" xfId="0"/>
    <xf numFmtId="14" fontId="3" fillId="4" borderId="3" xfId="0" applyNumberFormat="1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4" fillId="4" borderId="15" xfId="0" applyFont="1" applyFill="1" applyBorder="1" applyAlignment="1">
      <alignment horizontal="center" vertical="center"/>
    </xf>
    <xf numFmtId="1" fontId="4" fillId="4" borderId="16" xfId="0" applyNumberFormat="1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4" fillId="4" borderId="20" xfId="0" applyFont="1" applyFill="1" applyBorder="1" applyAlignment="1">
      <alignment horizontal="center" vertical="center"/>
    </xf>
    <xf numFmtId="1" fontId="4" fillId="4" borderId="21" xfId="0" applyNumberFormat="1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vertical="center"/>
    </xf>
    <xf numFmtId="0" fontId="4" fillId="3" borderId="23" xfId="0" applyFont="1" applyFill="1" applyBorder="1" applyAlignment="1">
      <alignment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1" fontId="6" fillId="2" borderId="12" xfId="0" applyNumberFormat="1" applyFont="1" applyFill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 vertical="center"/>
    </xf>
    <xf numFmtId="1" fontId="5" fillId="2" borderId="10" xfId="0" applyNumberFormat="1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" fontId="5" fillId="0" borderId="27" xfId="0" applyNumberFormat="1" applyFont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9" fillId="0" borderId="29" xfId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 wrapText="1"/>
    </xf>
    <xf numFmtId="2" fontId="10" fillId="0" borderId="29" xfId="1" applyNumberFormat="1" applyFont="1" applyBorder="1" applyAlignment="1">
      <alignment horizontal="center" vertical="center" wrapText="1"/>
    </xf>
    <xf numFmtId="0" fontId="10" fillId="0" borderId="29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11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1" fontId="7" fillId="0" borderId="0" xfId="1" applyNumberFormat="1" applyAlignment="1">
      <alignment horizontal="center"/>
    </xf>
    <xf numFmtId="2" fontId="8" fillId="0" borderId="0" xfId="1" applyNumberFormat="1" applyFont="1" applyAlignment="1">
      <alignment horizontal="center"/>
    </xf>
    <xf numFmtId="164" fontId="8" fillId="0" borderId="0" xfId="1" applyNumberFormat="1" applyFont="1" applyAlignment="1">
      <alignment horizontal="center"/>
    </xf>
    <xf numFmtId="0" fontId="7" fillId="0" borderId="0" xfId="1" applyAlignment="1">
      <alignment horizontal="center"/>
    </xf>
    <xf numFmtId="0" fontId="9" fillId="0" borderId="0" xfId="1" applyFont="1"/>
    <xf numFmtId="0" fontId="8" fillId="0" borderId="0" xfId="1" applyFont="1" applyAlignment="1">
      <alignment horizontal="center"/>
    </xf>
    <xf numFmtId="0" fontId="7" fillId="0" borderId="0" xfId="1"/>
    <xf numFmtId="0" fontId="4" fillId="7" borderId="9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32" xfId="0" applyFont="1" applyFill="1" applyBorder="1" applyAlignment="1">
      <alignment horizontal="center" vertical="center"/>
    </xf>
    <xf numFmtId="1" fontId="6" fillId="2" borderId="10" xfId="0" applyNumberFormat="1" applyFont="1" applyFill="1" applyBorder="1" applyAlignment="1">
      <alignment horizontal="center" vertical="center" wrapText="1"/>
    </xf>
    <xf numFmtId="1" fontId="5" fillId="0" borderId="33" xfId="0" applyNumberFormat="1" applyFont="1" applyBorder="1" applyAlignment="1">
      <alignment horizontal="center" vertical="center"/>
    </xf>
    <xf numFmtId="1" fontId="5" fillId="0" borderId="34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" fontId="6" fillId="2" borderId="13" xfId="0" applyNumberFormat="1" applyFont="1" applyFill="1" applyBorder="1" applyAlignment="1">
      <alignment horizontal="center" vertical="center" wrapText="1"/>
    </xf>
    <xf numFmtId="0" fontId="0" fillId="0" borderId="11" xfId="0" applyBorder="1"/>
    <xf numFmtId="1" fontId="13" fillId="2" borderId="12" xfId="0" applyNumberFormat="1" applyFont="1" applyFill="1" applyBorder="1" applyAlignment="1">
      <alignment horizontal="center" vertical="center" wrapText="1"/>
    </xf>
    <xf numFmtId="1" fontId="6" fillId="2" borderId="32" xfId="0" applyNumberFormat="1" applyFont="1" applyFill="1" applyBorder="1" applyAlignment="1">
      <alignment horizontal="center" vertical="center" wrapText="1"/>
    </xf>
    <xf numFmtId="1" fontId="6" fillId="8" borderId="11" xfId="0" applyNumberFormat="1" applyFont="1" applyFill="1" applyBorder="1" applyAlignment="1">
      <alignment horizontal="center" vertical="center" wrapText="1"/>
    </xf>
    <xf numFmtId="1" fontId="6" fillId="8" borderId="12" xfId="0" applyNumberFormat="1" applyFont="1" applyFill="1" applyBorder="1" applyAlignment="1">
      <alignment horizontal="center" vertical="center" wrapText="1"/>
    </xf>
    <xf numFmtId="1" fontId="7" fillId="8" borderId="0" xfId="1" applyNumberFormat="1" applyFill="1" applyAlignment="1">
      <alignment horizontal="center"/>
    </xf>
    <xf numFmtId="1" fontId="13" fillId="8" borderId="11" xfId="0" applyNumberFormat="1" applyFont="1" applyFill="1" applyBorder="1" applyAlignment="1">
      <alignment horizontal="center" vertical="center" wrapText="1"/>
    </xf>
    <xf numFmtId="1" fontId="6" fillId="8" borderId="11" xfId="0" applyNumberFormat="1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/>
    </xf>
    <xf numFmtId="1" fontId="13" fillId="8" borderId="12" xfId="0" applyNumberFormat="1" applyFont="1" applyFill="1" applyBorder="1" applyAlignment="1">
      <alignment horizontal="center" vertical="center" wrapText="1"/>
    </xf>
    <xf numFmtId="1" fontId="6" fillId="8" borderId="22" xfId="0" applyNumberFormat="1" applyFont="1" applyFill="1" applyBorder="1" applyAlignment="1">
      <alignment horizontal="center" vertical="center" wrapText="1"/>
    </xf>
    <xf numFmtId="1" fontId="6" fillId="8" borderId="28" xfId="0" applyNumberFormat="1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4" fillId="7" borderId="30" xfId="0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C023B2DE-09C1-4C98-B021-C97069023967}"/>
  </cellStyles>
  <dxfs count="0"/>
  <tableStyles count="0" defaultTableStyle="TableStyleMedium2" defaultPivotStyle="PivotStyleMedium9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AE54-0573-4C70-B026-2477D99B0A39}">
  <dimension ref="A1:X33"/>
  <sheetViews>
    <sheetView topLeftCell="A4" workbookViewId="0">
      <selection activeCell="L22" sqref="L22"/>
    </sheetView>
  </sheetViews>
  <sheetFormatPr defaultColWidth="11.5703125" defaultRowHeight="15"/>
  <cols>
    <col min="1" max="1" width="29.140625" style="43" bestFit="1" customWidth="1"/>
    <col min="2" max="3" width="11.5703125" style="38"/>
    <col min="4" max="4" width="13.42578125" style="38" customWidth="1"/>
    <col min="5" max="5" width="12.5703125" style="42" customWidth="1"/>
    <col min="6" max="6" width="12.5703125" style="40" customWidth="1"/>
    <col min="7" max="7" width="11.5703125" style="42"/>
    <col min="8" max="8" width="11.5703125" style="40"/>
    <col min="9" max="9" width="11.5703125" style="42"/>
    <col min="10" max="10" width="11.5703125" style="44"/>
    <col min="11" max="24" width="11.5703125" style="42"/>
    <col min="25" max="16384" width="11.5703125" style="45"/>
  </cols>
  <sheetData>
    <row r="1" spans="1:12" s="36" customFormat="1" ht="60">
      <c r="A1" s="32" t="s">
        <v>12</v>
      </c>
      <c r="B1" s="32" t="s">
        <v>13</v>
      </c>
      <c r="C1" s="32" t="s">
        <v>14</v>
      </c>
      <c r="D1" s="32" t="s">
        <v>15</v>
      </c>
      <c r="E1" s="33" t="s">
        <v>16</v>
      </c>
      <c r="F1" s="34" t="s">
        <v>17</v>
      </c>
      <c r="G1" s="33" t="s">
        <v>18</v>
      </c>
      <c r="H1" s="34" t="s">
        <v>19</v>
      </c>
      <c r="I1" s="33" t="s">
        <v>20</v>
      </c>
      <c r="J1" s="35" t="s">
        <v>21</v>
      </c>
      <c r="K1" s="33" t="s">
        <v>22</v>
      </c>
      <c r="L1" s="33" t="s">
        <v>23</v>
      </c>
    </row>
    <row r="2" spans="1:12">
      <c r="A2" s="37" t="s">
        <v>24</v>
      </c>
      <c r="B2" s="38">
        <v>1</v>
      </c>
      <c r="C2" s="38">
        <v>5</v>
      </c>
      <c r="D2" s="38">
        <v>2025</v>
      </c>
      <c r="E2" s="39">
        <f>Sheet2!G8</f>
        <v>6386</v>
      </c>
      <c r="F2" s="40">
        <v>0.2</v>
      </c>
      <c r="G2" s="39"/>
      <c r="I2" s="39">
        <f>Sheet2!K8</f>
        <v>24</v>
      </c>
      <c r="J2" s="41">
        <v>7.84</v>
      </c>
      <c r="K2" s="61">
        <v>108</v>
      </c>
      <c r="L2" s="61">
        <v>128</v>
      </c>
    </row>
    <row r="3" spans="1:12">
      <c r="A3" s="37" t="s">
        <v>24</v>
      </c>
      <c r="B3" s="38">
        <f>B2+1</f>
        <v>2</v>
      </c>
      <c r="C3" s="38">
        <v>5</v>
      </c>
      <c r="D3" s="38">
        <v>2025</v>
      </c>
      <c r="E3" s="39">
        <f>Sheet2!G9</f>
        <v>6417</v>
      </c>
      <c r="F3" s="40">
        <v>0.2</v>
      </c>
      <c r="G3" s="39"/>
      <c r="I3" s="39">
        <f>Sheet2!K9</f>
        <v>29</v>
      </c>
      <c r="J3" s="41">
        <v>7.84</v>
      </c>
      <c r="K3" s="61">
        <v>108</v>
      </c>
      <c r="L3" s="61">
        <v>136</v>
      </c>
    </row>
    <row r="4" spans="1:12">
      <c r="A4" s="37" t="s">
        <v>24</v>
      </c>
      <c r="B4" s="38">
        <f t="shared" ref="B4:B32" si="0">B3+1</f>
        <v>3</v>
      </c>
      <c r="C4" s="38">
        <v>5</v>
      </c>
      <c r="D4" s="38">
        <v>2025</v>
      </c>
      <c r="E4" s="39">
        <f>Sheet2!G10</f>
        <v>6531</v>
      </c>
      <c r="F4" s="40">
        <v>0.2</v>
      </c>
      <c r="G4" s="39"/>
      <c r="I4" s="39">
        <f>Sheet2!K10</f>
        <v>34</v>
      </c>
      <c r="J4" s="41">
        <v>7.84</v>
      </c>
      <c r="K4" s="61">
        <v>100</v>
      </c>
      <c r="L4" s="61">
        <v>128</v>
      </c>
    </row>
    <row r="5" spans="1:12">
      <c r="A5" s="37" t="s">
        <v>24</v>
      </c>
      <c r="B5" s="38">
        <f t="shared" si="0"/>
        <v>4</v>
      </c>
      <c r="C5" s="38">
        <v>5</v>
      </c>
      <c r="D5" s="38">
        <v>2025</v>
      </c>
      <c r="E5" s="39">
        <f>Sheet2!G11</f>
        <v>6629</v>
      </c>
      <c r="F5" s="40">
        <v>0.2</v>
      </c>
      <c r="G5" s="39"/>
      <c r="I5" s="39">
        <f>Sheet2!K11</f>
        <v>33</v>
      </c>
      <c r="J5" s="41">
        <v>7.84</v>
      </c>
      <c r="K5" s="61">
        <v>87</v>
      </c>
      <c r="L5" s="61">
        <v>103</v>
      </c>
    </row>
    <row r="6" spans="1:12">
      <c r="A6" s="37" t="s">
        <v>24</v>
      </c>
      <c r="B6" s="38">
        <f t="shared" si="0"/>
        <v>5</v>
      </c>
      <c r="C6" s="38">
        <v>5</v>
      </c>
      <c r="D6" s="38">
        <v>2025</v>
      </c>
      <c r="E6" s="39">
        <f>Sheet2!G12</f>
        <v>6411</v>
      </c>
      <c r="F6" s="40">
        <v>0.2</v>
      </c>
      <c r="G6" s="39"/>
      <c r="I6" s="39">
        <f>Sheet2!K12</f>
        <v>28</v>
      </c>
      <c r="J6" s="41">
        <v>7.84</v>
      </c>
      <c r="K6" s="61">
        <v>97</v>
      </c>
      <c r="L6" s="61">
        <v>112</v>
      </c>
    </row>
    <row r="7" spans="1:12">
      <c r="A7" s="37" t="s">
        <v>24</v>
      </c>
      <c r="B7" s="38">
        <f t="shared" si="0"/>
        <v>6</v>
      </c>
      <c r="C7" s="38">
        <v>5</v>
      </c>
      <c r="D7" s="38">
        <v>2025</v>
      </c>
      <c r="E7" s="39">
        <f>Sheet2!G13</f>
        <v>6282</v>
      </c>
      <c r="F7" s="40">
        <v>0.2</v>
      </c>
      <c r="G7" s="39"/>
      <c r="I7" s="39">
        <f>Sheet2!K13</f>
        <v>19</v>
      </c>
      <c r="J7" s="41">
        <v>7.84</v>
      </c>
      <c r="K7" s="61">
        <v>100</v>
      </c>
      <c r="L7" s="61">
        <v>122</v>
      </c>
    </row>
    <row r="8" spans="1:12">
      <c r="A8" s="37" t="s">
        <v>24</v>
      </c>
      <c r="B8" s="38">
        <f t="shared" si="0"/>
        <v>7</v>
      </c>
      <c r="C8" s="38">
        <v>5</v>
      </c>
      <c r="D8" s="38">
        <v>2025</v>
      </c>
      <c r="E8" s="39">
        <f>Sheet2!G14</f>
        <v>5705</v>
      </c>
      <c r="F8" s="40">
        <v>0.2</v>
      </c>
      <c r="G8" s="39"/>
      <c r="I8" s="39">
        <f>Sheet2!K14</f>
        <v>28</v>
      </c>
      <c r="J8" s="41">
        <v>7.84</v>
      </c>
      <c r="K8" s="61">
        <v>102</v>
      </c>
      <c r="L8" s="61">
        <v>121</v>
      </c>
    </row>
    <row r="9" spans="1:12">
      <c r="A9" s="37" t="s">
        <v>24</v>
      </c>
      <c r="B9" s="38">
        <f t="shared" si="0"/>
        <v>8</v>
      </c>
      <c r="C9" s="38">
        <v>5</v>
      </c>
      <c r="D9" s="38">
        <v>2025</v>
      </c>
      <c r="E9" s="39">
        <f>Sheet2!G15</f>
        <v>5579</v>
      </c>
      <c r="F9" s="40">
        <v>0.2</v>
      </c>
      <c r="G9" s="39"/>
      <c r="I9" s="39">
        <f>Sheet2!K15</f>
        <v>26</v>
      </c>
      <c r="J9" s="41">
        <v>7.84</v>
      </c>
      <c r="K9" s="61">
        <v>94</v>
      </c>
      <c r="L9" s="61">
        <v>106</v>
      </c>
    </row>
    <row r="10" spans="1:12">
      <c r="A10" s="37" t="s">
        <v>24</v>
      </c>
      <c r="B10" s="38">
        <f t="shared" si="0"/>
        <v>9</v>
      </c>
      <c r="C10" s="38">
        <v>5</v>
      </c>
      <c r="D10" s="38">
        <v>2025</v>
      </c>
      <c r="E10" s="39">
        <f>Sheet2!G16</f>
        <v>5666</v>
      </c>
      <c r="F10" s="40">
        <v>0.2</v>
      </c>
      <c r="G10" s="39"/>
      <c r="I10" s="39">
        <f>Sheet2!K16</f>
        <v>22</v>
      </c>
      <c r="J10" s="41">
        <v>7.84</v>
      </c>
      <c r="K10" s="61">
        <v>105</v>
      </c>
      <c r="L10" s="61">
        <v>126</v>
      </c>
    </row>
    <row r="11" spans="1:12">
      <c r="A11" s="37" t="s">
        <v>24</v>
      </c>
      <c r="B11" s="38">
        <f t="shared" si="0"/>
        <v>10</v>
      </c>
      <c r="C11" s="38">
        <v>5</v>
      </c>
      <c r="D11" s="38">
        <v>2025</v>
      </c>
      <c r="E11" s="39">
        <f>Sheet2!G17</f>
        <v>5909</v>
      </c>
      <c r="F11" s="40">
        <v>0.2</v>
      </c>
      <c r="G11" s="39"/>
      <c r="I11" s="39">
        <f>Sheet2!K17</f>
        <v>28</v>
      </c>
      <c r="J11" s="41">
        <v>7.84</v>
      </c>
      <c r="K11" s="61">
        <v>103</v>
      </c>
      <c r="L11" s="61">
        <v>126</v>
      </c>
    </row>
    <row r="12" spans="1:12">
      <c r="A12" s="37" t="s">
        <v>24</v>
      </c>
      <c r="B12" s="38">
        <f t="shared" si="0"/>
        <v>11</v>
      </c>
      <c r="C12" s="38">
        <v>5</v>
      </c>
      <c r="D12" s="38">
        <v>2025</v>
      </c>
      <c r="E12" s="39">
        <f>Sheet2!G18</f>
        <v>6223</v>
      </c>
      <c r="F12" s="40">
        <v>0.2</v>
      </c>
      <c r="G12" s="39"/>
      <c r="I12" s="39">
        <f>Sheet2!K18</f>
        <v>30</v>
      </c>
      <c r="J12" s="41">
        <v>7.84</v>
      </c>
      <c r="K12" s="61">
        <v>102</v>
      </c>
      <c r="L12" s="61">
        <v>120</v>
      </c>
    </row>
    <row r="13" spans="1:12">
      <c r="A13" s="37" t="s">
        <v>24</v>
      </c>
      <c r="B13" s="38">
        <f t="shared" si="0"/>
        <v>12</v>
      </c>
      <c r="C13" s="38">
        <v>5</v>
      </c>
      <c r="D13" s="38">
        <v>2025</v>
      </c>
      <c r="E13" s="39">
        <f>Sheet2!G19</f>
        <v>6245</v>
      </c>
      <c r="F13" s="40">
        <v>0.2</v>
      </c>
      <c r="G13" s="39"/>
      <c r="I13" s="39">
        <f>Sheet2!K19</f>
        <v>29</v>
      </c>
      <c r="J13" s="41">
        <v>7.84</v>
      </c>
      <c r="K13" s="61">
        <v>101</v>
      </c>
      <c r="L13" s="61">
        <v>119</v>
      </c>
    </row>
    <row r="14" spans="1:12">
      <c r="A14" s="37" t="s">
        <v>24</v>
      </c>
      <c r="B14" s="38">
        <f t="shared" si="0"/>
        <v>13</v>
      </c>
      <c r="C14" s="38">
        <v>5</v>
      </c>
      <c r="D14" s="38">
        <v>2025</v>
      </c>
      <c r="E14" s="39">
        <f>Sheet2!G20</f>
        <v>6052</v>
      </c>
      <c r="F14" s="40">
        <v>0.2</v>
      </c>
      <c r="G14" s="39"/>
      <c r="I14" s="39">
        <f>Sheet2!K20</f>
        <v>27</v>
      </c>
      <c r="J14" s="41">
        <v>7.84</v>
      </c>
      <c r="K14" s="61">
        <v>101</v>
      </c>
      <c r="L14" s="61">
        <v>121</v>
      </c>
    </row>
    <row r="15" spans="1:12">
      <c r="A15" s="37" t="s">
        <v>24</v>
      </c>
      <c r="B15" s="38">
        <f t="shared" si="0"/>
        <v>14</v>
      </c>
      <c r="C15" s="38">
        <v>5</v>
      </c>
      <c r="D15" s="38">
        <v>2025</v>
      </c>
      <c r="E15" s="39">
        <f>Sheet2!G21</f>
        <v>6315</v>
      </c>
      <c r="F15" s="40">
        <v>0.2</v>
      </c>
      <c r="G15" s="39"/>
      <c r="I15" s="39">
        <f>Sheet2!K21</f>
        <v>20</v>
      </c>
      <c r="J15" s="41">
        <v>7.84</v>
      </c>
      <c r="K15" s="61">
        <v>100</v>
      </c>
      <c r="L15" s="61">
        <v>121</v>
      </c>
    </row>
    <row r="16" spans="1:12">
      <c r="A16" s="37" t="s">
        <v>24</v>
      </c>
      <c r="B16" s="38">
        <f t="shared" si="0"/>
        <v>15</v>
      </c>
      <c r="C16" s="38">
        <v>5</v>
      </c>
      <c r="D16" s="38">
        <v>2025</v>
      </c>
      <c r="E16" s="39">
        <f>Sheet2!G22</f>
        <v>6138</v>
      </c>
      <c r="F16" s="40">
        <v>0.2</v>
      </c>
      <c r="G16" s="39"/>
      <c r="I16" s="39">
        <f>Sheet2!K22</f>
        <v>27</v>
      </c>
      <c r="J16" s="41">
        <v>7.84</v>
      </c>
      <c r="K16" s="61">
        <v>101</v>
      </c>
      <c r="L16" s="61">
        <v>131</v>
      </c>
    </row>
    <row r="17" spans="1:12">
      <c r="A17" s="37" t="s">
        <v>24</v>
      </c>
      <c r="B17" s="38">
        <f t="shared" si="0"/>
        <v>16</v>
      </c>
      <c r="C17" s="38">
        <v>5</v>
      </c>
      <c r="D17" s="38">
        <v>2025</v>
      </c>
      <c r="E17" s="39">
        <f>Sheet2!G23</f>
        <v>6281</v>
      </c>
      <c r="F17" s="40">
        <v>0.2</v>
      </c>
      <c r="G17" s="39"/>
      <c r="I17" s="39">
        <f>Sheet2!K23</f>
        <v>27</v>
      </c>
      <c r="J17" s="41">
        <v>7.84</v>
      </c>
      <c r="K17" s="61">
        <v>99</v>
      </c>
      <c r="L17" s="61">
        <v>130</v>
      </c>
    </row>
    <row r="18" spans="1:12">
      <c r="A18" s="37" t="s">
        <v>24</v>
      </c>
      <c r="B18" s="38">
        <f t="shared" si="0"/>
        <v>17</v>
      </c>
      <c r="C18" s="38">
        <v>5</v>
      </c>
      <c r="D18" s="38">
        <v>2025</v>
      </c>
      <c r="E18" s="39">
        <f>Sheet2!G24</f>
        <v>6185</v>
      </c>
      <c r="F18" s="40">
        <v>0.2</v>
      </c>
      <c r="G18" s="39"/>
      <c r="I18" s="39">
        <f>Sheet2!K24</f>
        <v>35</v>
      </c>
      <c r="J18" s="41">
        <v>7.84</v>
      </c>
      <c r="K18" s="61">
        <v>100</v>
      </c>
      <c r="L18" s="61">
        <v>128</v>
      </c>
    </row>
    <row r="19" spans="1:12">
      <c r="A19" s="37" t="s">
        <v>24</v>
      </c>
      <c r="B19" s="38">
        <f t="shared" si="0"/>
        <v>18</v>
      </c>
      <c r="C19" s="38">
        <v>5</v>
      </c>
      <c r="D19" s="38">
        <v>2025</v>
      </c>
      <c r="E19" s="39">
        <f>Sheet2!G25</f>
        <v>6132</v>
      </c>
      <c r="F19" s="40">
        <v>0.2</v>
      </c>
      <c r="G19" s="39"/>
      <c r="I19" s="39">
        <f>Sheet2!K25</f>
        <v>28</v>
      </c>
      <c r="J19" s="41">
        <v>7.84</v>
      </c>
      <c r="K19" s="61">
        <v>108</v>
      </c>
      <c r="L19" s="61">
        <v>134</v>
      </c>
    </row>
    <row r="20" spans="1:12">
      <c r="A20" s="37" t="s">
        <v>24</v>
      </c>
      <c r="B20" s="38">
        <f t="shared" si="0"/>
        <v>19</v>
      </c>
      <c r="C20" s="38">
        <v>5</v>
      </c>
      <c r="D20" s="38">
        <v>2025</v>
      </c>
      <c r="E20" s="39">
        <f>Sheet2!G26</f>
        <v>6135</v>
      </c>
      <c r="F20" s="40">
        <v>0.2</v>
      </c>
      <c r="G20" s="39"/>
      <c r="I20" s="39">
        <f>Sheet2!K26</f>
        <v>31</v>
      </c>
      <c r="J20" s="41">
        <v>7.84</v>
      </c>
      <c r="K20" s="61">
        <v>108</v>
      </c>
      <c r="L20" s="61">
        <v>138</v>
      </c>
    </row>
    <row r="21" spans="1:12">
      <c r="A21" s="37" t="s">
        <v>24</v>
      </c>
      <c r="B21" s="38">
        <f t="shared" si="0"/>
        <v>20</v>
      </c>
      <c r="C21" s="38">
        <v>5</v>
      </c>
      <c r="D21" s="38">
        <v>2025</v>
      </c>
      <c r="E21" s="39">
        <f>Sheet2!G27</f>
        <v>6213</v>
      </c>
      <c r="F21" s="40">
        <v>0.2</v>
      </c>
      <c r="G21" s="39"/>
      <c r="I21" s="39">
        <f>Sheet2!K27</f>
        <v>28</v>
      </c>
      <c r="J21" s="41">
        <v>7.84</v>
      </c>
      <c r="K21" s="61">
        <v>108</v>
      </c>
      <c r="L21" s="61">
        <v>140</v>
      </c>
    </row>
    <row r="22" spans="1:12">
      <c r="A22" s="37" t="s">
        <v>24</v>
      </c>
      <c r="B22" s="38">
        <f t="shared" si="0"/>
        <v>21</v>
      </c>
      <c r="C22" s="38">
        <v>5</v>
      </c>
      <c r="D22" s="38">
        <v>2025</v>
      </c>
      <c r="E22" s="39">
        <f>Sheet2!G28</f>
        <v>6514</v>
      </c>
      <c r="F22" s="40">
        <v>0.2</v>
      </c>
      <c r="G22" s="39"/>
      <c r="I22" s="39">
        <f>Sheet2!K28</f>
        <v>29</v>
      </c>
      <c r="J22" s="41">
        <v>7.84</v>
      </c>
      <c r="K22" s="61"/>
      <c r="L22" s="61"/>
    </row>
    <row r="23" spans="1:12">
      <c r="A23" s="37" t="s">
        <v>24</v>
      </c>
      <c r="B23" s="38">
        <f t="shared" si="0"/>
        <v>22</v>
      </c>
      <c r="C23" s="38">
        <v>5</v>
      </c>
      <c r="D23" s="38">
        <v>2025</v>
      </c>
      <c r="E23" s="39">
        <f>Sheet2!G29</f>
        <v>-34511275</v>
      </c>
      <c r="F23" s="40">
        <v>0.2</v>
      </c>
      <c r="G23" s="39"/>
      <c r="I23" s="39">
        <f>Sheet2!K29</f>
        <v>-1794</v>
      </c>
      <c r="J23" s="41">
        <v>7.84</v>
      </c>
      <c r="K23" s="61"/>
      <c r="L23" s="61"/>
    </row>
    <row r="24" spans="1:12">
      <c r="A24" s="37" t="s">
        <v>24</v>
      </c>
      <c r="B24" s="38">
        <f t="shared" si="0"/>
        <v>23</v>
      </c>
      <c r="C24" s="38">
        <v>5</v>
      </c>
      <c r="D24" s="38">
        <v>2025</v>
      </c>
      <c r="E24" s="39">
        <f>Sheet2!G30</f>
        <v>0</v>
      </c>
      <c r="F24" s="40">
        <v>0.2</v>
      </c>
      <c r="G24" s="39"/>
      <c r="I24" s="39">
        <f>Sheet2!K30</f>
        <v>0</v>
      </c>
      <c r="J24" s="41">
        <v>7.84</v>
      </c>
      <c r="K24" s="61"/>
      <c r="L24" s="61"/>
    </row>
    <row r="25" spans="1:12">
      <c r="A25" s="37" t="s">
        <v>24</v>
      </c>
      <c r="B25" s="38">
        <f t="shared" si="0"/>
        <v>24</v>
      </c>
      <c r="C25" s="38">
        <v>5</v>
      </c>
      <c r="D25" s="38">
        <v>2025</v>
      </c>
      <c r="E25" s="39">
        <f>Sheet2!G31</f>
        <v>0</v>
      </c>
      <c r="F25" s="40">
        <v>0.2</v>
      </c>
      <c r="G25" s="39"/>
      <c r="I25" s="39">
        <f>Sheet2!K31</f>
        <v>0</v>
      </c>
      <c r="J25" s="41">
        <v>7.84</v>
      </c>
      <c r="K25" s="61"/>
      <c r="L25" s="61"/>
    </row>
    <row r="26" spans="1:12">
      <c r="A26" s="37" t="s">
        <v>24</v>
      </c>
      <c r="B26" s="38">
        <f t="shared" si="0"/>
        <v>25</v>
      </c>
      <c r="C26" s="38">
        <v>5</v>
      </c>
      <c r="D26" s="38">
        <v>2025</v>
      </c>
      <c r="E26" s="39">
        <f>Sheet2!G32</f>
        <v>0</v>
      </c>
      <c r="F26" s="40">
        <v>0.2</v>
      </c>
      <c r="G26" s="39"/>
      <c r="I26" s="39">
        <f>Sheet2!K32</f>
        <v>0</v>
      </c>
      <c r="J26" s="41">
        <v>7.84</v>
      </c>
      <c r="K26" s="61"/>
      <c r="L26" s="61"/>
    </row>
    <row r="27" spans="1:12">
      <c r="A27" s="37" t="s">
        <v>24</v>
      </c>
      <c r="B27" s="38">
        <f t="shared" si="0"/>
        <v>26</v>
      </c>
      <c r="C27" s="38">
        <v>5</v>
      </c>
      <c r="D27" s="38">
        <v>2025</v>
      </c>
      <c r="E27" s="39">
        <f>Sheet2!G33</f>
        <v>0</v>
      </c>
      <c r="F27" s="40">
        <v>0.2</v>
      </c>
      <c r="G27" s="39"/>
      <c r="I27" s="39">
        <f>Sheet2!K33</f>
        <v>0</v>
      </c>
      <c r="J27" s="41">
        <v>7.84</v>
      </c>
      <c r="K27" s="61"/>
      <c r="L27" s="61"/>
    </row>
    <row r="28" spans="1:12">
      <c r="A28" s="37" t="s">
        <v>24</v>
      </c>
      <c r="B28" s="38">
        <f t="shared" si="0"/>
        <v>27</v>
      </c>
      <c r="C28" s="38">
        <v>5</v>
      </c>
      <c r="D28" s="38">
        <v>2025</v>
      </c>
      <c r="E28" s="39">
        <f>Sheet2!G34</f>
        <v>0</v>
      </c>
      <c r="F28" s="40">
        <v>0.2</v>
      </c>
      <c r="G28" s="39"/>
      <c r="I28" s="39">
        <f>Sheet2!K34</f>
        <v>0</v>
      </c>
      <c r="J28" s="41">
        <v>7.84</v>
      </c>
      <c r="K28" s="61"/>
      <c r="L28" s="61"/>
    </row>
    <row r="29" spans="1:12">
      <c r="A29" s="37" t="s">
        <v>24</v>
      </c>
      <c r="B29" s="38">
        <f t="shared" si="0"/>
        <v>28</v>
      </c>
      <c r="C29" s="38">
        <v>5</v>
      </c>
      <c r="D29" s="38">
        <v>2025</v>
      </c>
      <c r="E29" s="39">
        <f>Sheet2!G35</f>
        <v>0</v>
      </c>
      <c r="F29" s="40">
        <v>0.2</v>
      </c>
      <c r="G29" s="39"/>
      <c r="I29" s="39">
        <f>Sheet2!K35</f>
        <v>0</v>
      </c>
      <c r="J29" s="41">
        <v>7.84</v>
      </c>
      <c r="K29" s="61"/>
      <c r="L29" s="61"/>
    </row>
    <row r="30" spans="1:12">
      <c r="A30" s="37" t="s">
        <v>24</v>
      </c>
      <c r="B30" s="38">
        <f t="shared" si="0"/>
        <v>29</v>
      </c>
      <c r="C30" s="38">
        <v>5</v>
      </c>
      <c r="D30" s="38">
        <v>2025</v>
      </c>
      <c r="E30" s="39">
        <f>Sheet2!G36</f>
        <v>0</v>
      </c>
      <c r="F30" s="40">
        <v>0.2</v>
      </c>
      <c r="G30" s="39"/>
      <c r="I30" s="39">
        <f>Sheet2!K36</f>
        <v>0</v>
      </c>
      <c r="J30" s="41">
        <v>7.84</v>
      </c>
      <c r="K30" s="61"/>
      <c r="L30" s="61"/>
    </row>
    <row r="31" spans="1:12">
      <c r="A31" s="37" t="s">
        <v>24</v>
      </c>
      <c r="B31" s="38">
        <f t="shared" si="0"/>
        <v>30</v>
      </c>
      <c r="C31" s="38">
        <v>5</v>
      </c>
      <c r="D31" s="38">
        <v>2025</v>
      </c>
      <c r="E31" s="39">
        <f>Sheet2!G37</f>
        <v>0</v>
      </c>
      <c r="F31" s="40">
        <v>0.2</v>
      </c>
      <c r="G31" s="39"/>
      <c r="I31" s="39">
        <f>Sheet2!K37</f>
        <v>0</v>
      </c>
      <c r="J31" s="41">
        <v>7.84</v>
      </c>
      <c r="K31" s="61"/>
      <c r="L31" s="61"/>
    </row>
    <row r="32" spans="1:12">
      <c r="A32" s="37" t="s">
        <v>24</v>
      </c>
      <c r="B32" s="38">
        <f t="shared" si="0"/>
        <v>31</v>
      </c>
      <c r="C32" s="38">
        <v>5</v>
      </c>
      <c r="D32" s="38">
        <v>2025</v>
      </c>
      <c r="E32" s="39">
        <f>Sheet2!G38</f>
        <v>0</v>
      </c>
      <c r="F32" s="40">
        <v>0.2</v>
      </c>
      <c r="G32" s="39"/>
      <c r="I32" s="39">
        <f>Sheet2!K38</f>
        <v>0</v>
      </c>
      <c r="J32" s="41">
        <v>7.84</v>
      </c>
      <c r="K32" s="61"/>
      <c r="L32" s="61"/>
    </row>
    <row r="33" spans="7:7">
      <c r="G33" s="3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topLeftCell="A16" zoomScaleNormal="100" workbookViewId="0">
      <selection activeCell="I29" sqref="I29"/>
    </sheetView>
  </sheetViews>
  <sheetFormatPr defaultRowHeight="15"/>
  <cols>
    <col min="1" max="1" width="5.7109375" customWidth="1"/>
    <col min="2" max="2" width="0.7109375" hidden="1" customWidth="1"/>
    <col min="3" max="3" width="9.140625" hidden="1" customWidth="1"/>
    <col min="4" max="4" width="16" customWidth="1"/>
    <col min="5" max="5" width="15.7109375" customWidth="1"/>
    <col min="6" max="6" width="12.28515625" customWidth="1"/>
    <col min="7" max="7" width="13.42578125" customWidth="1"/>
    <col min="8" max="8" width="15.28515625" customWidth="1"/>
    <col min="9" max="9" width="14" customWidth="1"/>
    <col min="10" max="11" width="10.28515625" customWidth="1"/>
    <col min="12" max="14" width="0" hidden="1" customWidth="1"/>
  </cols>
  <sheetData>
    <row r="1" spans="1:14" ht="31.5" thickBot="1">
      <c r="A1" s="84" t="s">
        <v>25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</row>
    <row r="2" spans="1:14" ht="29.25" customHeight="1" thickBot="1">
      <c r="A2" s="86" t="s">
        <v>31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</row>
    <row r="3" spans="1:14">
      <c r="A3" s="1" t="s">
        <v>0</v>
      </c>
      <c r="B3" s="68" t="s">
        <v>1</v>
      </c>
      <c r="C3" s="69"/>
      <c r="D3" s="72" t="s">
        <v>2</v>
      </c>
      <c r="E3" s="73"/>
      <c r="F3" s="73"/>
      <c r="G3" s="74"/>
      <c r="H3" s="78" t="s">
        <v>3</v>
      </c>
      <c r="I3" s="79"/>
      <c r="J3" s="79"/>
      <c r="K3" s="80"/>
      <c r="L3" s="88" t="s">
        <v>26</v>
      </c>
      <c r="M3" s="89"/>
      <c r="N3" s="89"/>
    </row>
    <row r="4" spans="1:14">
      <c r="A4" s="1"/>
      <c r="B4" s="70"/>
      <c r="C4" s="71"/>
      <c r="D4" s="75"/>
      <c r="E4" s="76"/>
      <c r="F4" s="76"/>
      <c r="G4" s="77"/>
      <c r="H4" s="81"/>
      <c r="I4" s="82"/>
      <c r="J4" s="82"/>
      <c r="K4" s="83"/>
      <c r="L4" s="46" t="s">
        <v>27</v>
      </c>
      <c r="M4" s="90" t="s">
        <v>28</v>
      </c>
      <c r="N4" s="92" t="s">
        <v>29</v>
      </c>
    </row>
    <row r="5" spans="1:14" ht="15.75" thickBot="1">
      <c r="A5" s="2"/>
      <c r="B5" s="3" t="s">
        <v>4</v>
      </c>
      <c r="C5" s="4" t="s">
        <v>5</v>
      </c>
      <c r="D5" s="31" t="s">
        <v>6</v>
      </c>
      <c r="E5" s="5" t="s">
        <v>7</v>
      </c>
      <c r="F5" s="5" t="s">
        <v>8</v>
      </c>
      <c r="G5" s="6" t="s">
        <v>9</v>
      </c>
      <c r="H5" s="7" t="s">
        <v>10</v>
      </c>
      <c r="I5" s="8" t="s">
        <v>11</v>
      </c>
      <c r="J5" s="8" t="s">
        <v>8</v>
      </c>
      <c r="K5" s="9" t="s">
        <v>9</v>
      </c>
      <c r="L5" s="47" t="s">
        <v>30</v>
      </c>
      <c r="M5" s="91"/>
      <c r="N5" s="93"/>
    </row>
    <row r="6" spans="1:14" ht="15.75" thickTop="1">
      <c r="A6" s="10"/>
      <c r="B6" s="11"/>
      <c r="C6" s="12"/>
      <c r="D6" s="13"/>
      <c r="E6" s="14"/>
      <c r="F6" s="15"/>
      <c r="G6" s="16"/>
      <c r="H6" s="17"/>
      <c r="I6" s="18"/>
      <c r="J6" s="18"/>
      <c r="K6" s="19"/>
      <c r="L6" s="49"/>
      <c r="M6" s="48"/>
      <c r="N6" s="50"/>
    </row>
    <row r="7" spans="1:14">
      <c r="A7" s="20">
        <v>30</v>
      </c>
      <c r="B7" s="21"/>
      <c r="C7" s="22"/>
      <c r="D7" s="62">
        <v>34381327</v>
      </c>
      <c r="E7" s="57">
        <v>0</v>
      </c>
      <c r="F7" s="24">
        <f t="shared" ref="F7" si="0">(D7+E7)</f>
        <v>34381327</v>
      </c>
      <c r="G7" s="25">
        <f t="shared" ref="G7" si="1">(F7-F6)</f>
        <v>34381327</v>
      </c>
      <c r="H7" s="62">
        <v>597</v>
      </c>
      <c r="I7" s="65">
        <v>615</v>
      </c>
      <c r="J7" s="24">
        <f t="shared" ref="J7" si="2">H7+I7</f>
        <v>1212</v>
      </c>
      <c r="K7" s="22">
        <f t="shared" ref="K7" si="3">(J7-J6)</f>
        <v>1212</v>
      </c>
      <c r="L7" s="21"/>
      <c r="M7" s="51"/>
      <c r="N7" s="55"/>
    </row>
    <row r="8" spans="1:14" ht="15.75" thickBot="1">
      <c r="A8" s="20">
        <v>1</v>
      </c>
      <c r="B8" s="26"/>
      <c r="C8" s="27">
        <f t="shared" ref="C8:C33" si="4">(229/100*B8)</f>
        <v>0</v>
      </c>
      <c r="D8" s="59">
        <v>34387713</v>
      </c>
      <c r="E8" s="23">
        <v>0</v>
      </c>
      <c r="F8" s="24">
        <f t="shared" ref="F8:F38" si="5">(D8+E8)</f>
        <v>34387713</v>
      </c>
      <c r="G8" s="28">
        <f t="shared" ref="G8:G38" si="6">(F8-F7)</f>
        <v>6386</v>
      </c>
      <c r="H8" s="66">
        <v>621</v>
      </c>
      <c r="I8" s="65">
        <v>615</v>
      </c>
      <c r="J8" s="24">
        <f>H8+I8</f>
        <v>1236</v>
      </c>
      <c r="K8" s="22">
        <f t="shared" ref="K8:K38" si="7">(J8-J7)</f>
        <v>24</v>
      </c>
      <c r="L8" s="26"/>
      <c r="M8" s="52"/>
      <c r="N8" s="53"/>
    </row>
    <row r="9" spans="1:14" ht="15.75" thickTop="1">
      <c r="A9" s="20">
        <v>2</v>
      </c>
      <c r="B9" s="29"/>
      <c r="C9" s="30">
        <f t="shared" si="4"/>
        <v>0</v>
      </c>
      <c r="D9" s="60">
        <v>34394130</v>
      </c>
      <c r="E9" s="23">
        <v>0</v>
      </c>
      <c r="F9" s="24">
        <f t="shared" si="5"/>
        <v>34394130</v>
      </c>
      <c r="G9" s="25">
        <f t="shared" si="6"/>
        <v>6417</v>
      </c>
      <c r="H9" s="63">
        <v>650</v>
      </c>
      <c r="I9" s="65">
        <v>615</v>
      </c>
      <c r="J9" s="24">
        <f t="shared" ref="J9:J38" si="8">H9+I9</f>
        <v>1265</v>
      </c>
      <c r="K9" s="22">
        <f t="shared" si="7"/>
        <v>29</v>
      </c>
      <c r="L9" s="54"/>
      <c r="M9" s="51"/>
      <c r="N9" s="55"/>
    </row>
    <row r="10" spans="1:14">
      <c r="A10" s="20">
        <v>3</v>
      </c>
      <c r="B10" s="21"/>
      <c r="C10" s="22">
        <f t="shared" si="4"/>
        <v>0</v>
      </c>
      <c r="D10" s="63">
        <v>34400661</v>
      </c>
      <c r="E10" s="23">
        <v>0</v>
      </c>
      <c r="F10" s="24">
        <f t="shared" si="5"/>
        <v>34400661</v>
      </c>
      <c r="G10" s="25">
        <f t="shared" si="6"/>
        <v>6531</v>
      </c>
      <c r="H10" s="59">
        <v>684</v>
      </c>
      <c r="I10" s="65">
        <v>615</v>
      </c>
      <c r="J10" s="24">
        <f t="shared" si="8"/>
        <v>1299</v>
      </c>
      <c r="K10" s="22">
        <f t="shared" si="7"/>
        <v>34</v>
      </c>
      <c r="L10" s="54"/>
      <c r="M10" s="51"/>
      <c r="N10" s="55"/>
    </row>
    <row r="11" spans="1:14">
      <c r="A11" s="20">
        <v>4</v>
      </c>
      <c r="B11" s="21"/>
      <c r="C11" s="22">
        <f t="shared" si="4"/>
        <v>0</v>
      </c>
      <c r="D11" s="59">
        <v>34407290</v>
      </c>
      <c r="E11" s="23">
        <v>0</v>
      </c>
      <c r="F11" s="24">
        <f t="shared" si="5"/>
        <v>34407290</v>
      </c>
      <c r="G11" s="25">
        <f t="shared" si="6"/>
        <v>6629</v>
      </c>
      <c r="H11" s="59">
        <v>717</v>
      </c>
      <c r="I11" s="60">
        <v>615</v>
      </c>
      <c r="J11" s="24">
        <f t="shared" si="8"/>
        <v>1332</v>
      </c>
      <c r="K11" s="22">
        <f t="shared" si="7"/>
        <v>33</v>
      </c>
      <c r="L11" s="54"/>
      <c r="M11" s="51"/>
      <c r="N11" s="55"/>
    </row>
    <row r="12" spans="1:14">
      <c r="A12" s="20">
        <v>5</v>
      </c>
      <c r="B12" s="21"/>
      <c r="C12" s="22">
        <f t="shared" si="4"/>
        <v>0</v>
      </c>
      <c r="D12" s="59">
        <v>34413701</v>
      </c>
      <c r="E12" s="23">
        <v>0</v>
      </c>
      <c r="F12" s="24">
        <f t="shared" si="5"/>
        <v>34413701</v>
      </c>
      <c r="G12" s="25">
        <f t="shared" si="6"/>
        <v>6411</v>
      </c>
      <c r="H12" s="59">
        <v>745</v>
      </c>
      <c r="I12" s="60">
        <v>615</v>
      </c>
      <c r="J12" s="24">
        <f t="shared" si="8"/>
        <v>1360</v>
      </c>
      <c r="K12" s="22">
        <f t="shared" si="7"/>
        <v>28</v>
      </c>
      <c r="L12" s="54"/>
      <c r="M12" s="51"/>
      <c r="N12" s="55"/>
    </row>
    <row r="13" spans="1:14">
      <c r="A13" s="20">
        <v>6</v>
      </c>
      <c r="B13" s="21"/>
      <c r="C13" s="22">
        <f t="shared" si="4"/>
        <v>0</v>
      </c>
      <c r="D13" s="59">
        <v>34419983</v>
      </c>
      <c r="E13" s="23">
        <v>0</v>
      </c>
      <c r="F13" s="24">
        <f t="shared" si="5"/>
        <v>34419983</v>
      </c>
      <c r="G13" s="25">
        <f t="shared" si="6"/>
        <v>6282</v>
      </c>
      <c r="H13" s="59">
        <v>764</v>
      </c>
      <c r="I13" s="60">
        <v>615</v>
      </c>
      <c r="J13" s="24">
        <f t="shared" si="8"/>
        <v>1379</v>
      </c>
      <c r="K13" s="22">
        <f t="shared" si="7"/>
        <v>19</v>
      </c>
      <c r="L13" s="54"/>
      <c r="M13" s="51"/>
      <c r="N13" s="55"/>
    </row>
    <row r="14" spans="1:14">
      <c r="A14" s="20">
        <v>7</v>
      </c>
      <c r="B14" s="21"/>
      <c r="C14" s="22">
        <f t="shared" si="4"/>
        <v>0</v>
      </c>
      <c r="D14" s="59">
        <v>34425688</v>
      </c>
      <c r="E14" s="23">
        <v>0</v>
      </c>
      <c r="F14" s="24">
        <f t="shared" si="5"/>
        <v>34425688</v>
      </c>
      <c r="G14" s="25">
        <f t="shared" si="6"/>
        <v>5705</v>
      </c>
      <c r="H14" s="59">
        <v>792</v>
      </c>
      <c r="I14" s="60">
        <v>615</v>
      </c>
      <c r="J14" s="24">
        <f t="shared" si="8"/>
        <v>1407</v>
      </c>
      <c r="K14" s="22">
        <f t="shared" si="7"/>
        <v>28</v>
      </c>
      <c r="L14" s="54"/>
      <c r="M14" s="51"/>
      <c r="N14" s="55"/>
    </row>
    <row r="15" spans="1:14">
      <c r="A15" s="20">
        <v>8</v>
      </c>
      <c r="B15" s="21"/>
      <c r="C15" s="22">
        <f t="shared" si="4"/>
        <v>0</v>
      </c>
      <c r="D15" s="59">
        <v>34431267</v>
      </c>
      <c r="E15" s="23">
        <v>0</v>
      </c>
      <c r="F15" s="24">
        <f t="shared" si="5"/>
        <v>34431267</v>
      </c>
      <c r="G15" s="25">
        <f t="shared" si="6"/>
        <v>5579</v>
      </c>
      <c r="H15" s="59">
        <v>818</v>
      </c>
      <c r="I15" s="60">
        <v>615</v>
      </c>
      <c r="J15" s="24">
        <f t="shared" si="8"/>
        <v>1433</v>
      </c>
      <c r="K15" s="22">
        <f t="shared" si="7"/>
        <v>26</v>
      </c>
      <c r="L15" s="54"/>
      <c r="M15" s="51"/>
      <c r="N15" s="55"/>
    </row>
    <row r="16" spans="1:14">
      <c r="A16" s="20">
        <v>9</v>
      </c>
      <c r="B16" s="21"/>
      <c r="C16" s="22">
        <f t="shared" si="4"/>
        <v>0</v>
      </c>
      <c r="D16" s="59">
        <v>34436933</v>
      </c>
      <c r="E16" s="23">
        <v>0</v>
      </c>
      <c r="F16" s="24">
        <f t="shared" si="5"/>
        <v>34436933</v>
      </c>
      <c r="G16" s="25">
        <f t="shared" si="6"/>
        <v>5666</v>
      </c>
      <c r="H16" s="59">
        <v>840</v>
      </c>
      <c r="I16" s="60">
        <v>615</v>
      </c>
      <c r="J16" s="24">
        <f t="shared" si="8"/>
        <v>1455</v>
      </c>
      <c r="K16" s="22">
        <f t="shared" si="7"/>
        <v>22</v>
      </c>
      <c r="L16" s="21"/>
      <c r="M16" s="51"/>
      <c r="N16" s="55"/>
    </row>
    <row r="17" spans="1:14">
      <c r="A17" s="20">
        <v>10</v>
      </c>
      <c r="B17" s="21"/>
      <c r="C17" s="22">
        <f t="shared" si="4"/>
        <v>0</v>
      </c>
      <c r="D17" s="59">
        <v>34442842</v>
      </c>
      <c r="E17" s="23">
        <v>0</v>
      </c>
      <c r="F17" s="24">
        <f t="shared" si="5"/>
        <v>34442842</v>
      </c>
      <c r="G17" s="25">
        <f t="shared" si="6"/>
        <v>5909</v>
      </c>
      <c r="H17" s="59">
        <v>868</v>
      </c>
      <c r="I17" s="60">
        <v>615</v>
      </c>
      <c r="J17" s="24">
        <f t="shared" si="8"/>
        <v>1483</v>
      </c>
      <c r="K17" s="22">
        <f t="shared" si="7"/>
        <v>28</v>
      </c>
      <c r="L17" s="21"/>
      <c r="M17" s="51"/>
      <c r="N17" s="55"/>
    </row>
    <row r="18" spans="1:14">
      <c r="A18" s="20">
        <v>11</v>
      </c>
      <c r="B18" s="21"/>
      <c r="C18" s="22">
        <f t="shared" si="4"/>
        <v>0</v>
      </c>
      <c r="D18" s="59">
        <v>34449065</v>
      </c>
      <c r="E18" s="23">
        <v>0</v>
      </c>
      <c r="F18" s="24">
        <f t="shared" si="5"/>
        <v>34449065</v>
      </c>
      <c r="G18" s="25">
        <f t="shared" si="6"/>
        <v>6223</v>
      </c>
      <c r="H18" s="59">
        <v>898</v>
      </c>
      <c r="I18" s="60">
        <v>615</v>
      </c>
      <c r="J18" s="24">
        <f t="shared" si="8"/>
        <v>1513</v>
      </c>
      <c r="K18" s="22">
        <f t="shared" si="7"/>
        <v>30</v>
      </c>
      <c r="L18" s="54"/>
      <c r="M18" s="51"/>
      <c r="N18" s="55"/>
    </row>
    <row r="19" spans="1:14">
      <c r="A19" s="20">
        <v>12</v>
      </c>
      <c r="B19" s="21"/>
      <c r="C19" s="22">
        <f t="shared" si="4"/>
        <v>0</v>
      </c>
      <c r="D19" s="59">
        <v>34455310</v>
      </c>
      <c r="E19" s="23">
        <v>0</v>
      </c>
      <c r="F19" s="24">
        <f t="shared" si="5"/>
        <v>34455310</v>
      </c>
      <c r="G19" s="25">
        <f t="shared" si="6"/>
        <v>6245</v>
      </c>
      <c r="H19" s="59">
        <v>927</v>
      </c>
      <c r="I19" s="60">
        <v>615</v>
      </c>
      <c r="J19" s="24">
        <f t="shared" si="8"/>
        <v>1542</v>
      </c>
      <c r="K19" s="22">
        <f t="shared" si="7"/>
        <v>29</v>
      </c>
      <c r="L19" s="54"/>
      <c r="M19" s="51"/>
      <c r="N19" s="55"/>
    </row>
    <row r="20" spans="1:14">
      <c r="A20" s="20">
        <v>13</v>
      </c>
      <c r="B20" s="21"/>
      <c r="C20" s="22">
        <f t="shared" si="4"/>
        <v>0</v>
      </c>
      <c r="D20" s="59">
        <v>34461362</v>
      </c>
      <c r="E20" s="23">
        <v>0</v>
      </c>
      <c r="F20" s="24">
        <f t="shared" si="5"/>
        <v>34461362</v>
      </c>
      <c r="G20" s="25">
        <f t="shared" si="6"/>
        <v>6052</v>
      </c>
      <c r="H20" s="59">
        <v>954</v>
      </c>
      <c r="I20" s="60">
        <v>615</v>
      </c>
      <c r="J20" s="24">
        <f t="shared" si="8"/>
        <v>1569</v>
      </c>
      <c r="K20" s="22">
        <f t="shared" si="7"/>
        <v>27</v>
      </c>
      <c r="L20" s="56"/>
      <c r="M20" s="51"/>
      <c r="N20" s="55"/>
    </row>
    <row r="21" spans="1:14">
      <c r="A21" s="20">
        <v>14</v>
      </c>
      <c r="B21" s="21"/>
      <c r="C21" s="22">
        <f t="shared" si="4"/>
        <v>0</v>
      </c>
      <c r="D21" s="59">
        <v>34467677</v>
      </c>
      <c r="E21" s="23">
        <v>0</v>
      </c>
      <c r="F21" s="24">
        <f t="shared" si="5"/>
        <v>34467677</v>
      </c>
      <c r="G21" s="25">
        <f t="shared" si="6"/>
        <v>6315</v>
      </c>
      <c r="H21" s="59">
        <v>974</v>
      </c>
      <c r="I21" s="60">
        <v>615</v>
      </c>
      <c r="J21" s="24">
        <f t="shared" si="8"/>
        <v>1589</v>
      </c>
      <c r="K21" s="22">
        <f t="shared" si="7"/>
        <v>20</v>
      </c>
      <c r="L21" s="21"/>
      <c r="M21" s="51"/>
      <c r="N21" s="55"/>
    </row>
    <row r="22" spans="1:14">
      <c r="A22" s="20">
        <v>15</v>
      </c>
      <c r="B22" s="21"/>
      <c r="C22" s="22">
        <f t="shared" si="4"/>
        <v>0</v>
      </c>
      <c r="D22" s="59">
        <v>34473815</v>
      </c>
      <c r="E22" s="23">
        <v>0</v>
      </c>
      <c r="F22" s="24">
        <f t="shared" si="5"/>
        <v>34473815</v>
      </c>
      <c r="G22" s="25">
        <f t="shared" si="6"/>
        <v>6138</v>
      </c>
      <c r="H22" s="59">
        <v>1001</v>
      </c>
      <c r="I22" s="60">
        <v>615</v>
      </c>
      <c r="J22" s="24">
        <f t="shared" si="8"/>
        <v>1616</v>
      </c>
      <c r="K22" s="22">
        <f t="shared" si="7"/>
        <v>27</v>
      </c>
      <c r="L22" s="54"/>
      <c r="M22" s="51"/>
      <c r="N22" s="55"/>
    </row>
    <row r="23" spans="1:14">
      <c r="A23" s="20">
        <v>16</v>
      </c>
      <c r="B23" s="21"/>
      <c r="C23" s="22">
        <f t="shared" si="4"/>
        <v>0</v>
      </c>
      <c r="D23" s="59">
        <v>34480096</v>
      </c>
      <c r="E23" s="23">
        <v>0</v>
      </c>
      <c r="F23" s="24">
        <f t="shared" si="5"/>
        <v>34480096</v>
      </c>
      <c r="G23" s="25">
        <f t="shared" si="6"/>
        <v>6281</v>
      </c>
      <c r="H23" s="59">
        <v>1028</v>
      </c>
      <c r="I23" s="60">
        <v>615</v>
      </c>
      <c r="J23" s="24">
        <f t="shared" si="8"/>
        <v>1643</v>
      </c>
      <c r="K23" s="22">
        <f t="shared" si="7"/>
        <v>27</v>
      </c>
      <c r="L23" s="21"/>
      <c r="M23" s="51"/>
      <c r="N23" s="55"/>
    </row>
    <row r="24" spans="1:14">
      <c r="A24" s="20">
        <v>17</v>
      </c>
      <c r="B24" s="21"/>
      <c r="C24" s="22">
        <f t="shared" si="4"/>
        <v>0</v>
      </c>
      <c r="D24" s="59">
        <v>34486281</v>
      </c>
      <c r="E24" s="23">
        <v>0</v>
      </c>
      <c r="F24" s="24">
        <f t="shared" si="5"/>
        <v>34486281</v>
      </c>
      <c r="G24" s="25">
        <f t="shared" si="6"/>
        <v>6185</v>
      </c>
      <c r="H24" s="59">
        <v>1063</v>
      </c>
      <c r="I24" s="60">
        <v>615</v>
      </c>
      <c r="J24" s="24">
        <f t="shared" si="8"/>
        <v>1678</v>
      </c>
      <c r="K24" s="22">
        <f t="shared" si="7"/>
        <v>35</v>
      </c>
      <c r="L24" s="21"/>
      <c r="M24" s="51"/>
      <c r="N24" s="55"/>
    </row>
    <row r="25" spans="1:14">
      <c r="A25" s="20">
        <v>18</v>
      </c>
      <c r="B25" s="21"/>
      <c r="C25" s="22">
        <f t="shared" si="4"/>
        <v>0</v>
      </c>
      <c r="D25" s="59">
        <v>34492413</v>
      </c>
      <c r="E25" s="23">
        <v>0</v>
      </c>
      <c r="F25" s="24">
        <f t="shared" si="5"/>
        <v>34492413</v>
      </c>
      <c r="G25" s="25">
        <f t="shared" si="6"/>
        <v>6132</v>
      </c>
      <c r="H25" s="59">
        <v>1091</v>
      </c>
      <c r="I25" s="60">
        <v>615</v>
      </c>
      <c r="J25" s="24">
        <f t="shared" si="8"/>
        <v>1706</v>
      </c>
      <c r="K25" s="22">
        <f t="shared" si="7"/>
        <v>28</v>
      </c>
      <c r="L25" s="21"/>
      <c r="M25" s="51"/>
      <c r="N25" s="55"/>
    </row>
    <row r="26" spans="1:14">
      <c r="A26" s="20">
        <v>19</v>
      </c>
      <c r="B26" s="21"/>
      <c r="C26" s="22">
        <f t="shared" si="4"/>
        <v>0</v>
      </c>
      <c r="D26" s="59">
        <v>34498548</v>
      </c>
      <c r="E26" s="23">
        <v>0</v>
      </c>
      <c r="F26" s="24">
        <f t="shared" si="5"/>
        <v>34498548</v>
      </c>
      <c r="G26" s="25">
        <f t="shared" si="6"/>
        <v>6135</v>
      </c>
      <c r="H26" s="59">
        <v>1122</v>
      </c>
      <c r="I26" s="60">
        <v>615</v>
      </c>
      <c r="J26" s="24">
        <f t="shared" si="8"/>
        <v>1737</v>
      </c>
      <c r="K26" s="22">
        <f t="shared" si="7"/>
        <v>31</v>
      </c>
      <c r="L26" s="54"/>
      <c r="M26" s="51"/>
      <c r="N26" s="55"/>
    </row>
    <row r="27" spans="1:14">
      <c r="A27" s="20">
        <v>20</v>
      </c>
      <c r="B27" s="21"/>
      <c r="C27" s="22">
        <f t="shared" si="4"/>
        <v>0</v>
      </c>
      <c r="D27" s="59">
        <v>34504761</v>
      </c>
      <c r="E27" s="23">
        <v>0</v>
      </c>
      <c r="F27" s="24">
        <f t="shared" si="5"/>
        <v>34504761</v>
      </c>
      <c r="G27" s="25">
        <f t="shared" si="6"/>
        <v>6213</v>
      </c>
      <c r="H27" s="59">
        <v>1150</v>
      </c>
      <c r="I27" s="60">
        <v>615</v>
      </c>
      <c r="J27" s="24">
        <f t="shared" si="8"/>
        <v>1765</v>
      </c>
      <c r="K27" s="22">
        <f t="shared" si="7"/>
        <v>28</v>
      </c>
      <c r="L27" s="54"/>
      <c r="M27" s="51"/>
      <c r="N27" s="55"/>
    </row>
    <row r="28" spans="1:14">
      <c r="A28" s="20">
        <v>21</v>
      </c>
      <c r="B28" s="21"/>
      <c r="C28" s="22">
        <f t="shared" si="4"/>
        <v>0</v>
      </c>
      <c r="D28" s="64">
        <v>34511275</v>
      </c>
      <c r="E28" s="23">
        <v>0</v>
      </c>
      <c r="F28" s="24">
        <f t="shared" si="5"/>
        <v>34511275</v>
      </c>
      <c r="G28" s="25">
        <f t="shared" si="6"/>
        <v>6514</v>
      </c>
      <c r="H28" s="59">
        <v>1179</v>
      </c>
      <c r="I28" s="60">
        <v>615</v>
      </c>
      <c r="J28" s="24">
        <f t="shared" si="8"/>
        <v>1794</v>
      </c>
      <c r="K28" s="22">
        <f t="shared" si="7"/>
        <v>29</v>
      </c>
      <c r="L28" s="21"/>
      <c r="M28" s="51"/>
      <c r="N28" s="55"/>
    </row>
    <row r="29" spans="1:14">
      <c r="A29" s="20">
        <v>22</v>
      </c>
      <c r="B29" s="21"/>
      <c r="C29" s="22">
        <f t="shared" si="4"/>
        <v>0</v>
      </c>
      <c r="D29" s="59"/>
      <c r="E29" s="23">
        <v>0</v>
      </c>
      <c r="F29" s="24">
        <f t="shared" si="5"/>
        <v>0</v>
      </c>
      <c r="G29" s="25">
        <f t="shared" si="6"/>
        <v>-34511275</v>
      </c>
      <c r="H29" s="59"/>
      <c r="I29" s="60"/>
      <c r="J29" s="24">
        <f t="shared" si="8"/>
        <v>0</v>
      </c>
      <c r="K29" s="22">
        <f t="shared" si="7"/>
        <v>-1794</v>
      </c>
      <c r="L29" s="54"/>
      <c r="M29" s="51"/>
      <c r="N29" s="55"/>
    </row>
    <row r="30" spans="1:14">
      <c r="A30" s="20">
        <v>23</v>
      </c>
      <c r="B30" s="21"/>
      <c r="C30" s="22">
        <f t="shared" si="4"/>
        <v>0</v>
      </c>
      <c r="D30" s="59"/>
      <c r="E30" s="23">
        <v>0</v>
      </c>
      <c r="F30" s="24">
        <f t="shared" si="5"/>
        <v>0</v>
      </c>
      <c r="G30" s="25">
        <f t="shared" si="6"/>
        <v>0</v>
      </c>
      <c r="H30" s="59"/>
      <c r="I30" s="60"/>
      <c r="J30" s="24">
        <f t="shared" si="8"/>
        <v>0</v>
      </c>
      <c r="K30" s="22">
        <f t="shared" si="7"/>
        <v>0</v>
      </c>
      <c r="L30" s="21"/>
      <c r="M30" s="51"/>
      <c r="N30" s="55"/>
    </row>
    <row r="31" spans="1:14">
      <c r="A31" s="20">
        <v>24</v>
      </c>
      <c r="B31" s="21"/>
      <c r="C31" s="22">
        <f t="shared" si="4"/>
        <v>0</v>
      </c>
      <c r="D31" s="59"/>
      <c r="E31" s="23">
        <v>0</v>
      </c>
      <c r="F31" s="24">
        <f t="shared" si="5"/>
        <v>0</v>
      </c>
      <c r="G31" s="25">
        <f t="shared" si="6"/>
        <v>0</v>
      </c>
      <c r="H31" s="59"/>
      <c r="I31" s="60"/>
      <c r="J31" s="24">
        <f t="shared" si="8"/>
        <v>0</v>
      </c>
      <c r="K31" s="22">
        <f t="shared" si="7"/>
        <v>0</v>
      </c>
      <c r="L31" s="54"/>
      <c r="M31" s="51"/>
      <c r="N31" s="55"/>
    </row>
    <row r="32" spans="1:14">
      <c r="A32" s="20">
        <v>25</v>
      </c>
      <c r="B32" s="21"/>
      <c r="C32" s="22">
        <f t="shared" si="4"/>
        <v>0</v>
      </c>
      <c r="D32" s="59"/>
      <c r="E32" s="23">
        <v>0</v>
      </c>
      <c r="F32" s="24">
        <f t="shared" si="5"/>
        <v>0</v>
      </c>
      <c r="G32" s="25">
        <f t="shared" si="6"/>
        <v>0</v>
      </c>
      <c r="H32" s="59"/>
      <c r="I32" s="60"/>
      <c r="J32" s="24">
        <f t="shared" si="8"/>
        <v>0</v>
      </c>
      <c r="K32" s="22">
        <f t="shared" si="7"/>
        <v>0</v>
      </c>
      <c r="L32" s="54"/>
      <c r="M32" s="51"/>
      <c r="N32" s="55"/>
    </row>
    <row r="33" spans="1:14">
      <c r="A33" s="20">
        <v>26</v>
      </c>
      <c r="B33" s="21"/>
      <c r="C33" s="22">
        <f t="shared" si="4"/>
        <v>0</v>
      </c>
      <c r="D33" s="59"/>
      <c r="E33" s="23">
        <v>0</v>
      </c>
      <c r="F33" s="24">
        <f t="shared" si="5"/>
        <v>0</v>
      </c>
      <c r="G33" s="25">
        <f t="shared" si="6"/>
        <v>0</v>
      </c>
      <c r="H33" s="67"/>
      <c r="I33" s="60"/>
      <c r="J33" s="24">
        <f t="shared" si="8"/>
        <v>0</v>
      </c>
      <c r="K33" s="22">
        <f t="shared" si="7"/>
        <v>0</v>
      </c>
      <c r="L33" s="21"/>
      <c r="M33" s="51"/>
      <c r="N33" s="55"/>
    </row>
    <row r="34" spans="1:14">
      <c r="A34" s="20">
        <v>27</v>
      </c>
      <c r="B34" s="21"/>
      <c r="C34" s="22"/>
      <c r="D34" s="59"/>
      <c r="E34" s="23">
        <v>0</v>
      </c>
      <c r="F34" s="24">
        <f t="shared" si="5"/>
        <v>0</v>
      </c>
      <c r="G34" s="25">
        <f t="shared" si="6"/>
        <v>0</v>
      </c>
      <c r="H34" s="59"/>
      <c r="I34" s="60"/>
      <c r="J34" s="24">
        <f t="shared" si="8"/>
        <v>0</v>
      </c>
      <c r="K34" s="22">
        <f t="shared" si="7"/>
        <v>0</v>
      </c>
      <c r="L34" s="21"/>
      <c r="M34" s="51"/>
      <c r="N34" s="55"/>
    </row>
    <row r="35" spans="1:14">
      <c r="A35" s="20">
        <v>28</v>
      </c>
      <c r="B35" s="21"/>
      <c r="C35" s="22"/>
      <c r="D35" s="59"/>
      <c r="E35" s="23">
        <v>0</v>
      </c>
      <c r="F35" s="24">
        <f t="shared" si="5"/>
        <v>0</v>
      </c>
      <c r="G35" s="25">
        <f t="shared" si="6"/>
        <v>0</v>
      </c>
      <c r="H35" s="59"/>
      <c r="I35" s="60"/>
      <c r="J35" s="24">
        <f t="shared" si="8"/>
        <v>0</v>
      </c>
      <c r="K35" s="22">
        <f t="shared" si="7"/>
        <v>0</v>
      </c>
      <c r="L35" s="21"/>
      <c r="M35" s="51"/>
      <c r="N35" s="55"/>
    </row>
    <row r="36" spans="1:14">
      <c r="A36" s="20">
        <v>29</v>
      </c>
      <c r="B36" s="21"/>
      <c r="C36" s="22"/>
      <c r="D36" s="62"/>
      <c r="E36" s="57">
        <v>0</v>
      </c>
      <c r="F36" s="24">
        <f t="shared" si="5"/>
        <v>0</v>
      </c>
      <c r="G36" s="25">
        <f t="shared" si="6"/>
        <v>0</v>
      </c>
      <c r="H36" s="62"/>
      <c r="I36" s="65"/>
      <c r="J36" s="24">
        <f t="shared" si="8"/>
        <v>0</v>
      </c>
      <c r="K36" s="22">
        <f t="shared" si="7"/>
        <v>0</v>
      </c>
      <c r="L36" s="21"/>
      <c r="M36" s="51"/>
      <c r="N36" s="55"/>
    </row>
    <row r="37" spans="1:14">
      <c r="A37" s="20">
        <v>30</v>
      </c>
      <c r="B37" s="21"/>
      <c r="C37" s="22"/>
      <c r="D37" s="62"/>
      <c r="E37" s="57">
        <v>0</v>
      </c>
      <c r="F37" s="24">
        <f t="shared" si="5"/>
        <v>0</v>
      </c>
      <c r="G37" s="25">
        <f t="shared" si="6"/>
        <v>0</v>
      </c>
      <c r="H37" s="62"/>
      <c r="I37" s="65"/>
      <c r="J37" s="24">
        <f t="shared" si="8"/>
        <v>0</v>
      </c>
      <c r="K37" s="22">
        <f t="shared" si="7"/>
        <v>0</v>
      </c>
      <c r="L37" s="21"/>
      <c r="M37" s="51"/>
      <c r="N37" s="55"/>
    </row>
    <row r="38" spans="1:14">
      <c r="A38" s="20">
        <v>31</v>
      </c>
      <c r="B38" s="21"/>
      <c r="C38" s="22"/>
      <c r="D38" s="62"/>
      <c r="E38" s="57">
        <v>0</v>
      </c>
      <c r="F38" s="24">
        <f t="shared" si="5"/>
        <v>0</v>
      </c>
      <c r="G38" s="25">
        <f t="shared" si="6"/>
        <v>0</v>
      </c>
      <c r="H38" s="62"/>
      <c r="I38" s="65"/>
      <c r="J38" s="24">
        <f t="shared" si="8"/>
        <v>0</v>
      </c>
      <c r="K38" s="22">
        <f t="shared" si="7"/>
        <v>0</v>
      </c>
      <c r="L38" s="21"/>
      <c r="M38" s="51"/>
      <c r="N38" s="58"/>
    </row>
  </sheetData>
  <mergeCells count="8">
    <mergeCell ref="B3:C4"/>
    <mergeCell ref="D3:G4"/>
    <mergeCell ref="H3:K4"/>
    <mergeCell ref="A1:N1"/>
    <mergeCell ref="A2:N2"/>
    <mergeCell ref="L3:N3"/>
    <mergeCell ref="M4:M5"/>
    <mergeCell ref="N4:N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2025-05-22T13:47:21Z</dcterms:modified>
</cp:coreProperties>
</file>