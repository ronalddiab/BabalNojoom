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754BC64C-410E-4946-9988-65D710269378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ne 2024" sheetId="6" r:id="rId3"/>
  </sheets>
  <definedNames>
    <definedName name="_xlnm.Print_Area" localSheetId="2">'June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38" i="6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G57" i="6"/>
  <c r="L57" i="6" s="1"/>
  <c r="B57" i="6"/>
  <c r="B56" i="6"/>
  <c r="G56" i="6" s="1"/>
  <c r="L56" i="6" s="1"/>
  <c r="G55" i="6"/>
  <c r="L55" i="6" s="1"/>
  <c r="B55" i="6"/>
  <c r="B54" i="6"/>
  <c r="G54" i="6" s="1"/>
  <c r="L54" i="6" s="1"/>
  <c r="AB49" i="6"/>
  <c r="B49" i="6"/>
  <c r="G49" i="6" s="1"/>
  <c r="R49" i="6" s="1"/>
  <c r="B48" i="6"/>
  <c r="G48" i="6" s="1"/>
  <c r="R48" i="6" s="1"/>
  <c r="B47" i="6"/>
  <c r="G47" i="6" s="1"/>
  <c r="R47" i="6" s="1"/>
  <c r="B46" i="6"/>
  <c r="G46" i="6" s="1"/>
  <c r="R46" i="6" s="1"/>
  <c r="I44" i="6"/>
  <c r="V43" i="6"/>
  <c r="T43" i="6"/>
  <c r="O43" i="6"/>
  <c r="M43" i="6"/>
  <c r="J43" i="6"/>
  <c r="G43" i="6"/>
  <c r="X42" i="6"/>
  <c r="AG42" i="6" s="1"/>
  <c r="Z42" i="6" s="1"/>
  <c r="V42" i="6"/>
  <c r="T42" i="6"/>
  <c r="R42" i="6"/>
  <c r="O42" i="6"/>
  <c r="L42" i="6"/>
  <c r="M42" i="6" s="1"/>
  <c r="J42" i="6"/>
  <c r="G42" i="6"/>
  <c r="D42" i="6"/>
  <c r="V41" i="6"/>
  <c r="O41" i="6"/>
  <c r="J41" i="6"/>
  <c r="AG40" i="6"/>
  <c r="Z40" i="6" s="1"/>
  <c r="V40" i="6"/>
  <c r="T40" i="6"/>
  <c r="O40" i="6"/>
  <c r="M40" i="6"/>
  <c r="J40" i="6"/>
  <c r="G40" i="6"/>
  <c r="AG39" i="6"/>
  <c r="Z39" i="6" s="1"/>
  <c r="V39" i="6"/>
  <c r="T39" i="6"/>
  <c r="O39" i="6"/>
  <c r="M39" i="6"/>
  <c r="J39" i="6"/>
  <c r="G39" i="6"/>
  <c r="AG38" i="6"/>
  <c r="AG43" i="6" s="1"/>
  <c r="Z43" i="6" s="1"/>
  <c r="V38" i="6"/>
  <c r="O38" i="6"/>
  <c r="J38" i="6"/>
  <c r="AG37" i="6"/>
  <c r="AE35" i="6"/>
  <c r="AD35" i="6"/>
  <c r="AW34" i="6"/>
  <c r="AV34" i="6"/>
  <c r="AT34" i="6"/>
  <c r="AS34" i="6"/>
  <c r="AQ34" i="6"/>
  <c r="AP34" i="6"/>
  <c r="AN34" i="6"/>
  <c r="AM34" i="6"/>
  <c r="AK34" i="6"/>
  <c r="AJ34" i="6"/>
  <c r="AH34" i="6"/>
  <c r="AG34" i="6"/>
  <c r="AC34" i="6"/>
  <c r="Z34" i="6"/>
  <c r="X34" i="6"/>
  <c r="Y34" i="6" s="1"/>
  <c r="AA34" i="6" s="1"/>
  <c r="W34" i="6"/>
  <c r="U34" i="6"/>
  <c r="S34" i="6"/>
  <c r="T34" i="6" s="1"/>
  <c r="P34" i="6"/>
  <c r="N34" i="6"/>
  <c r="Q34" i="6" s="1"/>
  <c r="L34" i="6"/>
  <c r="K34" i="6"/>
  <c r="G34" i="6"/>
  <c r="E34" i="6"/>
  <c r="C34" i="6"/>
  <c r="AV33" i="6"/>
  <c r="AW33" i="6" s="1"/>
  <c r="AS33" i="6"/>
  <c r="AT33" i="6" s="1"/>
  <c r="AP33" i="6"/>
  <c r="AQ33" i="6" s="1"/>
  <c r="AM33" i="6"/>
  <c r="AN33" i="6" s="1"/>
  <c r="AJ33" i="6"/>
  <c r="AK33" i="6" s="1"/>
  <c r="AG33" i="6"/>
  <c r="AH33" i="6" s="1"/>
  <c r="AC33" i="6"/>
  <c r="Z33" i="6"/>
  <c r="Y33" i="6"/>
  <c r="AA33" i="6" s="1"/>
  <c r="W33" i="6"/>
  <c r="X33" i="6" s="1"/>
  <c r="T33" i="6"/>
  <c r="U33" i="6" s="1"/>
  <c r="S33" i="6"/>
  <c r="Q33" i="6"/>
  <c r="P33" i="6"/>
  <c r="N33" i="6"/>
  <c r="K33" i="6"/>
  <c r="L33" i="6" s="1"/>
  <c r="H33" i="6"/>
  <c r="I33" i="6" s="1"/>
  <c r="G33" i="6"/>
  <c r="E33" i="6"/>
  <c r="C33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C32" i="6"/>
  <c r="Z32" i="6"/>
  <c r="X32" i="6"/>
  <c r="Y32" i="6" s="1"/>
  <c r="W32" i="6"/>
  <c r="U32" i="6"/>
  <c r="S32" i="6"/>
  <c r="T32" i="6" s="1"/>
  <c r="P32" i="6"/>
  <c r="Q32" i="6" s="1"/>
  <c r="N32" i="6"/>
  <c r="L32" i="6"/>
  <c r="K32" i="6"/>
  <c r="G32" i="6"/>
  <c r="E32" i="6"/>
  <c r="C32" i="6"/>
  <c r="AV31" i="6"/>
  <c r="AW31" i="6" s="1"/>
  <c r="AS31" i="6"/>
  <c r="AT31" i="6" s="1"/>
  <c r="AP31" i="6"/>
  <c r="AQ31" i="6" s="1"/>
  <c r="AM31" i="6"/>
  <c r="AN31" i="6" s="1"/>
  <c r="AJ31" i="6"/>
  <c r="AK31" i="6" s="1"/>
  <c r="AG31" i="6"/>
  <c r="AH31" i="6" s="1"/>
  <c r="AC31" i="6"/>
  <c r="Z31" i="6"/>
  <c r="W31" i="6"/>
  <c r="X31" i="6" s="1"/>
  <c r="Y31" i="6" s="1"/>
  <c r="AA31" i="6" s="1"/>
  <c r="T31" i="6"/>
  <c r="U31" i="6" s="1"/>
  <c r="S31" i="6"/>
  <c r="Q31" i="6"/>
  <c r="P31" i="6"/>
  <c r="N31" i="6"/>
  <c r="K31" i="6"/>
  <c r="L31" i="6" s="1"/>
  <c r="H31" i="6"/>
  <c r="I31" i="6" s="1"/>
  <c r="G31" i="6"/>
  <c r="E31" i="6"/>
  <c r="C31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C30" i="6"/>
  <c r="Z30" i="6"/>
  <c r="Y30" i="6"/>
  <c r="X30" i="6"/>
  <c r="W30" i="6"/>
  <c r="U30" i="6"/>
  <c r="T30" i="6"/>
  <c r="S30" i="6"/>
  <c r="P30" i="6"/>
  <c r="N30" i="6"/>
  <c r="Q30" i="6" s="1"/>
  <c r="L30" i="6"/>
  <c r="K30" i="6"/>
  <c r="H30" i="6"/>
  <c r="I30" i="6" s="1"/>
  <c r="G30" i="6"/>
  <c r="E30" i="6"/>
  <c r="C30" i="6"/>
  <c r="AW29" i="6"/>
  <c r="AV29" i="6"/>
  <c r="AS29" i="6"/>
  <c r="AT29" i="6" s="1"/>
  <c r="AP29" i="6"/>
  <c r="AQ29" i="6" s="1"/>
  <c r="AM29" i="6"/>
  <c r="AN29" i="6" s="1"/>
  <c r="AJ29" i="6"/>
  <c r="AK29" i="6" s="1"/>
  <c r="AG29" i="6"/>
  <c r="AH29" i="6" s="1"/>
  <c r="AC29" i="6"/>
  <c r="Z29" i="6"/>
  <c r="Y29" i="6"/>
  <c r="AA29" i="6" s="1"/>
  <c r="X29" i="6"/>
  <c r="W29" i="6"/>
  <c r="S29" i="6"/>
  <c r="T29" i="6" s="1"/>
  <c r="U29" i="6" s="1"/>
  <c r="P29" i="6"/>
  <c r="N29" i="6"/>
  <c r="Q29" i="6" s="1"/>
  <c r="L29" i="6"/>
  <c r="K29" i="6"/>
  <c r="G29" i="6"/>
  <c r="E29" i="6"/>
  <c r="H29" i="6" s="1"/>
  <c r="I29" i="6" s="1"/>
  <c r="C29" i="6"/>
  <c r="AV28" i="6"/>
  <c r="AW28" i="6" s="1"/>
  <c r="AT28" i="6"/>
  <c r="AS28" i="6"/>
  <c r="AP28" i="6"/>
  <c r="AQ28" i="6" s="1"/>
  <c r="AN28" i="6"/>
  <c r="AM28" i="6"/>
  <c r="AJ28" i="6"/>
  <c r="AK28" i="6" s="1"/>
  <c r="AH28" i="6"/>
  <c r="AG28" i="6"/>
  <c r="AC28" i="6"/>
  <c r="Z28" i="6"/>
  <c r="AA28" i="6" s="1"/>
  <c r="X28" i="6"/>
  <c r="Y28" i="6" s="1"/>
  <c r="W28" i="6"/>
  <c r="S28" i="6"/>
  <c r="T28" i="6" s="1"/>
  <c r="U28" i="6" s="1"/>
  <c r="Q28" i="6"/>
  <c r="P28" i="6"/>
  <c r="N28" i="6"/>
  <c r="L28" i="6"/>
  <c r="K28" i="6"/>
  <c r="G28" i="6"/>
  <c r="E28" i="6"/>
  <c r="C28" i="6"/>
  <c r="AV27" i="6"/>
  <c r="AW27" i="6" s="1"/>
  <c r="AS27" i="6"/>
  <c r="AT27" i="6" s="1"/>
  <c r="AP27" i="6"/>
  <c r="AQ27" i="6" s="1"/>
  <c r="AM27" i="6"/>
  <c r="AN27" i="6" s="1"/>
  <c r="AJ27" i="6"/>
  <c r="AK27" i="6" s="1"/>
  <c r="AH27" i="6"/>
  <c r="AG27" i="6"/>
  <c r="AC27" i="6"/>
  <c r="Z27" i="6"/>
  <c r="W27" i="6"/>
  <c r="X27" i="6" s="1"/>
  <c r="Y27" i="6" s="1"/>
  <c r="AA27" i="6" s="1"/>
  <c r="U27" i="6"/>
  <c r="T27" i="6"/>
  <c r="S27" i="6"/>
  <c r="P27" i="6"/>
  <c r="Q27" i="6" s="1"/>
  <c r="N27" i="6"/>
  <c r="K27" i="6"/>
  <c r="L27" i="6" s="1"/>
  <c r="H27" i="6"/>
  <c r="I27" i="6" s="1"/>
  <c r="G27" i="6"/>
  <c r="E27" i="6"/>
  <c r="C27" i="6"/>
  <c r="AW26" i="6"/>
  <c r="AV26" i="6"/>
  <c r="AS26" i="6"/>
  <c r="AT26" i="6" s="1"/>
  <c r="AQ26" i="6"/>
  <c r="AP26" i="6"/>
  <c r="AM26" i="6"/>
  <c r="AN26" i="6" s="1"/>
  <c r="AK26" i="6"/>
  <c r="AJ26" i="6"/>
  <c r="AG26" i="6"/>
  <c r="AH26" i="6" s="1"/>
  <c r="AC26" i="6"/>
  <c r="Z26" i="6"/>
  <c r="X26" i="6"/>
  <c r="Y26" i="6" s="1"/>
  <c r="AA26" i="6" s="1"/>
  <c r="W26" i="6"/>
  <c r="S26" i="6"/>
  <c r="T26" i="6" s="1"/>
  <c r="U26" i="6" s="1"/>
  <c r="P26" i="6"/>
  <c r="N26" i="6"/>
  <c r="L26" i="6"/>
  <c r="K26" i="6"/>
  <c r="G26" i="6"/>
  <c r="E26" i="6"/>
  <c r="C26" i="6"/>
  <c r="H26" i="6" s="1"/>
  <c r="I26" i="6" s="1"/>
  <c r="AW25" i="6"/>
  <c r="AV25" i="6"/>
  <c r="AS25" i="6"/>
  <c r="AT25" i="6" s="1"/>
  <c r="AQ25" i="6"/>
  <c r="AP25" i="6"/>
  <c r="AM25" i="6"/>
  <c r="AN25" i="6" s="1"/>
  <c r="AJ25" i="6"/>
  <c r="AK25" i="6" s="1"/>
  <c r="AG25" i="6"/>
  <c r="AH25" i="6" s="1"/>
  <c r="AC25" i="6"/>
  <c r="Z25" i="6"/>
  <c r="W25" i="6"/>
  <c r="X25" i="6" s="1"/>
  <c r="Y25" i="6" s="1"/>
  <c r="AA25" i="6" s="1"/>
  <c r="T25" i="6"/>
  <c r="U25" i="6" s="1"/>
  <c r="S25" i="6"/>
  <c r="P25" i="6"/>
  <c r="N25" i="6"/>
  <c r="Q25" i="6" s="1"/>
  <c r="L25" i="6"/>
  <c r="K25" i="6"/>
  <c r="G25" i="6"/>
  <c r="H25" i="6" s="1"/>
  <c r="I25" i="6" s="1"/>
  <c r="E25" i="6"/>
  <c r="C25" i="6"/>
  <c r="AV24" i="6"/>
  <c r="AW24" i="6" s="1"/>
  <c r="AT24" i="6"/>
  <c r="AS24" i="6"/>
  <c r="AP24" i="6"/>
  <c r="AQ24" i="6" s="1"/>
  <c r="AN24" i="6"/>
  <c r="AM24" i="6"/>
  <c r="AJ24" i="6"/>
  <c r="AK24" i="6" s="1"/>
  <c r="AH24" i="6"/>
  <c r="AG24" i="6"/>
  <c r="AC24" i="6"/>
  <c r="AA24" i="6"/>
  <c r="Z24" i="6"/>
  <c r="W24" i="6"/>
  <c r="X24" i="6" s="1"/>
  <c r="Y24" i="6" s="1"/>
  <c r="U24" i="6"/>
  <c r="S24" i="6"/>
  <c r="T24" i="6" s="1"/>
  <c r="P24" i="6"/>
  <c r="Q24" i="6" s="1"/>
  <c r="N24" i="6"/>
  <c r="L24" i="6"/>
  <c r="K24" i="6"/>
  <c r="G24" i="6"/>
  <c r="E24" i="6"/>
  <c r="C24" i="6"/>
  <c r="AV23" i="6"/>
  <c r="AW23" i="6" s="1"/>
  <c r="AT23" i="6"/>
  <c r="AS23" i="6"/>
  <c r="AP23" i="6"/>
  <c r="AQ23" i="6" s="1"/>
  <c r="AM23" i="6"/>
  <c r="AN23" i="6" s="1"/>
  <c r="AJ23" i="6"/>
  <c r="AK23" i="6" s="1"/>
  <c r="AG23" i="6"/>
  <c r="AH23" i="6" s="1"/>
  <c r="AC23" i="6"/>
  <c r="Z23" i="6"/>
  <c r="W23" i="6"/>
  <c r="X23" i="6" s="1"/>
  <c r="Y23" i="6" s="1"/>
  <c r="AA23" i="6" s="1"/>
  <c r="U23" i="6"/>
  <c r="T23" i="6"/>
  <c r="S23" i="6"/>
  <c r="Q23" i="6"/>
  <c r="P23" i="6"/>
  <c r="N23" i="6"/>
  <c r="K23" i="6"/>
  <c r="L23" i="6" s="1"/>
  <c r="I23" i="6"/>
  <c r="G23" i="6"/>
  <c r="E23" i="6"/>
  <c r="C23" i="6"/>
  <c r="H23" i="6" s="1"/>
  <c r="AW22" i="6"/>
  <c r="AV22" i="6"/>
  <c r="AS22" i="6"/>
  <c r="AT22" i="6" s="1"/>
  <c r="AQ22" i="6"/>
  <c r="AP22" i="6"/>
  <c r="AM22" i="6"/>
  <c r="AN22" i="6" s="1"/>
  <c r="AK22" i="6"/>
  <c r="AJ22" i="6"/>
  <c r="AG22" i="6"/>
  <c r="AH22" i="6" s="1"/>
  <c r="AC22" i="6"/>
  <c r="Z22" i="6"/>
  <c r="Y22" i="6"/>
  <c r="AA22" i="6" s="1"/>
  <c r="X22" i="6"/>
  <c r="W22" i="6"/>
  <c r="T22" i="6"/>
  <c r="U22" i="6" s="1"/>
  <c r="S22" i="6"/>
  <c r="P22" i="6"/>
  <c r="N22" i="6"/>
  <c r="Q22" i="6" s="1"/>
  <c r="L22" i="6"/>
  <c r="K22" i="6"/>
  <c r="H22" i="6"/>
  <c r="I22" i="6" s="1"/>
  <c r="G22" i="6"/>
  <c r="E22" i="6"/>
  <c r="C22" i="6"/>
  <c r="AW21" i="6"/>
  <c r="AV21" i="6"/>
  <c r="AS21" i="6"/>
  <c r="AT21" i="6" s="1"/>
  <c r="AQ21" i="6"/>
  <c r="AP21" i="6"/>
  <c r="AM21" i="6"/>
  <c r="AN21" i="6" s="1"/>
  <c r="AK21" i="6"/>
  <c r="AJ21" i="6"/>
  <c r="AG21" i="6"/>
  <c r="AH21" i="6" s="1"/>
  <c r="AC21" i="6"/>
  <c r="Z21" i="6"/>
  <c r="X21" i="6"/>
  <c r="Y21" i="6" s="1"/>
  <c r="AA21" i="6" s="1"/>
  <c r="W21" i="6"/>
  <c r="S21" i="6"/>
  <c r="T21" i="6" s="1"/>
  <c r="U21" i="6" s="1"/>
  <c r="P21" i="6"/>
  <c r="N21" i="6"/>
  <c r="Q21" i="6" s="1"/>
  <c r="L21" i="6"/>
  <c r="K21" i="6"/>
  <c r="H21" i="6"/>
  <c r="I21" i="6" s="1"/>
  <c r="G21" i="6"/>
  <c r="E21" i="6"/>
  <c r="C21" i="6"/>
  <c r="AW20" i="6"/>
  <c r="AV20" i="6"/>
  <c r="AT20" i="6"/>
  <c r="AS20" i="6"/>
  <c r="AQ20" i="6"/>
  <c r="AP20" i="6"/>
  <c r="AN20" i="6"/>
  <c r="AM20" i="6"/>
  <c r="AK20" i="6"/>
  <c r="AJ20" i="6"/>
  <c r="AH20" i="6"/>
  <c r="AG20" i="6"/>
  <c r="AC20" i="6"/>
  <c r="Z20" i="6"/>
  <c r="W20" i="6"/>
  <c r="X20" i="6" s="1"/>
  <c r="Y20" i="6" s="1"/>
  <c r="AA20" i="6" s="1"/>
  <c r="S20" i="6"/>
  <c r="T20" i="6" s="1"/>
  <c r="U20" i="6" s="1"/>
  <c r="Q20" i="6"/>
  <c r="P20" i="6"/>
  <c r="N20" i="6"/>
  <c r="L20" i="6"/>
  <c r="K20" i="6"/>
  <c r="G20" i="6"/>
  <c r="E20" i="6"/>
  <c r="C20" i="6"/>
  <c r="AV19" i="6"/>
  <c r="AW19" i="6" s="1"/>
  <c r="AT19" i="6"/>
  <c r="AS19" i="6"/>
  <c r="AP19" i="6"/>
  <c r="AQ19" i="6" s="1"/>
  <c r="AN19" i="6"/>
  <c r="AM19" i="6"/>
  <c r="AJ19" i="6"/>
  <c r="AK19" i="6" s="1"/>
  <c r="AH19" i="6"/>
  <c r="AG19" i="6"/>
  <c r="AC19" i="6"/>
  <c r="AA19" i="6"/>
  <c r="Z19" i="6"/>
  <c r="W19" i="6"/>
  <c r="X19" i="6" s="1"/>
  <c r="Y19" i="6" s="1"/>
  <c r="U19" i="6"/>
  <c r="T19" i="6"/>
  <c r="S19" i="6"/>
  <c r="P19" i="6"/>
  <c r="Q19" i="6" s="1"/>
  <c r="N19" i="6"/>
  <c r="K19" i="6"/>
  <c r="L19" i="6" s="1"/>
  <c r="G19" i="6"/>
  <c r="E19" i="6"/>
  <c r="C19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C18" i="6"/>
  <c r="Z18" i="6"/>
  <c r="Y18" i="6"/>
  <c r="AA18" i="6" s="1"/>
  <c r="X18" i="6"/>
  <c r="W18" i="6"/>
  <c r="T18" i="6"/>
  <c r="U18" i="6" s="1"/>
  <c r="S18" i="6"/>
  <c r="P18" i="6"/>
  <c r="N18" i="6"/>
  <c r="Q18" i="6" s="1"/>
  <c r="L18" i="6"/>
  <c r="K18" i="6"/>
  <c r="H18" i="6"/>
  <c r="I18" i="6" s="1"/>
  <c r="G18" i="6"/>
  <c r="E18" i="6"/>
  <c r="C18" i="6"/>
  <c r="AW17" i="6"/>
  <c r="AV17" i="6"/>
  <c r="AS17" i="6"/>
  <c r="AT17" i="6" s="1"/>
  <c r="AQ17" i="6"/>
  <c r="AP17" i="6"/>
  <c r="AM17" i="6"/>
  <c r="AN17" i="6" s="1"/>
  <c r="AK17" i="6"/>
  <c r="AJ17" i="6"/>
  <c r="AG17" i="6"/>
  <c r="AH17" i="6" s="1"/>
  <c r="AC17" i="6"/>
  <c r="Z17" i="6"/>
  <c r="X17" i="6"/>
  <c r="Y17" i="6" s="1"/>
  <c r="AA17" i="6" s="1"/>
  <c r="W17" i="6"/>
  <c r="T17" i="6"/>
  <c r="U17" i="6" s="1"/>
  <c r="S17" i="6"/>
  <c r="P17" i="6"/>
  <c r="N17" i="6"/>
  <c r="Q17" i="6" s="1"/>
  <c r="L17" i="6"/>
  <c r="K17" i="6"/>
  <c r="G17" i="6"/>
  <c r="H17" i="6" s="1"/>
  <c r="I17" i="6" s="1"/>
  <c r="E17" i="6"/>
  <c r="C17" i="6"/>
  <c r="AV16" i="6"/>
  <c r="AW16" i="6" s="1"/>
  <c r="AT16" i="6"/>
  <c r="AS16" i="6"/>
  <c r="AP16" i="6"/>
  <c r="AQ16" i="6" s="1"/>
  <c r="AN16" i="6"/>
  <c r="AM16" i="6"/>
  <c r="AJ16" i="6"/>
  <c r="AK16" i="6" s="1"/>
  <c r="AH16" i="6"/>
  <c r="AG16" i="6"/>
  <c r="AC16" i="6"/>
  <c r="Z16" i="6"/>
  <c r="W16" i="6"/>
  <c r="X16" i="6" s="1"/>
  <c r="Y16" i="6" s="1"/>
  <c r="AA16" i="6" s="1"/>
  <c r="S16" i="6"/>
  <c r="T16" i="6" s="1"/>
  <c r="U16" i="6" s="1"/>
  <c r="Q16" i="6"/>
  <c r="P16" i="6"/>
  <c r="N16" i="6"/>
  <c r="L16" i="6"/>
  <c r="K16" i="6"/>
  <c r="G16" i="6"/>
  <c r="E16" i="6"/>
  <c r="C16" i="6"/>
  <c r="H16" i="6" s="1"/>
  <c r="I16" i="6" s="1"/>
  <c r="AV15" i="6"/>
  <c r="AW15" i="6" s="1"/>
  <c r="AT15" i="6"/>
  <c r="AS15" i="6"/>
  <c r="AP15" i="6"/>
  <c r="AQ15" i="6" s="1"/>
  <c r="AN15" i="6"/>
  <c r="AM15" i="6"/>
  <c r="AJ15" i="6"/>
  <c r="AK15" i="6" s="1"/>
  <c r="AH15" i="6"/>
  <c r="AG15" i="6"/>
  <c r="AC15" i="6"/>
  <c r="Z15" i="6"/>
  <c r="AA15" i="6" s="1"/>
  <c r="W15" i="6"/>
  <c r="X15" i="6" s="1"/>
  <c r="Y15" i="6" s="1"/>
  <c r="U15" i="6"/>
  <c r="T15" i="6"/>
  <c r="S15" i="6"/>
  <c r="Q15" i="6"/>
  <c r="P15" i="6"/>
  <c r="N15" i="6"/>
  <c r="K15" i="6"/>
  <c r="L15" i="6" s="1"/>
  <c r="G15" i="6"/>
  <c r="E15" i="6"/>
  <c r="C15" i="6"/>
  <c r="H15" i="6" s="1"/>
  <c r="I15" i="6" s="1"/>
  <c r="AW14" i="6"/>
  <c r="AV14" i="6"/>
  <c r="AS14" i="6"/>
  <c r="AT14" i="6" s="1"/>
  <c r="AQ14" i="6"/>
  <c r="AP14" i="6"/>
  <c r="AM14" i="6"/>
  <c r="AN14" i="6" s="1"/>
  <c r="AK14" i="6"/>
  <c r="AJ14" i="6"/>
  <c r="AG14" i="6"/>
  <c r="AH14" i="6" s="1"/>
  <c r="AC14" i="6"/>
  <c r="Z14" i="6"/>
  <c r="Y14" i="6"/>
  <c r="AA14" i="6" s="1"/>
  <c r="X14" i="6"/>
  <c r="W14" i="6"/>
  <c r="T14" i="6"/>
  <c r="U14" i="6" s="1"/>
  <c r="S14" i="6"/>
  <c r="P14" i="6"/>
  <c r="N14" i="6"/>
  <c r="L14" i="6"/>
  <c r="K14" i="6"/>
  <c r="G14" i="6"/>
  <c r="E14" i="6"/>
  <c r="C14" i="6"/>
  <c r="H14" i="6" s="1"/>
  <c r="I14" i="6" s="1"/>
  <c r="AW13" i="6"/>
  <c r="AV13" i="6"/>
  <c r="AS13" i="6"/>
  <c r="AT13" i="6" s="1"/>
  <c r="AQ13" i="6"/>
  <c r="AP13" i="6"/>
  <c r="AM13" i="6"/>
  <c r="AN13" i="6" s="1"/>
  <c r="AK13" i="6"/>
  <c r="AJ13" i="6"/>
  <c r="AG13" i="6"/>
  <c r="AH13" i="6" s="1"/>
  <c r="AC13" i="6"/>
  <c r="Z13" i="6"/>
  <c r="Y13" i="6"/>
  <c r="AA13" i="6" s="1"/>
  <c r="X13" i="6"/>
  <c r="W13" i="6"/>
  <c r="T13" i="6"/>
  <c r="U13" i="6" s="1"/>
  <c r="S13" i="6"/>
  <c r="P13" i="6"/>
  <c r="N13" i="6"/>
  <c r="Q13" i="6" s="1"/>
  <c r="L13" i="6"/>
  <c r="K13" i="6"/>
  <c r="G13" i="6"/>
  <c r="H13" i="6" s="1"/>
  <c r="I13" i="6" s="1"/>
  <c r="E13" i="6"/>
  <c r="C13" i="6"/>
  <c r="AV12" i="6"/>
  <c r="AW12" i="6" s="1"/>
  <c r="AT12" i="6"/>
  <c r="AS12" i="6"/>
  <c r="AP12" i="6"/>
  <c r="AQ12" i="6" s="1"/>
  <c r="AN12" i="6"/>
  <c r="AM12" i="6"/>
  <c r="AJ12" i="6"/>
  <c r="AK12" i="6" s="1"/>
  <c r="AH12" i="6"/>
  <c r="AG12" i="6"/>
  <c r="AC12" i="6"/>
  <c r="AA12" i="6"/>
  <c r="Z12" i="6"/>
  <c r="X12" i="6"/>
  <c r="Y12" i="6" s="1"/>
  <c r="W12" i="6"/>
  <c r="S12" i="6"/>
  <c r="T12" i="6" s="1"/>
  <c r="U12" i="6" s="1"/>
  <c r="Q12" i="6"/>
  <c r="P12" i="6"/>
  <c r="N12" i="6"/>
  <c r="K12" i="6"/>
  <c r="L12" i="6" s="1"/>
  <c r="G12" i="6"/>
  <c r="E12" i="6"/>
  <c r="C12" i="6"/>
  <c r="H12" i="6" s="1"/>
  <c r="I12" i="6" s="1"/>
  <c r="AV11" i="6"/>
  <c r="AW11" i="6" s="1"/>
  <c r="AT11" i="6"/>
  <c r="AS11" i="6"/>
  <c r="AP11" i="6"/>
  <c r="AQ11" i="6" s="1"/>
  <c r="AN11" i="6"/>
  <c r="AM11" i="6"/>
  <c r="AJ11" i="6"/>
  <c r="AK11" i="6" s="1"/>
  <c r="AH11" i="6"/>
  <c r="AG11" i="6"/>
  <c r="AC11" i="6"/>
  <c r="Z11" i="6"/>
  <c r="W11" i="6"/>
  <c r="X11" i="6" s="1"/>
  <c r="Y11" i="6" s="1"/>
  <c r="AA11" i="6" s="1"/>
  <c r="U11" i="6"/>
  <c r="T11" i="6"/>
  <c r="S11" i="6"/>
  <c r="Q11" i="6"/>
  <c r="P11" i="6"/>
  <c r="N11" i="6"/>
  <c r="K11" i="6"/>
  <c r="L11" i="6" s="1"/>
  <c r="I11" i="6"/>
  <c r="G11" i="6"/>
  <c r="E11" i="6"/>
  <c r="C11" i="6"/>
  <c r="H11" i="6" s="1"/>
  <c r="AW10" i="6"/>
  <c r="AV10" i="6"/>
  <c r="AS10" i="6"/>
  <c r="AT10" i="6" s="1"/>
  <c r="AQ10" i="6"/>
  <c r="AP10" i="6"/>
  <c r="AM10" i="6"/>
  <c r="AN10" i="6" s="1"/>
  <c r="AK10" i="6"/>
  <c r="AJ10" i="6"/>
  <c r="AG10" i="6"/>
  <c r="AH10" i="6" s="1"/>
  <c r="AC10" i="6"/>
  <c r="Z10" i="6"/>
  <c r="Y10" i="6"/>
  <c r="X10" i="6"/>
  <c r="W10" i="6"/>
  <c r="U10" i="6"/>
  <c r="T10" i="6"/>
  <c r="S10" i="6"/>
  <c r="P10" i="6"/>
  <c r="N10" i="6"/>
  <c r="L10" i="6"/>
  <c r="K10" i="6"/>
  <c r="G10" i="6"/>
  <c r="E10" i="6"/>
  <c r="C10" i="6"/>
  <c r="H10" i="6" s="1"/>
  <c r="I10" i="6" s="1"/>
  <c r="AW9" i="6"/>
  <c r="AV9" i="6"/>
  <c r="AS9" i="6"/>
  <c r="AT9" i="6" s="1"/>
  <c r="AQ9" i="6"/>
  <c r="AP9" i="6"/>
  <c r="AM9" i="6"/>
  <c r="AN9" i="6" s="1"/>
  <c r="AJ9" i="6"/>
  <c r="AK9" i="6" s="1"/>
  <c r="AG9" i="6"/>
  <c r="AH9" i="6" s="1"/>
  <c r="AC9" i="6"/>
  <c r="Z9" i="6"/>
  <c r="W9" i="6"/>
  <c r="X9" i="6" s="1"/>
  <c r="Y9" i="6" s="1"/>
  <c r="AA9" i="6" s="1"/>
  <c r="T9" i="6"/>
  <c r="U9" i="6" s="1"/>
  <c r="S9" i="6"/>
  <c r="P9" i="6"/>
  <c r="N9" i="6"/>
  <c r="Q9" i="6" s="1"/>
  <c r="L9" i="6"/>
  <c r="K9" i="6"/>
  <c r="G9" i="6"/>
  <c r="H9" i="6" s="1"/>
  <c r="I9" i="6" s="1"/>
  <c r="E9" i="6"/>
  <c r="C9" i="6"/>
  <c r="AV8" i="6"/>
  <c r="AW8" i="6" s="1"/>
  <c r="AT8" i="6"/>
  <c r="AS8" i="6"/>
  <c r="AP8" i="6"/>
  <c r="AQ8" i="6" s="1"/>
  <c r="AN8" i="6"/>
  <c r="AM8" i="6"/>
  <c r="AJ8" i="6"/>
  <c r="AK8" i="6" s="1"/>
  <c r="AH8" i="6"/>
  <c r="AG8" i="6"/>
  <c r="AC8" i="6"/>
  <c r="Z8" i="6"/>
  <c r="W8" i="6"/>
  <c r="X8" i="6" s="1"/>
  <c r="Y8" i="6" s="1"/>
  <c r="AA8" i="6" s="1"/>
  <c r="S8" i="6"/>
  <c r="T8" i="6" s="1"/>
  <c r="U8" i="6" s="1"/>
  <c r="Q8" i="6"/>
  <c r="P8" i="6"/>
  <c r="N8" i="6"/>
  <c r="K8" i="6"/>
  <c r="L8" i="6" s="1"/>
  <c r="G8" i="6"/>
  <c r="E8" i="6"/>
  <c r="C8" i="6"/>
  <c r="H8" i="6" s="1"/>
  <c r="I8" i="6" s="1"/>
  <c r="AV7" i="6"/>
  <c r="AW7" i="6" s="1"/>
  <c r="AT7" i="6"/>
  <c r="AS7" i="6"/>
  <c r="AP7" i="6"/>
  <c r="AQ7" i="6" s="1"/>
  <c r="AN7" i="6"/>
  <c r="AM7" i="6"/>
  <c r="AJ7" i="6"/>
  <c r="AK7" i="6" s="1"/>
  <c r="AH7" i="6"/>
  <c r="AG7" i="6"/>
  <c r="AC7" i="6"/>
  <c r="Z7" i="6"/>
  <c r="W7" i="6"/>
  <c r="X7" i="6" s="1"/>
  <c r="Y7" i="6" s="1"/>
  <c r="AA7" i="6" s="1"/>
  <c r="U7" i="6"/>
  <c r="T7" i="6"/>
  <c r="S7" i="6"/>
  <c r="P7" i="6"/>
  <c r="Q7" i="6" s="1"/>
  <c r="N7" i="6"/>
  <c r="K7" i="6"/>
  <c r="L7" i="6" s="1"/>
  <c r="G7" i="6"/>
  <c r="E7" i="6"/>
  <c r="C7" i="6"/>
  <c r="H7" i="6" s="1"/>
  <c r="I7" i="6" s="1"/>
  <c r="AW6" i="6"/>
  <c r="AV6" i="6"/>
  <c r="AS6" i="6"/>
  <c r="AS35" i="6" s="1"/>
  <c r="AQ6" i="6"/>
  <c r="AP6" i="6"/>
  <c r="AM6" i="6"/>
  <c r="AM35" i="6" s="1"/>
  <c r="AK6" i="6"/>
  <c r="AJ6" i="6"/>
  <c r="AG6" i="6"/>
  <c r="AG35" i="6" s="1"/>
  <c r="AC6" i="6"/>
  <c r="Z6" i="6"/>
  <c r="Y6" i="6"/>
  <c r="AA6" i="6" s="1"/>
  <c r="X6" i="6"/>
  <c r="W6" i="6"/>
  <c r="T6" i="6"/>
  <c r="U6" i="6" s="1"/>
  <c r="S6" i="6"/>
  <c r="P6" i="6"/>
  <c r="N6" i="6"/>
  <c r="N35" i="6" s="1"/>
  <c r="L6" i="6"/>
  <c r="K6" i="6"/>
  <c r="H6" i="6"/>
  <c r="I6" i="6" s="1"/>
  <c r="G6" i="6"/>
  <c r="E6" i="6"/>
  <c r="C6" i="6"/>
  <c r="AW5" i="6"/>
  <c r="AT5" i="6"/>
  <c r="AQ5" i="6"/>
  <c r="AN5" i="6"/>
  <c r="AK5" i="6"/>
  <c r="AH5" i="6"/>
  <c r="Z5" i="6"/>
  <c r="Y5" i="6"/>
  <c r="X5" i="6"/>
  <c r="T5" i="6"/>
  <c r="Q5" i="6"/>
  <c r="L5" i="6"/>
  <c r="H5" i="6"/>
  <c r="AW35" i="6" l="1"/>
  <c r="Z35" i="6"/>
  <c r="P35" i="6"/>
  <c r="AH6" i="6"/>
  <c r="AT6" i="6"/>
  <c r="X35" i="6"/>
  <c r="Z38" i="6" s="1"/>
  <c r="AH35" i="6"/>
  <c r="AT35" i="6"/>
  <c r="G35" i="6"/>
  <c r="S35" i="6"/>
  <c r="AC35" i="6"/>
  <c r="AD38" i="6" s="1"/>
  <c r="AE38" i="6" s="1"/>
  <c r="Q10" i="6"/>
  <c r="H19" i="6"/>
  <c r="I19" i="6" s="1"/>
  <c r="H20" i="6"/>
  <c r="I20" i="6" s="1"/>
  <c r="AK35" i="6"/>
  <c r="Y35" i="6"/>
  <c r="C35" i="6"/>
  <c r="AN6" i="6"/>
  <c r="AN35" i="6" s="1"/>
  <c r="L58" i="6"/>
  <c r="T35" i="6"/>
  <c r="T38" i="6" s="1"/>
  <c r="I5" i="6"/>
  <c r="U5" i="6"/>
  <c r="U35" i="6" s="1"/>
  <c r="AA5" i="6"/>
  <c r="AA35" i="6" s="1"/>
  <c r="AQ35" i="6"/>
  <c r="E35" i="6"/>
  <c r="K35" i="6"/>
  <c r="Q6" i="6"/>
  <c r="Q35" i="6" s="1"/>
  <c r="W35" i="6"/>
  <c r="AJ35" i="6"/>
  <c r="AP35" i="6"/>
  <c r="AV35" i="6"/>
  <c r="AA10" i="6"/>
  <c r="Q14" i="6"/>
  <c r="Q26" i="6"/>
  <c r="H28" i="6"/>
  <c r="I28" i="6" s="1"/>
  <c r="AA30" i="6"/>
  <c r="H32" i="6"/>
  <c r="I32" i="6" s="1"/>
  <c r="AB48" i="6"/>
  <c r="AB46" i="6"/>
  <c r="R50" i="6"/>
  <c r="B50" i="6"/>
  <c r="H24" i="6"/>
  <c r="I24" i="6" s="1"/>
  <c r="AA32" i="6"/>
  <c r="H34" i="6"/>
  <c r="I34" i="6" s="1"/>
  <c r="AB47" i="6"/>
  <c r="B58" i="6"/>
  <c r="R38" i="6" l="1"/>
  <c r="R41" i="6" s="1"/>
  <c r="T41" i="6" s="1"/>
  <c r="L48" i="6"/>
  <c r="Z56" i="6" s="1"/>
  <c r="W48" i="6"/>
  <c r="AB50" i="6"/>
  <c r="W49" i="6"/>
  <c r="X38" i="6"/>
  <c r="X41" i="6" s="1"/>
  <c r="AG41" i="6" s="1"/>
  <c r="Z41" i="6" s="1"/>
  <c r="L49" i="6"/>
  <c r="Z57" i="6" s="1"/>
  <c r="M38" i="6"/>
  <c r="L35" i="6"/>
  <c r="H35" i="6"/>
  <c r="I35" i="6" s="1"/>
  <c r="AF49" i="6" l="1"/>
  <c r="R57" i="6"/>
  <c r="W57" i="6" s="1"/>
  <c r="Y49" i="6"/>
  <c r="L46" i="6"/>
  <c r="Z54" i="6" s="1"/>
  <c r="D38" i="6"/>
  <c r="W46" i="6"/>
  <c r="R56" i="6"/>
  <c r="W56" i="6" s="1"/>
  <c r="AF48" i="6"/>
  <c r="Y48" i="6"/>
  <c r="W47" i="6"/>
  <c r="L47" i="6"/>
  <c r="Z55" i="6" s="1"/>
  <c r="L38" i="6"/>
  <c r="L41" i="6" s="1"/>
  <c r="M41" i="6" s="1"/>
  <c r="AA57" i="6"/>
  <c r="AE57" i="6" s="1"/>
  <c r="AD57" i="6"/>
  <c r="AD56" i="6"/>
  <c r="AA56" i="6"/>
  <c r="AE56" i="6" s="1"/>
  <c r="K3" i="4"/>
  <c r="K4" i="4"/>
  <c r="K5" i="4"/>
  <c r="K6" i="4"/>
  <c r="K7" i="4"/>
  <c r="K24" i="4"/>
  <c r="K25" i="4"/>
  <c r="K26" i="4"/>
  <c r="K27" i="4"/>
  <c r="K28" i="4"/>
  <c r="K29" i="4"/>
  <c r="K30" i="4"/>
  <c r="K31" i="4"/>
  <c r="K2" i="4"/>
  <c r="I3" i="4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AD55" i="6"/>
  <c r="AA55" i="6"/>
  <c r="AE55" i="6" s="1"/>
  <c r="R55" i="6"/>
  <c r="W55" i="6" s="1"/>
  <c r="AF47" i="6"/>
  <c r="Y47" i="6"/>
  <c r="AF46" i="6"/>
  <c r="W50" i="6"/>
  <c r="R54" i="6"/>
  <c r="Y46" i="6"/>
  <c r="D41" i="6"/>
  <c r="G41" i="6" s="1"/>
  <c r="G38" i="6"/>
  <c r="AH48" i="6"/>
  <c r="AG48" i="6"/>
  <c r="Z58" i="6"/>
  <c r="AD54" i="6"/>
  <c r="AD58" i="6" s="1"/>
  <c r="AA54" i="6"/>
  <c r="AH49" i="6"/>
  <c r="AG49" i="6"/>
  <c r="E30" i="4"/>
  <c r="E6" i="4"/>
  <c r="E4" i="4"/>
  <c r="E26" i="4"/>
  <c r="E5" i="4"/>
  <c r="E25" i="4"/>
  <c r="E29" i="4"/>
  <c r="E24" i="4"/>
  <c r="E31" i="4"/>
  <c r="E27" i="4"/>
  <c r="E7" i="4"/>
  <c r="E3" i="4"/>
  <c r="AA58" i="6" l="1"/>
  <c r="AE54" i="6"/>
  <c r="AE58" i="6" s="1"/>
  <c r="R58" i="6"/>
  <c r="X59" i="6" s="1"/>
  <c r="B59" i="6" s="1"/>
  <c r="W54" i="6"/>
  <c r="W58" i="6" s="1"/>
  <c r="AH47" i="6"/>
  <c r="AG47" i="6"/>
  <c r="X51" i="6"/>
  <c r="B51" i="6" s="1"/>
  <c r="Y50" i="6"/>
  <c r="AF50" i="6"/>
  <c r="AH46" i="6"/>
  <c r="AG46" i="6"/>
  <c r="AF51" i="6" l="1"/>
  <c r="AG50" i="6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K23" i="4" l="1"/>
  <c r="K13" i="4"/>
  <c r="K17" i="4"/>
  <c r="K9" i="4"/>
  <c r="K18" i="4"/>
  <c r="K22" i="4"/>
  <c r="K19" i="4"/>
  <c r="K11" i="4"/>
  <c r="K16" i="4"/>
  <c r="K20" i="4"/>
  <c r="K8" i="4"/>
  <c r="K10" i="4"/>
  <c r="K12" i="4"/>
  <c r="K14" i="4"/>
  <c r="I8" i="4"/>
  <c r="K21" i="4" l="1"/>
  <c r="K15" i="4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<sst xmlns="http://schemas.openxmlformats.org/spreadsheetml/2006/main" count="249" uniqueCount="105">
  <si>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</si>
  <si>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</si>
  <si>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</si>
  <si>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</si>
  <si>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</si>
  <si>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</si>
  <si>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</si>
  <si>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</si>
  <si>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</si>
  <si>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</si>
  <si>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</si>
  <si>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</si>
  <si>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</si>
  <si>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</si>
  <si>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</si>
  <si>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</si>
  <si>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</si>
  <si>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</si>
  <si>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</si>
  <si>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</si>
  <si>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</si>
  <si>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</si>
  <si>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</si>
  <si>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</si>
  <si>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</si>
  <si>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</si>
  <si>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</si>
  <si>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</si>
  <si>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</si>
  <si>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</si>
  <si>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</si>
  <si>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</si>
  <si>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</si>
  <si>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</si>
  <si>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</si>
  <si>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</si>
  <si>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</si>
  <si>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</si>
  <si>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</si>
  <si>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</si>
  <si>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</si>
  <si>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</si>
  <si>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</si>
  <si>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</si>
  <si>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</si>
  <si>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</si>
  <si>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</si>
  <si>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</si>
  <si>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</si>
  <si>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</si>
  <si>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</si>
  <si>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</si>
  <si>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</si>
  <si>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</si>
  <si>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</si>
  <si>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</si>
  <si>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</si>
  <si>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</si>
  <si>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</si>
  <si>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</si>
  <si>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</si>
  <si>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</si>
  <si>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</si>
  <si>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</si>
  <si>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</si>
  <si>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</si>
  <si>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</si>
  <si>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</si>
  <si>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</si>
  <si>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</si>
  <si>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</si>
  <si>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</si>
  <si>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</si>
  <si>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</si>
  <si>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</si>
  <si>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</si>
  <si>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</si>
  <si>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</si>
  <si>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</si>
  <si>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</si>
  <si>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</si>
  <si>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</si>
  <si>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</si>
  <si>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</si>
  <si>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</si>
  <si>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</si>
  <si>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</si>
  <si>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</si>
  <si>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</si>
  <si>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</si>
  <si>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</si>
  <si>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</si>
  <si>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</si>
  <si>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</si>
  <si>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</si>
  <si>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</si>
  <si>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</si>
  <si>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</si>
  <si>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</si>
  <si>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</si>
  <si>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</si>
  <si>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JUNE 2024</t>
  </si>
  <si>
    <t>Actual June 2024</t>
  </si>
  <si>
    <t>Budget June 2024</t>
  </si>
  <si>
    <t>Actual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</si>
</sst>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1" formatCode="#,##0.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right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" fontId="22" fillId="6" borderId="26" xfId="18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171" fontId="8" fillId="0" borderId="0" xfId="0" applyNumberFormat="1" applyFont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J34" sqref="J34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Submetering!E2+Submetering!F2+Submetering!G2</f>
        <v>14322</v>
      </c>
      <c r="F2" s="17">
        <v>0.2</v>
      </c>
      <c r="G2" s="9">
        <f>'June 2024'!T5</f>
        <v>35.893800000000006</v>
      </c>
      <c r="H2" s="18">
        <v>16.591999999999999</v>
      </c>
      <c r="I2" s="9">
        <f>Submetering!H2</f>
        <v>103</v>
      </c>
      <c r="J2" s="17">
        <v>7.84</v>
      </c>
      <c r="K2" s="19">
        <f>Submetering!K2</f>
        <v>9952.0750000000007</v>
      </c>
      <c r="L2" s="17">
        <v>0.75616224871185767</v>
      </c>
      <c r="M2" s="9">
        <f>Submetering!N2</f>
        <v>191.99250000000001</v>
      </c>
      <c r="N2" s="2">
        <f>Submetering!O2</f>
        <v>268</v>
      </c>
      <c r="O2" s="15"/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Submetering!E3+Submetering!F3+Submetering!G3</f>
        <v>14499</v>
      </c>
      <c r="F3" s="17">
        <v>0.2</v>
      </c>
      <c r="G3" s="9">
        <f>'June 2024'!T6</f>
        <v>36.9495</v>
      </c>
      <c r="H3" s="18">
        <v>16.591999999999999</v>
      </c>
      <c r="I3" s="9">
        <f>Submetering!H3</f>
        <v>85</v>
      </c>
      <c r="J3" s="17">
        <v>7.84</v>
      </c>
      <c r="K3" s="19">
        <f>Submetering!K3</f>
        <v>10805.11</v>
      </c>
      <c r="L3" s="17">
        <v>0.75616224871185767</v>
      </c>
      <c r="M3" s="9">
        <f>Submetering!N3</f>
        <v>261.00900000000001</v>
      </c>
      <c r="N3" s="2">
        <f>Submetering!O3</f>
        <v>319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Submetering!E4+Submetering!F4+Submetering!G4</f>
        <v>14601</v>
      </c>
      <c r="F4" s="17">
        <v>0.2</v>
      </c>
      <c r="G4" s="9">
        <f>'June 2024'!T7</f>
        <v>38.005200000000002</v>
      </c>
      <c r="H4" s="18">
        <v>16.591999999999999</v>
      </c>
      <c r="I4" s="9">
        <f>Submetering!H4</f>
        <v>100</v>
      </c>
      <c r="J4" s="17">
        <v>7.84</v>
      </c>
      <c r="K4" s="19">
        <f>Submetering!K4</f>
        <v>10520.765000000001</v>
      </c>
      <c r="L4" s="17">
        <v>0.75616224871185767</v>
      </c>
      <c r="M4" s="9">
        <f>Submetering!N4</f>
        <v>305.99099999999999</v>
      </c>
      <c r="N4" s="2">
        <f>Submetering!O4</f>
        <v>399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Submetering!E5+Submetering!F5+Submetering!G5</f>
        <v>14594</v>
      </c>
      <c r="F5" s="17">
        <v>0.2</v>
      </c>
      <c r="G5" s="9">
        <f>'June 2024'!T8</f>
        <v>39.060900000000004</v>
      </c>
      <c r="H5" s="18">
        <v>16.591999999999999</v>
      </c>
      <c r="I5" s="9">
        <f>Submetering!H5</f>
        <v>101</v>
      </c>
      <c r="J5" s="17">
        <v>7.84</v>
      </c>
      <c r="K5" s="19">
        <f>Submetering!K5</f>
        <v>10805.11</v>
      </c>
      <c r="L5" s="17">
        <v>0.75616224871185767</v>
      </c>
      <c r="M5" s="9">
        <f>Submetering!N5</f>
        <v>312.00749999999999</v>
      </c>
      <c r="N5" s="2">
        <f>Submetering!O5</f>
        <v>414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Submetering!E6+Submetering!F6+Submetering!G6</f>
        <v>14851</v>
      </c>
      <c r="F6" s="17">
        <v>0.2</v>
      </c>
      <c r="G6" s="9">
        <f>'June 2024'!T9</f>
        <v>41.1723</v>
      </c>
      <c r="H6" s="18">
        <v>16.591999999999999</v>
      </c>
      <c r="I6" s="9">
        <f>Submetering!H6</f>
        <v>105</v>
      </c>
      <c r="J6" s="17">
        <v>7.84</v>
      </c>
      <c r="K6" s="19">
        <f>Submetering!K6</f>
        <v>10236.420000000002</v>
      </c>
      <c r="L6" s="17">
        <v>0.75616224871185767</v>
      </c>
      <c r="M6" s="9">
        <f>Submetering!N6</f>
        <v>276.00299999999999</v>
      </c>
      <c r="N6" s="2">
        <f>Submetering!O6</f>
        <v>359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Submetering!E7+Submetering!F7+Submetering!G7</f>
        <v>14352</v>
      </c>
      <c r="F7" s="17">
        <v>0.2</v>
      </c>
      <c r="G7" s="9">
        <f>'June 2024'!T10</f>
        <v>42.228000000000002</v>
      </c>
      <c r="H7" s="18">
        <v>16.591999999999999</v>
      </c>
      <c r="I7" s="9">
        <f>Submetering!H7</f>
        <v>113</v>
      </c>
      <c r="J7" s="17">
        <v>7.84</v>
      </c>
      <c r="K7" s="19">
        <f>Submetering!K7</f>
        <v>9099.0400000000009</v>
      </c>
      <c r="L7" s="17">
        <v>0.75616224871185767</v>
      </c>
      <c r="M7" s="9">
        <f>Submetering!N7</f>
        <v>293.98950000000002</v>
      </c>
      <c r="N7" s="2">
        <f>Submetering!O7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Submetering!E8+Submetering!F8+Submetering!G8</f>
        <v>14069</v>
      </c>
      <c r="F8" s="17">
        <v>0.2</v>
      </c>
      <c r="G8" s="9">
        <f>'June 2024'!T11</f>
        <v>42.228000000000002</v>
      </c>
      <c r="H8" s="18">
        <v>16.591999999999999</v>
      </c>
      <c r="I8" s="9">
        <f>Submetering!H8</f>
        <v>102</v>
      </c>
      <c r="J8" s="17">
        <v>7.84</v>
      </c>
      <c r="K8" s="19">
        <f>Submetering!K8</f>
        <v>9952.0750000000007</v>
      </c>
      <c r="L8" s="17">
        <v>0.75616224871185767</v>
      </c>
      <c r="M8" s="9">
        <f>Submetering!N8</f>
        <v>281.988</v>
      </c>
      <c r="N8" s="2">
        <f>Submetering!O8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Submetering!E9+Submetering!F9+Submetering!G9</f>
        <v>13810</v>
      </c>
      <c r="F9" s="17">
        <v>0.2</v>
      </c>
      <c r="G9" s="9">
        <f>'June 2024'!T12</f>
        <v>38.005200000000002</v>
      </c>
      <c r="H9" s="18">
        <v>16.591999999999999</v>
      </c>
      <c r="I9" s="9">
        <f>Submetering!H9</f>
        <v>96</v>
      </c>
      <c r="J9" s="17">
        <v>7.84</v>
      </c>
      <c r="K9" s="19">
        <f>Submetering!K9</f>
        <v>9383.3850000000002</v>
      </c>
      <c r="L9" s="17">
        <v>0.75616224871185767</v>
      </c>
      <c r="M9" s="9">
        <f>Submetering!N9</f>
        <v>292.005</v>
      </c>
      <c r="N9" s="2">
        <f>Submetering!O9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Submetering!E10+Submetering!F10+Submetering!G10</f>
        <v>14140</v>
      </c>
      <c r="F10" s="17">
        <v>0.2</v>
      </c>
      <c r="G10" s="9">
        <f>'June 2024'!T13</f>
        <v>39.060900000000004</v>
      </c>
      <c r="H10" s="18">
        <v>16.591999999999999</v>
      </c>
      <c r="I10" s="9">
        <f>Submetering!H10</f>
        <v>110</v>
      </c>
      <c r="J10" s="17">
        <v>7.84</v>
      </c>
      <c r="K10" s="19">
        <f>Submetering!K10</f>
        <v>10520.765000000001</v>
      </c>
      <c r="L10" s="17">
        <v>0.75616224871185767</v>
      </c>
      <c r="M10" s="9">
        <f>Submetering!N10</f>
        <v>273.98700000000002</v>
      </c>
      <c r="N10" s="2">
        <f>Submetering!O10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Submetering!E11+Submetering!F11+Submetering!G11</f>
        <v>14209</v>
      </c>
      <c r="F11" s="17">
        <v>0.2</v>
      </c>
      <c r="G11" s="9">
        <f>'June 2024'!T14</f>
        <v>40.116600000000005</v>
      </c>
      <c r="H11" s="18">
        <v>16.591999999999999</v>
      </c>
      <c r="I11" s="9">
        <f>Submetering!H11</f>
        <v>98</v>
      </c>
      <c r="J11" s="17">
        <v>7.84</v>
      </c>
      <c r="K11" s="19">
        <f>Submetering!K11</f>
        <v>10805.11</v>
      </c>
      <c r="L11" s="17">
        <v>0.75616224871185767</v>
      </c>
      <c r="M11" s="9">
        <f>Submetering!N11</f>
        <v>268.00200000000001</v>
      </c>
      <c r="N11" s="2">
        <f>Submetering!O11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Submetering!E12+Submetering!F12+Submetering!G12</f>
        <v>14399</v>
      </c>
      <c r="F12" s="17">
        <v>0.2</v>
      </c>
      <c r="G12" s="9">
        <f>'June 2024'!T15</f>
        <v>40.116600000000005</v>
      </c>
      <c r="H12" s="18">
        <v>16.591999999999999</v>
      </c>
      <c r="I12" s="9">
        <f>Submetering!H12</f>
        <v>99</v>
      </c>
      <c r="J12" s="17">
        <v>7.84</v>
      </c>
      <c r="K12" s="19">
        <f>Submetering!K12</f>
        <v>10520.765000000001</v>
      </c>
      <c r="L12" s="17">
        <v>0.75616224871185767</v>
      </c>
      <c r="M12" s="9">
        <f>Submetering!N12</f>
        <v>252</v>
      </c>
      <c r="N12" s="2">
        <f>Submetering!O12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Submetering!E13+Submetering!F13+Submetering!G13</f>
        <v>14269</v>
      </c>
      <c r="F13" s="17">
        <v>0.2</v>
      </c>
      <c r="G13" s="9">
        <f>'June 2024'!T16</f>
        <v>39.060900000000004</v>
      </c>
      <c r="H13" s="18">
        <v>16.591999999999999</v>
      </c>
      <c r="I13" s="9">
        <f>Submetering!H13</f>
        <v>90</v>
      </c>
      <c r="J13" s="17">
        <v>7.84</v>
      </c>
      <c r="K13" s="19">
        <f>Submetering!K13</f>
        <v>9952.0750000000007</v>
      </c>
      <c r="L13" s="17">
        <v>0.75616224871185767</v>
      </c>
      <c r="M13" s="9">
        <f>Submetering!N13</f>
        <v>230.01299999999998</v>
      </c>
      <c r="N13" s="2">
        <f>Submetering!O13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Submetering!E14+Submetering!F14+Submetering!G14</f>
        <v>14331</v>
      </c>
      <c r="F14" s="17">
        <v>0.2</v>
      </c>
      <c r="G14" s="9">
        <f>'June 2024'!T17</f>
        <v>39.060900000000004</v>
      </c>
      <c r="H14" s="18">
        <v>16.591999999999999</v>
      </c>
      <c r="I14" s="9">
        <f>Submetering!H14</f>
        <v>94</v>
      </c>
      <c r="J14" s="17">
        <v>7.84</v>
      </c>
      <c r="K14" s="19">
        <f>Submetering!K14</f>
        <v>10236.420000000002</v>
      </c>
      <c r="L14" s="17">
        <v>0.75616224871185767</v>
      </c>
      <c r="M14" s="9">
        <f>Submetering!N14</f>
        <v>226.989</v>
      </c>
      <c r="N14" s="2">
        <f>Submetering!O14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Submetering!E15+Submetering!F15+Submetering!G15</f>
        <v>14274</v>
      </c>
      <c r="F15" s="17">
        <v>0.2</v>
      </c>
      <c r="G15" s="9">
        <f>'June 2024'!T18</f>
        <v>39.060900000000004</v>
      </c>
      <c r="H15" s="18">
        <v>16.591999999999999</v>
      </c>
      <c r="I15" s="9">
        <f>Submetering!H15</f>
        <v>95</v>
      </c>
      <c r="J15" s="17">
        <v>7.84</v>
      </c>
      <c r="K15" s="19">
        <f>Submetering!K15</f>
        <v>10236.420000000002</v>
      </c>
      <c r="L15" s="17">
        <v>0.75616224871185767</v>
      </c>
      <c r="M15" s="9">
        <f>Submetering!N15</f>
        <v>225.00450000000001</v>
      </c>
      <c r="N15" s="2">
        <f>Submetering!O15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Submetering!E16+Submetering!F16+Submetering!G16</f>
        <v>14238</v>
      </c>
      <c r="F16" s="17">
        <v>0.2</v>
      </c>
      <c r="G16" s="9">
        <f>'June 2024'!T19</f>
        <v>40.116600000000005</v>
      </c>
      <c r="H16" s="18">
        <v>16.591999999999999</v>
      </c>
      <c r="I16" s="9">
        <f>Submetering!H16</f>
        <v>84</v>
      </c>
      <c r="J16" s="17">
        <v>7.84</v>
      </c>
      <c r="K16" s="19">
        <f>Submetering!K16</f>
        <v>9099.0400000000009</v>
      </c>
      <c r="L16" s="17">
        <v>0.75616224871185767</v>
      </c>
      <c r="M16" s="9">
        <f>Submetering!N16</f>
        <v>171.01350000000002</v>
      </c>
      <c r="N16" s="2">
        <f>Submetering!O16</f>
        <v>264</v>
      </c>
    </row>
    <row r="17" spans="1:14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Submetering!E17+Submetering!F17+Submetering!G17</f>
        <v>14146</v>
      </c>
      <c r="F17" s="17">
        <v>0.2</v>
      </c>
      <c r="G17" s="9">
        <f>'June 2024'!T20</f>
        <v>38.005200000000002</v>
      </c>
      <c r="H17" s="18">
        <v>16.591999999999999</v>
      </c>
      <c r="I17" s="9">
        <f>Submetering!H17</f>
        <v>93</v>
      </c>
      <c r="J17" s="17">
        <v>7.84</v>
      </c>
      <c r="K17" s="19">
        <f>Submetering!K17</f>
        <v>9667.7300000000014</v>
      </c>
      <c r="L17" s="17">
        <v>0.75616224871185767</v>
      </c>
      <c r="M17" s="9">
        <f>Submetering!N17</f>
        <v>211.995</v>
      </c>
      <c r="N17" s="2">
        <f>Submetering!O17</f>
        <v>348</v>
      </c>
    </row>
    <row r="18" spans="1:14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Submetering!E18+Submetering!F18+Submetering!G18</f>
        <v>14404</v>
      </c>
      <c r="F18" s="17">
        <v>0.2</v>
      </c>
      <c r="G18" s="9">
        <f>'June 2024'!T21</f>
        <v>38.005200000000002</v>
      </c>
      <c r="H18" s="18">
        <v>16.591999999999999</v>
      </c>
      <c r="I18" s="9">
        <f>Submetering!H18</f>
        <v>98</v>
      </c>
      <c r="J18" s="17">
        <v>7.84</v>
      </c>
      <c r="K18" s="19">
        <f>Submetering!K18</f>
        <v>11089.455000000002</v>
      </c>
      <c r="L18" s="17">
        <v>0.75616224871185767</v>
      </c>
      <c r="M18" s="9">
        <f>Submetering!N18</f>
        <v>258.99299999999999</v>
      </c>
      <c r="N18" s="2">
        <f>Submetering!O18</f>
        <v>420</v>
      </c>
    </row>
    <row r="19" spans="1:14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Submetering!E19+Submetering!F19+Submetering!G19</f>
        <v>14369</v>
      </c>
      <c r="F19" s="17">
        <v>0.2</v>
      </c>
      <c r="G19" s="9">
        <f>'June 2024'!T22</f>
        <v>39.060900000000004</v>
      </c>
      <c r="H19" s="18">
        <v>16.591999999999999</v>
      </c>
      <c r="I19" s="9">
        <f>Submetering!H19</f>
        <v>109</v>
      </c>
      <c r="J19" s="17">
        <v>7.84</v>
      </c>
      <c r="K19" s="19">
        <f>Submetering!K19</f>
        <v>11089.455000000002</v>
      </c>
      <c r="L19" s="17">
        <v>0.75616224871185767</v>
      </c>
      <c r="M19" s="9">
        <f>Submetering!N19</f>
        <v>253.9845</v>
      </c>
      <c r="N19" s="2">
        <f>Submetering!O19</f>
        <v>394</v>
      </c>
    </row>
    <row r="20" spans="1:14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Submetering!E20+Submetering!F20+Submetering!G20</f>
        <v>14178</v>
      </c>
      <c r="F20" s="17">
        <v>0.2</v>
      </c>
      <c r="G20" s="9">
        <f>'June 2024'!T23</f>
        <v>38.005200000000002</v>
      </c>
      <c r="H20" s="18">
        <v>16.591999999999999</v>
      </c>
      <c r="I20" s="9">
        <f>Submetering!H20</f>
        <v>104</v>
      </c>
      <c r="J20" s="17">
        <v>7.84</v>
      </c>
      <c r="K20" s="19">
        <f>Submetering!K20</f>
        <v>11089.455000000002</v>
      </c>
      <c r="L20" s="17">
        <v>0.75616224871185767</v>
      </c>
      <c r="M20" s="9">
        <f>Submetering!N20</f>
        <v>222.98849999999999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Submetering!E21+Submetering!F21+Submetering!G21</f>
        <v>14116</v>
      </c>
      <c r="F21" s="17">
        <v>0.2</v>
      </c>
      <c r="G21" s="9">
        <f>'June 2024'!T24</f>
        <v>41.1723</v>
      </c>
      <c r="H21" s="18">
        <v>16.591999999999999</v>
      </c>
      <c r="I21" s="9">
        <f>Submetering!H21</f>
        <v>88</v>
      </c>
      <c r="J21" s="17">
        <v>7.84</v>
      </c>
      <c r="K21" s="19">
        <f>Submetering!K21</f>
        <v>10805.11</v>
      </c>
      <c r="L21" s="17">
        <v>0.75616224871185767</v>
      </c>
      <c r="M21" s="9">
        <f>Submetering!N21</f>
        <v>225.00450000000001</v>
      </c>
      <c r="N21" s="2">
        <f>Submetering!O21</f>
        <v>316</v>
      </c>
    </row>
    <row r="22" spans="1:14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Submetering!E22+Submetering!F22+Submetering!G22</f>
        <v>14180</v>
      </c>
      <c r="F22" s="17">
        <v>0.2</v>
      </c>
      <c r="G22" s="9">
        <f>'June 2024'!T25</f>
        <v>42.228000000000002</v>
      </c>
      <c r="H22" s="18">
        <v>16.591999999999999</v>
      </c>
      <c r="I22" s="9">
        <f>Submetering!H22</f>
        <v>100</v>
      </c>
      <c r="J22" s="17">
        <v>7.84</v>
      </c>
      <c r="K22" s="19">
        <f>Submetering!K22</f>
        <v>10805.11</v>
      </c>
      <c r="L22" s="17">
        <v>0.75616224871185767</v>
      </c>
      <c r="M22" s="9">
        <f>Submetering!N22</f>
        <v>268.00200000000001</v>
      </c>
      <c r="N22" s="2">
        <f>Submetering!O22</f>
        <v>439</v>
      </c>
    </row>
    <row r="23" spans="1:14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Submetering!E23+Submetering!F23+Submetering!G23</f>
        <v>14184</v>
      </c>
      <c r="F23" s="17">
        <v>0.2</v>
      </c>
      <c r="G23" s="9">
        <f>'June 2024'!T26</f>
        <v>43.283700000000003</v>
      </c>
      <c r="H23" s="18">
        <v>16.591999999999999</v>
      </c>
      <c r="I23" s="9">
        <f>Submetering!H23</f>
        <v>109</v>
      </c>
      <c r="J23" s="17">
        <v>7.84</v>
      </c>
      <c r="K23" s="19">
        <f>Submetering!K23</f>
        <v>12226.835000000001</v>
      </c>
      <c r="L23" s="17">
        <v>0.75616224871185767</v>
      </c>
      <c r="M23" s="9">
        <f>Submetering!N23</f>
        <v>223.9965</v>
      </c>
      <c r="N23" s="2">
        <f>Submetering!O23</f>
        <v>333</v>
      </c>
    </row>
    <row r="24" spans="1:14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Submetering!E24+Submetering!F24+Submetering!G24</f>
        <v>13748</v>
      </c>
      <c r="F24" s="17">
        <v>0.2</v>
      </c>
      <c r="G24" s="9">
        <f>'June 2024'!T27</f>
        <v>36.9495</v>
      </c>
      <c r="H24" s="18">
        <v>16.591999999999999</v>
      </c>
      <c r="I24" s="9">
        <f>Submetering!H24</f>
        <v>88</v>
      </c>
      <c r="J24" s="17">
        <v>7.84</v>
      </c>
      <c r="K24" s="19">
        <f>Submetering!K24</f>
        <v>11373.800000000001</v>
      </c>
      <c r="L24" s="17">
        <v>0.75616224871185767</v>
      </c>
      <c r="M24" s="9">
        <f>Submetering!N24</f>
        <v>262.99349999999998</v>
      </c>
      <c r="N24" s="2">
        <f>Submetering!O24</f>
        <v>344</v>
      </c>
    </row>
    <row r="25" spans="1:14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Submetering!E25+Submetering!F25+Submetering!G25</f>
        <v>14225</v>
      </c>
      <c r="F25" s="17">
        <v>0.2</v>
      </c>
      <c r="G25" s="9">
        <f>'June 2024'!T28</f>
        <v>40.116600000000005</v>
      </c>
      <c r="H25" s="18">
        <v>16.591999999999999</v>
      </c>
      <c r="I25" s="9">
        <f>Submetering!H25</f>
        <v>101</v>
      </c>
      <c r="J25" s="17">
        <v>7.84</v>
      </c>
      <c r="K25" s="19">
        <f>Submetering!K25</f>
        <v>11089.455000000002</v>
      </c>
      <c r="L25" s="17">
        <v>0.75616224871185767</v>
      </c>
      <c r="M25" s="9">
        <f>Submetering!N25</f>
        <v>306.99900000000002</v>
      </c>
      <c r="N25" s="2">
        <f>Submetering!O25</f>
        <v>387</v>
      </c>
    </row>
    <row r="26" spans="1:14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Submetering!E26+Submetering!F26+Submetering!G26</f>
        <v>14296</v>
      </c>
      <c r="F26" s="17">
        <v>0.2</v>
      </c>
      <c r="G26" s="9">
        <f>'June 2024'!T29</f>
        <v>36.9495</v>
      </c>
      <c r="H26" s="18">
        <v>16.591999999999999</v>
      </c>
      <c r="I26" s="9">
        <f>Submetering!H26</f>
        <v>109</v>
      </c>
      <c r="J26" s="17">
        <v>7.84</v>
      </c>
      <c r="K26" s="19">
        <f>Submetering!K26</f>
        <v>11089.455000000002</v>
      </c>
      <c r="L26" s="17">
        <v>0.75616224871185767</v>
      </c>
      <c r="M26" s="9">
        <f>Submetering!N26</f>
        <v>297.01349999999996</v>
      </c>
      <c r="N26" s="2">
        <f>Submetering!O26</f>
        <v>363</v>
      </c>
    </row>
    <row r="27" spans="1:14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Submetering!E27+Submetering!F27+Submetering!G27</f>
        <v>13960</v>
      </c>
      <c r="F27" s="17">
        <v>0.2</v>
      </c>
      <c r="G27" s="9">
        <f>'June 2024'!T30</f>
        <v>42.228000000000002</v>
      </c>
      <c r="H27" s="18">
        <v>16.591999999999999</v>
      </c>
      <c r="I27" s="9">
        <f>Submetering!H27</f>
        <v>94</v>
      </c>
      <c r="J27" s="17">
        <v>7.84</v>
      </c>
      <c r="K27" s="19">
        <f>Submetering!K27</f>
        <v>11658.145</v>
      </c>
      <c r="L27" s="17">
        <v>0.75616224871185767</v>
      </c>
      <c r="M27" s="9">
        <f>Submetering!N27</f>
        <v>293.98950000000002</v>
      </c>
      <c r="N27" s="2">
        <f>Submetering!O27</f>
        <v>364</v>
      </c>
    </row>
    <row r="28" spans="1:14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Submetering!E28+Submetering!F28+Submetering!G28</f>
        <v>15197</v>
      </c>
      <c r="F28" s="17">
        <v>0.2</v>
      </c>
      <c r="G28" s="9">
        <f>'June 2024'!T31</f>
        <v>36.9495</v>
      </c>
      <c r="H28" s="18">
        <v>16.591999999999999</v>
      </c>
      <c r="I28" s="9">
        <f>Submetering!H28</f>
        <v>120</v>
      </c>
      <c r="J28" s="17">
        <v>7.84</v>
      </c>
      <c r="K28" s="19">
        <f>Submetering!K28</f>
        <v>10520.765000000001</v>
      </c>
      <c r="L28" s="17">
        <v>0.75616224871185767</v>
      </c>
      <c r="M28" s="9">
        <f>Submetering!N28</f>
        <v>294.9975</v>
      </c>
      <c r="N28" s="2">
        <f>Submetering!O28</f>
        <v>370</v>
      </c>
    </row>
    <row r="29" spans="1:14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Submetering!E29+Submetering!F29+Submetering!G29</f>
        <v>13849</v>
      </c>
      <c r="F29" s="17">
        <v>0.2</v>
      </c>
      <c r="G29" s="9">
        <f>'June 2024'!T32</f>
        <v>40.116600000000005</v>
      </c>
      <c r="H29" s="18">
        <v>16.591999999999999</v>
      </c>
      <c r="I29" s="9">
        <f>Submetering!H29</f>
        <v>151</v>
      </c>
      <c r="J29" s="17">
        <v>7.84</v>
      </c>
      <c r="K29" s="19">
        <f>Submetering!K29</f>
        <v>12226.835000000001</v>
      </c>
      <c r="L29" s="17">
        <v>0.75616224871185767</v>
      </c>
      <c r="M29" s="9">
        <f>Submetering!N29</f>
        <v>305.0145</v>
      </c>
      <c r="N29" s="2">
        <f>Submetering!O29</f>
        <v>449</v>
      </c>
    </row>
    <row r="30" spans="1:14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Submetering!E30+Submetering!F30+Submetering!G30</f>
        <v>13694</v>
      </c>
      <c r="F30" s="17">
        <v>0.2</v>
      </c>
      <c r="G30" s="9">
        <f>'June 2024'!T33</f>
        <v>35.893800000000006</v>
      </c>
      <c r="H30" s="18">
        <v>16.591999999999999</v>
      </c>
      <c r="I30" s="9">
        <f>Submetering!H30</f>
        <v>104</v>
      </c>
      <c r="J30" s="17">
        <v>7.84</v>
      </c>
      <c r="K30" s="19">
        <f>Submetering!K30</f>
        <v>11658.145</v>
      </c>
      <c r="L30" s="17">
        <v>0.75616224871185767</v>
      </c>
      <c r="M30" s="9">
        <f>Submetering!N30</f>
        <v>265.98599999999999</v>
      </c>
      <c r="N30" s="2">
        <f>Submetering!O30</f>
        <v>393</v>
      </c>
    </row>
    <row r="31" spans="1:14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Submetering!E31+Submetering!F31+Submetering!G31</f>
        <v>14075</v>
      </c>
      <c r="F31" s="17">
        <v>0.2</v>
      </c>
      <c r="G31" s="9">
        <f>'June 2024'!T34</f>
        <v>33.782400000000003</v>
      </c>
      <c r="H31" s="18">
        <v>16.591999999999999</v>
      </c>
      <c r="I31" s="9">
        <f>Submetering!H31</f>
        <v>111</v>
      </c>
      <c r="J31" s="17">
        <v>7.84</v>
      </c>
      <c r="K31" s="19">
        <f>Submetering!K31</f>
        <v>10805.11</v>
      </c>
      <c r="L31" s="17">
        <v>0.75616224871185767</v>
      </c>
      <c r="M31" s="9">
        <f>Submetering!N31</f>
        <v>293.01300000000003</v>
      </c>
      <c r="N31" s="2">
        <f>Submetering!O31</f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Q2" sqref="Q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6</v>
      </c>
      <c r="D2" s="2">
        <v>2024</v>
      </c>
      <c r="E2" s="9">
        <f>'June 2024'!C5</f>
        <v>7990</v>
      </c>
      <c r="F2" s="9">
        <f>'June 2024'!E5</f>
        <v>6217</v>
      </c>
      <c r="G2" s="9">
        <f>'June 2024'!G5</f>
        <v>115</v>
      </c>
      <c r="H2" s="9">
        <f>'June 2024'!K5</f>
        <v>103</v>
      </c>
      <c r="I2" s="9">
        <f>'June 2024'!N5</f>
        <v>19</v>
      </c>
      <c r="J2" s="9">
        <f>'June 2024'!P5</f>
        <v>14</v>
      </c>
      <c r="K2" s="9">
        <f>'June 2024'!X5</f>
        <v>9952.0750000000007</v>
      </c>
      <c r="L2" s="9">
        <f>'June 2024'!AC5</f>
        <v>12601</v>
      </c>
      <c r="M2" s="9">
        <f>'June 2024'!AP5</f>
        <v>12</v>
      </c>
      <c r="N2" s="9">
        <f>'June 2024'!AD5*315</f>
        <v>191.99250000000001</v>
      </c>
      <c r="O2" s="152">
        <f>'June 2024'!AE5</f>
        <v>268</v>
      </c>
    </row>
    <row r="3" spans="1:15" x14ac:dyDescent="0.25">
      <c r="A3" s="26" t="s">
        <v>83</v>
      </c>
      <c r="B3" s="2">
        <f t="shared" ref="B3:B31" si="0">B2+1</f>
        <v>2</v>
      </c>
      <c r="C3" s="16">
        <v>6</v>
      </c>
      <c r="D3" s="2">
        <v>2024</v>
      </c>
      <c r="E3" s="9">
        <f>'June 2024'!C6</f>
        <v>7934</v>
      </c>
      <c r="F3" s="9">
        <f>'June 2024'!E6</f>
        <v>6454</v>
      </c>
      <c r="G3" s="9">
        <f>'June 2024'!G6</f>
        <v>111</v>
      </c>
      <c r="H3" s="9">
        <f>'June 2024'!K6</f>
        <v>85</v>
      </c>
      <c r="I3" s="9">
        <f>'June 2024'!N6</f>
        <v>19</v>
      </c>
      <c r="J3" s="9">
        <f>'June 2024'!P6</f>
        <v>16</v>
      </c>
      <c r="K3" s="9">
        <f>'June 2024'!X6</f>
        <v>10805.11</v>
      </c>
      <c r="L3" s="9">
        <f>'June 2024'!AC6</f>
        <v>12546</v>
      </c>
      <c r="M3" s="9">
        <f>'June 2024'!AP6</f>
        <v>10</v>
      </c>
      <c r="N3" s="9">
        <f>'June 2024'!AD6*315</f>
        <v>261.00900000000001</v>
      </c>
      <c r="O3" s="152">
        <f>'June 2024'!AE6</f>
        <v>319</v>
      </c>
    </row>
    <row r="4" spans="1:15" x14ac:dyDescent="0.25">
      <c r="A4" s="26" t="s">
        <v>83</v>
      </c>
      <c r="B4" s="2">
        <f t="shared" si="0"/>
        <v>3</v>
      </c>
      <c r="C4" s="16">
        <v>6</v>
      </c>
      <c r="D4" s="2">
        <v>2024</v>
      </c>
      <c r="E4" s="9">
        <f>'June 2024'!C7</f>
        <v>8015</v>
      </c>
      <c r="F4" s="9">
        <f>'June 2024'!E7</f>
        <v>6474</v>
      </c>
      <c r="G4" s="9">
        <f>'June 2024'!G7</f>
        <v>112</v>
      </c>
      <c r="H4" s="9">
        <f>'June 2024'!K7</f>
        <v>100</v>
      </c>
      <c r="I4" s="9">
        <f>'June 2024'!N7</f>
        <v>18</v>
      </c>
      <c r="J4" s="9">
        <f>'June 2024'!P7</f>
        <v>18</v>
      </c>
      <c r="K4" s="9">
        <f>'June 2024'!X7</f>
        <v>10520.765000000001</v>
      </c>
      <c r="L4" s="9">
        <f>'June 2024'!AC7</f>
        <v>12719</v>
      </c>
      <c r="M4" s="9">
        <f>'June 2024'!AP7</f>
        <v>7</v>
      </c>
      <c r="N4" s="9">
        <f>'June 2024'!AD7*315</f>
        <v>305.99099999999999</v>
      </c>
      <c r="O4" s="152">
        <f>'June 2024'!AE7</f>
        <v>399</v>
      </c>
    </row>
    <row r="5" spans="1:15" x14ac:dyDescent="0.25">
      <c r="A5" s="26" t="s">
        <v>83</v>
      </c>
      <c r="B5" s="2">
        <f t="shared" si="0"/>
        <v>4</v>
      </c>
      <c r="C5" s="16">
        <v>6</v>
      </c>
      <c r="D5" s="2">
        <v>2024</v>
      </c>
      <c r="E5" s="9">
        <f>'June 2024'!C8</f>
        <v>7999</v>
      </c>
      <c r="F5" s="9">
        <f>'June 2024'!E8</f>
        <v>6482</v>
      </c>
      <c r="G5" s="9">
        <f>'June 2024'!G8</f>
        <v>113</v>
      </c>
      <c r="H5" s="9">
        <f>'June 2024'!K8</f>
        <v>101</v>
      </c>
      <c r="I5" s="9">
        <f>'June 2024'!N8</f>
        <v>19</v>
      </c>
      <c r="J5" s="9">
        <f>'June 2024'!P8</f>
        <v>18</v>
      </c>
      <c r="K5" s="9">
        <f>'June 2024'!X8</f>
        <v>10805.11</v>
      </c>
      <c r="L5" s="9">
        <f>'June 2024'!AC8</f>
        <v>12898</v>
      </c>
      <c r="M5" s="9">
        <f>'June 2024'!AP8</f>
        <v>9</v>
      </c>
      <c r="N5" s="9">
        <f>'June 2024'!AD8*315</f>
        <v>312.00749999999999</v>
      </c>
      <c r="O5" s="152">
        <f>'June 2024'!AE8</f>
        <v>414</v>
      </c>
    </row>
    <row r="6" spans="1:15" x14ac:dyDescent="0.25">
      <c r="A6" s="26" t="s">
        <v>83</v>
      </c>
      <c r="B6" s="2">
        <f t="shared" si="0"/>
        <v>5</v>
      </c>
      <c r="C6" s="16">
        <v>6</v>
      </c>
      <c r="D6" s="2">
        <v>2024</v>
      </c>
      <c r="E6" s="9">
        <f>'June 2024'!C9</f>
        <v>8139</v>
      </c>
      <c r="F6" s="9">
        <f>'June 2024'!E9</f>
        <v>6602</v>
      </c>
      <c r="G6" s="9">
        <f>'June 2024'!G9</f>
        <v>110</v>
      </c>
      <c r="H6" s="9">
        <f>'June 2024'!K9</f>
        <v>105</v>
      </c>
      <c r="I6" s="9">
        <f>'June 2024'!N9</f>
        <v>19</v>
      </c>
      <c r="J6" s="9">
        <f>'June 2024'!P9</f>
        <v>21</v>
      </c>
      <c r="K6" s="9">
        <f>'June 2024'!X9</f>
        <v>10236.420000000002</v>
      </c>
      <c r="L6" s="9">
        <f>'June 2024'!AC9</f>
        <v>12321</v>
      </c>
      <c r="M6" s="9">
        <f>'June 2024'!AP9</f>
        <v>8</v>
      </c>
      <c r="N6" s="9">
        <f>'June 2024'!AD9*315</f>
        <v>276.00299999999999</v>
      </c>
      <c r="O6" s="152">
        <f>'June 2024'!AE9</f>
        <v>359</v>
      </c>
    </row>
    <row r="7" spans="1:15" x14ac:dyDescent="0.25">
      <c r="A7" s="26" t="s">
        <v>83</v>
      </c>
      <c r="B7" s="2">
        <f t="shared" si="0"/>
        <v>6</v>
      </c>
      <c r="C7" s="16">
        <v>6</v>
      </c>
      <c r="D7" s="2">
        <v>2024</v>
      </c>
      <c r="E7" s="9">
        <f>'June 2024'!C10</f>
        <v>7704</v>
      </c>
      <c r="F7" s="9">
        <f>'June 2024'!E10</f>
        <v>6529</v>
      </c>
      <c r="G7" s="9">
        <f>'June 2024'!G10</f>
        <v>119</v>
      </c>
      <c r="H7" s="9">
        <f>'June 2024'!K10</f>
        <v>113</v>
      </c>
      <c r="I7" s="9">
        <f>'June 2024'!N10</f>
        <v>20</v>
      </c>
      <c r="J7" s="9">
        <f>'June 2024'!P10</f>
        <v>20</v>
      </c>
      <c r="K7" s="9">
        <f>'June 2024'!X10</f>
        <v>9099.0400000000009</v>
      </c>
      <c r="L7" s="9">
        <f>'June 2024'!AC10</f>
        <v>11033</v>
      </c>
      <c r="M7" s="9">
        <f>'June 2024'!AP10</f>
        <v>12</v>
      </c>
      <c r="N7" s="9">
        <f>'June 2024'!AD10*315</f>
        <v>293.98950000000002</v>
      </c>
      <c r="O7" s="152">
        <f>'June 2024'!AE10</f>
        <v>428</v>
      </c>
    </row>
    <row r="8" spans="1:15" x14ac:dyDescent="0.25">
      <c r="A8" s="26" t="s">
        <v>83</v>
      </c>
      <c r="B8" s="2">
        <f t="shared" si="0"/>
        <v>7</v>
      </c>
      <c r="C8" s="16">
        <v>6</v>
      </c>
      <c r="D8" s="2">
        <v>2024</v>
      </c>
      <c r="E8" s="9">
        <f>'June 2024'!C11</f>
        <v>7566</v>
      </c>
      <c r="F8" s="9">
        <f>'June 2024'!E11</f>
        <v>6389</v>
      </c>
      <c r="G8" s="9">
        <f>'June 2024'!G11</f>
        <v>114</v>
      </c>
      <c r="H8" s="9">
        <f>'June 2024'!K11</f>
        <v>102</v>
      </c>
      <c r="I8" s="9">
        <f>'June 2024'!N11</f>
        <v>20</v>
      </c>
      <c r="J8" s="9">
        <f>'June 2024'!P11</f>
        <v>20</v>
      </c>
      <c r="K8" s="9">
        <f>'June 2024'!X11</f>
        <v>9952.0750000000007</v>
      </c>
      <c r="L8" s="9">
        <f>'June 2024'!AC11</f>
        <v>11748</v>
      </c>
      <c r="M8" s="9">
        <f>'June 2024'!AP11</f>
        <v>9</v>
      </c>
      <c r="N8" s="9">
        <f>'June 2024'!AD11*315</f>
        <v>281.988</v>
      </c>
      <c r="O8" s="152">
        <f>'June 2024'!AE11</f>
        <v>424</v>
      </c>
    </row>
    <row r="9" spans="1:15" x14ac:dyDescent="0.25">
      <c r="A9" s="26" t="s">
        <v>83</v>
      </c>
      <c r="B9" s="2">
        <f t="shared" si="0"/>
        <v>8</v>
      </c>
      <c r="C9" s="16">
        <v>6</v>
      </c>
      <c r="D9" s="2">
        <v>2024</v>
      </c>
      <c r="E9" s="9">
        <f>'June 2024'!C12</f>
        <v>7428</v>
      </c>
      <c r="F9" s="9">
        <f>'June 2024'!E12</f>
        <v>6272</v>
      </c>
      <c r="G9" s="9">
        <f>'June 2024'!G12</f>
        <v>110</v>
      </c>
      <c r="H9" s="9">
        <f>'June 2024'!K12</f>
        <v>96</v>
      </c>
      <c r="I9" s="9">
        <f>'June 2024'!N12</f>
        <v>18</v>
      </c>
      <c r="J9" s="9">
        <f>'June 2024'!P12</f>
        <v>18</v>
      </c>
      <c r="K9" s="9">
        <f>'June 2024'!X12</f>
        <v>9383.3850000000002</v>
      </c>
      <c r="L9" s="9">
        <f>'June 2024'!AC12</f>
        <v>11114</v>
      </c>
      <c r="M9" s="9">
        <f>'June 2024'!AP12</f>
        <v>12</v>
      </c>
      <c r="N9" s="9">
        <f>'June 2024'!AD12*315</f>
        <v>292.005</v>
      </c>
      <c r="O9" s="152">
        <f>'June 2024'!AE12</f>
        <v>446</v>
      </c>
    </row>
    <row r="10" spans="1:15" x14ac:dyDescent="0.25">
      <c r="A10" s="26" t="s">
        <v>83</v>
      </c>
      <c r="B10" s="2">
        <f t="shared" si="0"/>
        <v>9</v>
      </c>
      <c r="C10" s="16">
        <v>6</v>
      </c>
      <c r="D10" s="2">
        <v>2024</v>
      </c>
      <c r="E10" s="9">
        <f>'June 2024'!C13</f>
        <v>7598</v>
      </c>
      <c r="F10" s="9">
        <f>'June 2024'!E13</f>
        <v>6429</v>
      </c>
      <c r="G10" s="9">
        <f>'June 2024'!G13</f>
        <v>113</v>
      </c>
      <c r="H10" s="9">
        <f>'June 2024'!K13</f>
        <v>110</v>
      </c>
      <c r="I10" s="9">
        <f>'June 2024'!N13</f>
        <v>18</v>
      </c>
      <c r="J10" s="9">
        <f>'June 2024'!P13</f>
        <v>19</v>
      </c>
      <c r="K10" s="9">
        <f>'June 2024'!X13</f>
        <v>10520.765000000001</v>
      </c>
      <c r="L10" s="9">
        <f>'June 2024'!AC13</f>
        <v>12408</v>
      </c>
      <c r="M10" s="9">
        <f>'June 2024'!AP13</f>
        <v>10</v>
      </c>
      <c r="N10" s="9">
        <f>'June 2024'!AD13*315</f>
        <v>273.98700000000002</v>
      </c>
      <c r="O10" s="152">
        <f>'June 2024'!AE13</f>
        <v>367</v>
      </c>
    </row>
    <row r="11" spans="1:15" x14ac:dyDescent="0.25">
      <c r="A11" s="26" t="s">
        <v>83</v>
      </c>
      <c r="B11" s="2">
        <f t="shared" si="0"/>
        <v>10</v>
      </c>
      <c r="C11" s="16">
        <v>6</v>
      </c>
      <c r="D11" s="2">
        <v>2024</v>
      </c>
      <c r="E11" s="9">
        <f>'June 2024'!C14</f>
        <v>7719</v>
      </c>
      <c r="F11" s="9">
        <f>'June 2024'!E14</f>
        <v>6377</v>
      </c>
      <c r="G11" s="9">
        <f>'June 2024'!G14</f>
        <v>113</v>
      </c>
      <c r="H11" s="9">
        <f>'June 2024'!K14</f>
        <v>98</v>
      </c>
      <c r="I11" s="9">
        <f>'June 2024'!N14</f>
        <v>19</v>
      </c>
      <c r="J11" s="9">
        <f>'June 2024'!P14</f>
        <v>19</v>
      </c>
      <c r="K11" s="9">
        <f>'June 2024'!X14</f>
        <v>10805.11</v>
      </c>
      <c r="L11" s="9">
        <f>'June 2024'!AC14</f>
        <v>12777</v>
      </c>
      <c r="M11" s="9">
        <f>'June 2024'!AP14</f>
        <v>9</v>
      </c>
      <c r="N11" s="9">
        <f>'June 2024'!AD14*315</f>
        <v>268.00200000000001</v>
      </c>
      <c r="O11" s="152">
        <f>'June 2024'!AE14</f>
        <v>328</v>
      </c>
    </row>
    <row r="12" spans="1:15" x14ac:dyDescent="0.25">
      <c r="A12" s="26" t="s">
        <v>83</v>
      </c>
      <c r="B12" s="2">
        <f t="shared" si="0"/>
        <v>11</v>
      </c>
      <c r="C12" s="16">
        <v>6</v>
      </c>
      <c r="D12" s="2">
        <v>2024</v>
      </c>
      <c r="E12" s="9">
        <f>'June 2024'!C15</f>
        <v>7728</v>
      </c>
      <c r="F12" s="9">
        <f>'June 2024'!E15</f>
        <v>6558</v>
      </c>
      <c r="G12" s="9">
        <f>'June 2024'!G15</f>
        <v>113</v>
      </c>
      <c r="H12" s="9">
        <f>'June 2024'!K15</f>
        <v>99</v>
      </c>
      <c r="I12" s="9">
        <f>'June 2024'!N15</f>
        <v>18</v>
      </c>
      <c r="J12" s="9">
        <f>'June 2024'!P15</f>
        <v>19</v>
      </c>
      <c r="K12" s="9">
        <f>'June 2024'!X15</f>
        <v>10520.765000000001</v>
      </c>
      <c r="L12" s="9">
        <f>'June 2024'!AC15</f>
        <v>12649</v>
      </c>
      <c r="M12" s="9">
        <f>'June 2024'!AP15</f>
        <v>9</v>
      </c>
      <c r="N12" s="9">
        <f>'June 2024'!AD15*315</f>
        <v>252</v>
      </c>
      <c r="O12" s="152">
        <f>'June 2024'!AE15</f>
        <v>309</v>
      </c>
    </row>
    <row r="13" spans="1:15" x14ac:dyDescent="0.25">
      <c r="A13" s="26" t="s">
        <v>83</v>
      </c>
      <c r="B13" s="2">
        <f t="shared" si="0"/>
        <v>12</v>
      </c>
      <c r="C13" s="16">
        <v>6</v>
      </c>
      <c r="D13" s="2">
        <v>2024</v>
      </c>
      <c r="E13" s="9">
        <f>'June 2024'!C16</f>
        <v>7711</v>
      </c>
      <c r="F13" s="9">
        <f>'June 2024'!E16</f>
        <v>6445</v>
      </c>
      <c r="G13" s="9">
        <f>'June 2024'!G16</f>
        <v>113</v>
      </c>
      <c r="H13" s="9">
        <f>'June 2024'!K16</f>
        <v>90</v>
      </c>
      <c r="I13" s="9">
        <f>'June 2024'!N16</f>
        <v>18</v>
      </c>
      <c r="J13" s="9">
        <f>'June 2024'!P16</f>
        <v>19</v>
      </c>
      <c r="K13" s="9">
        <f>'June 2024'!X16</f>
        <v>9952.0750000000007</v>
      </c>
      <c r="L13" s="9">
        <f>'June 2024'!AC16</f>
        <v>12085</v>
      </c>
      <c r="M13" s="9">
        <f>'June 2024'!AP16</f>
        <v>9</v>
      </c>
      <c r="N13" s="9">
        <f>'June 2024'!AD16*315</f>
        <v>230.01299999999998</v>
      </c>
      <c r="O13" s="152">
        <f>'June 2024'!AE16</f>
        <v>285</v>
      </c>
    </row>
    <row r="14" spans="1:15" x14ac:dyDescent="0.25">
      <c r="A14" s="26" t="s">
        <v>83</v>
      </c>
      <c r="B14" s="2">
        <f t="shared" si="0"/>
        <v>13</v>
      </c>
      <c r="C14" s="16">
        <v>6</v>
      </c>
      <c r="D14" s="2">
        <v>2024</v>
      </c>
      <c r="E14" s="9">
        <f>'June 2024'!C17</f>
        <v>7709</v>
      </c>
      <c r="F14" s="9">
        <f>'June 2024'!E17</f>
        <v>6516</v>
      </c>
      <c r="G14" s="9">
        <f>'June 2024'!G17</f>
        <v>106</v>
      </c>
      <c r="H14" s="9">
        <f>'June 2024'!K17</f>
        <v>94</v>
      </c>
      <c r="I14" s="9">
        <f>'June 2024'!N17</f>
        <v>20</v>
      </c>
      <c r="J14" s="9">
        <f>'June 2024'!P17</f>
        <v>17</v>
      </c>
      <c r="K14" s="9">
        <f>'June 2024'!X17</f>
        <v>10236.420000000002</v>
      </c>
      <c r="L14" s="9">
        <f>'June 2024'!AC17</f>
        <v>12210</v>
      </c>
      <c r="M14" s="9">
        <f>'June 2024'!AP17</f>
        <v>10</v>
      </c>
      <c r="N14" s="9">
        <f>'June 2024'!AD17*315</f>
        <v>226.989</v>
      </c>
      <c r="O14" s="152">
        <f>'June 2024'!AE17</f>
        <v>298</v>
      </c>
    </row>
    <row r="15" spans="1:15" x14ac:dyDescent="0.25">
      <c r="A15" s="26" t="s">
        <v>83</v>
      </c>
      <c r="B15" s="2">
        <f t="shared" si="0"/>
        <v>14</v>
      </c>
      <c r="C15" s="16">
        <v>6</v>
      </c>
      <c r="D15" s="2">
        <v>2024</v>
      </c>
      <c r="E15" s="9">
        <f>'June 2024'!C18</f>
        <v>7607</v>
      </c>
      <c r="F15" s="9">
        <f>'June 2024'!E18</f>
        <v>6561</v>
      </c>
      <c r="G15" s="9">
        <f>'June 2024'!G18</f>
        <v>106</v>
      </c>
      <c r="H15" s="9">
        <f>'June 2024'!K18</f>
        <v>95</v>
      </c>
      <c r="I15" s="9">
        <f>'June 2024'!N18</f>
        <v>20</v>
      </c>
      <c r="J15" s="9">
        <f>'June 2024'!P18</f>
        <v>17</v>
      </c>
      <c r="K15" s="9">
        <f>'June 2024'!X18</f>
        <v>10236.420000000002</v>
      </c>
      <c r="L15" s="9">
        <f>'June 2024'!AC18</f>
        <v>12152</v>
      </c>
      <c r="M15" s="9">
        <f>'June 2024'!AP18</f>
        <v>9</v>
      </c>
      <c r="N15" s="9">
        <f>'June 2024'!AD18*315</f>
        <v>225.00450000000001</v>
      </c>
      <c r="O15" s="152">
        <f>'June 2024'!AE18</f>
        <v>350</v>
      </c>
    </row>
    <row r="16" spans="1:15" x14ac:dyDescent="0.25">
      <c r="A16" s="26" t="s">
        <v>83</v>
      </c>
      <c r="B16" s="2">
        <f t="shared" si="0"/>
        <v>15</v>
      </c>
      <c r="C16" s="16">
        <v>6</v>
      </c>
      <c r="D16" s="2">
        <v>2024</v>
      </c>
      <c r="E16" s="9">
        <f>'June 2024'!C19</f>
        <v>7604</v>
      </c>
      <c r="F16" s="9">
        <f>'June 2024'!E19</f>
        <v>6529</v>
      </c>
      <c r="G16" s="9">
        <f>'June 2024'!G19</f>
        <v>105</v>
      </c>
      <c r="H16" s="9">
        <f>'June 2024'!K19</f>
        <v>84</v>
      </c>
      <c r="I16" s="9">
        <f>'June 2024'!N19</f>
        <v>20</v>
      </c>
      <c r="J16" s="9">
        <f>'June 2024'!P19</f>
        <v>17</v>
      </c>
      <c r="K16" s="9">
        <f>'June 2024'!X19</f>
        <v>9099.0400000000009</v>
      </c>
      <c r="L16" s="9">
        <f>'June 2024'!AC19</f>
        <v>10725</v>
      </c>
      <c r="M16" s="9">
        <f>'June 2024'!AP19</f>
        <v>9</v>
      </c>
      <c r="N16" s="9">
        <f>'June 2024'!AD19*315</f>
        <v>171.01350000000002</v>
      </c>
      <c r="O16" s="152">
        <f>'June 2024'!AE19</f>
        <v>264</v>
      </c>
    </row>
    <row r="17" spans="1:15" x14ac:dyDescent="0.25">
      <c r="A17" s="26" t="s">
        <v>83</v>
      </c>
      <c r="B17" s="2">
        <f t="shared" si="0"/>
        <v>16</v>
      </c>
      <c r="C17" s="16">
        <v>6</v>
      </c>
      <c r="D17" s="2">
        <v>2024</v>
      </c>
      <c r="E17" s="9">
        <f>'June 2024'!C20</f>
        <v>7468</v>
      </c>
      <c r="F17" s="9">
        <f>'June 2024'!E20</f>
        <v>6574</v>
      </c>
      <c r="G17" s="9">
        <f>'June 2024'!G20</f>
        <v>104</v>
      </c>
      <c r="H17" s="9">
        <f>'June 2024'!K20</f>
        <v>93</v>
      </c>
      <c r="I17" s="9">
        <f>'June 2024'!N20</f>
        <v>18</v>
      </c>
      <c r="J17" s="9">
        <f>'June 2024'!P20</f>
        <v>19</v>
      </c>
      <c r="K17" s="9">
        <f>'June 2024'!X20</f>
        <v>9667.7300000000014</v>
      </c>
      <c r="L17" s="9">
        <f>'June 2024'!AC20</f>
        <v>11509</v>
      </c>
      <c r="M17" s="9">
        <f>'June 2024'!AP20</f>
        <v>9</v>
      </c>
      <c r="N17" s="9">
        <f>'June 2024'!AD20*315</f>
        <v>211.995</v>
      </c>
      <c r="O17" s="152">
        <f>'June 2024'!AE20</f>
        <v>348</v>
      </c>
    </row>
    <row r="18" spans="1:15" x14ac:dyDescent="0.25">
      <c r="A18" s="26" t="s">
        <v>83</v>
      </c>
      <c r="B18" s="2">
        <f t="shared" si="0"/>
        <v>17</v>
      </c>
      <c r="C18" s="16">
        <v>6</v>
      </c>
      <c r="D18" s="2">
        <v>2024</v>
      </c>
      <c r="E18" s="9">
        <f>'June 2024'!C21</f>
        <v>7496</v>
      </c>
      <c r="F18" s="9">
        <f>'June 2024'!E21</f>
        <v>6810</v>
      </c>
      <c r="G18" s="9">
        <f>'June 2024'!G21</f>
        <v>98</v>
      </c>
      <c r="H18" s="9">
        <f>'June 2024'!K21</f>
        <v>98</v>
      </c>
      <c r="I18" s="9">
        <f>'June 2024'!N21</f>
        <v>17</v>
      </c>
      <c r="J18" s="9">
        <f>'June 2024'!P21</f>
        <v>19</v>
      </c>
      <c r="K18" s="9">
        <f>'June 2024'!X21</f>
        <v>11089.455000000002</v>
      </c>
      <c r="L18" s="9">
        <f>'June 2024'!AC21</f>
        <v>12984</v>
      </c>
      <c r="M18" s="9">
        <f>'June 2024'!AP21</f>
        <v>10</v>
      </c>
      <c r="N18" s="9">
        <f>'June 2024'!AD21*315</f>
        <v>258.99299999999999</v>
      </c>
      <c r="O18" s="152">
        <f>'June 2024'!AE21</f>
        <v>420</v>
      </c>
    </row>
    <row r="19" spans="1:15" x14ac:dyDescent="0.25">
      <c r="A19" s="26" t="s">
        <v>83</v>
      </c>
      <c r="B19" s="2">
        <f t="shared" si="0"/>
        <v>18</v>
      </c>
      <c r="C19" s="16">
        <v>6</v>
      </c>
      <c r="D19" s="2">
        <v>2024</v>
      </c>
      <c r="E19" s="9">
        <f>'June 2024'!C22</f>
        <v>7589</v>
      </c>
      <c r="F19" s="9">
        <f>'June 2024'!E22</f>
        <v>6673</v>
      </c>
      <c r="G19" s="9">
        <f>'June 2024'!G22</f>
        <v>107</v>
      </c>
      <c r="H19" s="9">
        <f>'June 2024'!K22</f>
        <v>109</v>
      </c>
      <c r="I19" s="9">
        <f>'June 2024'!N22</f>
        <v>17</v>
      </c>
      <c r="J19" s="9">
        <f>'June 2024'!P22</f>
        <v>18</v>
      </c>
      <c r="K19" s="9">
        <f>'June 2024'!X22</f>
        <v>11089.455000000002</v>
      </c>
      <c r="L19" s="9">
        <f>'June 2024'!AC22</f>
        <v>12925</v>
      </c>
      <c r="M19" s="9">
        <f>'June 2024'!AP22</f>
        <v>9</v>
      </c>
      <c r="N19" s="9">
        <f>'June 2024'!AD22*315</f>
        <v>253.9845</v>
      </c>
      <c r="O19" s="152">
        <f>'June 2024'!AE22</f>
        <v>394</v>
      </c>
    </row>
    <row r="20" spans="1:15" x14ac:dyDescent="0.25">
      <c r="A20" s="26" t="s">
        <v>83</v>
      </c>
      <c r="B20" s="2">
        <f t="shared" si="0"/>
        <v>19</v>
      </c>
      <c r="C20" s="16">
        <v>6</v>
      </c>
      <c r="D20" s="2">
        <v>2024</v>
      </c>
      <c r="E20" s="9">
        <f>'June 2024'!C23</f>
        <v>7590</v>
      </c>
      <c r="F20" s="9">
        <f>'June 2024'!E23</f>
        <v>6481</v>
      </c>
      <c r="G20" s="9">
        <f>'June 2024'!G23</f>
        <v>107</v>
      </c>
      <c r="H20" s="9">
        <f>'June 2024'!K23</f>
        <v>104</v>
      </c>
      <c r="I20" s="9">
        <f>'June 2024'!N23</f>
        <v>18</v>
      </c>
      <c r="J20" s="9">
        <f>'June 2024'!P23</f>
        <v>19</v>
      </c>
      <c r="K20" s="9">
        <f>'June 2024'!X23</f>
        <v>11089.455000000002</v>
      </c>
      <c r="L20" s="9">
        <f>'June 2024'!AC23</f>
        <v>13121</v>
      </c>
      <c r="M20" s="9">
        <f>'June 2024'!AP23</f>
        <v>9</v>
      </c>
      <c r="N20" s="9">
        <f>'June 2024'!AD23*315</f>
        <v>222.98849999999999</v>
      </c>
      <c r="O20" s="152">
        <f>'June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6</v>
      </c>
      <c r="D21" s="2">
        <v>2024</v>
      </c>
      <c r="E21" s="9">
        <f>'June 2024'!C24</f>
        <v>7498</v>
      </c>
      <c r="F21" s="9">
        <f>'June 2024'!E24</f>
        <v>6513</v>
      </c>
      <c r="G21" s="9">
        <f>'June 2024'!G24</f>
        <v>105</v>
      </c>
      <c r="H21" s="9">
        <f>'June 2024'!K24</f>
        <v>88</v>
      </c>
      <c r="I21" s="9">
        <f>'June 2024'!N24</f>
        <v>17</v>
      </c>
      <c r="J21" s="9">
        <f>'June 2024'!P24</f>
        <v>22</v>
      </c>
      <c r="K21" s="9">
        <f>'June 2024'!X24</f>
        <v>10805.11</v>
      </c>
      <c r="L21" s="9">
        <f>'June 2024'!AC24</f>
        <v>12949</v>
      </c>
      <c r="M21" s="9">
        <f>'June 2024'!AP24</f>
        <v>9</v>
      </c>
      <c r="N21" s="9">
        <f>'June 2024'!AD24*315</f>
        <v>225.00450000000001</v>
      </c>
      <c r="O21" s="152">
        <f>'June 2024'!AE24</f>
        <v>316</v>
      </c>
    </row>
    <row r="22" spans="1:15" x14ac:dyDescent="0.25">
      <c r="A22" s="26" t="s">
        <v>83</v>
      </c>
      <c r="B22" s="2">
        <f t="shared" si="0"/>
        <v>21</v>
      </c>
      <c r="C22" s="16">
        <v>6</v>
      </c>
      <c r="D22" s="2">
        <v>2024</v>
      </c>
      <c r="E22" s="9">
        <f>'June 2024'!C25</f>
        <v>7477</v>
      </c>
      <c r="F22" s="9">
        <f>'June 2024'!E25</f>
        <v>6603</v>
      </c>
      <c r="G22" s="9">
        <f>'June 2024'!G25</f>
        <v>100</v>
      </c>
      <c r="H22" s="9">
        <f>'June 2024'!K25</f>
        <v>100</v>
      </c>
      <c r="I22" s="9">
        <f>'June 2024'!N25</f>
        <v>20</v>
      </c>
      <c r="J22" s="9">
        <f>'June 2024'!P25</f>
        <v>20</v>
      </c>
      <c r="K22" s="9">
        <f>'June 2024'!X25</f>
        <v>10805.11</v>
      </c>
      <c r="L22" s="9">
        <f>'June 2024'!AC25</f>
        <v>12785</v>
      </c>
      <c r="M22" s="9">
        <f>'June 2024'!AP25</f>
        <v>9</v>
      </c>
      <c r="N22" s="9">
        <f>'June 2024'!AD25*315</f>
        <v>268.00200000000001</v>
      </c>
      <c r="O22" s="152">
        <f>'June 2024'!AE25</f>
        <v>439</v>
      </c>
    </row>
    <row r="23" spans="1:15" x14ac:dyDescent="0.25">
      <c r="A23" s="26" t="s">
        <v>83</v>
      </c>
      <c r="B23" s="2">
        <f t="shared" si="0"/>
        <v>22</v>
      </c>
      <c r="C23" s="16">
        <v>6</v>
      </c>
      <c r="D23" s="2">
        <v>2024</v>
      </c>
      <c r="E23" s="9">
        <f>'June 2024'!C26</f>
        <v>7444</v>
      </c>
      <c r="F23" s="9">
        <f>'June 2024'!E26</f>
        <v>6640</v>
      </c>
      <c r="G23" s="9">
        <f>'June 2024'!G26</f>
        <v>100</v>
      </c>
      <c r="H23" s="9">
        <f>'June 2024'!K26</f>
        <v>109</v>
      </c>
      <c r="I23" s="9">
        <f>'June 2024'!N26</f>
        <v>20</v>
      </c>
      <c r="J23" s="9">
        <f>'June 2024'!P26</f>
        <v>20</v>
      </c>
      <c r="K23" s="9">
        <f>'June 2024'!X26</f>
        <v>12226.835000000001</v>
      </c>
      <c r="L23" s="9">
        <f>'June 2024'!AC26</f>
        <v>14231</v>
      </c>
      <c r="M23" s="9">
        <f>'June 2024'!AP26</f>
        <v>9</v>
      </c>
      <c r="N23" s="9">
        <f>'June 2024'!AD26*315</f>
        <v>223.9965</v>
      </c>
      <c r="O23" s="152">
        <f>'June 2024'!AE26</f>
        <v>333</v>
      </c>
    </row>
    <row r="24" spans="1:15" x14ac:dyDescent="0.25">
      <c r="A24" s="26" t="s">
        <v>83</v>
      </c>
      <c r="B24" s="2">
        <f t="shared" si="0"/>
        <v>23</v>
      </c>
      <c r="C24" s="16">
        <v>6</v>
      </c>
      <c r="D24" s="2">
        <v>2024</v>
      </c>
      <c r="E24" s="9">
        <f>'June 2024'!C27</f>
        <v>7249</v>
      </c>
      <c r="F24" s="9">
        <f>'June 2024'!E27</f>
        <v>6398</v>
      </c>
      <c r="G24" s="9">
        <f>'June 2024'!G27</f>
        <v>101</v>
      </c>
      <c r="H24" s="9">
        <f>'June 2024'!K27</f>
        <v>88</v>
      </c>
      <c r="I24" s="9">
        <f>'June 2024'!N27</f>
        <v>18</v>
      </c>
      <c r="J24" s="9">
        <f>'June 2024'!P27</f>
        <v>17</v>
      </c>
      <c r="K24" s="9">
        <f>'June 2024'!X27</f>
        <v>11373.800000000001</v>
      </c>
      <c r="L24" s="9">
        <f>'June 2024'!AC27</f>
        <v>13432</v>
      </c>
      <c r="M24" s="9">
        <f>'June 2024'!AP27</f>
        <v>8</v>
      </c>
      <c r="N24" s="9">
        <f>'June 2024'!AD27*315</f>
        <v>262.99349999999998</v>
      </c>
      <c r="O24" s="152">
        <f>'June 2024'!AE27</f>
        <v>344</v>
      </c>
    </row>
    <row r="25" spans="1:15" x14ac:dyDescent="0.25">
      <c r="A25" s="26" t="s">
        <v>83</v>
      </c>
      <c r="B25" s="2">
        <f t="shared" si="0"/>
        <v>24</v>
      </c>
      <c r="C25" s="16">
        <v>6</v>
      </c>
      <c r="D25" s="2">
        <v>2024</v>
      </c>
      <c r="E25" s="9">
        <f>'June 2024'!C28</f>
        <v>7548</v>
      </c>
      <c r="F25" s="9">
        <f>'June 2024'!E28</f>
        <v>6577</v>
      </c>
      <c r="G25" s="9">
        <f>'June 2024'!G28</f>
        <v>100</v>
      </c>
      <c r="H25" s="9">
        <f>'June 2024'!K28</f>
        <v>101</v>
      </c>
      <c r="I25" s="9">
        <f>'June 2024'!N28</f>
        <v>18</v>
      </c>
      <c r="J25" s="9">
        <f>'June 2024'!P28</f>
        <v>20</v>
      </c>
      <c r="K25" s="9">
        <f>'June 2024'!X28</f>
        <v>11089.455000000002</v>
      </c>
      <c r="L25" s="9">
        <f>'June 2024'!AC28</f>
        <v>13360</v>
      </c>
      <c r="M25" s="9">
        <f>'June 2024'!AP28</f>
        <v>10</v>
      </c>
      <c r="N25" s="9">
        <f>'June 2024'!AD28*315</f>
        <v>306.99900000000002</v>
      </c>
      <c r="O25" s="152">
        <f>'June 2024'!AE28</f>
        <v>387</v>
      </c>
    </row>
    <row r="26" spans="1:15" x14ac:dyDescent="0.25">
      <c r="A26" s="26" t="s">
        <v>83</v>
      </c>
      <c r="B26" s="2">
        <f t="shared" si="0"/>
        <v>25</v>
      </c>
      <c r="C26" s="16">
        <v>6</v>
      </c>
      <c r="D26" s="2">
        <v>2024</v>
      </c>
      <c r="E26" s="9">
        <f>'June 2024'!C29</f>
        <v>7652</v>
      </c>
      <c r="F26" s="9">
        <f>'June 2024'!E29</f>
        <v>6538</v>
      </c>
      <c r="G26" s="9">
        <f>'June 2024'!G29</f>
        <v>106</v>
      </c>
      <c r="H26" s="9">
        <f>'June 2024'!K29</f>
        <v>109</v>
      </c>
      <c r="I26" s="9">
        <f>'June 2024'!N29</f>
        <v>17</v>
      </c>
      <c r="J26" s="9">
        <f>'June 2024'!P29</f>
        <v>18</v>
      </c>
      <c r="K26" s="9">
        <f>'June 2024'!X29</f>
        <v>11089.455000000002</v>
      </c>
      <c r="L26" s="9">
        <f>'June 2024'!AC29</f>
        <v>13450</v>
      </c>
      <c r="M26" s="9">
        <f>'June 2024'!AP29</f>
        <v>7</v>
      </c>
      <c r="N26" s="9">
        <f>'June 2024'!AD29*315</f>
        <v>297.01349999999996</v>
      </c>
      <c r="O26" s="152">
        <f>'June 2024'!AE29</f>
        <v>363</v>
      </c>
    </row>
    <row r="27" spans="1:15" x14ac:dyDescent="0.25">
      <c r="A27" s="26" t="s">
        <v>83</v>
      </c>
      <c r="B27" s="2">
        <f t="shared" si="0"/>
        <v>26</v>
      </c>
      <c r="C27" s="16">
        <v>6</v>
      </c>
      <c r="D27" s="2">
        <v>2024</v>
      </c>
      <c r="E27" s="9">
        <f>'June 2024'!C30</f>
        <v>7488</v>
      </c>
      <c r="F27" s="9">
        <f>'June 2024'!E30</f>
        <v>6366</v>
      </c>
      <c r="G27" s="9">
        <f>'June 2024'!G30</f>
        <v>106</v>
      </c>
      <c r="H27" s="9">
        <f>'June 2024'!K30</f>
        <v>94</v>
      </c>
      <c r="I27" s="9">
        <f>'June 2024'!N30</f>
        <v>19</v>
      </c>
      <c r="J27" s="9">
        <f>'June 2024'!P30</f>
        <v>20</v>
      </c>
      <c r="K27" s="9">
        <f>'June 2024'!X30</f>
        <v>11658.145</v>
      </c>
      <c r="L27" s="9">
        <f>'June 2024'!AC30</f>
        <v>13864</v>
      </c>
      <c r="M27" s="9">
        <f>'June 2024'!AP30</f>
        <v>10</v>
      </c>
      <c r="N27" s="9">
        <f>'June 2024'!AD30*315</f>
        <v>293.98950000000002</v>
      </c>
      <c r="O27" s="152">
        <f>'June 2024'!AE30</f>
        <v>364</v>
      </c>
    </row>
    <row r="28" spans="1:15" x14ac:dyDescent="0.25">
      <c r="A28" s="26" t="s">
        <v>83</v>
      </c>
      <c r="B28" s="2">
        <f t="shared" si="0"/>
        <v>27</v>
      </c>
      <c r="C28" s="16">
        <v>6</v>
      </c>
      <c r="D28" s="2">
        <v>2024</v>
      </c>
      <c r="E28" s="9">
        <f>'June 2024'!C31</f>
        <v>7848</v>
      </c>
      <c r="F28" s="9">
        <f>'June 2024'!E31</f>
        <v>7306</v>
      </c>
      <c r="G28" s="9">
        <f>'June 2024'!G31</f>
        <v>43</v>
      </c>
      <c r="H28" s="9">
        <f>'June 2024'!K31</f>
        <v>120</v>
      </c>
      <c r="I28" s="9">
        <f>'June 2024'!N31</f>
        <v>18</v>
      </c>
      <c r="J28" s="9">
        <f>'June 2024'!P31</f>
        <v>17</v>
      </c>
      <c r="K28" s="9">
        <f>'June 2024'!X31</f>
        <v>10520.765000000001</v>
      </c>
      <c r="L28" s="9">
        <f>'June 2024'!AC31</f>
        <v>12656</v>
      </c>
      <c r="M28" s="9">
        <f>'June 2024'!AP31</f>
        <v>10</v>
      </c>
      <c r="N28" s="9">
        <f>'June 2024'!AD31*315</f>
        <v>294.9975</v>
      </c>
      <c r="O28" s="152">
        <f>'June 2024'!AE31</f>
        <v>370</v>
      </c>
    </row>
    <row r="29" spans="1:15" x14ac:dyDescent="0.25">
      <c r="A29" s="26" t="s">
        <v>83</v>
      </c>
      <c r="B29" s="2">
        <f t="shared" si="0"/>
        <v>28</v>
      </c>
      <c r="C29" s="16">
        <v>6</v>
      </c>
      <c r="D29" s="2">
        <v>2024</v>
      </c>
      <c r="E29" s="9">
        <f>'June 2024'!C32</f>
        <v>8329</v>
      </c>
      <c r="F29" s="9">
        <f>'June 2024'!E32</f>
        <v>5460</v>
      </c>
      <c r="G29" s="9">
        <f>'June 2024'!G32</f>
        <v>60</v>
      </c>
      <c r="H29" s="9">
        <f>'June 2024'!K32</f>
        <v>151</v>
      </c>
      <c r="I29" s="9">
        <f>'June 2024'!N32</f>
        <v>20</v>
      </c>
      <c r="J29" s="9">
        <f>'June 2024'!P32</f>
        <v>16</v>
      </c>
      <c r="K29" s="9">
        <f>'June 2024'!X32</f>
        <v>12226.835000000001</v>
      </c>
      <c r="L29" s="9">
        <f>'June 2024'!AC32</f>
        <v>14621</v>
      </c>
      <c r="M29" s="9">
        <f>'June 2024'!AP32</f>
        <v>12</v>
      </c>
      <c r="N29" s="9">
        <f>'June 2024'!AD32*315</f>
        <v>305.0145</v>
      </c>
      <c r="O29" s="152">
        <f>'June 2024'!AE32</f>
        <v>449</v>
      </c>
    </row>
    <row r="30" spans="1:15" x14ac:dyDescent="0.25">
      <c r="A30" s="26" t="s">
        <v>83</v>
      </c>
      <c r="B30" s="2">
        <f t="shared" si="0"/>
        <v>29</v>
      </c>
      <c r="C30" s="16">
        <v>6</v>
      </c>
      <c r="D30" s="2">
        <v>2024</v>
      </c>
      <c r="E30" s="9">
        <f>'June 2024'!C33</f>
        <v>7386</v>
      </c>
      <c r="F30" s="9">
        <f>'June 2024'!E33</f>
        <v>6257</v>
      </c>
      <c r="G30" s="9">
        <f>'June 2024'!G33</f>
        <v>51</v>
      </c>
      <c r="H30" s="9">
        <f>'June 2024'!K33</f>
        <v>104</v>
      </c>
      <c r="I30" s="9">
        <f>'June 2024'!N33</f>
        <v>20</v>
      </c>
      <c r="J30" s="9">
        <f>'June 2024'!P33</f>
        <v>15</v>
      </c>
      <c r="K30" s="9">
        <f>'June 2024'!X33</f>
        <v>11658.145</v>
      </c>
      <c r="L30" s="9">
        <f>'June 2024'!AC33</f>
        <v>13732</v>
      </c>
      <c r="M30" s="9">
        <f>'June 2024'!AP33</f>
        <v>10</v>
      </c>
      <c r="N30" s="9">
        <f>'June 2024'!AD33*315</f>
        <v>265.98599999999999</v>
      </c>
      <c r="O30" s="152">
        <f>'June 2024'!AE33</f>
        <v>393</v>
      </c>
    </row>
    <row r="31" spans="1:15" x14ac:dyDescent="0.25">
      <c r="A31" s="26" t="s">
        <v>83</v>
      </c>
      <c r="B31" s="2">
        <f t="shared" si="0"/>
        <v>30</v>
      </c>
      <c r="C31" s="16">
        <v>6</v>
      </c>
      <c r="D31" s="2">
        <v>2024</v>
      </c>
      <c r="E31" s="9">
        <f>'June 2024'!C34</f>
        <v>7479</v>
      </c>
      <c r="F31" s="9">
        <f>'June 2024'!E34</f>
        <v>6538</v>
      </c>
      <c r="G31" s="9">
        <f>'June 2024'!G34</f>
        <v>58</v>
      </c>
      <c r="H31" s="9">
        <f>'June 2024'!K34</f>
        <v>111</v>
      </c>
      <c r="I31" s="9">
        <f>'June 2024'!N34</f>
        <v>18</v>
      </c>
      <c r="J31" s="9">
        <f>'June 2024'!P34</f>
        <v>14</v>
      </c>
      <c r="K31" s="9">
        <f>'June 2024'!X34</f>
        <v>10805.11</v>
      </c>
      <c r="L31" s="9">
        <f>'June 2024'!AC34</f>
        <v>12604</v>
      </c>
      <c r="M31" s="9">
        <f>'June 2024'!AP34</f>
        <v>8</v>
      </c>
      <c r="N31" s="9">
        <f>'June 2024'!AD34*315</f>
        <v>293.01300000000003</v>
      </c>
      <c r="O31" s="152">
        <f>'June 2024'!AE34</f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8C28-39EB-4B23-9EAE-5C8A326D46B0}">
  <sheetPr>
    <pageSetUpPr fitToPage="1"/>
  </sheetPr>
  <dimension ref="A1:FI76"/>
  <sheetViews>
    <sheetView view="pageBreakPreview" topLeftCell="K1" zoomScale="80" zoomScaleNormal="80" zoomScaleSheetLayoutView="80" workbookViewId="0">
      <pane ySplit="4" topLeftCell="A28" activePane="bottomLeft" state="frozen"/>
      <selection pane="bottomLeft" activeCell="AC38" sqref="AC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292" t="s">
        <v>101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164"/>
      <c r="AG1" s="164"/>
      <c r="AH1" s="164"/>
    </row>
    <row r="2" spans="1:49" s="6" customFormat="1" ht="24.95" customHeight="1" thickBot="1" x14ac:dyDescent="0.35">
      <c r="A2" s="294" t="s">
        <v>0</v>
      </c>
      <c r="B2" s="297" t="s">
        <v>3</v>
      </c>
      <c r="C2" s="298"/>
      <c r="D2" s="298"/>
      <c r="E2" s="298"/>
      <c r="F2" s="298"/>
      <c r="G2" s="298"/>
      <c r="H2" s="298"/>
      <c r="I2" s="298"/>
      <c r="J2" s="299" t="s">
        <v>4</v>
      </c>
      <c r="K2" s="300"/>
      <c r="L2" s="300"/>
      <c r="M2" s="301" t="s">
        <v>50</v>
      </c>
      <c r="N2" s="302"/>
      <c r="O2" s="302"/>
      <c r="P2" s="302"/>
      <c r="Q2" s="302"/>
      <c r="R2" s="302"/>
      <c r="S2" s="302"/>
      <c r="T2" s="302"/>
      <c r="U2" s="303"/>
      <c r="V2" s="304" t="s">
        <v>2</v>
      </c>
      <c r="W2" s="305"/>
      <c r="X2" s="305"/>
      <c r="Y2" s="305"/>
      <c r="Z2" s="305"/>
      <c r="AA2" s="305"/>
      <c r="AB2" s="305"/>
      <c r="AC2" s="306"/>
      <c r="AD2" s="261" t="s">
        <v>17</v>
      </c>
      <c r="AE2" s="262"/>
      <c r="AF2" s="261" t="s">
        <v>59</v>
      </c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3"/>
    </row>
    <row r="3" spans="1:49" s="5" customFormat="1" ht="36.75" customHeight="1" x14ac:dyDescent="0.25">
      <c r="A3" s="295"/>
      <c r="B3" s="264" t="s">
        <v>37</v>
      </c>
      <c r="C3" s="265"/>
      <c r="D3" s="266" t="s">
        <v>38</v>
      </c>
      <c r="E3" s="267"/>
      <c r="F3" s="266" t="s">
        <v>39</v>
      </c>
      <c r="G3" s="267"/>
      <c r="H3" s="265" t="s">
        <v>20</v>
      </c>
      <c r="I3" s="269" t="s">
        <v>7</v>
      </c>
      <c r="J3" s="271" t="s">
        <v>21</v>
      </c>
      <c r="K3" s="273" t="s">
        <v>22</v>
      </c>
      <c r="L3" s="275" t="s">
        <v>6</v>
      </c>
      <c r="M3" s="277" t="s">
        <v>35</v>
      </c>
      <c r="N3" s="278"/>
      <c r="O3" s="278" t="s">
        <v>36</v>
      </c>
      <c r="P3" s="278"/>
      <c r="Q3" s="278" t="s">
        <v>40</v>
      </c>
      <c r="R3" s="278" t="s">
        <v>33</v>
      </c>
      <c r="S3" s="278" t="s">
        <v>34</v>
      </c>
      <c r="T3" s="311" t="s">
        <v>18</v>
      </c>
      <c r="U3" s="307" t="s">
        <v>31</v>
      </c>
      <c r="V3" s="309" t="s">
        <v>23</v>
      </c>
      <c r="W3" s="285" t="s">
        <v>8</v>
      </c>
      <c r="X3" s="285" t="s">
        <v>9</v>
      </c>
      <c r="Y3" s="285" t="s">
        <v>10</v>
      </c>
      <c r="Z3" s="285" t="s">
        <v>11</v>
      </c>
      <c r="AA3" s="285" t="s">
        <v>12</v>
      </c>
      <c r="AB3" s="285" t="s">
        <v>32</v>
      </c>
      <c r="AC3" s="287" t="s">
        <v>64</v>
      </c>
      <c r="AD3" s="289" t="s">
        <v>63</v>
      </c>
      <c r="AE3" s="281" t="s">
        <v>19</v>
      </c>
      <c r="AF3" s="283" t="s">
        <v>65</v>
      </c>
      <c r="AG3" s="279"/>
      <c r="AH3" s="280"/>
      <c r="AI3" s="284" t="s">
        <v>66</v>
      </c>
      <c r="AJ3" s="279"/>
      <c r="AK3" s="280"/>
      <c r="AL3" s="283" t="s">
        <v>67</v>
      </c>
      <c r="AM3" s="279"/>
      <c r="AN3" s="280"/>
      <c r="AO3" s="283" t="s">
        <v>68</v>
      </c>
      <c r="AP3" s="279"/>
      <c r="AQ3" s="280"/>
      <c r="AR3" s="283" t="s">
        <v>70</v>
      </c>
      <c r="AS3" s="279"/>
      <c r="AT3" s="280"/>
      <c r="AU3" s="279" t="s">
        <v>69</v>
      </c>
      <c r="AV3" s="279"/>
      <c r="AW3" s="280"/>
    </row>
    <row r="4" spans="1:49" s="5" customFormat="1" ht="36.75" customHeight="1" thickBot="1" x14ac:dyDescent="0.3">
      <c r="A4" s="296"/>
      <c r="B4" s="112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3" t="s">
        <v>5</v>
      </c>
      <c r="H4" s="268"/>
      <c r="I4" s="270"/>
      <c r="J4" s="272"/>
      <c r="K4" s="274"/>
      <c r="L4" s="276"/>
      <c r="M4" s="114" t="s">
        <v>1</v>
      </c>
      <c r="N4" s="46" t="s">
        <v>5</v>
      </c>
      <c r="O4" s="46" t="s">
        <v>1</v>
      </c>
      <c r="P4" s="46" t="s">
        <v>5</v>
      </c>
      <c r="Q4" s="291"/>
      <c r="R4" s="291"/>
      <c r="S4" s="291"/>
      <c r="T4" s="312"/>
      <c r="U4" s="308"/>
      <c r="V4" s="310"/>
      <c r="W4" s="286"/>
      <c r="X4" s="286"/>
      <c r="Y4" s="286"/>
      <c r="Z4" s="286"/>
      <c r="AA4" s="286"/>
      <c r="AB4" s="286"/>
      <c r="AC4" s="288"/>
      <c r="AD4" s="290"/>
      <c r="AE4" s="282"/>
      <c r="AF4" s="168" t="s">
        <v>61</v>
      </c>
      <c r="AG4" s="169" t="s">
        <v>62</v>
      </c>
      <c r="AH4" s="156" t="s">
        <v>13</v>
      </c>
      <c r="AI4" s="169" t="s">
        <v>61</v>
      </c>
      <c r="AJ4" s="169" t="s">
        <v>62</v>
      </c>
      <c r="AK4" s="156" t="s">
        <v>13</v>
      </c>
      <c r="AL4" s="168" t="s">
        <v>61</v>
      </c>
      <c r="AM4" s="169" t="s">
        <v>62</v>
      </c>
      <c r="AN4" s="156" t="s">
        <v>13</v>
      </c>
      <c r="AO4" s="168" t="s">
        <v>61</v>
      </c>
      <c r="AP4" s="169" t="s">
        <v>60</v>
      </c>
      <c r="AQ4" s="156" t="s">
        <v>13</v>
      </c>
      <c r="AR4" s="168" t="s">
        <v>61</v>
      </c>
      <c r="AS4" s="169" t="s">
        <v>60</v>
      </c>
      <c r="AT4" s="156" t="s">
        <v>13</v>
      </c>
      <c r="AU4" s="170" t="s">
        <v>61</v>
      </c>
      <c r="AV4" s="169" t="s">
        <v>60</v>
      </c>
      <c r="AW4" s="156" t="s">
        <v>13</v>
      </c>
    </row>
    <row r="5" spans="1:49" s="3" customFormat="1" ht="27.95" customHeight="1" x14ac:dyDescent="0.25">
      <c r="A5" s="106">
        <v>45444</v>
      </c>
      <c r="B5" s="98">
        <v>19392411</v>
      </c>
      <c r="C5" s="105">
        <v>7990</v>
      </c>
      <c r="D5" s="96">
        <v>20258005</v>
      </c>
      <c r="E5" s="105">
        <v>6217</v>
      </c>
      <c r="F5" s="96">
        <v>459025</v>
      </c>
      <c r="G5" s="105">
        <v>115</v>
      </c>
      <c r="H5" s="107">
        <f t="shared" ref="H5:H34" si="0">C5+E5+G5</f>
        <v>14322</v>
      </c>
      <c r="I5" s="108">
        <f t="shared" ref="I5:I34" si="1">H5*0.2</f>
        <v>2864.4</v>
      </c>
      <c r="J5" s="98">
        <v>84133</v>
      </c>
      <c r="K5" s="105">
        <v>103</v>
      </c>
      <c r="L5" s="109">
        <f t="shared" ref="L5:L34" si="2">K5*7.84</f>
        <v>807.52</v>
      </c>
      <c r="M5" s="95">
        <v>36475</v>
      </c>
      <c r="N5" s="105">
        <v>19</v>
      </c>
      <c r="O5" s="96">
        <v>21215</v>
      </c>
      <c r="P5" s="110">
        <v>14</v>
      </c>
      <c r="Q5" s="99">
        <f>N5+P5</f>
        <v>33</v>
      </c>
      <c r="R5" s="100">
        <v>53792</v>
      </c>
      <c r="S5" s="110">
        <v>34</v>
      </c>
      <c r="T5" s="110">
        <f>S5*1.0557</f>
        <v>35.893800000000006</v>
      </c>
      <c r="U5" s="108">
        <f>IF(ISBLANK(M5),"0",T5*11.05+216.666)</f>
        <v>613.29249000000004</v>
      </c>
      <c r="V5" s="184">
        <v>68826</v>
      </c>
      <c r="W5" s="105">
        <v>35</v>
      </c>
      <c r="X5" s="183">
        <f>IF(ISBLANK(V5),"0 ",W5*284.345)</f>
        <v>9952.0750000000007</v>
      </c>
      <c r="Y5" s="183">
        <f>X5*0.3442</f>
        <v>3425.5042150000004</v>
      </c>
      <c r="Z5" s="183">
        <f>IF(ISBLANK(V5),"0",1570*1546.86/12/30*0.65)</f>
        <v>4384.9184166666664</v>
      </c>
      <c r="AA5" s="185">
        <f>Y5+Z5</f>
        <v>7810.4226316666663</v>
      </c>
      <c r="AB5" s="186">
        <v>6647133</v>
      </c>
      <c r="AC5" s="187">
        <v>12601</v>
      </c>
      <c r="AD5" s="146">
        <v>0.60950000000000004</v>
      </c>
      <c r="AE5" s="152">
        <v>268</v>
      </c>
      <c r="AF5" s="95">
        <v>13613857</v>
      </c>
      <c r="AG5" s="151">
        <v>4704</v>
      </c>
      <c r="AH5" s="167">
        <f>AG5*0.2</f>
        <v>940.80000000000007</v>
      </c>
      <c r="AI5" s="95">
        <v>6311413</v>
      </c>
      <c r="AJ5" s="151">
        <v>2016</v>
      </c>
      <c r="AK5" s="167">
        <f>AJ5*0.2</f>
        <v>403.20000000000005</v>
      </c>
      <c r="AL5" s="160">
        <v>141168</v>
      </c>
      <c r="AM5" s="105">
        <v>397</v>
      </c>
      <c r="AN5" s="102">
        <f>AM5*0.2</f>
        <v>79.400000000000006</v>
      </c>
      <c r="AO5" s="98">
        <v>6655</v>
      </c>
      <c r="AP5" s="105">
        <v>12</v>
      </c>
      <c r="AQ5" s="152">
        <f>AP5*7.84</f>
        <v>94.08</v>
      </c>
      <c r="AR5" s="95">
        <v>2831</v>
      </c>
      <c r="AS5" s="105">
        <v>0</v>
      </c>
      <c r="AT5" s="111">
        <f>AS5*7.84</f>
        <v>0</v>
      </c>
      <c r="AU5" s="159">
        <v>158</v>
      </c>
      <c r="AV5" s="105">
        <v>0</v>
      </c>
      <c r="AW5" s="111">
        <f>AV5*7.84</f>
        <v>0</v>
      </c>
    </row>
    <row r="6" spans="1:49" s="3" customFormat="1" ht="27.95" customHeight="1" x14ac:dyDescent="0.25">
      <c r="A6" s="106">
        <v>45445</v>
      </c>
      <c r="B6" s="98">
        <v>19400345</v>
      </c>
      <c r="C6" s="96">
        <f t="shared" ref="C6:C34" si="3">IF(ISBLANK(B6),"0",B6-B5)</f>
        <v>7934</v>
      </c>
      <c r="D6" s="96">
        <v>20264459</v>
      </c>
      <c r="E6" s="96">
        <f>IF(ISBLANK(D6),"0",D6-D5)</f>
        <v>6454</v>
      </c>
      <c r="F6" s="96">
        <v>459136</v>
      </c>
      <c r="G6" s="96">
        <f>IF(ISBLANK(F6),"0",F6-F5)</f>
        <v>111</v>
      </c>
      <c r="H6" s="97">
        <f t="shared" si="0"/>
        <v>14499</v>
      </c>
      <c r="I6" s="117">
        <f t="shared" si="1"/>
        <v>2899.8</v>
      </c>
      <c r="J6" s="98">
        <v>84218</v>
      </c>
      <c r="K6" s="96">
        <f>IF(ISBLANK(J6),"0",J6-J5)</f>
        <v>85</v>
      </c>
      <c r="L6" s="79">
        <f t="shared" si="2"/>
        <v>666.4</v>
      </c>
      <c r="M6" s="95">
        <v>36494</v>
      </c>
      <c r="N6" s="96">
        <f>IF(ISBLANK(M6),"0",M6-M5)</f>
        <v>19</v>
      </c>
      <c r="O6" s="96">
        <v>21231</v>
      </c>
      <c r="P6" s="99">
        <f>IF(ISBLANK(O6),"0",O6-O5)</f>
        <v>16</v>
      </c>
      <c r="Q6" s="99">
        <f t="shared" ref="Q6:Q34" si="4">N6+P6</f>
        <v>35</v>
      </c>
      <c r="R6" s="100">
        <v>53827</v>
      </c>
      <c r="S6" s="99">
        <f>IF(ISBLANK(R6),"0",R6-R5)</f>
        <v>35</v>
      </c>
      <c r="T6" s="110">
        <f t="shared" ref="T6:T34" si="5">S6*1.0557</f>
        <v>36.9495</v>
      </c>
      <c r="U6" s="108">
        <f t="shared" ref="U6:U34" si="6">IF(ISBLANK(M6),"0",T6*11.05+216.666)</f>
        <v>624.95797500000003</v>
      </c>
      <c r="V6" s="95">
        <v>68864</v>
      </c>
      <c r="W6" s="96">
        <f>IF(ISBLANK(V6)," ",V6-V5)</f>
        <v>38</v>
      </c>
      <c r="X6" s="101">
        <f>IF(ISBLANK(V6),"0 ",W6*284.345)</f>
        <v>10805.11</v>
      </c>
      <c r="Y6" s="101">
        <f t="shared" ref="Y6:Y34" si="7">X6*0.3442</f>
        <v>3719.1188620000003</v>
      </c>
      <c r="Z6" s="183">
        <f t="shared" ref="Z6:Z34" si="8">IF(ISBLANK(V6),"0",1570*1546.86/12/30*0.65)</f>
        <v>4384.9184166666664</v>
      </c>
      <c r="AA6" s="77">
        <f t="shared" ref="AA6:AA34" si="9">Y6+Z6</f>
        <v>8104.0372786666667</v>
      </c>
      <c r="AB6" s="100">
        <v>6659679</v>
      </c>
      <c r="AC6" s="163">
        <f>IF(ISBLANK(AB6),"0 ",AB6-AB5)</f>
        <v>12546</v>
      </c>
      <c r="AD6" s="147">
        <v>0.8286</v>
      </c>
      <c r="AE6" s="153">
        <v>319</v>
      </c>
      <c r="AF6" s="95">
        <v>13618659</v>
      </c>
      <c r="AG6" s="96">
        <f>IF(ISBLANK(AF6),"0",AF6-AF5)</f>
        <v>4802</v>
      </c>
      <c r="AH6" s="102">
        <f>AG6*0.2</f>
        <v>960.40000000000009</v>
      </c>
      <c r="AI6" s="95">
        <v>6313424</v>
      </c>
      <c r="AJ6" s="96">
        <f>IF(ISBLANK(AI6),"0",AI6-AI5)</f>
        <v>2011</v>
      </c>
      <c r="AK6" s="102">
        <f>AJ6*0.2</f>
        <v>402.20000000000005</v>
      </c>
      <c r="AL6" s="98">
        <v>141642</v>
      </c>
      <c r="AM6" s="96">
        <f>IF(ISBLANK(AL6),"0",AL6-AL5)</f>
        <v>474</v>
      </c>
      <c r="AN6" s="102">
        <f>AM6*0.2</f>
        <v>94.800000000000011</v>
      </c>
      <c r="AO6" s="98">
        <v>6665</v>
      </c>
      <c r="AP6" s="96">
        <f>IF(ISBLANK(AO6),"0",AO6-AO5)</f>
        <v>10</v>
      </c>
      <c r="AQ6" s="153">
        <f>AP6*7.84</f>
        <v>78.400000000000006</v>
      </c>
      <c r="AR6" s="95">
        <v>2832</v>
      </c>
      <c r="AS6" s="96">
        <f>IF(ISBLANK(AR6),"0",AR6-AR5)</f>
        <v>1</v>
      </c>
      <c r="AT6" s="102">
        <f t="shared" ref="AT6:AT34" si="10">AS6*7.84</f>
        <v>7.84</v>
      </c>
      <c r="AU6" s="95">
        <v>159</v>
      </c>
      <c r="AV6" s="96">
        <f>IF(ISBLANK(AU6),"0",AU6-AU5)</f>
        <v>1</v>
      </c>
      <c r="AW6" s="102">
        <f>AV6*7.84</f>
        <v>7.84</v>
      </c>
    </row>
    <row r="7" spans="1:49" s="3" customFormat="1" ht="27.95" customHeight="1" x14ac:dyDescent="0.25">
      <c r="A7" s="106">
        <v>45446</v>
      </c>
      <c r="B7" s="98">
        <v>19408360</v>
      </c>
      <c r="C7" s="96">
        <f t="shared" si="3"/>
        <v>8015</v>
      </c>
      <c r="D7" s="96">
        <v>20270933</v>
      </c>
      <c r="E7" s="96">
        <f t="shared" ref="E7:E34" si="11">IF(ISBLANK(D7),"0",D7-D6)</f>
        <v>6474</v>
      </c>
      <c r="F7" s="96">
        <v>459248</v>
      </c>
      <c r="G7" s="96">
        <f t="shared" ref="G7:G34" si="12">IF(ISBLANK(F7),"0",F7-F6)</f>
        <v>112</v>
      </c>
      <c r="H7" s="97">
        <f t="shared" si="0"/>
        <v>14601</v>
      </c>
      <c r="I7" s="117">
        <f t="shared" si="1"/>
        <v>2920.2000000000003</v>
      </c>
      <c r="J7" s="98">
        <v>84318</v>
      </c>
      <c r="K7" s="96">
        <f t="shared" ref="K7:K34" si="13">IF(ISBLANK(J7),"0",J7-J6)</f>
        <v>100</v>
      </c>
      <c r="L7" s="79">
        <f t="shared" si="2"/>
        <v>784</v>
      </c>
      <c r="M7" s="95">
        <v>36512</v>
      </c>
      <c r="N7" s="96">
        <f t="shared" ref="N7:N34" si="14">IF(ISBLANK(M7),"0",M7-M6)</f>
        <v>18</v>
      </c>
      <c r="O7" s="96">
        <v>21249</v>
      </c>
      <c r="P7" s="99">
        <f t="shared" ref="P7:P34" si="15">IF(ISBLANK(O7),"0",O7-O6)</f>
        <v>18</v>
      </c>
      <c r="Q7" s="99">
        <f t="shared" si="4"/>
        <v>36</v>
      </c>
      <c r="R7" s="100">
        <v>53863</v>
      </c>
      <c r="S7" s="99">
        <f t="shared" ref="S7:S34" si="16">IF(ISBLANK(R7),"0",R7-R6)</f>
        <v>36</v>
      </c>
      <c r="T7" s="110">
        <f t="shared" si="5"/>
        <v>38.005200000000002</v>
      </c>
      <c r="U7" s="108">
        <f t="shared" si="6"/>
        <v>636.62346000000002</v>
      </c>
      <c r="V7" s="95">
        <v>68901</v>
      </c>
      <c r="W7" s="96">
        <f t="shared" ref="W7:W22" si="17">IF(ISBLANK(V7)," ",V7-V6)</f>
        <v>37</v>
      </c>
      <c r="X7" s="101">
        <f>IF(ISBLANK(V7),"0 ",W7*284.345)</f>
        <v>10520.765000000001</v>
      </c>
      <c r="Y7" s="101">
        <f t="shared" si="7"/>
        <v>3621.2473130000003</v>
      </c>
      <c r="Z7" s="183">
        <f t="shared" si="8"/>
        <v>4384.9184166666664</v>
      </c>
      <c r="AA7" s="77">
        <f t="shared" si="9"/>
        <v>8006.1657296666672</v>
      </c>
      <c r="AB7" s="100">
        <v>6672398</v>
      </c>
      <c r="AC7" s="163">
        <f t="shared" ref="AC7:AC34" si="18">IF(ISBLANK(AB7),"0 ",AB7-AB6)</f>
        <v>12719</v>
      </c>
      <c r="AD7" s="147">
        <v>0.97140000000000004</v>
      </c>
      <c r="AE7" s="153">
        <v>399</v>
      </c>
      <c r="AF7" s="95">
        <v>13624473</v>
      </c>
      <c r="AG7" s="96">
        <f t="shared" ref="AG7:AG34" si="19">IF(ISBLANK(AF7),"0",AF7-AF6)</f>
        <v>5814</v>
      </c>
      <c r="AH7" s="102">
        <f t="shared" ref="AH7:AH34" si="20">AG7*0.2</f>
        <v>1162.8</v>
      </c>
      <c r="AI7" s="95">
        <v>6315626</v>
      </c>
      <c r="AJ7" s="96">
        <f t="shared" ref="AJ7:AJ34" si="21">IF(ISBLANK(AI7),"0",AI7-AI6)</f>
        <v>2202</v>
      </c>
      <c r="AK7" s="102">
        <f t="shared" ref="AK7:AK34" si="22">AJ7*0.2</f>
        <v>440.40000000000003</v>
      </c>
      <c r="AL7" s="98">
        <v>142100</v>
      </c>
      <c r="AM7" s="96">
        <f t="shared" ref="AM7:AM34" si="23">IF(ISBLANK(AL7),"0",AL7-AL6)</f>
        <v>458</v>
      </c>
      <c r="AN7" s="102">
        <f t="shared" ref="AN7:AN34" si="24">AM7*0.2</f>
        <v>91.600000000000009</v>
      </c>
      <c r="AO7" s="98">
        <v>6672</v>
      </c>
      <c r="AP7" s="96">
        <f>IF(ISBLANK(AO7),"0",AO7-AO6)</f>
        <v>7</v>
      </c>
      <c r="AQ7" s="153">
        <f t="shared" ref="AQ7:AQ34" si="25">AP7*7.84</f>
        <v>54.879999999999995</v>
      </c>
      <c r="AR7" s="95">
        <v>2833</v>
      </c>
      <c r="AS7" s="96">
        <f t="shared" ref="AS7:AS34" si="26">IF(ISBLANK(AR7),"0",AR7-AR6)</f>
        <v>1</v>
      </c>
      <c r="AT7" s="102">
        <f t="shared" si="10"/>
        <v>7.84</v>
      </c>
      <c r="AU7" s="95">
        <v>160</v>
      </c>
      <c r="AV7" s="96">
        <f t="shared" ref="AV7:AV34" si="27">IF(ISBLANK(AU7),"0",AU7-AU6)</f>
        <v>1</v>
      </c>
      <c r="AW7" s="102">
        <f t="shared" ref="AW7:AW34" si="28">AV7*7.84</f>
        <v>7.84</v>
      </c>
    </row>
    <row r="8" spans="1:49" s="3" customFormat="1" ht="27.95" customHeight="1" x14ac:dyDescent="0.25">
      <c r="A8" s="106">
        <v>45447</v>
      </c>
      <c r="B8" s="98">
        <v>19416359</v>
      </c>
      <c r="C8" s="96">
        <f t="shared" si="3"/>
        <v>7999</v>
      </c>
      <c r="D8" s="96">
        <v>20277415</v>
      </c>
      <c r="E8" s="96">
        <f t="shared" si="11"/>
        <v>6482</v>
      </c>
      <c r="F8" s="96">
        <v>459361</v>
      </c>
      <c r="G8" s="96">
        <f t="shared" si="12"/>
        <v>113</v>
      </c>
      <c r="H8" s="97">
        <f t="shared" si="0"/>
        <v>14594</v>
      </c>
      <c r="I8" s="117">
        <f t="shared" si="1"/>
        <v>2918.8</v>
      </c>
      <c r="J8" s="98">
        <v>84419</v>
      </c>
      <c r="K8" s="96">
        <f t="shared" si="13"/>
        <v>101</v>
      </c>
      <c r="L8" s="79">
        <f t="shared" si="2"/>
        <v>791.84</v>
      </c>
      <c r="M8" s="95">
        <v>36531</v>
      </c>
      <c r="N8" s="96">
        <f t="shared" si="14"/>
        <v>19</v>
      </c>
      <c r="O8" s="96">
        <v>21267</v>
      </c>
      <c r="P8" s="99">
        <f t="shared" si="15"/>
        <v>18</v>
      </c>
      <c r="Q8" s="99">
        <f t="shared" si="4"/>
        <v>37</v>
      </c>
      <c r="R8" s="100">
        <v>53900</v>
      </c>
      <c r="S8" s="99">
        <f t="shared" si="16"/>
        <v>37</v>
      </c>
      <c r="T8" s="110">
        <f t="shared" si="5"/>
        <v>39.060900000000004</v>
      </c>
      <c r="U8" s="108">
        <f t="shared" si="6"/>
        <v>648.28894500000001</v>
      </c>
      <c r="V8" s="95">
        <v>68939</v>
      </c>
      <c r="W8" s="96">
        <f t="shared" si="17"/>
        <v>38</v>
      </c>
      <c r="X8" s="101">
        <f t="shared" ref="X8:X34" si="29">IF(ISBLANK(V8),"0 ",W8*284.345)</f>
        <v>10805.11</v>
      </c>
      <c r="Y8" s="101">
        <f t="shared" si="7"/>
        <v>3719.1188620000003</v>
      </c>
      <c r="Z8" s="183">
        <f t="shared" si="8"/>
        <v>4384.9184166666664</v>
      </c>
      <c r="AA8" s="77">
        <f t="shared" si="9"/>
        <v>8104.0372786666667</v>
      </c>
      <c r="AB8" s="100">
        <v>6685296</v>
      </c>
      <c r="AC8" s="163">
        <f t="shared" si="18"/>
        <v>12898</v>
      </c>
      <c r="AD8" s="148">
        <v>0.99050000000000005</v>
      </c>
      <c r="AE8" s="153">
        <v>414</v>
      </c>
      <c r="AF8" s="95">
        <v>13630275</v>
      </c>
      <c r="AG8" s="96">
        <f t="shared" si="19"/>
        <v>5802</v>
      </c>
      <c r="AH8" s="102">
        <f t="shared" si="20"/>
        <v>1160.4000000000001</v>
      </c>
      <c r="AI8" s="95">
        <v>6317805</v>
      </c>
      <c r="AJ8" s="96">
        <f t="shared" si="21"/>
        <v>2179</v>
      </c>
      <c r="AK8" s="102">
        <f t="shared" si="22"/>
        <v>435.8</v>
      </c>
      <c r="AL8" s="98">
        <v>142559</v>
      </c>
      <c r="AM8" s="96">
        <f t="shared" si="23"/>
        <v>459</v>
      </c>
      <c r="AN8" s="102">
        <f t="shared" si="24"/>
        <v>91.800000000000011</v>
      </c>
      <c r="AO8" s="98">
        <v>6681</v>
      </c>
      <c r="AP8" s="96">
        <f t="shared" ref="AP8:AP34" si="30">IF(ISBLANK(AO8),"0",AO8-AO7)</f>
        <v>9</v>
      </c>
      <c r="AQ8" s="153">
        <f t="shared" si="25"/>
        <v>70.56</v>
      </c>
      <c r="AR8" s="95">
        <v>2834</v>
      </c>
      <c r="AS8" s="96">
        <f t="shared" si="26"/>
        <v>1</v>
      </c>
      <c r="AT8" s="102">
        <f t="shared" si="10"/>
        <v>7.84</v>
      </c>
      <c r="AU8" s="95">
        <v>161</v>
      </c>
      <c r="AV8" s="96">
        <f t="shared" si="27"/>
        <v>1</v>
      </c>
      <c r="AW8" s="102">
        <f t="shared" si="28"/>
        <v>7.84</v>
      </c>
    </row>
    <row r="9" spans="1:49" s="3" customFormat="1" ht="27.95" customHeight="1" x14ac:dyDescent="0.25">
      <c r="A9" s="106">
        <v>45448</v>
      </c>
      <c r="B9" s="98">
        <v>19424498</v>
      </c>
      <c r="C9" s="96">
        <f t="shared" si="3"/>
        <v>8139</v>
      </c>
      <c r="D9" s="96">
        <v>20284017</v>
      </c>
      <c r="E9" s="96">
        <f t="shared" si="11"/>
        <v>6602</v>
      </c>
      <c r="F9" s="96">
        <v>459471</v>
      </c>
      <c r="G9" s="96">
        <f t="shared" si="12"/>
        <v>110</v>
      </c>
      <c r="H9" s="97">
        <f t="shared" si="0"/>
        <v>14851</v>
      </c>
      <c r="I9" s="117">
        <f t="shared" si="1"/>
        <v>2970.2000000000003</v>
      </c>
      <c r="J9" s="98">
        <v>84524</v>
      </c>
      <c r="K9" s="96">
        <f t="shared" si="13"/>
        <v>105</v>
      </c>
      <c r="L9" s="79">
        <f t="shared" si="2"/>
        <v>823.19999999999993</v>
      </c>
      <c r="M9" s="95">
        <v>36550</v>
      </c>
      <c r="N9" s="96">
        <f t="shared" si="14"/>
        <v>19</v>
      </c>
      <c r="O9" s="96">
        <v>21288</v>
      </c>
      <c r="P9" s="99">
        <f t="shared" si="15"/>
        <v>21</v>
      </c>
      <c r="Q9" s="99">
        <f t="shared" si="4"/>
        <v>40</v>
      </c>
      <c r="R9" s="100">
        <v>53939</v>
      </c>
      <c r="S9" s="99">
        <f t="shared" si="16"/>
        <v>39</v>
      </c>
      <c r="T9" s="110">
        <f t="shared" si="5"/>
        <v>41.1723</v>
      </c>
      <c r="U9" s="108">
        <f t="shared" si="6"/>
        <v>671.61991499999999</v>
      </c>
      <c r="V9" s="95">
        <v>68975</v>
      </c>
      <c r="W9" s="96">
        <f t="shared" si="17"/>
        <v>36</v>
      </c>
      <c r="X9" s="101">
        <f t="shared" si="29"/>
        <v>10236.420000000002</v>
      </c>
      <c r="Y9" s="101">
        <f t="shared" si="7"/>
        <v>3523.3757640000008</v>
      </c>
      <c r="Z9" s="183">
        <f t="shared" si="8"/>
        <v>4384.9184166666664</v>
      </c>
      <c r="AA9" s="77">
        <f t="shared" si="9"/>
        <v>7908.2941806666677</v>
      </c>
      <c r="AB9" s="100">
        <v>6697617</v>
      </c>
      <c r="AC9" s="163">
        <f t="shared" si="18"/>
        <v>12321</v>
      </c>
      <c r="AD9" s="147">
        <v>0.87619999999999998</v>
      </c>
      <c r="AE9" s="153">
        <v>359</v>
      </c>
      <c r="AF9" s="95">
        <v>13636186</v>
      </c>
      <c r="AG9" s="96">
        <f t="shared" si="19"/>
        <v>5911</v>
      </c>
      <c r="AH9" s="102">
        <f t="shared" si="20"/>
        <v>1182.2</v>
      </c>
      <c r="AI9" s="95">
        <v>6320021</v>
      </c>
      <c r="AJ9" s="96">
        <f t="shared" si="21"/>
        <v>2216</v>
      </c>
      <c r="AK9" s="102">
        <f t="shared" si="22"/>
        <v>443.20000000000005</v>
      </c>
      <c r="AL9" s="98">
        <v>142988</v>
      </c>
      <c r="AM9" s="96">
        <f t="shared" si="23"/>
        <v>429</v>
      </c>
      <c r="AN9" s="102">
        <f t="shared" si="24"/>
        <v>85.800000000000011</v>
      </c>
      <c r="AO9" s="98">
        <v>6689</v>
      </c>
      <c r="AP9" s="96">
        <f t="shared" si="30"/>
        <v>8</v>
      </c>
      <c r="AQ9" s="153">
        <f t="shared" si="25"/>
        <v>62.72</v>
      </c>
      <c r="AR9" s="95">
        <v>2835</v>
      </c>
      <c r="AS9" s="96">
        <f t="shared" si="26"/>
        <v>1</v>
      </c>
      <c r="AT9" s="102">
        <f t="shared" si="10"/>
        <v>7.84</v>
      </c>
      <c r="AU9" s="95">
        <v>162</v>
      </c>
      <c r="AV9" s="96">
        <f t="shared" si="27"/>
        <v>1</v>
      </c>
      <c r="AW9" s="102">
        <f t="shared" si="28"/>
        <v>7.84</v>
      </c>
    </row>
    <row r="10" spans="1:49" s="3" customFormat="1" ht="27.95" customHeight="1" x14ac:dyDescent="0.25">
      <c r="A10" s="106">
        <v>45449</v>
      </c>
      <c r="B10" s="98">
        <v>19432202</v>
      </c>
      <c r="C10" s="96">
        <f t="shared" si="3"/>
        <v>7704</v>
      </c>
      <c r="D10" s="96">
        <v>20290546</v>
      </c>
      <c r="E10" s="96">
        <f>IF(ISBLANK(D10),"0",D10-D9)</f>
        <v>6529</v>
      </c>
      <c r="F10" s="96">
        <v>459590</v>
      </c>
      <c r="G10" s="96">
        <f>IF(ISBLANK(F10),"0",F10-F9)</f>
        <v>119</v>
      </c>
      <c r="H10" s="97">
        <f t="shared" si="0"/>
        <v>14352</v>
      </c>
      <c r="I10" s="117">
        <f t="shared" si="1"/>
        <v>2870.4</v>
      </c>
      <c r="J10" s="98">
        <v>84637</v>
      </c>
      <c r="K10" s="96">
        <f t="shared" si="13"/>
        <v>113</v>
      </c>
      <c r="L10" s="79">
        <f t="shared" si="2"/>
        <v>885.92</v>
      </c>
      <c r="M10" s="95">
        <v>36570</v>
      </c>
      <c r="N10" s="96">
        <f>IF(ISBLANK(M10),"0",M10-M9)</f>
        <v>20</v>
      </c>
      <c r="O10" s="96">
        <v>21308</v>
      </c>
      <c r="P10" s="99">
        <f t="shared" si="15"/>
        <v>20</v>
      </c>
      <c r="Q10" s="99">
        <f t="shared" si="4"/>
        <v>40</v>
      </c>
      <c r="R10" s="100">
        <v>53979</v>
      </c>
      <c r="S10" s="99">
        <f t="shared" si="16"/>
        <v>40</v>
      </c>
      <c r="T10" s="110">
        <f t="shared" si="5"/>
        <v>42.228000000000002</v>
      </c>
      <c r="U10" s="108">
        <f t="shared" si="6"/>
        <v>683.28539999999998</v>
      </c>
      <c r="V10" s="95">
        <v>69007</v>
      </c>
      <c r="W10" s="96">
        <f t="shared" si="17"/>
        <v>32</v>
      </c>
      <c r="X10" s="101">
        <f t="shared" si="29"/>
        <v>9099.0400000000009</v>
      </c>
      <c r="Y10" s="101">
        <f t="shared" si="7"/>
        <v>3131.8895680000005</v>
      </c>
      <c r="Z10" s="183">
        <f t="shared" si="8"/>
        <v>4384.9184166666664</v>
      </c>
      <c r="AA10" s="77">
        <f t="shared" si="9"/>
        <v>7516.8079846666669</v>
      </c>
      <c r="AB10" s="100">
        <v>6708650</v>
      </c>
      <c r="AC10" s="163">
        <f t="shared" si="18"/>
        <v>11033</v>
      </c>
      <c r="AD10" s="147">
        <v>0.93330000000000002</v>
      </c>
      <c r="AE10" s="153">
        <v>428</v>
      </c>
      <c r="AF10" s="95">
        <v>13641966</v>
      </c>
      <c r="AG10" s="96">
        <f t="shared" si="19"/>
        <v>5780</v>
      </c>
      <c r="AH10" s="102">
        <f t="shared" si="20"/>
        <v>1156</v>
      </c>
      <c r="AI10" s="95">
        <v>6322223</v>
      </c>
      <c r="AJ10" s="96">
        <f t="shared" si="21"/>
        <v>2202</v>
      </c>
      <c r="AK10" s="102">
        <f t="shared" si="22"/>
        <v>440.40000000000003</v>
      </c>
      <c r="AL10" s="98">
        <v>143351</v>
      </c>
      <c r="AM10" s="96">
        <f t="shared" si="23"/>
        <v>363</v>
      </c>
      <c r="AN10" s="102">
        <f t="shared" si="24"/>
        <v>72.600000000000009</v>
      </c>
      <c r="AO10" s="98">
        <v>6701</v>
      </c>
      <c r="AP10" s="96">
        <f t="shared" si="30"/>
        <v>12</v>
      </c>
      <c r="AQ10" s="153">
        <f t="shared" si="25"/>
        <v>94.08</v>
      </c>
      <c r="AR10" s="95">
        <v>2835</v>
      </c>
      <c r="AS10" s="96">
        <f t="shared" si="26"/>
        <v>0</v>
      </c>
      <c r="AT10" s="102">
        <f t="shared" si="10"/>
        <v>0</v>
      </c>
      <c r="AU10" s="95">
        <v>163</v>
      </c>
      <c r="AV10" s="96">
        <f t="shared" si="27"/>
        <v>1</v>
      </c>
      <c r="AW10" s="102">
        <f t="shared" si="28"/>
        <v>7.84</v>
      </c>
    </row>
    <row r="11" spans="1:49" s="3" customFormat="1" ht="27.95" customHeight="1" x14ac:dyDescent="0.25">
      <c r="A11" s="106">
        <v>45450</v>
      </c>
      <c r="B11" s="98">
        <v>19439768</v>
      </c>
      <c r="C11" s="96">
        <f t="shared" si="3"/>
        <v>7566</v>
      </c>
      <c r="D11" s="96">
        <v>20296935</v>
      </c>
      <c r="E11" s="96">
        <f t="shared" si="11"/>
        <v>6389</v>
      </c>
      <c r="F11" s="96">
        <v>459704</v>
      </c>
      <c r="G11" s="96">
        <f t="shared" si="12"/>
        <v>114</v>
      </c>
      <c r="H11" s="97">
        <f t="shared" si="0"/>
        <v>14069</v>
      </c>
      <c r="I11" s="117">
        <f t="shared" si="1"/>
        <v>2813.8</v>
      </c>
      <c r="J11" s="98">
        <v>84739</v>
      </c>
      <c r="K11" s="96">
        <f t="shared" si="13"/>
        <v>102</v>
      </c>
      <c r="L11" s="79">
        <f t="shared" si="2"/>
        <v>799.68</v>
      </c>
      <c r="M11" s="95">
        <v>36590</v>
      </c>
      <c r="N11" s="96">
        <f t="shared" si="14"/>
        <v>20</v>
      </c>
      <c r="O11" s="96">
        <v>21328</v>
      </c>
      <c r="P11" s="99">
        <f t="shared" si="15"/>
        <v>20</v>
      </c>
      <c r="Q11" s="99">
        <f t="shared" si="4"/>
        <v>40</v>
      </c>
      <c r="R11" s="100">
        <v>54019</v>
      </c>
      <c r="S11" s="99">
        <f>IF(ISBLANK(R11),"0",R11-R10)</f>
        <v>40</v>
      </c>
      <c r="T11" s="110">
        <f t="shared" si="5"/>
        <v>42.228000000000002</v>
      </c>
      <c r="U11" s="108">
        <f t="shared" si="6"/>
        <v>683.28539999999998</v>
      </c>
      <c r="V11" s="95">
        <v>69042</v>
      </c>
      <c r="W11" s="96">
        <f t="shared" si="17"/>
        <v>35</v>
      </c>
      <c r="X11" s="101">
        <f t="shared" si="29"/>
        <v>9952.0750000000007</v>
      </c>
      <c r="Y11" s="101">
        <f t="shared" si="7"/>
        <v>3425.5042150000004</v>
      </c>
      <c r="Z11" s="183">
        <f t="shared" si="8"/>
        <v>4384.9184166666664</v>
      </c>
      <c r="AA11" s="77">
        <f t="shared" si="9"/>
        <v>7810.4226316666663</v>
      </c>
      <c r="AB11" s="100">
        <v>6720398</v>
      </c>
      <c r="AC11" s="163">
        <f t="shared" si="18"/>
        <v>11748</v>
      </c>
      <c r="AD11" s="147">
        <v>0.8952</v>
      </c>
      <c r="AE11" s="153">
        <v>424</v>
      </c>
      <c r="AF11" s="95">
        <v>13647581</v>
      </c>
      <c r="AG11" s="96">
        <f t="shared" si="19"/>
        <v>5615</v>
      </c>
      <c r="AH11" s="102">
        <f t="shared" si="20"/>
        <v>1123</v>
      </c>
      <c r="AI11" s="95">
        <v>6324383</v>
      </c>
      <c r="AJ11" s="96">
        <f t="shared" si="21"/>
        <v>2160</v>
      </c>
      <c r="AK11" s="102">
        <f t="shared" si="22"/>
        <v>432</v>
      </c>
      <c r="AL11" s="98">
        <v>143767</v>
      </c>
      <c r="AM11" s="96">
        <f t="shared" si="23"/>
        <v>416</v>
      </c>
      <c r="AN11" s="102">
        <f t="shared" si="24"/>
        <v>83.2</v>
      </c>
      <c r="AO11" s="98">
        <v>6710</v>
      </c>
      <c r="AP11" s="96">
        <f t="shared" si="30"/>
        <v>9</v>
      </c>
      <c r="AQ11" s="153">
        <f t="shared" si="25"/>
        <v>70.56</v>
      </c>
      <c r="AR11" s="95">
        <v>2837</v>
      </c>
      <c r="AS11" s="96">
        <f t="shared" si="26"/>
        <v>2</v>
      </c>
      <c r="AT11" s="102">
        <f t="shared" si="10"/>
        <v>15.68</v>
      </c>
      <c r="AU11" s="95">
        <v>163</v>
      </c>
      <c r="AV11" s="96">
        <f t="shared" si="27"/>
        <v>0</v>
      </c>
      <c r="AW11" s="102">
        <f t="shared" si="28"/>
        <v>0</v>
      </c>
    </row>
    <row r="12" spans="1:49" s="3" customFormat="1" ht="27.95" customHeight="1" x14ac:dyDescent="0.25">
      <c r="A12" s="106">
        <v>45451</v>
      </c>
      <c r="B12" s="98">
        <v>19447196</v>
      </c>
      <c r="C12" s="96">
        <f t="shared" si="3"/>
        <v>7428</v>
      </c>
      <c r="D12" s="96">
        <v>20303207</v>
      </c>
      <c r="E12" s="96">
        <f t="shared" si="11"/>
        <v>6272</v>
      </c>
      <c r="F12" s="96">
        <v>459814</v>
      </c>
      <c r="G12" s="96">
        <f t="shared" si="12"/>
        <v>110</v>
      </c>
      <c r="H12" s="97">
        <f t="shared" si="0"/>
        <v>13810</v>
      </c>
      <c r="I12" s="117">
        <f>H12*0.2</f>
        <v>2762</v>
      </c>
      <c r="J12" s="98">
        <v>84835</v>
      </c>
      <c r="K12" s="96">
        <f t="shared" si="13"/>
        <v>96</v>
      </c>
      <c r="L12" s="79">
        <f t="shared" si="2"/>
        <v>752.64</v>
      </c>
      <c r="M12" s="95">
        <v>36608</v>
      </c>
      <c r="N12" s="96">
        <f t="shared" si="14"/>
        <v>18</v>
      </c>
      <c r="O12" s="96">
        <v>21346</v>
      </c>
      <c r="P12" s="99">
        <f t="shared" si="15"/>
        <v>18</v>
      </c>
      <c r="Q12" s="99">
        <f t="shared" si="4"/>
        <v>36</v>
      </c>
      <c r="R12" s="100">
        <v>54055</v>
      </c>
      <c r="S12" s="99">
        <f t="shared" si="16"/>
        <v>36</v>
      </c>
      <c r="T12" s="110">
        <f t="shared" si="5"/>
        <v>38.005200000000002</v>
      </c>
      <c r="U12" s="108">
        <f t="shared" si="6"/>
        <v>636.62346000000002</v>
      </c>
      <c r="V12" s="95">
        <v>69075</v>
      </c>
      <c r="W12" s="96">
        <f t="shared" si="17"/>
        <v>33</v>
      </c>
      <c r="X12" s="101">
        <f t="shared" si="29"/>
        <v>9383.3850000000002</v>
      </c>
      <c r="Y12" s="101">
        <f t="shared" si="7"/>
        <v>3229.761117</v>
      </c>
      <c r="Z12" s="183">
        <f t="shared" si="8"/>
        <v>4384.9184166666664</v>
      </c>
      <c r="AA12" s="77">
        <f t="shared" si="9"/>
        <v>7614.6795336666664</v>
      </c>
      <c r="AB12" s="100">
        <v>6731512</v>
      </c>
      <c r="AC12" s="163">
        <f t="shared" si="18"/>
        <v>11114</v>
      </c>
      <c r="AD12" s="149">
        <v>0.92700000000000005</v>
      </c>
      <c r="AE12" s="153">
        <v>446</v>
      </c>
      <c r="AF12" s="95">
        <v>13652195</v>
      </c>
      <c r="AG12" s="96">
        <f t="shared" si="19"/>
        <v>4614</v>
      </c>
      <c r="AH12" s="102">
        <f t="shared" si="20"/>
        <v>922.80000000000007</v>
      </c>
      <c r="AI12" s="95">
        <v>6326384</v>
      </c>
      <c r="AJ12" s="96">
        <f t="shared" si="21"/>
        <v>2001</v>
      </c>
      <c r="AK12" s="102">
        <f t="shared" si="22"/>
        <v>400.20000000000005</v>
      </c>
      <c r="AL12" s="98">
        <v>144156</v>
      </c>
      <c r="AM12" s="96">
        <f t="shared" si="23"/>
        <v>389</v>
      </c>
      <c r="AN12" s="102">
        <f t="shared" si="24"/>
        <v>77.800000000000011</v>
      </c>
      <c r="AO12" s="98">
        <v>6722</v>
      </c>
      <c r="AP12" s="96">
        <f t="shared" si="30"/>
        <v>12</v>
      </c>
      <c r="AQ12" s="153">
        <f t="shared" si="25"/>
        <v>94.08</v>
      </c>
      <c r="AR12" s="95">
        <v>2837</v>
      </c>
      <c r="AS12" s="96">
        <f t="shared" si="26"/>
        <v>0</v>
      </c>
      <c r="AT12" s="102">
        <f t="shared" si="10"/>
        <v>0</v>
      </c>
      <c r="AU12" s="95">
        <v>164</v>
      </c>
      <c r="AV12" s="96">
        <f t="shared" si="27"/>
        <v>1</v>
      </c>
      <c r="AW12" s="102">
        <f t="shared" si="28"/>
        <v>7.84</v>
      </c>
    </row>
    <row r="13" spans="1:49" s="3" customFormat="1" ht="27.95" customHeight="1" x14ac:dyDescent="0.25">
      <c r="A13" s="106">
        <v>45452</v>
      </c>
      <c r="B13" s="98">
        <v>19454794</v>
      </c>
      <c r="C13" s="96">
        <f t="shared" si="3"/>
        <v>7598</v>
      </c>
      <c r="D13" s="96">
        <v>20309636</v>
      </c>
      <c r="E13" s="96">
        <f t="shared" si="11"/>
        <v>6429</v>
      </c>
      <c r="F13" s="96">
        <v>459927</v>
      </c>
      <c r="G13" s="96">
        <f t="shared" si="12"/>
        <v>113</v>
      </c>
      <c r="H13" s="97">
        <f t="shared" si="0"/>
        <v>14140</v>
      </c>
      <c r="I13" s="117">
        <f t="shared" si="1"/>
        <v>2828</v>
      </c>
      <c r="J13" s="98">
        <v>84945</v>
      </c>
      <c r="K13" s="96">
        <f t="shared" si="13"/>
        <v>110</v>
      </c>
      <c r="L13" s="79">
        <f t="shared" si="2"/>
        <v>862.4</v>
      </c>
      <c r="M13" s="95">
        <v>36626</v>
      </c>
      <c r="N13" s="96">
        <f t="shared" si="14"/>
        <v>18</v>
      </c>
      <c r="O13" s="96">
        <v>21365</v>
      </c>
      <c r="P13" s="99">
        <f t="shared" si="15"/>
        <v>19</v>
      </c>
      <c r="Q13" s="99">
        <f t="shared" si="4"/>
        <v>37</v>
      </c>
      <c r="R13" s="100">
        <v>54092</v>
      </c>
      <c r="S13" s="99">
        <f t="shared" si="16"/>
        <v>37</v>
      </c>
      <c r="T13" s="110">
        <f t="shared" si="5"/>
        <v>39.060900000000004</v>
      </c>
      <c r="U13" s="108">
        <f t="shared" si="6"/>
        <v>648.28894500000001</v>
      </c>
      <c r="V13" s="95">
        <v>69112</v>
      </c>
      <c r="W13" s="96">
        <f t="shared" si="17"/>
        <v>37</v>
      </c>
      <c r="X13" s="101">
        <f t="shared" si="29"/>
        <v>10520.765000000001</v>
      </c>
      <c r="Y13" s="101">
        <f t="shared" si="7"/>
        <v>3621.2473130000003</v>
      </c>
      <c r="Z13" s="183">
        <f t="shared" si="8"/>
        <v>4384.9184166666664</v>
      </c>
      <c r="AA13" s="77">
        <f t="shared" si="9"/>
        <v>8006.1657296666672</v>
      </c>
      <c r="AB13" s="100">
        <v>6743920</v>
      </c>
      <c r="AC13" s="163">
        <f t="shared" si="18"/>
        <v>12408</v>
      </c>
      <c r="AD13" s="147">
        <v>0.86980000000000002</v>
      </c>
      <c r="AE13" s="153">
        <v>367</v>
      </c>
      <c r="AF13" s="95">
        <v>13656906</v>
      </c>
      <c r="AG13" s="96">
        <f t="shared" si="19"/>
        <v>4711</v>
      </c>
      <c r="AH13" s="102">
        <f t="shared" si="20"/>
        <v>942.2</v>
      </c>
      <c r="AI13" s="95">
        <v>6328447</v>
      </c>
      <c r="AJ13" s="96">
        <f t="shared" si="21"/>
        <v>2063</v>
      </c>
      <c r="AK13" s="102">
        <f t="shared" si="22"/>
        <v>412.6</v>
      </c>
      <c r="AL13" s="98">
        <v>144616</v>
      </c>
      <c r="AM13" s="96">
        <f t="shared" si="23"/>
        <v>460</v>
      </c>
      <c r="AN13" s="102">
        <f t="shared" si="24"/>
        <v>92</v>
      </c>
      <c r="AO13" s="98">
        <v>6732</v>
      </c>
      <c r="AP13" s="96">
        <f t="shared" si="30"/>
        <v>10</v>
      </c>
      <c r="AQ13" s="153">
        <f t="shared" si="25"/>
        <v>78.400000000000006</v>
      </c>
      <c r="AR13" s="95">
        <v>2838</v>
      </c>
      <c r="AS13" s="96">
        <f t="shared" si="26"/>
        <v>1</v>
      </c>
      <c r="AT13" s="102">
        <f t="shared" si="10"/>
        <v>7.84</v>
      </c>
      <c r="AU13" s="95">
        <v>165</v>
      </c>
      <c r="AV13" s="96">
        <f t="shared" si="27"/>
        <v>1</v>
      </c>
      <c r="AW13" s="102">
        <f t="shared" si="28"/>
        <v>7.84</v>
      </c>
    </row>
    <row r="14" spans="1:49" s="3" customFormat="1" ht="27.95" customHeight="1" x14ac:dyDescent="0.25">
      <c r="A14" s="106">
        <v>45453</v>
      </c>
      <c r="B14" s="98">
        <v>19462513</v>
      </c>
      <c r="C14" s="96">
        <f t="shared" si="3"/>
        <v>7719</v>
      </c>
      <c r="D14" s="96">
        <v>20316013</v>
      </c>
      <c r="E14" s="96">
        <f t="shared" si="11"/>
        <v>6377</v>
      </c>
      <c r="F14" s="96">
        <v>460040</v>
      </c>
      <c r="G14" s="96">
        <f t="shared" si="12"/>
        <v>113</v>
      </c>
      <c r="H14" s="97">
        <f t="shared" si="0"/>
        <v>14209</v>
      </c>
      <c r="I14" s="117">
        <f t="shared" si="1"/>
        <v>2841.8</v>
      </c>
      <c r="J14" s="98">
        <v>85043</v>
      </c>
      <c r="K14" s="96">
        <f t="shared" si="13"/>
        <v>98</v>
      </c>
      <c r="L14" s="79">
        <f t="shared" si="2"/>
        <v>768.31999999999994</v>
      </c>
      <c r="M14" s="95">
        <v>36645</v>
      </c>
      <c r="N14" s="96">
        <f t="shared" si="14"/>
        <v>19</v>
      </c>
      <c r="O14" s="96">
        <v>21384</v>
      </c>
      <c r="P14" s="99">
        <f>IF(ISBLANK(O14),"0",O14-O13)</f>
        <v>19</v>
      </c>
      <c r="Q14" s="99">
        <f t="shared" si="4"/>
        <v>38</v>
      </c>
      <c r="R14" s="100">
        <v>54130</v>
      </c>
      <c r="S14" s="99">
        <f t="shared" si="16"/>
        <v>38</v>
      </c>
      <c r="T14" s="110">
        <f t="shared" si="5"/>
        <v>40.116600000000005</v>
      </c>
      <c r="U14" s="108">
        <f t="shared" si="6"/>
        <v>659.95443</v>
      </c>
      <c r="V14" s="95">
        <v>69150</v>
      </c>
      <c r="W14" s="96">
        <f t="shared" si="17"/>
        <v>38</v>
      </c>
      <c r="X14" s="101">
        <f t="shared" si="29"/>
        <v>10805.11</v>
      </c>
      <c r="Y14" s="101">
        <f t="shared" si="7"/>
        <v>3719.1188620000003</v>
      </c>
      <c r="Z14" s="183">
        <f t="shared" si="8"/>
        <v>4384.9184166666664</v>
      </c>
      <c r="AA14" s="77">
        <f t="shared" si="9"/>
        <v>8104.0372786666667</v>
      </c>
      <c r="AB14" s="100">
        <v>6756697</v>
      </c>
      <c r="AC14" s="163">
        <f t="shared" si="18"/>
        <v>12777</v>
      </c>
      <c r="AD14" s="147">
        <v>0.8508</v>
      </c>
      <c r="AE14" s="153">
        <v>328</v>
      </c>
      <c r="AF14" s="95">
        <v>13662630</v>
      </c>
      <c r="AG14" s="96">
        <f t="shared" si="19"/>
        <v>5724</v>
      </c>
      <c r="AH14" s="102">
        <f t="shared" si="20"/>
        <v>1144.8</v>
      </c>
      <c r="AI14" s="95">
        <v>6330622</v>
      </c>
      <c r="AJ14" s="96">
        <f t="shared" si="21"/>
        <v>2175</v>
      </c>
      <c r="AK14" s="102">
        <f t="shared" si="22"/>
        <v>435</v>
      </c>
      <c r="AL14" s="98">
        <v>145085</v>
      </c>
      <c r="AM14" s="96">
        <f t="shared" si="23"/>
        <v>469</v>
      </c>
      <c r="AN14" s="102">
        <f t="shared" si="24"/>
        <v>93.800000000000011</v>
      </c>
      <c r="AO14" s="98">
        <v>6741</v>
      </c>
      <c r="AP14" s="96">
        <f t="shared" si="30"/>
        <v>9</v>
      </c>
      <c r="AQ14" s="153">
        <f t="shared" si="25"/>
        <v>70.56</v>
      </c>
      <c r="AR14" s="95">
        <v>2839</v>
      </c>
      <c r="AS14" s="96">
        <f t="shared" si="26"/>
        <v>1</v>
      </c>
      <c r="AT14" s="102">
        <f t="shared" si="10"/>
        <v>7.84</v>
      </c>
      <c r="AU14" s="95">
        <v>166</v>
      </c>
      <c r="AV14" s="96">
        <f t="shared" si="27"/>
        <v>1</v>
      </c>
      <c r="AW14" s="102">
        <f t="shared" si="28"/>
        <v>7.84</v>
      </c>
    </row>
    <row r="15" spans="1:49" s="3" customFormat="1" ht="27.95" customHeight="1" x14ac:dyDescent="0.25">
      <c r="A15" s="106">
        <v>45454</v>
      </c>
      <c r="B15" s="98">
        <v>19470241</v>
      </c>
      <c r="C15" s="96">
        <f t="shared" si="3"/>
        <v>7728</v>
      </c>
      <c r="D15" s="96">
        <v>20322571</v>
      </c>
      <c r="E15" s="96">
        <f t="shared" si="11"/>
        <v>6558</v>
      </c>
      <c r="F15" s="96">
        <v>460153</v>
      </c>
      <c r="G15" s="96">
        <f t="shared" si="12"/>
        <v>113</v>
      </c>
      <c r="H15" s="97">
        <f t="shared" si="0"/>
        <v>14399</v>
      </c>
      <c r="I15" s="117">
        <f t="shared" si="1"/>
        <v>2879.8</v>
      </c>
      <c r="J15" s="98">
        <v>85142</v>
      </c>
      <c r="K15" s="96">
        <f t="shared" si="13"/>
        <v>99</v>
      </c>
      <c r="L15" s="79">
        <f t="shared" si="2"/>
        <v>776.16</v>
      </c>
      <c r="M15" s="95">
        <v>36663</v>
      </c>
      <c r="N15" s="96">
        <f t="shared" si="14"/>
        <v>18</v>
      </c>
      <c r="O15" s="96">
        <v>21403</v>
      </c>
      <c r="P15" s="99">
        <f t="shared" si="15"/>
        <v>19</v>
      </c>
      <c r="Q15" s="99">
        <f t="shared" si="4"/>
        <v>37</v>
      </c>
      <c r="R15" s="100">
        <v>54168</v>
      </c>
      <c r="S15" s="99">
        <f t="shared" si="16"/>
        <v>38</v>
      </c>
      <c r="T15" s="110">
        <f t="shared" si="5"/>
        <v>40.116600000000005</v>
      </c>
      <c r="U15" s="108">
        <f t="shared" si="6"/>
        <v>659.95443</v>
      </c>
      <c r="V15" s="95">
        <v>69187</v>
      </c>
      <c r="W15" s="96">
        <f t="shared" si="17"/>
        <v>37</v>
      </c>
      <c r="X15" s="101">
        <f t="shared" si="29"/>
        <v>10520.765000000001</v>
      </c>
      <c r="Y15" s="101">
        <f t="shared" si="7"/>
        <v>3621.2473130000003</v>
      </c>
      <c r="Z15" s="183">
        <f t="shared" si="8"/>
        <v>4384.9184166666664</v>
      </c>
      <c r="AA15" s="77">
        <f t="shared" si="9"/>
        <v>8006.1657296666672</v>
      </c>
      <c r="AB15" s="100">
        <v>6769346</v>
      </c>
      <c r="AC15" s="163">
        <f t="shared" si="18"/>
        <v>12649</v>
      </c>
      <c r="AD15" s="147">
        <v>0.8</v>
      </c>
      <c r="AE15" s="153">
        <v>309</v>
      </c>
      <c r="AF15" s="95">
        <v>13668389</v>
      </c>
      <c r="AG15" s="96">
        <f t="shared" si="19"/>
        <v>5759</v>
      </c>
      <c r="AH15" s="102">
        <f t="shared" si="20"/>
        <v>1151.8</v>
      </c>
      <c r="AI15" s="95">
        <v>6332805</v>
      </c>
      <c r="AJ15" s="96">
        <f t="shared" si="21"/>
        <v>2183</v>
      </c>
      <c r="AK15" s="102">
        <f t="shared" si="22"/>
        <v>436.6</v>
      </c>
      <c r="AL15" s="98">
        <v>145532</v>
      </c>
      <c r="AM15" s="96">
        <f t="shared" si="23"/>
        <v>447</v>
      </c>
      <c r="AN15" s="102">
        <f t="shared" si="24"/>
        <v>89.4</v>
      </c>
      <c r="AO15" s="98">
        <v>6750</v>
      </c>
      <c r="AP15" s="96">
        <f t="shared" si="30"/>
        <v>9</v>
      </c>
      <c r="AQ15" s="153">
        <f t="shared" si="25"/>
        <v>70.56</v>
      </c>
      <c r="AR15" s="95">
        <v>2840</v>
      </c>
      <c r="AS15" s="96">
        <f t="shared" si="26"/>
        <v>1</v>
      </c>
      <c r="AT15" s="102">
        <f t="shared" si="10"/>
        <v>7.84</v>
      </c>
      <c r="AU15" s="95">
        <v>166</v>
      </c>
      <c r="AV15" s="96">
        <f t="shared" si="27"/>
        <v>0</v>
      </c>
      <c r="AW15" s="102">
        <f t="shared" si="28"/>
        <v>0</v>
      </c>
    </row>
    <row r="16" spans="1:49" s="3" customFormat="1" ht="27.95" customHeight="1" x14ac:dyDescent="0.25">
      <c r="A16" s="106">
        <v>45455</v>
      </c>
      <c r="B16" s="98">
        <v>19477952</v>
      </c>
      <c r="C16" s="96">
        <f t="shared" si="3"/>
        <v>7711</v>
      </c>
      <c r="D16" s="96">
        <v>20329016</v>
      </c>
      <c r="E16" s="96">
        <f t="shared" si="11"/>
        <v>6445</v>
      </c>
      <c r="F16" s="96">
        <v>460266</v>
      </c>
      <c r="G16" s="96">
        <f t="shared" si="12"/>
        <v>113</v>
      </c>
      <c r="H16" s="97">
        <f t="shared" si="0"/>
        <v>14269</v>
      </c>
      <c r="I16" s="117">
        <f t="shared" si="1"/>
        <v>2853.8</v>
      </c>
      <c r="J16" s="98">
        <v>85232</v>
      </c>
      <c r="K16" s="96">
        <f t="shared" si="13"/>
        <v>90</v>
      </c>
      <c r="L16" s="79">
        <f t="shared" si="2"/>
        <v>705.6</v>
      </c>
      <c r="M16" s="95">
        <v>36681</v>
      </c>
      <c r="N16" s="96">
        <f t="shared" si="14"/>
        <v>18</v>
      </c>
      <c r="O16" s="96">
        <v>21422</v>
      </c>
      <c r="P16" s="99">
        <f t="shared" si="15"/>
        <v>19</v>
      </c>
      <c r="Q16" s="99">
        <f t="shared" si="4"/>
        <v>37</v>
      </c>
      <c r="R16" s="100">
        <v>54205</v>
      </c>
      <c r="S16" s="99">
        <f t="shared" si="16"/>
        <v>37</v>
      </c>
      <c r="T16" s="110">
        <f t="shared" si="5"/>
        <v>39.060900000000004</v>
      </c>
      <c r="U16" s="108">
        <f t="shared" si="6"/>
        <v>648.28894500000001</v>
      </c>
      <c r="V16" s="95">
        <v>69222</v>
      </c>
      <c r="W16" s="96">
        <f t="shared" si="17"/>
        <v>35</v>
      </c>
      <c r="X16" s="101">
        <f t="shared" si="29"/>
        <v>9952.0750000000007</v>
      </c>
      <c r="Y16" s="101">
        <f t="shared" si="7"/>
        <v>3425.5042150000004</v>
      </c>
      <c r="Z16" s="183">
        <f t="shared" si="8"/>
        <v>4384.9184166666664</v>
      </c>
      <c r="AA16" s="77">
        <f t="shared" si="9"/>
        <v>7810.4226316666663</v>
      </c>
      <c r="AB16" s="100">
        <v>6781431</v>
      </c>
      <c r="AC16" s="163">
        <f t="shared" si="18"/>
        <v>12085</v>
      </c>
      <c r="AD16" s="147">
        <v>0.73019999999999996</v>
      </c>
      <c r="AE16" s="153">
        <v>285</v>
      </c>
      <c r="AF16" s="95">
        <v>13674054</v>
      </c>
      <c r="AG16" s="96">
        <f t="shared" si="19"/>
        <v>5665</v>
      </c>
      <c r="AH16" s="102">
        <f t="shared" si="20"/>
        <v>1133</v>
      </c>
      <c r="AI16" s="95">
        <v>6334968</v>
      </c>
      <c r="AJ16" s="96">
        <f t="shared" si="21"/>
        <v>2163</v>
      </c>
      <c r="AK16" s="102">
        <f t="shared" si="22"/>
        <v>432.6</v>
      </c>
      <c r="AL16" s="98">
        <v>145950</v>
      </c>
      <c r="AM16" s="96">
        <f t="shared" si="23"/>
        <v>418</v>
      </c>
      <c r="AN16" s="102">
        <f t="shared" si="24"/>
        <v>83.600000000000009</v>
      </c>
      <c r="AO16" s="98">
        <v>6759</v>
      </c>
      <c r="AP16" s="96">
        <f t="shared" si="30"/>
        <v>9</v>
      </c>
      <c r="AQ16" s="153">
        <f t="shared" si="25"/>
        <v>70.56</v>
      </c>
      <c r="AR16" s="95">
        <v>2841</v>
      </c>
      <c r="AS16" s="96">
        <f t="shared" si="26"/>
        <v>1</v>
      </c>
      <c r="AT16" s="102">
        <f t="shared" si="10"/>
        <v>7.84</v>
      </c>
      <c r="AU16" s="95">
        <v>167</v>
      </c>
      <c r="AV16" s="96">
        <f t="shared" si="27"/>
        <v>1</v>
      </c>
      <c r="AW16" s="102">
        <f t="shared" si="28"/>
        <v>7.84</v>
      </c>
    </row>
    <row r="17" spans="1:49" s="3" customFormat="1" ht="27.95" customHeight="1" x14ac:dyDescent="0.25">
      <c r="A17" s="106">
        <v>45456</v>
      </c>
      <c r="B17" s="98">
        <v>19485661</v>
      </c>
      <c r="C17" s="96">
        <f t="shared" si="3"/>
        <v>7709</v>
      </c>
      <c r="D17" s="96">
        <v>20335532</v>
      </c>
      <c r="E17" s="96">
        <f t="shared" si="11"/>
        <v>6516</v>
      </c>
      <c r="F17" s="96">
        <v>460372</v>
      </c>
      <c r="G17" s="96">
        <f t="shared" si="12"/>
        <v>106</v>
      </c>
      <c r="H17" s="97">
        <f t="shared" si="0"/>
        <v>14331</v>
      </c>
      <c r="I17" s="117">
        <f t="shared" si="1"/>
        <v>2866.2000000000003</v>
      </c>
      <c r="J17" s="98">
        <v>85326</v>
      </c>
      <c r="K17" s="96">
        <f t="shared" si="13"/>
        <v>94</v>
      </c>
      <c r="L17" s="79">
        <f t="shared" si="2"/>
        <v>736.96</v>
      </c>
      <c r="M17" s="95">
        <v>36701</v>
      </c>
      <c r="N17" s="96">
        <f t="shared" si="14"/>
        <v>20</v>
      </c>
      <c r="O17" s="96">
        <v>21439</v>
      </c>
      <c r="P17" s="99">
        <f t="shared" si="15"/>
        <v>17</v>
      </c>
      <c r="Q17" s="99">
        <f t="shared" si="4"/>
        <v>37</v>
      </c>
      <c r="R17" s="100">
        <v>54242</v>
      </c>
      <c r="S17" s="99">
        <f t="shared" si="16"/>
        <v>37</v>
      </c>
      <c r="T17" s="110">
        <f t="shared" si="5"/>
        <v>39.060900000000004</v>
      </c>
      <c r="U17" s="108">
        <f t="shared" si="6"/>
        <v>648.28894500000001</v>
      </c>
      <c r="V17" s="95">
        <v>69258</v>
      </c>
      <c r="W17" s="96">
        <f t="shared" si="17"/>
        <v>36</v>
      </c>
      <c r="X17" s="101">
        <f t="shared" si="29"/>
        <v>10236.420000000002</v>
      </c>
      <c r="Y17" s="101">
        <f t="shared" si="7"/>
        <v>3523.3757640000008</v>
      </c>
      <c r="Z17" s="183">
        <f t="shared" si="8"/>
        <v>4384.9184166666664</v>
      </c>
      <c r="AA17" s="77">
        <f t="shared" si="9"/>
        <v>7908.2941806666677</v>
      </c>
      <c r="AB17" s="100">
        <v>6793641</v>
      </c>
      <c r="AC17" s="163">
        <f t="shared" si="18"/>
        <v>12210</v>
      </c>
      <c r="AD17" s="149">
        <v>0.72060000000000002</v>
      </c>
      <c r="AE17" s="153">
        <v>298</v>
      </c>
      <c r="AF17" s="95">
        <v>13679694</v>
      </c>
      <c r="AG17" s="96">
        <f t="shared" si="19"/>
        <v>5640</v>
      </c>
      <c r="AH17" s="102">
        <f t="shared" si="20"/>
        <v>1128</v>
      </c>
      <c r="AI17" s="95">
        <v>6337109</v>
      </c>
      <c r="AJ17" s="96">
        <f t="shared" si="21"/>
        <v>2141</v>
      </c>
      <c r="AK17" s="102">
        <f t="shared" si="22"/>
        <v>428.20000000000005</v>
      </c>
      <c r="AL17" s="98">
        <v>146387</v>
      </c>
      <c r="AM17" s="96">
        <f t="shared" si="23"/>
        <v>437</v>
      </c>
      <c r="AN17" s="102">
        <f t="shared" si="24"/>
        <v>87.4</v>
      </c>
      <c r="AO17" s="98">
        <v>6769</v>
      </c>
      <c r="AP17" s="96">
        <f t="shared" si="30"/>
        <v>10</v>
      </c>
      <c r="AQ17" s="153">
        <f t="shared" si="25"/>
        <v>78.400000000000006</v>
      </c>
      <c r="AR17" s="95">
        <v>2841</v>
      </c>
      <c r="AS17" s="96">
        <f t="shared" si="26"/>
        <v>0</v>
      </c>
      <c r="AT17" s="102">
        <f t="shared" si="10"/>
        <v>0</v>
      </c>
      <c r="AU17" s="95">
        <v>168</v>
      </c>
      <c r="AV17" s="96">
        <f t="shared" si="27"/>
        <v>1</v>
      </c>
      <c r="AW17" s="102">
        <f t="shared" si="28"/>
        <v>7.84</v>
      </c>
    </row>
    <row r="18" spans="1:49" s="3" customFormat="1" ht="27.95" customHeight="1" x14ac:dyDescent="0.25">
      <c r="A18" s="106">
        <v>45457</v>
      </c>
      <c r="B18" s="98">
        <v>19493268</v>
      </c>
      <c r="C18" s="96">
        <f t="shared" si="3"/>
        <v>7607</v>
      </c>
      <c r="D18" s="96">
        <v>20342093</v>
      </c>
      <c r="E18" s="96">
        <f t="shared" si="11"/>
        <v>6561</v>
      </c>
      <c r="F18" s="96">
        <v>460478</v>
      </c>
      <c r="G18" s="96">
        <f t="shared" si="12"/>
        <v>106</v>
      </c>
      <c r="H18" s="97">
        <f t="shared" si="0"/>
        <v>14274</v>
      </c>
      <c r="I18" s="117">
        <f t="shared" si="1"/>
        <v>2854.8</v>
      </c>
      <c r="J18" s="98">
        <v>85421</v>
      </c>
      <c r="K18" s="96">
        <f t="shared" si="13"/>
        <v>95</v>
      </c>
      <c r="L18" s="79">
        <f t="shared" si="2"/>
        <v>744.8</v>
      </c>
      <c r="M18" s="95">
        <v>36721</v>
      </c>
      <c r="N18" s="96">
        <f t="shared" si="14"/>
        <v>20</v>
      </c>
      <c r="O18" s="96">
        <v>21456</v>
      </c>
      <c r="P18" s="99">
        <f t="shared" si="15"/>
        <v>17</v>
      </c>
      <c r="Q18" s="99">
        <f t="shared" si="4"/>
        <v>37</v>
      </c>
      <c r="R18" s="100">
        <v>54279</v>
      </c>
      <c r="S18" s="99">
        <f t="shared" si="16"/>
        <v>37</v>
      </c>
      <c r="T18" s="110">
        <f t="shared" si="5"/>
        <v>39.060900000000004</v>
      </c>
      <c r="U18" s="108">
        <f t="shared" si="6"/>
        <v>648.28894500000001</v>
      </c>
      <c r="V18" s="95">
        <v>69294</v>
      </c>
      <c r="W18" s="96">
        <f t="shared" si="17"/>
        <v>36</v>
      </c>
      <c r="X18" s="101">
        <f t="shared" si="29"/>
        <v>10236.420000000002</v>
      </c>
      <c r="Y18" s="101">
        <f t="shared" si="7"/>
        <v>3523.3757640000008</v>
      </c>
      <c r="Z18" s="183">
        <f t="shared" si="8"/>
        <v>4384.9184166666664</v>
      </c>
      <c r="AA18" s="77">
        <f t="shared" si="9"/>
        <v>7908.2941806666677</v>
      </c>
      <c r="AB18" s="100">
        <v>6805793</v>
      </c>
      <c r="AC18" s="163">
        <f t="shared" si="18"/>
        <v>12152</v>
      </c>
      <c r="AD18" s="147">
        <v>0.71430000000000005</v>
      </c>
      <c r="AE18" s="153">
        <v>350</v>
      </c>
      <c r="AF18" s="95">
        <v>13685122</v>
      </c>
      <c r="AG18" s="96">
        <f t="shared" si="19"/>
        <v>5428</v>
      </c>
      <c r="AH18" s="102">
        <f t="shared" si="20"/>
        <v>1085.6000000000001</v>
      </c>
      <c r="AI18" s="95">
        <v>6339196</v>
      </c>
      <c r="AJ18" s="96">
        <f t="shared" si="21"/>
        <v>2087</v>
      </c>
      <c r="AK18" s="102">
        <f t="shared" si="22"/>
        <v>417.40000000000003</v>
      </c>
      <c r="AL18" s="98">
        <v>146823</v>
      </c>
      <c r="AM18" s="96">
        <f t="shared" si="23"/>
        <v>436</v>
      </c>
      <c r="AN18" s="102">
        <f t="shared" si="24"/>
        <v>87.2</v>
      </c>
      <c r="AO18" s="98">
        <v>6778</v>
      </c>
      <c r="AP18" s="96">
        <f t="shared" si="30"/>
        <v>9</v>
      </c>
      <c r="AQ18" s="153">
        <f t="shared" si="25"/>
        <v>70.56</v>
      </c>
      <c r="AR18" s="95">
        <v>2843</v>
      </c>
      <c r="AS18" s="96">
        <f t="shared" si="26"/>
        <v>2</v>
      </c>
      <c r="AT18" s="102">
        <f t="shared" si="10"/>
        <v>15.68</v>
      </c>
      <c r="AU18" s="95">
        <v>169</v>
      </c>
      <c r="AV18" s="96">
        <f t="shared" si="27"/>
        <v>1</v>
      </c>
      <c r="AW18" s="102">
        <f t="shared" si="28"/>
        <v>7.84</v>
      </c>
    </row>
    <row r="19" spans="1:49" s="3" customFormat="1" ht="27.95" customHeight="1" x14ac:dyDescent="0.25">
      <c r="A19" s="106">
        <v>45458</v>
      </c>
      <c r="B19" s="98">
        <v>19500872</v>
      </c>
      <c r="C19" s="96">
        <f t="shared" si="3"/>
        <v>7604</v>
      </c>
      <c r="D19" s="96">
        <v>20348622</v>
      </c>
      <c r="E19" s="96">
        <f t="shared" si="11"/>
        <v>6529</v>
      </c>
      <c r="F19" s="96">
        <v>460583</v>
      </c>
      <c r="G19" s="96">
        <f t="shared" si="12"/>
        <v>105</v>
      </c>
      <c r="H19" s="97">
        <f t="shared" si="0"/>
        <v>14238</v>
      </c>
      <c r="I19" s="117">
        <f t="shared" si="1"/>
        <v>2847.6000000000004</v>
      </c>
      <c r="J19" s="98">
        <v>85505</v>
      </c>
      <c r="K19" s="96">
        <f t="shared" si="13"/>
        <v>84</v>
      </c>
      <c r="L19" s="79">
        <f t="shared" si="2"/>
        <v>658.56</v>
      </c>
      <c r="M19" s="95">
        <v>36741</v>
      </c>
      <c r="N19" s="96">
        <f t="shared" si="14"/>
        <v>20</v>
      </c>
      <c r="O19" s="96">
        <v>21473</v>
      </c>
      <c r="P19" s="99">
        <f t="shared" si="15"/>
        <v>17</v>
      </c>
      <c r="Q19" s="99">
        <f t="shared" si="4"/>
        <v>37</v>
      </c>
      <c r="R19" s="100">
        <v>54317</v>
      </c>
      <c r="S19" s="99">
        <f t="shared" si="16"/>
        <v>38</v>
      </c>
      <c r="T19" s="110">
        <f t="shared" si="5"/>
        <v>40.116600000000005</v>
      </c>
      <c r="U19" s="108">
        <f t="shared" si="6"/>
        <v>659.95443</v>
      </c>
      <c r="V19" s="95">
        <v>69326</v>
      </c>
      <c r="W19" s="96">
        <f t="shared" si="17"/>
        <v>32</v>
      </c>
      <c r="X19" s="101">
        <f t="shared" si="29"/>
        <v>9099.0400000000009</v>
      </c>
      <c r="Y19" s="101">
        <f t="shared" si="7"/>
        <v>3131.8895680000005</v>
      </c>
      <c r="Z19" s="183">
        <f t="shared" si="8"/>
        <v>4384.9184166666664</v>
      </c>
      <c r="AA19" s="77">
        <f t="shared" si="9"/>
        <v>7516.8079846666669</v>
      </c>
      <c r="AB19" s="100">
        <v>6816518</v>
      </c>
      <c r="AC19" s="163">
        <f t="shared" si="18"/>
        <v>10725</v>
      </c>
      <c r="AD19" s="147">
        <v>0.54290000000000005</v>
      </c>
      <c r="AE19" s="153">
        <v>264</v>
      </c>
      <c r="AF19" s="95">
        <v>13689650</v>
      </c>
      <c r="AG19" s="96">
        <f t="shared" si="19"/>
        <v>4528</v>
      </c>
      <c r="AH19" s="102">
        <f t="shared" si="20"/>
        <v>905.6</v>
      </c>
      <c r="AI19" s="95">
        <v>6341186</v>
      </c>
      <c r="AJ19" s="96">
        <f t="shared" si="21"/>
        <v>1990</v>
      </c>
      <c r="AK19" s="102">
        <f t="shared" si="22"/>
        <v>398</v>
      </c>
      <c r="AL19" s="98">
        <v>147196</v>
      </c>
      <c r="AM19" s="96">
        <f t="shared" si="23"/>
        <v>373</v>
      </c>
      <c r="AN19" s="102">
        <f t="shared" si="24"/>
        <v>74.600000000000009</v>
      </c>
      <c r="AO19" s="98">
        <v>6787</v>
      </c>
      <c r="AP19" s="96">
        <f t="shared" si="30"/>
        <v>9</v>
      </c>
      <c r="AQ19" s="153">
        <f t="shared" si="25"/>
        <v>70.56</v>
      </c>
      <c r="AR19" s="95">
        <v>2844</v>
      </c>
      <c r="AS19" s="96">
        <f t="shared" si="26"/>
        <v>1</v>
      </c>
      <c r="AT19" s="102">
        <f t="shared" si="10"/>
        <v>7.84</v>
      </c>
      <c r="AU19" s="95">
        <v>169</v>
      </c>
      <c r="AV19" s="96">
        <f t="shared" si="27"/>
        <v>0</v>
      </c>
      <c r="AW19" s="102">
        <f t="shared" si="28"/>
        <v>0</v>
      </c>
    </row>
    <row r="20" spans="1:49" s="3" customFormat="1" ht="27.95" customHeight="1" x14ac:dyDescent="0.25">
      <c r="A20" s="106">
        <v>45459</v>
      </c>
      <c r="B20" s="98">
        <v>19508340</v>
      </c>
      <c r="C20" s="96">
        <f t="shared" si="3"/>
        <v>7468</v>
      </c>
      <c r="D20" s="96">
        <v>20355196</v>
      </c>
      <c r="E20" s="96">
        <f t="shared" si="11"/>
        <v>6574</v>
      </c>
      <c r="F20" s="96">
        <v>460687</v>
      </c>
      <c r="G20" s="96">
        <f t="shared" si="12"/>
        <v>104</v>
      </c>
      <c r="H20" s="97">
        <f t="shared" si="0"/>
        <v>14146</v>
      </c>
      <c r="I20" s="117">
        <f t="shared" si="1"/>
        <v>2829.2000000000003</v>
      </c>
      <c r="J20" s="98">
        <v>85598</v>
      </c>
      <c r="K20" s="96">
        <f t="shared" si="13"/>
        <v>93</v>
      </c>
      <c r="L20" s="79">
        <f t="shared" si="2"/>
        <v>729.12</v>
      </c>
      <c r="M20" s="95">
        <v>36759</v>
      </c>
      <c r="N20" s="96">
        <f t="shared" si="14"/>
        <v>18</v>
      </c>
      <c r="O20" s="96">
        <v>21492</v>
      </c>
      <c r="P20" s="99">
        <f t="shared" si="15"/>
        <v>19</v>
      </c>
      <c r="Q20" s="99">
        <f t="shared" si="4"/>
        <v>37</v>
      </c>
      <c r="R20" s="100">
        <v>54353</v>
      </c>
      <c r="S20" s="99">
        <f t="shared" si="16"/>
        <v>36</v>
      </c>
      <c r="T20" s="110">
        <f t="shared" si="5"/>
        <v>38.005200000000002</v>
      </c>
      <c r="U20" s="108">
        <f t="shared" si="6"/>
        <v>636.62346000000002</v>
      </c>
      <c r="V20" s="95">
        <v>69360</v>
      </c>
      <c r="W20" s="96">
        <f t="shared" si="17"/>
        <v>34</v>
      </c>
      <c r="X20" s="101">
        <f t="shared" si="29"/>
        <v>9667.7300000000014</v>
      </c>
      <c r="Y20" s="101">
        <f t="shared" si="7"/>
        <v>3327.6326660000004</v>
      </c>
      <c r="Z20" s="183">
        <f t="shared" si="8"/>
        <v>4384.9184166666664</v>
      </c>
      <c r="AA20" s="77">
        <f t="shared" si="9"/>
        <v>7712.5510826666668</v>
      </c>
      <c r="AB20" s="100">
        <v>6828027</v>
      </c>
      <c r="AC20" s="163">
        <f t="shared" si="18"/>
        <v>11509</v>
      </c>
      <c r="AD20" s="147">
        <v>0.67300000000000004</v>
      </c>
      <c r="AE20" s="153">
        <v>348</v>
      </c>
      <c r="AF20" s="95">
        <v>13694116</v>
      </c>
      <c r="AG20" s="96">
        <f t="shared" si="19"/>
        <v>4466</v>
      </c>
      <c r="AH20" s="102">
        <f t="shared" si="20"/>
        <v>893.2</v>
      </c>
      <c r="AI20" s="95">
        <v>6343163</v>
      </c>
      <c r="AJ20" s="96">
        <f t="shared" si="21"/>
        <v>1977</v>
      </c>
      <c r="AK20" s="102">
        <f t="shared" si="22"/>
        <v>395.40000000000003</v>
      </c>
      <c r="AL20" s="98">
        <v>147623</v>
      </c>
      <c r="AM20" s="96">
        <f t="shared" si="23"/>
        <v>427</v>
      </c>
      <c r="AN20" s="102">
        <f t="shared" si="24"/>
        <v>85.4</v>
      </c>
      <c r="AO20" s="98">
        <v>6796</v>
      </c>
      <c r="AP20" s="96">
        <f t="shared" si="30"/>
        <v>9</v>
      </c>
      <c r="AQ20" s="153">
        <f t="shared" si="25"/>
        <v>70.56</v>
      </c>
      <c r="AR20" s="95">
        <v>2849</v>
      </c>
      <c r="AS20" s="96">
        <f t="shared" si="26"/>
        <v>5</v>
      </c>
      <c r="AT20" s="102">
        <f t="shared" si="10"/>
        <v>39.200000000000003</v>
      </c>
      <c r="AU20" s="95">
        <v>170</v>
      </c>
      <c r="AV20" s="96">
        <f t="shared" si="27"/>
        <v>1</v>
      </c>
      <c r="AW20" s="102">
        <f t="shared" si="28"/>
        <v>7.84</v>
      </c>
    </row>
    <row r="21" spans="1:49" s="3" customFormat="1" ht="27.95" customHeight="1" x14ac:dyDescent="0.25">
      <c r="A21" s="106">
        <v>45460</v>
      </c>
      <c r="B21" s="98">
        <v>19515836</v>
      </c>
      <c r="C21" s="96">
        <f t="shared" si="3"/>
        <v>7496</v>
      </c>
      <c r="D21" s="96">
        <v>20362006</v>
      </c>
      <c r="E21" s="96">
        <f t="shared" si="11"/>
        <v>6810</v>
      </c>
      <c r="F21" s="96">
        <v>460785</v>
      </c>
      <c r="G21" s="96">
        <f t="shared" si="12"/>
        <v>98</v>
      </c>
      <c r="H21" s="97">
        <f t="shared" si="0"/>
        <v>14404</v>
      </c>
      <c r="I21" s="117">
        <f t="shared" si="1"/>
        <v>2880.8</v>
      </c>
      <c r="J21" s="98">
        <v>85696</v>
      </c>
      <c r="K21" s="96">
        <f t="shared" si="13"/>
        <v>98</v>
      </c>
      <c r="L21" s="79">
        <f t="shared" si="2"/>
        <v>768.31999999999994</v>
      </c>
      <c r="M21" s="95">
        <v>36776</v>
      </c>
      <c r="N21" s="96">
        <f t="shared" si="14"/>
        <v>17</v>
      </c>
      <c r="O21" s="96">
        <v>21511</v>
      </c>
      <c r="P21" s="99">
        <f t="shared" si="15"/>
        <v>19</v>
      </c>
      <c r="Q21" s="99">
        <f t="shared" si="4"/>
        <v>36</v>
      </c>
      <c r="R21" s="100">
        <v>54389</v>
      </c>
      <c r="S21" s="99">
        <f t="shared" si="16"/>
        <v>36</v>
      </c>
      <c r="T21" s="110">
        <f t="shared" si="5"/>
        <v>38.005200000000002</v>
      </c>
      <c r="U21" s="108">
        <f t="shared" si="6"/>
        <v>636.62346000000002</v>
      </c>
      <c r="V21" s="95">
        <v>69399</v>
      </c>
      <c r="W21" s="96">
        <f t="shared" si="17"/>
        <v>39</v>
      </c>
      <c r="X21" s="101">
        <f t="shared" si="29"/>
        <v>11089.455000000002</v>
      </c>
      <c r="Y21" s="101">
        <f t="shared" si="7"/>
        <v>3816.9904110000007</v>
      </c>
      <c r="Z21" s="183">
        <f t="shared" si="8"/>
        <v>4384.9184166666664</v>
      </c>
      <c r="AA21" s="77">
        <f t="shared" si="9"/>
        <v>8201.9088276666662</v>
      </c>
      <c r="AB21" s="100">
        <v>6841011</v>
      </c>
      <c r="AC21" s="163">
        <f t="shared" si="18"/>
        <v>12984</v>
      </c>
      <c r="AD21" s="147">
        <v>0.82220000000000004</v>
      </c>
      <c r="AE21" s="153">
        <v>420</v>
      </c>
      <c r="AF21" s="95">
        <v>13698615</v>
      </c>
      <c r="AG21" s="96">
        <f t="shared" si="19"/>
        <v>4499</v>
      </c>
      <c r="AH21" s="102">
        <f t="shared" si="20"/>
        <v>899.80000000000007</v>
      </c>
      <c r="AI21" s="95">
        <v>6345178</v>
      </c>
      <c r="AJ21" s="96">
        <f t="shared" si="21"/>
        <v>2015</v>
      </c>
      <c r="AK21" s="102">
        <f t="shared" si="22"/>
        <v>403</v>
      </c>
      <c r="AL21" s="98">
        <v>148301</v>
      </c>
      <c r="AM21" s="96">
        <f t="shared" si="23"/>
        <v>678</v>
      </c>
      <c r="AN21" s="102">
        <f t="shared" si="24"/>
        <v>135.6</v>
      </c>
      <c r="AO21" s="98">
        <v>6806</v>
      </c>
      <c r="AP21" s="96">
        <f t="shared" si="30"/>
        <v>10</v>
      </c>
      <c r="AQ21" s="153">
        <f t="shared" si="25"/>
        <v>78.400000000000006</v>
      </c>
      <c r="AR21" s="95">
        <v>2853</v>
      </c>
      <c r="AS21" s="96">
        <f t="shared" si="26"/>
        <v>4</v>
      </c>
      <c r="AT21" s="102">
        <f t="shared" si="10"/>
        <v>31.36</v>
      </c>
      <c r="AU21" s="95">
        <v>171</v>
      </c>
      <c r="AV21" s="96">
        <f t="shared" si="27"/>
        <v>1</v>
      </c>
      <c r="AW21" s="102">
        <f t="shared" si="28"/>
        <v>7.84</v>
      </c>
    </row>
    <row r="22" spans="1:49" s="3" customFormat="1" ht="27.95" customHeight="1" x14ac:dyDescent="0.25">
      <c r="A22" s="106">
        <v>45461</v>
      </c>
      <c r="B22" s="98">
        <v>19523425</v>
      </c>
      <c r="C22" s="96">
        <f t="shared" si="3"/>
        <v>7589</v>
      </c>
      <c r="D22" s="96">
        <v>20368679</v>
      </c>
      <c r="E22" s="96">
        <f t="shared" si="11"/>
        <v>6673</v>
      </c>
      <c r="F22" s="96">
        <v>460892</v>
      </c>
      <c r="G22" s="96">
        <f t="shared" si="12"/>
        <v>107</v>
      </c>
      <c r="H22" s="97">
        <f t="shared" si="0"/>
        <v>14369</v>
      </c>
      <c r="I22" s="117">
        <f t="shared" si="1"/>
        <v>2873.8</v>
      </c>
      <c r="J22" s="98">
        <v>85805</v>
      </c>
      <c r="K22" s="96">
        <f t="shared" si="13"/>
        <v>109</v>
      </c>
      <c r="L22" s="79">
        <f t="shared" si="2"/>
        <v>854.56</v>
      </c>
      <c r="M22" s="95">
        <v>36793</v>
      </c>
      <c r="N22" s="96">
        <f t="shared" si="14"/>
        <v>17</v>
      </c>
      <c r="O22" s="96">
        <v>21529</v>
      </c>
      <c r="P22" s="99">
        <f t="shared" si="15"/>
        <v>18</v>
      </c>
      <c r="Q22" s="99">
        <f t="shared" si="4"/>
        <v>35</v>
      </c>
      <c r="R22" s="100">
        <v>54426</v>
      </c>
      <c r="S22" s="99">
        <f t="shared" si="16"/>
        <v>37</v>
      </c>
      <c r="T22" s="110">
        <f t="shared" si="5"/>
        <v>39.060900000000004</v>
      </c>
      <c r="U22" s="108">
        <f t="shared" si="6"/>
        <v>648.28894500000001</v>
      </c>
      <c r="V22" s="95">
        <v>69438</v>
      </c>
      <c r="W22" s="96">
        <f t="shared" si="17"/>
        <v>39</v>
      </c>
      <c r="X22" s="101">
        <f t="shared" si="29"/>
        <v>11089.455000000002</v>
      </c>
      <c r="Y22" s="101">
        <f t="shared" si="7"/>
        <v>3816.9904110000007</v>
      </c>
      <c r="Z22" s="183">
        <f t="shared" si="8"/>
        <v>4384.9184166666664</v>
      </c>
      <c r="AA22" s="77">
        <f t="shared" si="9"/>
        <v>8201.9088276666662</v>
      </c>
      <c r="AB22" s="100">
        <v>6853936</v>
      </c>
      <c r="AC22" s="163">
        <f t="shared" si="18"/>
        <v>12925</v>
      </c>
      <c r="AD22" s="147">
        <v>0.80630000000000002</v>
      </c>
      <c r="AE22" s="153">
        <v>394</v>
      </c>
      <c r="AF22" s="95">
        <v>13703154</v>
      </c>
      <c r="AG22" s="96">
        <f t="shared" si="19"/>
        <v>4539</v>
      </c>
      <c r="AH22" s="102">
        <f t="shared" si="20"/>
        <v>907.80000000000007</v>
      </c>
      <c r="AI22" s="95">
        <v>6347201</v>
      </c>
      <c r="AJ22" s="96">
        <f t="shared" si="21"/>
        <v>2023</v>
      </c>
      <c r="AK22" s="102">
        <f t="shared" si="22"/>
        <v>404.6</v>
      </c>
      <c r="AL22" s="98">
        <v>148849</v>
      </c>
      <c r="AM22" s="96">
        <f t="shared" si="23"/>
        <v>548</v>
      </c>
      <c r="AN22" s="102">
        <f t="shared" si="24"/>
        <v>109.60000000000001</v>
      </c>
      <c r="AO22" s="98">
        <v>6815</v>
      </c>
      <c r="AP22" s="96">
        <f t="shared" si="30"/>
        <v>9</v>
      </c>
      <c r="AQ22" s="153">
        <f t="shared" si="25"/>
        <v>70.56</v>
      </c>
      <c r="AR22" s="95">
        <v>2854</v>
      </c>
      <c r="AS22" s="96">
        <f t="shared" si="26"/>
        <v>1</v>
      </c>
      <c r="AT22" s="102">
        <f t="shared" si="10"/>
        <v>7.84</v>
      </c>
      <c r="AU22" s="95">
        <v>171</v>
      </c>
      <c r="AV22" s="96">
        <f t="shared" si="27"/>
        <v>0</v>
      </c>
      <c r="AW22" s="102">
        <f t="shared" si="28"/>
        <v>0</v>
      </c>
    </row>
    <row r="23" spans="1:49" s="3" customFormat="1" ht="27.95" customHeight="1" x14ac:dyDescent="0.25">
      <c r="A23" s="106">
        <v>45462</v>
      </c>
      <c r="B23" s="98">
        <v>19531015</v>
      </c>
      <c r="C23" s="96">
        <f t="shared" si="3"/>
        <v>7590</v>
      </c>
      <c r="D23" s="96">
        <v>20375160</v>
      </c>
      <c r="E23" s="96">
        <f t="shared" si="11"/>
        <v>6481</v>
      </c>
      <c r="F23" s="96">
        <v>460999</v>
      </c>
      <c r="G23" s="96">
        <f t="shared" si="12"/>
        <v>107</v>
      </c>
      <c r="H23" s="97">
        <f t="shared" si="0"/>
        <v>14178</v>
      </c>
      <c r="I23" s="117">
        <f t="shared" si="1"/>
        <v>2835.6000000000004</v>
      </c>
      <c r="J23" s="98">
        <v>85909</v>
      </c>
      <c r="K23" s="96">
        <f t="shared" si="13"/>
        <v>104</v>
      </c>
      <c r="L23" s="79">
        <f t="shared" si="2"/>
        <v>815.36</v>
      </c>
      <c r="M23" s="95">
        <v>36811</v>
      </c>
      <c r="N23" s="96">
        <f t="shared" si="14"/>
        <v>18</v>
      </c>
      <c r="O23" s="96">
        <v>21548</v>
      </c>
      <c r="P23" s="99">
        <f t="shared" si="15"/>
        <v>19</v>
      </c>
      <c r="Q23" s="99">
        <f t="shared" si="4"/>
        <v>37</v>
      </c>
      <c r="R23" s="100">
        <v>54462</v>
      </c>
      <c r="S23" s="99">
        <f t="shared" si="16"/>
        <v>36</v>
      </c>
      <c r="T23" s="110">
        <f t="shared" si="5"/>
        <v>38.005200000000002</v>
      </c>
      <c r="U23" s="108">
        <f t="shared" si="6"/>
        <v>636.62346000000002</v>
      </c>
      <c r="V23" s="95">
        <v>69477</v>
      </c>
      <c r="W23" s="96">
        <f>IF(ISBLANK(V23)," ",V23-V22)</f>
        <v>39</v>
      </c>
      <c r="X23" s="101">
        <f t="shared" si="29"/>
        <v>11089.455000000002</v>
      </c>
      <c r="Y23" s="101">
        <f t="shared" si="7"/>
        <v>3816.9904110000007</v>
      </c>
      <c r="Z23" s="183">
        <f t="shared" si="8"/>
        <v>4384.9184166666664</v>
      </c>
      <c r="AA23" s="77">
        <f t="shared" si="9"/>
        <v>8201.9088276666662</v>
      </c>
      <c r="AB23" s="100">
        <v>6867057</v>
      </c>
      <c r="AC23" s="163">
        <f t="shared" si="18"/>
        <v>13121</v>
      </c>
      <c r="AD23" s="147">
        <v>0.70789999999999997</v>
      </c>
      <c r="AE23" s="153">
        <v>321</v>
      </c>
      <c r="AF23" s="95">
        <v>13708811</v>
      </c>
      <c r="AG23" s="96">
        <f t="shared" si="19"/>
        <v>5657</v>
      </c>
      <c r="AH23" s="102">
        <f t="shared" si="20"/>
        <v>1131.4000000000001</v>
      </c>
      <c r="AI23" s="95">
        <v>6349358</v>
      </c>
      <c r="AJ23" s="96">
        <f t="shared" si="21"/>
        <v>2157</v>
      </c>
      <c r="AK23" s="102">
        <f t="shared" si="22"/>
        <v>431.40000000000003</v>
      </c>
      <c r="AL23" s="98">
        <v>149441</v>
      </c>
      <c r="AM23" s="96">
        <f t="shared" si="23"/>
        <v>592</v>
      </c>
      <c r="AN23" s="102">
        <f t="shared" si="24"/>
        <v>118.4</v>
      </c>
      <c r="AO23" s="98">
        <v>6824</v>
      </c>
      <c r="AP23" s="96">
        <f t="shared" si="30"/>
        <v>9</v>
      </c>
      <c r="AQ23" s="153">
        <f t="shared" si="25"/>
        <v>70.56</v>
      </c>
      <c r="AR23" s="95">
        <v>2855</v>
      </c>
      <c r="AS23" s="96">
        <f t="shared" si="26"/>
        <v>1</v>
      </c>
      <c r="AT23" s="102">
        <f t="shared" si="10"/>
        <v>7.84</v>
      </c>
      <c r="AU23" s="95">
        <v>172</v>
      </c>
      <c r="AV23" s="96">
        <f t="shared" si="27"/>
        <v>1</v>
      </c>
      <c r="AW23" s="102">
        <f t="shared" si="28"/>
        <v>7.84</v>
      </c>
    </row>
    <row r="24" spans="1:49" s="3" customFormat="1" ht="27.95" customHeight="1" x14ac:dyDescent="0.25">
      <c r="A24" s="106">
        <v>45463</v>
      </c>
      <c r="B24" s="98">
        <v>19538513</v>
      </c>
      <c r="C24" s="96">
        <f t="shared" si="3"/>
        <v>7498</v>
      </c>
      <c r="D24" s="96">
        <v>20381673</v>
      </c>
      <c r="E24" s="96">
        <f t="shared" si="11"/>
        <v>6513</v>
      </c>
      <c r="F24" s="96">
        <v>461104</v>
      </c>
      <c r="G24" s="96">
        <f t="shared" si="12"/>
        <v>105</v>
      </c>
      <c r="H24" s="97">
        <f t="shared" si="0"/>
        <v>14116</v>
      </c>
      <c r="I24" s="117">
        <f t="shared" si="1"/>
        <v>2823.2000000000003</v>
      </c>
      <c r="J24" s="98">
        <v>85997</v>
      </c>
      <c r="K24" s="96">
        <f t="shared" si="13"/>
        <v>88</v>
      </c>
      <c r="L24" s="79">
        <f t="shared" si="2"/>
        <v>689.92</v>
      </c>
      <c r="M24" s="95">
        <v>36828</v>
      </c>
      <c r="N24" s="96">
        <f t="shared" si="14"/>
        <v>17</v>
      </c>
      <c r="O24" s="96">
        <v>21570</v>
      </c>
      <c r="P24" s="99">
        <f t="shared" si="15"/>
        <v>22</v>
      </c>
      <c r="Q24" s="99">
        <f t="shared" si="4"/>
        <v>39</v>
      </c>
      <c r="R24" s="100">
        <v>54501</v>
      </c>
      <c r="S24" s="99">
        <f t="shared" si="16"/>
        <v>39</v>
      </c>
      <c r="T24" s="110">
        <f t="shared" si="5"/>
        <v>41.1723</v>
      </c>
      <c r="U24" s="108">
        <f t="shared" si="6"/>
        <v>671.61991499999999</v>
      </c>
      <c r="V24" s="95">
        <v>69515</v>
      </c>
      <c r="W24" s="96">
        <f t="shared" ref="W24:W34" si="31">IF(ISBLANK(V24)," ",V24-V23)</f>
        <v>38</v>
      </c>
      <c r="X24" s="101">
        <f t="shared" si="29"/>
        <v>10805.11</v>
      </c>
      <c r="Y24" s="101">
        <f t="shared" si="7"/>
        <v>3719.1188620000003</v>
      </c>
      <c r="Z24" s="183">
        <f t="shared" si="8"/>
        <v>4384.9184166666664</v>
      </c>
      <c r="AA24" s="77">
        <f t="shared" si="9"/>
        <v>8104.0372786666667</v>
      </c>
      <c r="AB24" s="100">
        <v>6880006</v>
      </c>
      <c r="AC24" s="163">
        <f t="shared" si="18"/>
        <v>12949</v>
      </c>
      <c r="AD24" s="147">
        <v>0.71430000000000005</v>
      </c>
      <c r="AE24" s="153">
        <v>316</v>
      </c>
      <c r="AF24" s="95">
        <v>13714435</v>
      </c>
      <c r="AG24" s="96">
        <f t="shared" si="19"/>
        <v>5624</v>
      </c>
      <c r="AH24" s="102">
        <f t="shared" si="20"/>
        <v>1124.8</v>
      </c>
      <c r="AI24" s="95">
        <v>6351529</v>
      </c>
      <c r="AJ24" s="96">
        <f t="shared" si="21"/>
        <v>2171</v>
      </c>
      <c r="AK24" s="102">
        <f t="shared" si="22"/>
        <v>434.20000000000005</v>
      </c>
      <c r="AL24" s="98">
        <v>149907</v>
      </c>
      <c r="AM24" s="96">
        <f t="shared" si="23"/>
        <v>466</v>
      </c>
      <c r="AN24" s="102">
        <f t="shared" si="24"/>
        <v>93.2</v>
      </c>
      <c r="AO24" s="158">
        <v>6833</v>
      </c>
      <c r="AP24" s="96">
        <f t="shared" si="30"/>
        <v>9</v>
      </c>
      <c r="AQ24" s="153">
        <f t="shared" si="25"/>
        <v>70.56</v>
      </c>
      <c r="AR24" s="157">
        <v>2856</v>
      </c>
      <c r="AS24" s="96">
        <f t="shared" si="26"/>
        <v>1</v>
      </c>
      <c r="AT24" s="102">
        <f t="shared" si="10"/>
        <v>7.84</v>
      </c>
      <c r="AU24" s="95">
        <v>172</v>
      </c>
      <c r="AV24" s="96">
        <f t="shared" si="27"/>
        <v>0</v>
      </c>
      <c r="AW24" s="102">
        <f t="shared" si="28"/>
        <v>0</v>
      </c>
    </row>
    <row r="25" spans="1:49" s="7" customFormat="1" ht="27.95" customHeight="1" x14ac:dyDescent="0.25">
      <c r="A25" s="106">
        <v>45464</v>
      </c>
      <c r="B25" s="98">
        <v>19545990</v>
      </c>
      <c r="C25" s="96">
        <f t="shared" si="3"/>
        <v>7477</v>
      </c>
      <c r="D25" s="96">
        <v>20388276</v>
      </c>
      <c r="E25" s="96">
        <f t="shared" si="11"/>
        <v>6603</v>
      </c>
      <c r="F25" s="96">
        <v>461204</v>
      </c>
      <c r="G25" s="96">
        <f t="shared" si="12"/>
        <v>100</v>
      </c>
      <c r="H25" s="97">
        <f t="shared" si="0"/>
        <v>14180</v>
      </c>
      <c r="I25" s="117">
        <f t="shared" si="1"/>
        <v>2836</v>
      </c>
      <c r="J25" s="98">
        <v>86097</v>
      </c>
      <c r="K25" s="96">
        <f t="shared" si="13"/>
        <v>100</v>
      </c>
      <c r="L25" s="79">
        <f t="shared" si="2"/>
        <v>784</v>
      </c>
      <c r="M25" s="95">
        <v>36848</v>
      </c>
      <c r="N25" s="96">
        <f t="shared" si="14"/>
        <v>20</v>
      </c>
      <c r="O25" s="96">
        <v>21590</v>
      </c>
      <c r="P25" s="99">
        <f t="shared" si="15"/>
        <v>20</v>
      </c>
      <c r="Q25" s="99">
        <f t="shared" si="4"/>
        <v>40</v>
      </c>
      <c r="R25" s="100">
        <v>54541</v>
      </c>
      <c r="S25" s="99">
        <f t="shared" si="16"/>
        <v>40</v>
      </c>
      <c r="T25" s="110">
        <f>S25*1.0557</f>
        <v>42.228000000000002</v>
      </c>
      <c r="U25" s="108">
        <f t="shared" si="6"/>
        <v>683.28539999999998</v>
      </c>
      <c r="V25" s="95">
        <v>69553</v>
      </c>
      <c r="W25" s="96">
        <f t="shared" si="31"/>
        <v>38</v>
      </c>
      <c r="X25" s="101">
        <f t="shared" si="29"/>
        <v>10805.11</v>
      </c>
      <c r="Y25" s="101">
        <f t="shared" si="7"/>
        <v>3719.1188620000003</v>
      </c>
      <c r="Z25" s="183">
        <f t="shared" si="8"/>
        <v>4384.9184166666664</v>
      </c>
      <c r="AA25" s="78">
        <f t="shared" si="9"/>
        <v>8104.0372786666667</v>
      </c>
      <c r="AB25" s="100">
        <v>6892791</v>
      </c>
      <c r="AC25" s="163">
        <f t="shared" si="18"/>
        <v>12785</v>
      </c>
      <c r="AD25" s="150">
        <v>0.8508</v>
      </c>
      <c r="AE25" s="154">
        <v>439</v>
      </c>
      <c r="AF25" s="157">
        <v>13720023</v>
      </c>
      <c r="AG25" s="96">
        <f t="shared" si="19"/>
        <v>5588</v>
      </c>
      <c r="AH25" s="102">
        <f t="shared" si="20"/>
        <v>1117.6000000000001</v>
      </c>
      <c r="AI25" s="157">
        <v>6353665</v>
      </c>
      <c r="AJ25" s="96">
        <f t="shared" si="21"/>
        <v>2136</v>
      </c>
      <c r="AK25" s="102">
        <f t="shared" si="22"/>
        <v>427.20000000000005</v>
      </c>
      <c r="AL25" s="158">
        <v>150514</v>
      </c>
      <c r="AM25" s="96">
        <f t="shared" si="23"/>
        <v>607</v>
      </c>
      <c r="AN25" s="102">
        <f t="shared" si="24"/>
        <v>121.4</v>
      </c>
      <c r="AO25" s="98">
        <v>6842</v>
      </c>
      <c r="AP25" s="96">
        <f t="shared" si="30"/>
        <v>9</v>
      </c>
      <c r="AQ25" s="153">
        <f t="shared" si="25"/>
        <v>70.56</v>
      </c>
      <c r="AR25" s="95">
        <v>2857</v>
      </c>
      <c r="AS25" s="96">
        <f t="shared" si="26"/>
        <v>1</v>
      </c>
      <c r="AT25" s="102">
        <f t="shared" si="10"/>
        <v>7.84</v>
      </c>
      <c r="AU25" s="157">
        <v>173</v>
      </c>
      <c r="AV25" s="96">
        <f t="shared" si="27"/>
        <v>1</v>
      </c>
      <c r="AW25" s="102">
        <f t="shared" si="28"/>
        <v>7.84</v>
      </c>
    </row>
    <row r="26" spans="1:49" s="3" customFormat="1" ht="27.95" customHeight="1" x14ac:dyDescent="0.25">
      <c r="A26" s="106">
        <v>45465</v>
      </c>
      <c r="B26" s="98">
        <v>19553434</v>
      </c>
      <c r="C26" s="96">
        <f t="shared" si="3"/>
        <v>7444</v>
      </c>
      <c r="D26" s="96">
        <v>20394916</v>
      </c>
      <c r="E26" s="96">
        <f t="shared" si="11"/>
        <v>6640</v>
      </c>
      <c r="F26" s="96">
        <v>461304</v>
      </c>
      <c r="G26" s="96">
        <f t="shared" si="12"/>
        <v>100</v>
      </c>
      <c r="H26" s="97">
        <f t="shared" si="0"/>
        <v>14184</v>
      </c>
      <c r="I26" s="117">
        <f t="shared" si="1"/>
        <v>2836.8</v>
      </c>
      <c r="J26" s="98">
        <v>86206</v>
      </c>
      <c r="K26" s="96">
        <f t="shared" si="13"/>
        <v>109</v>
      </c>
      <c r="L26" s="79">
        <f t="shared" si="2"/>
        <v>854.56</v>
      </c>
      <c r="M26" s="95">
        <v>36868</v>
      </c>
      <c r="N26" s="96">
        <f t="shared" si="14"/>
        <v>20</v>
      </c>
      <c r="O26" s="96">
        <v>21610</v>
      </c>
      <c r="P26" s="99">
        <f t="shared" si="15"/>
        <v>20</v>
      </c>
      <c r="Q26" s="99">
        <f t="shared" si="4"/>
        <v>40</v>
      </c>
      <c r="R26" s="100">
        <v>54582</v>
      </c>
      <c r="S26" s="99">
        <f t="shared" si="16"/>
        <v>41</v>
      </c>
      <c r="T26" s="110">
        <f t="shared" si="5"/>
        <v>43.283700000000003</v>
      </c>
      <c r="U26" s="108">
        <f t="shared" si="6"/>
        <v>694.95088500000008</v>
      </c>
      <c r="V26" s="95">
        <v>69596</v>
      </c>
      <c r="W26" s="96">
        <f t="shared" si="31"/>
        <v>43</v>
      </c>
      <c r="X26" s="101">
        <f t="shared" si="29"/>
        <v>12226.835000000001</v>
      </c>
      <c r="Y26" s="101">
        <f t="shared" si="7"/>
        <v>4208.4766070000005</v>
      </c>
      <c r="Z26" s="183">
        <f t="shared" si="8"/>
        <v>4384.9184166666664</v>
      </c>
      <c r="AA26" s="77">
        <f t="shared" si="9"/>
        <v>8593.3950236666678</v>
      </c>
      <c r="AB26" s="100">
        <v>6907022</v>
      </c>
      <c r="AC26" s="163">
        <f t="shared" si="18"/>
        <v>14231</v>
      </c>
      <c r="AD26" s="147">
        <v>0.71109999999999995</v>
      </c>
      <c r="AE26" s="153">
        <v>333</v>
      </c>
      <c r="AF26" s="95">
        <v>13724785</v>
      </c>
      <c r="AG26" s="96">
        <f t="shared" si="19"/>
        <v>4762</v>
      </c>
      <c r="AH26" s="102">
        <f t="shared" si="20"/>
        <v>952.40000000000009</v>
      </c>
      <c r="AI26" s="95">
        <v>6355751</v>
      </c>
      <c r="AJ26" s="96">
        <f t="shared" si="21"/>
        <v>2086</v>
      </c>
      <c r="AK26" s="102">
        <f t="shared" si="22"/>
        <v>417.20000000000005</v>
      </c>
      <c r="AL26" s="98">
        <v>151162</v>
      </c>
      <c r="AM26" s="96">
        <f t="shared" si="23"/>
        <v>648</v>
      </c>
      <c r="AN26" s="102">
        <f t="shared" si="24"/>
        <v>129.6</v>
      </c>
      <c r="AO26" s="98">
        <v>6851</v>
      </c>
      <c r="AP26" s="96">
        <f t="shared" si="30"/>
        <v>9</v>
      </c>
      <c r="AQ26" s="153">
        <f t="shared" si="25"/>
        <v>70.56</v>
      </c>
      <c r="AR26" s="95">
        <v>2859</v>
      </c>
      <c r="AS26" s="96">
        <f t="shared" si="26"/>
        <v>2</v>
      </c>
      <c r="AT26" s="102">
        <f t="shared" si="10"/>
        <v>15.68</v>
      </c>
      <c r="AU26" s="95">
        <v>173</v>
      </c>
      <c r="AV26" s="96">
        <f t="shared" si="27"/>
        <v>0</v>
      </c>
      <c r="AW26" s="102">
        <f t="shared" si="28"/>
        <v>0</v>
      </c>
    </row>
    <row r="27" spans="1:49" s="3" customFormat="1" ht="27.95" customHeight="1" x14ac:dyDescent="0.25">
      <c r="A27" s="106">
        <v>45466</v>
      </c>
      <c r="B27" s="98">
        <v>19560683</v>
      </c>
      <c r="C27" s="96">
        <f t="shared" si="3"/>
        <v>7249</v>
      </c>
      <c r="D27" s="96">
        <v>20401314</v>
      </c>
      <c r="E27" s="96">
        <f t="shared" si="11"/>
        <v>6398</v>
      </c>
      <c r="F27" s="96">
        <v>461405</v>
      </c>
      <c r="G27" s="96">
        <f t="shared" si="12"/>
        <v>101</v>
      </c>
      <c r="H27" s="97">
        <f t="shared" si="0"/>
        <v>13748</v>
      </c>
      <c r="I27" s="117">
        <f t="shared" si="1"/>
        <v>2749.6000000000004</v>
      </c>
      <c r="J27" s="98">
        <v>86294</v>
      </c>
      <c r="K27" s="96">
        <f>IF(ISBLANK(J27),"0",J27-J26)</f>
        <v>88</v>
      </c>
      <c r="L27" s="79">
        <f t="shared" si="2"/>
        <v>689.92</v>
      </c>
      <c r="M27" s="95">
        <v>36886</v>
      </c>
      <c r="N27" s="96">
        <f t="shared" si="14"/>
        <v>18</v>
      </c>
      <c r="O27" s="96">
        <v>21627</v>
      </c>
      <c r="P27" s="99">
        <f t="shared" si="15"/>
        <v>17</v>
      </c>
      <c r="Q27" s="99">
        <f t="shared" si="4"/>
        <v>35</v>
      </c>
      <c r="R27" s="100">
        <v>54617</v>
      </c>
      <c r="S27" s="99">
        <f t="shared" si="16"/>
        <v>35</v>
      </c>
      <c r="T27" s="110">
        <f t="shared" si="5"/>
        <v>36.9495</v>
      </c>
      <c r="U27" s="108">
        <f t="shared" si="6"/>
        <v>624.95797500000003</v>
      </c>
      <c r="V27" s="95">
        <v>69636</v>
      </c>
      <c r="W27" s="96">
        <f t="shared" si="31"/>
        <v>40</v>
      </c>
      <c r="X27" s="101">
        <f t="shared" si="29"/>
        <v>11373.800000000001</v>
      </c>
      <c r="Y27" s="101">
        <f t="shared" si="7"/>
        <v>3914.8619600000006</v>
      </c>
      <c r="Z27" s="183">
        <f t="shared" si="8"/>
        <v>4384.9184166666664</v>
      </c>
      <c r="AA27" s="77">
        <f t="shared" si="9"/>
        <v>8299.7803766666675</v>
      </c>
      <c r="AB27" s="100">
        <v>6920454</v>
      </c>
      <c r="AC27" s="163">
        <f t="shared" si="18"/>
        <v>13432</v>
      </c>
      <c r="AD27" s="147">
        <v>0.83489999999999998</v>
      </c>
      <c r="AE27" s="153">
        <v>344</v>
      </c>
      <c r="AF27" s="95">
        <v>13729510</v>
      </c>
      <c r="AG27" s="96">
        <f t="shared" si="19"/>
        <v>4725</v>
      </c>
      <c r="AH27" s="102">
        <f t="shared" si="20"/>
        <v>945</v>
      </c>
      <c r="AI27" s="95">
        <v>6357767</v>
      </c>
      <c r="AJ27" s="96">
        <f t="shared" si="21"/>
        <v>2016</v>
      </c>
      <c r="AK27" s="102">
        <f t="shared" si="22"/>
        <v>403.20000000000005</v>
      </c>
      <c r="AL27" s="98">
        <v>151779</v>
      </c>
      <c r="AM27" s="96">
        <f t="shared" si="23"/>
        <v>617</v>
      </c>
      <c r="AN27" s="102">
        <f t="shared" si="24"/>
        <v>123.4</v>
      </c>
      <c r="AO27" s="98">
        <v>6859</v>
      </c>
      <c r="AP27" s="96">
        <f t="shared" si="30"/>
        <v>8</v>
      </c>
      <c r="AQ27" s="153">
        <f t="shared" si="25"/>
        <v>62.72</v>
      </c>
      <c r="AR27" s="95">
        <v>2861</v>
      </c>
      <c r="AS27" s="96">
        <f t="shared" si="26"/>
        <v>2</v>
      </c>
      <c r="AT27" s="102">
        <f t="shared" si="10"/>
        <v>15.68</v>
      </c>
      <c r="AU27" s="95">
        <v>174</v>
      </c>
      <c r="AV27" s="96">
        <f t="shared" si="27"/>
        <v>1</v>
      </c>
      <c r="AW27" s="102">
        <f t="shared" si="28"/>
        <v>7.84</v>
      </c>
    </row>
    <row r="28" spans="1:49" s="3" customFormat="1" ht="27.95" customHeight="1" x14ac:dyDescent="0.25">
      <c r="A28" s="106">
        <v>45467</v>
      </c>
      <c r="B28" s="98">
        <v>19568231</v>
      </c>
      <c r="C28" s="96">
        <f t="shared" si="3"/>
        <v>7548</v>
      </c>
      <c r="D28" s="96">
        <v>20407891</v>
      </c>
      <c r="E28" s="96">
        <f t="shared" si="11"/>
        <v>6577</v>
      </c>
      <c r="F28" s="96">
        <v>461505</v>
      </c>
      <c r="G28" s="96">
        <f t="shared" si="12"/>
        <v>100</v>
      </c>
      <c r="H28" s="97">
        <f t="shared" si="0"/>
        <v>14225</v>
      </c>
      <c r="I28" s="117">
        <f t="shared" si="1"/>
        <v>2845</v>
      </c>
      <c r="J28" s="98">
        <v>86395</v>
      </c>
      <c r="K28" s="96">
        <f t="shared" si="13"/>
        <v>101</v>
      </c>
      <c r="L28" s="79">
        <f t="shared" si="2"/>
        <v>791.84</v>
      </c>
      <c r="M28" s="95">
        <v>36904</v>
      </c>
      <c r="N28" s="96">
        <f t="shared" si="14"/>
        <v>18</v>
      </c>
      <c r="O28" s="96">
        <v>21647</v>
      </c>
      <c r="P28" s="99">
        <f t="shared" si="15"/>
        <v>20</v>
      </c>
      <c r="Q28" s="99">
        <f t="shared" si="4"/>
        <v>38</v>
      </c>
      <c r="R28" s="100">
        <v>54655</v>
      </c>
      <c r="S28" s="99">
        <f t="shared" si="16"/>
        <v>38</v>
      </c>
      <c r="T28" s="110">
        <f t="shared" si="5"/>
        <v>40.116600000000005</v>
      </c>
      <c r="U28" s="108">
        <f t="shared" si="6"/>
        <v>659.95443</v>
      </c>
      <c r="V28" s="95">
        <v>69675</v>
      </c>
      <c r="W28" s="96">
        <f t="shared" si="31"/>
        <v>39</v>
      </c>
      <c r="X28" s="101">
        <f t="shared" si="29"/>
        <v>11089.455000000002</v>
      </c>
      <c r="Y28" s="101">
        <f t="shared" si="7"/>
        <v>3816.9904110000007</v>
      </c>
      <c r="Z28" s="183">
        <f t="shared" si="8"/>
        <v>4384.9184166666664</v>
      </c>
      <c r="AA28" s="77">
        <f t="shared" si="9"/>
        <v>8201.9088276666662</v>
      </c>
      <c r="AB28" s="100">
        <v>6933814</v>
      </c>
      <c r="AC28" s="163">
        <f t="shared" si="18"/>
        <v>13360</v>
      </c>
      <c r="AD28" s="147">
        <v>0.97460000000000002</v>
      </c>
      <c r="AE28" s="153">
        <v>387</v>
      </c>
      <c r="AF28" s="95">
        <v>13735271</v>
      </c>
      <c r="AG28" s="96">
        <f t="shared" si="19"/>
        <v>5761</v>
      </c>
      <c r="AH28" s="102">
        <f t="shared" si="20"/>
        <v>1152.2</v>
      </c>
      <c r="AI28" s="95">
        <v>6359955</v>
      </c>
      <c r="AJ28" s="96">
        <f t="shared" si="21"/>
        <v>2188</v>
      </c>
      <c r="AK28" s="102">
        <f t="shared" si="22"/>
        <v>437.6</v>
      </c>
      <c r="AL28" s="98">
        <v>152426</v>
      </c>
      <c r="AM28" s="96">
        <f t="shared" si="23"/>
        <v>647</v>
      </c>
      <c r="AN28" s="102">
        <f t="shared" si="24"/>
        <v>129.4</v>
      </c>
      <c r="AO28" s="98">
        <v>6869</v>
      </c>
      <c r="AP28" s="96">
        <f t="shared" si="30"/>
        <v>10</v>
      </c>
      <c r="AQ28" s="153">
        <f t="shared" si="25"/>
        <v>78.400000000000006</v>
      </c>
      <c r="AR28" s="95">
        <v>2861</v>
      </c>
      <c r="AS28" s="96">
        <f t="shared" si="26"/>
        <v>0</v>
      </c>
      <c r="AT28" s="102">
        <f t="shared" si="10"/>
        <v>0</v>
      </c>
      <c r="AU28" s="95">
        <v>176</v>
      </c>
      <c r="AV28" s="96">
        <f t="shared" si="27"/>
        <v>2</v>
      </c>
      <c r="AW28" s="102">
        <f t="shared" si="28"/>
        <v>15.68</v>
      </c>
    </row>
    <row r="29" spans="1:49" s="3" customFormat="1" ht="27.95" customHeight="1" x14ac:dyDescent="0.25">
      <c r="A29" s="106">
        <v>45468</v>
      </c>
      <c r="B29" s="98">
        <v>19575883</v>
      </c>
      <c r="C29" s="96">
        <f t="shared" si="3"/>
        <v>7652</v>
      </c>
      <c r="D29" s="96">
        <v>20414429</v>
      </c>
      <c r="E29" s="96">
        <f t="shared" si="11"/>
        <v>6538</v>
      </c>
      <c r="F29" s="96">
        <v>461611</v>
      </c>
      <c r="G29" s="96">
        <f t="shared" si="12"/>
        <v>106</v>
      </c>
      <c r="H29" s="97">
        <f t="shared" si="0"/>
        <v>14296</v>
      </c>
      <c r="I29" s="117">
        <f t="shared" si="1"/>
        <v>2859.2000000000003</v>
      </c>
      <c r="J29" s="98">
        <v>86504</v>
      </c>
      <c r="K29" s="96">
        <f t="shared" si="13"/>
        <v>109</v>
      </c>
      <c r="L29" s="79">
        <f t="shared" si="2"/>
        <v>854.56</v>
      </c>
      <c r="M29" s="95">
        <v>36921</v>
      </c>
      <c r="N29" s="96">
        <f t="shared" si="14"/>
        <v>17</v>
      </c>
      <c r="O29" s="96">
        <v>21665</v>
      </c>
      <c r="P29" s="99">
        <f t="shared" si="15"/>
        <v>18</v>
      </c>
      <c r="Q29" s="99">
        <f t="shared" si="4"/>
        <v>35</v>
      </c>
      <c r="R29" s="100">
        <v>54690</v>
      </c>
      <c r="S29" s="99">
        <f t="shared" si="16"/>
        <v>35</v>
      </c>
      <c r="T29" s="110">
        <f t="shared" si="5"/>
        <v>36.9495</v>
      </c>
      <c r="U29" s="108">
        <f t="shared" si="6"/>
        <v>624.95797500000003</v>
      </c>
      <c r="V29" s="95">
        <v>69714</v>
      </c>
      <c r="W29" s="96">
        <f t="shared" si="31"/>
        <v>39</v>
      </c>
      <c r="X29" s="101">
        <f t="shared" si="29"/>
        <v>11089.455000000002</v>
      </c>
      <c r="Y29" s="101">
        <f t="shared" si="7"/>
        <v>3816.9904110000007</v>
      </c>
      <c r="Z29" s="183">
        <f t="shared" si="8"/>
        <v>4384.9184166666664</v>
      </c>
      <c r="AA29" s="77">
        <f t="shared" si="9"/>
        <v>8201.9088276666662</v>
      </c>
      <c r="AB29" s="100">
        <v>6947264</v>
      </c>
      <c r="AC29" s="163">
        <f t="shared" si="18"/>
        <v>13450</v>
      </c>
      <c r="AD29" s="147">
        <v>0.94289999999999996</v>
      </c>
      <c r="AE29" s="153">
        <v>363</v>
      </c>
      <c r="AF29" s="95">
        <v>13741222</v>
      </c>
      <c r="AG29" s="96">
        <f t="shared" si="19"/>
        <v>5951</v>
      </c>
      <c r="AH29" s="102">
        <f t="shared" si="20"/>
        <v>1190.2</v>
      </c>
      <c r="AI29" s="95">
        <v>6362194</v>
      </c>
      <c r="AJ29" s="96">
        <f t="shared" si="21"/>
        <v>2239</v>
      </c>
      <c r="AK29" s="102">
        <f t="shared" si="22"/>
        <v>447.8</v>
      </c>
      <c r="AL29" s="98">
        <v>152964</v>
      </c>
      <c r="AM29" s="96">
        <f t="shared" si="23"/>
        <v>538</v>
      </c>
      <c r="AN29" s="102">
        <f t="shared" si="24"/>
        <v>107.60000000000001</v>
      </c>
      <c r="AO29" s="98">
        <v>6876</v>
      </c>
      <c r="AP29" s="96">
        <f t="shared" si="30"/>
        <v>7</v>
      </c>
      <c r="AQ29" s="153">
        <f t="shared" si="25"/>
        <v>54.879999999999995</v>
      </c>
      <c r="AR29" s="95">
        <v>2862</v>
      </c>
      <c r="AS29" s="96">
        <f t="shared" si="26"/>
        <v>1</v>
      </c>
      <c r="AT29" s="102">
        <f t="shared" si="10"/>
        <v>7.84</v>
      </c>
      <c r="AU29" s="95">
        <v>178</v>
      </c>
      <c r="AV29" s="96">
        <f t="shared" si="27"/>
        <v>2</v>
      </c>
      <c r="AW29" s="102">
        <f t="shared" si="28"/>
        <v>15.68</v>
      </c>
    </row>
    <row r="30" spans="1:49" s="3" customFormat="1" ht="27.95" customHeight="1" x14ac:dyDescent="0.25">
      <c r="A30" s="106">
        <v>45469</v>
      </c>
      <c r="B30" s="98">
        <v>19583371</v>
      </c>
      <c r="C30" s="96">
        <f t="shared" si="3"/>
        <v>7488</v>
      </c>
      <c r="D30" s="96">
        <v>20420795</v>
      </c>
      <c r="E30" s="96">
        <f t="shared" si="11"/>
        <v>6366</v>
      </c>
      <c r="F30" s="96">
        <v>461717</v>
      </c>
      <c r="G30" s="96">
        <f t="shared" si="12"/>
        <v>106</v>
      </c>
      <c r="H30" s="97">
        <f t="shared" si="0"/>
        <v>13960</v>
      </c>
      <c r="I30" s="117">
        <f t="shared" si="1"/>
        <v>2792</v>
      </c>
      <c r="J30" s="98">
        <v>86598</v>
      </c>
      <c r="K30" s="96">
        <f t="shared" si="13"/>
        <v>94</v>
      </c>
      <c r="L30" s="79">
        <f t="shared" si="2"/>
        <v>736.96</v>
      </c>
      <c r="M30" s="95">
        <v>36940</v>
      </c>
      <c r="N30" s="96">
        <f t="shared" si="14"/>
        <v>19</v>
      </c>
      <c r="O30" s="96">
        <v>21685</v>
      </c>
      <c r="P30" s="99">
        <f t="shared" si="15"/>
        <v>20</v>
      </c>
      <c r="Q30" s="99">
        <f t="shared" si="4"/>
        <v>39</v>
      </c>
      <c r="R30" s="100">
        <v>54730</v>
      </c>
      <c r="S30" s="99">
        <f t="shared" si="16"/>
        <v>40</v>
      </c>
      <c r="T30" s="110">
        <f t="shared" si="5"/>
        <v>42.228000000000002</v>
      </c>
      <c r="U30" s="108">
        <f t="shared" si="6"/>
        <v>683.28539999999998</v>
      </c>
      <c r="V30" s="95">
        <v>69755</v>
      </c>
      <c r="W30" s="96">
        <f t="shared" si="31"/>
        <v>41</v>
      </c>
      <c r="X30" s="101">
        <f t="shared" si="29"/>
        <v>11658.145</v>
      </c>
      <c r="Y30" s="101">
        <f t="shared" si="7"/>
        <v>4012.7335090000001</v>
      </c>
      <c r="Z30" s="183">
        <f t="shared" si="8"/>
        <v>4384.9184166666664</v>
      </c>
      <c r="AA30" s="77">
        <f t="shared" si="9"/>
        <v>8397.651925666667</v>
      </c>
      <c r="AB30" s="100">
        <v>6961128</v>
      </c>
      <c r="AC30" s="163">
        <f t="shared" si="18"/>
        <v>13864</v>
      </c>
      <c r="AD30" s="147">
        <v>0.93330000000000002</v>
      </c>
      <c r="AE30" s="153">
        <v>364</v>
      </c>
      <c r="AF30" s="95">
        <v>13747149</v>
      </c>
      <c r="AG30" s="96">
        <f t="shared" si="19"/>
        <v>5927</v>
      </c>
      <c r="AH30" s="102">
        <f t="shared" si="20"/>
        <v>1185.4000000000001</v>
      </c>
      <c r="AI30" s="95">
        <v>6364434</v>
      </c>
      <c r="AJ30" s="96">
        <f t="shared" si="21"/>
        <v>2240</v>
      </c>
      <c r="AK30" s="102">
        <f t="shared" si="22"/>
        <v>448</v>
      </c>
      <c r="AL30" s="98">
        <v>153513</v>
      </c>
      <c r="AM30" s="96">
        <f t="shared" si="23"/>
        <v>549</v>
      </c>
      <c r="AN30" s="102">
        <f t="shared" si="24"/>
        <v>109.80000000000001</v>
      </c>
      <c r="AO30" s="98">
        <v>6886</v>
      </c>
      <c r="AP30" s="96">
        <f t="shared" si="30"/>
        <v>10</v>
      </c>
      <c r="AQ30" s="153">
        <f t="shared" si="25"/>
        <v>78.400000000000006</v>
      </c>
      <c r="AR30" s="95">
        <v>2862</v>
      </c>
      <c r="AS30" s="96">
        <f t="shared" si="26"/>
        <v>0</v>
      </c>
      <c r="AT30" s="102">
        <f t="shared" si="10"/>
        <v>0</v>
      </c>
      <c r="AU30" s="95">
        <v>179</v>
      </c>
      <c r="AV30" s="96">
        <f t="shared" si="27"/>
        <v>1</v>
      </c>
      <c r="AW30" s="102">
        <f t="shared" si="28"/>
        <v>7.84</v>
      </c>
    </row>
    <row r="31" spans="1:49" s="3" customFormat="1" ht="27.95" customHeight="1" x14ac:dyDescent="0.25">
      <c r="A31" s="106">
        <v>45470</v>
      </c>
      <c r="B31" s="98">
        <v>19591219</v>
      </c>
      <c r="C31" s="96">
        <f t="shared" si="3"/>
        <v>7848</v>
      </c>
      <c r="D31" s="96">
        <v>20428101</v>
      </c>
      <c r="E31" s="96">
        <f t="shared" si="11"/>
        <v>7306</v>
      </c>
      <c r="F31" s="96">
        <v>461760</v>
      </c>
      <c r="G31" s="96">
        <f t="shared" si="12"/>
        <v>43</v>
      </c>
      <c r="H31" s="97">
        <f t="shared" si="0"/>
        <v>15197</v>
      </c>
      <c r="I31" s="117">
        <f t="shared" si="1"/>
        <v>3039.4</v>
      </c>
      <c r="J31" s="98">
        <v>86718</v>
      </c>
      <c r="K31" s="96">
        <f t="shared" si="13"/>
        <v>120</v>
      </c>
      <c r="L31" s="79">
        <f t="shared" si="2"/>
        <v>940.8</v>
      </c>
      <c r="M31" s="95">
        <v>36958</v>
      </c>
      <c r="N31" s="96">
        <f t="shared" si="14"/>
        <v>18</v>
      </c>
      <c r="O31" s="96">
        <v>21702</v>
      </c>
      <c r="P31" s="99">
        <f t="shared" si="15"/>
        <v>17</v>
      </c>
      <c r="Q31" s="99">
        <f t="shared" si="4"/>
        <v>35</v>
      </c>
      <c r="R31" s="100">
        <v>54765</v>
      </c>
      <c r="S31" s="99">
        <f t="shared" si="16"/>
        <v>35</v>
      </c>
      <c r="T31" s="110">
        <f t="shared" si="5"/>
        <v>36.9495</v>
      </c>
      <c r="U31" s="108">
        <f t="shared" si="6"/>
        <v>624.95797500000003</v>
      </c>
      <c r="V31" s="95">
        <v>69792</v>
      </c>
      <c r="W31" s="96">
        <f t="shared" si="31"/>
        <v>37</v>
      </c>
      <c r="X31" s="101">
        <f t="shared" si="29"/>
        <v>10520.765000000001</v>
      </c>
      <c r="Y31" s="101">
        <f t="shared" si="7"/>
        <v>3621.2473130000003</v>
      </c>
      <c r="Z31" s="183">
        <f t="shared" si="8"/>
        <v>4384.9184166666664</v>
      </c>
      <c r="AA31" s="77">
        <f t="shared" si="9"/>
        <v>8006.1657296666672</v>
      </c>
      <c r="AB31" s="100">
        <v>6973784</v>
      </c>
      <c r="AC31" s="163">
        <f t="shared" si="18"/>
        <v>12656</v>
      </c>
      <c r="AD31" s="147">
        <v>0.9365</v>
      </c>
      <c r="AE31" s="153">
        <v>370</v>
      </c>
      <c r="AF31" s="95">
        <v>13751873</v>
      </c>
      <c r="AG31" s="96">
        <f t="shared" si="19"/>
        <v>4724</v>
      </c>
      <c r="AH31" s="102">
        <f t="shared" si="20"/>
        <v>944.80000000000007</v>
      </c>
      <c r="AI31" s="95">
        <v>6366617</v>
      </c>
      <c r="AJ31" s="96">
        <f t="shared" si="21"/>
        <v>2183</v>
      </c>
      <c r="AK31" s="102">
        <f t="shared" si="22"/>
        <v>436.6</v>
      </c>
      <c r="AL31" s="98">
        <v>153989</v>
      </c>
      <c r="AM31" s="96">
        <f t="shared" si="23"/>
        <v>476</v>
      </c>
      <c r="AN31" s="102">
        <f t="shared" si="24"/>
        <v>95.2</v>
      </c>
      <c r="AO31" s="98">
        <v>6896</v>
      </c>
      <c r="AP31" s="96">
        <f t="shared" si="30"/>
        <v>10</v>
      </c>
      <c r="AQ31" s="153">
        <f t="shared" si="25"/>
        <v>78.400000000000006</v>
      </c>
      <c r="AR31" s="95">
        <v>2863</v>
      </c>
      <c r="AS31" s="96">
        <f t="shared" si="26"/>
        <v>1</v>
      </c>
      <c r="AT31" s="102">
        <f t="shared" si="10"/>
        <v>7.84</v>
      </c>
      <c r="AU31" s="95">
        <v>181</v>
      </c>
      <c r="AV31" s="96">
        <f t="shared" si="27"/>
        <v>2</v>
      </c>
      <c r="AW31" s="102">
        <f t="shared" si="28"/>
        <v>15.68</v>
      </c>
    </row>
    <row r="32" spans="1:49" s="3" customFormat="1" ht="27.95" customHeight="1" x14ac:dyDescent="0.25">
      <c r="A32" s="106">
        <v>45471</v>
      </c>
      <c r="B32" s="98">
        <v>19599548</v>
      </c>
      <c r="C32" s="96">
        <f t="shared" si="3"/>
        <v>8329</v>
      </c>
      <c r="D32" s="96">
        <v>20433561</v>
      </c>
      <c r="E32" s="96">
        <f t="shared" si="11"/>
        <v>5460</v>
      </c>
      <c r="F32" s="96">
        <v>461820</v>
      </c>
      <c r="G32" s="96">
        <f t="shared" si="12"/>
        <v>60</v>
      </c>
      <c r="H32" s="97">
        <f t="shared" si="0"/>
        <v>13849</v>
      </c>
      <c r="I32" s="117">
        <f t="shared" si="1"/>
        <v>2769.8</v>
      </c>
      <c r="J32" s="98">
        <v>86869</v>
      </c>
      <c r="K32" s="96">
        <f t="shared" si="13"/>
        <v>151</v>
      </c>
      <c r="L32" s="79">
        <f t="shared" si="2"/>
        <v>1183.8399999999999</v>
      </c>
      <c r="M32" s="95">
        <v>36978</v>
      </c>
      <c r="N32" s="96">
        <f t="shared" si="14"/>
        <v>20</v>
      </c>
      <c r="O32" s="96">
        <v>21718</v>
      </c>
      <c r="P32" s="99">
        <f t="shared" si="15"/>
        <v>16</v>
      </c>
      <c r="Q32" s="99">
        <f t="shared" si="4"/>
        <v>36</v>
      </c>
      <c r="R32" s="100">
        <v>54803</v>
      </c>
      <c r="S32" s="99">
        <f t="shared" si="16"/>
        <v>38</v>
      </c>
      <c r="T32" s="110">
        <f t="shared" si="5"/>
        <v>40.116600000000005</v>
      </c>
      <c r="U32" s="108">
        <f t="shared" si="6"/>
        <v>659.95443</v>
      </c>
      <c r="V32" s="95">
        <v>69835</v>
      </c>
      <c r="W32" s="96">
        <f t="shared" si="31"/>
        <v>43</v>
      </c>
      <c r="X32" s="101">
        <f t="shared" si="29"/>
        <v>12226.835000000001</v>
      </c>
      <c r="Y32" s="101">
        <f t="shared" si="7"/>
        <v>4208.4766070000005</v>
      </c>
      <c r="Z32" s="183">
        <f t="shared" si="8"/>
        <v>4384.9184166666664</v>
      </c>
      <c r="AA32" s="77">
        <f t="shared" si="9"/>
        <v>8593.3950236666678</v>
      </c>
      <c r="AB32" s="100">
        <v>6988405</v>
      </c>
      <c r="AC32" s="163">
        <f t="shared" si="18"/>
        <v>14621</v>
      </c>
      <c r="AD32" s="147">
        <v>0.96830000000000005</v>
      </c>
      <c r="AE32" s="153">
        <v>449</v>
      </c>
      <c r="AF32" s="95">
        <v>13757605</v>
      </c>
      <c r="AG32" s="96">
        <f t="shared" si="19"/>
        <v>5732</v>
      </c>
      <c r="AH32" s="102">
        <f t="shared" si="20"/>
        <v>1146.4000000000001</v>
      </c>
      <c r="AI32" s="95">
        <v>6368858</v>
      </c>
      <c r="AJ32" s="96">
        <f t="shared" si="21"/>
        <v>2241</v>
      </c>
      <c r="AK32" s="102">
        <f t="shared" si="22"/>
        <v>448.20000000000005</v>
      </c>
      <c r="AL32" s="98">
        <v>154501</v>
      </c>
      <c r="AM32" s="96">
        <f t="shared" si="23"/>
        <v>512</v>
      </c>
      <c r="AN32" s="102">
        <f t="shared" si="24"/>
        <v>102.4</v>
      </c>
      <c r="AO32" s="98">
        <v>6908</v>
      </c>
      <c r="AP32" s="96">
        <f t="shared" si="30"/>
        <v>12</v>
      </c>
      <c r="AQ32" s="153">
        <f t="shared" si="25"/>
        <v>94.08</v>
      </c>
      <c r="AR32" s="95">
        <v>2865</v>
      </c>
      <c r="AS32" s="96">
        <f t="shared" si="26"/>
        <v>2</v>
      </c>
      <c r="AT32" s="102">
        <f t="shared" si="10"/>
        <v>15.68</v>
      </c>
      <c r="AU32" s="95">
        <v>182</v>
      </c>
      <c r="AV32" s="96">
        <f t="shared" si="27"/>
        <v>1</v>
      </c>
      <c r="AW32" s="102">
        <f t="shared" si="28"/>
        <v>7.84</v>
      </c>
    </row>
    <row r="33" spans="1:165" s="3" customFormat="1" ht="27.95" customHeight="1" x14ac:dyDescent="0.25">
      <c r="A33" s="106">
        <v>45472</v>
      </c>
      <c r="B33" s="98">
        <v>19606934</v>
      </c>
      <c r="C33" s="96">
        <f t="shared" si="3"/>
        <v>7386</v>
      </c>
      <c r="D33" s="96">
        <v>20439818</v>
      </c>
      <c r="E33" s="96">
        <f t="shared" si="11"/>
        <v>6257</v>
      </c>
      <c r="F33" s="96">
        <v>461871</v>
      </c>
      <c r="G33" s="96">
        <f t="shared" si="12"/>
        <v>51</v>
      </c>
      <c r="H33" s="97">
        <f t="shared" si="0"/>
        <v>13694</v>
      </c>
      <c r="I33" s="117">
        <f t="shared" si="1"/>
        <v>2738.8</v>
      </c>
      <c r="J33" s="98">
        <v>86973</v>
      </c>
      <c r="K33" s="96">
        <f t="shared" si="13"/>
        <v>104</v>
      </c>
      <c r="L33" s="79">
        <f t="shared" si="2"/>
        <v>815.36</v>
      </c>
      <c r="M33" s="95">
        <v>36998</v>
      </c>
      <c r="N33" s="96">
        <f t="shared" si="14"/>
        <v>20</v>
      </c>
      <c r="O33" s="96">
        <v>21733</v>
      </c>
      <c r="P33" s="99">
        <f t="shared" si="15"/>
        <v>15</v>
      </c>
      <c r="Q33" s="99">
        <f t="shared" si="4"/>
        <v>35</v>
      </c>
      <c r="R33" s="100">
        <v>54837</v>
      </c>
      <c r="S33" s="99">
        <f t="shared" si="16"/>
        <v>34</v>
      </c>
      <c r="T33" s="110">
        <f t="shared" si="5"/>
        <v>35.893800000000006</v>
      </c>
      <c r="U33" s="108">
        <f t="shared" si="6"/>
        <v>613.29249000000004</v>
      </c>
      <c r="V33" s="95">
        <v>69876</v>
      </c>
      <c r="W33" s="96">
        <f t="shared" si="31"/>
        <v>41</v>
      </c>
      <c r="X33" s="101">
        <f t="shared" si="29"/>
        <v>11658.145</v>
      </c>
      <c r="Y33" s="101">
        <f t="shared" si="7"/>
        <v>4012.7335090000001</v>
      </c>
      <c r="Z33" s="183">
        <f t="shared" si="8"/>
        <v>4384.9184166666664</v>
      </c>
      <c r="AA33" s="77">
        <f t="shared" si="9"/>
        <v>8397.651925666667</v>
      </c>
      <c r="AB33" s="100">
        <v>7002137</v>
      </c>
      <c r="AC33" s="163">
        <f t="shared" si="18"/>
        <v>13732</v>
      </c>
      <c r="AD33" s="147">
        <v>0.84440000000000004</v>
      </c>
      <c r="AE33" s="153">
        <v>393</v>
      </c>
      <c r="AF33" s="95">
        <v>13762316</v>
      </c>
      <c r="AG33" s="96">
        <f t="shared" si="19"/>
        <v>4711</v>
      </c>
      <c r="AH33" s="102">
        <f t="shared" si="20"/>
        <v>942.2</v>
      </c>
      <c r="AI33" s="95">
        <v>6370928</v>
      </c>
      <c r="AJ33" s="96">
        <f t="shared" si="21"/>
        <v>2070</v>
      </c>
      <c r="AK33" s="102">
        <f t="shared" si="22"/>
        <v>414</v>
      </c>
      <c r="AL33" s="98">
        <v>155135</v>
      </c>
      <c r="AM33" s="96">
        <f t="shared" si="23"/>
        <v>634</v>
      </c>
      <c r="AN33" s="102">
        <f t="shared" si="24"/>
        <v>126.80000000000001</v>
      </c>
      <c r="AO33" s="98">
        <v>6918</v>
      </c>
      <c r="AP33" s="96">
        <f t="shared" si="30"/>
        <v>10</v>
      </c>
      <c r="AQ33" s="153">
        <f t="shared" si="25"/>
        <v>78.400000000000006</v>
      </c>
      <c r="AR33" s="95">
        <v>2866</v>
      </c>
      <c r="AS33" s="96">
        <f t="shared" si="26"/>
        <v>1</v>
      </c>
      <c r="AT33" s="102">
        <f t="shared" si="10"/>
        <v>7.84</v>
      </c>
      <c r="AU33" s="95">
        <v>182</v>
      </c>
      <c r="AV33" s="96">
        <f t="shared" si="27"/>
        <v>0</v>
      </c>
      <c r="AW33" s="102">
        <f t="shared" si="28"/>
        <v>0</v>
      </c>
    </row>
    <row r="34" spans="1:165" s="3" customFormat="1" ht="27.95" customHeight="1" thickBot="1" x14ac:dyDescent="0.3">
      <c r="A34" s="106">
        <v>45473</v>
      </c>
      <c r="B34" s="98">
        <v>19614413</v>
      </c>
      <c r="C34" s="96">
        <f t="shared" si="3"/>
        <v>7479</v>
      </c>
      <c r="D34" s="96">
        <v>20446356</v>
      </c>
      <c r="E34" s="96">
        <f t="shared" si="11"/>
        <v>6538</v>
      </c>
      <c r="F34" s="96">
        <v>461929</v>
      </c>
      <c r="G34" s="96">
        <f t="shared" si="12"/>
        <v>58</v>
      </c>
      <c r="H34" s="97">
        <f t="shared" si="0"/>
        <v>14075</v>
      </c>
      <c r="I34" s="117">
        <f t="shared" si="1"/>
        <v>2815</v>
      </c>
      <c r="J34" s="98">
        <v>87084</v>
      </c>
      <c r="K34" s="96">
        <f t="shared" si="13"/>
        <v>111</v>
      </c>
      <c r="L34" s="79">
        <f t="shared" si="2"/>
        <v>870.24</v>
      </c>
      <c r="M34" s="95">
        <v>37016</v>
      </c>
      <c r="N34" s="96">
        <f t="shared" si="14"/>
        <v>18</v>
      </c>
      <c r="O34" s="96">
        <v>21747</v>
      </c>
      <c r="P34" s="99">
        <f t="shared" si="15"/>
        <v>14</v>
      </c>
      <c r="Q34" s="99">
        <f t="shared" si="4"/>
        <v>32</v>
      </c>
      <c r="R34" s="100">
        <v>54869</v>
      </c>
      <c r="S34" s="99">
        <f t="shared" si="16"/>
        <v>32</v>
      </c>
      <c r="T34" s="110">
        <f t="shared" si="5"/>
        <v>33.782400000000003</v>
      </c>
      <c r="U34" s="108">
        <f t="shared" si="6"/>
        <v>589.96152000000006</v>
      </c>
      <c r="V34" s="95">
        <v>69914</v>
      </c>
      <c r="W34" s="96">
        <f t="shared" si="31"/>
        <v>38</v>
      </c>
      <c r="X34" s="101">
        <f t="shared" si="29"/>
        <v>10805.11</v>
      </c>
      <c r="Y34" s="101">
        <f t="shared" si="7"/>
        <v>3719.1188620000003</v>
      </c>
      <c r="Z34" s="183">
        <f t="shared" si="8"/>
        <v>4384.9184166666664</v>
      </c>
      <c r="AA34" s="77">
        <f t="shared" si="9"/>
        <v>8104.0372786666667</v>
      </c>
      <c r="AB34" s="100">
        <v>7014741</v>
      </c>
      <c r="AC34" s="163">
        <f t="shared" si="18"/>
        <v>12604</v>
      </c>
      <c r="AD34" s="147">
        <v>0.93020000000000003</v>
      </c>
      <c r="AE34" s="153">
        <v>406</v>
      </c>
      <c r="AF34" s="95">
        <v>13767266</v>
      </c>
      <c r="AG34" s="96">
        <f t="shared" si="19"/>
        <v>4950</v>
      </c>
      <c r="AH34" s="102">
        <f t="shared" si="20"/>
        <v>990</v>
      </c>
      <c r="AI34" s="95">
        <v>6373039</v>
      </c>
      <c r="AJ34" s="96">
        <f t="shared" si="21"/>
        <v>2111</v>
      </c>
      <c r="AK34" s="102">
        <f t="shared" si="22"/>
        <v>422.20000000000005</v>
      </c>
      <c r="AL34" s="98">
        <v>155619</v>
      </c>
      <c r="AM34" s="96">
        <f t="shared" si="23"/>
        <v>484</v>
      </c>
      <c r="AN34" s="102">
        <f t="shared" si="24"/>
        <v>96.800000000000011</v>
      </c>
      <c r="AO34" s="98">
        <v>6926</v>
      </c>
      <c r="AP34" s="96">
        <f t="shared" si="30"/>
        <v>8</v>
      </c>
      <c r="AQ34" s="153">
        <f t="shared" si="25"/>
        <v>62.72</v>
      </c>
      <c r="AR34" s="95">
        <v>2868</v>
      </c>
      <c r="AS34" s="96">
        <f t="shared" si="26"/>
        <v>2</v>
      </c>
      <c r="AT34" s="102">
        <f t="shared" si="10"/>
        <v>15.68</v>
      </c>
      <c r="AU34" s="95">
        <v>183</v>
      </c>
      <c r="AV34" s="96">
        <f t="shared" si="27"/>
        <v>1</v>
      </c>
      <c r="AW34" s="102">
        <f t="shared" si="28"/>
        <v>7.84</v>
      </c>
    </row>
    <row r="35" spans="1:165" s="12" customFormat="1" ht="27.95" customHeight="1" thickBot="1" x14ac:dyDescent="0.3">
      <c r="A35" s="172"/>
      <c r="B35" s="80"/>
      <c r="C35" s="81">
        <f>SUM(C5:C34)</f>
        <v>229992</v>
      </c>
      <c r="D35" s="81"/>
      <c r="E35" s="81">
        <f>SUM(E5:E34)</f>
        <v>194568</v>
      </c>
      <c r="F35" s="82"/>
      <c r="G35" s="81">
        <f>SUM(G5:G34)</f>
        <v>3019</v>
      </c>
      <c r="H35" s="83">
        <f>SUM(H5:H34)</f>
        <v>427579</v>
      </c>
      <c r="I35" s="94">
        <f>H35*0.2</f>
        <v>85515.8</v>
      </c>
      <c r="J35" s="80"/>
      <c r="K35" s="81">
        <f>SUM(K5:K34)</f>
        <v>3054</v>
      </c>
      <c r="L35" s="94">
        <f>K35*7.84</f>
        <v>23943.360000000001</v>
      </c>
      <c r="M35" s="80"/>
      <c r="N35" s="83">
        <f>SUM(N5:N34)</f>
        <v>560</v>
      </c>
      <c r="O35" s="84"/>
      <c r="P35" s="83">
        <f>SUM(P5:P34)</f>
        <v>546</v>
      </c>
      <c r="Q35" s="83">
        <f>SUM(Q5:Q34)</f>
        <v>1106</v>
      </c>
      <c r="R35" s="84"/>
      <c r="S35" s="84">
        <f>SUM(S5:S34)</f>
        <v>1111</v>
      </c>
      <c r="T35" s="116">
        <f>SUM(T5:T34)</f>
        <v>1172.8827000000003</v>
      </c>
      <c r="U35" s="93">
        <f>SUM(U5:U34)</f>
        <v>19460.333835000005</v>
      </c>
      <c r="V35" s="80"/>
      <c r="W35" s="81">
        <f>SUM(W5:W34)</f>
        <v>1123</v>
      </c>
      <c r="X35" s="85">
        <f>SUM(X5:X34)</f>
        <v>319319.43500000011</v>
      </c>
      <c r="Y35" s="86">
        <f>SUM(Y5:Y34)</f>
        <v>109909.74952700004</v>
      </c>
      <c r="Z35" s="86">
        <f>SUM(Z5:Z34)</f>
        <v>131547.55249999999</v>
      </c>
      <c r="AA35" s="93">
        <f>SUM(AA5:AA34)</f>
        <v>241457.30202699997</v>
      </c>
      <c r="AB35" s="87"/>
      <c r="AC35" s="119">
        <f>SUM(AC5:AC34)</f>
        <v>380209</v>
      </c>
      <c r="AD35" s="88">
        <f>AVERAGE(AD5:AD34)</f>
        <v>0.83036666666666659</v>
      </c>
      <c r="AE35" s="155">
        <f>SUM(AE5:AE34)</f>
        <v>10905</v>
      </c>
      <c r="AF35" s="80"/>
      <c r="AG35" s="161">
        <f>SUM(AG5:AG34)</f>
        <v>158113</v>
      </c>
      <c r="AH35" s="162">
        <f>SUM(AH5:AH34)</f>
        <v>31622.600000000002</v>
      </c>
      <c r="AI35" s="80"/>
      <c r="AJ35" s="161">
        <f>SUM(AJ5:AJ34)</f>
        <v>63642</v>
      </c>
      <c r="AK35" s="162">
        <f>SUM(AK5:AK34)</f>
        <v>12728.400000000003</v>
      </c>
      <c r="AL35" s="80"/>
      <c r="AM35" s="161">
        <f>SUM(AM5:AM34)</f>
        <v>14848</v>
      </c>
      <c r="AN35" s="162">
        <f>SUM(AN5:AN34)</f>
        <v>2969.6000000000008</v>
      </c>
      <c r="AO35" s="80"/>
      <c r="AP35" s="161">
        <f>SUM(AP5:AP34)</f>
        <v>283</v>
      </c>
      <c r="AQ35" s="162">
        <f>SUM(AQ5:AQ34)</f>
        <v>2218.7199999999998</v>
      </c>
      <c r="AR35" s="80"/>
      <c r="AS35" s="161">
        <f>SUM(AS5:AS34)</f>
        <v>37</v>
      </c>
      <c r="AT35" s="162">
        <f>SUM(AT5:AT34)</f>
        <v>290.08000000000004</v>
      </c>
      <c r="AU35" s="80"/>
      <c r="AV35" s="161">
        <f>SUM(AV5:AV34)</f>
        <v>25</v>
      </c>
      <c r="AW35" s="162">
        <f>SUM(AW5:AW34)</f>
        <v>196.00000000000006</v>
      </c>
    </row>
    <row r="36" spans="1:165" s="8" customFormat="1" ht="22.5" customHeight="1" thickBot="1" x14ac:dyDescent="0.3">
      <c r="A36" s="243"/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5"/>
      <c r="V36" s="246" t="s">
        <v>24</v>
      </c>
      <c r="W36" s="247"/>
      <c r="X36" s="247"/>
      <c r="Y36" s="247"/>
      <c r="Z36" s="247"/>
      <c r="AA36" s="247"/>
      <c r="AB36" s="248"/>
      <c r="AC36" s="120"/>
      <c r="AD36" s="103"/>
      <c r="AE36" s="103"/>
      <c r="AF36" s="104"/>
      <c r="AG36" s="104"/>
      <c r="AH36" s="104"/>
    </row>
    <row r="37" spans="1:165" ht="27.95" customHeight="1" x14ac:dyDescent="0.25">
      <c r="A37" s="171"/>
      <c r="B37" s="249" t="s">
        <v>3</v>
      </c>
      <c r="C37" s="250"/>
      <c r="D37" s="250" t="s">
        <v>13</v>
      </c>
      <c r="E37" s="250"/>
      <c r="F37" s="250"/>
      <c r="G37" s="250" t="s">
        <v>14</v>
      </c>
      <c r="H37" s="250"/>
      <c r="I37" s="251"/>
      <c r="J37" s="252" t="s">
        <v>4</v>
      </c>
      <c r="K37" s="253"/>
      <c r="L37" s="45" t="s">
        <v>13</v>
      </c>
      <c r="M37" s="253" t="s">
        <v>49</v>
      </c>
      <c r="N37" s="254"/>
      <c r="O37" s="255" t="s">
        <v>25</v>
      </c>
      <c r="P37" s="256"/>
      <c r="Q37" s="256"/>
      <c r="R37" s="256" t="s">
        <v>13</v>
      </c>
      <c r="S37" s="256"/>
      <c r="T37" s="256" t="s">
        <v>49</v>
      </c>
      <c r="U37" s="257"/>
      <c r="V37" s="258" t="s">
        <v>15</v>
      </c>
      <c r="W37" s="259"/>
      <c r="X37" s="259" t="s">
        <v>13</v>
      </c>
      <c r="Y37" s="259"/>
      <c r="Z37" s="259" t="s">
        <v>16</v>
      </c>
      <c r="AA37" s="259"/>
      <c r="AB37" s="260"/>
      <c r="AC37" s="122"/>
      <c r="AD37" s="181"/>
      <c r="AE37" s="181"/>
      <c r="AF37"/>
      <c r="AG37" s="180">
        <f>131547.55*6</f>
        <v>789285.29999999993</v>
      </c>
      <c r="AH37" s="220" t="s">
        <v>96</v>
      </c>
      <c r="AI37" s="221"/>
      <c r="AJ37" s="221"/>
      <c r="AK37" s="222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104"/>
      <c r="B38" s="229" t="s">
        <v>102</v>
      </c>
      <c r="C38" s="230"/>
      <c r="D38" s="231">
        <f>I35</f>
        <v>85515.8</v>
      </c>
      <c r="E38" s="231"/>
      <c r="F38" s="231"/>
      <c r="G38" s="232">
        <f t="shared" ref="G38:G43" si="32">D38/0.2</f>
        <v>427579</v>
      </c>
      <c r="H38" s="232"/>
      <c r="I38" s="233"/>
      <c r="J38" s="229" t="str">
        <f t="shared" ref="J38:J43" si="33">B38</f>
        <v>Actual June 2024</v>
      </c>
      <c r="K38" s="230"/>
      <c r="L38" s="42">
        <f>L35</f>
        <v>23943.360000000001</v>
      </c>
      <c r="M38" s="232">
        <f>K35</f>
        <v>3054</v>
      </c>
      <c r="N38" s="233"/>
      <c r="O38" s="229" t="str">
        <f t="shared" ref="O38:O43" si="34">B38</f>
        <v>Actual June 2024</v>
      </c>
      <c r="P38" s="230"/>
      <c r="Q38" s="230"/>
      <c r="R38" s="239">
        <f>U35</f>
        <v>19460.333835000005</v>
      </c>
      <c r="S38" s="239"/>
      <c r="T38" s="232">
        <f>T35</f>
        <v>1172.8827000000003</v>
      </c>
      <c r="U38" s="233"/>
      <c r="V38" s="229" t="str">
        <f t="shared" ref="V38:V43" si="35">B38</f>
        <v>Actual June 2024</v>
      </c>
      <c r="W38" s="230"/>
      <c r="X38" s="231">
        <f>AA35</f>
        <v>241457.30202699997</v>
      </c>
      <c r="Y38" s="231"/>
      <c r="Z38" s="232">
        <f>X35</f>
        <v>319319.43500000011</v>
      </c>
      <c r="AA38" s="232"/>
      <c r="AB38" s="233"/>
      <c r="AC38" s="313">
        <f>R38/T38</f>
        <v>16.591884111684823</v>
      </c>
      <c r="AD38" s="123">
        <f>AC35</f>
        <v>380209</v>
      </c>
      <c r="AE38" s="124">
        <f>AD38-X35</f>
        <v>60889.564999999886</v>
      </c>
      <c r="AF38" s="182"/>
      <c r="AG38" s="131">
        <f>126488.42*6</f>
        <v>758930.52</v>
      </c>
      <c r="AH38" s="220" t="s">
        <v>52</v>
      </c>
      <c r="AI38" s="221"/>
      <c r="AJ38" s="221"/>
      <c r="AK38" s="222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4"/>
      <c r="B39" s="229" t="s">
        <v>103</v>
      </c>
      <c r="C39" s="230"/>
      <c r="D39" s="234">
        <v>94027.5</v>
      </c>
      <c r="E39" s="234"/>
      <c r="F39" s="234"/>
      <c r="G39" s="232">
        <f t="shared" si="32"/>
        <v>470137.5</v>
      </c>
      <c r="H39" s="232"/>
      <c r="I39" s="233"/>
      <c r="J39" s="229" t="str">
        <f t="shared" si="33"/>
        <v>Budget June 2024</v>
      </c>
      <c r="K39" s="230"/>
      <c r="L39" s="39">
        <v>20143.670716351899</v>
      </c>
      <c r="M39" s="232">
        <f>L39/7.84</f>
        <v>2569.3457546367217</v>
      </c>
      <c r="N39" s="233"/>
      <c r="O39" s="229" t="str">
        <f t="shared" si="34"/>
        <v>Budget June 2024</v>
      </c>
      <c r="P39" s="230"/>
      <c r="Q39" s="230"/>
      <c r="R39" s="235">
        <v>18008.243923260201</v>
      </c>
      <c r="S39" s="235"/>
      <c r="T39" s="232">
        <f>(R39-6500)/11.05</f>
        <v>1041.4700383040906</v>
      </c>
      <c r="U39" s="233"/>
      <c r="V39" s="229" t="str">
        <f t="shared" si="35"/>
        <v>Budget June 2024</v>
      </c>
      <c r="W39" s="230"/>
      <c r="X39" s="234">
        <v>232006.63200000001</v>
      </c>
      <c r="Y39" s="234"/>
      <c r="Z39" s="232">
        <f>AG39/0.3442</f>
        <v>291862.52760023251</v>
      </c>
      <c r="AA39" s="232"/>
      <c r="AB39" s="233"/>
      <c r="AC39" s="121"/>
      <c r="AD39" s="175"/>
      <c r="AE39" s="176"/>
      <c r="AF39" s="178"/>
      <c r="AG39" s="125">
        <f>X39-131547.55</f>
        <v>100459.08200000002</v>
      </c>
      <c r="AH39" s="220" t="s">
        <v>97</v>
      </c>
      <c r="AI39" s="221"/>
      <c r="AJ39" s="221"/>
      <c r="AK39" s="222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8"/>
      <c r="B40" s="229" t="s">
        <v>104</v>
      </c>
      <c r="C40" s="230"/>
      <c r="D40" s="234">
        <v>93055</v>
      </c>
      <c r="E40" s="234"/>
      <c r="F40" s="234"/>
      <c r="G40" s="232">
        <f t="shared" si="32"/>
        <v>465275</v>
      </c>
      <c r="H40" s="232"/>
      <c r="I40" s="233"/>
      <c r="J40" s="229" t="str">
        <f t="shared" si="33"/>
        <v>Actual June 2023</v>
      </c>
      <c r="K40" s="230"/>
      <c r="L40" s="39">
        <v>20219.36</v>
      </c>
      <c r="M40" s="232">
        <f>L40/7.84</f>
        <v>2579</v>
      </c>
      <c r="N40" s="233"/>
      <c r="O40" s="229" t="str">
        <f t="shared" si="34"/>
        <v>Actual June 2023</v>
      </c>
      <c r="P40" s="230"/>
      <c r="Q40" s="230"/>
      <c r="R40" s="235">
        <v>17896.939999999999</v>
      </c>
      <c r="S40" s="235"/>
      <c r="T40" s="232">
        <f>(R40-6500)/11.05</f>
        <v>1031.3972850678731</v>
      </c>
      <c r="U40" s="233"/>
      <c r="V40" s="229" t="str">
        <f t="shared" si="35"/>
        <v>Actual June 2023</v>
      </c>
      <c r="W40" s="230"/>
      <c r="X40" s="234">
        <v>223083.3</v>
      </c>
      <c r="Y40" s="234"/>
      <c r="Z40" s="232">
        <f>AG40/0.3435</f>
        <v>281207.80203784566</v>
      </c>
      <c r="AA40" s="232"/>
      <c r="AB40" s="233"/>
      <c r="AC40" s="121"/>
      <c r="AD40" s="177"/>
      <c r="AE40" s="11"/>
      <c r="AF40" s="178"/>
      <c r="AG40" s="126">
        <f>X40-126488.42</f>
        <v>96594.87999999999</v>
      </c>
      <c r="AH40" s="220" t="s">
        <v>98</v>
      </c>
      <c r="AI40" s="221"/>
      <c r="AJ40" s="221"/>
      <c r="AK40" s="222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104"/>
      <c r="B41" s="229" t="s">
        <v>71</v>
      </c>
      <c r="C41" s="230"/>
      <c r="D41" s="231">
        <f>D38+441064.2</f>
        <v>526580</v>
      </c>
      <c r="E41" s="231"/>
      <c r="F41" s="231"/>
      <c r="G41" s="232">
        <f t="shared" si="32"/>
        <v>2632900</v>
      </c>
      <c r="H41" s="232"/>
      <c r="I41" s="233"/>
      <c r="J41" s="229" t="str">
        <f t="shared" si="33"/>
        <v>Actual YTD 2024</v>
      </c>
      <c r="K41" s="230"/>
      <c r="L41" s="42">
        <f>L38+119066.08</f>
        <v>143009.44</v>
      </c>
      <c r="M41" s="232">
        <f>L41/7.84</f>
        <v>18241</v>
      </c>
      <c r="N41" s="233"/>
      <c r="O41" s="236" t="str">
        <f t="shared" si="34"/>
        <v>Actual YTD 2024</v>
      </c>
      <c r="P41" s="237"/>
      <c r="Q41" s="238"/>
      <c r="R41" s="239">
        <f>R38+90695.64</f>
        <v>110155.97383500001</v>
      </c>
      <c r="S41" s="239"/>
      <c r="T41" s="232">
        <f>(R41-6500*6)/11.05</f>
        <v>6439.4546457013585</v>
      </c>
      <c r="U41" s="233"/>
      <c r="V41" s="229" t="str">
        <f t="shared" si="35"/>
        <v>Actual YTD 2024</v>
      </c>
      <c r="W41" s="230"/>
      <c r="X41" s="231">
        <f>X38+979026.7</f>
        <v>1220484.0020269998</v>
      </c>
      <c r="Y41" s="231"/>
      <c r="Z41" s="232">
        <f>AG41/0.3442</f>
        <v>1252756.2522574081</v>
      </c>
      <c r="AA41" s="232"/>
      <c r="AB41" s="233"/>
      <c r="AC41" s="121"/>
      <c r="AD41" s="177"/>
      <c r="AF41" s="178"/>
      <c r="AG41" s="125">
        <f>X41-AG37</f>
        <v>431198.7020269999</v>
      </c>
      <c r="AH41" s="220" t="s">
        <v>99</v>
      </c>
      <c r="AI41" s="221"/>
      <c r="AJ41" s="221"/>
      <c r="AK41" s="222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104"/>
      <c r="B42" s="229" t="s">
        <v>72</v>
      </c>
      <c r="C42" s="230"/>
      <c r="D42" s="234">
        <f>D39+480463.2</f>
        <v>574490.69999999995</v>
      </c>
      <c r="E42" s="234"/>
      <c r="F42" s="234"/>
      <c r="G42" s="232">
        <f t="shared" si="32"/>
        <v>2872453.4999999995</v>
      </c>
      <c r="H42" s="232"/>
      <c r="I42" s="233"/>
      <c r="J42" s="229" t="str">
        <f t="shared" si="33"/>
        <v>Budget YTD 2024</v>
      </c>
      <c r="K42" s="230"/>
      <c r="L42" s="39">
        <f>L39+123958.23</f>
        <v>144101.9007163519</v>
      </c>
      <c r="M42" s="232">
        <f>L42/7.84</f>
        <v>18380.344479126517</v>
      </c>
      <c r="N42" s="233"/>
      <c r="O42" s="229" t="str">
        <f t="shared" si="34"/>
        <v>Budget YTD 2024</v>
      </c>
      <c r="P42" s="230"/>
      <c r="Q42" s="230"/>
      <c r="R42" s="235">
        <f>R39+91106.69</f>
        <v>109114.93392326021</v>
      </c>
      <c r="S42" s="235"/>
      <c r="T42" s="232">
        <f>(R42-6500*6)/11.05</f>
        <v>6345.2428889828234</v>
      </c>
      <c r="U42" s="233"/>
      <c r="V42" s="229" t="str">
        <f t="shared" si="35"/>
        <v>Budget YTD 2024</v>
      </c>
      <c r="W42" s="230"/>
      <c r="X42" s="234">
        <f>X39+965317.77</f>
        <v>1197324.402</v>
      </c>
      <c r="Y42" s="234"/>
      <c r="Z42" s="240">
        <f>AG42/0.3442</f>
        <v>1185470.9529343406</v>
      </c>
      <c r="AA42" s="241"/>
      <c r="AB42" s="242"/>
      <c r="AC42" s="121"/>
      <c r="AD42" s="177"/>
      <c r="AF42" s="178"/>
      <c r="AG42" s="125">
        <f>X42-AG37</f>
        <v>408039.10200000007</v>
      </c>
      <c r="AH42" s="220" t="s">
        <v>100</v>
      </c>
      <c r="AI42" s="221"/>
      <c r="AJ42" s="221"/>
      <c r="AK42" s="222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92"/>
      <c r="B43" s="226" t="s">
        <v>51</v>
      </c>
      <c r="C43" s="227"/>
      <c r="D43" s="217">
        <v>559575.19999999995</v>
      </c>
      <c r="E43" s="217"/>
      <c r="F43" s="217"/>
      <c r="G43" s="218">
        <f t="shared" si="32"/>
        <v>2797875.9999999995</v>
      </c>
      <c r="H43" s="218"/>
      <c r="I43" s="219"/>
      <c r="J43" s="226" t="str">
        <f t="shared" si="33"/>
        <v>Actual YTD 2023</v>
      </c>
      <c r="K43" s="227"/>
      <c r="L43" s="43">
        <v>127721.44</v>
      </c>
      <c r="M43" s="218">
        <f>L43/7.84</f>
        <v>16291</v>
      </c>
      <c r="N43" s="219"/>
      <c r="O43" s="226" t="str">
        <f t="shared" si="34"/>
        <v>Actual YTD 2023</v>
      </c>
      <c r="P43" s="227"/>
      <c r="Q43" s="227"/>
      <c r="R43" s="228">
        <v>99596.79</v>
      </c>
      <c r="S43" s="228"/>
      <c r="T43" s="218">
        <f>(R43-6500*6)/11.05</f>
        <v>5483.8723981900439</v>
      </c>
      <c r="U43" s="219"/>
      <c r="V43" s="226" t="str">
        <f t="shared" si="35"/>
        <v>Actual YTD 2023</v>
      </c>
      <c r="W43" s="227"/>
      <c r="X43" s="217">
        <v>1142895.28</v>
      </c>
      <c r="Y43" s="217"/>
      <c r="Z43" s="218">
        <f>AG43/0.3435</f>
        <v>1117801.3391557497</v>
      </c>
      <c r="AA43" s="218"/>
      <c r="AB43" s="219"/>
      <c r="AC43" s="121"/>
      <c r="AD43" s="177"/>
      <c r="AF43" s="178"/>
      <c r="AG43" s="127">
        <f>X43-AG38</f>
        <v>383964.76</v>
      </c>
      <c r="AH43" s="220" t="s">
        <v>53</v>
      </c>
      <c r="AI43" s="221"/>
      <c r="AJ43" s="221"/>
      <c r="AK43" s="222"/>
      <c r="AL43" s="8"/>
      <c r="AM43" s="8"/>
      <c r="AN43" s="8"/>
      <c r="AO43" s="8"/>
      <c r="AP43" s="8"/>
    </row>
    <row r="44" spans="1:165" ht="27.95" customHeight="1" x14ac:dyDescent="0.25">
      <c r="G44" s="144"/>
      <c r="H44" s="144">
        <v>45444</v>
      </c>
      <c r="I44" s="89">
        <f ca="1">TODAY()</f>
        <v>45509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79"/>
      <c r="AE44" s="179"/>
      <c r="AF44" s="179"/>
      <c r="AG44" s="174"/>
      <c r="AH44" s="174"/>
      <c r="AI44" s="173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05" t="s">
        <v>26</v>
      </c>
      <c r="B45" s="206"/>
      <c r="D45" s="207" t="s">
        <v>27</v>
      </c>
      <c r="E45" s="208"/>
      <c r="F45" s="208"/>
      <c r="G45" s="209"/>
      <c r="H45" s="48"/>
      <c r="I45" s="210" t="s">
        <v>28</v>
      </c>
      <c r="J45" s="211"/>
      <c r="K45" s="211"/>
      <c r="L45" s="212"/>
      <c r="M45" s="49"/>
      <c r="N45" s="207" t="s">
        <v>29</v>
      </c>
      <c r="O45" s="208"/>
      <c r="P45" s="208"/>
      <c r="Q45" s="208"/>
      <c r="R45" s="208"/>
      <c r="S45" s="209"/>
      <c r="T45" s="2"/>
      <c r="U45" s="207" t="s">
        <v>30</v>
      </c>
      <c r="V45" s="208"/>
      <c r="W45" s="208"/>
      <c r="X45" s="209"/>
      <c r="Y45"/>
      <c r="Z45" s="207" t="s">
        <v>54</v>
      </c>
      <c r="AA45" s="208"/>
      <c r="AB45" s="209"/>
      <c r="AC45"/>
      <c r="AD45" s="223" t="s">
        <v>55</v>
      </c>
      <c r="AE45" s="224"/>
      <c r="AF45" s="225"/>
      <c r="AG45" s="140" t="s">
        <v>56</v>
      </c>
      <c r="AH45" s="41" t="s">
        <v>57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94027.5</v>
      </c>
      <c r="C46" s="10"/>
      <c r="D46" s="198" t="s">
        <v>3</v>
      </c>
      <c r="E46" s="199"/>
      <c r="F46" s="199"/>
      <c r="G46" s="40">
        <f>B46/30</f>
        <v>3134.25</v>
      </c>
      <c r="H46" s="145"/>
      <c r="I46" s="198" t="s">
        <v>3</v>
      </c>
      <c r="J46" s="199"/>
      <c r="K46" s="199"/>
      <c r="L46" s="128">
        <f>I35/J44</f>
        <v>2850.5266666666666</v>
      </c>
      <c r="M46" s="50"/>
      <c r="N46" s="198" t="s">
        <v>3</v>
      </c>
      <c r="O46" s="199"/>
      <c r="P46" s="199"/>
      <c r="Q46" s="199"/>
      <c r="R46" s="215">
        <f>G46*J44</f>
        <v>94027.5</v>
      </c>
      <c r="S46" s="216"/>
      <c r="T46" s="51"/>
      <c r="U46" s="198" t="s">
        <v>3</v>
      </c>
      <c r="V46" s="199"/>
      <c r="W46" s="202">
        <f>I35</f>
        <v>85515.8</v>
      </c>
      <c r="X46" s="203"/>
      <c r="Y46" s="52">
        <f>R46-W46</f>
        <v>8511.6999999999971</v>
      </c>
      <c r="Z46" s="198" t="s">
        <v>3</v>
      </c>
      <c r="AA46" s="199"/>
      <c r="AB46" s="132">
        <f>R46+480463.2</f>
        <v>574490.69999999995</v>
      </c>
      <c r="AC46"/>
      <c r="AD46" s="198" t="s">
        <v>3</v>
      </c>
      <c r="AE46" s="199"/>
      <c r="AF46" s="134">
        <f>W46+441064.2</f>
        <v>526580</v>
      </c>
      <c r="AG46" s="135">
        <f>AB46-AF46</f>
        <v>47910.699999999953</v>
      </c>
      <c r="AH46" s="136">
        <f>AF46-AB46</f>
        <v>-47910.699999999953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20143.670716351899</v>
      </c>
      <c r="C47" s="10"/>
      <c r="D47" s="198" t="s">
        <v>4</v>
      </c>
      <c r="E47" s="199"/>
      <c r="F47" s="199"/>
      <c r="G47" s="40">
        <f>B47/30</f>
        <v>671.45569054506325</v>
      </c>
      <c r="H47" s="145"/>
      <c r="I47" s="198" t="s">
        <v>4</v>
      </c>
      <c r="J47" s="199"/>
      <c r="K47" s="199"/>
      <c r="L47" s="129">
        <f>L35/J44</f>
        <v>798.11199999999997</v>
      </c>
      <c r="M47" s="50"/>
      <c r="N47" s="198" t="s">
        <v>4</v>
      </c>
      <c r="O47" s="199"/>
      <c r="P47" s="199"/>
      <c r="Q47" s="199"/>
      <c r="R47" s="215">
        <f>G47*J44</f>
        <v>20143.670716351899</v>
      </c>
      <c r="S47" s="216"/>
      <c r="T47" s="51"/>
      <c r="U47" s="198" t="s">
        <v>4</v>
      </c>
      <c r="V47" s="199"/>
      <c r="W47" s="202">
        <f>L35</f>
        <v>23943.360000000001</v>
      </c>
      <c r="X47" s="203"/>
      <c r="Y47" s="52">
        <f>R47-W47</f>
        <v>-3799.689283648102</v>
      </c>
      <c r="Z47" s="198" t="s">
        <v>4</v>
      </c>
      <c r="AA47" s="199"/>
      <c r="AB47" s="132">
        <f>R47+119066.08</f>
        <v>139209.7507163519</v>
      </c>
      <c r="AC47"/>
      <c r="AD47" s="198" t="s">
        <v>4</v>
      </c>
      <c r="AE47" s="199"/>
      <c r="AF47" s="134">
        <f>W47+119066.08</f>
        <v>143009.44</v>
      </c>
      <c r="AG47" s="135">
        <f>AB47-AF47</f>
        <v>-3799.6892836480984</v>
      </c>
      <c r="AH47" s="136">
        <f>AF47-AB47</f>
        <v>3799.6892836480984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18008.243923260201</v>
      </c>
      <c r="C48" s="10"/>
      <c r="D48" s="198" t="s">
        <v>25</v>
      </c>
      <c r="E48" s="199"/>
      <c r="F48" s="199"/>
      <c r="G48" s="40">
        <f>B48/30</f>
        <v>600.27479744200673</v>
      </c>
      <c r="H48" s="50"/>
      <c r="I48" s="198" t="s">
        <v>25</v>
      </c>
      <c r="J48" s="199"/>
      <c r="K48" s="199"/>
      <c r="L48" s="129">
        <f>U35/J44</f>
        <v>648.67779450000012</v>
      </c>
      <c r="M48" s="50"/>
      <c r="N48" s="198" t="s">
        <v>25</v>
      </c>
      <c r="O48" s="199"/>
      <c r="P48" s="199"/>
      <c r="Q48" s="199"/>
      <c r="R48" s="215">
        <f>G48*J44</f>
        <v>18008.243923260201</v>
      </c>
      <c r="S48" s="216"/>
      <c r="T48" s="51"/>
      <c r="U48" s="198" t="s">
        <v>25</v>
      </c>
      <c r="V48" s="199"/>
      <c r="W48" s="202">
        <f>U35</f>
        <v>19460.333835000005</v>
      </c>
      <c r="X48" s="203"/>
      <c r="Y48" s="52">
        <f>R48-W48</f>
        <v>-1452.0899117398039</v>
      </c>
      <c r="Z48" s="198" t="s">
        <v>25</v>
      </c>
      <c r="AA48" s="199"/>
      <c r="AB48" s="132">
        <f>R48+91106.7</f>
        <v>109114.9439232602</v>
      </c>
      <c r="AC48"/>
      <c r="AD48" s="198" t="s">
        <v>25</v>
      </c>
      <c r="AE48" s="199"/>
      <c r="AF48" s="134">
        <f>W48+90695.64</f>
        <v>110155.97383500001</v>
      </c>
      <c r="AG48" s="135">
        <f>AB48-AF48</f>
        <v>-1041.0299117398099</v>
      </c>
      <c r="AH48" s="136">
        <f>AF48-AB48</f>
        <v>1041.0299117398099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232006.63200000001</v>
      </c>
      <c r="C49" s="61"/>
      <c r="D49" s="192" t="s">
        <v>15</v>
      </c>
      <c r="E49" s="193"/>
      <c r="F49" s="193"/>
      <c r="G49" s="38">
        <f>B49/30</f>
        <v>7733.5544</v>
      </c>
      <c r="H49" s="53"/>
      <c r="I49" s="192" t="s">
        <v>15</v>
      </c>
      <c r="J49" s="193"/>
      <c r="K49" s="193"/>
      <c r="L49" s="130">
        <f>AA35/J44</f>
        <v>8048.576734233332</v>
      </c>
      <c r="M49" s="53"/>
      <c r="N49" s="192" t="s">
        <v>15</v>
      </c>
      <c r="O49" s="193"/>
      <c r="P49" s="193"/>
      <c r="Q49" s="193"/>
      <c r="R49" s="213">
        <f>G49*J44</f>
        <v>232006.63200000001</v>
      </c>
      <c r="S49" s="214"/>
      <c r="T49" s="51"/>
      <c r="U49" s="192" t="s">
        <v>15</v>
      </c>
      <c r="V49" s="193"/>
      <c r="W49" s="196">
        <f>AA35</f>
        <v>241457.30202699997</v>
      </c>
      <c r="X49" s="197"/>
      <c r="Y49" s="52">
        <f>R49-W49</f>
        <v>-9450.6700269999565</v>
      </c>
      <c r="Z49" s="192" t="s">
        <v>15</v>
      </c>
      <c r="AA49" s="193"/>
      <c r="AB49" s="65">
        <f>R49+965317.77</f>
        <v>1197324.402</v>
      </c>
      <c r="AC49"/>
      <c r="AD49" s="192" t="s">
        <v>15</v>
      </c>
      <c r="AE49" s="193"/>
      <c r="AF49" s="141">
        <f>W49+979026.7</f>
        <v>1220484.0020269998</v>
      </c>
      <c r="AG49" s="142">
        <f>AB49-AF49</f>
        <v>-23159.600026999833</v>
      </c>
      <c r="AH49" s="143">
        <f>AF49-AB49</f>
        <v>23159.600026999833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364186.04663961212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191">
        <f>SUM(R46:S49)</f>
        <v>364186.04663961212</v>
      </c>
      <c r="S50" s="191"/>
      <c r="T50" s="56"/>
      <c r="U50" s="56"/>
      <c r="V50" s="56"/>
      <c r="W50" s="191">
        <f>SUM(W46:X49)</f>
        <v>370376.79586199997</v>
      </c>
      <c r="X50" s="191"/>
      <c r="Y50" s="52">
        <f>R50-W50</f>
        <v>-6190.7492223878508</v>
      </c>
      <c r="Z50" s="204"/>
      <c r="AA50" s="204" t="s">
        <v>58</v>
      </c>
      <c r="AB50" s="133">
        <f>SUM(AB46:AB49)</f>
        <v>2020139.7966396119</v>
      </c>
      <c r="AD50" s="137"/>
      <c r="AF50" s="133">
        <f>SUM(AF46:AF49)</f>
        <v>2000229.4158619998</v>
      </c>
      <c r="AG50" s="138">
        <f>AB50-AF50</f>
        <v>19910.380777612096</v>
      </c>
      <c r="AH50" s="133"/>
      <c r="AI50" s="138"/>
      <c r="AJ50" s="138"/>
      <c r="AK50" s="138"/>
      <c r="AL50" s="139"/>
      <c r="AM50" s="139"/>
      <c r="AN50" s="139"/>
      <c r="AO50"/>
      <c r="AP50"/>
      <c r="AQ50"/>
    </row>
    <row r="51" spans="1:43" ht="27.95" customHeight="1" x14ac:dyDescent="0.25">
      <c r="B51" s="54">
        <f>B50*X51</f>
        <v>-6190.7492223878744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-1.6998864397773206E-2</v>
      </c>
      <c r="Y51" s="59"/>
      <c r="Z51"/>
      <c r="AA51"/>
      <c r="AB51"/>
      <c r="AC51"/>
      <c r="AD51"/>
      <c r="AE51"/>
      <c r="AF51" s="58">
        <f>1-(AF50/AB50)</f>
        <v>9.8559420544716003E-3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05" t="s">
        <v>41</v>
      </c>
      <c r="B53" s="206"/>
      <c r="D53" s="207" t="s">
        <v>42</v>
      </c>
      <c r="E53" s="208"/>
      <c r="F53" s="208"/>
      <c r="G53" s="209"/>
      <c r="H53" s="48"/>
      <c r="I53" s="210" t="s">
        <v>43</v>
      </c>
      <c r="J53" s="211"/>
      <c r="K53" s="211"/>
      <c r="L53" s="212"/>
      <c r="M53" s="49"/>
      <c r="N53" s="207" t="s">
        <v>30</v>
      </c>
      <c r="O53" s="208"/>
      <c r="P53" s="208"/>
      <c r="Q53" s="208"/>
      <c r="R53" s="208"/>
      <c r="S53" s="209"/>
      <c r="T53" s="2"/>
      <c r="U53" s="207" t="s">
        <v>44</v>
      </c>
      <c r="V53" s="208"/>
      <c r="W53" s="208"/>
      <c r="X53" s="209"/>
      <c r="Y53"/>
      <c r="Z53" s="75" t="s">
        <v>45</v>
      </c>
      <c r="AA53" s="76" t="s">
        <v>46</v>
      </c>
      <c r="AB53"/>
      <c r="AC53"/>
      <c r="AD53" s="73" t="s">
        <v>48</v>
      </c>
      <c r="AE53" s="74" t="s">
        <v>47</v>
      </c>
      <c r="AF53" s="165"/>
      <c r="AG53" s="165"/>
      <c r="AH53" s="165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93055</v>
      </c>
      <c r="C54" s="10"/>
      <c r="D54" s="198" t="s">
        <v>3</v>
      </c>
      <c r="E54" s="199"/>
      <c r="F54" s="199"/>
      <c r="G54" s="40">
        <f>B54/30</f>
        <v>3101.8333333333335</v>
      </c>
      <c r="H54" s="50"/>
      <c r="I54" s="198" t="s">
        <v>3</v>
      </c>
      <c r="J54" s="199"/>
      <c r="K54" s="199"/>
      <c r="L54" s="66">
        <f>G54*J44</f>
        <v>93055</v>
      </c>
      <c r="M54" s="50"/>
      <c r="N54" s="198" t="s">
        <v>3</v>
      </c>
      <c r="O54" s="199"/>
      <c r="P54" s="199"/>
      <c r="Q54" s="199"/>
      <c r="R54" s="200">
        <f>W46</f>
        <v>85515.8</v>
      </c>
      <c r="S54" s="201"/>
      <c r="T54" s="51"/>
      <c r="U54" s="198" t="s">
        <v>3</v>
      </c>
      <c r="V54" s="199"/>
      <c r="W54" s="202">
        <f>L54-R54</f>
        <v>7539.1999999999971</v>
      </c>
      <c r="X54" s="203"/>
      <c r="Y54" s="52"/>
      <c r="Z54" s="115">
        <f>L46*30</f>
        <v>85515.8</v>
      </c>
      <c r="AA54" s="72">
        <f>Z54+441064.2</f>
        <v>526580</v>
      </c>
      <c r="AB54" s="10"/>
      <c r="AC54" s="10"/>
      <c r="AD54" s="68">
        <f>D40-Z54</f>
        <v>7539.1999999999971</v>
      </c>
      <c r="AE54" s="69">
        <f>D43-AA54</f>
        <v>32995.199999999953</v>
      </c>
      <c r="AF54" s="166"/>
      <c r="AG54" s="166"/>
      <c r="AH54" s="166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20219.36</v>
      </c>
      <c r="C55" s="10"/>
      <c r="D55" s="198" t="s">
        <v>4</v>
      </c>
      <c r="E55" s="199"/>
      <c r="F55" s="199"/>
      <c r="G55" s="40">
        <f>B55/30</f>
        <v>673.97866666666664</v>
      </c>
      <c r="H55" s="50"/>
      <c r="I55" s="198" t="s">
        <v>4</v>
      </c>
      <c r="J55" s="199"/>
      <c r="K55" s="199"/>
      <c r="L55" s="66">
        <f>G55*J44</f>
        <v>20219.36</v>
      </c>
      <c r="M55" s="50"/>
      <c r="N55" s="198" t="s">
        <v>4</v>
      </c>
      <c r="O55" s="199"/>
      <c r="P55" s="199"/>
      <c r="Q55" s="199"/>
      <c r="R55" s="200">
        <f>W47</f>
        <v>23943.360000000001</v>
      </c>
      <c r="S55" s="201"/>
      <c r="T55" s="51"/>
      <c r="U55" s="198" t="s">
        <v>4</v>
      </c>
      <c r="V55" s="199"/>
      <c r="W55" s="202">
        <f>L55-R55</f>
        <v>-3724</v>
      </c>
      <c r="X55" s="203"/>
      <c r="Y55" s="52"/>
      <c r="Z55" s="115">
        <f>L47*30</f>
        <v>23943.360000000001</v>
      </c>
      <c r="AA55" s="69">
        <f>Z55+119066.08</f>
        <v>143009.44</v>
      </c>
      <c r="AB55" s="10"/>
      <c r="AC55" s="10"/>
      <c r="AD55" s="68">
        <f>L40-Z55</f>
        <v>-3724</v>
      </c>
      <c r="AE55" s="69">
        <f>L43-AA55</f>
        <v>-15288</v>
      </c>
      <c r="AF55" s="166"/>
      <c r="AG55" s="166"/>
      <c r="AH55" s="166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17896.939999999999</v>
      </c>
      <c r="C56" s="10"/>
      <c r="D56" s="198" t="s">
        <v>25</v>
      </c>
      <c r="E56" s="199"/>
      <c r="F56" s="199"/>
      <c r="G56" s="40">
        <f>B56/30</f>
        <v>596.56466666666665</v>
      </c>
      <c r="H56" s="50"/>
      <c r="I56" s="198" t="s">
        <v>25</v>
      </c>
      <c r="J56" s="199"/>
      <c r="K56" s="199"/>
      <c r="L56" s="66">
        <f>G56*J44</f>
        <v>17896.939999999999</v>
      </c>
      <c r="M56" s="50"/>
      <c r="N56" s="198" t="s">
        <v>25</v>
      </c>
      <c r="O56" s="199"/>
      <c r="P56" s="199"/>
      <c r="Q56" s="199"/>
      <c r="R56" s="200">
        <f>W48</f>
        <v>19460.333835000005</v>
      </c>
      <c r="S56" s="201"/>
      <c r="T56" s="51"/>
      <c r="U56" s="198" t="s">
        <v>25</v>
      </c>
      <c r="V56" s="199"/>
      <c r="W56" s="202">
        <f>L56-R56</f>
        <v>-1563.3938350000062</v>
      </c>
      <c r="X56" s="203"/>
      <c r="Y56" s="52"/>
      <c r="Z56" s="115">
        <f>L48*30</f>
        <v>19460.333835000005</v>
      </c>
      <c r="AA56" s="69">
        <f>Z56+90695.64</f>
        <v>110155.97383500001</v>
      </c>
      <c r="AB56" s="10"/>
      <c r="AC56" s="10"/>
      <c r="AD56" s="68">
        <f>R40-Z56</f>
        <v>-1563.3938350000062</v>
      </c>
      <c r="AE56" s="69">
        <f>R43-AA56</f>
        <v>-10559.183835000018</v>
      </c>
      <c r="AF56" s="166"/>
      <c r="AG56" s="166"/>
      <c r="AH56" s="166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223083.3</v>
      </c>
      <c r="C57" s="61"/>
      <c r="D57" s="192" t="s">
        <v>15</v>
      </c>
      <c r="E57" s="193"/>
      <c r="F57" s="193"/>
      <c r="G57" s="38">
        <f>B57/30</f>
        <v>7436.11</v>
      </c>
      <c r="H57" s="53"/>
      <c r="I57" s="192" t="s">
        <v>15</v>
      </c>
      <c r="J57" s="193"/>
      <c r="K57" s="193"/>
      <c r="L57" s="67">
        <f>G57*J44</f>
        <v>223083.3</v>
      </c>
      <c r="M57" s="53"/>
      <c r="N57" s="192" t="s">
        <v>15</v>
      </c>
      <c r="O57" s="193"/>
      <c r="P57" s="193"/>
      <c r="Q57" s="193"/>
      <c r="R57" s="194">
        <f>W49</f>
        <v>241457.30202699997</v>
      </c>
      <c r="S57" s="195"/>
      <c r="T57" s="51"/>
      <c r="U57" s="192" t="s">
        <v>15</v>
      </c>
      <c r="V57" s="193"/>
      <c r="W57" s="196">
        <f>L57-R57</f>
        <v>-18374.00202699998</v>
      </c>
      <c r="X57" s="197"/>
      <c r="Y57" s="52"/>
      <c r="Z57" s="115">
        <f>L49*30</f>
        <v>241457.30202699997</v>
      </c>
      <c r="AA57" s="69">
        <f>Z57+979026.7</f>
        <v>1220484.0020269998</v>
      </c>
      <c r="AB57" s="10"/>
      <c r="AC57" s="10"/>
      <c r="AD57" s="68">
        <f>X40-Z57</f>
        <v>-18374.00202699998</v>
      </c>
      <c r="AE57" s="69">
        <f>Z43-AA57</f>
        <v>-102682.66287125018</v>
      </c>
      <c r="AF57" s="166"/>
      <c r="AG57" s="166"/>
      <c r="AH57" s="166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354254.6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354254.6</v>
      </c>
      <c r="M58" s="53"/>
      <c r="N58" s="53"/>
      <c r="O58" s="53"/>
      <c r="P58" s="53"/>
      <c r="Q58" s="53"/>
      <c r="R58" s="191">
        <f>SUM(R54:S57)</f>
        <v>370376.79586199997</v>
      </c>
      <c r="S58" s="191"/>
      <c r="T58" s="56"/>
      <c r="U58" s="56"/>
      <c r="V58" s="56"/>
      <c r="W58" s="191">
        <f>SUM(W54:X57)</f>
        <v>-16122.19586199999</v>
      </c>
      <c r="X58" s="191"/>
      <c r="Y58" s="52"/>
      <c r="Z58" s="188">
        <f>SUM(Z54:Z57)</f>
        <v>370376.79586199997</v>
      </c>
      <c r="AA58" s="71">
        <f>SUM(AA54:AA57)</f>
        <v>2000229.4158619998</v>
      </c>
      <c r="AB58" s="10"/>
      <c r="AC58" s="10"/>
      <c r="AD58" s="70">
        <f>SUM(AD54:AD57)</f>
        <v>-16122.19586199999</v>
      </c>
      <c r="AE58" s="71">
        <f>SUM(AE54:AE57)</f>
        <v>-95534.646706250249</v>
      </c>
      <c r="AF58" s="166"/>
      <c r="AG58" s="166"/>
      <c r="AH58" s="166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-16122.195861999973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-4.5510194820335359E-2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90"/>
      <c r="B61" s="190"/>
      <c r="C61" s="190"/>
      <c r="D61" s="190"/>
      <c r="E61" s="190"/>
      <c r="F61" s="190"/>
      <c r="G61" s="190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3"/>
      <c r="AA61" s="13"/>
      <c r="AB61" s="190"/>
      <c r="AC61" s="190"/>
      <c r="AD61" s="190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91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91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91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91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91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90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X37:Y37"/>
    <mergeCell ref="Z37:AB37"/>
    <mergeCell ref="AH37:AK37"/>
    <mergeCell ref="B38:C38"/>
    <mergeCell ref="D38:F38"/>
    <mergeCell ref="G38:I38"/>
    <mergeCell ref="J38:K38"/>
    <mergeCell ref="M38:N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X42:Y42"/>
    <mergeCell ref="Z42:AB42"/>
    <mergeCell ref="AH42:AK42"/>
    <mergeCell ref="X43:Y43"/>
    <mergeCell ref="Z43:AB43"/>
    <mergeCell ref="AH43:AK43"/>
    <mergeCell ref="A45:B45"/>
    <mergeCell ref="D45:G45"/>
    <mergeCell ref="I45:L45"/>
    <mergeCell ref="N45:S45"/>
    <mergeCell ref="U45:X45"/>
    <mergeCell ref="Z45:AB45"/>
    <mergeCell ref="AD45:AF45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D46:F46"/>
    <mergeCell ref="I46:K46"/>
    <mergeCell ref="N46:Q46"/>
    <mergeCell ref="R46:S46"/>
    <mergeCell ref="U46:V46"/>
    <mergeCell ref="W46:X46"/>
    <mergeCell ref="Z46:AA46"/>
    <mergeCell ref="AD46:AE46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</mergeCells>
  <conditionalFormatting sqref="I5:I34">
    <cfRule type="cellIs" dxfId="78" priority="35" operator="lessThan">
      <formula>$G$46</formula>
    </cfRule>
    <cfRule type="cellIs" dxfId="77" priority="36" operator="greaterThan">
      <formula>$G$46</formula>
    </cfRule>
    <cfRule type="cellIs" dxfId="76" priority="42" operator="greaterThan">
      <formula>$G$46</formula>
    </cfRule>
    <cfRule type="cellIs" dxfId="75" priority="41" operator="lessThan">
      <formula>$G$46</formula>
    </cfRule>
  </conditionalFormatting>
  <conditionalFormatting sqref="L5:L34">
    <cfRule type="cellIs" dxfId="74" priority="40" operator="greaterThan">
      <formula>$G$47</formula>
    </cfRule>
    <cfRule type="cellIs" dxfId="73" priority="33" operator="lessThan">
      <formula>$G$47</formula>
    </cfRule>
    <cfRule type="cellIs" dxfId="72" priority="34" operator="greaterThan">
      <formula>$G$47</formula>
    </cfRule>
    <cfRule type="cellIs" dxfId="71" priority="39" operator="lessThan">
      <formula>$G$47</formula>
    </cfRule>
  </conditionalFormatting>
  <conditionalFormatting sqref="L46">
    <cfRule type="cellIs" dxfId="70" priority="55" operator="lessThan">
      <formula>$G$46</formula>
    </cfRule>
    <cfRule type="cellIs" dxfId="69" priority="21" operator="lessThan">
      <formula>$G$46</formula>
    </cfRule>
    <cfRule type="cellIs" dxfId="68" priority="22" operator="greaterThan">
      <formula>$G$46</formula>
    </cfRule>
    <cfRule type="cellIs" dxfId="67" priority="71" operator="lessThan">
      <formula>$G$46</formula>
    </cfRule>
    <cfRule type="cellIs" dxfId="66" priority="79" operator="greaterThan">
      <formula>$G$46</formula>
    </cfRule>
    <cfRule type="cellIs" dxfId="65" priority="56" operator="greaterThan">
      <formula>$G$46</formula>
    </cfRule>
  </conditionalFormatting>
  <conditionalFormatting sqref="L47">
    <cfRule type="cellIs" dxfId="64" priority="54" operator="greaterThan">
      <formula>$G$47</formula>
    </cfRule>
    <cfRule type="cellIs" dxfId="63" priority="53" operator="lessThan">
      <formula>$G$47</formula>
    </cfRule>
    <cfRule type="cellIs" dxfId="62" priority="70" operator="lessThan">
      <formula>$G$47</formula>
    </cfRule>
    <cfRule type="cellIs" dxfId="61" priority="78" operator="greaterThan">
      <formula>$G$47</formula>
    </cfRule>
    <cfRule type="cellIs" dxfId="60" priority="17" operator="lessThan">
      <formula>$G$47</formula>
    </cfRule>
    <cfRule type="cellIs" dxfId="59" priority="20" operator="greaterThan">
      <formula>$G$47</formula>
    </cfRule>
  </conditionalFormatting>
  <conditionalFormatting sqref="L48">
    <cfRule type="cellIs" dxfId="58" priority="19" operator="greaterThan">
      <formula>$G$48</formula>
    </cfRule>
    <cfRule type="cellIs" dxfId="57" priority="52" operator="greaterThan">
      <formula>$G$48</formula>
    </cfRule>
    <cfRule type="cellIs" dxfId="56" priority="51" operator="lessThan">
      <formula>$G$48</formula>
    </cfRule>
    <cfRule type="cellIs" dxfId="55" priority="16" operator="lessThan">
      <formula>$G$48</formula>
    </cfRule>
    <cfRule type="cellIs" dxfId="54" priority="77" operator="greaterThan">
      <formula>$G$48</formula>
    </cfRule>
    <cfRule type="cellIs" dxfId="53" priority="69" operator="lessThan">
      <formula>$G$48</formula>
    </cfRule>
  </conditionalFormatting>
  <conditionalFormatting sqref="L49">
    <cfRule type="cellIs" dxfId="52" priority="18" operator="greaterThan">
      <formula>$G$49</formula>
    </cfRule>
    <cfRule type="cellIs" dxfId="51" priority="49" operator="lessThan">
      <formula>$G$49</formula>
    </cfRule>
    <cfRule type="cellIs" dxfId="50" priority="50" operator="greaterThan">
      <formula>$G$49</formula>
    </cfRule>
    <cfRule type="cellIs" dxfId="49" priority="68" operator="lessThan">
      <formula>$G$49</formula>
    </cfRule>
    <cfRule type="cellIs" dxfId="48" priority="76" operator="greaterThan">
      <formula>$G$49</formula>
    </cfRule>
    <cfRule type="cellIs" dxfId="47" priority="15" operator="lessThan">
      <formula>$G$49</formula>
    </cfRule>
  </conditionalFormatting>
  <conditionalFormatting sqref="L54:L55">
    <cfRule type="cellIs" dxfId="46" priority="3" operator="lessThan">
      <formula>$R$55</formula>
    </cfRule>
    <cfRule type="cellIs" dxfId="45" priority="6" operator="greaterThan">
      <formula>$R$55</formula>
    </cfRule>
    <cfRule type="cellIs" dxfId="44" priority="28" operator="greaterThan">
      <formula>$G$55</formula>
    </cfRule>
    <cfRule type="cellIs" dxfId="43" priority="11" operator="lessThan">
      <formula>$R$55</formula>
    </cfRule>
    <cfRule type="cellIs" dxfId="42" priority="12" operator="greaterThan">
      <formula>$R$55</formula>
    </cfRule>
    <cfRule type="cellIs" dxfId="41" priority="47" operator="lessThan">
      <formula>$W$47</formula>
    </cfRule>
    <cfRule type="cellIs" dxfId="40" priority="48" operator="greaterThan">
      <formula>$W$47</formula>
    </cfRule>
    <cfRule type="cellIs" dxfId="39" priority="61" operator="lessThan">
      <formula>$G$47</formula>
    </cfRule>
    <cfRule type="cellIs" dxfId="38" priority="64" operator="greaterThan">
      <formula>$G$47</formula>
    </cfRule>
    <cfRule type="cellIs" dxfId="37" priority="25" operator="lessThan">
      <formula>$G$55</formula>
    </cfRule>
  </conditionalFormatting>
  <conditionalFormatting sqref="L56">
    <cfRule type="cellIs" dxfId="36" priority="2" operator="lessThan">
      <formula>$R$56</formula>
    </cfRule>
    <cfRule type="cellIs" dxfId="35" priority="60" operator="lessThan">
      <formula>$G$48</formula>
    </cfRule>
    <cfRule type="cellIs" dxfId="34" priority="5" operator="greaterThan">
      <formula>$R$56</formula>
    </cfRule>
    <cfRule type="cellIs" dxfId="33" priority="24" operator="lessThan">
      <formula>$G$56</formula>
    </cfRule>
    <cfRule type="cellIs" dxfId="32" priority="9" operator="lessThan">
      <formula>$R$56</formula>
    </cfRule>
    <cfRule type="cellIs" dxfId="31" priority="10" operator="greaterThan">
      <formula>$R$56</formula>
    </cfRule>
    <cfRule type="cellIs" dxfId="30" priority="27" operator="greaterThan">
      <formula>$G$56</formula>
    </cfRule>
    <cfRule type="cellIs" dxfId="29" priority="45" operator="lessThan">
      <formula>$W$48</formula>
    </cfRule>
    <cfRule type="cellIs" dxfId="28" priority="46" operator="greaterThan">
      <formula>$W$48</formula>
    </cfRule>
    <cfRule type="cellIs" dxfId="27" priority="63" operator="greaterThan">
      <formula>$G$48</formula>
    </cfRule>
  </conditionalFormatting>
  <conditionalFormatting sqref="L57">
    <cfRule type="cellIs" dxfId="26" priority="4" operator="greaterThan">
      <formula>$R$57</formula>
    </cfRule>
    <cfRule type="cellIs" dxfId="25" priority="8" operator="greaterThan">
      <formula>$R$57</formula>
    </cfRule>
    <cfRule type="cellIs" dxfId="24" priority="44" operator="greaterThan">
      <formula>$W$49</formula>
    </cfRule>
    <cfRule type="cellIs" dxfId="23" priority="7" operator="lessThan">
      <formula>$R$57</formula>
    </cfRule>
    <cfRule type="cellIs" dxfId="22" priority="59" operator="lessThan">
      <formula>$G$49</formula>
    </cfRule>
    <cfRule type="cellIs" dxfId="21" priority="62" operator="greaterThan">
      <formula>$G$49</formula>
    </cfRule>
    <cfRule type="cellIs" dxfId="20" priority="23" operator="lessThan">
      <formula>$G$57</formula>
    </cfRule>
    <cfRule type="cellIs" dxfId="19" priority="26" operator="greaterThan">
      <formula>$G$57</formula>
    </cfRule>
    <cfRule type="cellIs" dxfId="18" priority="43" operator="lessThan">
      <formula>$W$49</formula>
    </cfRule>
    <cfRule type="cellIs" dxfId="17" priority="1" operator="lessThan">
      <formula>$R$57</formula>
    </cfRule>
  </conditionalFormatting>
  <conditionalFormatting sqref="U5:U34">
    <cfRule type="cellIs" dxfId="16" priority="30" operator="greaterThan">
      <formula>$G$48</formula>
    </cfRule>
    <cfRule type="cellIs" dxfId="15" priority="29" operator="lessThan">
      <formula>$G$48</formula>
    </cfRule>
  </conditionalFormatting>
  <conditionalFormatting sqref="W46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7">
    <cfRule type="cellIs" dxfId="12" priority="72" operator="lessThan">
      <formula>#REF!</formula>
    </cfRule>
  </conditionalFormatting>
  <conditionalFormatting sqref="W47:W49">
    <cfRule type="cellIs" dxfId="11" priority="74" operator="greaterThan">
      <formula>#REF!</formula>
    </cfRule>
  </conditionalFormatting>
  <conditionalFormatting sqref="W47:W57">
    <cfRule type="cellIs" dxfId="10" priority="65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7" priority="38" operator="greaterThan">
      <formula>$G$49</formula>
    </cfRule>
    <cfRule type="cellIs" dxfId="6" priority="37" operator="lessThan">
      <formula>$G$49</formula>
    </cfRule>
    <cfRule type="cellIs" dxfId="5" priority="31" operator="lessThan">
      <formula>$G$49</formula>
    </cfRule>
    <cfRule type="cellIs" dxfId="4" priority="32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63E34EC5-03A4-46F7-8628-8A141FE13BCC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June 2024</vt:lpstr>
      <vt:lpstr>'June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2024-08-05T09:34:16Z</dcterms:modified>
</cp:coreProperties>
</file>