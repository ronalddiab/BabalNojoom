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ian_domingo_babalnojoum_com/Documents/Documents/Utility Consumption/"/>
    </mc:Choice>
  </mc:AlternateContent>
  <xr:revisionPtr revIDLastSave="252" documentId="8_{4E03D14B-0C65-4B66-AB8C-8E54513B6D3A}" xr6:coauthVersionLast="47" xr6:coauthVersionMax="47" xr10:uidLastSave="{90849727-C8D5-496F-A9DD-82B30C53ED07}"/>
  <bookViews>
    <workbookView xWindow="-120" yWindow="-120" windowWidth="29040" windowHeight="15720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3" l="1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F35" i="14" l="1"/>
  <c r="K31" i="15" s="1"/>
  <c r="D35" i="14"/>
  <c r="E31" i="15" s="1"/>
  <c r="F34" i="14"/>
  <c r="K30" i="15" s="1"/>
  <c r="D34" i="14"/>
  <c r="E30" i="15" s="1"/>
  <c r="F33" i="14"/>
  <c r="K29" i="15" s="1"/>
  <c r="D33" i="14"/>
  <c r="E29" i="15" s="1"/>
  <c r="F32" i="14"/>
  <c r="K28" i="15" s="1"/>
  <c r="D32" i="14"/>
  <c r="E28" i="15" s="1"/>
  <c r="F31" i="14"/>
  <c r="K27" i="15" s="1"/>
  <c r="D31" i="14"/>
  <c r="E27" i="15" s="1"/>
  <c r="F30" i="14"/>
  <c r="K26" i="15" s="1"/>
  <c r="D30" i="14"/>
  <c r="E26" i="15" s="1"/>
  <c r="F29" i="14"/>
  <c r="K25" i="15" s="1"/>
  <c r="D29" i="14"/>
  <c r="E25" i="15" s="1"/>
  <c r="F28" i="14"/>
  <c r="K24" i="15" s="1"/>
  <c r="D28" i="14"/>
  <c r="E24" i="15" s="1"/>
  <c r="F27" i="14"/>
  <c r="K23" i="15" s="1"/>
  <c r="D27" i="14"/>
  <c r="E23" i="15" s="1"/>
  <c r="F26" i="14"/>
  <c r="K22" i="15" s="1"/>
  <c r="D26" i="14"/>
  <c r="E22" i="15" s="1"/>
  <c r="F25" i="14"/>
  <c r="K21" i="15" s="1"/>
  <c r="D25" i="14"/>
  <c r="E21" i="15" s="1"/>
  <c r="F24" i="14"/>
  <c r="K20" i="15" s="1"/>
  <c r="D24" i="14"/>
  <c r="E20" i="15" s="1"/>
  <c r="F23" i="14"/>
  <c r="K19" i="15" s="1"/>
  <c r="D23" i="14"/>
  <c r="E19" i="15" s="1"/>
  <c r="F22" i="14"/>
  <c r="K18" i="15" s="1"/>
  <c r="D22" i="14"/>
  <c r="E18" i="15" s="1"/>
  <c r="F21" i="14"/>
  <c r="K17" i="15" s="1"/>
  <c r="D21" i="14"/>
  <c r="E17" i="15" s="1"/>
  <c r="F20" i="14"/>
  <c r="K16" i="15" s="1"/>
  <c r="D20" i="14"/>
  <c r="E16" i="15" s="1"/>
  <c r="F19" i="14"/>
  <c r="K15" i="15" s="1"/>
  <c r="D19" i="14"/>
  <c r="E15" i="15" s="1"/>
  <c r="F18" i="14"/>
  <c r="K14" i="15" s="1"/>
  <c r="D18" i="14"/>
  <c r="E14" i="15" s="1"/>
  <c r="F17" i="14"/>
  <c r="K13" i="15" s="1"/>
  <c r="D17" i="14"/>
  <c r="E13" i="15" s="1"/>
  <c r="F16" i="14"/>
  <c r="K12" i="15" s="1"/>
  <c r="D16" i="14"/>
  <c r="E12" i="15" s="1"/>
  <c r="F15" i="14"/>
  <c r="K11" i="15" s="1"/>
  <c r="D15" i="14"/>
  <c r="E11" i="15" s="1"/>
  <c r="F14" i="14"/>
  <c r="K10" i="15" s="1"/>
  <c r="D14" i="14"/>
  <c r="E10" i="15" s="1"/>
  <c r="F13" i="14"/>
  <c r="K9" i="15" s="1"/>
  <c r="D13" i="14"/>
  <c r="E9" i="15" s="1"/>
  <c r="F12" i="14"/>
  <c r="K8" i="15" s="1"/>
  <c r="D12" i="14"/>
  <c r="E8" i="15" s="1"/>
  <c r="F11" i="14"/>
  <c r="K7" i="15" s="1"/>
  <c r="D11" i="14"/>
  <c r="E7" i="15" s="1"/>
  <c r="F10" i="14"/>
  <c r="K6" i="15" s="1"/>
  <c r="D10" i="14"/>
  <c r="E6" i="15" s="1"/>
  <c r="F9" i="14"/>
  <c r="K5" i="15" s="1"/>
  <c r="D9" i="14"/>
  <c r="E5" i="15" s="1"/>
  <c r="F8" i="14"/>
  <c r="K4" i="15" s="1"/>
  <c r="D8" i="14"/>
  <c r="E4" i="15" s="1"/>
  <c r="F7" i="14"/>
  <c r="K3" i="15" s="1"/>
  <c r="D7" i="14"/>
  <c r="E3" i="15" s="1"/>
  <c r="F6" i="14"/>
  <c r="K2" i="15" s="1"/>
  <c r="D6" i="14"/>
  <c r="E2" i="15" s="1"/>
  <c r="D35" i="13"/>
  <c r="D34" i="13"/>
  <c r="I30" i="15" s="1"/>
  <c r="D33" i="13"/>
  <c r="I29" i="15" s="1"/>
  <c r="D32" i="13"/>
  <c r="I28" i="15" s="1"/>
  <c r="D31" i="13"/>
  <c r="I27" i="15" s="1"/>
  <c r="D30" i="13"/>
  <c r="I26" i="15" s="1"/>
  <c r="D29" i="13"/>
  <c r="I25" i="15" s="1"/>
  <c r="D28" i="13"/>
  <c r="D27" i="13"/>
  <c r="I23" i="15" s="1"/>
  <c r="D26" i="13"/>
  <c r="I22" i="15" s="1"/>
  <c r="D25" i="13"/>
  <c r="I21" i="15" s="1"/>
  <c r="D24" i="13"/>
  <c r="I20" i="15" s="1"/>
  <c r="D23" i="13"/>
  <c r="I19" i="15" s="1"/>
  <c r="D22" i="13"/>
  <c r="I18" i="15" s="1"/>
  <c r="D21" i="13"/>
  <c r="D20" i="13"/>
  <c r="D19" i="13"/>
  <c r="D18" i="13"/>
  <c r="D17" i="13"/>
  <c r="D16" i="13"/>
  <c r="D15" i="13"/>
  <c r="I11" i="15" s="1"/>
  <c r="D14" i="13"/>
  <c r="D13" i="13"/>
  <c r="I9" i="15" s="1"/>
  <c r="D12" i="13"/>
  <c r="I8" i="15" s="1"/>
  <c r="D11" i="13"/>
  <c r="D10" i="13"/>
  <c r="D9" i="13"/>
  <c r="I5" i="15" s="1"/>
  <c r="D8" i="13"/>
  <c r="I4" i="15" s="1"/>
  <c r="F7" i="13"/>
  <c r="D7" i="13"/>
  <c r="F6" i="13"/>
  <c r="D6" i="13"/>
  <c r="I16" i="15" l="1"/>
  <c r="I15" i="15"/>
  <c r="I14" i="15"/>
  <c r="I13" i="15"/>
  <c r="I12" i="15"/>
  <c r="I7" i="15"/>
  <c r="I6" i="15"/>
  <c r="I2" i="15"/>
  <c r="I3" i="15"/>
  <c r="I10" i="15"/>
  <c r="I17" i="15"/>
  <c r="I24" i="15"/>
  <c r="I31" i="15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<sst xmlns="http://schemas.openxmlformats.org/spreadsheetml/2006/main" count="82" uniqueCount="41">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</sst>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3" fillId="4" borderId="0" xfId="1" applyNumberFormat="1" applyFont="1" applyFill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141</c:v>
                </c:pt>
                <c:pt idx="1">
                  <c:v>100</c:v>
                </c:pt>
                <c:pt idx="2">
                  <c:v>78</c:v>
                </c:pt>
                <c:pt idx="3">
                  <c:v>93</c:v>
                </c:pt>
                <c:pt idx="4">
                  <c:v>70</c:v>
                </c:pt>
                <c:pt idx="5">
                  <c:v>76</c:v>
                </c:pt>
                <c:pt idx="6">
                  <c:v>108</c:v>
                </c:pt>
                <c:pt idx="7">
                  <c:v>74</c:v>
                </c:pt>
                <c:pt idx="8">
                  <c:v>87</c:v>
                </c:pt>
                <c:pt idx="9">
                  <c:v>83</c:v>
                </c:pt>
                <c:pt idx="10">
                  <c:v>83</c:v>
                </c:pt>
                <c:pt idx="11">
                  <c:v>104</c:v>
                </c:pt>
                <c:pt idx="12">
                  <c:v>97</c:v>
                </c:pt>
                <c:pt idx="13">
                  <c:v>98</c:v>
                </c:pt>
                <c:pt idx="14">
                  <c:v>102</c:v>
                </c:pt>
                <c:pt idx="15">
                  <c:v>123</c:v>
                </c:pt>
                <c:pt idx="16">
                  <c:v>78</c:v>
                </c:pt>
                <c:pt idx="17">
                  <c:v>81</c:v>
                </c:pt>
                <c:pt idx="18">
                  <c:v>89</c:v>
                </c:pt>
                <c:pt idx="19">
                  <c:v>119</c:v>
                </c:pt>
                <c:pt idx="20">
                  <c:v>81</c:v>
                </c:pt>
                <c:pt idx="21">
                  <c:v>87</c:v>
                </c:pt>
                <c:pt idx="22">
                  <c:v>100</c:v>
                </c:pt>
                <c:pt idx="23">
                  <c:v>82</c:v>
                </c:pt>
                <c:pt idx="24">
                  <c:v>92</c:v>
                </c:pt>
                <c:pt idx="25">
                  <c:v>82</c:v>
                </c:pt>
                <c:pt idx="26">
                  <c:v>82</c:v>
                </c:pt>
                <c:pt idx="27">
                  <c:v>84</c:v>
                </c:pt>
                <c:pt idx="28">
                  <c:v>82</c:v>
                </c:pt>
                <c:pt idx="29">
                  <c:v>-126422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5620</c:v>
                </c:pt>
                <c:pt idx="1">
                  <c:v>5394</c:v>
                </c:pt>
                <c:pt idx="2">
                  <c:v>5409</c:v>
                </c:pt>
                <c:pt idx="3">
                  <c:v>5126</c:v>
                </c:pt>
                <c:pt idx="4">
                  <c:v>5285</c:v>
                </c:pt>
                <c:pt idx="5">
                  <c:v>5138</c:v>
                </c:pt>
                <c:pt idx="6">
                  <c:v>5472</c:v>
                </c:pt>
                <c:pt idx="7">
                  <c:v>5206</c:v>
                </c:pt>
                <c:pt idx="8">
                  <c:v>5082</c:v>
                </c:pt>
                <c:pt idx="9">
                  <c:v>2469</c:v>
                </c:pt>
                <c:pt idx="10">
                  <c:v>2469</c:v>
                </c:pt>
                <c:pt idx="11">
                  <c:v>10089</c:v>
                </c:pt>
                <c:pt idx="12">
                  <c:v>5188</c:v>
                </c:pt>
                <c:pt idx="13">
                  <c:v>5058</c:v>
                </c:pt>
                <c:pt idx="14">
                  <c:v>4876</c:v>
                </c:pt>
                <c:pt idx="15">
                  <c:v>5180</c:v>
                </c:pt>
                <c:pt idx="16">
                  <c:v>8309</c:v>
                </c:pt>
                <c:pt idx="17">
                  <c:v>6473</c:v>
                </c:pt>
                <c:pt idx="18">
                  <c:v>-744</c:v>
                </c:pt>
                <c:pt idx="19">
                  <c:v>5271</c:v>
                </c:pt>
                <c:pt idx="20">
                  <c:v>5284</c:v>
                </c:pt>
                <c:pt idx="21">
                  <c:v>5168</c:v>
                </c:pt>
                <c:pt idx="22">
                  <c:v>4891</c:v>
                </c:pt>
                <c:pt idx="23">
                  <c:v>4737</c:v>
                </c:pt>
                <c:pt idx="24">
                  <c:v>4992</c:v>
                </c:pt>
                <c:pt idx="25">
                  <c:v>4903</c:v>
                </c:pt>
                <c:pt idx="26">
                  <c:v>4910</c:v>
                </c:pt>
                <c:pt idx="27">
                  <c:v>4984</c:v>
                </c:pt>
                <c:pt idx="28">
                  <c:v>4675</c:v>
                </c:pt>
                <c:pt idx="29">
                  <c:v>-5116573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166</c:v>
                </c:pt>
                <c:pt idx="1">
                  <c:v>165</c:v>
                </c:pt>
                <c:pt idx="2">
                  <c:v>98</c:v>
                </c:pt>
                <c:pt idx="3">
                  <c:v>173</c:v>
                </c:pt>
                <c:pt idx="4">
                  <c:v>194</c:v>
                </c:pt>
                <c:pt idx="5">
                  <c:v>266</c:v>
                </c:pt>
                <c:pt idx="6">
                  <c:v>161</c:v>
                </c:pt>
                <c:pt idx="7">
                  <c:v>68</c:v>
                </c:pt>
                <c:pt idx="8">
                  <c:v>228</c:v>
                </c:pt>
                <c:pt idx="9">
                  <c:v>198</c:v>
                </c:pt>
                <c:pt idx="10">
                  <c:v>208</c:v>
                </c:pt>
                <c:pt idx="11">
                  <c:v>196</c:v>
                </c:pt>
                <c:pt idx="12">
                  <c:v>147</c:v>
                </c:pt>
                <c:pt idx="13">
                  <c:v>225</c:v>
                </c:pt>
                <c:pt idx="14">
                  <c:v>163</c:v>
                </c:pt>
                <c:pt idx="15">
                  <c:v>229</c:v>
                </c:pt>
                <c:pt idx="16">
                  <c:v>41</c:v>
                </c:pt>
                <c:pt idx="17">
                  <c:v>49</c:v>
                </c:pt>
                <c:pt idx="18">
                  <c:v>232</c:v>
                </c:pt>
                <c:pt idx="19">
                  <c:v>212</c:v>
                </c:pt>
                <c:pt idx="20">
                  <c:v>159</c:v>
                </c:pt>
                <c:pt idx="21">
                  <c:v>188</c:v>
                </c:pt>
                <c:pt idx="22">
                  <c:v>204</c:v>
                </c:pt>
                <c:pt idx="23">
                  <c:v>228</c:v>
                </c:pt>
                <c:pt idx="24">
                  <c:v>170</c:v>
                </c:pt>
                <c:pt idx="25">
                  <c:v>192</c:v>
                </c:pt>
                <c:pt idx="26">
                  <c:v>221</c:v>
                </c:pt>
                <c:pt idx="27">
                  <c:v>110</c:v>
                </c:pt>
                <c:pt idx="28">
                  <c:v>64</c:v>
                </c:pt>
                <c:pt idx="29">
                  <c:v>-32528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2"/>
  <sheetViews>
    <sheetView tabSelected="1" workbookViewId="0">
      <selection activeCell="V41" sqref="V41"/>
    </sheetView>
  </sheetViews>
  <sheetFormatPr defaultColWidth="11.42578125" defaultRowHeight="15"/>
  <cols>
    <col min="1" max="1" width="29.140625" style="32" bestFit="1" customWidth="1"/>
    <col min="2" max="2" width="6.85546875" style="27" customWidth="1"/>
    <col min="3" max="3" width="11.42578125" style="27" customWidth="1"/>
    <col min="4" max="4" width="13.42578125" style="27" customWidth="1"/>
    <col min="5" max="5" width="12.42578125" style="30" customWidth="1"/>
    <col min="6" max="6" width="12.42578125" style="29" customWidth="1"/>
    <col min="7" max="7" width="11.42578125" style="30" customWidth="1"/>
    <col min="8" max="8" width="11.42578125" style="29" customWidth="1"/>
    <col min="9" max="9" width="11.42578125" style="30" customWidth="1"/>
    <col min="10" max="10" width="11.42578125" style="31" customWidth="1"/>
    <col min="11" max="11" width="11.42578125" style="30" customWidth="1"/>
    <col min="12" max="12" width="0.5703125" style="31" customWidth="1"/>
    <col min="13" max="26" width="11.42578125" style="30"/>
    <col min="27" max="16384" width="11.42578125" style="33"/>
  </cols>
  <sheetData>
    <row r="1" spans="1:14" s="25" customFormat="1" ht="28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4" t="s">
        <v>11</v>
      </c>
      <c r="M1" s="22" t="s">
        <v>12</v>
      </c>
      <c r="N1" s="22" t="s">
        <v>13</v>
      </c>
    </row>
    <row r="2" spans="1:14">
      <c r="A2" s="26" t="s">
        <v>14</v>
      </c>
      <c r="B2" s="27">
        <v>1</v>
      </c>
      <c r="C2" s="27">
        <v>11</v>
      </c>
      <c r="D2" s="27">
        <v>2025</v>
      </c>
      <c r="E2" s="28">
        <f>IF('BAN Extension '!D6&gt;0,'BAN Extension '!D6,0)</f>
        <v>5620</v>
      </c>
      <c r="F2" s="29">
        <v>0.2</v>
      </c>
      <c r="G2" s="28"/>
      <c r="H2" s="29">
        <v>5.42</v>
      </c>
      <c r="I2" s="28">
        <f>IF('BAN - EXT- Extension '!D6+'BAN - EXT- Extension '!F6&gt;0,'BAN - EXT- Extension '!D6+'BAN - EXT- Extension '!F6,0)</f>
        <v>576</v>
      </c>
      <c r="J2" s="29">
        <v>7.84</v>
      </c>
      <c r="K2" s="28">
        <f>IF('BAN Extension '!F6&gt;0,'BAN Extension '!F6,0)</f>
        <v>166</v>
      </c>
      <c r="L2" s="29">
        <v>7.84</v>
      </c>
      <c r="M2" s="34">
        <v>44</v>
      </c>
      <c r="N2" s="34">
        <v>127</v>
      </c>
    </row>
    <row r="3" spans="1:14">
      <c r="A3" s="26" t="s">
        <v>14</v>
      </c>
      <c r="B3" s="27">
        <f>B2+1</f>
        <v>2</v>
      </c>
      <c r="C3" s="27">
        <v>11</v>
      </c>
      <c r="D3" s="27">
        <v>2025</v>
      </c>
      <c r="E3" s="28">
        <f>IF('BAN Extension '!D7&gt;0,'BAN Extension '!D7,0)</f>
        <v>5394</v>
      </c>
      <c r="F3" s="29">
        <v>0.2</v>
      </c>
      <c r="G3" s="28"/>
      <c r="H3" s="29">
        <v>5.42</v>
      </c>
      <c r="I3" s="28">
        <f>IF('BAN - EXT- Extension '!D7+'BAN - EXT- Extension '!F7&gt;0,'BAN - EXT- Extension '!D7+'BAN - EXT- Extension '!F7,0)</f>
        <v>655</v>
      </c>
      <c r="J3" s="29">
        <v>7.84</v>
      </c>
      <c r="K3" s="28">
        <f>IF('BAN Extension '!F7&gt;0,'BAN Extension '!F7,0)</f>
        <v>165</v>
      </c>
      <c r="L3" s="29">
        <v>7.84</v>
      </c>
      <c r="M3" s="34">
        <v>37</v>
      </c>
      <c r="N3" s="34">
        <v>79</v>
      </c>
    </row>
    <row r="4" spans="1:14">
      <c r="A4" s="26" t="s">
        <v>14</v>
      </c>
      <c r="B4" s="27">
        <f t="shared" ref="B4:B31" si="0">B3+1</f>
        <v>3</v>
      </c>
      <c r="C4" s="27">
        <v>11</v>
      </c>
      <c r="D4" s="27">
        <v>2025</v>
      </c>
      <c r="E4" s="28">
        <f>IF('BAN Extension '!D8&gt;0,'BAN Extension '!D8,0)</f>
        <v>5409</v>
      </c>
      <c r="F4" s="29">
        <v>0.2</v>
      </c>
      <c r="G4" s="28"/>
      <c r="H4" s="29">
        <v>5.42</v>
      </c>
      <c r="I4" s="28">
        <f>IF('BAN - EXT- Extension '!D8+'BAN - EXT- Extension '!F8&gt;0,'BAN - EXT- Extension '!D8+'BAN - EXT- Extension '!F8,0)</f>
        <v>486</v>
      </c>
      <c r="J4" s="29">
        <v>7.84</v>
      </c>
      <c r="K4" s="28">
        <f>IF('BAN Extension '!F8&gt;0,'BAN Extension '!F8,0)</f>
        <v>98</v>
      </c>
      <c r="L4" s="29">
        <v>7.84</v>
      </c>
      <c r="M4" s="34">
        <v>39</v>
      </c>
      <c r="N4" s="34">
        <v>87</v>
      </c>
    </row>
    <row r="5" spans="1:14">
      <c r="A5" s="26" t="s">
        <v>14</v>
      </c>
      <c r="B5" s="27">
        <f t="shared" si="0"/>
        <v>4</v>
      </c>
      <c r="C5" s="27">
        <v>11</v>
      </c>
      <c r="D5" s="27">
        <v>2025</v>
      </c>
      <c r="E5" s="28">
        <f>IF('BAN Extension '!D9&gt;0,'BAN Extension '!D9,0)</f>
        <v>5126</v>
      </c>
      <c r="F5" s="29">
        <v>0.2</v>
      </c>
      <c r="G5" s="28"/>
      <c r="H5" s="29">
        <v>5.42</v>
      </c>
      <c r="I5" s="28">
        <f>IF('BAN - EXT- Extension '!D9+'BAN - EXT- Extension '!F9&gt;0,'BAN - EXT- Extension '!D9+'BAN - EXT- Extension '!F9,0)</f>
        <v>584</v>
      </c>
      <c r="J5" s="29">
        <v>7.84</v>
      </c>
      <c r="K5" s="28">
        <f>IF('BAN Extension '!F9&gt;0,'BAN Extension '!F9,0)</f>
        <v>173</v>
      </c>
      <c r="L5" s="29">
        <v>7.84</v>
      </c>
      <c r="M5" s="34">
        <v>37</v>
      </c>
      <c r="N5" s="34">
        <v>89</v>
      </c>
    </row>
    <row r="6" spans="1:14">
      <c r="A6" s="26" t="s">
        <v>14</v>
      </c>
      <c r="B6" s="27">
        <f t="shared" si="0"/>
        <v>5</v>
      </c>
      <c r="C6" s="27">
        <v>11</v>
      </c>
      <c r="D6" s="27">
        <v>2025</v>
      </c>
      <c r="E6" s="28">
        <f>IF('BAN Extension '!D10&gt;0,'BAN Extension '!D10,0)</f>
        <v>5285</v>
      </c>
      <c r="F6" s="29">
        <v>0.2</v>
      </c>
      <c r="G6" s="28"/>
      <c r="H6" s="29">
        <v>5.42</v>
      </c>
      <c r="I6" s="28">
        <f>IF('BAN - EXT- Extension '!D10+'BAN - EXT- Extension '!F10&gt;0,'BAN - EXT- Extension '!D10+'BAN - EXT- Extension '!F10,0)</f>
        <v>542</v>
      </c>
      <c r="J6" s="29">
        <v>7.84</v>
      </c>
      <c r="K6" s="28">
        <f>IF('BAN Extension '!F10&gt;0,'BAN Extension '!F10,0)</f>
        <v>194</v>
      </c>
      <c r="L6" s="29">
        <v>7.84</v>
      </c>
      <c r="M6" s="34">
        <v>33</v>
      </c>
      <c r="N6" s="34">
        <v>84</v>
      </c>
    </row>
    <row r="7" spans="1:14">
      <c r="A7" s="26" t="s">
        <v>14</v>
      </c>
      <c r="B7" s="27">
        <f t="shared" si="0"/>
        <v>6</v>
      </c>
      <c r="C7" s="27">
        <v>11</v>
      </c>
      <c r="D7" s="27">
        <v>2025</v>
      </c>
      <c r="E7" s="28">
        <f>IF('BAN Extension '!D11&gt;0,'BAN Extension '!D11,0)</f>
        <v>5138</v>
      </c>
      <c r="F7" s="29">
        <v>0.2</v>
      </c>
      <c r="G7" s="28"/>
      <c r="H7" s="29">
        <v>5.42</v>
      </c>
      <c r="I7" s="28">
        <f>IF('BAN - EXT- Extension '!D11+'BAN - EXT- Extension '!F11&gt;0,'BAN - EXT- Extension '!D11+'BAN - EXT- Extension '!F11,0)</f>
        <v>571</v>
      </c>
      <c r="J7" s="29">
        <v>7.84</v>
      </c>
      <c r="K7" s="28">
        <f>IF('BAN Extension '!F11&gt;0,'BAN Extension '!F11,0)</f>
        <v>266</v>
      </c>
      <c r="L7" s="29">
        <v>7.84</v>
      </c>
      <c r="M7" s="34">
        <v>24</v>
      </c>
      <c r="N7" s="34">
        <v>62</v>
      </c>
    </row>
    <row r="8" spans="1:14">
      <c r="A8" s="26" t="s">
        <v>14</v>
      </c>
      <c r="B8" s="27">
        <f t="shared" si="0"/>
        <v>7</v>
      </c>
      <c r="C8" s="27">
        <v>11</v>
      </c>
      <c r="D8" s="27">
        <v>2025</v>
      </c>
      <c r="E8" s="28">
        <f>IF('BAN Extension '!D12&gt;0,'BAN Extension '!D12,0)</f>
        <v>5472</v>
      </c>
      <c r="F8" s="29">
        <v>0.2</v>
      </c>
      <c r="G8" s="28"/>
      <c r="H8" s="29">
        <v>5.42</v>
      </c>
      <c r="I8" s="28">
        <f>IF('BAN - EXT- Extension '!D12+'BAN - EXT- Extension '!F12&gt;0,'BAN - EXT- Extension '!D12+'BAN - EXT- Extension '!F12,0)</f>
        <v>638</v>
      </c>
      <c r="J8" s="29">
        <v>7.84</v>
      </c>
      <c r="K8" s="28">
        <f>IF('BAN Extension '!F12&gt;0,'BAN Extension '!F12,0)</f>
        <v>161</v>
      </c>
      <c r="L8" s="29">
        <v>7.84</v>
      </c>
      <c r="M8" s="34">
        <v>23</v>
      </c>
      <c r="N8" s="34">
        <v>61</v>
      </c>
    </row>
    <row r="9" spans="1:14">
      <c r="A9" s="26" t="s">
        <v>14</v>
      </c>
      <c r="B9" s="27">
        <f t="shared" si="0"/>
        <v>8</v>
      </c>
      <c r="C9" s="27">
        <v>11</v>
      </c>
      <c r="D9" s="27">
        <v>2025</v>
      </c>
      <c r="E9" s="28">
        <f>IF('BAN Extension '!D13&gt;0,'BAN Extension '!D13,0)</f>
        <v>5206</v>
      </c>
      <c r="F9" s="29">
        <v>0.2</v>
      </c>
      <c r="G9" s="28"/>
      <c r="H9" s="29">
        <v>5.42</v>
      </c>
      <c r="I9" s="28">
        <f>IF('BAN - EXT- Extension '!D13+'BAN - EXT- Extension '!F13&gt;0,'BAN - EXT- Extension '!D13+'BAN - EXT- Extension '!F13,0)</f>
        <v>463</v>
      </c>
      <c r="J9" s="29">
        <v>7.84</v>
      </c>
      <c r="K9" s="28">
        <f>IF('BAN Extension '!F13&gt;0,'BAN Extension '!F13,0)</f>
        <v>68</v>
      </c>
      <c r="L9" s="29">
        <v>7.84</v>
      </c>
      <c r="M9" s="34">
        <v>34</v>
      </c>
      <c r="N9" s="34">
        <v>84</v>
      </c>
    </row>
    <row r="10" spans="1:14">
      <c r="A10" s="26" t="s">
        <v>14</v>
      </c>
      <c r="B10" s="27">
        <f t="shared" si="0"/>
        <v>9</v>
      </c>
      <c r="C10" s="27">
        <v>11</v>
      </c>
      <c r="D10" s="27">
        <v>2025</v>
      </c>
      <c r="E10" s="28">
        <f>IF('BAN Extension '!D14&gt;0,'BAN Extension '!D14,0)</f>
        <v>5082</v>
      </c>
      <c r="F10" s="29">
        <v>0.2</v>
      </c>
      <c r="G10" s="28"/>
      <c r="H10" s="29">
        <v>5.42</v>
      </c>
      <c r="I10" s="28">
        <f>IF('BAN - EXT- Extension '!D14+'BAN - EXT- Extension '!F14&gt;0,'BAN - EXT- Extension '!D14+'BAN - EXT- Extension '!F14,0)</f>
        <v>603</v>
      </c>
      <c r="J10" s="29">
        <v>7.84</v>
      </c>
      <c r="K10" s="28">
        <f>IF('BAN Extension '!F14&gt;0,'BAN Extension '!F14,0)</f>
        <v>228</v>
      </c>
      <c r="L10" s="29">
        <v>7.84</v>
      </c>
      <c r="M10" s="34">
        <v>24</v>
      </c>
      <c r="N10" s="34">
        <v>54</v>
      </c>
    </row>
    <row r="11" spans="1:14">
      <c r="A11" s="26" t="s">
        <v>14</v>
      </c>
      <c r="B11" s="27">
        <f t="shared" si="0"/>
        <v>10</v>
      </c>
      <c r="C11" s="27">
        <v>11</v>
      </c>
      <c r="D11" s="27">
        <v>2025</v>
      </c>
      <c r="E11" s="28">
        <f>IF('BAN Extension '!D15&gt;0,'BAN Extension '!D15,0)</f>
        <v>2469</v>
      </c>
      <c r="F11" s="29">
        <v>0.2</v>
      </c>
      <c r="G11" s="28"/>
      <c r="H11" s="29">
        <v>5.42</v>
      </c>
      <c r="I11" s="28">
        <f>IF('BAN - EXT- Extension '!D15+'BAN - EXT- Extension '!F15&gt;0,'BAN - EXT- Extension '!D15+'BAN - EXT- Extension '!F15,0)</f>
        <v>524</v>
      </c>
      <c r="J11" s="29">
        <v>7.84</v>
      </c>
      <c r="K11" s="28">
        <f>IF('BAN Extension '!F15&gt;0,'BAN Extension '!F15,0)</f>
        <v>198</v>
      </c>
      <c r="L11" s="29">
        <v>7.84</v>
      </c>
      <c r="M11" s="34">
        <v>27</v>
      </c>
      <c r="N11" s="34">
        <v>62</v>
      </c>
    </row>
    <row r="12" spans="1:14">
      <c r="A12" s="26" t="s">
        <v>14</v>
      </c>
      <c r="B12" s="27">
        <f t="shared" si="0"/>
        <v>11</v>
      </c>
      <c r="C12" s="27">
        <v>11</v>
      </c>
      <c r="D12" s="27">
        <v>2025</v>
      </c>
      <c r="E12" s="28">
        <f>IF('BAN Extension '!D16&gt;0,'BAN Extension '!D16,0)</f>
        <v>2469</v>
      </c>
      <c r="F12" s="29">
        <v>0.2</v>
      </c>
      <c r="G12" s="28"/>
      <c r="H12" s="29">
        <v>5.42</v>
      </c>
      <c r="I12" s="28">
        <f>IF('BAN - EXT- Extension '!D16+'BAN - EXT- Extension '!F16&gt;0,'BAN - EXT- Extension '!D16+'BAN - EXT- Extension '!F16,0)</f>
        <v>469</v>
      </c>
      <c r="J12" s="29">
        <v>7.84</v>
      </c>
      <c r="K12" s="28">
        <f>IF('BAN Extension '!F16&gt;0,'BAN Extension '!F16,0)</f>
        <v>208</v>
      </c>
      <c r="L12" s="29">
        <v>7.84</v>
      </c>
      <c r="M12" s="34">
        <v>28</v>
      </c>
      <c r="N12" s="34">
        <v>68</v>
      </c>
    </row>
    <row r="13" spans="1:14">
      <c r="A13" s="26" t="s">
        <v>14</v>
      </c>
      <c r="B13" s="27">
        <f t="shared" si="0"/>
        <v>12</v>
      </c>
      <c r="C13" s="27">
        <v>11</v>
      </c>
      <c r="D13" s="27">
        <v>2025</v>
      </c>
      <c r="E13" s="28">
        <f>IF('BAN Extension '!D17&gt;0,'BAN Extension '!D17,0)</f>
        <v>10089</v>
      </c>
      <c r="F13" s="29">
        <v>0.2</v>
      </c>
      <c r="G13" s="28"/>
      <c r="H13" s="29">
        <v>5.42</v>
      </c>
      <c r="I13" s="28">
        <f>IF('BAN - EXT- Extension '!D17+'BAN - EXT- Extension '!F17&gt;0,'BAN - EXT- Extension '!D17+'BAN - EXT- Extension '!F17,0)</f>
        <v>604</v>
      </c>
      <c r="J13" s="29">
        <v>7.84</v>
      </c>
      <c r="K13" s="28">
        <f>IF('BAN Extension '!F17&gt;0,'BAN Extension '!F17,0)</f>
        <v>196</v>
      </c>
      <c r="L13" s="29">
        <v>7.84</v>
      </c>
      <c r="M13" s="34">
        <v>23</v>
      </c>
      <c r="N13" s="34">
        <v>48</v>
      </c>
    </row>
    <row r="14" spans="1:14">
      <c r="A14" s="26" t="s">
        <v>14</v>
      </c>
      <c r="B14" s="27">
        <f t="shared" si="0"/>
        <v>13</v>
      </c>
      <c r="C14" s="27">
        <v>11</v>
      </c>
      <c r="D14" s="27">
        <v>2025</v>
      </c>
      <c r="E14" s="28">
        <f>IF('BAN Extension '!D18&gt;0,'BAN Extension '!D18,0)</f>
        <v>5188</v>
      </c>
      <c r="F14" s="29">
        <v>0.2</v>
      </c>
      <c r="G14" s="28"/>
      <c r="H14" s="29">
        <v>5.42</v>
      </c>
      <c r="I14" s="28">
        <f>IF('BAN - EXT- Extension '!D18+'BAN - EXT- Extension '!F18&gt;0,'BAN - EXT- Extension '!D18+'BAN - EXT- Extension '!F18,0)</f>
        <v>534</v>
      </c>
      <c r="J14" s="29">
        <v>7.84</v>
      </c>
      <c r="K14" s="28">
        <f>IF('BAN Extension '!F18&gt;0,'BAN Extension '!F18,0)</f>
        <v>147</v>
      </c>
      <c r="L14" s="29">
        <v>7.84</v>
      </c>
      <c r="M14" s="34">
        <v>23</v>
      </c>
      <c r="N14" s="34">
        <v>47</v>
      </c>
    </row>
    <row r="15" spans="1:14">
      <c r="A15" s="26" t="s">
        <v>14</v>
      </c>
      <c r="B15" s="27">
        <f t="shared" si="0"/>
        <v>14</v>
      </c>
      <c r="C15" s="27">
        <v>11</v>
      </c>
      <c r="D15" s="27">
        <v>2025</v>
      </c>
      <c r="E15" s="28">
        <f>IF('BAN Extension '!D19&gt;0,'BAN Extension '!D19,0)</f>
        <v>5058</v>
      </c>
      <c r="F15" s="29">
        <v>0.2</v>
      </c>
      <c r="G15" s="28"/>
      <c r="H15" s="29">
        <v>5.42</v>
      </c>
      <c r="I15" s="28">
        <f>IF('BAN - EXT- Extension '!D19+'BAN - EXT- Extension '!F19&gt;0,'BAN - EXT- Extension '!D19+'BAN - EXT- Extension '!F19,0)</f>
        <v>576</v>
      </c>
      <c r="J15" s="29">
        <v>7.84</v>
      </c>
      <c r="K15" s="28">
        <f>IF('BAN Extension '!F19&gt;0,'BAN Extension '!F19,0)</f>
        <v>225</v>
      </c>
      <c r="L15" s="29">
        <v>7.84</v>
      </c>
      <c r="M15" s="34">
        <v>36</v>
      </c>
      <c r="N15" s="34">
        <v>87</v>
      </c>
    </row>
    <row r="16" spans="1:14">
      <c r="A16" s="26" t="s">
        <v>14</v>
      </c>
      <c r="B16" s="27">
        <f t="shared" si="0"/>
        <v>15</v>
      </c>
      <c r="C16" s="27">
        <v>11</v>
      </c>
      <c r="D16" s="27">
        <v>2025</v>
      </c>
      <c r="E16" s="28">
        <f>IF('BAN Extension '!D20&gt;0,'BAN Extension '!D20,0)</f>
        <v>4876</v>
      </c>
      <c r="F16" s="29">
        <v>0.2</v>
      </c>
      <c r="G16" s="28"/>
      <c r="H16" s="29">
        <v>5.42</v>
      </c>
      <c r="I16" s="28">
        <f>IF('BAN - EXT- Extension '!D20+'BAN - EXT- Extension '!F20&gt;0,'BAN - EXT- Extension '!D20+'BAN - EXT- Extension '!F20,0)</f>
        <v>602</v>
      </c>
      <c r="J16" s="29">
        <v>7.84</v>
      </c>
      <c r="K16" s="28">
        <f>IF('BAN Extension '!F20&gt;0,'BAN Extension '!F20,0)</f>
        <v>163</v>
      </c>
      <c r="L16" s="29">
        <v>7.84</v>
      </c>
      <c r="M16" s="34">
        <v>44</v>
      </c>
      <c r="N16" s="34">
        <v>120</v>
      </c>
    </row>
    <row r="17" spans="1:14">
      <c r="A17" s="26" t="s">
        <v>14</v>
      </c>
      <c r="B17" s="27">
        <f t="shared" si="0"/>
        <v>16</v>
      </c>
      <c r="C17" s="27">
        <v>11</v>
      </c>
      <c r="D17" s="27">
        <v>2025</v>
      </c>
      <c r="E17" s="28">
        <f>IF('BAN Extension '!D21&gt;0,'BAN Extension '!D21,0)</f>
        <v>5180</v>
      </c>
      <c r="F17" s="29">
        <v>0.2</v>
      </c>
      <c r="G17" s="28"/>
      <c r="H17" s="29">
        <v>5.42</v>
      </c>
      <c r="I17" s="28">
        <f>IF('BAN - EXT- Extension '!D21+'BAN - EXT- Extension '!F21&gt;0,'BAN - EXT- Extension '!D21+'BAN - EXT- Extension '!F21,0)</f>
        <v>770</v>
      </c>
      <c r="J17" s="29">
        <v>7.84</v>
      </c>
      <c r="K17" s="28">
        <f>IF('BAN Extension '!F21&gt;0,'BAN Extension '!F21,0)</f>
        <v>229</v>
      </c>
      <c r="L17" s="29">
        <v>7.84</v>
      </c>
      <c r="M17" s="34">
        <v>30</v>
      </c>
      <c r="N17" s="34">
        <v>77</v>
      </c>
    </row>
    <row r="18" spans="1:14">
      <c r="A18" s="26" t="s">
        <v>14</v>
      </c>
      <c r="B18" s="27">
        <f t="shared" si="0"/>
        <v>17</v>
      </c>
      <c r="C18" s="27">
        <v>11</v>
      </c>
      <c r="D18" s="27">
        <v>2025</v>
      </c>
      <c r="E18" s="28">
        <f>IF('BAN Extension '!D22&gt;0,'BAN Extension '!D22,0)</f>
        <v>8309</v>
      </c>
      <c r="F18" s="29">
        <v>0.2</v>
      </c>
      <c r="G18" s="28"/>
      <c r="H18" s="29">
        <v>5.42</v>
      </c>
      <c r="I18" s="28">
        <f>IF('BAN - EXT- Extension '!D22+'BAN - EXT- Extension '!F22&gt;0,'BAN - EXT- Extension '!D22+'BAN - EXT- Extension '!F22,0)</f>
        <v>473</v>
      </c>
      <c r="J18" s="29">
        <v>7.84</v>
      </c>
      <c r="K18" s="28">
        <f>IF('BAN Extension '!F22&gt;0,'BAN Extension '!F22,0)</f>
        <v>41</v>
      </c>
      <c r="L18" s="29">
        <v>7.84</v>
      </c>
      <c r="M18" s="34">
        <v>29</v>
      </c>
      <c r="N18" s="34">
        <v>66</v>
      </c>
    </row>
    <row r="19" spans="1:14">
      <c r="A19" s="26" t="s">
        <v>14</v>
      </c>
      <c r="B19" s="27">
        <f t="shared" si="0"/>
        <v>18</v>
      </c>
      <c r="C19" s="27">
        <v>11</v>
      </c>
      <c r="D19" s="27">
        <v>2025</v>
      </c>
      <c r="E19" s="28">
        <f>IF('BAN Extension '!D23&gt;0,'BAN Extension '!D23,0)</f>
        <v>6473</v>
      </c>
      <c r="F19" s="29">
        <v>0.2</v>
      </c>
      <c r="G19" s="28"/>
      <c r="H19" s="29">
        <v>5.42</v>
      </c>
      <c r="I19" s="28">
        <f>IF('BAN - EXT- Extension '!D23+'BAN - EXT- Extension '!F23&gt;0,'BAN - EXT- Extension '!D23+'BAN - EXT- Extension '!F23,0)</f>
        <v>451</v>
      </c>
      <c r="J19" s="29">
        <v>7.84</v>
      </c>
      <c r="K19" s="28">
        <f>IF('BAN Extension '!F23&gt;0,'BAN Extension '!F23,0)</f>
        <v>49</v>
      </c>
      <c r="L19" s="29">
        <v>7.84</v>
      </c>
      <c r="M19" s="34">
        <v>32</v>
      </c>
      <c r="N19" s="34">
        <v>79</v>
      </c>
    </row>
    <row r="20" spans="1:14">
      <c r="A20" s="26" t="s">
        <v>14</v>
      </c>
      <c r="B20" s="27">
        <f t="shared" si="0"/>
        <v>19</v>
      </c>
      <c r="C20" s="27">
        <v>11</v>
      </c>
      <c r="D20" s="27">
        <v>2025</v>
      </c>
      <c r="E20" s="28">
        <f>IF('BAN Extension '!D24&gt;0,'BAN Extension '!D24,0)</f>
        <v>0</v>
      </c>
      <c r="F20" s="29">
        <v>0.2</v>
      </c>
      <c r="G20" s="28"/>
      <c r="H20" s="29">
        <v>5.42</v>
      </c>
      <c r="I20" s="28">
        <f>IF('BAN - EXT- Extension '!D24+'BAN - EXT- Extension '!F24&gt;0,'BAN - EXT- Extension '!D24+'BAN - EXT- Extension '!F24,0)</f>
        <v>543</v>
      </c>
      <c r="J20" s="29">
        <v>7.84</v>
      </c>
      <c r="K20" s="28">
        <f>IF('BAN Extension '!F24&gt;0,'BAN Extension '!F24,0)</f>
        <v>232</v>
      </c>
      <c r="L20" s="29">
        <v>7.84</v>
      </c>
      <c r="M20" s="34">
        <v>33</v>
      </c>
      <c r="N20" s="34">
        <v>78</v>
      </c>
    </row>
    <row r="21" spans="1:14">
      <c r="A21" s="26" t="s">
        <v>14</v>
      </c>
      <c r="B21" s="27">
        <f t="shared" si="0"/>
        <v>20</v>
      </c>
      <c r="C21" s="27">
        <v>11</v>
      </c>
      <c r="D21" s="27">
        <v>2025</v>
      </c>
      <c r="E21" s="28">
        <f>IF('BAN Extension '!D25&gt;0,'BAN Extension '!D25,0)</f>
        <v>5271</v>
      </c>
      <c r="F21" s="29">
        <v>0.2</v>
      </c>
      <c r="G21" s="28"/>
      <c r="H21" s="29">
        <v>5.42</v>
      </c>
      <c r="I21" s="28">
        <f>IF('BAN - EXT- Extension '!D25+'BAN - EXT- Extension '!F25&gt;0,'BAN - EXT- Extension '!D25+'BAN - EXT- Extension '!F25,0)</f>
        <v>853</v>
      </c>
      <c r="J21" s="29">
        <v>7.84</v>
      </c>
      <c r="K21" s="28">
        <f>IF('BAN Extension '!F25&gt;0,'BAN Extension '!F25,0)</f>
        <v>212</v>
      </c>
      <c r="L21" s="29">
        <v>7.84</v>
      </c>
      <c r="M21" s="34">
        <v>31</v>
      </c>
      <c r="N21" s="34">
        <v>76</v>
      </c>
    </row>
    <row r="22" spans="1:14">
      <c r="A22" s="26" t="s">
        <v>14</v>
      </c>
      <c r="B22" s="27">
        <f t="shared" si="0"/>
        <v>21</v>
      </c>
      <c r="C22" s="27">
        <v>11</v>
      </c>
      <c r="D22" s="27">
        <v>2025</v>
      </c>
      <c r="E22" s="28">
        <f>IF('BAN Extension '!D26&gt;0,'BAN Extension '!D26,0)</f>
        <v>5284</v>
      </c>
      <c r="F22" s="29">
        <v>0.2</v>
      </c>
      <c r="G22" s="28"/>
      <c r="H22" s="29">
        <v>5.42</v>
      </c>
      <c r="I22" s="28">
        <f>IF('BAN - EXT- Extension '!D26+'BAN - EXT- Extension '!F26&gt;0,'BAN - EXT- Extension '!D26+'BAN - EXT- Extension '!F26,0)</f>
        <v>503</v>
      </c>
      <c r="J22" s="29">
        <v>7.84</v>
      </c>
      <c r="K22" s="28">
        <f>IF('BAN Extension '!F26&gt;0,'BAN Extension '!F26,0)</f>
        <v>159</v>
      </c>
      <c r="L22" s="29">
        <v>7.84</v>
      </c>
      <c r="M22" s="34">
        <v>30</v>
      </c>
      <c r="N22" s="34">
        <v>76</v>
      </c>
    </row>
    <row r="23" spans="1:14">
      <c r="A23" s="26" t="s">
        <v>14</v>
      </c>
      <c r="B23" s="27">
        <f t="shared" si="0"/>
        <v>22</v>
      </c>
      <c r="C23" s="27">
        <v>11</v>
      </c>
      <c r="D23" s="27">
        <v>2025</v>
      </c>
      <c r="E23" s="28">
        <f>IF('BAN Extension '!D27&gt;0,'BAN Extension '!D27,0)</f>
        <v>5168</v>
      </c>
      <c r="F23" s="29">
        <v>0.2</v>
      </c>
      <c r="G23" s="28"/>
      <c r="H23" s="29">
        <v>5.42</v>
      </c>
      <c r="I23" s="28">
        <f>IF('BAN - EXT- Extension '!D27+'BAN - EXT- Extension '!F27&gt;0,'BAN - EXT- Extension '!D27+'BAN - EXT- Extension '!F27,0)</f>
        <v>549</v>
      </c>
      <c r="J23" s="29">
        <v>7.84</v>
      </c>
      <c r="K23" s="28">
        <f>IF('BAN Extension '!F27&gt;0,'BAN Extension '!F27,0)</f>
        <v>188</v>
      </c>
      <c r="L23" s="29">
        <v>7.84</v>
      </c>
      <c r="M23" s="34">
        <v>30</v>
      </c>
      <c r="N23" s="34">
        <v>80</v>
      </c>
    </row>
    <row r="24" spans="1:14">
      <c r="A24" s="26" t="s">
        <v>14</v>
      </c>
      <c r="B24" s="27">
        <f t="shared" si="0"/>
        <v>23</v>
      </c>
      <c r="C24" s="27">
        <v>11</v>
      </c>
      <c r="D24" s="27">
        <v>2025</v>
      </c>
      <c r="E24" s="28">
        <f>IF('BAN Extension '!D28&gt;0,'BAN Extension '!D28,0)</f>
        <v>4891</v>
      </c>
      <c r="F24" s="29">
        <v>0.2</v>
      </c>
      <c r="G24" s="28"/>
      <c r="H24" s="29">
        <v>5.42</v>
      </c>
      <c r="I24" s="28">
        <f>IF('BAN - EXT- Extension '!D28+'BAN - EXT- Extension '!F28&gt;0,'BAN - EXT- Extension '!D28+'BAN - EXT- Extension '!F28,0)</f>
        <v>618</v>
      </c>
      <c r="J24" s="29">
        <v>7.84</v>
      </c>
      <c r="K24" s="28">
        <f>IF('BAN Extension '!F28&gt;0,'BAN Extension '!F28,0)</f>
        <v>204</v>
      </c>
      <c r="L24" s="29">
        <v>7.84</v>
      </c>
      <c r="M24" s="34">
        <v>25</v>
      </c>
      <c r="N24" s="34">
        <v>68</v>
      </c>
    </row>
    <row r="25" spans="1:14">
      <c r="A25" s="26" t="s">
        <v>14</v>
      </c>
      <c r="B25" s="27">
        <f t="shared" si="0"/>
        <v>24</v>
      </c>
      <c r="C25" s="27">
        <v>11</v>
      </c>
      <c r="D25" s="27">
        <v>2025</v>
      </c>
      <c r="E25" s="28">
        <f>IF('BAN Extension '!D29&gt;0,'BAN Extension '!D29,0)</f>
        <v>4737</v>
      </c>
      <c r="F25" s="29">
        <v>0.2</v>
      </c>
      <c r="G25" s="28"/>
      <c r="H25" s="29">
        <v>5.42</v>
      </c>
      <c r="I25" s="28">
        <f>IF('BAN - EXT- Extension '!D29+'BAN - EXT- Extension '!F29&gt;0,'BAN - EXT- Extension '!D29+'BAN - EXT- Extension '!F29,0)</f>
        <v>406</v>
      </c>
      <c r="J25" s="29">
        <v>7.84</v>
      </c>
      <c r="K25" s="28">
        <f>IF('BAN Extension '!F29&gt;0,'BAN Extension '!F29,0)</f>
        <v>228</v>
      </c>
      <c r="L25" s="29">
        <v>7.84</v>
      </c>
      <c r="M25" s="34">
        <v>18</v>
      </c>
      <c r="N25" s="34">
        <v>40</v>
      </c>
    </row>
    <row r="26" spans="1:14">
      <c r="A26" s="26" t="s">
        <v>14</v>
      </c>
      <c r="B26" s="27">
        <f>B25+1</f>
        <v>25</v>
      </c>
      <c r="C26" s="27">
        <v>11</v>
      </c>
      <c r="D26" s="27">
        <v>2025</v>
      </c>
      <c r="E26" s="28">
        <f>IF('BAN Extension '!D30&gt;0,'BAN Extension '!D30,0)</f>
        <v>4992</v>
      </c>
      <c r="F26" s="29">
        <v>0.2</v>
      </c>
      <c r="G26" s="28"/>
      <c r="H26" s="29">
        <v>5.42</v>
      </c>
      <c r="I26" s="28">
        <f>IF('BAN - EXT- Extension '!D30+'BAN - EXT- Extension '!F30&gt;0,'BAN - EXT- Extension '!D30+'BAN - EXT- Extension '!F30,0)</f>
        <v>602</v>
      </c>
      <c r="J26" s="29">
        <v>7.84</v>
      </c>
      <c r="K26" s="28">
        <f>IF('BAN Extension '!F30&gt;0,'BAN Extension '!F30,0)</f>
        <v>170</v>
      </c>
      <c r="L26" s="29">
        <v>7.84</v>
      </c>
      <c r="M26" s="34">
        <v>24</v>
      </c>
      <c r="N26" s="34">
        <v>55</v>
      </c>
    </row>
    <row r="27" spans="1:14">
      <c r="A27" s="26" t="s">
        <v>14</v>
      </c>
      <c r="B27" s="27">
        <f t="shared" si="0"/>
        <v>26</v>
      </c>
      <c r="C27" s="27">
        <v>11</v>
      </c>
      <c r="D27" s="27">
        <v>2025</v>
      </c>
      <c r="E27" s="28">
        <f>IF('BAN Extension '!D31&gt;0,'BAN Extension '!D31,0)</f>
        <v>4903</v>
      </c>
      <c r="F27" s="29">
        <v>0.2</v>
      </c>
      <c r="G27" s="28"/>
      <c r="H27" s="29">
        <v>5.42</v>
      </c>
      <c r="I27" s="28">
        <f>IF('BAN - EXT- Extension '!D31+'BAN - EXT- Extension '!F31&gt;0,'BAN - EXT- Extension '!D31+'BAN - EXT- Extension '!F31,0)</f>
        <v>542</v>
      </c>
      <c r="J27" s="29">
        <v>7.84</v>
      </c>
      <c r="K27" s="28">
        <f>IF('BAN Extension '!F31&gt;0,'BAN Extension '!F31,0)</f>
        <v>192</v>
      </c>
      <c r="L27" s="29">
        <v>7.84</v>
      </c>
      <c r="M27" s="34">
        <v>23</v>
      </c>
      <c r="N27" s="34">
        <v>61</v>
      </c>
    </row>
    <row r="28" spans="1:14">
      <c r="A28" s="26" t="s">
        <v>14</v>
      </c>
      <c r="B28" s="27">
        <f t="shared" si="0"/>
        <v>27</v>
      </c>
      <c r="C28" s="27">
        <v>11</v>
      </c>
      <c r="D28" s="27">
        <v>2025</v>
      </c>
      <c r="E28" s="28">
        <f>IF('BAN Extension '!D32&gt;0,'BAN Extension '!D32,0)</f>
        <v>4910</v>
      </c>
      <c r="F28" s="29">
        <v>0.2</v>
      </c>
      <c r="G28" s="28"/>
      <c r="H28" s="29">
        <v>5.42</v>
      </c>
      <c r="I28" s="28">
        <f>IF('BAN - EXT- Extension '!D32+'BAN - EXT- Extension '!F32&gt;0,'BAN - EXT- Extension '!D32+'BAN - EXT- Extension '!F32,0)</f>
        <v>558</v>
      </c>
      <c r="J28" s="29">
        <v>7.84</v>
      </c>
      <c r="K28" s="28">
        <f>IF('BAN Extension '!F32&gt;0,'BAN Extension '!F32,0)</f>
        <v>221</v>
      </c>
      <c r="L28" s="29">
        <v>7.84</v>
      </c>
      <c r="M28" s="34">
        <v>29</v>
      </c>
      <c r="N28" s="34">
        <v>59</v>
      </c>
    </row>
    <row r="29" spans="1:14">
      <c r="A29" s="26" t="s">
        <v>14</v>
      </c>
      <c r="B29" s="27">
        <f t="shared" si="0"/>
        <v>28</v>
      </c>
      <c r="C29" s="27">
        <v>11</v>
      </c>
      <c r="D29" s="27">
        <v>2025</v>
      </c>
      <c r="E29" s="28">
        <f>IF('BAN Extension '!D33&gt;0,'BAN Extension '!D33,0)</f>
        <v>4984</v>
      </c>
      <c r="F29" s="29">
        <v>0.2</v>
      </c>
      <c r="G29" s="28"/>
      <c r="H29" s="29">
        <v>5.42</v>
      </c>
      <c r="I29" s="28">
        <f>IF('BAN - EXT- Extension '!D33+'BAN - EXT- Extension '!F33&gt;0,'BAN - EXT- Extension '!D33+'BAN - EXT- Extension '!F33,0)</f>
        <v>562</v>
      </c>
      <c r="J29" s="29">
        <v>7.84</v>
      </c>
      <c r="K29" s="28">
        <f>IF('BAN Extension '!F33&gt;0,'BAN Extension '!F33,0)</f>
        <v>110</v>
      </c>
      <c r="L29" s="29">
        <v>7.84</v>
      </c>
      <c r="M29" s="34">
        <v>25</v>
      </c>
      <c r="N29" s="34">
        <v>65</v>
      </c>
    </row>
    <row r="30" spans="1:14">
      <c r="A30" s="26" t="s">
        <v>14</v>
      </c>
      <c r="B30" s="27">
        <f t="shared" si="0"/>
        <v>29</v>
      </c>
      <c r="C30" s="27">
        <v>11</v>
      </c>
      <c r="D30" s="27">
        <v>2025</v>
      </c>
      <c r="E30" s="28">
        <f>IF('BAN Extension '!D34&gt;0,'BAN Extension '!D34,0)</f>
        <v>4675</v>
      </c>
      <c r="F30" s="29">
        <v>0.2</v>
      </c>
      <c r="G30" s="28"/>
      <c r="H30" s="29">
        <v>5.42</v>
      </c>
      <c r="I30" s="28">
        <f>IF('BAN - EXT- Extension '!D34+'BAN - EXT- Extension '!F34&gt;0,'BAN - EXT- Extension '!D34+'BAN - EXT- Extension '!F34,0)</f>
        <v>506</v>
      </c>
      <c r="J30" s="29">
        <v>7.84</v>
      </c>
      <c r="K30" s="28">
        <f>IF('BAN Extension '!F34&gt;0,'BAN Extension '!F34,0)</f>
        <v>64</v>
      </c>
      <c r="L30" s="29">
        <v>7.84</v>
      </c>
      <c r="M30" s="34">
        <v>26</v>
      </c>
      <c r="N30" s="34">
        <v>71</v>
      </c>
    </row>
    <row r="31" spans="1:14">
      <c r="A31" s="26" t="s">
        <v>14</v>
      </c>
      <c r="B31" s="27">
        <f t="shared" si="0"/>
        <v>30</v>
      </c>
      <c r="C31" s="27">
        <v>11</v>
      </c>
      <c r="D31" s="27">
        <v>2025</v>
      </c>
      <c r="E31" s="28">
        <f>IF('BAN Extension '!D35&gt;0,'BAN Extension '!D35,0)</f>
        <v>0</v>
      </c>
      <c r="F31" s="29">
        <v>0.2</v>
      </c>
      <c r="G31" s="28"/>
      <c r="H31" s="29">
        <v>5.42</v>
      </c>
      <c r="I31" s="28">
        <f>IF('BAN - EXT- Extension '!D35+'BAN - EXT- Extension '!F35&gt;0,'BAN - EXT- Extension '!D35+'BAN - EXT- Extension '!F35,0)</f>
        <v>0</v>
      </c>
      <c r="J31" s="29">
        <v>7.84</v>
      </c>
      <c r="K31" s="28">
        <f>IF('BAN Extension '!F35&gt;0,'BAN Extension '!F35,0)</f>
        <v>0</v>
      </c>
      <c r="L31" s="29">
        <v>7.84</v>
      </c>
      <c r="M31" s="34">
        <v>27</v>
      </c>
      <c r="N31" s="34">
        <v>78</v>
      </c>
    </row>
    <row r="32" spans="1:14">
      <c r="G32" s="28"/>
      <c r="I32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opLeftCell="A21" zoomScale="85" zoomScaleNormal="85" zoomScaleSheetLayoutView="80" workbookViewId="0">
      <selection activeCell="G29" sqref="G29"/>
    </sheetView>
  </sheetViews>
  <sheetFormatPr defaultColWidth="9" defaultRowHeight="15"/>
  <cols>
    <col min="1" max="2" width="24" style="1" customWidth="1"/>
    <col min="3" max="3" width="36.85546875" style="1" customWidth="1"/>
    <col min="4" max="4" width="41" style="1" customWidth="1"/>
    <col min="5" max="5" width="48.28515625" style="1" customWidth="1"/>
    <col min="6" max="6" width="44.42578125" style="1" customWidth="1"/>
    <col min="7" max="7" width="46.42578125" style="1" customWidth="1"/>
    <col min="8" max="8" width="45.140625" style="1" customWidth="1"/>
  </cols>
  <sheetData>
    <row r="1" spans="1:8" ht="57.75" customHeight="1">
      <c r="A1" s="35" t="s">
        <v>15</v>
      </c>
      <c r="B1" s="36"/>
      <c r="C1" s="36"/>
      <c r="D1" s="36"/>
      <c r="E1" s="36"/>
      <c r="F1" s="36"/>
      <c r="G1" s="36"/>
      <c r="H1" s="36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37" t="s">
        <v>19</v>
      </c>
      <c r="H2" s="37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39"/>
      <c r="H3" s="39"/>
    </row>
    <row r="4" spans="1:8" ht="22.5" customHeight="1">
      <c r="A4" s="37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39"/>
      <c r="H4" s="39"/>
    </row>
    <row r="5" spans="1:8" ht="22.5" customHeight="1">
      <c r="A5" s="38"/>
      <c r="B5" s="6"/>
      <c r="C5" s="5" t="s">
        <v>28</v>
      </c>
      <c r="D5" s="5" t="s">
        <v>28</v>
      </c>
      <c r="E5" s="14" t="s">
        <v>28</v>
      </c>
      <c r="F5" s="5" t="s">
        <v>28</v>
      </c>
      <c r="G5" s="38"/>
      <c r="H5" s="38"/>
    </row>
    <row r="6" spans="1:8" ht="35.25" customHeight="1">
      <c r="A6" s="8">
        <v>45962</v>
      </c>
      <c r="B6" s="8"/>
      <c r="C6" s="10">
        <v>123766</v>
      </c>
      <c r="D6" s="15">
        <f>C7-C6</f>
        <v>141</v>
      </c>
      <c r="E6" s="16">
        <v>328608</v>
      </c>
      <c r="F6" s="16">
        <f>E7-E6</f>
        <v>435</v>
      </c>
      <c r="G6" s="10" t="s">
        <v>29</v>
      </c>
      <c r="H6" s="10"/>
    </row>
    <row r="7" spans="1:8" ht="35.25" customHeight="1">
      <c r="A7" s="8">
        <v>45963</v>
      </c>
      <c r="B7" s="8"/>
      <c r="C7" s="10">
        <v>123907</v>
      </c>
      <c r="D7" s="15">
        <f t="shared" ref="D7:D13" si="0">C8-C7</f>
        <v>100</v>
      </c>
      <c r="E7" s="16">
        <v>329043</v>
      </c>
      <c r="F7" s="16">
        <f t="shared" ref="F7:F35" si="1">E8-E7</f>
        <v>555</v>
      </c>
      <c r="G7" s="10"/>
      <c r="H7" s="10"/>
    </row>
    <row r="8" spans="1:8" ht="35.25" customHeight="1">
      <c r="A8" s="8">
        <v>45964</v>
      </c>
      <c r="B8" s="8"/>
      <c r="C8" s="10">
        <v>124007</v>
      </c>
      <c r="D8" s="15">
        <f t="shared" si="0"/>
        <v>78</v>
      </c>
      <c r="E8" s="16">
        <v>329598</v>
      </c>
      <c r="F8" s="16">
        <f t="shared" si="1"/>
        <v>408</v>
      </c>
      <c r="G8" s="10"/>
      <c r="H8" s="10"/>
    </row>
    <row r="9" spans="1:8" ht="35.25" customHeight="1">
      <c r="A9" s="8">
        <v>45965</v>
      </c>
      <c r="B9" s="8"/>
      <c r="C9" s="10">
        <v>124085</v>
      </c>
      <c r="D9" s="15">
        <f t="shared" si="0"/>
        <v>93</v>
      </c>
      <c r="E9" s="16">
        <v>330006</v>
      </c>
      <c r="F9" s="16">
        <f t="shared" si="1"/>
        <v>491</v>
      </c>
      <c r="G9" s="10"/>
      <c r="H9" s="10"/>
    </row>
    <row r="10" spans="1:8" ht="35.25" customHeight="1">
      <c r="A10" s="8">
        <v>45966</v>
      </c>
      <c r="B10" s="8"/>
      <c r="C10" s="10">
        <v>124178</v>
      </c>
      <c r="D10" s="15">
        <f t="shared" si="0"/>
        <v>70</v>
      </c>
      <c r="E10" s="16">
        <v>330497</v>
      </c>
      <c r="F10" s="16">
        <f t="shared" si="1"/>
        <v>472</v>
      </c>
      <c r="G10" s="10"/>
      <c r="H10" s="10"/>
    </row>
    <row r="11" spans="1:8" ht="35.25" customHeight="1">
      <c r="A11" s="8">
        <v>45967</v>
      </c>
      <c r="B11" s="8"/>
      <c r="C11" s="10">
        <v>124248</v>
      </c>
      <c r="D11" s="15">
        <f t="shared" si="0"/>
        <v>76</v>
      </c>
      <c r="E11" s="16">
        <v>330969</v>
      </c>
      <c r="F11" s="16">
        <f t="shared" si="1"/>
        <v>495</v>
      </c>
      <c r="G11" s="10"/>
      <c r="H11" s="10"/>
    </row>
    <row r="12" spans="1:8" ht="35.25" customHeight="1" thickBot="1">
      <c r="A12" s="8">
        <v>45968</v>
      </c>
      <c r="B12" s="8"/>
      <c r="C12" s="10">
        <v>124324</v>
      </c>
      <c r="D12" s="15">
        <f t="shared" si="0"/>
        <v>108</v>
      </c>
      <c r="E12" s="16">
        <v>331464</v>
      </c>
      <c r="F12" s="16">
        <f t="shared" si="1"/>
        <v>530</v>
      </c>
      <c r="G12" s="10"/>
      <c r="H12" s="10"/>
    </row>
    <row r="13" spans="1:8" ht="35.25" customHeight="1" thickBot="1">
      <c r="A13" s="8">
        <v>45969</v>
      </c>
      <c r="B13" s="8"/>
      <c r="C13" s="17">
        <v>124432</v>
      </c>
      <c r="D13" s="15">
        <f t="shared" si="0"/>
        <v>74</v>
      </c>
      <c r="E13" s="18">
        <v>331994</v>
      </c>
      <c r="F13" s="16">
        <f t="shared" si="1"/>
        <v>389</v>
      </c>
      <c r="G13" s="10"/>
      <c r="H13" s="10"/>
    </row>
    <row r="14" spans="1:8" ht="35.25" customHeight="1" thickBot="1">
      <c r="A14" s="8">
        <v>45970</v>
      </c>
      <c r="B14" s="8"/>
      <c r="C14" s="15">
        <v>124506</v>
      </c>
      <c r="D14" s="15">
        <f t="shared" ref="D14:D21" si="2">C15-C14</f>
        <v>87</v>
      </c>
      <c r="E14" s="16">
        <v>332383</v>
      </c>
      <c r="F14" s="16">
        <f t="shared" si="1"/>
        <v>516</v>
      </c>
      <c r="G14" s="19"/>
      <c r="H14" s="19"/>
    </row>
    <row r="15" spans="1:8" ht="35.25" customHeight="1">
      <c r="A15" s="8">
        <v>45971</v>
      </c>
      <c r="B15" s="8"/>
      <c r="C15" s="15">
        <v>124593</v>
      </c>
      <c r="D15" s="15">
        <f t="shared" si="2"/>
        <v>83</v>
      </c>
      <c r="E15" s="16">
        <v>332899</v>
      </c>
      <c r="F15" s="16">
        <f t="shared" si="1"/>
        <v>441</v>
      </c>
      <c r="G15" s="19"/>
      <c r="H15" s="19"/>
    </row>
    <row r="16" spans="1:8" ht="35.25" customHeight="1">
      <c r="A16" s="8">
        <v>45972</v>
      </c>
      <c r="B16" s="8"/>
      <c r="C16" s="15">
        <v>124676</v>
      </c>
      <c r="D16" s="15">
        <f t="shared" si="2"/>
        <v>83</v>
      </c>
      <c r="E16" s="16">
        <v>333340</v>
      </c>
      <c r="F16" s="16">
        <f t="shared" si="1"/>
        <v>386</v>
      </c>
      <c r="G16" s="19"/>
      <c r="H16" s="19"/>
    </row>
    <row r="17" spans="1:8" ht="35.25" customHeight="1">
      <c r="A17" s="8">
        <v>45973</v>
      </c>
      <c r="B17" s="8"/>
      <c r="C17" s="15">
        <v>124759</v>
      </c>
      <c r="D17" s="15">
        <f t="shared" si="2"/>
        <v>104</v>
      </c>
      <c r="E17" s="16">
        <v>333726</v>
      </c>
      <c r="F17" s="16">
        <f t="shared" si="1"/>
        <v>500</v>
      </c>
      <c r="G17" s="19"/>
      <c r="H17" s="19"/>
    </row>
    <row r="18" spans="1:8" ht="35.25" customHeight="1" thickBot="1">
      <c r="A18" s="8">
        <v>45974</v>
      </c>
      <c r="B18" s="8"/>
      <c r="C18" s="15">
        <v>124863</v>
      </c>
      <c r="D18" s="15">
        <f t="shared" si="2"/>
        <v>97</v>
      </c>
      <c r="E18" s="16">
        <v>334226</v>
      </c>
      <c r="F18" s="16">
        <f t="shared" si="1"/>
        <v>437</v>
      </c>
      <c r="G18" s="19"/>
      <c r="H18" s="19"/>
    </row>
    <row r="19" spans="1:8" ht="35.25" customHeight="1" thickBot="1">
      <c r="A19" s="8">
        <v>45975</v>
      </c>
      <c r="B19" s="8"/>
      <c r="C19" s="15">
        <v>124960</v>
      </c>
      <c r="D19" s="15">
        <f t="shared" si="2"/>
        <v>98</v>
      </c>
      <c r="E19" s="16">
        <v>334663</v>
      </c>
      <c r="F19" s="16">
        <f t="shared" si="1"/>
        <v>478</v>
      </c>
      <c r="G19" s="19"/>
      <c r="H19" s="19"/>
    </row>
    <row r="20" spans="1:8" ht="35.25" customHeight="1" thickBot="1">
      <c r="A20" s="8">
        <v>45976</v>
      </c>
      <c r="B20" s="8"/>
      <c r="C20" s="15">
        <v>125058</v>
      </c>
      <c r="D20" s="15">
        <f t="shared" si="2"/>
        <v>102</v>
      </c>
      <c r="E20" s="16">
        <v>335141</v>
      </c>
      <c r="F20" s="16">
        <f t="shared" si="1"/>
        <v>500</v>
      </c>
      <c r="G20" s="19"/>
      <c r="H20" s="19"/>
    </row>
    <row r="21" spans="1:8" ht="35.25" customHeight="1" thickBot="1">
      <c r="A21" s="8">
        <v>45977</v>
      </c>
      <c r="B21" s="8"/>
      <c r="C21" s="9">
        <v>125160</v>
      </c>
      <c r="D21" s="15">
        <f t="shared" si="2"/>
        <v>123</v>
      </c>
      <c r="E21" s="16">
        <v>335641</v>
      </c>
      <c r="F21" s="16">
        <f t="shared" si="1"/>
        <v>647</v>
      </c>
      <c r="G21" s="10"/>
      <c r="H21" s="10"/>
    </row>
    <row r="22" spans="1:8" ht="35.25" customHeight="1">
      <c r="A22" s="8">
        <v>45978</v>
      </c>
      <c r="B22" s="8"/>
      <c r="C22" s="9">
        <v>125283</v>
      </c>
      <c r="D22" s="15">
        <f t="shared" ref="D22:D27" si="3">C23-C22</f>
        <v>78</v>
      </c>
      <c r="E22" s="16">
        <v>336288</v>
      </c>
      <c r="F22" s="16">
        <f t="shared" si="1"/>
        <v>395</v>
      </c>
      <c r="G22" s="10"/>
      <c r="H22" s="10"/>
    </row>
    <row r="23" spans="1:8" ht="35.25" customHeight="1">
      <c r="A23" s="8">
        <v>45979</v>
      </c>
      <c r="B23" s="8"/>
      <c r="C23" s="9">
        <v>125361</v>
      </c>
      <c r="D23" s="15">
        <f t="shared" si="3"/>
        <v>81</v>
      </c>
      <c r="E23" s="16">
        <v>336683</v>
      </c>
      <c r="F23" s="16">
        <f t="shared" si="1"/>
        <v>370</v>
      </c>
      <c r="G23" s="10"/>
      <c r="H23" s="10"/>
    </row>
    <row r="24" spans="1:8" ht="35.25" customHeight="1">
      <c r="A24" s="8">
        <v>45980</v>
      </c>
      <c r="B24" s="8"/>
      <c r="C24" s="9">
        <v>125442</v>
      </c>
      <c r="D24" s="15">
        <f t="shared" si="3"/>
        <v>89</v>
      </c>
      <c r="E24" s="16">
        <v>337053</v>
      </c>
      <c r="F24" s="16">
        <f t="shared" si="1"/>
        <v>454</v>
      </c>
      <c r="G24" s="10"/>
      <c r="H24" s="10"/>
    </row>
    <row r="25" spans="1:8" ht="35.25" customHeight="1">
      <c r="A25" s="8">
        <v>45981</v>
      </c>
      <c r="B25" s="8"/>
      <c r="C25" s="15">
        <v>125531</v>
      </c>
      <c r="D25" s="15">
        <f t="shared" si="3"/>
        <v>119</v>
      </c>
      <c r="E25" s="16">
        <v>337507</v>
      </c>
      <c r="F25" s="16">
        <f t="shared" si="1"/>
        <v>734</v>
      </c>
      <c r="G25" s="19"/>
      <c r="H25" s="19"/>
    </row>
    <row r="26" spans="1:8" ht="35.25" customHeight="1">
      <c r="A26" s="8">
        <v>45982</v>
      </c>
      <c r="B26" s="8"/>
      <c r="C26" s="15">
        <v>125650</v>
      </c>
      <c r="D26" s="15">
        <f t="shared" si="3"/>
        <v>81</v>
      </c>
      <c r="E26" s="16">
        <v>338241</v>
      </c>
      <c r="F26" s="16">
        <f t="shared" si="1"/>
        <v>422</v>
      </c>
      <c r="G26" s="19"/>
      <c r="H26" s="19"/>
    </row>
    <row r="27" spans="1:8" ht="35.25" customHeight="1">
      <c r="A27" s="8">
        <v>45983</v>
      </c>
      <c r="B27" s="8"/>
      <c r="C27" s="15">
        <v>125731</v>
      </c>
      <c r="D27" s="15">
        <f t="shared" si="3"/>
        <v>87</v>
      </c>
      <c r="E27" s="16">
        <v>338663</v>
      </c>
      <c r="F27" s="16">
        <f t="shared" si="1"/>
        <v>462</v>
      </c>
      <c r="G27" s="19"/>
      <c r="H27" s="19"/>
    </row>
    <row r="28" spans="1:8" ht="35.25" customHeight="1">
      <c r="A28" s="8">
        <v>45984</v>
      </c>
      <c r="B28" s="8"/>
      <c r="C28" s="15">
        <v>125818</v>
      </c>
      <c r="D28" s="15">
        <f t="shared" ref="D28:D35" si="4">C29-C28</f>
        <v>100</v>
      </c>
      <c r="E28" s="16">
        <v>339125</v>
      </c>
      <c r="F28" s="16">
        <f t="shared" si="1"/>
        <v>518</v>
      </c>
      <c r="G28" s="19"/>
      <c r="H28" s="19"/>
    </row>
    <row r="29" spans="1:8" ht="35.25" customHeight="1">
      <c r="A29" s="8">
        <v>45985</v>
      </c>
      <c r="B29" s="8"/>
      <c r="C29" s="15">
        <v>125918</v>
      </c>
      <c r="D29" s="15">
        <f t="shared" si="4"/>
        <v>82</v>
      </c>
      <c r="E29" s="16">
        <v>339643</v>
      </c>
      <c r="F29" s="16">
        <f t="shared" si="1"/>
        <v>324</v>
      </c>
      <c r="G29" s="19"/>
      <c r="H29" s="19"/>
    </row>
    <row r="30" spans="1:8" ht="35.25" customHeight="1">
      <c r="A30" s="8">
        <v>45986</v>
      </c>
      <c r="B30" s="8"/>
      <c r="C30" s="15">
        <v>126000</v>
      </c>
      <c r="D30" s="15">
        <f t="shared" si="4"/>
        <v>92</v>
      </c>
      <c r="E30" s="16">
        <v>339967</v>
      </c>
      <c r="F30" s="16">
        <f t="shared" si="1"/>
        <v>510</v>
      </c>
      <c r="G30" s="19"/>
      <c r="H30" s="19"/>
    </row>
    <row r="31" spans="1:8" ht="35.25" customHeight="1">
      <c r="A31" s="8">
        <v>45987</v>
      </c>
      <c r="B31" s="8"/>
      <c r="C31" s="15">
        <v>126092</v>
      </c>
      <c r="D31" s="15">
        <f t="shared" si="4"/>
        <v>82</v>
      </c>
      <c r="E31" s="16">
        <v>340477</v>
      </c>
      <c r="F31" s="16">
        <f t="shared" si="1"/>
        <v>460</v>
      </c>
      <c r="G31" s="19"/>
      <c r="H31" s="19"/>
    </row>
    <row r="32" spans="1:8" ht="35.25" customHeight="1">
      <c r="A32" s="8">
        <v>45988</v>
      </c>
      <c r="B32" s="8"/>
      <c r="C32" s="15">
        <v>126174</v>
      </c>
      <c r="D32" s="15">
        <f t="shared" si="4"/>
        <v>82</v>
      </c>
      <c r="E32" s="16">
        <v>340937</v>
      </c>
      <c r="F32" s="16">
        <f t="shared" si="1"/>
        <v>476</v>
      </c>
      <c r="G32" s="19"/>
      <c r="H32" s="19"/>
    </row>
    <row r="33" spans="1:8" ht="35.25" customHeight="1">
      <c r="A33" s="8">
        <v>45989</v>
      </c>
      <c r="B33" s="8"/>
      <c r="C33" s="15">
        <v>126256</v>
      </c>
      <c r="D33" s="15">
        <f t="shared" si="4"/>
        <v>84</v>
      </c>
      <c r="E33" s="16">
        <v>341413</v>
      </c>
      <c r="F33" s="16">
        <f t="shared" si="1"/>
        <v>478</v>
      </c>
      <c r="G33" s="19"/>
      <c r="H33" s="19"/>
    </row>
    <row r="34" spans="1:8" ht="35.25" customHeight="1">
      <c r="A34" s="8">
        <v>45990</v>
      </c>
      <c r="B34" s="8"/>
      <c r="C34" s="15">
        <v>126340</v>
      </c>
      <c r="D34" s="15">
        <f t="shared" si="4"/>
        <v>82</v>
      </c>
      <c r="E34" s="16">
        <v>341891</v>
      </c>
      <c r="F34" s="16">
        <f t="shared" si="1"/>
        <v>424</v>
      </c>
      <c r="G34" s="19"/>
      <c r="H34" s="19"/>
    </row>
    <row r="35" spans="1:8" ht="35.25" customHeight="1">
      <c r="A35" s="8">
        <v>45991</v>
      </c>
      <c r="B35" s="8"/>
      <c r="C35" s="15">
        <v>126422</v>
      </c>
      <c r="D35" s="15">
        <f t="shared" si="4"/>
        <v>-126422</v>
      </c>
      <c r="E35" s="16">
        <v>342315</v>
      </c>
      <c r="F35" s="16">
        <f t="shared" si="1"/>
        <v>-342315</v>
      </c>
      <c r="G35" s="19"/>
      <c r="H35" s="19"/>
    </row>
    <row r="36" spans="1:8" ht="35.25" customHeight="1">
      <c r="A36" s="8">
        <v>45992</v>
      </c>
      <c r="B36" s="8"/>
      <c r="C36" s="20"/>
      <c r="D36" s="20"/>
      <c r="E36" s="19"/>
      <c r="F36" s="19"/>
      <c r="G36" s="19"/>
      <c r="H36" s="19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40" activePane="bottomLeft" state="frozen"/>
      <selection pane="bottomLeft" activeCell="H32" sqref="H32"/>
    </sheetView>
  </sheetViews>
  <sheetFormatPr defaultColWidth="9" defaultRowHeight="15"/>
  <cols>
    <col min="1" max="2" width="21.28515625" customWidth="1"/>
    <col min="3" max="3" width="30.28515625" style="1" customWidth="1"/>
    <col min="4" max="4" width="20.28515625" style="1" customWidth="1"/>
    <col min="5" max="5" width="24.140625" style="1" customWidth="1"/>
    <col min="6" max="6" width="20.28515625" style="1" customWidth="1"/>
    <col min="7" max="8" width="18.7109375" style="1" customWidth="1"/>
  </cols>
  <sheetData>
    <row r="1" spans="1:11" ht="60" customHeight="1">
      <c r="C1" s="36"/>
      <c r="D1" s="36"/>
      <c r="E1" s="36"/>
      <c r="F1" s="36"/>
      <c r="G1" s="36"/>
      <c r="H1" s="36"/>
      <c r="K1" s="13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0" t="s">
        <v>31</v>
      </c>
      <c r="E2" s="3" t="s">
        <v>32</v>
      </c>
      <c r="F2" s="40" t="s">
        <v>33</v>
      </c>
      <c r="G2" s="41" t="s">
        <v>34</v>
      </c>
      <c r="H2" s="41" t="s">
        <v>20</v>
      </c>
    </row>
    <row r="3" spans="1:11" ht="24.95" customHeight="1">
      <c r="A3" s="2" t="s">
        <v>35</v>
      </c>
      <c r="B3" s="2"/>
      <c r="C3" s="3" t="s">
        <v>36</v>
      </c>
      <c r="D3" s="40"/>
      <c r="E3" s="3"/>
      <c r="F3" s="40"/>
      <c r="G3" s="42"/>
      <c r="H3" s="42" t="s">
        <v>20</v>
      </c>
    </row>
    <row r="4" spans="1:11" ht="46.5" customHeight="1">
      <c r="A4" s="37" t="s">
        <v>24</v>
      </c>
      <c r="B4" s="5"/>
      <c r="C4" s="3" t="s">
        <v>37</v>
      </c>
      <c r="D4" s="40"/>
      <c r="E4" s="4" t="s">
        <v>38</v>
      </c>
      <c r="F4" s="40"/>
      <c r="G4" s="42"/>
      <c r="H4" s="42"/>
    </row>
    <row r="5" spans="1:11" ht="24.95" customHeight="1">
      <c r="A5" s="38"/>
      <c r="B5" s="6"/>
      <c r="C5" s="7" t="s">
        <v>39</v>
      </c>
      <c r="D5" s="7" t="s">
        <v>39</v>
      </c>
      <c r="E5" s="7" t="s">
        <v>40</v>
      </c>
      <c r="F5" s="7" t="s">
        <v>40</v>
      </c>
      <c r="G5" s="43"/>
      <c r="H5" s="43"/>
    </row>
    <row r="6" spans="1:11" ht="39" customHeight="1">
      <c r="A6" s="8">
        <v>45962</v>
      </c>
      <c r="B6" s="8"/>
      <c r="C6" s="9">
        <v>4969659</v>
      </c>
      <c r="D6" s="9">
        <f>C7-C6</f>
        <v>5620</v>
      </c>
      <c r="E6" s="9">
        <v>27573</v>
      </c>
      <c r="F6" s="9">
        <f>E7-E6</f>
        <v>166</v>
      </c>
      <c r="G6" s="9"/>
      <c r="H6" s="9"/>
    </row>
    <row r="7" spans="1:11" ht="39" customHeight="1">
      <c r="A7" s="8">
        <v>45963</v>
      </c>
      <c r="B7" s="8"/>
      <c r="C7" s="9">
        <v>4975279</v>
      </c>
      <c r="D7" s="9">
        <f t="shared" ref="D7:D21" si="0">C8-C7</f>
        <v>5394</v>
      </c>
      <c r="E7" s="9">
        <v>27739</v>
      </c>
      <c r="F7" s="9">
        <f t="shared" ref="F7:F21" si="1">E8-E7</f>
        <v>165</v>
      </c>
      <c r="G7" s="9"/>
      <c r="H7" s="9"/>
    </row>
    <row r="8" spans="1:11" ht="39" customHeight="1">
      <c r="A8" s="8">
        <v>45964</v>
      </c>
      <c r="B8" s="8"/>
      <c r="C8" s="9">
        <v>4980673</v>
      </c>
      <c r="D8" s="9">
        <f t="shared" si="0"/>
        <v>5409</v>
      </c>
      <c r="E8" s="9">
        <v>27904</v>
      </c>
      <c r="F8" s="9">
        <f t="shared" si="1"/>
        <v>98</v>
      </c>
      <c r="G8" s="9"/>
      <c r="H8" s="9"/>
    </row>
    <row r="9" spans="1:11" ht="39" customHeight="1">
      <c r="A9" s="8">
        <v>45965</v>
      </c>
      <c r="B9" s="8"/>
      <c r="C9" s="9">
        <v>4986082</v>
      </c>
      <c r="D9" s="9">
        <f t="shared" si="0"/>
        <v>5126</v>
      </c>
      <c r="E9" s="9">
        <v>28002</v>
      </c>
      <c r="F9" s="9">
        <f t="shared" si="1"/>
        <v>173</v>
      </c>
      <c r="G9" s="9"/>
      <c r="H9" s="9"/>
    </row>
    <row r="10" spans="1:11" ht="39" customHeight="1">
      <c r="A10" s="8">
        <v>45966</v>
      </c>
      <c r="B10" s="8"/>
      <c r="C10" s="9">
        <v>4991208</v>
      </c>
      <c r="D10" s="9">
        <f t="shared" si="0"/>
        <v>5285</v>
      </c>
      <c r="E10" s="9">
        <v>28175</v>
      </c>
      <c r="F10" s="9">
        <f t="shared" si="1"/>
        <v>194</v>
      </c>
      <c r="G10" s="9"/>
      <c r="H10" s="9"/>
    </row>
    <row r="11" spans="1:11" ht="39" customHeight="1">
      <c r="A11" s="8">
        <v>45967</v>
      </c>
      <c r="B11" s="8"/>
      <c r="C11" s="9">
        <v>4996493</v>
      </c>
      <c r="D11" s="9">
        <f t="shared" si="0"/>
        <v>5138</v>
      </c>
      <c r="E11" s="9">
        <v>28369</v>
      </c>
      <c r="F11" s="9">
        <f t="shared" si="1"/>
        <v>266</v>
      </c>
      <c r="G11" s="9"/>
      <c r="H11" s="9"/>
    </row>
    <row r="12" spans="1:11" ht="39" customHeight="1">
      <c r="A12" s="8">
        <v>45968</v>
      </c>
      <c r="B12" s="8"/>
      <c r="C12" s="9">
        <v>5001631</v>
      </c>
      <c r="D12" s="9">
        <f t="shared" si="0"/>
        <v>5472</v>
      </c>
      <c r="E12" s="9">
        <v>28635</v>
      </c>
      <c r="F12" s="9">
        <f t="shared" si="1"/>
        <v>161</v>
      </c>
      <c r="G12" s="9"/>
      <c r="H12" s="9"/>
    </row>
    <row r="13" spans="1:11" ht="39" customHeight="1">
      <c r="A13" s="8">
        <v>45969</v>
      </c>
      <c r="B13" s="8"/>
      <c r="C13" s="10">
        <v>5007103</v>
      </c>
      <c r="D13" s="9">
        <f t="shared" si="0"/>
        <v>5206</v>
      </c>
      <c r="E13" s="9">
        <v>28796</v>
      </c>
      <c r="F13" s="9">
        <f t="shared" si="1"/>
        <v>68</v>
      </c>
      <c r="G13" s="9"/>
      <c r="H13" s="9"/>
    </row>
    <row r="14" spans="1:11" ht="39" customHeight="1">
      <c r="A14" s="8">
        <v>45970</v>
      </c>
      <c r="B14" s="8"/>
      <c r="C14" s="9">
        <v>5012309</v>
      </c>
      <c r="D14" s="9">
        <f t="shared" si="0"/>
        <v>5082</v>
      </c>
      <c r="E14" s="9">
        <v>28864</v>
      </c>
      <c r="F14" s="9">
        <f t="shared" si="1"/>
        <v>228</v>
      </c>
      <c r="G14" s="9"/>
      <c r="H14" s="9"/>
    </row>
    <row r="15" spans="1:11" ht="39" customHeight="1">
      <c r="A15" s="8">
        <v>45971</v>
      </c>
      <c r="B15" s="8"/>
      <c r="C15" s="9">
        <v>5017391</v>
      </c>
      <c r="D15" s="9">
        <f t="shared" si="0"/>
        <v>2469</v>
      </c>
      <c r="E15" s="9">
        <v>29092</v>
      </c>
      <c r="F15" s="9">
        <f t="shared" si="1"/>
        <v>198</v>
      </c>
      <c r="G15" s="9"/>
      <c r="H15" s="9"/>
    </row>
    <row r="16" spans="1:11" ht="39" customHeight="1">
      <c r="A16" s="8">
        <v>45972</v>
      </c>
      <c r="B16" s="8"/>
      <c r="C16" s="9">
        <v>5019860</v>
      </c>
      <c r="D16" s="9">
        <f t="shared" si="0"/>
        <v>2469</v>
      </c>
      <c r="E16" s="9">
        <v>29290</v>
      </c>
      <c r="F16" s="9">
        <f t="shared" si="1"/>
        <v>208</v>
      </c>
      <c r="G16" s="9"/>
      <c r="H16" s="9"/>
    </row>
    <row r="17" spans="1:8" ht="39" customHeight="1">
      <c r="A17" s="8">
        <v>45973</v>
      </c>
      <c r="B17" s="8"/>
      <c r="C17" s="9">
        <v>5022329</v>
      </c>
      <c r="D17" s="9">
        <f t="shared" si="0"/>
        <v>10089</v>
      </c>
      <c r="E17" s="9">
        <v>29498</v>
      </c>
      <c r="F17" s="9">
        <f t="shared" si="1"/>
        <v>196</v>
      </c>
      <c r="G17" s="9"/>
      <c r="H17" s="9"/>
    </row>
    <row r="18" spans="1:8" ht="39" customHeight="1">
      <c r="A18" s="8">
        <v>45974</v>
      </c>
      <c r="B18" s="8"/>
      <c r="C18" s="9">
        <v>5032418</v>
      </c>
      <c r="D18" s="9">
        <f t="shared" si="0"/>
        <v>5188</v>
      </c>
      <c r="E18" s="9">
        <v>29694</v>
      </c>
      <c r="F18" s="9">
        <f t="shared" si="1"/>
        <v>147</v>
      </c>
      <c r="G18" s="9"/>
      <c r="H18" s="9"/>
    </row>
    <row r="19" spans="1:8" ht="39" customHeight="1">
      <c r="A19" s="8">
        <v>45975</v>
      </c>
      <c r="B19" s="8"/>
      <c r="C19" s="9">
        <v>5037606</v>
      </c>
      <c r="D19" s="9">
        <f t="shared" si="0"/>
        <v>5058</v>
      </c>
      <c r="E19" s="9">
        <v>29841</v>
      </c>
      <c r="F19" s="9">
        <f t="shared" si="1"/>
        <v>225</v>
      </c>
      <c r="G19" s="9"/>
      <c r="H19" s="9"/>
    </row>
    <row r="20" spans="1:8" ht="39" customHeight="1">
      <c r="A20" s="8">
        <v>45976</v>
      </c>
      <c r="B20" s="8"/>
      <c r="C20" s="9">
        <v>5042664</v>
      </c>
      <c r="D20" s="9">
        <f t="shared" si="0"/>
        <v>4876</v>
      </c>
      <c r="E20" s="9">
        <v>30066</v>
      </c>
      <c r="F20" s="9">
        <f t="shared" si="1"/>
        <v>163</v>
      </c>
      <c r="G20" s="9"/>
      <c r="H20" s="9"/>
    </row>
    <row r="21" spans="1:8" ht="39" customHeight="1">
      <c r="A21" s="8">
        <v>45977</v>
      </c>
      <c r="B21" s="8"/>
      <c r="C21" s="9">
        <v>5047540</v>
      </c>
      <c r="D21" s="9">
        <f t="shared" si="0"/>
        <v>5180</v>
      </c>
      <c r="E21" s="9">
        <v>30229</v>
      </c>
      <c r="F21" s="9">
        <f t="shared" si="1"/>
        <v>229</v>
      </c>
      <c r="G21" s="9"/>
      <c r="H21" s="9"/>
    </row>
    <row r="22" spans="1:8" ht="39" customHeight="1">
      <c r="A22" s="8">
        <v>45978</v>
      </c>
      <c r="B22" s="8"/>
      <c r="C22" s="9">
        <v>5052720</v>
      </c>
      <c r="D22" s="9">
        <f t="shared" ref="D22:D27" si="2">C23-C22</f>
        <v>8309</v>
      </c>
      <c r="E22" s="9">
        <v>30458</v>
      </c>
      <c r="F22" s="9">
        <f t="shared" ref="F22:F27" si="3">E23-E22</f>
        <v>41</v>
      </c>
      <c r="G22" s="9"/>
      <c r="H22" s="9"/>
    </row>
    <row r="23" spans="1:8" ht="39" customHeight="1">
      <c r="A23" s="8">
        <v>45979</v>
      </c>
      <c r="B23" s="8"/>
      <c r="C23" s="9">
        <v>5061029</v>
      </c>
      <c r="D23" s="9">
        <f t="shared" si="2"/>
        <v>6473</v>
      </c>
      <c r="E23" s="9">
        <v>30499</v>
      </c>
      <c r="F23" s="9">
        <f t="shared" si="3"/>
        <v>49</v>
      </c>
      <c r="G23" s="9"/>
      <c r="H23" s="9"/>
    </row>
    <row r="24" spans="1:8" ht="39" customHeight="1">
      <c r="A24" s="8">
        <v>45980</v>
      </c>
      <c r="B24" s="8"/>
      <c r="C24" s="9">
        <v>5067502</v>
      </c>
      <c r="D24" s="9">
        <f t="shared" si="2"/>
        <v>-744</v>
      </c>
      <c r="E24" s="9">
        <v>30548</v>
      </c>
      <c r="F24" s="9">
        <f t="shared" si="3"/>
        <v>232</v>
      </c>
      <c r="G24" s="9"/>
      <c r="H24" s="9"/>
    </row>
    <row r="25" spans="1:8" ht="39" customHeight="1">
      <c r="A25" s="8">
        <v>45981</v>
      </c>
      <c r="B25" s="8"/>
      <c r="C25" s="9">
        <v>5066758</v>
      </c>
      <c r="D25" s="9">
        <f t="shared" si="2"/>
        <v>5271</v>
      </c>
      <c r="E25" s="9">
        <v>30780</v>
      </c>
      <c r="F25" s="9">
        <f t="shared" si="3"/>
        <v>212</v>
      </c>
      <c r="G25" s="9"/>
      <c r="H25" s="9"/>
    </row>
    <row r="26" spans="1:8" ht="39" customHeight="1">
      <c r="A26" s="8">
        <v>45982</v>
      </c>
      <c r="B26" s="8"/>
      <c r="C26" s="9">
        <v>5072029</v>
      </c>
      <c r="D26" s="9">
        <f t="shared" si="2"/>
        <v>5284</v>
      </c>
      <c r="E26" s="9">
        <v>30992</v>
      </c>
      <c r="F26" s="9">
        <f t="shared" si="3"/>
        <v>159</v>
      </c>
      <c r="G26" s="9"/>
      <c r="H26" s="9"/>
    </row>
    <row r="27" spans="1:8" ht="39" customHeight="1">
      <c r="A27" s="8">
        <v>45983</v>
      </c>
      <c r="B27" s="8"/>
      <c r="C27" s="11">
        <v>5077313</v>
      </c>
      <c r="D27" s="9">
        <f t="shared" si="2"/>
        <v>5168</v>
      </c>
      <c r="E27" s="9">
        <v>31151</v>
      </c>
      <c r="F27" s="9">
        <f t="shared" si="3"/>
        <v>188</v>
      </c>
      <c r="G27" s="9"/>
      <c r="H27" s="9"/>
    </row>
    <row r="28" spans="1:8" ht="39" customHeight="1">
      <c r="A28" s="8">
        <v>45984</v>
      </c>
      <c r="B28" s="8"/>
      <c r="C28" s="9">
        <v>5082481</v>
      </c>
      <c r="D28" s="9">
        <f t="shared" ref="D28:D35" si="4">C29-C28</f>
        <v>4891</v>
      </c>
      <c r="E28" s="9">
        <v>31339</v>
      </c>
      <c r="F28" s="9">
        <f t="shared" ref="F28:F35" si="5">E29-E28</f>
        <v>204</v>
      </c>
      <c r="G28" s="9"/>
      <c r="H28" s="9"/>
    </row>
    <row r="29" spans="1:8" ht="39" customHeight="1">
      <c r="A29" s="8">
        <v>45985</v>
      </c>
      <c r="B29" s="8"/>
      <c r="C29" s="11">
        <v>5087372</v>
      </c>
      <c r="D29" s="9">
        <f t="shared" si="4"/>
        <v>4737</v>
      </c>
      <c r="E29" s="9">
        <v>31543</v>
      </c>
      <c r="F29" s="9">
        <f t="shared" si="5"/>
        <v>228</v>
      </c>
      <c r="G29" s="9"/>
      <c r="H29" s="9"/>
    </row>
    <row r="30" spans="1:8" ht="39" customHeight="1">
      <c r="A30" s="8">
        <v>45986</v>
      </c>
      <c r="B30" s="8"/>
      <c r="C30" s="11">
        <v>5092109</v>
      </c>
      <c r="D30" s="9">
        <f t="shared" si="4"/>
        <v>4992</v>
      </c>
      <c r="E30" s="9">
        <v>31771</v>
      </c>
      <c r="F30" s="9">
        <f t="shared" si="5"/>
        <v>170</v>
      </c>
      <c r="G30" s="9"/>
      <c r="H30" s="9"/>
    </row>
    <row r="31" spans="1:8" ht="39" customHeight="1">
      <c r="A31" s="8">
        <v>45987</v>
      </c>
      <c r="B31" s="8"/>
      <c r="C31" s="11">
        <v>5097101</v>
      </c>
      <c r="D31" s="9">
        <f t="shared" si="4"/>
        <v>4903</v>
      </c>
      <c r="E31" s="1">
        <v>31941</v>
      </c>
      <c r="F31" s="9">
        <f t="shared" si="5"/>
        <v>192</v>
      </c>
      <c r="G31" s="9"/>
      <c r="H31" s="9"/>
    </row>
    <row r="32" spans="1:8" ht="39" customHeight="1">
      <c r="A32" s="8">
        <v>45988</v>
      </c>
      <c r="B32" s="8"/>
      <c r="C32" s="9">
        <v>5102004</v>
      </c>
      <c r="D32" s="9">
        <f t="shared" si="4"/>
        <v>4910</v>
      </c>
      <c r="E32" s="9">
        <v>32133</v>
      </c>
      <c r="F32" s="9">
        <f t="shared" si="5"/>
        <v>221</v>
      </c>
      <c r="G32" s="9"/>
      <c r="H32" s="9"/>
    </row>
    <row r="33" spans="1:8" ht="39" customHeight="1">
      <c r="A33" s="8">
        <v>45989</v>
      </c>
      <c r="B33" s="8"/>
      <c r="C33" s="9">
        <v>5106914</v>
      </c>
      <c r="D33" s="9">
        <f t="shared" si="4"/>
        <v>4984</v>
      </c>
      <c r="E33" s="9">
        <v>32354</v>
      </c>
      <c r="F33" s="9">
        <f t="shared" si="5"/>
        <v>110</v>
      </c>
      <c r="G33" s="9"/>
      <c r="H33" s="9"/>
    </row>
    <row r="34" spans="1:8" ht="39" customHeight="1">
      <c r="A34" s="8">
        <v>45990</v>
      </c>
      <c r="B34" s="8"/>
      <c r="C34" s="9">
        <v>5111898</v>
      </c>
      <c r="D34" s="9">
        <f t="shared" si="4"/>
        <v>4675</v>
      </c>
      <c r="E34" s="9">
        <v>32464</v>
      </c>
      <c r="F34" s="9">
        <f t="shared" si="5"/>
        <v>64</v>
      </c>
      <c r="G34" s="9"/>
      <c r="H34" s="9"/>
    </row>
    <row r="35" spans="1:8" ht="39" customHeight="1">
      <c r="A35" s="8">
        <v>45991</v>
      </c>
      <c r="B35" s="8"/>
      <c r="C35" s="9">
        <v>5116573</v>
      </c>
      <c r="D35" s="9">
        <f t="shared" si="4"/>
        <v>-5116573</v>
      </c>
      <c r="E35" s="9">
        <v>32528</v>
      </c>
      <c r="F35" s="9">
        <f t="shared" si="5"/>
        <v>-32528</v>
      </c>
      <c r="G35" s="9"/>
      <c r="H35" s="9"/>
    </row>
    <row r="36" spans="1:8" ht="39" customHeight="1">
      <c r="A36" s="8">
        <v>45992</v>
      </c>
      <c r="B36" s="8"/>
      <c r="C36" s="9"/>
      <c r="D36" s="9"/>
      <c r="E36" s="9"/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Ian Domingo</cp:lastModifiedBy>
  <cp:revision/>
  <dcterms:created xsi:type="dcterms:W3CDTF">2018-12-27T05:07:00Z</dcterms:created>
  <dcterms:modified xsi:type="dcterms:W3CDTF">2025-12-03T05:19:25Z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