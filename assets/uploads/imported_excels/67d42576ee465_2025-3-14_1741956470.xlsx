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rotanahq-my.sharepoint.com/personal/bms_park_rotana_com/Documents/Engineering/29 HEP - Energy Portal/01 Daily/2024/"/>
    </mc:Choice>
  </mc:AlternateContent>
  <xr:revisionPtr revIDLastSave="608" documentId="8_{8847650D-614C-4264-8C87-30D8B5EB4252}" xr6:coauthVersionLast="47" xr6:coauthVersionMax="47" xr10:uidLastSave="{76F44B0B-912D-438E-83DA-6A47F52FB64C}"/>
  <bookViews>
    <workbookView xWindow="-120" yWindow="-120" windowWidth="29040" windowHeight="15720" activeTab="2" xr2:uid="{00000000-000D-0000-FFFF-FFFF00000000}"/>
  </bookViews>
  <sheets>
    <sheet name="Total" sheetId="2" r:id="rId1"/>
    <sheet name="Electricity" sheetId="3" r:id="rId2"/>
    <sheet name="LPG" sheetId="6" r:id="rId3"/>
    <sheet name="Water" sheetId="5" r:id="rId4"/>
    <sheet name="Occupied &amp; No. of Guest" sheetId="7" r:id="rId5"/>
  </sheets>
  <definedNames>
    <definedName name="_xlnm._FilterDatabase" localSheetId="2" hidden="1">LPG!$A$5:$N$5</definedName>
    <definedName name="_xlnm.Print_Area" localSheetId="2">LPG!$A$1:$M$40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5" l="1"/>
  <c r="H6" i="5"/>
  <c r="E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R6" i="5"/>
  <c r="Q6" i="5"/>
  <c r="O6" i="5"/>
  <c r="N6" i="5"/>
  <c r="M6" i="5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AI10" i="5"/>
  <c r="AH10" i="5"/>
  <c r="AG10" i="5"/>
  <c r="AF10" i="5"/>
  <c r="AE10" i="5"/>
  <c r="AD10" i="5"/>
  <c r="AC10" i="5"/>
  <c r="AB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AH15" i="5" l="1"/>
  <c r="J6" i="5"/>
  <c r="S6" i="5"/>
  <c r="P6" i="5"/>
  <c r="L6" i="5"/>
  <c r="I6" i="5"/>
  <c r="G6" i="5"/>
  <c r="F6" i="5"/>
  <c r="K3" i="2"/>
  <c r="L3" i="2"/>
  <c r="K4" i="2"/>
  <c r="L4" i="2"/>
  <c r="K5" i="2"/>
  <c r="L5" i="2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L2" i="2"/>
  <c r="K2" i="2"/>
  <c r="C34" i="7"/>
  <c r="B34" i="7"/>
  <c r="AF15" i="5" l="1"/>
  <c r="AG15" i="5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M6" i="6"/>
  <c r="K6" i="6"/>
  <c r="I6" i="6"/>
  <c r="G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6" i="6"/>
  <c r="N34" i="6" l="1"/>
  <c r="G30" i="2" s="1"/>
  <c r="AF21" i="3"/>
  <c r="AG21" i="3"/>
  <c r="AH21" i="3"/>
  <c r="N35" i="6" l="1"/>
  <c r="G31" i="2" s="1"/>
  <c r="N36" i="6"/>
  <c r="G32" i="2" s="1"/>
  <c r="N12" i="6" l="1"/>
  <c r="G8" i="2" s="1"/>
  <c r="N24" i="6"/>
  <c r="G20" i="2" s="1"/>
  <c r="N13" i="6" l="1"/>
  <c r="G9" i="2" s="1"/>
  <c r="N25" i="6"/>
  <c r="G21" i="2" s="1"/>
  <c r="N31" i="6"/>
  <c r="G27" i="2" s="1"/>
  <c r="N7" i="6"/>
  <c r="G3" i="2" s="1"/>
  <c r="N19" i="6"/>
  <c r="G15" i="2" s="1"/>
  <c r="N29" i="6"/>
  <c r="G25" i="2" s="1"/>
  <c r="N17" i="6"/>
  <c r="G13" i="2" s="1"/>
  <c r="G37" i="6"/>
  <c r="N26" i="6"/>
  <c r="G22" i="2" s="1"/>
  <c r="M37" i="6"/>
  <c r="N20" i="6"/>
  <c r="G16" i="2" s="1"/>
  <c r="K37" i="6"/>
  <c r="N23" i="6"/>
  <c r="G19" i="2" s="1"/>
  <c r="N30" i="6"/>
  <c r="G26" i="2" s="1"/>
  <c r="N18" i="6"/>
  <c r="G14" i="2" s="1"/>
  <c r="N21" i="6"/>
  <c r="G17" i="2" s="1"/>
  <c r="N11" i="6"/>
  <c r="G7" i="2" s="1"/>
  <c r="N8" i="6"/>
  <c r="G4" i="2" s="1"/>
  <c r="I37" i="6"/>
  <c r="N33" i="6"/>
  <c r="G29" i="2" s="1"/>
  <c r="N22" i="6"/>
  <c r="G18" i="2" s="1"/>
  <c r="N10" i="6"/>
  <c r="G6" i="2" s="1"/>
  <c r="N32" i="6"/>
  <c r="G28" i="2" s="1"/>
  <c r="N15" i="6"/>
  <c r="G11" i="2" s="1"/>
  <c r="N6" i="6"/>
  <c r="G2" i="2" s="1"/>
  <c r="N16" i="6"/>
  <c r="G12" i="2" s="1"/>
  <c r="N28" i="6"/>
  <c r="G24" i="2" s="1"/>
  <c r="E37" i="6"/>
  <c r="N14" i="6"/>
  <c r="G10" i="2" s="1"/>
  <c r="N9" i="6"/>
  <c r="G5" i="2" s="1"/>
  <c r="N27" i="6"/>
  <c r="G23" i="2" s="1"/>
  <c r="C37" i="6"/>
  <c r="C39" i="6" s="1"/>
  <c r="C40" i="6" l="1"/>
  <c r="C41" i="6" s="1"/>
  <c r="AI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AI21" i="3"/>
  <c r="AE21" i="3"/>
  <c r="AD21" i="3"/>
  <c r="W21" i="3"/>
  <c r="V21" i="3"/>
  <c r="U21" i="3"/>
  <c r="T21" i="3"/>
  <c r="S21" i="3"/>
  <c r="R21" i="3"/>
  <c r="K21" i="3"/>
  <c r="J21" i="3"/>
  <c r="I21" i="3"/>
  <c r="H21" i="3"/>
  <c r="G21" i="3"/>
  <c r="F21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" i="2" l="1" a="1"/>
  <c r="I2" i="2" s="1"/>
  <c r="E16" i="5"/>
  <c r="X21" i="3"/>
  <c r="Y21" i="3"/>
  <c r="L21" i="3"/>
  <c r="M21" i="3"/>
  <c r="N21" i="3"/>
  <c r="Z21" i="3"/>
  <c r="O21" i="3"/>
  <c r="AA21" i="3"/>
  <c r="P21" i="3"/>
  <c r="AB21" i="3"/>
  <c r="E21" i="3"/>
  <c r="Q21" i="3"/>
  <c r="AC21" i="3"/>
  <c r="E2" i="2" l="1" a="1"/>
  <c r="E2" i="2" s="1"/>
  <c r="E2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C5" authorId="0" shapeId="0" xr:uid="{BF8AF5D1-25BF-4947-BDAD-F7F7A728BCF1}">
      <text>
        <r>
          <rPr>
            <b/>
            <sz val="9"/>
            <color indexed="81"/>
            <rFont val="Tahoma"/>
            <family val="2"/>
          </rPr>
          <t>New Meter for Incomer 1 and 2 Hotel and Arjaan replaced on March 1, 2023. Megawatt change to kilowatt</t>
        </r>
      </text>
    </comment>
    <comment ref="C9" authorId="0" shapeId="0" xr:uid="{5FE99E23-FAC4-4837-88FD-C11E450EC330}">
      <text>
        <r>
          <rPr>
            <b/>
            <sz val="9"/>
            <color indexed="81"/>
            <rFont val="Tahoma"/>
            <family val="2"/>
          </rPr>
          <t>New meter installed on March 1, 2023. Megawatt change to kilowatt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B5" authorId="0" shapeId="0" xr:uid="{A094905B-3145-4E91-B966-D3C7F85E3C96}">
      <text>
        <r>
          <rPr>
            <b/>
            <sz val="9"/>
            <color indexed="81"/>
            <rFont val="Tahoma"/>
            <family val="2"/>
          </rPr>
          <t>New water meter replaced on April 13, 2023</t>
        </r>
      </text>
    </comment>
    <comment ref="B9" authorId="0" shapeId="0" xr:uid="{CE22F3E7-64FB-40B2-8E39-2202A3B38411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New meter installed on 26--10-2021
</t>
        </r>
      </text>
    </comment>
    <comment ref="B11" authorId="0" shapeId="0" xr:uid="{BD763E3D-3444-4579-8973-D00AB9A06EE4}">
      <text>
        <r>
          <rPr>
            <b/>
            <sz val="9"/>
            <color indexed="81"/>
            <rFont val="Tahoma"/>
            <family val="2"/>
          </rPr>
          <t>New Meter as of July 8, 2020 by Mohammad Habdeel Hamid from ADDC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3" authorId="0" shapeId="0" xr:uid="{E53EB796-BEFA-44EC-BFBB-E6DBBDAFCA14}">
      <text>
        <r>
          <rPr>
            <b/>
            <sz val="9"/>
            <color indexed="81"/>
            <rFont val="Tahoma"/>
            <family val="2"/>
          </rPr>
          <t>Replaced new water meter by ADDC on April 5, 2021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<sst xmlns="http://schemas.openxmlformats.org/spreadsheetml/2006/main" count="135" uniqueCount="99">
  <si>
    <t>Site Name</t>
  </si>
  <si>
    <t>Day</t>
  </si>
  <si>
    <t>Month</t>
  </si>
  <si>
    <t>Year</t>
  </si>
  <si>
    <t xml:space="preserve">Room Nights </t>
  </si>
  <si>
    <t xml:space="preserve">Total Guests </t>
  </si>
  <si>
    <t>Total Electricity Kwh</t>
  </si>
  <si>
    <t>Electricity Tariff ($/Kwh)</t>
  </si>
  <si>
    <t>Water Utility Supply (m3) m3</t>
  </si>
  <si>
    <t>Water Utility Supply (m3) $/m3</t>
  </si>
  <si>
    <t>S/N</t>
  </si>
  <si>
    <r>
      <t>METER NUMBER &amp;</t>
    </r>
    <r>
      <rPr>
        <b/>
        <sz val="9"/>
        <color rgb="FFFF0000"/>
        <rFont val="Arial Narrow"/>
        <family val="2"/>
      </rPr>
      <t>LOCATION</t>
    </r>
  </si>
  <si>
    <t>AREA SERVED</t>
  </si>
  <si>
    <t>Last Month Final Readings</t>
  </si>
  <si>
    <t>I5T18D002265/ No. 72039516</t>
  </si>
  <si>
    <t>Hotel &amp; Arjaan incomer 1 (Kilowatt)</t>
  </si>
  <si>
    <t>I5T18D002266/ No. 72039517</t>
  </si>
  <si>
    <t>Hotel &amp; Arjaan incomer 2 (Kilowatt)</t>
  </si>
  <si>
    <r>
      <t xml:space="preserve">METER NUMBER     &amp;                      </t>
    </r>
    <r>
      <rPr>
        <b/>
        <sz val="10"/>
        <color rgb="FFFF0000"/>
        <rFont val="Arial Narrow"/>
        <family val="2"/>
      </rPr>
      <t>LOCATION</t>
    </r>
  </si>
  <si>
    <t>LAST MONTH'S FINAL READING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</si>
  <si>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</si>
  <si>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</si>
  <si>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</si>
  <si>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</si>
  <si>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</si>
  <si>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</si>
  <si>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</si>
  <si>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</si>
  <si>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</si>
  <si>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</si>
  <si>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</si>
  <si>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</si>
  <si>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</si>
  <si>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</si>
  <si>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</si>
  <si>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</si>
  <si>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</si>
  <si>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</si>
  <si>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</si>
  <si>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</si>
  <si>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</si>
  <si>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</si>
  <si>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</si>
  <si>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</si>
  <si>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</si>
  <si>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</si>
  <si>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</si>
  <si>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</si>
  <si>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48242051 (Hotel &amp; Arjaan Main Meter)</t>
  </si>
  <si>
    <t>Hotel &amp; Arjaan / Raw Water Tank for Hotel,Arjaan,Kitchen,Laundry,Staff Locker,Hotel Swimming Pool</t>
  </si>
  <si>
    <t xml:space="preserve">LPG (Liters) </t>
  </si>
  <si>
    <t>LPG $/Liters</t>
  </si>
  <si>
    <t>Park Rotana and Park Arjaan Abu Dhabi</t>
  </si>
  <si>
    <t>I5T18D002318 / 72039569</t>
  </si>
  <si>
    <t>Chillers (SMDB CH 1) (Kilowatt)</t>
  </si>
  <si>
    <t>I5T18D002317 / 72039568</t>
  </si>
  <si>
    <t>Chillers (SMDB CH 2) (Kilowatt)</t>
  </si>
  <si>
    <t>E5T09D035490</t>
  </si>
  <si>
    <t>Fire Pump 2 S (Kwh)</t>
  </si>
  <si>
    <t>E5TO9D035489</t>
  </si>
  <si>
    <t>Fire Pump 1 S (Kwh)</t>
  </si>
  <si>
    <t>E5T09D034337</t>
  </si>
  <si>
    <t>SMDB Spa S (Kwh)</t>
  </si>
  <si>
    <t>E5T09D034327</t>
  </si>
  <si>
    <t>Hotel Gym S (Kwh)</t>
  </si>
  <si>
    <t>Total Daily Consumption (kw)</t>
  </si>
  <si>
    <t>Total Monthly Consumption (kw)</t>
  </si>
  <si>
    <t>2045000686(Sub Meter)</t>
  </si>
  <si>
    <t>Irrigation water Tank</t>
  </si>
  <si>
    <t>EMK17100DA17081056 (Cooling Tower Meter)</t>
  </si>
  <si>
    <t>Cooling Towers, Irrigation Tank,CHW Make up Line,Residence Pool, Cooling Tower Blow Down</t>
  </si>
  <si>
    <t>Total Daily Consumption (m3)</t>
  </si>
  <si>
    <t>Total Monthly Consumption (m3)</t>
  </si>
  <si>
    <t>Hotel  &amp; Arjaan Gym</t>
  </si>
  <si>
    <t>Hotel &amp; Arjaan Spa</t>
  </si>
  <si>
    <t>BOILER 1 &amp; 2</t>
  </si>
  <si>
    <t>MAIN KITCHEN</t>
  </si>
  <si>
    <t>PASTRY KITCHEN</t>
  </si>
  <si>
    <t>GINGER KITCHEN</t>
  </si>
  <si>
    <t>TEATRO</t>
  </si>
  <si>
    <t>COOPER'S KITCHEN</t>
  </si>
  <si>
    <t>PRESSURE        (mBar)</t>
  </si>
  <si>
    <t xml:space="preserve">                                       </t>
  </si>
  <si>
    <t>TOTAL Consumption</t>
  </si>
  <si>
    <t>TOTAL BOILER</t>
  </si>
  <si>
    <t>TOTAL KITCHEN</t>
  </si>
  <si>
    <t>TOTAL Boiler &amp; Kitchen</t>
  </si>
  <si>
    <t>Daily Consumption</t>
  </si>
  <si>
    <t>29</t>
  </si>
  <si>
    <t>30</t>
  </si>
  <si>
    <t>31</t>
  </si>
  <si>
    <t>Occupied</t>
  </si>
  <si>
    <t># Guest</t>
  </si>
  <si>
    <t>Date</t>
  </si>
  <si>
    <t>TOTAL MTD</t>
  </si>
  <si>
    <t>Occupied Room &amp; Number of Guest
May 2024</t>
  </si>
  <si>
    <r>
      <t>DAILY WATER METER READINGS &amp; CONSUMPTION (m</t>
    </r>
    <r>
      <rPr>
        <b/>
        <vertAlign val="superscript"/>
        <sz val="20"/>
        <color rgb="FF000000"/>
        <rFont val="Calibri"/>
        <family val="2"/>
      </rPr>
      <t>3</t>
    </r>
    <r>
      <rPr>
        <b/>
        <sz val="20"/>
        <color rgb="FF000000"/>
        <rFont val="Calibri"/>
        <family val="2"/>
      </rPr>
      <t>) MAY  2024</t>
    </r>
  </si>
  <si>
    <t>DAILY GAS METER READINGS &amp; CONSUMPTION (Liters) MAY 2024</t>
  </si>
  <si>
    <t>DAILY ELECTRICITY METER READINGS &amp; CONSUMPTION MAY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</si>
</sst>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"/>
    <numFmt numFmtId="165" formatCode="#,##0.000"/>
    <numFmt numFmtId="166" formatCode="#,##0.0"/>
    <numFmt numFmtId="167" formatCode="0.0"/>
  </numFmts>
  <fonts count="3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rial Narrow"/>
      <family val="2"/>
    </font>
    <font>
      <b/>
      <sz val="18"/>
      <color theme="1"/>
      <name val="Arial Narrow"/>
      <family val="2"/>
    </font>
    <font>
      <b/>
      <sz val="9"/>
      <color theme="1"/>
      <name val="Arial Narrow"/>
      <family val="2"/>
    </font>
    <font>
      <b/>
      <sz val="9"/>
      <color rgb="FFFF0000"/>
      <name val="Arial Narrow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9"/>
      <color indexed="81"/>
      <name val="Tahoma"/>
      <family val="2"/>
    </font>
    <font>
      <b/>
      <sz val="20"/>
      <color rgb="FF000000"/>
      <name val="Calibri"/>
      <family val="2"/>
    </font>
    <font>
      <b/>
      <vertAlign val="superscript"/>
      <sz val="20"/>
      <color rgb="FF000000"/>
      <name val="Calibri"/>
      <family val="2"/>
    </font>
    <font>
      <b/>
      <sz val="2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9"/>
      <color theme="1"/>
      <name val="Arial Narrow"/>
      <family val="2"/>
    </font>
    <font>
      <sz val="9"/>
      <name val="Arial Narrow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70C0"/>
      <name val="Arial Narrow"/>
      <family val="2"/>
    </font>
    <font>
      <sz val="9"/>
      <color indexed="81"/>
      <name val="Tahoma"/>
      <family val="2"/>
    </font>
    <font>
      <b/>
      <sz val="11"/>
      <name val="Arial Narrow"/>
      <family val="2"/>
    </font>
    <font>
      <sz val="10"/>
      <color rgb="FFFF0000"/>
      <name val="Arial Narrow"/>
      <family val="2"/>
    </font>
    <font>
      <b/>
      <sz val="12"/>
      <color theme="1"/>
      <name val="Arial Narrow"/>
      <family val="2"/>
    </font>
    <font>
      <b/>
      <sz val="14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20" fillId="0" borderId="0" applyFont="0" applyFill="0" applyBorder="0" applyAlignment="0" applyProtection="0"/>
  </cellStyleXfs>
  <cellXfs count="11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 wrapText="1"/>
    </xf>
    <xf numFmtId="164" fontId="7" fillId="7" borderId="10" xfId="0" applyNumberFormat="1" applyFont="1" applyFill="1" applyBorder="1" applyAlignment="1">
      <alignment horizontal="center" vertical="center"/>
    </xf>
    <xf numFmtId="0" fontId="5" fillId="6" borderId="0" xfId="0" applyFont="1" applyFill="1"/>
    <xf numFmtId="0" fontId="5" fillId="5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1" fontId="5" fillId="9" borderId="2" xfId="0" quotePrefix="1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166" fontId="18" fillId="10" borderId="2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5" fillId="5" borderId="15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21" fillId="6" borderId="0" xfId="0" applyFont="1" applyFill="1"/>
    <xf numFmtId="0" fontId="5" fillId="2" borderId="15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 wrapText="1"/>
    </xf>
    <xf numFmtId="164" fontId="7" fillId="10" borderId="10" xfId="0" applyNumberFormat="1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 wrapText="1"/>
    </xf>
    <xf numFmtId="4" fontId="23" fillId="11" borderId="0" xfId="1" applyNumberFormat="1" applyFont="1" applyFill="1"/>
    <xf numFmtId="4" fontId="23" fillId="11" borderId="0" xfId="1" applyNumberFormat="1" applyFont="1" applyFill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24" fillId="6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4" fontId="16" fillId="11" borderId="0" xfId="0" applyNumberFormat="1" applyFont="1" applyFill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 wrapText="1"/>
    </xf>
    <xf numFmtId="3" fontId="9" fillId="0" borderId="10" xfId="0" applyNumberFormat="1" applyFont="1" applyBorder="1" applyAlignment="1">
      <alignment horizontal="center" vertical="center"/>
    </xf>
    <xf numFmtId="167" fontId="19" fillId="7" borderId="10" xfId="0" applyNumberFormat="1" applyFont="1" applyFill="1" applyBorder="1" applyAlignment="1">
      <alignment horizontal="center" vertical="center"/>
    </xf>
    <xf numFmtId="1" fontId="9" fillId="3" borderId="10" xfId="0" applyNumberFormat="1" applyFont="1" applyFill="1" applyBorder="1" applyAlignment="1">
      <alignment horizontal="center" vertical="center" wrapText="1"/>
    </xf>
    <xf numFmtId="1" fontId="9" fillId="4" borderId="10" xfId="0" applyNumberFormat="1" applyFont="1" applyFill="1" applyBorder="1" applyAlignment="1">
      <alignment horizontal="center" vertical="center" wrapText="1"/>
    </xf>
    <xf numFmtId="3" fontId="27" fillId="0" borderId="10" xfId="0" applyNumberFormat="1" applyFont="1" applyBorder="1" applyAlignment="1">
      <alignment horizontal="center" vertical="center"/>
    </xf>
    <xf numFmtId="0" fontId="0" fillId="6" borderId="0" xfId="0" applyFill="1"/>
    <xf numFmtId="164" fontId="2" fillId="0" borderId="0" xfId="0" applyNumberFormat="1" applyFont="1"/>
    <xf numFmtId="3" fontId="0" fillId="13" borderId="0" xfId="0" applyNumberFormat="1" applyFill="1" applyAlignment="1">
      <alignment horizontal="center" vertical="center" wrapText="1"/>
    </xf>
    <xf numFmtId="3" fontId="0" fillId="13" borderId="0" xfId="0" applyNumberFormat="1" applyFill="1" applyAlignment="1">
      <alignment horizontal="center" vertical="center"/>
    </xf>
    <xf numFmtId="3" fontId="16" fillId="11" borderId="0" xfId="0" applyNumberFormat="1" applyFont="1" applyFill="1" applyAlignment="1">
      <alignment horizontal="center" vertical="center"/>
    </xf>
    <xf numFmtId="3" fontId="23" fillId="11" borderId="0" xfId="1" applyNumberFormat="1" applyFont="1" applyFill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5" fontId="0" fillId="0" borderId="10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3" fontId="30" fillId="0" borderId="10" xfId="0" applyNumberFormat="1" applyFont="1" applyBorder="1" applyAlignment="1">
      <alignment horizontal="center" vertical="center"/>
    </xf>
    <xf numFmtId="165" fontId="17" fillId="5" borderId="2" xfId="0" applyNumberFormat="1" applyFont="1" applyFill="1" applyBorder="1" applyAlignment="1">
      <alignment horizontal="center" vertical="center"/>
    </xf>
    <xf numFmtId="4" fontId="23" fillId="11" borderId="0" xfId="1" applyNumberFormat="1" applyFont="1" applyFill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4" fontId="23" fillId="11" borderId="13" xfId="1" applyNumberFormat="1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28" fillId="13" borderId="0" xfId="0" applyFont="1" applyFill="1" applyAlignment="1">
      <alignment horizontal="center" vertical="center" wrapText="1"/>
    </xf>
    <xf numFmtId="0" fontId="9" fillId="12" borderId="20" xfId="0" applyFont="1" applyFill="1" applyBorder="1" applyAlignment="1">
      <alignment horizontal="center" vertical="center" wrapText="1"/>
    </xf>
    <xf numFmtId="0" fontId="9" fillId="12" borderId="21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4" fontId="16" fillId="11" borderId="0" xfId="0" applyNumberFormat="1" applyFont="1" applyFill="1" applyAlignment="1">
      <alignment horizontal="center" vertical="center"/>
    </xf>
    <xf numFmtId="4" fontId="25" fillId="11" borderId="13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6" fillId="6" borderId="12" xfId="0" quotePrefix="1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3" fontId="2" fillId="9" borderId="0" xfId="0" applyNumberFormat="1" applyFont="1" applyFill="1" applyAlignment="1">
      <alignment horizontal="center" vertical="center"/>
    </xf>
    <xf numFmtId="3" fontId="28" fillId="13" borderId="0" xfId="0" applyNumberFormat="1" applyFont="1" applyFill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57154</xdr:rowOff>
    </xdr:from>
    <xdr:to>
      <xdr:col>2</xdr:col>
      <xdr:colOff>200025</xdr:colOff>
      <xdr:row>2</xdr:row>
      <xdr:rowOff>342900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9DDD8A2D-8435-4EE5-9251-D99B69BA006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422914"/>
          <a:ext cx="1758315" cy="6515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30</xdr:col>
      <xdr:colOff>137747</xdr:colOff>
      <xdr:row>1</xdr:row>
      <xdr:rowOff>54284</xdr:rowOff>
    </xdr:from>
    <xdr:ext cx="1838325" cy="590550"/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885EC474-E378-49DB-A752-BBCE02E657EE}"/>
            </a:ext>
            <a:ext uri="{147F2762-F138-4A5C-976F-8EAC2B608ADB}">
              <a16:predDERef xmlns:a16="http://schemas.microsoft.com/office/drawing/2014/main" pred="{9D40EFC6-BAA9-4AC4-9296-204E786A57BF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655847" y="420044"/>
          <a:ext cx="183832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57151</xdr:rowOff>
    </xdr:from>
    <xdr:to>
      <xdr:col>2</xdr:col>
      <xdr:colOff>0</xdr:colOff>
      <xdr:row>0</xdr:row>
      <xdr:rowOff>844826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B5DDD607-CB1B-47F0-81CD-B4BBCFAE84E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57151"/>
          <a:ext cx="1851660" cy="78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30</xdr:col>
      <xdr:colOff>170091</xdr:colOff>
      <xdr:row>0</xdr:row>
      <xdr:rowOff>49918</xdr:rowOff>
    </xdr:from>
    <xdr:to>
      <xdr:col>32</xdr:col>
      <xdr:colOff>614858</xdr:colOff>
      <xdr:row>0</xdr:row>
      <xdr:rowOff>836766</xdr:rowOff>
    </xdr:to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23C56294-5804-42BC-8869-E26CB2FDA511}"/>
            </a:ext>
            <a:ext uri="{147F2762-F138-4A5C-976F-8EAC2B608ADB}">
              <a16:predDERef xmlns:a16="http://schemas.microsoft.com/office/drawing/2014/main" pred="{650EFB77-1C68-4279-946F-FD273D2E21D6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359531" y="49918"/>
          <a:ext cx="1843534" cy="7868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workbookViewId="0">
      <selection activeCell="C24" sqref="C24"/>
    </sheetView>
  </sheetViews>
  <sheetFormatPr defaultColWidth="11.5703125" defaultRowHeight="15" x14ac:dyDescent="0.25"/>
  <cols>
    <col min="1" max="1" width="29.140625" style="2" bestFit="1" customWidth="1"/>
    <col min="2" max="3" width="11.5703125" style="10"/>
    <col min="4" max="4" width="13.42578125" style="10" customWidth="1"/>
    <col min="5" max="5" width="12.5703125" style="3" customWidth="1"/>
    <col min="6" max="6" width="12.5703125" style="11" customWidth="1"/>
    <col min="7" max="7" width="11.5703125" style="3"/>
    <col min="8" max="8" width="11.5703125" style="11"/>
    <col min="9" max="9" width="11.5703125" style="3"/>
    <col min="10" max="10" width="11.5703125" style="12"/>
    <col min="11" max="24" width="11.5703125" style="3"/>
  </cols>
  <sheetData>
    <row r="1" spans="1:12" s="8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6</v>
      </c>
      <c r="F1" s="6" t="s">
        <v>7</v>
      </c>
      <c r="G1" s="5" t="s">
        <v>50</v>
      </c>
      <c r="H1" s="6" t="s">
        <v>51</v>
      </c>
      <c r="I1" s="5" t="s">
        <v>8</v>
      </c>
      <c r="J1" s="7" t="s">
        <v>9</v>
      </c>
      <c r="K1" s="5" t="s">
        <v>4</v>
      </c>
      <c r="L1" s="5" t="s">
        <v>5</v>
      </c>
    </row>
    <row r="2" spans="1:12" x14ac:dyDescent="0.25">
      <c r="A2" s="9" t="s">
        <v>52</v>
      </c>
      <c r="B2" s="10">
        <v>1</v>
      </c>
      <c r="C2" s="10">
        <v>5</v>
      </c>
      <c r="D2" s="10">
        <v>2024</v>
      </c>
      <c r="E2" s="4" cm="1">
        <f t="array" ref="E2:E32">TRANSPOSE(Electricity!E21:AI21)</f>
        <v>39617.199999999997</v>
      </c>
      <c r="F2" s="11">
        <v>0.2</v>
      </c>
      <c r="G2" s="4">
        <f>LPG!N6</f>
        <v>0</v>
      </c>
      <c r="H2" s="11">
        <v>1.58</v>
      </c>
      <c r="I2" s="4" cm="1">
        <f t="array" ref="I2:I32">TRANSPOSE(Water!E15:AI15)</f>
        <v>685.68000000000018</v>
      </c>
      <c r="J2" s="11">
        <v>7.84</v>
      </c>
      <c r="K2" s="4">
        <f>'Occupied &amp; No. of Guest'!B3</f>
        <v>461</v>
      </c>
      <c r="L2" s="4">
        <f>'Occupied &amp; No. of Guest'!C3</f>
        <v>630</v>
      </c>
    </row>
    <row r="3" spans="1:12" x14ac:dyDescent="0.25">
      <c r="A3" s="9" t="s">
        <v>52</v>
      </c>
      <c r="B3" s="10">
        <f>B2+1</f>
        <v>2</v>
      </c>
      <c r="C3" s="10">
        <v>5</v>
      </c>
      <c r="D3" s="10">
        <v>2024</v>
      </c>
      <c r="E3" s="4">
        <v>37490.400000000001</v>
      </c>
      <c r="F3" s="11">
        <v>0.2</v>
      </c>
      <c r="G3" s="4">
        <f>LPG!N7</f>
        <v>4518.4770000000208</v>
      </c>
      <c r="H3" s="11">
        <v>1.58</v>
      </c>
      <c r="I3" s="4">
        <v>411.86800000000011</v>
      </c>
      <c r="J3" s="11">
        <v>7.84</v>
      </c>
      <c r="K3" s="4">
        <f>'Occupied &amp; No. of Guest'!B4</f>
        <v>485</v>
      </c>
      <c r="L3" s="4">
        <f>'Occupied &amp; No. of Guest'!C4</f>
        <v>684</v>
      </c>
    </row>
    <row r="4" spans="1:12" x14ac:dyDescent="0.25">
      <c r="A4" s="9" t="s">
        <v>52</v>
      </c>
      <c r="B4" s="10">
        <f t="shared" ref="B4:B32" si="0">B3+1</f>
        <v>3</v>
      </c>
      <c r="C4" s="10">
        <v>5</v>
      </c>
      <c r="D4" s="10">
        <v>2024</v>
      </c>
      <c r="E4" s="4">
        <v>39649.199999999997</v>
      </c>
      <c r="F4" s="11">
        <v>0.2</v>
      </c>
      <c r="G4" s="4">
        <f>LPG!N8</f>
        <v>2569.5020000000673</v>
      </c>
      <c r="H4" s="11">
        <v>1.58</v>
      </c>
      <c r="I4" s="4">
        <v>393.64800000000508</v>
      </c>
      <c r="J4" s="11">
        <v>7.84</v>
      </c>
      <c r="K4" s="4">
        <f>'Occupied &amp; No. of Guest'!B5</f>
        <v>474</v>
      </c>
      <c r="L4" s="4">
        <f>'Occupied &amp; No. of Guest'!C5</f>
        <v>690</v>
      </c>
    </row>
    <row r="5" spans="1:12" x14ac:dyDescent="0.25">
      <c r="A5" s="9" t="s">
        <v>52</v>
      </c>
      <c r="B5" s="10">
        <f t="shared" si="0"/>
        <v>4</v>
      </c>
      <c r="C5" s="10">
        <v>5</v>
      </c>
      <c r="D5" s="10">
        <v>2024</v>
      </c>
      <c r="E5" s="4">
        <v>39356.800000000003</v>
      </c>
      <c r="F5" s="11">
        <v>0.2</v>
      </c>
      <c r="G5" s="4">
        <f>LPG!N9</f>
        <v>2516.7399999999434</v>
      </c>
      <c r="H5" s="11">
        <v>1.58</v>
      </c>
      <c r="I5" s="4">
        <v>354.58199999999999</v>
      </c>
      <c r="J5" s="11">
        <v>7.84</v>
      </c>
      <c r="K5" s="4">
        <f>'Occupied &amp; No. of Guest'!B6</f>
        <v>478</v>
      </c>
      <c r="L5" s="4">
        <f>'Occupied &amp; No. of Guest'!C6</f>
        <v>643</v>
      </c>
    </row>
    <row r="6" spans="1:12" x14ac:dyDescent="0.25">
      <c r="A6" s="9" t="s">
        <v>52</v>
      </c>
      <c r="B6" s="10">
        <f t="shared" si="0"/>
        <v>5</v>
      </c>
      <c r="C6" s="10">
        <v>5</v>
      </c>
      <c r="D6" s="10">
        <v>2024</v>
      </c>
      <c r="E6" s="4">
        <v>39105.800000000003</v>
      </c>
      <c r="F6" s="11">
        <v>0.2</v>
      </c>
      <c r="G6" s="4">
        <f>LPG!N10</f>
        <v>2272.3920000000435</v>
      </c>
      <c r="H6" s="11">
        <v>1.58</v>
      </c>
      <c r="I6" s="4">
        <v>386.98800000000017</v>
      </c>
      <c r="J6" s="11">
        <v>7.84</v>
      </c>
      <c r="K6" s="4">
        <f>'Occupied &amp; No. of Guest'!B7</f>
        <v>455</v>
      </c>
      <c r="L6" s="4">
        <f>'Occupied &amp; No. of Guest'!C7</f>
        <v>596</v>
      </c>
    </row>
    <row r="7" spans="1:12" x14ac:dyDescent="0.25">
      <c r="A7" s="9" t="s">
        <v>52</v>
      </c>
      <c r="B7" s="10">
        <f t="shared" si="0"/>
        <v>6</v>
      </c>
      <c r="C7" s="10">
        <v>5</v>
      </c>
      <c r="D7" s="10">
        <v>2024</v>
      </c>
      <c r="E7" s="4">
        <v>39720.199999999997</v>
      </c>
      <c r="F7" s="11">
        <v>0.2</v>
      </c>
      <c r="G7" s="4">
        <f>LPG!N11</f>
        <v>2422.6119999999569</v>
      </c>
      <c r="H7" s="11">
        <v>1.58</v>
      </c>
      <c r="I7" s="4">
        <v>487.3639999999844</v>
      </c>
      <c r="J7" s="11">
        <v>7.84</v>
      </c>
      <c r="K7" s="4">
        <f>'Occupied &amp; No. of Guest'!B8</f>
        <v>478</v>
      </c>
      <c r="L7" s="4">
        <f>'Occupied &amp; No. of Guest'!C8</f>
        <v>674</v>
      </c>
    </row>
    <row r="8" spans="1:12" x14ac:dyDescent="0.25">
      <c r="A8" s="9" t="s">
        <v>52</v>
      </c>
      <c r="B8" s="10">
        <f t="shared" si="0"/>
        <v>7</v>
      </c>
      <c r="C8" s="10">
        <v>5</v>
      </c>
      <c r="D8" s="10">
        <v>2024</v>
      </c>
      <c r="E8" s="4">
        <v>39631.800000000003</v>
      </c>
      <c r="F8" s="11">
        <v>0.2</v>
      </c>
      <c r="G8" s="4">
        <f>LPG!N12</f>
        <v>2306.1729999999784</v>
      </c>
      <c r="H8" s="11">
        <v>1.58</v>
      </c>
      <c r="I8" s="4">
        <v>460.96699999999976</v>
      </c>
      <c r="J8" s="11">
        <v>7.84</v>
      </c>
      <c r="K8" s="4">
        <f>'Occupied &amp; No. of Guest'!B9</f>
        <v>473</v>
      </c>
      <c r="L8" s="4">
        <f>'Occupied &amp; No. of Guest'!C9</f>
        <v>673</v>
      </c>
    </row>
    <row r="9" spans="1:12" x14ac:dyDescent="0.25">
      <c r="A9" s="9" t="s">
        <v>52</v>
      </c>
      <c r="B9" s="10">
        <f t="shared" si="0"/>
        <v>8</v>
      </c>
      <c r="C9" s="10">
        <v>5</v>
      </c>
      <c r="D9" s="10">
        <v>2024</v>
      </c>
      <c r="E9" s="4">
        <v>40784.800000000003</v>
      </c>
      <c r="F9" s="11">
        <v>0.2</v>
      </c>
      <c r="G9" s="4">
        <f>LPG!N13</f>
        <v>2266.9530000000527</v>
      </c>
      <c r="H9" s="11">
        <v>1.58</v>
      </c>
      <c r="I9" s="4">
        <v>477.65500000001572</v>
      </c>
      <c r="J9" s="11">
        <v>7.84</v>
      </c>
      <c r="K9" s="4">
        <f>'Occupied &amp; No. of Guest'!B10</f>
        <v>462</v>
      </c>
      <c r="L9" s="4">
        <f>'Occupied &amp; No. of Guest'!C10</f>
        <v>637</v>
      </c>
    </row>
    <row r="10" spans="1:12" x14ac:dyDescent="0.25">
      <c r="A10" s="9" t="s">
        <v>52</v>
      </c>
      <c r="B10" s="10">
        <f t="shared" si="0"/>
        <v>9</v>
      </c>
      <c r="C10" s="10">
        <v>5</v>
      </c>
      <c r="D10" s="10">
        <v>2024</v>
      </c>
      <c r="E10" s="4">
        <v>40379.199999999997</v>
      </c>
      <c r="F10" s="11">
        <v>0.2</v>
      </c>
      <c r="G10" s="4">
        <f>LPG!N14</f>
        <v>2395.5649999999973</v>
      </c>
      <c r="H10" s="11">
        <v>1.58</v>
      </c>
      <c r="I10" s="4">
        <v>436.6699999999895</v>
      </c>
      <c r="J10" s="11">
        <v>7.84</v>
      </c>
      <c r="K10" s="4">
        <f>'Occupied &amp; No. of Guest'!B11</f>
        <v>460</v>
      </c>
      <c r="L10" s="4">
        <f>'Occupied &amp; No. of Guest'!C11</f>
        <v>625</v>
      </c>
    </row>
    <row r="11" spans="1:12" x14ac:dyDescent="0.25">
      <c r="A11" s="9" t="s">
        <v>52</v>
      </c>
      <c r="B11" s="10">
        <f t="shared" si="0"/>
        <v>10</v>
      </c>
      <c r="C11" s="10">
        <v>5</v>
      </c>
      <c r="D11" s="10">
        <v>2024</v>
      </c>
      <c r="E11" s="4">
        <v>38545.199999999997</v>
      </c>
      <c r="F11" s="11">
        <v>0.2</v>
      </c>
      <c r="G11" s="4">
        <f>LPG!N15</f>
        <v>2138.0820000000276</v>
      </c>
      <c r="H11" s="11">
        <v>1.58</v>
      </c>
      <c r="I11" s="4">
        <v>454.9640000000054</v>
      </c>
      <c r="J11" s="11">
        <v>7.84</v>
      </c>
      <c r="K11" s="4">
        <f>'Occupied &amp; No. of Guest'!B12</f>
        <v>425</v>
      </c>
      <c r="L11" s="4">
        <f>'Occupied &amp; No. of Guest'!C12</f>
        <v>633</v>
      </c>
    </row>
    <row r="12" spans="1:12" x14ac:dyDescent="0.25">
      <c r="A12" s="9" t="s">
        <v>52</v>
      </c>
      <c r="B12" s="10">
        <f t="shared" si="0"/>
        <v>11</v>
      </c>
      <c r="C12" s="10">
        <v>5</v>
      </c>
      <c r="D12" s="10">
        <v>2024</v>
      </c>
      <c r="E12" s="4">
        <v>39114.400000000001</v>
      </c>
      <c r="F12" s="11">
        <v>0.2</v>
      </c>
      <c r="G12" s="4">
        <f>LPG!N16</f>
        <v>2520.1070000000145</v>
      </c>
      <c r="H12" s="11">
        <v>1.58</v>
      </c>
      <c r="I12" s="4">
        <v>399.39199999999971</v>
      </c>
      <c r="J12" s="11">
        <v>7.84</v>
      </c>
      <c r="K12" s="4">
        <f>'Occupied &amp; No. of Guest'!B13</f>
        <v>404</v>
      </c>
      <c r="L12" s="4">
        <f>'Occupied &amp; No. of Guest'!C13</f>
        <v>602</v>
      </c>
    </row>
    <row r="13" spans="1:12" x14ac:dyDescent="0.25">
      <c r="A13" s="9" t="s">
        <v>52</v>
      </c>
      <c r="B13" s="10">
        <f t="shared" si="0"/>
        <v>12</v>
      </c>
      <c r="C13" s="10">
        <v>5</v>
      </c>
      <c r="D13" s="10">
        <v>2024</v>
      </c>
      <c r="E13" s="4">
        <v>39067.800000000003</v>
      </c>
      <c r="F13" s="11">
        <v>0.2</v>
      </c>
      <c r="G13" s="4">
        <f>LPG!N17</f>
        <v>2502.3469999999511</v>
      </c>
      <c r="H13" s="11">
        <v>1.58</v>
      </c>
      <c r="I13" s="4">
        <v>455.71800000000007</v>
      </c>
      <c r="J13" s="11">
        <v>7.84</v>
      </c>
      <c r="K13" s="4">
        <f>'Occupied &amp; No. of Guest'!B14</f>
        <v>398</v>
      </c>
      <c r="L13" s="4">
        <f>'Occupied &amp; No. of Guest'!C14</f>
        <v>553</v>
      </c>
    </row>
    <row r="14" spans="1:12" x14ac:dyDescent="0.25">
      <c r="A14" s="9" t="s">
        <v>52</v>
      </c>
      <c r="B14" s="10">
        <f t="shared" si="0"/>
        <v>13</v>
      </c>
      <c r="C14" s="10">
        <v>5</v>
      </c>
      <c r="D14" s="10">
        <v>2024</v>
      </c>
      <c r="E14" s="4">
        <v>39206.199999999997</v>
      </c>
      <c r="F14" s="11">
        <v>0.2</v>
      </c>
      <c r="G14" s="4">
        <f>LPG!N18</f>
        <v>2393.1970000000456</v>
      </c>
      <c r="H14" s="11">
        <v>1.58</v>
      </c>
      <c r="I14" s="4">
        <v>444.42199999998974</v>
      </c>
      <c r="J14" s="11">
        <v>7.84</v>
      </c>
      <c r="K14" s="4">
        <f>'Occupied &amp; No. of Guest'!B15</f>
        <v>418</v>
      </c>
      <c r="L14" s="4">
        <f>'Occupied &amp; No. of Guest'!C15</f>
        <v>584</v>
      </c>
    </row>
    <row r="15" spans="1:12" x14ac:dyDescent="0.25">
      <c r="A15" s="9" t="s">
        <v>52</v>
      </c>
      <c r="B15" s="10">
        <f t="shared" si="0"/>
        <v>14</v>
      </c>
      <c r="C15" s="10">
        <v>5</v>
      </c>
      <c r="D15" s="10">
        <v>2024</v>
      </c>
      <c r="E15" s="4">
        <v>40020.400000000001</v>
      </c>
      <c r="F15" s="11">
        <v>0.2</v>
      </c>
      <c r="G15" s="4">
        <f>LPG!N19</f>
        <v>2199.723999999921</v>
      </c>
      <c r="H15" s="11">
        <v>1.58</v>
      </c>
      <c r="I15" s="4">
        <v>435.97000000000503</v>
      </c>
      <c r="J15" s="11">
        <v>7.84</v>
      </c>
      <c r="K15" s="4">
        <f>'Occupied &amp; No. of Guest'!B16</f>
        <v>463</v>
      </c>
      <c r="L15" s="4">
        <f>'Occupied &amp; No. of Guest'!C16</f>
        <v>683</v>
      </c>
    </row>
    <row r="16" spans="1:12" x14ac:dyDescent="0.25">
      <c r="A16" s="9" t="s">
        <v>52</v>
      </c>
      <c r="B16" s="10">
        <f t="shared" si="0"/>
        <v>15</v>
      </c>
      <c r="C16" s="10">
        <v>5</v>
      </c>
      <c r="D16" s="10">
        <v>2024</v>
      </c>
      <c r="E16" s="4">
        <v>38688.199999999997</v>
      </c>
      <c r="F16" s="11">
        <v>0.2</v>
      </c>
      <c r="G16" s="4">
        <f>LPG!N20</f>
        <v>2105.5220000000086</v>
      </c>
      <c r="H16" s="11">
        <v>1.58</v>
      </c>
      <c r="I16" s="4">
        <v>470.57800000001077</v>
      </c>
      <c r="J16" s="11">
        <v>7.84</v>
      </c>
      <c r="K16" s="4">
        <f>'Occupied &amp; No. of Guest'!B17</f>
        <v>450</v>
      </c>
      <c r="L16" s="4">
        <f>'Occupied &amp; No. of Guest'!C17</f>
        <v>620</v>
      </c>
    </row>
    <row r="17" spans="1:12" x14ac:dyDescent="0.25">
      <c r="A17" s="9" t="s">
        <v>52</v>
      </c>
      <c r="B17" s="10">
        <f t="shared" si="0"/>
        <v>16</v>
      </c>
      <c r="C17" s="10">
        <v>5</v>
      </c>
      <c r="D17" s="10">
        <v>2024</v>
      </c>
      <c r="E17" s="4">
        <v>39915.800000000003</v>
      </c>
      <c r="F17" s="11">
        <v>0.2</v>
      </c>
      <c r="G17" s="4">
        <f>LPG!N21</f>
        <v>2073.4430000000689</v>
      </c>
      <c r="H17" s="11">
        <v>1.58</v>
      </c>
      <c r="I17" s="4">
        <v>460.23200000000509</v>
      </c>
      <c r="J17" s="11">
        <v>7.84</v>
      </c>
      <c r="K17" s="4">
        <f>'Occupied &amp; No. of Guest'!B18</f>
        <v>474</v>
      </c>
      <c r="L17" s="4">
        <f>'Occupied &amp; No. of Guest'!C18</f>
        <v>678</v>
      </c>
    </row>
    <row r="18" spans="1:12" x14ac:dyDescent="0.25">
      <c r="A18" s="9" t="s">
        <v>52</v>
      </c>
      <c r="B18" s="10">
        <f t="shared" si="0"/>
        <v>17</v>
      </c>
      <c r="C18" s="10">
        <v>5</v>
      </c>
      <c r="D18" s="10">
        <v>2024</v>
      </c>
      <c r="E18" s="4">
        <v>40090.400000000001</v>
      </c>
      <c r="F18" s="11">
        <v>0.2</v>
      </c>
      <c r="G18" s="4">
        <f>LPG!N22</f>
        <v>2050.9099999999776</v>
      </c>
      <c r="H18" s="11">
        <v>1.58</v>
      </c>
      <c r="I18" s="4">
        <v>413.56799999997895</v>
      </c>
      <c r="J18" s="11">
        <v>7.84</v>
      </c>
      <c r="K18" s="4">
        <f>'Occupied &amp; No. of Guest'!B19</f>
        <v>406</v>
      </c>
      <c r="L18" s="4">
        <f>'Occupied &amp; No. of Guest'!C19</f>
        <v>592</v>
      </c>
    </row>
    <row r="19" spans="1:12" x14ac:dyDescent="0.25">
      <c r="A19" s="9" t="s">
        <v>52</v>
      </c>
      <c r="B19" s="10">
        <f t="shared" si="0"/>
        <v>18</v>
      </c>
      <c r="C19" s="10">
        <v>5</v>
      </c>
      <c r="D19" s="10">
        <v>2024</v>
      </c>
      <c r="E19" s="4">
        <v>39337.4</v>
      </c>
      <c r="F19" s="11">
        <v>0.2</v>
      </c>
      <c r="G19" s="4">
        <f>LPG!N23</f>
        <v>2177.5240000000035</v>
      </c>
      <c r="H19" s="11">
        <v>1.58</v>
      </c>
      <c r="I19" s="4">
        <v>434.54400000001567</v>
      </c>
      <c r="J19" s="11">
        <v>7.84</v>
      </c>
      <c r="K19" s="4">
        <f>'Occupied &amp; No. of Guest'!B20</f>
        <v>466</v>
      </c>
      <c r="L19" s="4">
        <f>'Occupied &amp; No. of Guest'!C20</f>
        <v>706</v>
      </c>
    </row>
    <row r="20" spans="1:12" x14ac:dyDescent="0.25">
      <c r="A20" s="9" t="s">
        <v>52</v>
      </c>
      <c r="B20" s="10">
        <f t="shared" si="0"/>
        <v>19</v>
      </c>
      <c r="C20" s="10">
        <v>5</v>
      </c>
      <c r="D20" s="10">
        <v>2024</v>
      </c>
      <c r="E20" s="4">
        <v>38391.4</v>
      </c>
      <c r="F20" s="11">
        <v>0.2</v>
      </c>
      <c r="G20" s="4">
        <f>LPG!N24</f>
        <v>2260.4040000000123</v>
      </c>
      <c r="H20" s="11">
        <v>1.58</v>
      </c>
      <c r="I20" s="4">
        <v>426.39799999998468</v>
      </c>
      <c r="J20" s="11">
        <v>7.84</v>
      </c>
      <c r="K20" s="4">
        <f>'Occupied &amp; No. of Guest'!B21</f>
        <v>469</v>
      </c>
      <c r="L20" s="4">
        <f>'Occupied &amp; No. of Guest'!C21</f>
        <v>624</v>
      </c>
    </row>
    <row r="21" spans="1:12" x14ac:dyDescent="0.25">
      <c r="A21" s="9" t="s">
        <v>52</v>
      </c>
      <c r="B21" s="10">
        <f t="shared" si="0"/>
        <v>20</v>
      </c>
      <c r="C21" s="10">
        <v>5</v>
      </c>
      <c r="D21" s="10">
        <v>2024</v>
      </c>
      <c r="E21" s="4">
        <v>39741.4</v>
      </c>
      <c r="F21" s="11">
        <v>0.2</v>
      </c>
      <c r="G21" s="4">
        <f>LPG!N25</f>
        <v>2278.9409999999643</v>
      </c>
      <c r="H21" s="11">
        <v>1.58</v>
      </c>
      <c r="I21" s="4">
        <v>381.30400000001015</v>
      </c>
      <c r="J21" s="11">
        <v>7.84</v>
      </c>
      <c r="K21" s="4">
        <f>'Occupied &amp; No. of Guest'!B22</f>
        <v>460</v>
      </c>
      <c r="L21" s="4">
        <f>'Occupied &amp; No. of Guest'!C22</f>
        <v>617</v>
      </c>
    </row>
    <row r="22" spans="1:12" x14ac:dyDescent="0.25">
      <c r="A22" s="9" t="s">
        <v>52</v>
      </c>
      <c r="B22" s="10">
        <f t="shared" si="0"/>
        <v>21</v>
      </c>
      <c r="C22" s="10">
        <v>5</v>
      </c>
      <c r="D22" s="10">
        <v>2024</v>
      </c>
      <c r="E22" s="4">
        <v>39807.199999999997</v>
      </c>
      <c r="F22" s="11">
        <v>0.2</v>
      </c>
      <c r="G22" s="4">
        <f>LPG!N26</f>
        <v>2510.7089999999857</v>
      </c>
      <c r="H22" s="11">
        <v>1.58</v>
      </c>
      <c r="I22" s="4">
        <v>483.08099999998956</v>
      </c>
      <c r="J22" s="11">
        <v>7.84</v>
      </c>
      <c r="K22" s="4">
        <f>'Occupied &amp; No. of Guest'!B23</f>
        <v>472</v>
      </c>
      <c r="L22" s="4">
        <f>'Occupied &amp; No. of Guest'!C23</f>
        <v>652</v>
      </c>
    </row>
    <row r="23" spans="1:12" x14ac:dyDescent="0.25">
      <c r="A23" s="9" t="s">
        <v>52</v>
      </c>
      <c r="B23" s="10">
        <f t="shared" si="0"/>
        <v>22</v>
      </c>
      <c r="C23" s="10">
        <v>5</v>
      </c>
      <c r="D23" s="10">
        <v>2024</v>
      </c>
      <c r="E23" s="4">
        <v>39915.4</v>
      </c>
      <c r="F23" s="11">
        <v>0.2</v>
      </c>
      <c r="G23" s="4">
        <f>LPG!N27</f>
        <v>2255.4830000000361</v>
      </c>
      <c r="H23" s="11">
        <v>1.58</v>
      </c>
      <c r="I23" s="4">
        <v>421.81000000000029</v>
      </c>
      <c r="J23" s="11">
        <v>7.84</v>
      </c>
      <c r="K23" s="4">
        <f>'Occupied &amp; No. of Guest'!B24</f>
        <v>452</v>
      </c>
      <c r="L23" s="4">
        <f>'Occupied &amp; No. of Guest'!C24</f>
        <v>637</v>
      </c>
    </row>
    <row r="24" spans="1:12" x14ac:dyDescent="0.25">
      <c r="A24" s="9" t="s">
        <v>52</v>
      </c>
      <c r="B24" s="10">
        <f t="shared" si="0"/>
        <v>23</v>
      </c>
      <c r="C24" s="10">
        <v>5</v>
      </c>
      <c r="D24" s="10">
        <v>2024</v>
      </c>
      <c r="E24" s="4">
        <v>39695</v>
      </c>
      <c r="F24" s="11">
        <v>0.2</v>
      </c>
      <c r="G24" s="4">
        <f>LPG!N28</f>
        <v>2290.2259999999628</v>
      </c>
      <c r="H24" s="11">
        <v>1.58</v>
      </c>
      <c r="I24" s="4">
        <v>451.35600000000494</v>
      </c>
      <c r="J24" s="11">
        <v>7.84</v>
      </c>
      <c r="K24" s="4">
        <f>'Occupied &amp; No. of Guest'!B25</f>
        <v>374</v>
      </c>
      <c r="L24" s="4">
        <f>'Occupied &amp; No. of Guest'!C25</f>
        <v>528</v>
      </c>
    </row>
    <row r="25" spans="1:12" x14ac:dyDescent="0.25">
      <c r="A25" s="9" t="s">
        <v>52</v>
      </c>
      <c r="B25" s="10">
        <f t="shared" si="0"/>
        <v>24</v>
      </c>
      <c r="C25" s="10">
        <v>5</v>
      </c>
      <c r="D25" s="10">
        <v>2024</v>
      </c>
      <c r="E25" s="4">
        <v>38692.600000000006</v>
      </c>
      <c r="F25" s="11">
        <v>0.2</v>
      </c>
      <c r="G25" s="4">
        <f>LPG!N29</f>
        <v>2455.5790000000679</v>
      </c>
      <c r="H25" s="11">
        <v>1.58</v>
      </c>
      <c r="I25" s="4">
        <v>530.99900000000525</v>
      </c>
      <c r="J25" s="11">
        <v>7.84</v>
      </c>
      <c r="K25" s="4">
        <f>'Occupied &amp; No. of Guest'!B26</f>
        <v>363</v>
      </c>
      <c r="L25" s="4">
        <f>'Occupied &amp; No. of Guest'!C26</f>
        <v>499</v>
      </c>
    </row>
    <row r="26" spans="1:12" x14ac:dyDescent="0.25">
      <c r="A26" s="9" t="s">
        <v>52</v>
      </c>
      <c r="B26" s="10">
        <f>B25+1</f>
        <v>25</v>
      </c>
      <c r="C26" s="10">
        <v>5</v>
      </c>
      <c r="D26" s="10">
        <v>2024</v>
      </c>
      <c r="E26" s="4">
        <v>39387.199999999997</v>
      </c>
      <c r="F26" s="11">
        <v>0.2</v>
      </c>
      <c r="G26" s="4">
        <f>LPG!N30</f>
        <v>2606.427999999923</v>
      </c>
      <c r="H26" s="11">
        <v>1.58</v>
      </c>
      <c r="I26" s="4">
        <v>418.0880000000052</v>
      </c>
      <c r="J26" s="11">
        <v>7.84</v>
      </c>
      <c r="K26" s="4">
        <f>'Occupied &amp; No. of Guest'!B27</f>
        <v>377</v>
      </c>
      <c r="L26" s="4">
        <f>'Occupied &amp; No. of Guest'!C27</f>
        <v>535</v>
      </c>
    </row>
    <row r="27" spans="1:12" x14ac:dyDescent="0.25">
      <c r="A27" s="9" t="s">
        <v>52</v>
      </c>
      <c r="B27" s="10">
        <f t="shared" si="0"/>
        <v>26</v>
      </c>
      <c r="C27" s="10">
        <v>5</v>
      </c>
      <c r="D27" s="10">
        <v>2024</v>
      </c>
      <c r="E27" s="4">
        <v>37414.800000000003</v>
      </c>
      <c r="F27" s="11">
        <v>0.2</v>
      </c>
      <c r="G27" s="4">
        <f>LPG!N31</f>
        <v>2633.1420000000417</v>
      </c>
      <c r="H27" s="11">
        <v>1.58</v>
      </c>
      <c r="I27" s="4">
        <v>492.06799999999475</v>
      </c>
      <c r="J27" s="11">
        <v>7.84</v>
      </c>
      <c r="K27" s="4">
        <f>'Occupied &amp; No. of Guest'!B28</f>
        <v>333</v>
      </c>
      <c r="L27" s="4">
        <f>'Occupied &amp; No. of Guest'!C28</f>
        <v>441</v>
      </c>
    </row>
    <row r="28" spans="1:12" x14ac:dyDescent="0.25">
      <c r="A28" s="9" t="s">
        <v>52</v>
      </c>
      <c r="B28" s="10">
        <f t="shared" si="0"/>
        <v>27</v>
      </c>
      <c r="C28" s="10">
        <v>5</v>
      </c>
      <c r="D28" s="10">
        <v>2024</v>
      </c>
      <c r="E28" s="4">
        <v>39786.800000000003</v>
      </c>
      <c r="F28" s="11">
        <v>0.2</v>
      </c>
      <c r="G28" s="4">
        <f>LPG!N32</f>
        <v>2506.8979999999647</v>
      </c>
      <c r="H28" s="11">
        <v>1.58</v>
      </c>
      <c r="I28" s="4">
        <v>459.63299999998964</v>
      </c>
      <c r="J28" s="11">
        <v>7.84</v>
      </c>
      <c r="K28" s="4">
        <f>'Occupied &amp; No. of Guest'!B29</f>
        <v>444</v>
      </c>
      <c r="L28" s="4">
        <f>'Occupied &amp; No. of Guest'!C29</f>
        <v>589</v>
      </c>
    </row>
    <row r="29" spans="1:12" x14ac:dyDescent="0.25">
      <c r="A29" s="9" t="s">
        <v>52</v>
      </c>
      <c r="B29" s="10">
        <f t="shared" si="0"/>
        <v>28</v>
      </c>
      <c r="C29" s="10">
        <v>5</v>
      </c>
      <c r="D29" s="10">
        <v>2024</v>
      </c>
      <c r="E29" s="4">
        <v>40291.800000000003</v>
      </c>
      <c r="F29" s="11">
        <v>0.2</v>
      </c>
      <c r="G29" s="4">
        <f>LPG!N33</f>
        <v>2575.3480000000322</v>
      </c>
      <c r="H29" s="11">
        <v>1.58</v>
      </c>
      <c r="I29" s="4">
        <v>457.03100000001052</v>
      </c>
      <c r="J29" s="11">
        <v>7.84</v>
      </c>
      <c r="K29" s="4">
        <f>'Occupied &amp; No. of Guest'!B30</f>
        <v>469</v>
      </c>
      <c r="L29" s="4">
        <f>'Occupied &amp; No. of Guest'!C30</f>
        <v>623</v>
      </c>
    </row>
    <row r="30" spans="1:12" x14ac:dyDescent="0.25">
      <c r="A30" s="9" t="s">
        <v>52</v>
      </c>
      <c r="B30" s="10">
        <f t="shared" si="0"/>
        <v>29</v>
      </c>
      <c r="C30" s="10">
        <v>5</v>
      </c>
      <c r="D30" s="10">
        <v>2024</v>
      </c>
      <c r="E30" s="4">
        <v>39886.800000000003</v>
      </c>
      <c r="F30" s="11">
        <v>0.2</v>
      </c>
      <c r="G30" s="4">
        <f>LPG!N34</f>
        <v>2530.0599999999754</v>
      </c>
      <c r="H30" s="11">
        <v>1.58</v>
      </c>
      <c r="I30" s="4">
        <v>522.64600000000519</v>
      </c>
      <c r="J30" s="11">
        <v>7.84</v>
      </c>
      <c r="K30" s="4">
        <f>'Occupied &amp; No. of Guest'!B31</f>
        <v>444</v>
      </c>
      <c r="L30" s="4">
        <f>'Occupied &amp; No. of Guest'!C31</f>
        <v>573</v>
      </c>
    </row>
    <row r="31" spans="1:12" x14ac:dyDescent="0.25">
      <c r="A31" s="9" t="s">
        <v>52</v>
      </c>
      <c r="B31" s="10">
        <f t="shared" si="0"/>
        <v>30</v>
      </c>
      <c r="C31" s="10">
        <v>5</v>
      </c>
      <c r="D31" s="10">
        <v>2024</v>
      </c>
      <c r="E31" s="4">
        <v>43269.8</v>
      </c>
      <c r="F31" s="11">
        <v>0.2</v>
      </c>
      <c r="G31" s="4">
        <f>LPG!N35</f>
        <v>2531.3550000000282</v>
      </c>
      <c r="H31" s="11">
        <v>1.58</v>
      </c>
      <c r="I31" s="4">
        <v>455.99599999999998</v>
      </c>
      <c r="J31" s="11">
        <v>7.84</v>
      </c>
      <c r="K31" s="4">
        <f>'Occupied &amp; No. of Guest'!B32</f>
        <v>401</v>
      </c>
      <c r="L31" s="4">
        <f>'Occupied &amp; No. of Guest'!C32</f>
        <v>552</v>
      </c>
    </row>
    <row r="32" spans="1:12" x14ac:dyDescent="0.25">
      <c r="A32" s="9" t="s">
        <v>52</v>
      </c>
      <c r="B32" s="10">
        <f t="shared" si="0"/>
        <v>31</v>
      </c>
      <c r="C32" s="10">
        <v>5</v>
      </c>
      <c r="D32" s="10">
        <v>2024</v>
      </c>
      <c r="E32" s="4">
        <v>43955.199999999997</v>
      </c>
      <c r="F32" s="11">
        <v>0.2</v>
      </c>
      <c r="G32" s="4">
        <f>LPG!N36</f>
        <v>656.77699999997833</v>
      </c>
      <c r="H32" s="11">
        <v>1.58</v>
      </c>
      <c r="I32" s="4">
        <v>509.01399999999489</v>
      </c>
      <c r="J32" s="11">
        <v>7.84</v>
      </c>
      <c r="K32" s="4">
        <f>'Occupied &amp; No. of Guest'!B33</f>
        <v>346</v>
      </c>
      <c r="L32" s="4">
        <f>'Occupied &amp; No. of Guest'!C33</f>
        <v>488</v>
      </c>
    </row>
    <row r="33" spans="7:7" x14ac:dyDescent="0.25">
      <c r="G3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C785D-AAE3-4932-B36D-B3428EA355C6}">
  <sheetPr>
    <pageSetUpPr fitToPage="1"/>
  </sheetPr>
  <dimension ref="A1:BO22"/>
  <sheetViews>
    <sheetView zoomScale="115" zoomScaleNormal="115" zoomScaleSheetLayoutView="85" workbookViewId="0">
      <pane xSplit="4" ySplit="4" topLeftCell="E16" activePane="bottomRight" state="frozen"/>
      <selection pane="topRight" activeCell="E1" sqref="E1"/>
      <selection pane="bottomLeft" activeCell="A5" sqref="A5"/>
      <selection pane="bottomRight" activeCell="E22" sqref="E22"/>
    </sheetView>
  </sheetViews>
  <sheetFormatPr defaultColWidth="9.140625" defaultRowHeight="27" customHeight="1" x14ac:dyDescent="0.2"/>
  <cols>
    <col min="1" max="1" width="5.7109375" style="13" customWidth="1"/>
    <col min="2" max="2" width="17.28515625" style="26" customWidth="1"/>
    <col min="3" max="3" width="21.42578125" style="26" customWidth="1"/>
    <col min="4" max="4" width="10.5703125" style="13" customWidth="1"/>
    <col min="5" max="6" width="15" style="14" customWidth="1"/>
    <col min="7" max="35" width="15" style="13" customWidth="1"/>
    <col min="36" max="16384" width="9.140625" style="13"/>
  </cols>
  <sheetData>
    <row r="1" spans="1:67" ht="29.25" customHeight="1" x14ac:dyDescent="0.2">
      <c r="B1" s="13"/>
      <c r="C1" s="14"/>
      <c r="D1" s="14"/>
      <c r="G1" s="14"/>
    </row>
    <row r="2" spans="1:67" s="14" customFormat="1" ht="29.25" customHeight="1" x14ac:dyDescent="0.25">
      <c r="A2" s="82" t="s">
        <v>98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</row>
    <row r="3" spans="1:67" s="14" customFormat="1" ht="29.25" customHeight="1" thickBot="1" x14ac:dyDescent="0.3"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</row>
    <row r="4" spans="1:67" ht="39" thickBot="1" x14ac:dyDescent="0.25">
      <c r="A4" s="15" t="s">
        <v>10</v>
      </c>
      <c r="B4" s="16" t="s">
        <v>11</v>
      </c>
      <c r="C4" s="17" t="s">
        <v>12</v>
      </c>
      <c r="D4" s="18" t="s">
        <v>13</v>
      </c>
      <c r="E4" s="18">
        <v>1</v>
      </c>
      <c r="F4" s="18">
        <v>2</v>
      </c>
      <c r="G4" s="19">
        <v>3</v>
      </c>
      <c r="H4" s="18">
        <v>4</v>
      </c>
      <c r="I4" s="18">
        <v>5</v>
      </c>
      <c r="J4" s="18">
        <v>6</v>
      </c>
      <c r="K4" s="18">
        <v>7</v>
      </c>
      <c r="L4" s="18">
        <v>8</v>
      </c>
      <c r="M4" s="18">
        <v>9</v>
      </c>
      <c r="N4" s="18">
        <v>10</v>
      </c>
      <c r="O4" s="18">
        <v>11</v>
      </c>
      <c r="P4" s="18">
        <v>12</v>
      </c>
      <c r="Q4" s="18">
        <v>13</v>
      </c>
      <c r="R4" s="18">
        <v>14</v>
      </c>
      <c r="S4" s="18">
        <v>15</v>
      </c>
      <c r="T4" s="18">
        <v>16</v>
      </c>
      <c r="U4" s="18">
        <v>17</v>
      </c>
      <c r="V4" s="18">
        <v>18</v>
      </c>
      <c r="W4" s="18">
        <v>19</v>
      </c>
      <c r="X4" s="18">
        <v>20</v>
      </c>
      <c r="Y4" s="18">
        <v>21</v>
      </c>
      <c r="Z4" s="18">
        <v>22</v>
      </c>
      <c r="AA4" s="18">
        <v>23</v>
      </c>
      <c r="AB4" s="18">
        <v>24</v>
      </c>
      <c r="AC4" s="18">
        <v>25</v>
      </c>
      <c r="AD4" s="18">
        <v>26</v>
      </c>
      <c r="AE4" s="18">
        <v>27</v>
      </c>
      <c r="AF4" s="18">
        <v>28</v>
      </c>
      <c r="AG4" s="18">
        <v>29</v>
      </c>
      <c r="AH4" s="18">
        <v>30</v>
      </c>
      <c r="AI4" s="18">
        <v>31</v>
      </c>
    </row>
    <row r="5" spans="1:67" ht="26.25" customHeight="1" x14ac:dyDescent="0.2">
      <c r="A5" s="84">
        <v>1</v>
      </c>
      <c r="B5" s="20" t="s">
        <v>14</v>
      </c>
      <c r="C5" s="86" t="s">
        <v>15</v>
      </c>
      <c r="D5" s="21">
        <v>9401020</v>
      </c>
      <c r="E5" s="21">
        <v>9423395</v>
      </c>
      <c r="F5" s="21">
        <v>9445251</v>
      </c>
      <c r="G5" s="21">
        <v>9467918</v>
      </c>
      <c r="H5" s="21">
        <v>9490367</v>
      </c>
      <c r="I5" s="21">
        <v>9512690</v>
      </c>
      <c r="J5" s="21">
        <v>9535543</v>
      </c>
      <c r="K5" s="21">
        <v>9557710</v>
      </c>
      <c r="L5" s="21">
        <v>9580484</v>
      </c>
      <c r="M5" s="21">
        <v>9603312</v>
      </c>
      <c r="N5" s="21">
        <v>9625762</v>
      </c>
      <c r="O5" s="21">
        <v>9648413</v>
      </c>
      <c r="P5" s="21">
        <v>9670588</v>
      </c>
      <c r="Q5" s="21">
        <v>9693013</v>
      </c>
      <c r="R5" s="21">
        <v>9715920</v>
      </c>
      <c r="S5" s="21">
        <v>9738300</v>
      </c>
      <c r="T5" s="21">
        <v>9760966</v>
      </c>
      <c r="U5" s="21">
        <v>9783743</v>
      </c>
      <c r="V5" s="21">
        <v>9805768</v>
      </c>
      <c r="W5" s="21">
        <v>9827017</v>
      </c>
      <c r="X5" s="21">
        <v>9849602</v>
      </c>
      <c r="Y5" s="21">
        <v>9872239</v>
      </c>
      <c r="Z5" s="21">
        <v>9895014</v>
      </c>
      <c r="AA5" s="21">
        <v>9917695</v>
      </c>
      <c r="AB5" s="21">
        <v>9939445</v>
      </c>
      <c r="AC5" s="21">
        <v>9961614</v>
      </c>
      <c r="AD5" s="21">
        <v>9981863</v>
      </c>
      <c r="AE5" s="21">
        <v>10004044</v>
      </c>
      <c r="AF5" s="21">
        <v>10026125</v>
      </c>
      <c r="AG5" s="21">
        <v>10047932</v>
      </c>
      <c r="AH5" s="21">
        <v>10069637</v>
      </c>
      <c r="AI5" s="21">
        <v>10091408</v>
      </c>
    </row>
    <row r="6" spans="1:67" s="24" customFormat="1" ht="21.75" customHeight="1" thickBot="1" x14ac:dyDescent="0.25">
      <c r="A6" s="85"/>
      <c r="B6" s="22"/>
      <c r="C6" s="87"/>
      <c r="D6" s="23"/>
      <c r="E6" s="23">
        <f t="shared" ref="E6:AI6" si="0">E5-D5</f>
        <v>22375</v>
      </c>
      <c r="F6" s="23">
        <f t="shared" si="0"/>
        <v>21856</v>
      </c>
      <c r="G6" s="23">
        <f t="shared" si="0"/>
        <v>22667</v>
      </c>
      <c r="H6" s="23">
        <f t="shared" si="0"/>
        <v>22449</v>
      </c>
      <c r="I6" s="23">
        <f t="shared" si="0"/>
        <v>22323</v>
      </c>
      <c r="J6" s="23">
        <f t="shared" si="0"/>
        <v>22853</v>
      </c>
      <c r="K6" s="23">
        <f>K5-J5</f>
        <v>22167</v>
      </c>
      <c r="L6" s="23">
        <f t="shared" si="0"/>
        <v>22774</v>
      </c>
      <c r="M6" s="23">
        <f t="shared" si="0"/>
        <v>22828</v>
      </c>
      <c r="N6" s="23">
        <f t="shared" si="0"/>
        <v>22450</v>
      </c>
      <c r="O6" s="23">
        <f t="shared" si="0"/>
        <v>22651</v>
      </c>
      <c r="P6" s="23">
        <f t="shared" si="0"/>
        <v>22175</v>
      </c>
      <c r="Q6" s="23">
        <f t="shared" si="0"/>
        <v>22425</v>
      </c>
      <c r="R6" s="23">
        <f t="shared" si="0"/>
        <v>22907</v>
      </c>
      <c r="S6" s="23">
        <f t="shared" si="0"/>
        <v>22380</v>
      </c>
      <c r="T6" s="23">
        <f t="shared" si="0"/>
        <v>22666</v>
      </c>
      <c r="U6" s="23">
        <f t="shared" si="0"/>
        <v>22777</v>
      </c>
      <c r="V6" s="23">
        <f t="shared" si="0"/>
        <v>22025</v>
      </c>
      <c r="W6" s="23">
        <f t="shared" si="0"/>
        <v>21249</v>
      </c>
      <c r="X6" s="23">
        <f t="shared" si="0"/>
        <v>22585</v>
      </c>
      <c r="Y6" s="23">
        <f t="shared" si="0"/>
        <v>22637</v>
      </c>
      <c r="Z6" s="23">
        <f t="shared" si="0"/>
        <v>22775</v>
      </c>
      <c r="AA6" s="23">
        <f t="shared" si="0"/>
        <v>22681</v>
      </c>
      <c r="AB6" s="23">
        <f t="shared" si="0"/>
        <v>21750</v>
      </c>
      <c r="AC6" s="23">
        <f t="shared" si="0"/>
        <v>22169</v>
      </c>
      <c r="AD6" s="23">
        <f t="shared" si="0"/>
        <v>20249</v>
      </c>
      <c r="AE6" s="23">
        <f t="shared" si="0"/>
        <v>22181</v>
      </c>
      <c r="AF6" s="23">
        <f t="shared" si="0"/>
        <v>22081</v>
      </c>
      <c r="AG6" s="23">
        <f t="shared" si="0"/>
        <v>21807</v>
      </c>
      <c r="AH6" s="23">
        <f t="shared" si="0"/>
        <v>21705</v>
      </c>
      <c r="AI6" s="23">
        <f t="shared" si="0"/>
        <v>21771</v>
      </c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</row>
    <row r="7" spans="1:67" ht="22.5" customHeight="1" x14ac:dyDescent="0.2">
      <c r="A7" s="88">
        <v>2</v>
      </c>
      <c r="B7" s="25" t="s">
        <v>16</v>
      </c>
      <c r="C7" s="90" t="s">
        <v>17</v>
      </c>
      <c r="D7" s="21">
        <v>620</v>
      </c>
      <c r="E7" s="21">
        <v>620</v>
      </c>
      <c r="F7" s="21">
        <v>620</v>
      </c>
      <c r="G7" s="21">
        <v>620</v>
      </c>
      <c r="H7" s="21">
        <v>620</v>
      </c>
      <c r="I7" s="21">
        <v>620</v>
      </c>
      <c r="J7" s="21">
        <v>620</v>
      </c>
      <c r="K7" s="21">
        <v>620</v>
      </c>
      <c r="L7" s="21">
        <v>620</v>
      </c>
      <c r="M7" s="21">
        <v>620</v>
      </c>
      <c r="N7" s="21">
        <v>620</v>
      </c>
      <c r="O7" s="21">
        <v>620</v>
      </c>
      <c r="P7" s="21">
        <v>620</v>
      </c>
      <c r="Q7" s="21">
        <v>620</v>
      </c>
      <c r="R7" s="21">
        <v>620</v>
      </c>
      <c r="S7" s="21">
        <v>620</v>
      </c>
      <c r="T7" s="21">
        <v>620</v>
      </c>
      <c r="U7" s="21">
        <v>620</v>
      </c>
      <c r="V7" s="21">
        <v>620</v>
      </c>
      <c r="W7" s="21">
        <v>620</v>
      </c>
      <c r="X7" s="21">
        <v>620</v>
      </c>
      <c r="Y7" s="21">
        <v>620</v>
      </c>
      <c r="Z7" s="21">
        <v>620</v>
      </c>
      <c r="AA7" s="21">
        <v>620</v>
      </c>
      <c r="AB7" s="21">
        <v>620</v>
      </c>
      <c r="AC7" s="21">
        <v>620</v>
      </c>
      <c r="AD7" s="21">
        <v>620</v>
      </c>
      <c r="AE7" s="21">
        <v>620</v>
      </c>
      <c r="AF7" s="21">
        <v>620</v>
      </c>
      <c r="AG7" s="21">
        <v>620</v>
      </c>
      <c r="AH7" s="21">
        <v>620</v>
      </c>
      <c r="AI7" s="21">
        <v>620</v>
      </c>
    </row>
    <row r="8" spans="1:67" s="24" customFormat="1" ht="21.75" customHeight="1" thickBot="1" x14ac:dyDescent="0.25">
      <c r="A8" s="89"/>
      <c r="B8" s="22"/>
      <c r="C8" s="87"/>
      <c r="D8" s="23"/>
      <c r="E8" s="23">
        <f t="shared" ref="E8:AI8" si="1">E7-D7</f>
        <v>0</v>
      </c>
      <c r="F8" s="23">
        <f t="shared" si="1"/>
        <v>0</v>
      </c>
      <c r="G8" s="23">
        <f t="shared" si="1"/>
        <v>0</v>
      </c>
      <c r="H8" s="23">
        <f t="shared" si="1"/>
        <v>0</v>
      </c>
      <c r="I8" s="23">
        <f t="shared" si="1"/>
        <v>0</v>
      </c>
      <c r="J8" s="23">
        <f t="shared" si="1"/>
        <v>0</v>
      </c>
      <c r="K8" s="23">
        <f t="shared" si="1"/>
        <v>0</v>
      </c>
      <c r="L8" s="23">
        <f t="shared" si="1"/>
        <v>0</v>
      </c>
      <c r="M8" s="23">
        <f t="shared" si="1"/>
        <v>0</v>
      </c>
      <c r="N8" s="23">
        <f t="shared" si="1"/>
        <v>0</v>
      </c>
      <c r="O8" s="23">
        <f t="shared" si="1"/>
        <v>0</v>
      </c>
      <c r="P8" s="23">
        <f t="shared" si="1"/>
        <v>0</v>
      </c>
      <c r="Q8" s="23">
        <f t="shared" si="1"/>
        <v>0</v>
      </c>
      <c r="R8" s="23">
        <f t="shared" si="1"/>
        <v>0</v>
      </c>
      <c r="S8" s="23">
        <f t="shared" si="1"/>
        <v>0</v>
      </c>
      <c r="T8" s="23">
        <f t="shared" si="1"/>
        <v>0</v>
      </c>
      <c r="U8" s="23">
        <f t="shared" si="1"/>
        <v>0</v>
      </c>
      <c r="V8" s="23">
        <f t="shared" si="1"/>
        <v>0</v>
      </c>
      <c r="W8" s="23">
        <f t="shared" si="1"/>
        <v>0</v>
      </c>
      <c r="X8" s="23">
        <f t="shared" si="1"/>
        <v>0</v>
      </c>
      <c r="Y8" s="23">
        <f t="shared" si="1"/>
        <v>0</v>
      </c>
      <c r="Z8" s="23">
        <f t="shared" si="1"/>
        <v>0</v>
      </c>
      <c r="AA8" s="23">
        <f t="shared" si="1"/>
        <v>0</v>
      </c>
      <c r="AB8" s="23">
        <f t="shared" si="1"/>
        <v>0</v>
      </c>
      <c r="AC8" s="23">
        <f t="shared" si="1"/>
        <v>0</v>
      </c>
      <c r="AD8" s="23">
        <f t="shared" si="1"/>
        <v>0</v>
      </c>
      <c r="AE8" s="23">
        <f t="shared" si="1"/>
        <v>0</v>
      </c>
      <c r="AF8" s="23">
        <f t="shared" si="1"/>
        <v>0</v>
      </c>
      <c r="AG8" s="23">
        <f t="shared" si="1"/>
        <v>0</v>
      </c>
      <c r="AH8" s="23">
        <f t="shared" si="1"/>
        <v>0</v>
      </c>
      <c r="AI8" s="23">
        <f t="shared" si="1"/>
        <v>0</v>
      </c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</row>
    <row r="9" spans="1:67" ht="21.75" customHeight="1" x14ac:dyDescent="0.2">
      <c r="A9" s="80">
        <v>3</v>
      </c>
      <c r="B9" s="36" t="s">
        <v>53</v>
      </c>
      <c r="C9" s="81" t="s">
        <v>54</v>
      </c>
      <c r="D9" s="21">
        <v>9803407</v>
      </c>
      <c r="E9" s="21">
        <v>9827018</v>
      </c>
      <c r="F9" s="21">
        <v>9849168</v>
      </c>
      <c r="G9" s="21">
        <v>9872628</v>
      </c>
      <c r="H9" s="21">
        <v>9895812</v>
      </c>
      <c r="I9" s="21">
        <v>9919062</v>
      </c>
      <c r="J9" s="21">
        <v>9941625</v>
      </c>
      <c r="K9" s="21">
        <v>9963652</v>
      </c>
      <c r="L9" s="21">
        <v>9987223</v>
      </c>
      <c r="M9" s="21">
        <v>10010230</v>
      </c>
      <c r="N9" s="21">
        <v>10031065</v>
      </c>
      <c r="O9" s="21">
        <v>10051650</v>
      </c>
      <c r="P9" s="21">
        <v>10072597</v>
      </c>
      <c r="Q9" s="21">
        <v>10092417</v>
      </c>
      <c r="R9" s="21">
        <v>10113311</v>
      </c>
      <c r="S9" s="21">
        <v>10130840</v>
      </c>
      <c r="T9" s="21">
        <v>10150691</v>
      </c>
      <c r="U9" s="21">
        <v>10170659</v>
      </c>
      <c r="V9" s="21">
        <v>10190516</v>
      </c>
      <c r="W9" s="21">
        <v>10210777</v>
      </c>
      <c r="X9" s="21">
        <v>10231264</v>
      </c>
      <c r="Y9" s="21">
        <v>10251827</v>
      </c>
      <c r="Z9" s="21">
        <v>10272417</v>
      </c>
      <c r="AA9" s="21">
        <v>10292946</v>
      </c>
      <c r="AB9" s="21">
        <v>10313183</v>
      </c>
      <c r="AC9" s="21">
        <v>10333613</v>
      </c>
      <c r="AD9" s="21">
        <v>10353715</v>
      </c>
      <c r="AE9" s="21">
        <v>10373074</v>
      </c>
      <c r="AF9" s="21">
        <v>10392303</v>
      </c>
      <c r="AG9" s="21">
        <v>10411374</v>
      </c>
      <c r="AH9" s="21">
        <v>10430067</v>
      </c>
      <c r="AI9" s="21">
        <v>10447885</v>
      </c>
    </row>
    <row r="10" spans="1:67" s="24" customFormat="1" ht="21.75" customHeight="1" thickBot="1" x14ac:dyDescent="0.25">
      <c r="A10" s="76"/>
      <c r="B10" s="37"/>
      <c r="C10" s="79"/>
      <c r="D10" s="23"/>
      <c r="E10" s="23">
        <f t="shared" ref="E10:AI10" si="2">E9-D9</f>
        <v>23611</v>
      </c>
      <c r="F10" s="23">
        <f t="shared" si="2"/>
        <v>22150</v>
      </c>
      <c r="G10" s="23">
        <f t="shared" si="2"/>
        <v>23460</v>
      </c>
      <c r="H10" s="23">
        <f t="shared" si="2"/>
        <v>23184</v>
      </c>
      <c r="I10" s="23">
        <f t="shared" si="2"/>
        <v>23250</v>
      </c>
      <c r="J10" s="23">
        <f t="shared" si="2"/>
        <v>22563</v>
      </c>
      <c r="K10" s="23">
        <f t="shared" si="2"/>
        <v>22027</v>
      </c>
      <c r="L10" s="23">
        <f t="shared" si="2"/>
        <v>23571</v>
      </c>
      <c r="M10" s="23">
        <f t="shared" si="2"/>
        <v>23007</v>
      </c>
      <c r="N10" s="23">
        <f t="shared" si="2"/>
        <v>20835</v>
      </c>
      <c r="O10" s="23">
        <f t="shared" si="2"/>
        <v>20585</v>
      </c>
      <c r="P10" s="23">
        <f t="shared" si="2"/>
        <v>20947</v>
      </c>
      <c r="Q10" s="23">
        <f t="shared" si="2"/>
        <v>19820</v>
      </c>
      <c r="R10" s="23">
        <f t="shared" si="2"/>
        <v>20894</v>
      </c>
      <c r="S10" s="23">
        <f t="shared" si="2"/>
        <v>17529</v>
      </c>
      <c r="T10" s="23">
        <f t="shared" si="2"/>
        <v>19851</v>
      </c>
      <c r="U10" s="23">
        <f t="shared" si="2"/>
        <v>19968</v>
      </c>
      <c r="V10" s="23">
        <f t="shared" si="2"/>
        <v>19857</v>
      </c>
      <c r="W10" s="23">
        <f t="shared" si="2"/>
        <v>20261</v>
      </c>
      <c r="X10" s="23">
        <f t="shared" si="2"/>
        <v>20487</v>
      </c>
      <c r="Y10" s="23">
        <f t="shared" si="2"/>
        <v>20563</v>
      </c>
      <c r="Z10" s="23">
        <f t="shared" si="2"/>
        <v>20590</v>
      </c>
      <c r="AA10" s="23">
        <f t="shared" si="2"/>
        <v>20529</v>
      </c>
      <c r="AB10" s="23">
        <f t="shared" si="2"/>
        <v>20237</v>
      </c>
      <c r="AC10" s="23">
        <f t="shared" si="2"/>
        <v>20430</v>
      </c>
      <c r="AD10" s="23">
        <f t="shared" si="2"/>
        <v>20102</v>
      </c>
      <c r="AE10" s="23">
        <f t="shared" si="2"/>
        <v>19359</v>
      </c>
      <c r="AF10" s="23">
        <f t="shared" si="2"/>
        <v>19229</v>
      </c>
      <c r="AG10" s="23">
        <f t="shared" si="2"/>
        <v>19071</v>
      </c>
      <c r="AH10" s="23">
        <f t="shared" si="2"/>
        <v>18693</v>
      </c>
      <c r="AI10" s="23">
        <f t="shared" si="2"/>
        <v>17818</v>
      </c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</row>
    <row r="11" spans="1:67" ht="21.75" customHeight="1" x14ac:dyDescent="0.2">
      <c r="A11" s="71">
        <v>4</v>
      </c>
      <c r="B11" s="36" t="s">
        <v>55</v>
      </c>
      <c r="C11" s="81" t="s">
        <v>56</v>
      </c>
      <c r="D11" s="21">
        <v>5603502</v>
      </c>
      <c r="E11" s="21">
        <v>5622214</v>
      </c>
      <c r="F11" s="21">
        <v>5638380</v>
      </c>
      <c r="G11" s="21">
        <v>5656568</v>
      </c>
      <c r="H11" s="21">
        <v>5674821</v>
      </c>
      <c r="I11" s="21">
        <v>5692688</v>
      </c>
      <c r="J11" s="21">
        <v>5711473</v>
      </c>
      <c r="K11" s="21">
        <v>5732288</v>
      </c>
      <c r="L11" s="21">
        <v>5752879</v>
      </c>
      <c r="M11" s="21">
        <v>5772945</v>
      </c>
      <c r="N11" s="21">
        <v>5791528</v>
      </c>
      <c r="O11" s="21">
        <v>5811259</v>
      </c>
      <c r="P11" s="21">
        <v>5831714</v>
      </c>
      <c r="Q11" s="21">
        <v>5852807</v>
      </c>
      <c r="R11" s="21">
        <v>5874039</v>
      </c>
      <c r="S11" s="21">
        <v>5896473</v>
      </c>
      <c r="T11" s="21">
        <v>5918964</v>
      </c>
      <c r="U11" s="21">
        <v>5941537</v>
      </c>
      <c r="V11" s="21">
        <v>5964136</v>
      </c>
      <c r="W11" s="21">
        <v>5985931</v>
      </c>
      <c r="X11" s="21">
        <v>6007550</v>
      </c>
      <c r="Y11" s="21">
        <v>6029145</v>
      </c>
      <c r="Z11" s="21">
        <v>6050601</v>
      </c>
      <c r="AA11" s="21">
        <v>6071827</v>
      </c>
      <c r="AB11" s="21">
        <v>6093174</v>
      </c>
      <c r="AC11" s="21">
        <v>6114992</v>
      </c>
      <c r="AD11" s="21">
        <v>6137022</v>
      </c>
      <c r="AE11" s="21">
        <v>6160880</v>
      </c>
      <c r="AF11" s="21">
        <v>6186368</v>
      </c>
      <c r="AG11" s="21">
        <v>6211709</v>
      </c>
      <c r="AH11" s="21">
        <v>6246153</v>
      </c>
      <c r="AI11" s="21">
        <v>6282943</v>
      </c>
    </row>
    <row r="12" spans="1:67" s="38" customFormat="1" ht="21.75" customHeight="1" thickBot="1" x14ac:dyDescent="0.25">
      <c r="A12" s="78"/>
      <c r="B12" s="37"/>
      <c r="C12" s="79"/>
      <c r="D12" s="23"/>
      <c r="E12" s="23">
        <f t="shared" ref="E12:AI12" si="3">E11-D11</f>
        <v>18712</v>
      </c>
      <c r="F12" s="23">
        <f t="shared" si="3"/>
        <v>16166</v>
      </c>
      <c r="G12" s="23">
        <f t="shared" si="3"/>
        <v>18188</v>
      </c>
      <c r="H12" s="23">
        <f t="shared" si="3"/>
        <v>18253</v>
      </c>
      <c r="I12" s="23">
        <f t="shared" si="3"/>
        <v>17867</v>
      </c>
      <c r="J12" s="23">
        <f t="shared" si="3"/>
        <v>18785</v>
      </c>
      <c r="K12" s="23">
        <f t="shared" si="3"/>
        <v>20815</v>
      </c>
      <c r="L12" s="23">
        <f t="shared" si="3"/>
        <v>20591</v>
      </c>
      <c r="M12" s="23">
        <f t="shared" si="3"/>
        <v>20066</v>
      </c>
      <c r="N12" s="23">
        <f t="shared" si="3"/>
        <v>18583</v>
      </c>
      <c r="O12" s="23">
        <f t="shared" si="3"/>
        <v>19731</v>
      </c>
      <c r="P12" s="23">
        <f t="shared" si="3"/>
        <v>20455</v>
      </c>
      <c r="Q12" s="23">
        <f t="shared" si="3"/>
        <v>21093</v>
      </c>
      <c r="R12" s="23">
        <f t="shared" si="3"/>
        <v>21232</v>
      </c>
      <c r="S12" s="23">
        <f t="shared" si="3"/>
        <v>22434</v>
      </c>
      <c r="T12" s="23">
        <f t="shared" si="3"/>
        <v>22491</v>
      </c>
      <c r="U12" s="23">
        <f t="shared" si="3"/>
        <v>22573</v>
      </c>
      <c r="V12" s="23">
        <f t="shared" si="3"/>
        <v>22599</v>
      </c>
      <c r="W12" s="23">
        <f t="shared" si="3"/>
        <v>21795</v>
      </c>
      <c r="X12" s="23">
        <f t="shared" si="3"/>
        <v>21619</v>
      </c>
      <c r="Y12" s="23">
        <f t="shared" si="3"/>
        <v>21595</v>
      </c>
      <c r="Z12" s="23">
        <f t="shared" si="3"/>
        <v>21456</v>
      </c>
      <c r="AA12" s="23">
        <f t="shared" si="3"/>
        <v>21226</v>
      </c>
      <c r="AB12" s="23">
        <f t="shared" si="3"/>
        <v>21347</v>
      </c>
      <c r="AC12" s="23">
        <f t="shared" si="3"/>
        <v>21818</v>
      </c>
      <c r="AD12" s="23">
        <f t="shared" si="3"/>
        <v>22030</v>
      </c>
      <c r="AE12" s="23">
        <f t="shared" si="3"/>
        <v>23858</v>
      </c>
      <c r="AF12" s="23">
        <f t="shared" si="3"/>
        <v>25488</v>
      </c>
      <c r="AG12" s="23">
        <f t="shared" si="3"/>
        <v>25341</v>
      </c>
      <c r="AH12" s="23">
        <f t="shared" si="3"/>
        <v>34444</v>
      </c>
      <c r="AI12" s="23">
        <f t="shared" si="3"/>
        <v>36790</v>
      </c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</row>
    <row r="13" spans="1:67" ht="21.75" customHeight="1" x14ac:dyDescent="0.2">
      <c r="A13" s="80">
        <v>7</v>
      </c>
      <c r="B13" s="39" t="s">
        <v>57</v>
      </c>
      <c r="C13" s="73" t="s">
        <v>58</v>
      </c>
      <c r="D13" s="40">
        <v>3226</v>
      </c>
      <c r="E13" s="40">
        <v>3226</v>
      </c>
      <c r="F13" s="40">
        <v>3226</v>
      </c>
      <c r="G13" s="40">
        <v>3226</v>
      </c>
      <c r="H13" s="40">
        <v>3226</v>
      </c>
      <c r="I13" s="40">
        <v>3226</v>
      </c>
      <c r="J13" s="40">
        <v>3226</v>
      </c>
      <c r="K13" s="40">
        <v>3226</v>
      </c>
      <c r="L13" s="40">
        <v>3226</v>
      </c>
      <c r="M13" s="40">
        <v>3226</v>
      </c>
      <c r="N13" s="40">
        <v>3226</v>
      </c>
      <c r="O13" s="40">
        <v>3226</v>
      </c>
      <c r="P13" s="40">
        <v>3229</v>
      </c>
      <c r="Q13" s="40">
        <v>3229</v>
      </c>
      <c r="R13" s="40">
        <v>3229</v>
      </c>
      <c r="S13" s="40">
        <v>3229</v>
      </c>
      <c r="T13" s="40">
        <v>3229</v>
      </c>
      <c r="U13" s="40">
        <v>3229</v>
      </c>
      <c r="V13" s="40">
        <v>3229</v>
      </c>
      <c r="W13" s="40">
        <v>3229</v>
      </c>
      <c r="X13" s="40">
        <v>3229</v>
      </c>
      <c r="Y13" s="40">
        <v>3229</v>
      </c>
      <c r="Z13" s="40">
        <v>3229</v>
      </c>
      <c r="AA13" s="40">
        <v>3229</v>
      </c>
      <c r="AB13" s="40">
        <v>3229</v>
      </c>
      <c r="AC13" s="40">
        <v>3233</v>
      </c>
      <c r="AD13" s="40">
        <v>3233</v>
      </c>
      <c r="AE13" s="40">
        <v>3233</v>
      </c>
      <c r="AF13" s="40">
        <v>3233</v>
      </c>
      <c r="AG13" s="40">
        <v>3233</v>
      </c>
      <c r="AH13" s="40">
        <v>3233</v>
      </c>
      <c r="AI13" s="40">
        <v>3233</v>
      </c>
    </row>
    <row r="14" spans="1:67" s="24" customFormat="1" ht="21.75" customHeight="1" thickBot="1" x14ac:dyDescent="0.25">
      <c r="A14" s="76"/>
      <c r="B14" s="41"/>
      <c r="C14" s="79"/>
      <c r="D14" s="42"/>
      <c r="E14" s="42">
        <f t="shared" ref="E14:AI14" si="4">E13-D13</f>
        <v>0</v>
      </c>
      <c r="F14" s="42">
        <f t="shared" si="4"/>
        <v>0</v>
      </c>
      <c r="G14" s="42">
        <f t="shared" si="4"/>
        <v>0</v>
      </c>
      <c r="H14" s="42">
        <f t="shared" si="4"/>
        <v>0</v>
      </c>
      <c r="I14" s="42">
        <f t="shared" si="4"/>
        <v>0</v>
      </c>
      <c r="J14" s="42">
        <f t="shared" si="4"/>
        <v>0</v>
      </c>
      <c r="K14" s="42">
        <f t="shared" si="4"/>
        <v>0</v>
      </c>
      <c r="L14" s="42">
        <f t="shared" si="4"/>
        <v>0</v>
      </c>
      <c r="M14" s="42">
        <f t="shared" si="4"/>
        <v>0</v>
      </c>
      <c r="N14" s="42">
        <f t="shared" si="4"/>
        <v>0</v>
      </c>
      <c r="O14" s="42">
        <f t="shared" si="4"/>
        <v>0</v>
      </c>
      <c r="P14" s="42">
        <f t="shared" si="4"/>
        <v>3</v>
      </c>
      <c r="Q14" s="42">
        <f t="shared" si="4"/>
        <v>0</v>
      </c>
      <c r="R14" s="42">
        <f t="shared" si="4"/>
        <v>0</v>
      </c>
      <c r="S14" s="42">
        <f t="shared" si="4"/>
        <v>0</v>
      </c>
      <c r="T14" s="42">
        <f t="shared" si="4"/>
        <v>0</v>
      </c>
      <c r="U14" s="42">
        <f t="shared" si="4"/>
        <v>0</v>
      </c>
      <c r="V14" s="42">
        <f t="shared" si="4"/>
        <v>0</v>
      </c>
      <c r="W14" s="42">
        <f t="shared" si="4"/>
        <v>0</v>
      </c>
      <c r="X14" s="42">
        <f t="shared" si="4"/>
        <v>0</v>
      </c>
      <c r="Y14" s="42">
        <f t="shared" si="4"/>
        <v>0</v>
      </c>
      <c r="Z14" s="42">
        <f t="shared" si="4"/>
        <v>0</v>
      </c>
      <c r="AA14" s="42">
        <f t="shared" si="4"/>
        <v>0</v>
      </c>
      <c r="AB14" s="42">
        <f t="shared" si="4"/>
        <v>0</v>
      </c>
      <c r="AC14" s="42">
        <f t="shared" si="4"/>
        <v>4</v>
      </c>
      <c r="AD14" s="42">
        <f t="shared" si="4"/>
        <v>0</v>
      </c>
      <c r="AE14" s="42">
        <f t="shared" si="4"/>
        <v>0</v>
      </c>
      <c r="AF14" s="42">
        <f t="shared" si="4"/>
        <v>0</v>
      </c>
      <c r="AG14" s="42">
        <f t="shared" si="4"/>
        <v>0</v>
      </c>
      <c r="AH14" s="42">
        <f t="shared" si="4"/>
        <v>0</v>
      </c>
      <c r="AI14" s="42">
        <f t="shared" si="4"/>
        <v>0</v>
      </c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 spans="1:67" ht="21.75" customHeight="1" x14ac:dyDescent="0.2">
      <c r="A15" s="71">
        <v>8</v>
      </c>
      <c r="B15" s="39" t="s">
        <v>59</v>
      </c>
      <c r="C15" s="73" t="s">
        <v>60</v>
      </c>
      <c r="D15" s="40">
        <v>457</v>
      </c>
      <c r="E15" s="40">
        <v>457</v>
      </c>
      <c r="F15" s="40">
        <v>457</v>
      </c>
      <c r="G15" s="40">
        <v>457</v>
      </c>
      <c r="H15" s="40">
        <v>457</v>
      </c>
      <c r="I15" s="40">
        <v>457</v>
      </c>
      <c r="J15" s="40">
        <v>457</v>
      </c>
      <c r="K15" s="40">
        <v>457</v>
      </c>
      <c r="L15" s="40">
        <v>457</v>
      </c>
      <c r="M15" s="40">
        <v>457</v>
      </c>
      <c r="N15" s="40">
        <v>457</v>
      </c>
      <c r="O15" s="40">
        <v>458</v>
      </c>
      <c r="P15" s="40">
        <v>458</v>
      </c>
      <c r="Q15" s="40">
        <v>458</v>
      </c>
      <c r="R15" s="40">
        <v>458</v>
      </c>
      <c r="S15" s="40">
        <v>458</v>
      </c>
      <c r="T15" s="40">
        <v>458</v>
      </c>
      <c r="U15" s="40">
        <v>459</v>
      </c>
      <c r="V15" s="40">
        <v>459</v>
      </c>
      <c r="W15" s="40">
        <v>459</v>
      </c>
      <c r="X15" s="40">
        <v>459</v>
      </c>
      <c r="Y15" s="40">
        <v>459</v>
      </c>
      <c r="Z15" s="40">
        <v>459</v>
      </c>
      <c r="AA15" s="40">
        <v>459</v>
      </c>
      <c r="AB15" s="40">
        <v>459</v>
      </c>
      <c r="AC15" s="40">
        <v>460</v>
      </c>
      <c r="AD15" s="40">
        <v>460</v>
      </c>
      <c r="AE15" s="40">
        <v>460</v>
      </c>
      <c r="AF15" s="40">
        <v>460</v>
      </c>
      <c r="AG15" s="40">
        <v>460</v>
      </c>
      <c r="AH15" s="40">
        <v>460</v>
      </c>
      <c r="AI15" s="40">
        <v>460</v>
      </c>
    </row>
    <row r="16" spans="1:67" s="24" customFormat="1" ht="21.75" customHeight="1" thickBot="1" x14ac:dyDescent="0.25">
      <c r="A16" s="78"/>
      <c r="B16" s="41"/>
      <c r="C16" s="79"/>
      <c r="D16" s="42"/>
      <c r="E16" s="42">
        <f t="shared" ref="E16:AI16" si="5">E15-D15</f>
        <v>0</v>
      </c>
      <c r="F16" s="42">
        <f t="shared" si="5"/>
        <v>0</v>
      </c>
      <c r="G16" s="42">
        <f t="shared" si="5"/>
        <v>0</v>
      </c>
      <c r="H16" s="42">
        <f t="shared" si="5"/>
        <v>0</v>
      </c>
      <c r="I16" s="42">
        <f t="shared" si="5"/>
        <v>0</v>
      </c>
      <c r="J16" s="42">
        <f t="shared" si="5"/>
        <v>0</v>
      </c>
      <c r="K16" s="42">
        <f t="shared" si="5"/>
        <v>0</v>
      </c>
      <c r="L16" s="42">
        <f t="shared" si="5"/>
        <v>0</v>
      </c>
      <c r="M16" s="42">
        <f t="shared" si="5"/>
        <v>0</v>
      </c>
      <c r="N16" s="42">
        <f t="shared" si="5"/>
        <v>0</v>
      </c>
      <c r="O16" s="42">
        <f t="shared" si="5"/>
        <v>1</v>
      </c>
      <c r="P16" s="42">
        <f t="shared" si="5"/>
        <v>0</v>
      </c>
      <c r="Q16" s="42">
        <f t="shared" si="5"/>
        <v>0</v>
      </c>
      <c r="R16" s="42">
        <f t="shared" si="5"/>
        <v>0</v>
      </c>
      <c r="S16" s="42">
        <f t="shared" si="5"/>
        <v>0</v>
      </c>
      <c r="T16" s="42">
        <f t="shared" si="5"/>
        <v>0</v>
      </c>
      <c r="U16" s="42">
        <f t="shared" si="5"/>
        <v>1</v>
      </c>
      <c r="V16" s="42">
        <f t="shared" si="5"/>
        <v>0</v>
      </c>
      <c r="W16" s="42">
        <f t="shared" si="5"/>
        <v>0</v>
      </c>
      <c r="X16" s="42">
        <f t="shared" si="5"/>
        <v>0</v>
      </c>
      <c r="Y16" s="42">
        <f t="shared" si="5"/>
        <v>0</v>
      </c>
      <c r="Z16" s="42">
        <f t="shared" si="5"/>
        <v>0</v>
      </c>
      <c r="AA16" s="42">
        <f t="shared" si="5"/>
        <v>0</v>
      </c>
      <c r="AB16" s="42">
        <f t="shared" si="5"/>
        <v>0</v>
      </c>
      <c r="AC16" s="42">
        <f t="shared" si="5"/>
        <v>1</v>
      </c>
      <c r="AD16" s="42">
        <f t="shared" si="5"/>
        <v>0</v>
      </c>
      <c r="AE16" s="42">
        <f t="shared" si="5"/>
        <v>0</v>
      </c>
      <c r="AF16" s="42">
        <f t="shared" si="5"/>
        <v>0</v>
      </c>
      <c r="AG16" s="42">
        <f t="shared" si="5"/>
        <v>0</v>
      </c>
      <c r="AH16" s="42">
        <f t="shared" si="5"/>
        <v>0</v>
      </c>
      <c r="AI16" s="42">
        <f t="shared" si="5"/>
        <v>0</v>
      </c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spans="1:35" ht="21.75" customHeight="1" x14ac:dyDescent="0.2">
      <c r="A17" s="71">
        <v>13</v>
      </c>
      <c r="B17" s="39" t="s">
        <v>61</v>
      </c>
      <c r="C17" s="73" t="s">
        <v>62</v>
      </c>
      <c r="D17" s="40">
        <v>1401450</v>
      </c>
      <c r="E17" s="40">
        <v>1401713</v>
      </c>
      <c r="F17" s="40">
        <v>1401971</v>
      </c>
      <c r="G17" s="40">
        <v>1402245</v>
      </c>
      <c r="H17" s="40">
        <v>1402530</v>
      </c>
      <c r="I17" s="40">
        <v>1402816</v>
      </c>
      <c r="J17" s="40">
        <v>1403094</v>
      </c>
      <c r="K17" s="40">
        <v>1403374</v>
      </c>
      <c r="L17" s="40">
        <v>1403671</v>
      </c>
      <c r="M17" s="40">
        <v>1403948</v>
      </c>
      <c r="N17" s="40">
        <v>1404229</v>
      </c>
      <c r="O17" s="40">
        <v>1404515</v>
      </c>
      <c r="P17" s="40">
        <v>1404797</v>
      </c>
      <c r="Q17" s="40">
        <v>1405166</v>
      </c>
      <c r="R17" s="40">
        <v>1405381</v>
      </c>
      <c r="S17" s="40">
        <v>1405655</v>
      </c>
      <c r="T17" s="40">
        <v>1405920</v>
      </c>
      <c r="U17" s="40">
        <v>1406169</v>
      </c>
      <c r="V17" s="40">
        <v>1406450</v>
      </c>
      <c r="W17" s="40">
        <v>1406721</v>
      </c>
      <c r="X17" s="40">
        <v>1406984</v>
      </c>
      <c r="Y17" s="40">
        <v>1407244</v>
      </c>
      <c r="Z17" s="40">
        <v>1407516</v>
      </c>
      <c r="AA17" s="40">
        <v>1407779</v>
      </c>
      <c r="AB17" s="40">
        <v>1408040</v>
      </c>
      <c r="AC17" s="40">
        <v>1408305</v>
      </c>
      <c r="AD17" s="40">
        <v>1408570</v>
      </c>
      <c r="AE17" s="40">
        <v>1408841</v>
      </c>
      <c r="AF17" s="40">
        <v>1409118</v>
      </c>
      <c r="AG17" s="40">
        <v>1409389</v>
      </c>
      <c r="AH17" s="40">
        <v>1409655</v>
      </c>
      <c r="AI17" s="40">
        <v>1409950</v>
      </c>
    </row>
    <row r="18" spans="1:35" ht="21.75" customHeight="1" thickBot="1" x14ac:dyDescent="0.25">
      <c r="A18" s="72"/>
      <c r="B18" s="43"/>
      <c r="C18" s="74"/>
      <c r="D18" s="42"/>
      <c r="E18" s="42">
        <f t="shared" ref="E18:AI18" si="6">E17-D17</f>
        <v>263</v>
      </c>
      <c r="F18" s="42">
        <f t="shared" si="6"/>
        <v>258</v>
      </c>
      <c r="G18" s="42">
        <f t="shared" si="6"/>
        <v>274</v>
      </c>
      <c r="H18" s="42">
        <f t="shared" si="6"/>
        <v>285</v>
      </c>
      <c r="I18" s="42">
        <f t="shared" si="6"/>
        <v>286</v>
      </c>
      <c r="J18" s="42">
        <f t="shared" si="6"/>
        <v>278</v>
      </c>
      <c r="K18" s="42">
        <f t="shared" si="6"/>
        <v>280</v>
      </c>
      <c r="L18" s="42">
        <f t="shared" si="6"/>
        <v>297</v>
      </c>
      <c r="M18" s="42">
        <f t="shared" si="6"/>
        <v>277</v>
      </c>
      <c r="N18" s="42">
        <f t="shared" si="6"/>
        <v>281</v>
      </c>
      <c r="O18" s="42">
        <f t="shared" si="6"/>
        <v>286</v>
      </c>
      <c r="P18" s="42">
        <f t="shared" si="6"/>
        <v>282</v>
      </c>
      <c r="Q18" s="42">
        <f t="shared" si="6"/>
        <v>369</v>
      </c>
      <c r="R18" s="42">
        <f t="shared" si="6"/>
        <v>215</v>
      </c>
      <c r="S18" s="42">
        <f t="shared" si="6"/>
        <v>274</v>
      </c>
      <c r="T18" s="42">
        <f t="shared" si="6"/>
        <v>265</v>
      </c>
      <c r="U18" s="42">
        <f t="shared" si="6"/>
        <v>249</v>
      </c>
      <c r="V18" s="42">
        <f t="shared" si="6"/>
        <v>281</v>
      </c>
      <c r="W18" s="42">
        <f t="shared" si="6"/>
        <v>271</v>
      </c>
      <c r="X18" s="42">
        <f t="shared" si="6"/>
        <v>263</v>
      </c>
      <c r="Y18" s="42">
        <f t="shared" si="6"/>
        <v>260</v>
      </c>
      <c r="Z18" s="42">
        <f t="shared" si="6"/>
        <v>272</v>
      </c>
      <c r="AA18" s="42">
        <f t="shared" si="6"/>
        <v>263</v>
      </c>
      <c r="AB18" s="42">
        <f t="shared" si="6"/>
        <v>261</v>
      </c>
      <c r="AC18" s="42">
        <f t="shared" si="6"/>
        <v>265</v>
      </c>
      <c r="AD18" s="42">
        <f t="shared" si="6"/>
        <v>265</v>
      </c>
      <c r="AE18" s="42">
        <f t="shared" si="6"/>
        <v>271</v>
      </c>
      <c r="AF18" s="42">
        <f t="shared" si="6"/>
        <v>277</v>
      </c>
      <c r="AG18" s="42">
        <f t="shared" si="6"/>
        <v>271</v>
      </c>
      <c r="AH18" s="42">
        <f t="shared" si="6"/>
        <v>266</v>
      </c>
      <c r="AI18" s="42">
        <f t="shared" si="6"/>
        <v>295</v>
      </c>
    </row>
    <row r="19" spans="1:35" ht="21.75" customHeight="1" x14ac:dyDescent="0.2">
      <c r="A19" s="75">
        <v>14</v>
      </c>
      <c r="B19" s="39" t="s">
        <v>63</v>
      </c>
      <c r="C19" s="73" t="s">
        <v>64</v>
      </c>
      <c r="D19" s="40">
        <v>376032</v>
      </c>
      <c r="E19" s="40">
        <v>376082</v>
      </c>
      <c r="F19" s="40">
        <v>376132</v>
      </c>
      <c r="G19" s="40">
        <v>376181</v>
      </c>
      <c r="H19" s="40">
        <v>376229</v>
      </c>
      <c r="I19" s="40">
        <v>376279</v>
      </c>
      <c r="J19" s="40">
        <v>376329</v>
      </c>
      <c r="K19" s="40">
        <v>376377</v>
      </c>
      <c r="L19" s="40">
        <v>376426</v>
      </c>
      <c r="M19" s="40">
        <v>376471</v>
      </c>
      <c r="N19" s="40">
        <v>376518</v>
      </c>
      <c r="O19" s="40">
        <v>376568</v>
      </c>
      <c r="P19" s="40">
        <v>376615</v>
      </c>
      <c r="Q19" s="40">
        <v>376662</v>
      </c>
      <c r="R19" s="40">
        <v>376710</v>
      </c>
      <c r="S19" s="40">
        <v>376759</v>
      </c>
      <c r="T19" s="40">
        <v>376807</v>
      </c>
      <c r="U19" s="40">
        <v>376854</v>
      </c>
      <c r="V19" s="40">
        <v>376903</v>
      </c>
      <c r="W19" s="40">
        <v>376952</v>
      </c>
      <c r="X19" s="40">
        <v>377003</v>
      </c>
      <c r="Y19" s="40">
        <v>377050</v>
      </c>
      <c r="Z19" s="40">
        <v>377100</v>
      </c>
      <c r="AA19" s="40">
        <v>377149</v>
      </c>
      <c r="AB19" s="40">
        <v>377197</v>
      </c>
      <c r="AC19" s="40">
        <v>377246</v>
      </c>
      <c r="AD19" s="40">
        <v>377294</v>
      </c>
      <c r="AE19" s="40">
        <v>377342</v>
      </c>
      <c r="AF19" s="40">
        <v>377389</v>
      </c>
      <c r="AG19" s="40">
        <v>377433</v>
      </c>
      <c r="AH19" s="40">
        <v>377477</v>
      </c>
      <c r="AI19" s="40">
        <v>377523</v>
      </c>
    </row>
    <row r="20" spans="1:35" ht="21.75" customHeight="1" thickBot="1" x14ac:dyDescent="0.25">
      <c r="A20" s="76"/>
      <c r="B20" s="43"/>
      <c r="C20" s="74"/>
      <c r="D20" s="42"/>
      <c r="E20" s="42">
        <f>E19-D19</f>
        <v>50</v>
      </c>
      <c r="F20" s="42">
        <f t="shared" ref="F20:AI20" si="7">F19-E19</f>
        <v>50</v>
      </c>
      <c r="G20" s="42">
        <f t="shared" si="7"/>
        <v>49</v>
      </c>
      <c r="H20" s="42">
        <f t="shared" si="7"/>
        <v>48</v>
      </c>
      <c r="I20" s="42">
        <f t="shared" si="7"/>
        <v>50</v>
      </c>
      <c r="J20" s="42">
        <f t="shared" si="7"/>
        <v>50</v>
      </c>
      <c r="K20" s="42">
        <f t="shared" si="7"/>
        <v>48</v>
      </c>
      <c r="L20" s="42">
        <f t="shared" si="7"/>
        <v>49</v>
      </c>
      <c r="M20" s="42">
        <f t="shared" si="7"/>
        <v>45</v>
      </c>
      <c r="N20" s="42">
        <f t="shared" si="7"/>
        <v>47</v>
      </c>
      <c r="O20" s="42">
        <f t="shared" si="7"/>
        <v>50</v>
      </c>
      <c r="P20" s="42">
        <f t="shared" si="7"/>
        <v>47</v>
      </c>
      <c r="Q20" s="42">
        <f t="shared" si="7"/>
        <v>47</v>
      </c>
      <c r="R20" s="42">
        <f t="shared" si="7"/>
        <v>48</v>
      </c>
      <c r="S20" s="42">
        <f t="shared" si="7"/>
        <v>49</v>
      </c>
      <c r="T20" s="42">
        <f t="shared" si="7"/>
        <v>48</v>
      </c>
      <c r="U20" s="42">
        <f t="shared" si="7"/>
        <v>47</v>
      </c>
      <c r="V20" s="42">
        <f t="shared" si="7"/>
        <v>49</v>
      </c>
      <c r="W20" s="42">
        <f t="shared" si="7"/>
        <v>49</v>
      </c>
      <c r="X20" s="42">
        <f t="shared" si="7"/>
        <v>51</v>
      </c>
      <c r="Y20" s="42">
        <f t="shared" si="7"/>
        <v>47</v>
      </c>
      <c r="Z20" s="42">
        <f t="shared" si="7"/>
        <v>50</v>
      </c>
      <c r="AA20" s="42">
        <f t="shared" si="7"/>
        <v>49</v>
      </c>
      <c r="AB20" s="42">
        <f t="shared" si="7"/>
        <v>48</v>
      </c>
      <c r="AC20" s="42">
        <f t="shared" si="7"/>
        <v>49</v>
      </c>
      <c r="AD20" s="42">
        <f t="shared" si="7"/>
        <v>48</v>
      </c>
      <c r="AE20" s="42">
        <f t="shared" si="7"/>
        <v>48</v>
      </c>
      <c r="AF20" s="42">
        <f t="shared" si="7"/>
        <v>47</v>
      </c>
      <c r="AG20" s="42">
        <f t="shared" si="7"/>
        <v>44</v>
      </c>
      <c r="AH20" s="42">
        <f t="shared" si="7"/>
        <v>44</v>
      </c>
      <c r="AI20" s="42">
        <f t="shared" si="7"/>
        <v>46</v>
      </c>
    </row>
    <row r="21" spans="1:35" ht="27" customHeight="1" x14ac:dyDescent="0.3">
      <c r="B21" s="77" t="s">
        <v>65</v>
      </c>
      <c r="C21" s="77"/>
      <c r="D21" s="44"/>
      <c r="E21" s="63">
        <f>((E6+E8)+((E10+E12)*40%)+(E14+E16+E18+E20))</f>
        <v>39617.199999999997</v>
      </c>
      <c r="F21" s="63">
        <f t="shared" ref="F21:AI21" si="8">((F6+F8)+((F10+F12)*40%)+(F14+F16+F18+F20))</f>
        <v>37490.400000000001</v>
      </c>
      <c r="G21" s="63">
        <f t="shared" si="8"/>
        <v>39649.199999999997</v>
      </c>
      <c r="H21" s="63">
        <f t="shared" si="8"/>
        <v>39356.800000000003</v>
      </c>
      <c r="I21" s="63">
        <f t="shared" si="8"/>
        <v>39105.800000000003</v>
      </c>
      <c r="J21" s="63">
        <f t="shared" si="8"/>
        <v>39720.199999999997</v>
      </c>
      <c r="K21" s="63">
        <f t="shared" si="8"/>
        <v>39631.800000000003</v>
      </c>
      <c r="L21" s="63">
        <f t="shared" si="8"/>
        <v>40784.800000000003</v>
      </c>
      <c r="M21" s="63">
        <f t="shared" si="8"/>
        <v>40379.199999999997</v>
      </c>
      <c r="N21" s="63">
        <f t="shared" si="8"/>
        <v>38545.199999999997</v>
      </c>
      <c r="O21" s="63">
        <f t="shared" si="8"/>
        <v>39114.400000000001</v>
      </c>
      <c r="P21" s="63">
        <f t="shared" si="8"/>
        <v>39067.800000000003</v>
      </c>
      <c r="Q21" s="63">
        <f t="shared" si="8"/>
        <v>39206.199999999997</v>
      </c>
      <c r="R21" s="63">
        <f t="shared" si="8"/>
        <v>40020.400000000001</v>
      </c>
      <c r="S21" s="63">
        <f t="shared" si="8"/>
        <v>38688.199999999997</v>
      </c>
      <c r="T21" s="63">
        <f t="shared" si="8"/>
        <v>39915.800000000003</v>
      </c>
      <c r="U21" s="63">
        <f t="shared" si="8"/>
        <v>40090.400000000001</v>
      </c>
      <c r="V21" s="63">
        <f t="shared" si="8"/>
        <v>39337.4</v>
      </c>
      <c r="W21" s="63">
        <f t="shared" si="8"/>
        <v>38391.4</v>
      </c>
      <c r="X21" s="63">
        <f t="shared" si="8"/>
        <v>39741.4</v>
      </c>
      <c r="Y21" s="63">
        <f t="shared" si="8"/>
        <v>39807.199999999997</v>
      </c>
      <c r="Z21" s="63">
        <f t="shared" si="8"/>
        <v>39915.4</v>
      </c>
      <c r="AA21" s="63">
        <f t="shared" si="8"/>
        <v>39695</v>
      </c>
      <c r="AB21" s="63">
        <f t="shared" si="8"/>
        <v>38692.600000000006</v>
      </c>
      <c r="AC21" s="63">
        <f t="shared" si="8"/>
        <v>39387.199999999997</v>
      </c>
      <c r="AD21" s="63">
        <f t="shared" si="8"/>
        <v>37414.800000000003</v>
      </c>
      <c r="AE21" s="63">
        <f t="shared" si="8"/>
        <v>39786.800000000003</v>
      </c>
      <c r="AF21" s="63">
        <f t="shared" si="8"/>
        <v>40291.800000000003</v>
      </c>
      <c r="AG21" s="63">
        <f t="shared" si="8"/>
        <v>39886.800000000003</v>
      </c>
      <c r="AH21" s="63">
        <f t="shared" si="8"/>
        <v>43269.8</v>
      </c>
      <c r="AI21" s="63">
        <f t="shared" si="8"/>
        <v>43955.199999999997</v>
      </c>
    </row>
    <row r="22" spans="1:35" ht="27" customHeight="1" x14ac:dyDescent="0.3">
      <c r="B22" s="70" t="s">
        <v>66</v>
      </c>
      <c r="C22" s="70"/>
      <c r="D22" s="44"/>
      <c r="E22" s="63">
        <f>SUM(E21:AI21)</f>
        <v>1229956.6000000001</v>
      </c>
      <c r="F22" s="45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</row>
  </sheetData>
  <mergeCells count="20">
    <mergeCell ref="A2:AI2"/>
    <mergeCell ref="C3:AI3"/>
    <mergeCell ref="A5:A6"/>
    <mergeCell ref="C5:C6"/>
    <mergeCell ref="A7:A8"/>
    <mergeCell ref="C7:C8"/>
    <mergeCell ref="A15:A16"/>
    <mergeCell ref="C15:C16"/>
    <mergeCell ref="A9:A10"/>
    <mergeCell ref="C9:C10"/>
    <mergeCell ref="A11:A12"/>
    <mergeCell ref="C11:C12"/>
    <mergeCell ref="A13:A14"/>
    <mergeCell ref="C13:C14"/>
    <mergeCell ref="B22:C22"/>
    <mergeCell ref="A17:A18"/>
    <mergeCell ref="C17:C18"/>
    <mergeCell ref="A19:A20"/>
    <mergeCell ref="C19:C20"/>
    <mergeCell ref="B21:C21"/>
  </mergeCells>
  <pageMargins left="0.25" right="0.25" top="0.75" bottom="0.75" header="0.3" footer="0.3"/>
  <pageSetup scale="19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8519-3124-402A-B866-B6A3B7F5FCE4}">
  <sheetPr>
    <pageSetUpPr fitToPage="1"/>
  </sheetPr>
  <dimension ref="A1:R41"/>
  <sheetViews>
    <sheetView tabSelected="1" zoomScaleNormal="100" workbookViewId="0">
      <pane ySplit="5" topLeftCell="A32" activePane="bottomLeft" state="frozen"/>
      <selection pane="bottomLeft" activeCell="C39" sqref="C39:D41"/>
    </sheetView>
  </sheetViews>
  <sheetFormatPr defaultRowHeight="15" x14ac:dyDescent="0.25"/>
  <cols>
    <col min="1" max="1" width="9.7109375" customWidth="1"/>
    <col min="2" max="2" width="10.7109375" customWidth="1"/>
    <col min="3" max="3" width="12.28515625" bestFit="1" customWidth="1"/>
    <col min="4" max="13" width="10.7109375" customWidth="1"/>
    <col min="14" max="14" width="13.85546875" customWidth="1"/>
  </cols>
  <sheetData>
    <row r="1" spans="1:18" ht="50.25" customHeight="1" x14ac:dyDescent="0.25">
      <c r="A1" s="96" t="s">
        <v>97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</row>
    <row r="3" spans="1:18" ht="30" x14ac:dyDescent="0.25">
      <c r="A3" s="51" t="s">
        <v>12</v>
      </c>
      <c r="B3" s="97" t="s">
        <v>75</v>
      </c>
      <c r="C3" s="97"/>
      <c r="D3" s="97" t="s">
        <v>76</v>
      </c>
      <c r="E3" s="97"/>
      <c r="F3" s="97" t="s">
        <v>77</v>
      </c>
      <c r="G3" s="97"/>
      <c r="H3" s="97" t="s">
        <v>78</v>
      </c>
      <c r="I3" s="97"/>
      <c r="J3" s="97" t="s">
        <v>79</v>
      </c>
      <c r="K3" s="97"/>
      <c r="L3" s="97" t="s">
        <v>80</v>
      </c>
      <c r="M3" s="97"/>
    </row>
    <row r="4" spans="1:18" ht="45" x14ac:dyDescent="0.25">
      <c r="A4" s="51" t="s">
        <v>81</v>
      </c>
      <c r="B4" s="92">
        <v>483</v>
      </c>
      <c r="C4" s="93"/>
      <c r="D4" s="92">
        <v>30</v>
      </c>
      <c r="E4" s="93"/>
      <c r="F4" s="92">
        <v>30</v>
      </c>
      <c r="G4" s="93"/>
      <c r="H4" s="92">
        <v>30</v>
      </c>
      <c r="I4" s="93"/>
      <c r="J4" s="92">
        <v>50</v>
      </c>
      <c r="K4" s="93"/>
      <c r="L4" s="92">
        <v>30</v>
      </c>
      <c r="M4" s="93"/>
    </row>
    <row r="5" spans="1:18" ht="48" x14ac:dyDescent="0.25">
      <c r="A5" s="52" t="s">
        <v>19</v>
      </c>
      <c r="B5" s="53">
        <v>981795</v>
      </c>
      <c r="C5" s="54"/>
      <c r="D5" s="53">
        <v>69699.259999999995</v>
      </c>
      <c r="E5" s="54"/>
      <c r="F5" s="53">
        <v>7891.17</v>
      </c>
      <c r="G5" s="54"/>
      <c r="H5" s="53">
        <v>2318.04</v>
      </c>
      <c r="I5" s="54"/>
      <c r="J5" s="53">
        <v>190537.8</v>
      </c>
      <c r="K5" s="54"/>
      <c r="L5" s="53">
        <v>14647.76</v>
      </c>
      <c r="M5" s="54"/>
      <c r="N5" s="60" t="s">
        <v>87</v>
      </c>
    </row>
    <row r="6" spans="1:18" ht="28.5" customHeight="1" x14ac:dyDescent="0.25">
      <c r="A6" s="55">
        <v>1</v>
      </c>
      <c r="B6" s="68">
        <v>981795</v>
      </c>
      <c r="C6" s="54">
        <f>(B6-B5)*3.7</f>
        <v>0</v>
      </c>
      <c r="D6" s="68">
        <v>69699.259999999995</v>
      </c>
      <c r="E6" s="54">
        <f>(D6-D5)*3.7</f>
        <v>0</v>
      </c>
      <c r="F6" s="68">
        <v>7891.17</v>
      </c>
      <c r="G6" s="54">
        <f>(F6-F5)*3.7</f>
        <v>0</v>
      </c>
      <c r="H6" s="68">
        <v>2318.04</v>
      </c>
      <c r="I6" s="54">
        <f>(H6-H5)*3.7</f>
        <v>0</v>
      </c>
      <c r="J6" s="68">
        <v>190537.8</v>
      </c>
      <c r="K6" s="54">
        <f>(J6-J5)*3.7</f>
        <v>0</v>
      </c>
      <c r="L6" s="68">
        <v>14647.76</v>
      </c>
      <c r="M6" s="54">
        <f>(L6-L5)*3.7</f>
        <v>0</v>
      </c>
      <c r="N6" s="61">
        <f>SUM(C6,E6,G6,I6,K6,M6)</f>
        <v>0</v>
      </c>
    </row>
    <row r="7" spans="1:18" ht="28.5" customHeight="1" x14ac:dyDescent="0.25">
      <c r="A7" s="55">
        <v>2</v>
      </c>
      <c r="B7" s="53">
        <v>982945</v>
      </c>
      <c r="C7" s="54">
        <f t="shared" ref="C7:C35" si="0">(B7-B6)*3.7</f>
        <v>4255</v>
      </c>
      <c r="D7" s="53">
        <v>69717.289999999994</v>
      </c>
      <c r="E7" s="54">
        <f t="shared" ref="E7:E36" si="1">(D7-D6)*3.7</f>
        <v>66.710999999995693</v>
      </c>
      <c r="F7" s="53">
        <v>7895.89</v>
      </c>
      <c r="G7" s="54">
        <f t="shared" ref="G7:G36" si="2">(F7-F6)*3.7</f>
        <v>17.464000000000944</v>
      </c>
      <c r="H7" s="53">
        <v>2318.29</v>
      </c>
      <c r="I7" s="54">
        <f t="shared" ref="I7:I36" si="3">(H7-H6)*3.7</f>
        <v>0.92500000000000004</v>
      </c>
      <c r="J7" s="53">
        <v>190580.4</v>
      </c>
      <c r="K7" s="54">
        <f t="shared" ref="K7:K36" si="4">(J7-J6)*3.7</f>
        <v>157.62000000002155</v>
      </c>
      <c r="L7" s="53">
        <v>14653.37</v>
      </c>
      <c r="M7" s="54">
        <f t="shared" ref="M7:M36" si="5">(L7-L6)*3.7</f>
        <v>20.757000000002154</v>
      </c>
      <c r="N7" s="61">
        <f t="shared" ref="N7:N15" si="6">SUM(C7,E7,G7,I7,K7,M7)</f>
        <v>4518.4770000000208</v>
      </c>
    </row>
    <row r="8" spans="1:18" ht="28.5" customHeight="1" x14ac:dyDescent="0.25">
      <c r="A8" s="56">
        <v>3</v>
      </c>
      <c r="B8" s="53">
        <v>983606</v>
      </c>
      <c r="C8" s="54">
        <f t="shared" si="0"/>
        <v>2445.7000000000003</v>
      </c>
      <c r="D8" s="53">
        <v>69729.86</v>
      </c>
      <c r="E8" s="54">
        <f t="shared" si="1"/>
        <v>46.50900000002585</v>
      </c>
      <c r="F8" s="53">
        <v>7895.89</v>
      </c>
      <c r="G8" s="54">
        <f t="shared" si="2"/>
        <v>0</v>
      </c>
      <c r="H8" s="53">
        <v>2318.42</v>
      </c>
      <c r="I8" s="54">
        <f t="shared" si="3"/>
        <v>0.48100000000040383</v>
      </c>
      <c r="J8" s="53">
        <v>190598.6</v>
      </c>
      <c r="K8" s="54">
        <f t="shared" si="4"/>
        <v>67.340000000043077</v>
      </c>
      <c r="L8" s="53">
        <v>14655.93</v>
      </c>
      <c r="M8" s="54">
        <f t="shared" si="5"/>
        <v>9.4719999999981166</v>
      </c>
      <c r="N8" s="61">
        <f>SUM(C8,E8,G8,I8,K8,M8)</f>
        <v>2569.5020000000673</v>
      </c>
    </row>
    <row r="9" spans="1:18" ht="28.5" customHeight="1" x14ac:dyDescent="0.25">
      <c r="A9" s="55">
        <v>4</v>
      </c>
      <c r="B9" s="53">
        <v>984248</v>
      </c>
      <c r="C9" s="54">
        <f t="shared" si="0"/>
        <v>2375.4</v>
      </c>
      <c r="D9" s="53">
        <v>69739.81</v>
      </c>
      <c r="E9" s="54">
        <f t="shared" si="1"/>
        <v>36.814999999989233</v>
      </c>
      <c r="F9" s="53">
        <v>7896.02</v>
      </c>
      <c r="G9" s="54">
        <f t="shared" si="2"/>
        <v>0.48100000000040383</v>
      </c>
      <c r="H9" s="53">
        <v>2318.6</v>
      </c>
      <c r="I9" s="54">
        <f t="shared" si="3"/>
        <v>0.6659999999993943</v>
      </c>
      <c r="J9" s="53">
        <v>190622.4</v>
      </c>
      <c r="K9" s="54">
        <f t="shared" si="4"/>
        <v>88.059999999956929</v>
      </c>
      <c r="L9" s="53">
        <v>14660.07</v>
      </c>
      <c r="M9" s="54">
        <f t="shared" si="5"/>
        <v>15.317999999997847</v>
      </c>
      <c r="N9" s="61">
        <f t="shared" si="6"/>
        <v>2516.7399999999434</v>
      </c>
    </row>
    <row r="10" spans="1:18" ht="28.5" customHeight="1" x14ac:dyDescent="0.25">
      <c r="A10" s="55">
        <v>5</v>
      </c>
      <c r="B10" s="53">
        <v>984825</v>
      </c>
      <c r="C10" s="54">
        <f t="shared" si="0"/>
        <v>2134.9</v>
      </c>
      <c r="D10" s="53">
        <v>69750.2</v>
      </c>
      <c r="E10" s="54">
        <f t="shared" si="1"/>
        <v>38.442999999997845</v>
      </c>
      <c r="F10" s="53">
        <v>7897.43</v>
      </c>
      <c r="G10" s="54">
        <f t="shared" si="2"/>
        <v>5.2169999999994614</v>
      </c>
      <c r="H10" s="53">
        <v>2318.73</v>
      </c>
      <c r="I10" s="54">
        <f t="shared" si="3"/>
        <v>0.48100000000040383</v>
      </c>
      <c r="J10" s="53">
        <v>190644.6</v>
      </c>
      <c r="K10" s="54">
        <f t="shared" si="4"/>
        <v>82.140000000043074</v>
      </c>
      <c r="L10" s="53">
        <v>14663.1</v>
      </c>
      <c r="M10" s="54">
        <f t="shared" si="5"/>
        <v>11.211000000002423</v>
      </c>
      <c r="N10" s="61">
        <f t="shared" si="6"/>
        <v>2272.3920000000435</v>
      </c>
    </row>
    <row r="11" spans="1:18" ht="28.5" customHeight="1" x14ac:dyDescent="0.25">
      <c r="A11" s="55">
        <v>6</v>
      </c>
      <c r="B11" s="53">
        <v>985438</v>
      </c>
      <c r="C11" s="54">
        <f t="shared" si="0"/>
        <v>2268.1</v>
      </c>
      <c r="D11" s="53">
        <v>69758.91</v>
      </c>
      <c r="E11" s="54">
        <f t="shared" si="1"/>
        <v>32.227000000023693</v>
      </c>
      <c r="F11" s="53">
        <v>7898.64</v>
      </c>
      <c r="G11" s="54">
        <f t="shared" si="2"/>
        <v>4.4770000000001344</v>
      </c>
      <c r="H11" s="53">
        <v>2318.89</v>
      </c>
      <c r="I11" s="54">
        <f t="shared" si="3"/>
        <v>0.59199999999946162</v>
      </c>
      <c r="J11" s="53">
        <v>190672.3</v>
      </c>
      <c r="K11" s="54">
        <f t="shared" si="4"/>
        <v>102.48999999993539</v>
      </c>
      <c r="L11" s="53">
        <v>14667.08</v>
      </c>
      <c r="M11" s="54">
        <f t="shared" si="5"/>
        <v>14.725999999998386</v>
      </c>
      <c r="N11" s="61">
        <f>SUM(C11,E11,G11,I11,K11,M11)</f>
        <v>2422.6119999999569</v>
      </c>
      <c r="R11" t="s">
        <v>82</v>
      </c>
    </row>
    <row r="12" spans="1:18" ht="28.5" customHeight="1" x14ac:dyDescent="0.25">
      <c r="A12" s="55">
        <v>7</v>
      </c>
      <c r="B12" s="53">
        <v>986024</v>
      </c>
      <c r="C12" s="54">
        <f t="shared" si="0"/>
        <v>2168.2000000000003</v>
      </c>
      <c r="D12" s="53">
        <v>69768.06</v>
      </c>
      <c r="E12" s="54">
        <f t="shared" si="1"/>
        <v>33.854999999978467</v>
      </c>
      <c r="F12" s="53">
        <v>7900.2</v>
      </c>
      <c r="G12" s="54">
        <f t="shared" si="2"/>
        <v>5.7719999999981155</v>
      </c>
      <c r="H12" s="53">
        <v>2319.12</v>
      </c>
      <c r="I12" s="54">
        <f t="shared" si="3"/>
        <v>0.85100000000006737</v>
      </c>
      <c r="J12" s="53">
        <v>190694.3</v>
      </c>
      <c r="K12" s="54">
        <f t="shared" si="4"/>
        <v>81.400000000000006</v>
      </c>
      <c r="L12" s="53">
        <v>14671.43</v>
      </c>
      <c r="M12" s="54">
        <f t="shared" si="5"/>
        <v>16.095000000001345</v>
      </c>
      <c r="N12" s="61">
        <f t="shared" si="6"/>
        <v>2306.1729999999784</v>
      </c>
    </row>
    <row r="13" spans="1:18" ht="28.5" customHeight="1" x14ac:dyDescent="0.25">
      <c r="A13" s="55">
        <v>8</v>
      </c>
      <c r="B13" s="53">
        <v>986600</v>
      </c>
      <c r="C13" s="54">
        <f t="shared" si="0"/>
        <v>2131.2000000000003</v>
      </c>
      <c r="D13" s="53">
        <v>69779</v>
      </c>
      <c r="E13" s="54">
        <f t="shared" si="1"/>
        <v>40.478000000008613</v>
      </c>
      <c r="F13" s="53">
        <v>7901.5</v>
      </c>
      <c r="G13" s="54">
        <f t="shared" si="2"/>
        <v>4.8100000000006728</v>
      </c>
      <c r="H13" s="53">
        <v>2319.3000000000002</v>
      </c>
      <c r="I13" s="54">
        <f t="shared" si="3"/>
        <v>0.66600000000107684</v>
      </c>
      <c r="J13" s="53">
        <v>190715</v>
      </c>
      <c r="K13" s="54">
        <f t="shared" si="4"/>
        <v>76.590000000043077</v>
      </c>
      <c r="L13" s="53">
        <v>14675</v>
      </c>
      <c r="M13" s="54">
        <f t="shared" si="5"/>
        <v>13.208999999998923</v>
      </c>
      <c r="N13" s="61">
        <f t="shared" si="6"/>
        <v>2266.9530000000527</v>
      </c>
    </row>
    <row r="14" spans="1:18" ht="28.5" customHeight="1" x14ac:dyDescent="0.25">
      <c r="A14" s="55">
        <v>9</v>
      </c>
      <c r="B14" s="53">
        <v>987205</v>
      </c>
      <c r="C14" s="54">
        <f t="shared" si="0"/>
        <v>2238.5</v>
      </c>
      <c r="D14" s="53">
        <v>69790</v>
      </c>
      <c r="E14" s="54">
        <f t="shared" si="1"/>
        <v>40.700000000000003</v>
      </c>
      <c r="F14" s="53">
        <v>7902.9</v>
      </c>
      <c r="G14" s="54">
        <f t="shared" si="2"/>
        <v>5.1799999999986541</v>
      </c>
      <c r="H14" s="53">
        <v>2319.35</v>
      </c>
      <c r="I14" s="54">
        <f t="shared" si="3"/>
        <v>0.18499999999899047</v>
      </c>
      <c r="J14" s="53">
        <v>190740</v>
      </c>
      <c r="K14" s="54">
        <f t="shared" si="4"/>
        <v>92.5</v>
      </c>
      <c r="L14" s="53">
        <v>14680</v>
      </c>
      <c r="M14" s="54">
        <f t="shared" si="5"/>
        <v>18.5</v>
      </c>
      <c r="N14" s="61">
        <f t="shared" si="6"/>
        <v>2395.5649999999973</v>
      </c>
    </row>
    <row r="15" spans="1:18" ht="28.5" customHeight="1" x14ac:dyDescent="0.25">
      <c r="A15" s="55">
        <v>10</v>
      </c>
      <c r="B15" s="53">
        <v>987754</v>
      </c>
      <c r="C15" s="54">
        <f t="shared" si="0"/>
        <v>2031.3000000000002</v>
      </c>
      <c r="D15" s="53">
        <v>69797.47</v>
      </c>
      <c r="E15" s="54">
        <f t="shared" si="1"/>
        <v>27.639000000004309</v>
      </c>
      <c r="F15" s="53">
        <v>7903.33</v>
      </c>
      <c r="G15" s="54">
        <f t="shared" si="2"/>
        <v>1.5910000000010769</v>
      </c>
      <c r="H15" s="53">
        <v>2319.4499999999998</v>
      </c>
      <c r="I15" s="54">
        <f t="shared" si="3"/>
        <v>0.36999999999966349</v>
      </c>
      <c r="J15" s="53">
        <v>190760.1</v>
      </c>
      <c r="K15" s="54">
        <f t="shared" si="4"/>
        <v>74.370000000021534</v>
      </c>
      <c r="L15" s="53">
        <v>14680.76</v>
      </c>
      <c r="M15" s="54">
        <f t="shared" si="5"/>
        <v>2.8120000000008076</v>
      </c>
      <c r="N15" s="61">
        <f t="shared" si="6"/>
        <v>2138.0820000000276</v>
      </c>
    </row>
    <row r="16" spans="1:18" ht="28.5" customHeight="1" x14ac:dyDescent="0.25">
      <c r="A16" s="55">
        <v>11</v>
      </c>
      <c r="B16" s="53">
        <v>988399</v>
      </c>
      <c r="C16" s="54">
        <f t="shared" si="0"/>
        <v>2386.5</v>
      </c>
      <c r="D16" s="53">
        <v>69805.17</v>
      </c>
      <c r="E16" s="54">
        <f t="shared" si="1"/>
        <v>28.489999999989234</v>
      </c>
      <c r="F16" s="53">
        <v>7904.34</v>
      </c>
      <c r="G16" s="54">
        <f t="shared" si="2"/>
        <v>3.7370000000008079</v>
      </c>
      <c r="H16" s="53">
        <v>2319.5700000000002</v>
      </c>
      <c r="I16" s="54">
        <f t="shared" si="3"/>
        <v>0.44400000000127876</v>
      </c>
      <c r="J16" s="53">
        <v>190782.7</v>
      </c>
      <c r="K16" s="54">
        <f t="shared" si="4"/>
        <v>83.620000000021534</v>
      </c>
      <c r="L16" s="53">
        <v>14685.44</v>
      </c>
      <c r="M16" s="54">
        <f t="shared" si="5"/>
        <v>17.316000000001079</v>
      </c>
      <c r="N16" s="61">
        <f>SUM(C16,E16,G16,I16,K16,M16)</f>
        <v>2520.1070000000145</v>
      </c>
    </row>
    <row r="17" spans="1:15" ht="28.5" customHeight="1" x14ac:dyDescent="0.25">
      <c r="A17" s="55">
        <v>12</v>
      </c>
      <c r="B17" s="53">
        <v>989043</v>
      </c>
      <c r="C17" s="54">
        <f t="shared" si="0"/>
        <v>2382.8000000000002</v>
      </c>
      <c r="D17" s="53">
        <v>69811.59</v>
      </c>
      <c r="E17" s="54">
        <f t="shared" si="1"/>
        <v>23.753999999993539</v>
      </c>
      <c r="F17" s="53">
        <v>7905.09</v>
      </c>
      <c r="G17" s="54">
        <f t="shared" si="2"/>
        <v>2.7750000000000004</v>
      </c>
      <c r="H17" s="53">
        <v>2319.65</v>
      </c>
      <c r="I17" s="54">
        <f t="shared" si="3"/>
        <v>0.29599999999973081</v>
      </c>
      <c r="J17" s="53">
        <v>190806</v>
      </c>
      <c r="K17" s="54">
        <f t="shared" si="4"/>
        <v>86.209999999956935</v>
      </c>
      <c r="L17" s="53">
        <v>14687.2</v>
      </c>
      <c r="M17" s="54">
        <f t="shared" si="5"/>
        <v>6.5120000000008078</v>
      </c>
      <c r="N17" s="61">
        <f t="shared" ref="N17:N36" si="7">SUM(C17,E17,G17,I17,K17,M17)</f>
        <v>2502.3469999999511</v>
      </c>
    </row>
    <row r="18" spans="1:15" ht="28.5" customHeight="1" x14ac:dyDescent="0.25">
      <c r="A18" s="55">
        <v>13</v>
      </c>
      <c r="B18" s="53">
        <v>989654</v>
      </c>
      <c r="C18" s="54">
        <f t="shared" si="0"/>
        <v>2260.7000000000003</v>
      </c>
      <c r="D18" s="53">
        <v>69820.31</v>
      </c>
      <c r="E18" s="54">
        <f t="shared" si="1"/>
        <v>32.264000000004309</v>
      </c>
      <c r="F18" s="53">
        <v>7906.12</v>
      </c>
      <c r="G18" s="54">
        <f t="shared" si="2"/>
        <v>3.810999999999058</v>
      </c>
      <c r="H18" s="53">
        <v>2319.77</v>
      </c>
      <c r="I18" s="54">
        <f t="shared" si="3"/>
        <v>0.44399999999959622</v>
      </c>
      <c r="J18" s="53">
        <v>190828.7</v>
      </c>
      <c r="K18" s="54">
        <f t="shared" si="4"/>
        <v>83.990000000043082</v>
      </c>
      <c r="L18" s="53">
        <v>14690.44</v>
      </c>
      <c r="M18" s="54">
        <f t="shared" si="5"/>
        <v>11.987999999999193</v>
      </c>
      <c r="N18" s="61">
        <f t="shared" si="7"/>
        <v>2393.1970000000456</v>
      </c>
    </row>
    <row r="19" spans="1:15" ht="28.5" customHeight="1" x14ac:dyDescent="0.25">
      <c r="A19" s="55">
        <v>14</v>
      </c>
      <c r="B19" s="53">
        <v>990217</v>
      </c>
      <c r="C19" s="54">
        <f t="shared" si="0"/>
        <v>2083.1</v>
      </c>
      <c r="D19" s="53">
        <v>69829.289999999994</v>
      </c>
      <c r="E19" s="54">
        <f t="shared" si="1"/>
        <v>33.225999999984928</v>
      </c>
      <c r="F19" s="53">
        <v>7907.6</v>
      </c>
      <c r="G19" s="54">
        <f t="shared" si="2"/>
        <v>5.4760000000017497</v>
      </c>
      <c r="H19" s="53">
        <v>2319.9</v>
      </c>
      <c r="I19" s="54">
        <f t="shared" si="3"/>
        <v>0.48100000000040383</v>
      </c>
      <c r="J19" s="53">
        <v>190847.4</v>
      </c>
      <c r="K19" s="54">
        <f t="shared" si="4"/>
        <v>69.189999999935395</v>
      </c>
      <c r="L19" s="53">
        <v>14692.67</v>
      </c>
      <c r="M19" s="54">
        <f t="shared" si="5"/>
        <v>8.2509999999983847</v>
      </c>
      <c r="N19" s="61">
        <f t="shared" si="7"/>
        <v>2199.723999999921</v>
      </c>
    </row>
    <row r="20" spans="1:15" ht="28.5" customHeight="1" x14ac:dyDescent="0.25">
      <c r="A20" s="55">
        <v>15</v>
      </c>
      <c r="B20" s="53">
        <v>990756</v>
      </c>
      <c r="C20" s="54">
        <f t="shared" si="0"/>
        <v>1994.3000000000002</v>
      </c>
      <c r="D20" s="53">
        <v>69837.3</v>
      </c>
      <c r="E20" s="54">
        <f t="shared" si="1"/>
        <v>29.637000000034462</v>
      </c>
      <c r="F20" s="53">
        <v>7908.21</v>
      </c>
      <c r="G20" s="54">
        <f t="shared" si="2"/>
        <v>2.2569999999987886</v>
      </c>
      <c r="H20" s="53">
        <v>2319.98</v>
      </c>
      <c r="I20" s="54">
        <f t="shared" si="3"/>
        <v>0.29599999999973081</v>
      </c>
      <c r="J20" s="53">
        <v>190867.3</v>
      </c>
      <c r="K20" s="54">
        <f t="shared" si="4"/>
        <v>73.629999999978466</v>
      </c>
      <c r="L20" s="53">
        <v>14694.13</v>
      </c>
      <c r="M20" s="54">
        <f t="shared" si="5"/>
        <v>5.4019999999967698</v>
      </c>
      <c r="N20" s="61">
        <f t="shared" si="7"/>
        <v>2105.5220000000086</v>
      </c>
    </row>
    <row r="21" spans="1:15" ht="28.5" customHeight="1" x14ac:dyDescent="0.25">
      <c r="A21" s="55">
        <v>16</v>
      </c>
      <c r="B21" s="53">
        <v>991279</v>
      </c>
      <c r="C21" s="54">
        <f t="shared" si="0"/>
        <v>1935.1000000000001</v>
      </c>
      <c r="D21" s="53">
        <v>69845.91</v>
      </c>
      <c r="E21" s="54">
        <f t="shared" si="1"/>
        <v>31.857000000002156</v>
      </c>
      <c r="F21" s="53">
        <v>7909.93</v>
      </c>
      <c r="G21" s="54">
        <f t="shared" si="2"/>
        <v>6.3640000000009422</v>
      </c>
      <c r="H21" s="53">
        <v>2320.14</v>
      </c>
      <c r="I21" s="54">
        <f t="shared" si="3"/>
        <v>0.59199999999946162</v>
      </c>
      <c r="J21" s="53">
        <v>190892.1</v>
      </c>
      <c r="K21" s="54">
        <f t="shared" si="4"/>
        <v>91.760000000064622</v>
      </c>
      <c r="L21" s="53">
        <v>14696.23</v>
      </c>
      <c r="M21" s="54">
        <f t="shared" si="5"/>
        <v>7.7700000000013461</v>
      </c>
      <c r="N21" s="61">
        <f t="shared" si="7"/>
        <v>2073.4430000000689</v>
      </c>
    </row>
    <row r="22" spans="1:15" ht="28.5" customHeight="1" x14ac:dyDescent="0.25">
      <c r="A22" s="55">
        <v>17</v>
      </c>
      <c r="B22" s="53">
        <v>991817</v>
      </c>
      <c r="C22" s="54">
        <f t="shared" si="0"/>
        <v>1990.6000000000001</v>
      </c>
      <c r="D22" s="53">
        <v>69851.81</v>
      </c>
      <c r="E22" s="54">
        <f t="shared" si="1"/>
        <v>21.829999999978465</v>
      </c>
      <c r="F22" s="53">
        <v>7910.48</v>
      </c>
      <c r="G22" s="54">
        <f t="shared" si="2"/>
        <v>2.0349999999973081</v>
      </c>
      <c r="H22" s="53">
        <v>2320.2199999999998</v>
      </c>
      <c r="I22" s="54">
        <f t="shared" si="3"/>
        <v>0.29599999999973081</v>
      </c>
      <c r="J22" s="53">
        <v>190900.1</v>
      </c>
      <c r="K22" s="54">
        <f t="shared" si="4"/>
        <v>29.6</v>
      </c>
      <c r="L22" s="53">
        <v>14698</v>
      </c>
      <c r="M22" s="54">
        <f t="shared" si="5"/>
        <v>6.549000000001616</v>
      </c>
      <c r="N22" s="61">
        <f t="shared" si="7"/>
        <v>2050.9099999999776</v>
      </c>
    </row>
    <row r="23" spans="1:15" ht="28.5" customHeight="1" x14ac:dyDescent="0.25">
      <c r="A23" s="55">
        <v>18</v>
      </c>
      <c r="B23" s="53">
        <v>992372</v>
      </c>
      <c r="C23" s="54">
        <f t="shared" si="0"/>
        <v>2053.5</v>
      </c>
      <c r="D23" s="53">
        <v>69858.429999999993</v>
      </c>
      <c r="E23" s="54">
        <f t="shared" si="1"/>
        <v>24.493999999982773</v>
      </c>
      <c r="F23" s="53">
        <v>7911.78</v>
      </c>
      <c r="G23" s="54">
        <f t="shared" si="2"/>
        <v>4.8100000000006728</v>
      </c>
      <c r="H23" s="53">
        <v>2320.42</v>
      </c>
      <c r="I23" s="54">
        <f t="shared" si="3"/>
        <v>0.74000000000100963</v>
      </c>
      <c r="J23" s="53">
        <v>190922.2</v>
      </c>
      <c r="K23" s="54">
        <f t="shared" si="4"/>
        <v>81.77000000002154</v>
      </c>
      <c r="L23" s="53">
        <v>14701.3</v>
      </c>
      <c r="M23" s="54">
        <f t="shared" si="5"/>
        <v>12.209999999997308</v>
      </c>
      <c r="N23" s="61">
        <f t="shared" si="7"/>
        <v>2177.5240000000035</v>
      </c>
    </row>
    <row r="24" spans="1:15" ht="28.5" customHeight="1" x14ac:dyDescent="0.25">
      <c r="A24" s="55">
        <v>19</v>
      </c>
      <c r="B24" s="53">
        <v>992949</v>
      </c>
      <c r="C24" s="54">
        <f t="shared" si="0"/>
        <v>2134.9</v>
      </c>
      <c r="D24" s="53">
        <v>69864</v>
      </c>
      <c r="E24" s="54">
        <f t="shared" si="1"/>
        <v>20.609000000025844</v>
      </c>
      <c r="F24" s="53">
        <v>7913.1</v>
      </c>
      <c r="G24" s="54">
        <f t="shared" si="2"/>
        <v>4.8840000000022883</v>
      </c>
      <c r="H24" s="53">
        <v>2320.56</v>
      </c>
      <c r="I24" s="54">
        <f t="shared" si="3"/>
        <v>0.51799999999952895</v>
      </c>
      <c r="J24" s="53">
        <v>190945.6</v>
      </c>
      <c r="K24" s="54">
        <f t="shared" si="4"/>
        <v>86.579999999978469</v>
      </c>
      <c r="L24" s="53">
        <v>14704.79</v>
      </c>
      <c r="M24" s="54">
        <f t="shared" si="5"/>
        <v>12.913000000005923</v>
      </c>
      <c r="N24" s="61">
        <f t="shared" si="7"/>
        <v>2260.4040000000123</v>
      </c>
    </row>
    <row r="25" spans="1:15" ht="28.5" customHeight="1" x14ac:dyDescent="0.25">
      <c r="A25" s="55">
        <v>20</v>
      </c>
      <c r="B25" s="53">
        <v>993530</v>
      </c>
      <c r="C25" s="54">
        <f t="shared" si="0"/>
        <v>2149.7000000000003</v>
      </c>
      <c r="D25" s="53">
        <v>69873.94</v>
      </c>
      <c r="E25" s="54">
        <f t="shared" si="1"/>
        <v>36.778000000008618</v>
      </c>
      <c r="F25" s="53">
        <v>7913.87</v>
      </c>
      <c r="G25" s="54">
        <f t="shared" si="2"/>
        <v>2.8489999999982505</v>
      </c>
      <c r="H25" s="53">
        <v>2320.65</v>
      </c>
      <c r="I25" s="54">
        <f t="shared" si="3"/>
        <v>0.33300000000053842</v>
      </c>
      <c r="J25" s="53">
        <v>190965.4</v>
      </c>
      <c r="K25" s="54">
        <f t="shared" si="4"/>
        <v>73.259999999956932</v>
      </c>
      <c r="L25" s="53">
        <v>14709.12</v>
      </c>
      <c r="M25" s="54">
        <f t="shared" si="5"/>
        <v>16.020999999999731</v>
      </c>
      <c r="N25" s="61">
        <f t="shared" si="7"/>
        <v>2278.9409999999643</v>
      </c>
    </row>
    <row r="26" spans="1:15" ht="28.5" customHeight="1" x14ac:dyDescent="0.25">
      <c r="A26" s="55">
        <v>21</v>
      </c>
      <c r="B26" s="53">
        <v>994173</v>
      </c>
      <c r="C26" s="54">
        <f t="shared" si="0"/>
        <v>2379.1</v>
      </c>
      <c r="D26" s="53">
        <v>69881.679999999993</v>
      </c>
      <c r="E26" s="54">
        <f t="shared" si="1"/>
        <v>28.637999999965544</v>
      </c>
      <c r="F26" s="53">
        <v>7915.38</v>
      </c>
      <c r="G26" s="54">
        <f t="shared" si="2"/>
        <v>5.587000000000808</v>
      </c>
      <c r="H26" s="53">
        <v>2320.81</v>
      </c>
      <c r="I26" s="54">
        <f t="shared" si="3"/>
        <v>0.59199999999946162</v>
      </c>
      <c r="J26" s="53">
        <v>190986</v>
      </c>
      <c r="K26" s="54">
        <f t="shared" si="4"/>
        <v>76.220000000021543</v>
      </c>
      <c r="L26" s="53">
        <v>14714.68</v>
      </c>
      <c r="M26" s="54">
        <f t="shared" si="5"/>
        <v>20.571999999998116</v>
      </c>
      <c r="N26" s="61">
        <f t="shared" si="7"/>
        <v>2510.7089999999857</v>
      </c>
    </row>
    <row r="27" spans="1:15" ht="28.5" customHeight="1" x14ac:dyDescent="0.25">
      <c r="A27" s="55">
        <v>22</v>
      </c>
      <c r="B27" s="53">
        <v>994750</v>
      </c>
      <c r="C27" s="54">
        <f t="shared" si="0"/>
        <v>2134.9</v>
      </c>
      <c r="D27" s="53">
        <v>69889.05</v>
      </c>
      <c r="E27" s="54">
        <f t="shared" si="1"/>
        <v>27.269000000036613</v>
      </c>
      <c r="F27" s="53">
        <v>7916.9</v>
      </c>
      <c r="G27" s="54">
        <f t="shared" si="2"/>
        <v>5.6239999999982508</v>
      </c>
      <c r="H27" s="53">
        <v>2320.9899999999998</v>
      </c>
      <c r="I27" s="54">
        <f t="shared" si="3"/>
        <v>0.6659999999993943</v>
      </c>
      <c r="J27" s="53">
        <v>191005</v>
      </c>
      <c r="K27" s="54">
        <f t="shared" si="4"/>
        <v>70.3</v>
      </c>
      <c r="L27" s="53">
        <v>14719.2</v>
      </c>
      <c r="M27" s="54">
        <f t="shared" si="5"/>
        <v>16.724000000001617</v>
      </c>
      <c r="N27" s="61">
        <f t="shared" si="7"/>
        <v>2255.4830000000361</v>
      </c>
    </row>
    <row r="28" spans="1:15" ht="28.5" customHeight="1" x14ac:dyDescent="0.25">
      <c r="A28" s="55">
        <v>23</v>
      </c>
      <c r="B28" s="57">
        <v>995331</v>
      </c>
      <c r="C28" s="54">
        <f t="shared" si="0"/>
        <v>2149.7000000000003</v>
      </c>
      <c r="D28" s="53">
        <v>69896.13</v>
      </c>
      <c r="E28" s="54">
        <f t="shared" si="1"/>
        <v>26.196000000006464</v>
      </c>
      <c r="F28" s="53">
        <v>7917.63</v>
      </c>
      <c r="G28" s="54">
        <f t="shared" si="2"/>
        <v>2.7010000000017498</v>
      </c>
      <c r="H28" s="53">
        <v>2321.06</v>
      </c>
      <c r="I28" s="54">
        <f t="shared" si="3"/>
        <v>0.25900000000060575</v>
      </c>
      <c r="J28" s="53">
        <v>191031.3</v>
      </c>
      <c r="K28" s="54">
        <f t="shared" si="4"/>
        <v>97.309999999956929</v>
      </c>
      <c r="L28" s="53">
        <v>14723</v>
      </c>
      <c r="M28" s="54">
        <f t="shared" si="5"/>
        <v>14.059999999997309</v>
      </c>
      <c r="N28" s="61">
        <f t="shared" si="7"/>
        <v>2290.2259999999628</v>
      </c>
    </row>
    <row r="29" spans="1:15" ht="28.5" customHeight="1" x14ac:dyDescent="0.25">
      <c r="A29" s="55">
        <v>24</v>
      </c>
      <c r="B29" s="53">
        <v>995960</v>
      </c>
      <c r="C29" s="54">
        <f t="shared" si="0"/>
        <v>2327.3000000000002</v>
      </c>
      <c r="D29" s="53">
        <v>69906.63</v>
      </c>
      <c r="E29" s="54">
        <f t="shared" si="1"/>
        <v>38.85</v>
      </c>
      <c r="F29" s="53">
        <v>7918.3</v>
      </c>
      <c r="G29" s="54">
        <f t="shared" si="2"/>
        <v>2.4790000000002692</v>
      </c>
      <c r="H29" s="53">
        <v>2321.06</v>
      </c>
      <c r="I29" s="54">
        <f t="shared" si="3"/>
        <v>0</v>
      </c>
      <c r="J29" s="53">
        <v>191051.6</v>
      </c>
      <c r="K29" s="54">
        <f t="shared" si="4"/>
        <v>75.110000000064616</v>
      </c>
      <c r="L29" s="53">
        <v>14726.2</v>
      </c>
      <c r="M29" s="54">
        <f t="shared" si="5"/>
        <v>11.840000000002693</v>
      </c>
      <c r="N29" s="61">
        <f t="shared" si="7"/>
        <v>2455.5790000000679</v>
      </c>
    </row>
    <row r="30" spans="1:15" ht="28.5" customHeight="1" x14ac:dyDescent="0.25">
      <c r="A30" s="55">
        <v>25</v>
      </c>
      <c r="B30" s="53">
        <v>996631</v>
      </c>
      <c r="C30" s="54">
        <f t="shared" si="0"/>
        <v>2482.7000000000003</v>
      </c>
      <c r="D30" s="53">
        <v>69913.440000000002</v>
      </c>
      <c r="E30" s="54">
        <f t="shared" si="1"/>
        <v>25.196999999991387</v>
      </c>
      <c r="F30" s="53">
        <v>7918.99</v>
      </c>
      <c r="G30" s="54">
        <f t="shared" si="2"/>
        <v>2.5529999999985193</v>
      </c>
      <c r="H30" s="53">
        <v>2321.09</v>
      </c>
      <c r="I30" s="54">
        <f t="shared" si="3"/>
        <v>0.11100000000074034</v>
      </c>
      <c r="J30" s="53">
        <v>191074.3</v>
      </c>
      <c r="K30" s="54">
        <f t="shared" si="4"/>
        <v>83.989999999935392</v>
      </c>
      <c r="L30" s="53">
        <v>14729.41</v>
      </c>
      <c r="M30" s="54">
        <f t="shared" si="5"/>
        <v>11.876999999996769</v>
      </c>
      <c r="N30" s="61">
        <f t="shared" si="7"/>
        <v>2606.427999999923</v>
      </c>
      <c r="O30" s="58"/>
    </row>
    <row r="31" spans="1:15" ht="28.5" customHeight="1" x14ac:dyDescent="0.25">
      <c r="A31" s="55">
        <v>26</v>
      </c>
      <c r="B31" s="53">
        <v>997303</v>
      </c>
      <c r="C31" s="54">
        <f t="shared" si="0"/>
        <v>2486.4</v>
      </c>
      <c r="D31" s="53">
        <v>69924.47</v>
      </c>
      <c r="E31" s="54">
        <f t="shared" si="1"/>
        <v>40.810999999995694</v>
      </c>
      <c r="F31" s="53">
        <v>7919.91</v>
      </c>
      <c r="G31" s="54">
        <f t="shared" si="2"/>
        <v>3.4040000000002695</v>
      </c>
      <c r="H31" s="53">
        <v>2321.14</v>
      </c>
      <c r="I31" s="54">
        <f t="shared" si="3"/>
        <v>0.18499999999899047</v>
      </c>
      <c r="J31" s="53">
        <v>191099</v>
      </c>
      <c r="K31" s="54">
        <f t="shared" si="4"/>
        <v>91.390000000043074</v>
      </c>
      <c r="L31" s="53">
        <v>14732.37</v>
      </c>
      <c r="M31" s="54">
        <f t="shared" si="5"/>
        <v>10.952000000003499</v>
      </c>
      <c r="N31" s="61">
        <f t="shared" si="7"/>
        <v>2633.1420000000417</v>
      </c>
      <c r="O31" s="58"/>
    </row>
    <row r="32" spans="1:15" ht="28.5" customHeight="1" x14ac:dyDescent="0.25">
      <c r="A32" s="55">
        <v>27</v>
      </c>
      <c r="B32" s="53">
        <v>997943</v>
      </c>
      <c r="C32" s="54">
        <f t="shared" si="0"/>
        <v>2368</v>
      </c>
      <c r="D32" s="53">
        <v>69930.53</v>
      </c>
      <c r="E32" s="54">
        <f t="shared" si="1"/>
        <v>22.421999999991385</v>
      </c>
      <c r="F32" s="53">
        <v>7920.79</v>
      </c>
      <c r="G32" s="54">
        <f t="shared" si="2"/>
        <v>3.2560000000004039</v>
      </c>
      <c r="H32" s="53">
        <v>2321.2399999999998</v>
      </c>
      <c r="I32" s="54">
        <f t="shared" si="3"/>
        <v>0.36999999999966349</v>
      </c>
      <c r="J32" s="53">
        <v>191126.9</v>
      </c>
      <c r="K32" s="54">
        <f t="shared" si="4"/>
        <v>103.22999999997847</v>
      </c>
      <c r="L32" s="53">
        <v>14734.97</v>
      </c>
      <c r="M32" s="54">
        <f t="shared" si="5"/>
        <v>9.6199999999946169</v>
      </c>
      <c r="N32" s="61">
        <f>SUM(C32,E32,G32,I32,K32,M32)</f>
        <v>2506.8979999999647</v>
      </c>
    </row>
    <row r="33" spans="1:14" ht="28.5" customHeight="1" x14ac:dyDescent="0.25">
      <c r="A33" s="55">
        <v>28</v>
      </c>
      <c r="B33" s="53">
        <v>998603</v>
      </c>
      <c r="C33" s="54">
        <f t="shared" si="0"/>
        <v>2442</v>
      </c>
      <c r="D33" s="53">
        <v>69939</v>
      </c>
      <c r="E33" s="54">
        <f t="shared" si="1"/>
        <v>31.339000000004308</v>
      </c>
      <c r="F33" s="53">
        <v>7922</v>
      </c>
      <c r="G33" s="54">
        <f t="shared" si="2"/>
        <v>4.4770000000001344</v>
      </c>
      <c r="H33" s="53">
        <v>2321.35</v>
      </c>
      <c r="I33" s="54">
        <f t="shared" si="3"/>
        <v>0.40700000000047115</v>
      </c>
      <c r="J33" s="53">
        <v>191150.5</v>
      </c>
      <c r="K33" s="54">
        <f t="shared" si="4"/>
        <v>87.320000000021537</v>
      </c>
      <c r="L33" s="53">
        <v>14737.62</v>
      </c>
      <c r="M33" s="54">
        <f t="shared" si="5"/>
        <v>9.8050000000053839</v>
      </c>
      <c r="N33" s="61">
        <f t="shared" si="7"/>
        <v>2575.3480000000322</v>
      </c>
    </row>
    <row r="34" spans="1:14" ht="28.5" customHeight="1" x14ac:dyDescent="0.25">
      <c r="A34" s="55">
        <v>29</v>
      </c>
      <c r="B34" s="57">
        <v>999247</v>
      </c>
      <c r="C34" s="54">
        <f t="shared" si="0"/>
        <v>2382.8000000000002</v>
      </c>
      <c r="D34" s="53">
        <v>69948.460000000006</v>
      </c>
      <c r="E34" s="54">
        <f t="shared" si="1"/>
        <v>35.002000000023692</v>
      </c>
      <c r="F34" s="53">
        <v>7923.75</v>
      </c>
      <c r="G34" s="54">
        <f t="shared" si="2"/>
        <v>6.4750000000000005</v>
      </c>
      <c r="H34" s="53">
        <v>2321.54</v>
      </c>
      <c r="I34" s="54">
        <f t="shared" si="3"/>
        <v>0.70300000000020191</v>
      </c>
      <c r="J34" s="53">
        <v>191176.8</v>
      </c>
      <c r="K34" s="54">
        <f t="shared" si="4"/>
        <v>97.309999999956929</v>
      </c>
      <c r="L34" s="53">
        <v>14739.72</v>
      </c>
      <c r="M34" s="54">
        <f t="shared" si="5"/>
        <v>7.7699999999946163</v>
      </c>
      <c r="N34" s="61">
        <f t="shared" si="7"/>
        <v>2530.0599999999754</v>
      </c>
    </row>
    <row r="35" spans="1:14" ht="28.5" customHeight="1" x14ac:dyDescent="0.25">
      <c r="A35" s="55">
        <v>30</v>
      </c>
      <c r="B35" s="53">
        <v>999893</v>
      </c>
      <c r="C35" s="54">
        <f t="shared" si="0"/>
        <v>2390.2000000000003</v>
      </c>
      <c r="D35" s="53">
        <v>69956.84</v>
      </c>
      <c r="E35" s="54">
        <f t="shared" si="1"/>
        <v>31.00599999996339</v>
      </c>
      <c r="F35" s="53">
        <v>7924.21</v>
      </c>
      <c r="G35" s="54">
        <f t="shared" si="2"/>
        <v>1.7020000000001347</v>
      </c>
      <c r="H35" s="53">
        <v>2321.64</v>
      </c>
      <c r="I35" s="54">
        <f t="shared" si="3"/>
        <v>0.36999999999966349</v>
      </c>
      <c r="J35" s="53">
        <v>191204.1</v>
      </c>
      <c r="K35" s="54">
        <f t="shared" si="4"/>
        <v>101.01000000006462</v>
      </c>
      <c r="L35" s="53">
        <v>14741.63</v>
      </c>
      <c r="M35" s="54">
        <f t="shared" si="5"/>
        <v>7.0669999999994619</v>
      </c>
      <c r="N35" s="61">
        <f t="shared" si="7"/>
        <v>2531.3550000000282</v>
      </c>
    </row>
    <row r="36" spans="1:14" ht="28.5" customHeight="1" x14ac:dyDescent="0.25">
      <c r="A36" s="55">
        <v>31</v>
      </c>
      <c r="B36" s="53">
        <v>545</v>
      </c>
      <c r="C36" s="54">
        <v>545</v>
      </c>
      <c r="D36" s="53">
        <v>69963.47</v>
      </c>
      <c r="E36" s="54">
        <f t="shared" si="1"/>
        <v>24.531000000017229</v>
      </c>
      <c r="F36" s="53">
        <v>7926.52</v>
      </c>
      <c r="G36" s="54">
        <f t="shared" si="2"/>
        <v>8.5470000000014803</v>
      </c>
      <c r="H36" s="53">
        <v>2321.66</v>
      </c>
      <c r="I36" s="54">
        <f t="shared" si="3"/>
        <v>7.3999999999932703E-2</v>
      </c>
      <c r="J36" s="53">
        <v>191222.39999999999</v>
      </c>
      <c r="K36" s="54">
        <f t="shared" si="4"/>
        <v>67.709999999956935</v>
      </c>
      <c r="L36" s="53">
        <v>14744.58</v>
      </c>
      <c r="M36" s="54">
        <f t="shared" si="5"/>
        <v>10.915000000002692</v>
      </c>
      <c r="N36" s="61">
        <f t="shared" si="7"/>
        <v>656.77699999997833</v>
      </c>
    </row>
    <row r="37" spans="1:14" x14ac:dyDescent="0.25">
      <c r="A37" s="94" t="s">
        <v>83</v>
      </c>
      <c r="B37" s="94"/>
      <c r="C37" s="59">
        <f>SUM(C6:C36)</f>
        <v>67507.599999999991</v>
      </c>
      <c r="E37" s="59">
        <f>SUM(E6:E36)</f>
        <v>977.57700000002376</v>
      </c>
      <c r="G37" s="59">
        <f>SUM(G6:G36)</f>
        <v>130.79500000000135</v>
      </c>
      <c r="I37" s="59">
        <f>SUM(I6:I36)</f>
        <v>13.393999999999595</v>
      </c>
      <c r="K37" s="59">
        <f>SUM(K6:K36)</f>
        <v>2533.0200000000218</v>
      </c>
      <c r="M37" s="59">
        <f>SUM(M6:M36)</f>
        <v>358.23399999999901</v>
      </c>
    </row>
    <row r="39" spans="1:14" x14ac:dyDescent="0.25">
      <c r="A39" s="95" t="s">
        <v>84</v>
      </c>
      <c r="B39" s="95"/>
      <c r="C39" s="109">
        <f>SUM(C37)</f>
        <v>67507.599999999991</v>
      </c>
      <c r="D39" s="109"/>
    </row>
    <row r="40" spans="1:14" x14ac:dyDescent="0.25">
      <c r="A40" s="95" t="s">
        <v>85</v>
      </c>
      <c r="B40" s="95"/>
      <c r="C40" s="109">
        <f>SUM(E37,G37,I37,K37,M37)</f>
        <v>4013.0200000000455</v>
      </c>
      <c r="D40" s="109"/>
    </row>
    <row r="41" spans="1:14" ht="47.25" customHeight="1" x14ac:dyDescent="0.25">
      <c r="A41" s="91" t="s">
        <v>86</v>
      </c>
      <c r="B41" s="91"/>
      <c r="C41" s="110">
        <f>SUM(C39:D40)</f>
        <v>71520.620000000039</v>
      </c>
      <c r="D41" s="110"/>
    </row>
  </sheetData>
  <mergeCells count="20">
    <mergeCell ref="H4:I4"/>
    <mergeCell ref="J4:K4"/>
    <mergeCell ref="L4:M4"/>
    <mergeCell ref="A1:M1"/>
    <mergeCell ref="B3:C3"/>
    <mergeCell ref="D3:E3"/>
    <mergeCell ref="F3:G3"/>
    <mergeCell ref="H3:I3"/>
    <mergeCell ref="J3:K3"/>
    <mergeCell ref="L3:M3"/>
    <mergeCell ref="C41:D41"/>
    <mergeCell ref="A41:B41"/>
    <mergeCell ref="B4:C4"/>
    <mergeCell ref="D4:E4"/>
    <mergeCell ref="F4:G4"/>
    <mergeCell ref="A37:B37"/>
    <mergeCell ref="A39:B39"/>
    <mergeCell ref="C39:D39"/>
    <mergeCell ref="A40:B40"/>
    <mergeCell ref="C40:D40"/>
  </mergeCells>
  <printOptions horizontalCentered="1"/>
  <pageMargins left="0" right="0" top="0" bottom="0" header="0.3" footer="0.3"/>
  <pageSetup paperSize="9" scale="71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5EAA-47F4-4B4C-AF06-1BB06658B4C9}">
  <sheetPr>
    <pageSetUpPr fitToPage="1"/>
  </sheetPr>
  <dimension ref="A2:AP29"/>
  <sheetViews>
    <sheetView zoomScale="115" zoomScaleNormal="115" workbookViewId="0">
      <pane xSplit="3" ySplit="4" topLeftCell="D12" activePane="bottomRight" state="frozen"/>
      <selection pane="topRight" activeCell="D1" sqref="D1"/>
      <selection pane="bottomLeft" activeCell="A5" sqref="A5"/>
      <selection pane="bottomRight" activeCell="E16" sqref="E16"/>
    </sheetView>
  </sheetViews>
  <sheetFormatPr defaultColWidth="9.140625" defaultRowHeight="70.5" customHeight="1" x14ac:dyDescent="0.25"/>
  <cols>
    <col min="1" max="1" width="5.7109375" style="2" customWidth="1"/>
    <col min="2" max="2" width="21.85546875" style="8" customWidth="1"/>
    <col min="3" max="3" width="23" style="35" customWidth="1"/>
    <col min="4" max="6" width="10.140625" style="8" customWidth="1"/>
    <col min="7" max="35" width="10.140625" style="2" customWidth="1"/>
    <col min="36" max="16384" width="9.140625" style="2"/>
  </cols>
  <sheetData>
    <row r="2" spans="1:42" s="8" customFormat="1" ht="25.7" customHeight="1" x14ac:dyDescent="0.4">
      <c r="B2" s="100" t="s">
        <v>96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</row>
    <row r="3" spans="1:42" s="8" customFormat="1" ht="30" customHeight="1" thickBot="1" x14ac:dyDescent="0.3"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</row>
    <row r="4" spans="1:42" s="30" customFormat="1" ht="57.75" customHeight="1" thickBot="1" x14ac:dyDescent="0.3">
      <c r="A4" s="15" t="s">
        <v>10</v>
      </c>
      <c r="B4" s="27" t="s">
        <v>18</v>
      </c>
      <c r="C4" s="27" t="s">
        <v>12</v>
      </c>
      <c r="D4" s="28" t="s">
        <v>19</v>
      </c>
      <c r="E4" s="29" t="s">
        <v>20</v>
      </c>
      <c r="F4" s="29" t="s">
        <v>21</v>
      </c>
      <c r="G4" s="29" t="s">
        <v>22</v>
      </c>
      <c r="H4" s="29" t="s">
        <v>23</v>
      </c>
      <c r="I4" s="29" t="s">
        <v>24</v>
      </c>
      <c r="J4" s="29" t="s">
        <v>25</v>
      </c>
      <c r="K4" s="29" t="s">
        <v>26</v>
      </c>
      <c r="L4" s="29" t="s">
        <v>27</v>
      </c>
      <c r="M4" s="29" t="s">
        <v>28</v>
      </c>
      <c r="N4" s="29" t="s">
        <v>29</v>
      </c>
      <c r="O4" s="29" t="s">
        <v>30</v>
      </c>
      <c r="P4" s="29" t="s">
        <v>31</v>
      </c>
      <c r="Q4" s="29" t="s">
        <v>32</v>
      </c>
      <c r="R4" s="29" t="s">
        <v>33</v>
      </c>
      <c r="S4" s="29" t="s">
        <v>34</v>
      </c>
      <c r="T4" s="29" t="s">
        <v>35</v>
      </c>
      <c r="U4" s="29" t="s">
        <v>36</v>
      </c>
      <c r="V4" s="29" t="s">
        <v>37</v>
      </c>
      <c r="W4" s="29" t="s">
        <v>38</v>
      </c>
      <c r="X4" s="29" t="s">
        <v>39</v>
      </c>
      <c r="Y4" s="29" t="s">
        <v>40</v>
      </c>
      <c r="Z4" s="29" t="s">
        <v>41</v>
      </c>
      <c r="AA4" s="29" t="s">
        <v>42</v>
      </c>
      <c r="AB4" s="29" t="s">
        <v>43</v>
      </c>
      <c r="AC4" s="29" t="s">
        <v>44</v>
      </c>
      <c r="AD4" s="29" t="s">
        <v>45</v>
      </c>
      <c r="AE4" s="29" t="s">
        <v>46</v>
      </c>
      <c r="AF4" s="29" t="s">
        <v>47</v>
      </c>
      <c r="AG4" s="29" t="s">
        <v>88</v>
      </c>
      <c r="AH4" s="29" t="s">
        <v>89</v>
      </c>
      <c r="AI4" s="29" t="s">
        <v>90</v>
      </c>
    </row>
    <row r="5" spans="1:42" s="8" customFormat="1" ht="40.5" customHeight="1" thickBot="1" x14ac:dyDescent="0.3">
      <c r="A5" s="103" t="s">
        <v>20</v>
      </c>
      <c r="B5" s="27" t="s">
        <v>48</v>
      </c>
      <c r="C5" s="105" t="s">
        <v>49</v>
      </c>
      <c r="D5" s="31">
        <v>108007</v>
      </c>
      <c r="E5" s="31">
        <v>108674</v>
      </c>
      <c r="F5" s="31">
        <v>109072</v>
      </c>
      <c r="G5" s="31">
        <v>109454</v>
      </c>
      <c r="H5" s="31">
        <v>109798</v>
      </c>
      <c r="I5" s="31">
        <v>110172</v>
      </c>
      <c r="J5" s="31">
        <v>110642</v>
      </c>
      <c r="K5" s="31">
        <v>111087</v>
      </c>
      <c r="L5" s="31">
        <v>111545</v>
      </c>
      <c r="M5" s="31">
        <v>111956</v>
      </c>
      <c r="N5" s="31">
        <v>112393</v>
      </c>
      <c r="O5" s="31">
        <v>112781</v>
      </c>
      <c r="P5" s="31">
        <v>113219</v>
      </c>
      <c r="Q5" s="31">
        <v>113649</v>
      </c>
      <c r="R5" s="31">
        <v>114068</v>
      </c>
      <c r="S5" s="31">
        <v>114522</v>
      </c>
      <c r="T5" s="31">
        <v>114960</v>
      </c>
      <c r="U5" s="31">
        <v>115354</v>
      </c>
      <c r="V5" s="31">
        <v>115772</v>
      </c>
      <c r="W5" s="31">
        <v>116179</v>
      </c>
      <c r="X5" s="31">
        <v>116541</v>
      </c>
      <c r="Y5" s="31">
        <v>117007</v>
      </c>
      <c r="Z5" s="31">
        <v>117413</v>
      </c>
      <c r="AA5" s="31">
        <v>117812</v>
      </c>
      <c r="AB5" s="31">
        <v>118260</v>
      </c>
      <c r="AC5" s="31">
        <v>118658</v>
      </c>
      <c r="AD5" s="31">
        <v>119072</v>
      </c>
      <c r="AE5" s="31">
        <v>119459</v>
      </c>
      <c r="AF5" s="31">
        <v>119840</v>
      </c>
      <c r="AG5" s="31">
        <v>120277</v>
      </c>
      <c r="AH5" s="31">
        <v>120644</v>
      </c>
      <c r="AI5" s="31">
        <v>121045</v>
      </c>
    </row>
    <row r="6" spans="1:42" s="34" customFormat="1" ht="25.7" customHeight="1" thickBot="1" x14ac:dyDescent="0.3">
      <c r="A6" s="104"/>
      <c r="B6" s="32"/>
      <c r="C6" s="105"/>
      <c r="D6" s="33"/>
      <c r="E6" s="33">
        <f>E5-D5</f>
        <v>667</v>
      </c>
      <c r="F6" s="33">
        <f t="shared" ref="F6:S6" si="0">F5-E5</f>
        <v>398</v>
      </c>
      <c r="G6" s="33">
        <f t="shared" si="0"/>
        <v>382</v>
      </c>
      <c r="H6" s="33">
        <f>H5-G5</f>
        <v>344</v>
      </c>
      <c r="I6" s="33">
        <f t="shared" si="0"/>
        <v>374</v>
      </c>
      <c r="J6" s="33">
        <f>J5-I5</f>
        <v>470</v>
      </c>
      <c r="K6" s="33">
        <f>K5-J5</f>
        <v>445</v>
      </c>
      <c r="L6" s="33">
        <f t="shared" si="0"/>
        <v>458</v>
      </c>
      <c r="M6" s="33">
        <f>M5-L5</f>
        <v>411</v>
      </c>
      <c r="N6" s="33">
        <f>N5-M5</f>
        <v>437</v>
      </c>
      <c r="O6" s="33">
        <f>O5-N5</f>
        <v>388</v>
      </c>
      <c r="P6" s="33">
        <f t="shared" si="0"/>
        <v>438</v>
      </c>
      <c r="Q6" s="33">
        <f>Q5-P5</f>
        <v>430</v>
      </c>
      <c r="R6" s="33">
        <f>R5-Q5</f>
        <v>419</v>
      </c>
      <c r="S6" s="33">
        <f t="shared" si="0"/>
        <v>454</v>
      </c>
      <c r="T6" s="33">
        <f t="shared" ref="T6:AI6" si="1">T5-S5</f>
        <v>438</v>
      </c>
      <c r="U6" s="33">
        <f t="shared" si="1"/>
        <v>394</v>
      </c>
      <c r="V6" s="33">
        <f t="shared" si="1"/>
        <v>418</v>
      </c>
      <c r="W6" s="33">
        <f t="shared" si="1"/>
        <v>407</v>
      </c>
      <c r="X6" s="33">
        <f t="shared" si="1"/>
        <v>362</v>
      </c>
      <c r="Y6" s="33">
        <f t="shared" si="1"/>
        <v>466</v>
      </c>
      <c r="Z6" s="33">
        <f t="shared" si="1"/>
        <v>406</v>
      </c>
      <c r="AA6" s="33">
        <f t="shared" si="1"/>
        <v>399</v>
      </c>
      <c r="AB6" s="33">
        <f t="shared" si="1"/>
        <v>448</v>
      </c>
      <c r="AC6" s="33">
        <f t="shared" si="1"/>
        <v>398</v>
      </c>
      <c r="AD6" s="33">
        <f t="shared" si="1"/>
        <v>414</v>
      </c>
      <c r="AE6" s="33">
        <f t="shared" si="1"/>
        <v>387</v>
      </c>
      <c r="AF6" s="33">
        <f t="shared" si="1"/>
        <v>381</v>
      </c>
      <c r="AG6" s="33">
        <f t="shared" si="1"/>
        <v>437</v>
      </c>
      <c r="AH6" s="33">
        <f t="shared" si="1"/>
        <v>367</v>
      </c>
      <c r="AI6" s="33">
        <f t="shared" si="1"/>
        <v>401</v>
      </c>
      <c r="AJ6" s="8"/>
      <c r="AK6" s="8"/>
      <c r="AL6" s="8"/>
      <c r="AM6" s="8"/>
      <c r="AN6" s="8"/>
      <c r="AO6" s="8"/>
      <c r="AP6" s="8"/>
    </row>
    <row r="7" spans="1:42" s="8" customFormat="1" ht="39.75" customHeight="1" thickBot="1" x14ac:dyDescent="0.3">
      <c r="A7" s="103" t="s">
        <v>22</v>
      </c>
      <c r="B7" s="49" t="s">
        <v>69</v>
      </c>
      <c r="C7" s="105" t="s">
        <v>70</v>
      </c>
      <c r="D7" s="31">
        <v>401753</v>
      </c>
      <c r="E7" s="31">
        <v>401785</v>
      </c>
      <c r="F7" s="31">
        <v>401803.5</v>
      </c>
      <c r="G7" s="31">
        <v>401824.2</v>
      </c>
      <c r="H7" s="31">
        <v>401842.2</v>
      </c>
      <c r="I7" s="31">
        <v>401859.2</v>
      </c>
      <c r="J7" s="31">
        <v>401884.1</v>
      </c>
      <c r="K7" s="31">
        <v>401912.1</v>
      </c>
      <c r="L7" s="31">
        <v>401940.2</v>
      </c>
      <c r="M7" s="31">
        <v>401972.8</v>
      </c>
      <c r="N7" s="31">
        <v>402002.5</v>
      </c>
      <c r="O7" s="31">
        <v>402020.5</v>
      </c>
      <c r="P7" s="31">
        <v>402045.5</v>
      </c>
      <c r="Q7" s="31">
        <v>402072.1</v>
      </c>
      <c r="R7" s="31">
        <v>402099.3</v>
      </c>
      <c r="S7" s="31">
        <v>402129.2</v>
      </c>
      <c r="T7" s="31">
        <v>402161.9</v>
      </c>
      <c r="U7" s="31">
        <v>402196.1</v>
      </c>
      <c r="V7" s="31">
        <v>402222.2</v>
      </c>
      <c r="W7" s="31">
        <v>402253.1</v>
      </c>
      <c r="X7" s="31">
        <v>402281.5</v>
      </c>
      <c r="Y7" s="31">
        <v>402309.1</v>
      </c>
      <c r="Z7" s="31">
        <v>402336.1</v>
      </c>
      <c r="AA7" s="31">
        <v>402363.3</v>
      </c>
      <c r="AB7" s="31">
        <v>402389.5</v>
      </c>
      <c r="AC7" s="31">
        <v>402407.2</v>
      </c>
      <c r="AD7" s="31">
        <v>402432.5</v>
      </c>
      <c r="AE7" s="31">
        <v>402460.1</v>
      </c>
      <c r="AF7" s="31">
        <v>402488.5</v>
      </c>
      <c r="AG7" s="31">
        <v>402524.2</v>
      </c>
      <c r="AH7" s="31">
        <v>402555.7</v>
      </c>
      <c r="AI7" s="31">
        <v>402587.5</v>
      </c>
    </row>
    <row r="8" spans="1:42" s="34" customFormat="1" ht="25.7" customHeight="1" thickBot="1" x14ac:dyDescent="0.3">
      <c r="A8" s="104"/>
      <c r="B8" s="47"/>
      <c r="C8" s="105"/>
      <c r="D8" s="33"/>
      <c r="E8" s="33">
        <f>E7-D7</f>
        <v>32</v>
      </c>
      <c r="F8" s="33">
        <f t="shared" ref="F8:AI8" si="2">F7-E7</f>
        <v>18.5</v>
      </c>
      <c r="G8" s="33">
        <f t="shared" si="2"/>
        <v>20.700000000011642</v>
      </c>
      <c r="H8" s="33">
        <f t="shared" si="2"/>
        <v>18</v>
      </c>
      <c r="I8" s="33">
        <f t="shared" si="2"/>
        <v>17</v>
      </c>
      <c r="J8" s="33">
        <f t="shared" si="2"/>
        <v>24.899999999965075</v>
      </c>
      <c r="K8" s="33">
        <f t="shared" si="2"/>
        <v>28</v>
      </c>
      <c r="L8" s="33">
        <f t="shared" si="2"/>
        <v>28.100000000034925</v>
      </c>
      <c r="M8" s="33">
        <f t="shared" si="2"/>
        <v>32.599999999976717</v>
      </c>
      <c r="N8" s="33">
        <f t="shared" si="2"/>
        <v>29.700000000011642</v>
      </c>
      <c r="O8" s="33">
        <f t="shared" si="2"/>
        <v>18</v>
      </c>
      <c r="P8" s="33">
        <f t="shared" si="2"/>
        <v>25</v>
      </c>
      <c r="Q8" s="33">
        <f t="shared" si="2"/>
        <v>26.599999999976717</v>
      </c>
      <c r="R8" s="33">
        <f t="shared" si="2"/>
        <v>27.200000000011642</v>
      </c>
      <c r="S8" s="33">
        <f t="shared" si="2"/>
        <v>29.900000000023283</v>
      </c>
      <c r="T8" s="33">
        <f t="shared" si="2"/>
        <v>32.700000000011642</v>
      </c>
      <c r="U8" s="33">
        <f t="shared" si="2"/>
        <v>34.199999999953434</v>
      </c>
      <c r="V8" s="33">
        <f t="shared" si="2"/>
        <v>26.100000000034925</v>
      </c>
      <c r="W8" s="33">
        <f t="shared" si="2"/>
        <v>30.899999999965075</v>
      </c>
      <c r="X8" s="33">
        <f t="shared" si="2"/>
        <v>28.400000000023283</v>
      </c>
      <c r="Y8" s="33">
        <f t="shared" si="2"/>
        <v>27.599999999976717</v>
      </c>
      <c r="Z8" s="33">
        <f t="shared" si="2"/>
        <v>27</v>
      </c>
      <c r="AA8" s="33">
        <f t="shared" si="2"/>
        <v>27.200000000011642</v>
      </c>
      <c r="AB8" s="33">
        <f t="shared" si="2"/>
        <v>26.200000000011642</v>
      </c>
      <c r="AC8" s="33">
        <f t="shared" si="2"/>
        <v>17.700000000011642</v>
      </c>
      <c r="AD8" s="33">
        <f t="shared" si="2"/>
        <v>25.299999999988358</v>
      </c>
      <c r="AE8" s="33">
        <f t="shared" si="2"/>
        <v>27.599999999976717</v>
      </c>
      <c r="AF8" s="33">
        <f t="shared" si="2"/>
        <v>28.400000000023283</v>
      </c>
      <c r="AG8" s="33">
        <f t="shared" si="2"/>
        <v>35.700000000011642</v>
      </c>
      <c r="AH8" s="33">
        <f t="shared" si="2"/>
        <v>31.5</v>
      </c>
      <c r="AI8" s="33">
        <f t="shared" si="2"/>
        <v>31.799999999988358</v>
      </c>
      <c r="AJ8" s="8"/>
      <c r="AK8" s="8"/>
      <c r="AL8" s="8"/>
      <c r="AM8" s="8"/>
      <c r="AN8" s="8"/>
      <c r="AO8" s="8"/>
      <c r="AP8" s="8"/>
    </row>
    <row r="9" spans="1:42" s="8" customFormat="1" ht="25.7" customHeight="1" thickBot="1" x14ac:dyDescent="0.3">
      <c r="A9" s="103">
        <v>4</v>
      </c>
      <c r="B9" s="46" t="s">
        <v>67</v>
      </c>
      <c r="C9" s="105" t="s">
        <v>68</v>
      </c>
      <c r="D9" s="69">
        <v>72070</v>
      </c>
      <c r="E9" s="69">
        <v>72070</v>
      </c>
      <c r="F9" s="69">
        <v>72070</v>
      </c>
      <c r="G9" s="69">
        <v>72070</v>
      </c>
      <c r="H9" s="69">
        <v>72070</v>
      </c>
      <c r="I9" s="69">
        <v>72070</v>
      </c>
      <c r="J9" s="69">
        <v>72070</v>
      </c>
      <c r="K9" s="69">
        <v>72070</v>
      </c>
      <c r="L9" s="69">
        <v>72070</v>
      </c>
      <c r="M9" s="69">
        <v>72070</v>
      </c>
      <c r="N9" s="69">
        <v>72070</v>
      </c>
      <c r="O9" s="69">
        <v>72070</v>
      </c>
      <c r="P9" s="69">
        <v>72070</v>
      </c>
      <c r="Q9" s="69">
        <v>72070</v>
      </c>
      <c r="R9" s="69">
        <v>72070</v>
      </c>
      <c r="S9" s="69">
        <v>72070</v>
      </c>
      <c r="T9" s="69">
        <v>72070</v>
      </c>
      <c r="U9" s="69">
        <v>72070</v>
      </c>
      <c r="V9" s="69">
        <v>72070</v>
      </c>
      <c r="W9" s="69">
        <v>72070</v>
      </c>
      <c r="X9" s="69">
        <v>72070</v>
      </c>
      <c r="Y9" s="69">
        <v>72070</v>
      </c>
      <c r="Z9" s="69">
        <v>72070</v>
      </c>
      <c r="AA9" s="69">
        <v>56</v>
      </c>
      <c r="AB9" s="31">
        <v>198</v>
      </c>
      <c r="AC9" s="31">
        <v>205</v>
      </c>
      <c r="AD9" s="31">
        <v>335</v>
      </c>
      <c r="AE9" s="31">
        <v>457</v>
      </c>
      <c r="AF9" s="31">
        <v>585</v>
      </c>
      <c r="AG9" s="31">
        <v>718</v>
      </c>
      <c r="AH9" s="31">
        <v>877</v>
      </c>
      <c r="AI9" s="31">
        <v>1078</v>
      </c>
    </row>
    <row r="10" spans="1:42" s="34" customFormat="1" ht="25.7" customHeight="1" thickBot="1" x14ac:dyDescent="0.3">
      <c r="A10" s="104"/>
      <c r="B10" s="47"/>
      <c r="C10" s="105"/>
      <c r="D10" s="33"/>
      <c r="E10" s="33">
        <f t="shared" ref="E10:AI10" si="3">E9-D9</f>
        <v>0</v>
      </c>
      <c r="F10" s="33">
        <f t="shared" si="3"/>
        <v>0</v>
      </c>
      <c r="G10" s="33">
        <f t="shared" si="3"/>
        <v>0</v>
      </c>
      <c r="H10" s="33">
        <f t="shared" si="3"/>
        <v>0</v>
      </c>
      <c r="I10" s="33">
        <f t="shared" si="3"/>
        <v>0</v>
      </c>
      <c r="J10" s="33">
        <f t="shared" si="3"/>
        <v>0</v>
      </c>
      <c r="K10" s="33">
        <f t="shared" si="3"/>
        <v>0</v>
      </c>
      <c r="L10" s="33">
        <f t="shared" si="3"/>
        <v>0</v>
      </c>
      <c r="M10" s="33">
        <f t="shared" si="3"/>
        <v>0</v>
      </c>
      <c r="N10" s="33">
        <f t="shared" si="3"/>
        <v>0</v>
      </c>
      <c r="O10" s="33">
        <f t="shared" si="3"/>
        <v>0</v>
      </c>
      <c r="P10" s="33">
        <f t="shared" si="3"/>
        <v>0</v>
      </c>
      <c r="Q10" s="33">
        <f t="shared" si="3"/>
        <v>0</v>
      </c>
      <c r="R10" s="33">
        <f t="shared" si="3"/>
        <v>0</v>
      </c>
      <c r="S10" s="33">
        <f t="shared" si="3"/>
        <v>0</v>
      </c>
      <c r="T10" s="33">
        <f t="shared" si="3"/>
        <v>0</v>
      </c>
      <c r="U10" s="33">
        <f t="shared" si="3"/>
        <v>0</v>
      </c>
      <c r="V10" s="33">
        <f t="shared" si="3"/>
        <v>0</v>
      </c>
      <c r="W10" s="33">
        <f t="shared" si="3"/>
        <v>0</v>
      </c>
      <c r="X10" s="33">
        <f t="shared" si="3"/>
        <v>0</v>
      </c>
      <c r="Y10" s="33">
        <f t="shared" si="3"/>
        <v>0</v>
      </c>
      <c r="Z10" s="33">
        <f t="shared" si="3"/>
        <v>0</v>
      </c>
      <c r="AA10" s="33">
        <v>56</v>
      </c>
      <c r="AB10" s="33">
        <f t="shared" si="3"/>
        <v>142</v>
      </c>
      <c r="AC10" s="33">
        <f t="shared" si="3"/>
        <v>7</v>
      </c>
      <c r="AD10" s="33">
        <f t="shared" si="3"/>
        <v>130</v>
      </c>
      <c r="AE10" s="33">
        <f t="shared" si="3"/>
        <v>122</v>
      </c>
      <c r="AF10" s="33">
        <f t="shared" si="3"/>
        <v>128</v>
      </c>
      <c r="AG10" s="33">
        <f t="shared" si="3"/>
        <v>133</v>
      </c>
      <c r="AH10" s="33">
        <f t="shared" si="3"/>
        <v>159</v>
      </c>
      <c r="AI10" s="33">
        <f t="shared" si="3"/>
        <v>201</v>
      </c>
      <c r="AJ10" s="8"/>
      <c r="AK10" s="8"/>
      <c r="AL10" s="8"/>
      <c r="AM10" s="8"/>
      <c r="AN10" s="8"/>
      <c r="AO10" s="8"/>
      <c r="AP10" s="8"/>
    </row>
    <row r="11" spans="1:42" s="8" customFormat="1" ht="25.7" customHeight="1" thickBot="1" x14ac:dyDescent="0.3">
      <c r="A11" s="106">
        <v>5</v>
      </c>
      <c r="B11" s="27">
        <v>68864837</v>
      </c>
      <c r="C11" s="105" t="s">
        <v>74</v>
      </c>
      <c r="D11" s="31">
        <v>1933.9849999999999</v>
      </c>
      <c r="E11" s="31">
        <v>1935.086</v>
      </c>
      <c r="F11" s="31">
        <v>1936.8019999999999</v>
      </c>
      <c r="G11" s="31">
        <v>1938.1379999999999</v>
      </c>
      <c r="H11" s="31">
        <v>1939.252</v>
      </c>
      <c r="I11" s="31">
        <v>1940.31</v>
      </c>
      <c r="J11" s="31">
        <v>1941.7190000000001</v>
      </c>
      <c r="K11" s="31">
        <v>1942.62</v>
      </c>
      <c r="L11" s="31">
        <v>1943.9010000000001</v>
      </c>
      <c r="M11" s="31">
        <v>1945.088</v>
      </c>
      <c r="N11" s="31">
        <v>1948.5060000000001</v>
      </c>
      <c r="O11" s="31">
        <v>1950.35</v>
      </c>
      <c r="P11" s="31">
        <v>1952.095</v>
      </c>
      <c r="Q11" s="31">
        <v>1953.45</v>
      </c>
      <c r="R11" s="31">
        <v>1954.5</v>
      </c>
      <c r="S11" s="31">
        <v>1957.287</v>
      </c>
      <c r="T11" s="31">
        <v>1959.1279999999999</v>
      </c>
      <c r="U11" s="31">
        <v>1962.22</v>
      </c>
      <c r="V11" s="31">
        <v>1965.07</v>
      </c>
      <c r="W11" s="31">
        <v>1967.6980000000001</v>
      </c>
      <c r="X11" s="31">
        <v>1970.308</v>
      </c>
      <c r="Y11" s="31">
        <v>1972.0050000000001</v>
      </c>
      <c r="Z11" s="31">
        <v>1974.105</v>
      </c>
      <c r="AA11" s="31">
        <v>1978.674</v>
      </c>
      <c r="AB11" s="31">
        <v>1981.633</v>
      </c>
      <c r="AC11" s="31">
        <v>1985.635</v>
      </c>
      <c r="AD11" s="31">
        <v>1989.76</v>
      </c>
      <c r="AE11" s="31">
        <v>1992.617</v>
      </c>
      <c r="AF11" s="31">
        <v>1994.5</v>
      </c>
      <c r="AG11" s="31">
        <v>1998.6389999999999</v>
      </c>
      <c r="AH11" s="31">
        <v>2000.4290000000001</v>
      </c>
      <c r="AI11" s="31">
        <v>2002.4480000000001</v>
      </c>
    </row>
    <row r="12" spans="1:42" s="8" customFormat="1" ht="25.7" customHeight="1" thickBot="1" x14ac:dyDescent="0.3">
      <c r="A12" s="107"/>
      <c r="B12" s="48"/>
      <c r="C12" s="105"/>
      <c r="D12" s="33"/>
      <c r="E12" s="33">
        <f>E11-D11</f>
        <v>1.1010000000001128</v>
      </c>
      <c r="F12" s="33">
        <f t="shared" ref="F12:AI12" si="4">F11-E11</f>
        <v>1.7159999999998945</v>
      </c>
      <c r="G12" s="33">
        <f t="shared" si="4"/>
        <v>1.3360000000000127</v>
      </c>
      <c r="H12" s="33">
        <f t="shared" si="4"/>
        <v>1.1140000000000327</v>
      </c>
      <c r="I12" s="33">
        <f t="shared" si="4"/>
        <v>1.0579999999999927</v>
      </c>
      <c r="J12" s="33">
        <f t="shared" si="4"/>
        <v>1.4090000000001055</v>
      </c>
      <c r="K12" s="33">
        <f t="shared" si="4"/>
        <v>0.90099999999983993</v>
      </c>
      <c r="L12" s="33">
        <f t="shared" si="4"/>
        <v>1.2810000000001764</v>
      </c>
      <c r="M12" s="33">
        <f t="shared" si="4"/>
        <v>1.1869999999998981</v>
      </c>
      <c r="N12" s="33">
        <f t="shared" si="4"/>
        <v>3.4180000000001201</v>
      </c>
      <c r="O12" s="33">
        <f t="shared" si="4"/>
        <v>1.8439999999998236</v>
      </c>
      <c r="P12" s="33">
        <f t="shared" si="4"/>
        <v>1.7450000000001182</v>
      </c>
      <c r="Q12" s="33">
        <f t="shared" si="4"/>
        <v>1.3550000000000182</v>
      </c>
      <c r="R12" s="33">
        <f t="shared" si="4"/>
        <v>1.0499999999999545</v>
      </c>
      <c r="S12" s="33">
        <f t="shared" si="4"/>
        <v>2.7870000000000346</v>
      </c>
      <c r="T12" s="33">
        <f t="shared" si="4"/>
        <v>1.8409999999998945</v>
      </c>
      <c r="U12" s="33">
        <f t="shared" si="4"/>
        <v>3.0920000000000982</v>
      </c>
      <c r="V12" s="33">
        <f t="shared" si="4"/>
        <v>2.8499999999999091</v>
      </c>
      <c r="W12" s="33">
        <f t="shared" si="4"/>
        <v>2.6280000000001564</v>
      </c>
      <c r="X12" s="33">
        <f t="shared" si="4"/>
        <v>2.6099999999999</v>
      </c>
      <c r="Y12" s="33">
        <f t="shared" si="4"/>
        <v>1.6970000000001164</v>
      </c>
      <c r="Z12" s="33">
        <f t="shared" si="4"/>
        <v>2.0999999999999091</v>
      </c>
      <c r="AA12" s="33">
        <f t="shared" si="4"/>
        <v>4.56899999999996</v>
      </c>
      <c r="AB12" s="33">
        <f t="shared" si="4"/>
        <v>2.95900000000006</v>
      </c>
      <c r="AC12" s="33">
        <f t="shared" si="4"/>
        <v>4.0019999999999527</v>
      </c>
      <c r="AD12" s="33">
        <f t="shared" si="4"/>
        <v>4.125</v>
      </c>
      <c r="AE12" s="33">
        <f t="shared" si="4"/>
        <v>2.8569999999999709</v>
      </c>
      <c r="AF12" s="33">
        <f t="shared" si="4"/>
        <v>1.8830000000000382</v>
      </c>
      <c r="AG12" s="33">
        <f t="shared" si="4"/>
        <v>4.1389999999998963</v>
      </c>
      <c r="AH12" s="33">
        <f t="shared" si="4"/>
        <v>1.790000000000191</v>
      </c>
      <c r="AI12" s="33">
        <f t="shared" si="4"/>
        <v>2.0190000000000055</v>
      </c>
    </row>
    <row r="13" spans="1:42" s="8" customFormat="1" ht="25.7" customHeight="1" thickBot="1" x14ac:dyDescent="0.3">
      <c r="A13" s="106">
        <v>6</v>
      </c>
      <c r="B13" s="27">
        <v>65296485</v>
      </c>
      <c r="C13" s="105" t="s">
        <v>73</v>
      </c>
      <c r="D13" s="31">
        <v>2366.6619999999998</v>
      </c>
      <c r="E13" s="31">
        <v>2369.8409999999999</v>
      </c>
      <c r="F13" s="31">
        <v>2373.6680000000001</v>
      </c>
      <c r="G13" s="31">
        <v>2374.665</v>
      </c>
      <c r="H13" s="31">
        <v>2376.0329999999999</v>
      </c>
      <c r="I13" s="31">
        <v>2380.3130000000001</v>
      </c>
      <c r="J13" s="31">
        <v>2385.0630000000001</v>
      </c>
      <c r="K13" s="31">
        <v>2387.529</v>
      </c>
      <c r="L13" s="31">
        <v>2393.2579999999998</v>
      </c>
      <c r="M13" s="31">
        <v>2403.0709999999999</v>
      </c>
      <c r="N13" s="31">
        <v>2404.252</v>
      </c>
      <c r="O13" s="31">
        <v>2405.6999999999998</v>
      </c>
      <c r="P13" s="31">
        <v>2410.4229999999998</v>
      </c>
      <c r="Q13" s="31">
        <v>2411.52</v>
      </c>
      <c r="R13" s="31">
        <v>2415.1999999999998</v>
      </c>
      <c r="S13" s="31">
        <v>2415.5360000000001</v>
      </c>
      <c r="T13" s="31">
        <v>2421.212</v>
      </c>
      <c r="U13" s="31">
        <v>2422.2979999999998</v>
      </c>
      <c r="V13" s="31">
        <v>2424.2469999999998</v>
      </c>
      <c r="W13" s="31">
        <v>2427.1120000000001</v>
      </c>
      <c r="X13" s="31">
        <v>2431.0259999999998</v>
      </c>
      <c r="Y13" s="31">
        <v>2433.9899999999998</v>
      </c>
      <c r="Z13" s="31">
        <v>2435.5500000000002</v>
      </c>
      <c r="AA13" s="31">
        <v>2445.8969999999999</v>
      </c>
      <c r="AB13" s="31">
        <v>2450.2469999999998</v>
      </c>
      <c r="AC13" s="31">
        <v>2455.2179999999998</v>
      </c>
      <c r="AD13" s="31">
        <v>2459.2759999999998</v>
      </c>
      <c r="AE13" s="31">
        <v>2461.732</v>
      </c>
      <c r="AF13" s="31">
        <v>2465.5</v>
      </c>
      <c r="AG13" s="31">
        <v>2471.0920000000001</v>
      </c>
      <c r="AH13" s="31">
        <v>2472.5729999999999</v>
      </c>
      <c r="AI13" s="31">
        <v>2473.808</v>
      </c>
    </row>
    <row r="14" spans="1:42" s="8" customFormat="1" ht="25.7" customHeight="1" thickBot="1" x14ac:dyDescent="0.3">
      <c r="A14" s="107"/>
      <c r="B14" s="48"/>
      <c r="C14" s="105"/>
      <c r="D14" s="33"/>
      <c r="E14" s="33">
        <f>E13-D13</f>
        <v>3.1790000000000873</v>
      </c>
      <c r="F14" s="33">
        <f t="shared" ref="F14:AI14" si="5">F13-E13</f>
        <v>3.8270000000002256</v>
      </c>
      <c r="G14" s="33">
        <f t="shared" si="5"/>
        <v>0.99699999999984357</v>
      </c>
      <c r="H14" s="33">
        <f t="shared" si="5"/>
        <v>1.3679999999999382</v>
      </c>
      <c r="I14" s="33">
        <f t="shared" si="5"/>
        <v>4.2800000000002001</v>
      </c>
      <c r="J14" s="33">
        <f t="shared" si="5"/>
        <v>4.75</v>
      </c>
      <c r="K14" s="33">
        <f t="shared" si="5"/>
        <v>2.4659999999998945</v>
      </c>
      <c r="L14" s="33">
        <f t="shared" si="5"/>
        <v>5.7289999999998145</v>
      </c>
      <c r="M14" s="33">
        <f t="shared" si="5"/>
        <v>9.8130000000001019</v>
      </c>
      <c r="N14" s="33">
        <f t="shared" si="5"/>
        <v>1.18100000000004</v>
      </c>
      <c r="O14" s="33">
        <f t="shared" si="5"/>
        <v>1.4479999999998654</v>
      </c>
      <c r="P14" s="33">
        <f t="shared" si="5"/>
        <v>4.7229999999999563</v>
      </c>
      <c r="Q14" s="33">
        <f t="shared" si="5"/>
        <v>1.0970000000002074</v>
      </c>
      <c r="R14" s="33">
        <f t="shared" si="5"/>
        <v>3.6799999999998363</v>
      </c>
      <c r="S14" s="33">
        <f t="shared" si="5"/>
        <v>0.33600000000024011</v>
      </c>
      <c r="T14" s="33">
        <f t="shared" si="5"/>
        <v>5.6759999999999309</v>
      </c>
      <c r="U14" s="33">
        <f t="shared" si="5"/>
        <v>1.0859999999997854</v>
      </c>
      <c r="V14" s="33">
        <f t="shared" si="5"/>
        <v>1.9490000000000691</v>
      </c>
      <c r="W14" s="33">
        <f t="shared" si="5"/>
        <v>2.8650000000002365</v>
      </c>
      <c r="X14" s="33">
        <f t="shared" si="5"/>
        <v>3.9139999999997599</v>
      </c>
      <c r="Y14" s="33">
        <f t="shared" si="5"/>
        <v>2.9639999999999418</v>
      </c>
      <c r="Z14" s="33">
        <f t="shared" si="5"/>
        <v>1.5600000000004002</v>
      </c>
      <c r="AA14" s="33">
        <f t="shared" si="5"/>
        <v>10.346999999999753</v>
      </c>
      <c r="AB14" s="33">
        <f t="shared" si="5"/>
        <v>4.3499999999999091</v>
      </c>
      <c r="AC14" s="33">
        <f t="shared" si="5"/>
        <v>4.9710000000000036</v>
      </c>
      <c r="AD14" s="33">
        <f t="shared" si="5"/>
        <v>4.0579999999999927</v>
      </c>
      <c r="AE14" s="33">
        <f t="shared" si="5"/>
        <v>2.456000000000131</v>
      </c>
      <c r="AF14" s="33">
        <f t="shared" si="5"/>
        <v>3.7680000000000291</v>
      </c>
      <c r="AG14" s="33">
        <f t="shared" si="5"/>
        <v>5.5920000000000982</v>
      </c>
      <c r="AH14" s="33">
        <f t="shared" si="5"/>
        <v>1.4809999999997672</v>
      </c>
      <c r="AI14" s="33">
        <f t="shared" si="5"/>
        <v>1.2350000000001273</v>
      </c>
      <c r="AJ14" s="2"/>
      <c r="AK14" s="2"/>
      <c r="AL14" s="2"/>
      <c r="AM14" s="2"/>
      <c r="AN14" s="2"/>
      <c r="AO14" s="2"/>
      <c r="AP14" s="2"/>
    </row>
    <row r="15" spans="1:42" ht="33" customHeight="1" x14ac:dyDescent="0.25">
      <c r="B15" s="99" t="s">
        <v>71</v>
      </c>
      <c r="C15" s="99"/>
      <c r="D15" s="50"/>
      <c r="E15" s="62">
        <f>E6+((E8*45%)+(E10*45%)+(E12+E14))</f>
        <v>685.68000000000018</v>
      </c>
      <c r="F15" s="62">
        <f t="shared" ref="F15:AI15" si="6">F6+((F8*45%)+(F10*45%)+(F12+F14))</f>
        <v>411.86800000000011</v>
      </c>
      <c r="G15" s="62">
        <f t="shared" si="6"/>
        <v>393.64800000000508</v>
      </c>
      <c r="H15" s="62">
        <f t="shared" si="6"/>
        <v>354.58199999999999</v>
      </c>
      <c r="I15" s="62">
        <f t="shared" si="6"/>
        <v>386.98800000000017</v>
      </c>
      <c r="J15" s="62">
        <f t="shared" si="6"/>
        <v>487.3639999999844</v>
      </c>
      <c r="K15" s="62">
        <f t="shared" si="6"/>
        <v>460.96699999999976</v>
      </c>
      <c r="L15" s="62">
        <f t="shared" si="6"/>
        <v>477.65500000001572</v>
      </c>
      <c r="M15" s="62">
        <f t="shared" si="6"/>
        <v>436.6699999999895</v>
      </c>
      <c r="N15" s="62">
        <f t="shared" si="6"/>
        <v>454.9640000000054</v>
      </c>
      <c r="O15" s="62">
        <f t="shared" si="6"/>
        <v>399.39199999999971</v>
      </c>
      <c r="P15" s="62">
        <f t="shared" si="6"/>
        <v>455.71800000000007</v>
      </c>
      <c r="Q15" s="62">
        <f t="shared" si="6"/>
        <v>444.42199999998974</v>
      </c>
      <c r="R15" s="62">
        <f t="shared" si="6"/>
        <v>435.97000000000503</v>
      </c>
      <c r="S15" s="62">
        <f t="shared" si="6"/>
        <v>470.57800000001077</v>
      </c>
      <c r="T15" s="62">
        <f t="shared" si="6"/>
        <v>460.23200000000509</v>
      </c>
      <c r="U15" s="62">
        <f t="shared" si="6"/>
        <v>413.56799999997895</v>
      </c>
      <c r="V15" s="62">
        <f t="shared" si="6"/>
        <v>434.54400000001567</v>
      </c>
      <c r="W15" s="62">
        <f t="shared" si="6"/>
        <v>426.39799999998468</v>
      </c>
      <c r="X15" s="62">
        <f t="shared" si="6"/>
        <v>381.30400000001015</v>
      </c>
      <c r="Y15" s="62">
        <f t="shared" si="6"/>
        <v>483.08099999998956</v>
      </c>
      <c r="Z15" s="62">
        <f t="shared" si="6"/>
        <v>421.81000000000029</v>
      </c>
      <c r="AA15" s="62">
        <f t="shared" si="6"/>
        <v>451.35600000000494</v>
      </c>
      <c r="AB15" s="62">
        <f t="shared" si="6"/>
        <v>530.99900000000525</v>
      </c>
      <c r="AC15" s="62">
        <f t="shared" si="6"/>
        <v>418.0880000000052</v>
      </c>
      <c r="AD15" s="62">
        <f t="shared" si="6"/>
        <v>492.06799999999475</v>
      </c>
      <c r="AE15" s="62">
        <f t="shared" si="6"/>
        <v>459.63299999998964</v>
      </c>
      <c r="AF15" s="62">
        <f t="shared" si="6"/>
        <v>457.03100000001052</v>
      </c>
      <c r="AG15" s="62">
        <f t="shared" si="6"/>
        <v>522.64600000000519</v>
      </c>
      <c r="AH15" s="62">
        <f t="shared" si="6"/>
        <v>455.99599999999998</v>
      </c>
      <c r="AI15" s="62">
        <f t="shared" si="6"/>
        <v>509.01399999999489</v>
      </c>
    </row>
    <row r="16" spans="1:42" ht="33" customHeight="1" x14ac:dyDescent="0.25">
      <c r="B16" s="98" t="s">
        <v>72</v>
      </c>
      <c r="C16" s="98"/>
      <c r="D16" s="50"/>
      <c r="E16" s="62">
        <f>SUM(E15:AI15)</f>
        <v>14074.234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</row>
    <row r="21" s="2" customFormat="1" ht="70.5" customHeight="1" x14ac:dyDescent="0.25"/>
    <row r="22" s="2" customFormat="1" ht="70.5" customHeight="1" x14ac:dyDescent="0.25"/>
    <row r="23" s="2" customFormat="1" ht="70.5" customHeight="1" x14ac:dyDescent="0.25"/>
    <row r="24" s="2" customFormat="1" ht="70.5" customHeight="1" x14ac:dyDescent="0.25"/>
    <row r="25" s="2" customFormat="1" ht="70.5" customHeight="1" x14ac:dyDescent="0.25"/>
    <row r="26" s="2" customFormat="1" ht="70.5" customHeight="1" x14ac:dyDescent="0.25"/>
    <row r="27" s="2" customFormat="1" ht="70.5" customHeight="1" x14ac:dyDescent="0.25"/>
    <row r="28" s="2" customFormat="1" ht="70.5" customHeight="1" x14ac:dyDescent="0.25"/>
    <row r="29" s="2" customFormat="1" ht="70.5" customHeight="1" x14ac:dyDescent="0.25"/>
  </sheetData>
  <mergeCells count="14">
    <mergeCell ref="B16:C16"/>
    <mergeCell ref="B15:C15"/>
    <mergeCell ref="B2:AI2"/>
    <mergeCell ref="B3:AI3"/>
    <mergeCell ref="A5:A6"/>
    <mergeCell ref="C5:C6"/>
    <mergeCell ref="A9:A10"/>
    <mergeCell ref="C9:C10"/>
    <mergeCell ref="A11:A12"/>
    <mergeCell ref="C11:C12"/>
    <mergeCell ref="A13:A14"/>
    <mergeCell ref="C13:C14"/>
    <mergeCell ref="A7:A8"/>
    <mergeCell ref="C7:C8"/>
  </mergeCells>
  <phoneticPr fontId="29" type="noConversion"/>
  <printOptions horizontalCentered="1" verticalCentered="1"/>
  <pageMargins left="0.25" right="0.25" top="0.75" bottom="0.75" header="0.3" footer="0.3"/>
  <pageSetup paperSize="8" scale="49" orientation="landscape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5B19-7E3F-48ED-B7AD-3E9E86FFAF8F}">
  <dimension ref="A1:C34"/>
  <sheetViews>
    <sheetView topLeftCell="A18" zoomScaleNormal="100" workbookViewId="0">
      <selection activeCell="C39" sqref="C39"/>
    </sheetView>
  </sheetViews>
  <sheetFormatPr defaultRowHeight="15" x14ac:dyDescent="0.25"/>
  <cols>
    <col min="1" max="1" width="12.7109375" customWidth="1"/>
    <col min="2" max="2" width="17.42578125" customWidth="1"/>
    <col min="3" max="3" width="18" customWidth="1"/>
  </cols>
  <sheetData>
    <row r="1" spans="1:3" ht="35.25" customHeight="1" x14ac:dyDescent="0.25">
      <c r="A1" s="108" t="s">
        <v>95</v>
      </c>
      <c r="B1" s="108"/>
      <c r="C1" s="108"/>
    </row>
    <row r="2" spans="1:3" ht="24.95" customHeight="1" x14ac:dyDescent="0.25">
      <c r="A2" s="64" t="s">
        <v>93</v>
      </c>
      <c r="B2" s="64" t="s">
        <v>91</v>
      </c>
      <c r="C2" s="64" t="s">
        <v>92</v>
      </c>
    </row>
    <row r="3" spans="1:3" ht="24.95" customHeight="1" x14ac:dyDescent="0.25">
      <c r="A3" s="65">
        <v>45413</v>
      </c>
      <c r="B3" s="66">
        <v>461</v>
      </c>
      <c r="C3" s="66">
        <v>630</v>
      </c>
    </row>
    <row r="4" spans="1:3" ht="24.95" customHeight="1" x14ac:dyDescent="0.25">
      <c r="A4" s="65">
        <v>45414</v>
      </c>
      <c r="B4" s="66">
        <v>485</v>
      </c>
      <c r="C4" s="66">
        <v>684</v>
      </c>
    </row>
    <row r="5" spans="1:3" ht="24.95" customHeight="1" x14ac:dyDescent="0.25">
      <c r="A5" s="65">
        <v>45415</v>
      </c>
      <c r="B5" s="66">
        <v>474</v>
      </c>
      <c r="C5" s="66">
        <v>690</v>
      </c>
    </row>
    <row r="6" spans="1:3" ht="24.95" customHeight="1" x14ac:dyDescent="0.25">
      <c r="A6" s="65">
        <v>45416</v>
      </c>
      <c r="B6" s="66">
        <v>478</v>
      </c>
      <c r="C6" s="66">
        <v>643</v>
      </c>
    </row>
    <row r="7" spans="1:3" ht="24.95" customHeight="1" x14ac:dyDescent="0.25">
      <c r="A7" s="65">
        <v>45417</v>
      </c>
      <c r="B7" s="66">
        <v>455</v>
      </c>
      <c r="C7" s="66">
        <v>596</v>
      </c>
    </row>
    <row r="8" spans="1:3" ht="24.95" customHeight="1" x14ac:dyDescent="0.25">
      <c r="A8" s="65">
        <v>45418</v>
      </c>
      <c r="B8" s="66">
        <v>478</v>
      </c>
      <c r="C8" s="66">
        <v>674</v>
      </c>
    </row>
    <row r="9" spans="1:3" ht="24.95" customHeight="1" x14ac:dyDescent="0.25">
      <c r="A9" s="65">
        <v>45419</v>
      </c>
      <c r="B9" s="66">
        <v>473</v>
      </c>
      <c r="C9" s="66">
        <v>673</v>
      </c>
    </row>
    <row r="10" spans="1:3" ht="24.95" customHeight="1" x14ac:dyDescent="0.25">
      <c r="A10" s="65">
        <v>45420</v>
      </c>
      <c r="B10" s="66">
        <v>462</v>
      </c>
      <c r="C10" s="66">
        <v>637</v>
      </c>
    </row>
    <row r="11" spans="1:3" ht="24.95" customHeight="1" x14ac:dyDescent="0.25">
      <c r="A11" s="65">
        <v>45421</v>
      </c>
      <c r="B11" s="66">
        <v>460</v>
      </c>
      <c r="C11" s="66">
        <v>625</v>
      </c>
    </row>
    <row r="12" spans="1:3" ht="24.95" customHeight="1" x14ac:dyDescent="0.25">
      <c r="A12" s="65">
        <v>45422</v>
      </c>
      <c r="B12" s="66">
        <v>425</v>
      </c>
      <c r="C12" s="66">
        <v>633</v>
      </c>
    </row>
    <row r="13" spans="1:3" ht="24.95" customHeight="1" x14ac:dyDescent="0.25">
      <c r="A13" s="65">
        <v>45423</v>
      </c>
      <c r="B13" s="66">
        <v>404</v>
      </c>
      <c r="C13" s="66">
        <v>602</v>
      </c>
    </row>
    <row r="14" spans="1:3" ht="24.95" customHeight="1" x14ac:dyDescent="0.25">
      <c r="A14" s="65">
        <v>45424</v>
      </c>
      <c r="B14" s="66">
        <v>398</v>
      </c>
      <c r="C14" s="66">
        <v>553</v>
      </c>
    </row>
    <row r="15" spans="1:3" ht="24.95" customHeight="1" x14ac:dyDescent="0.25">
      <c r="A15" s="65">
        <v>45425</v>
      </c>
      <c r="B15" s="66">
        <v>418</v>
      </c>
      <c r="C15" s="66">
        <v>584</v>
      </c>
    </row>
    <row r="16" spans="1:3" ht="24.95" customHeight="1" x14ac:dyDescent="0.25">
      <c r="A16" s="65">
        <v>45426</v>
      </c>
      <c r="B16" s="66">
        <v>463</v>
      </c>
      <c r="C16" s="66">
        <v>683</v>
      </c>
    </row>
    <row r="17" spans="1:3" ht="24.95" customHeight="1" x14ac:dyDescent="0.25">
      <c r="A17" s="65">
        <v>45427</v>
      </c>
      <c r="B17" s="66">
        <v>450</v>
      </c>
      <c r="C17" s="66">
        <v>620</v>
      </c>
    </row>
    <row r="18" spans="1:3" ht="24.95" customHeight="1" x14ac:dyDescent="0.25">
      <c r="A18" s="65">
        <v>45428</v>
      </c>
      <c r="B18" s="66">
        <v>474</v>
      </c>
      <c r="C18" s="66">
        <v>678</v>
      </c>
    </row>
    <row r="19" spans="1:3" ht="24.95" customHeight="1" x14ac:dyDescent="0.25">
      <c r="A19" s="65">
        <v>45429</v>
      </c>
      <c r="B19" s="66">
        <v>406</v>
      </c>
      <c r="C19" s="66">
        <v>592</v>
      </c>
    </row>
    <row r="20" spans="1:3" ht="24.95" customHeight="1" x14ac:dyDescent="0.25">
      <c r="A20" s="65">
        <v>45430</v>
      </c>
      <c r="B20" s="66">
        <v>466</v>
      </c>
      <c r="C20" s="66">
        <v>706</v>
      </c>
    </row>
    <row r="21" spans="1:3" ht="24.95" customHeight="1" x14ac:dyDescent="0.25">
      <c r="A21" s="65">
        <v>45431</v>
      </c>
      <c r="B21" s="66">
        <v>469</v>
      </c>
      <c r="C21" s="66">
        <v>624</v>
      </c>
    </row>
    <row r="22" spans="1:3" ht="24.95" customHeight="1" x14ac:dyDescent="0.25">
      <c r="A22" s="65">
        <v>45432</v>
      </c>
      <c r="B22" s="66">
        <v>460</v>
      </c>
      <c r="C22" s="66">
        <v>617</v>
      </c>
    </row>
    <row r="23" spans="1:3" ht="24.95" customHeight="1" x14ac:dyDescent="0.25">
      <c r="A23" s="65">
        <v>45433</v>
      </c>
      <c r="B23" s="66">
        <v>472</v>
      </c>
      <c r="C23" s="66">
        <v>652</v>
      </c>
    </row>
    <row r="24" spans="1:3" ht="24.95" customHeight="1" x14ac:dyDescent="0.25">
      <c r="A24" s="65">
        <v>45434</v>
      </c>
      <c r="B24" s="66">
        <v>452</v>
      </c>
      <c r="C24" s="66">
        <v>637</v>
      </c>
    </row>
    <row r="25" spans="1:3" ht="24.95" customHeight="1" x14ac:dyDescent="0.25">
      <c r="A25" s="65">
        <v>45435</v>
      </c>
      <c r="B25" s="66">
        <v>374</v>
      </c>
      <c r="C25" s="66">
        <v>528</v>
      </c>
    </row>
    <row r="26" spans="1:3" ht="24.95" customHeight="1" x14ac:dyDescent="0.25">
      <c r="A26" s="65">
        <v>45436</v>
      </c>
      <c r="B26" s="66">
        <v>363</v>
      </c>
      <c r="C26" s="66">
        <v>499</v>
      </c>
    </row>
    <row r="27" spans="1:3" ht="24.95" customHeight="1" x14ac:dyDescent="0.25">
      <c r="A27" s="65">
        <v>45437</v>
      </c>
      <c r="B27" s="66">
        <v>377</v>
      </c>
      <c r="C27" s="66">
        <v>535</v>
      </c>
    </row>
    <row r="28" spans="1:3" ht="24.95" customHeight="1" x14ac:dyDescent="0.25">
      <c r="A28" s="65">
        <v>45438</v>
      </c>
      <c r="B28" s="66">
        <v>333</v>
      </c>
      <c r="C28" s="66">
        <v>441</v>
      </c>
    </row>
    <row r="29" spans="1:3" ht="24.95" customHeight="1" x14ac:dyDescent="0.25">
      <c r="A29" s="65">
        <v>45439</v>
      </c>
      <c r="B29" s="66">
        <v>444</v>
      </c>
      <c r="C29" s="66">
        <v>589</v>
      </c>
    </row>
    <row r="30" spans="1:3" ht="24.95" customHeight="1" x14ac:dyDescent="0.25">
      <c r="A30" s="65">
        <v>45440</v>
      </c>
      <c r="B30" s="66">
        <v>469</v>
      </c>
      <c r="C30" s="66">
        <v>623</v>
      </c>
    </row>
    <row r="31" spans="1:3" ht="24.95" customHeight="1" x14ac:dyDescent="0.25">
      <c r="A31" s="65">
        <v>45441</v>
      </c>
      <c r="B31" s="66">
        <v>444</v>
      </c>
      <c r="C31" s="66">
        <v>573</v>
      </c>
    </row>
    <row r="32" spans="1:3" ht="24.95" customHeight="1" x14ac:dyDescent="0.25">
      <c r="A32" s="65">
        <v>45442</v>
      </c>
      <c r="B32" s="66">
        <v>401</v>
      </c>
      <c r="C32" s="66">
        <v>552</v>
      </c>
    </row>
    <row r="33" spans="1:3" ht="24.95" customHeight="1" x14ac:dyDescent="0.25">
      <c r="A33" s="65">
        <v>45443</v>
      </c>
      <c r="B33" s="66">
        <v>346</v>
      </c>
      <c r="C33" s="66">
        <v>488</v>
      </c>
    </row>
    <row r="34" spans="1:3" ht="30.75" customHeight="1" x14ac:dyDescent="0.25">
      <c r="A34" s="64" t="s">
        <v>94</v>
      </c>
      <c r="B34" s="67">
        <f>SUM(B3:B33)</f>
        <v>13534</v>
      </c>
      <c r="C34" s="67">
        <f>SUM(C3:C33)</f>
        <v>18861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Total</vt:lpstr>
      <vt:lpstr>Electricity</vt:lpstr>
      <vt:lpstr>LPG</vt:lpstr>
      <vt:lpstr>Water</vt:lpstr>
      <vt:lpstr>Occupied &amp; No. of Guest</vt:lpstr>
      <vt:lpstr>LPG!Print_Area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 Chitian</dc:creator>
  <cp:lastModifiedBy>Lesley Ann Almazan</cp:lastModifiedBy>
  <dcterms:created xsi:type="dcterms:W3CDTF">2019-05-13T11:08:30Z</dcterms:created>
  <dcterms:modified xsi:type="dcterms:W3CDTF">2025-03-13T11:19:22Z</dcterms:modified>
</cp:coreProperties>
</file>