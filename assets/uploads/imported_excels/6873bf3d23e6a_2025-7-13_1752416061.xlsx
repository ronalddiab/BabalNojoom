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LP DAILY\HEP - Head Office\"/>
    </mc:Choice>
  </mc:AlternateContent>
  <xr:revisionPtr revIDLastSave="0" documentId="13_ncr:1_{36CE7BAC-D2E5-42DE-87BF-365F0761C1F9}" xr6:coauthVersionLast="47" xr6:coauthVersionMax="47" xr10:uidLastSave="{00000000-0000-0000-0000-000000000000}"/>
  <bookViews>
    <workbookView showVerticalScroll="0" xWindow="-120" yWindow="-120" windowWidth="20730" windowHeight="11040" activeTab="1" xr2:uid="{00000000-000D-0000-FFFF-FFFF00000000}"/>
  </bookViews>
  <sheets>
    <sheet name="Total" sheetId="38" r:id="rId1"/>
    <sheet name="June" sheetId="4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40" l="1"/>
  <c r="AA35" i="40" s="1"/>
  <c r="AC35" i="40" s="1"/>
  <c r="Z34" i="40"/>
  <c r="AA34" i="40" s="1"/>
  <c r="AC34" i="40" s="1"/>
  <c r="Z33" i="40"/>
  <c r="AA33" i="40" s="1"/>
  <c r="AC33" i="40" s="1"/>
  <c r="Z32" i="40"/>
  <c r="AA32" i="40" s="1"/>
  <c r="AC32" i="40" s="1"/>
  <c r="Z31" i="40"/>
  <c r="AA31" i="40" s="1"/>
  <c r="AC31" i="40" s="1"/>
  <c r="Z30" i="40"/>
  <c r="AA30" i="40" s="1"/>
  <c r="AC30" i="40" s="1"/>
  <c r="Z29" i="40"/>
  <c r="AA29" i="40" s="1"/>
  <c r="AC29" i="40" s="1"/>
  <c r="Z28" i="40"/>
  <c r="AA28" i="40" s="1"/>
  <c r="AC28" i="40" s="1"/>
  <c r="Z27" i="40"/>
  <c r="AA27" i="40" s="1"/>
  <c r="AC27" i="40" s="1"/>
  <c r="Z26" i="40"/>
  <c r="AA26" i="40" s="1"/>
  <c r="AC26" i="40" s="1"/>
  <c r="Z25" i="40"/>
  <c r="AA25" i="40" s="1"/>
  <c r="AC25" i="40" s="1"/>
  <c r="Z24" i="40"/>
  <c r="AA24" i="40" s="1"/>
  <c r="AC24" i="40" s="1"/>
  <c r="Z23" i="40"/>
  <c r="AA23" i="40" s="1"/>
  <c r="AC23" i="40" s="1"/>
  <c r="Z22" i="40"/>
  <c r="AA22" i="40" s="1"/>
  <c r="AC22" i="40" s="1"/>
  <c r="Z21" i="40"/>
  <c r="AA21" i="40" s="1"/>
  <c r="AC21" i="40" s="1"/>
  <c r="Z20" i="40"/>
  <c r="AA20" i="40" s="1"/>
  <c r="AC20" i="40" s="1"/>
  <c r="Z19" i="40"/>
  <c r="AA19" i="40" s="1"/>
  <c r="AC19" i="40" s="1"/>
  <c r="Z18" i="40"/>
  <c r="AA18" i="40" s="1"/>
  <c r="AC18" i="40" s="1"/>
  <c r="Z17" i="40"/>
  <c r="AA17" i="40" s="1"/>
  <c r="AC17" i="40" s="1"/>
  <c r="Z16" i="40"/>
  <c r="AA16" i="40" s="1"/>
  <c r="AC16" i="40" s="1"/>
  <c r="Z15" i="40"/>
  <c r="AA15" i="40" s="1"/>
  <c r="AC15" i="40" s="1"/>
  <c r="Z14" i="40"/>
  <c r="AA14" i="40" s="1"/>
  <c r="AC14" i="40" s="1"/>
  <c r="Z13" i="40"/>
  <c r="AA13" i="40" s="1"/>
  <c r="AC13" i="40" s="1"/>
  <c r="Z12" i="40"/>
  <c r="AA12" i="40" s="1"/>
  <c r="AC12" i="40" s="1"/>
  <c r="Z11" i="40"/>
  <c r="AA11" i="40" s="1"/>
  <c r="AC11" i="40" s="1"/>
  <c r="Z10" i="40"/>
  <c r="AA10" i="40" s="1"/>
  <c r="AC10" i="40" s="1"/>
  <c r="Z9" i="40"/>
  <c r="AA9" i="40" s="1"/>
  <c r="AC9" i="40" s="1"/>
  <c r="Z8" i="40"/>
  <c r="AA8" i="40" s="1"/>
  <c r="AC8" i="40" s="1"/>
  <c r="Z7" i="40"/>
  <c r="AA7" i="40" s="1"/>
  <c r="AC7" i="40" s="1"/>
  <c r="AA6" i="40"/>
  <c r="AC6" i="40" s="1"/>
  <c r="U35" i="40"/>
  <c r="V35" i="40" s="1"/>
  <c r="X35" i="40" s="1"/>
  <c r="U34" i="40"/>
  <c r="V34" i="40" s="1"/>
  <c r="X34" i="40" s="1"/>
  <c r="U33" i="40"/>
  <c r="V33" i="40" s="1"/>
  <c r="X33" i="40" s="1"/>
  <c r="U32" i="40"/>
  <c r="V32" i="40" s="1"/>
  <c r="X32" i="40" s="1"/>
  <c r="U31" i="40"/>
  <c r="V31" i="40" s="1"/>
  <c r="X31" i="40" s="1"/>
  <c r="U30" i="40"/>
  <c r="V30" i="40" s="1"/>
  <c r="X30" i="40" s="1"/>
  <c r="U29" i="40"/>
  <c r="V29" i="40" s="1"/>
  <c r="X29" i="40" s="1"/>
  <c r="U28" i="40"/>
  <c r="V28" i="40" s="1"/>
  <c r="X28" i="40" s="1"/>
  <c r="U27" i="40"/>
  <c r="V27" i="40" s="1"/>
  <c r="X27" i="40" s="1"/>
  <c r="X26" i="40"/>
  <c r="U26" i="40"/>
  <c r="X25" i="40"/>
  <c r="U25" i="40"/>
  <c r="X24" i="40"/>
  <c r="U24" i="40"/>
  <c r="X23" i="40"/>
  <c r="U23" i="40"/>
  <c r="X22" i="40"/>
  <c r="U22" i="40"/>
  <c r="X21" i="40"/>
  <c r="U21" i="40"/>
  <c r="X20" i="40"/>
  <c r="U19" i="40"/>
  <c r="V19" i="40" s="1"/>
  <c r="X19" i="40" s="1"/>
  <c r="U18" i="40"/>
  <c r="V18" i="40" s="1"/>
  <c r="X18" i="40" s="1"/>
  <c r="V17" i="40"/>
  <c r="X17" i="40" s="1"/>
  <c r="U17" i="40"/>
  <c r="U16" i="40"/>
  <c r="V16" i="40" s="1"/>
  <c r="X16" i="40" s="1"/>
  <c r="U15" i="40"/>
  <c r="V15" i="40" s="1"/>
  <c r="X15" i="40" s="1"/>
  <c r="U14" i="40"/>
  <c r="V14" i="40" s="1"/>
  <c r="X14" i="40" s="1"/>
  <c r="U13" i="40"/>
  <c r="V13" i="40" s="1"/>
  <c r="X13" i="40" s="1"/>
  <c r="U12" i="40"/>
  <c r="V12" i="40" s="1"/>
  <c r="X12" i="40" s="1"/>
  <c r="U11" i="40"/>
  <c r="V11" i="40" s="1"/>
  <c r="X11" i="40" s="1"/>
  <c r="V10" i="40"/>
  <c r="X10" i="40" s="1"/>
  <c r="U10" i="40"/>
  <c r="U9" i="40"/>
  <c r="V9" i="40" s="1"/>
  <c r="X9" i="40" s="1"/>
  <c r="U8" i="40"/>
  <c r="V8" i="40" s="1"/>
  <c r="X8" i="40" s="1"/>
  <c r="U7" i="40"/>
  <c r="V7" i="40" s="1"/>
  <c r="X7" i="40" s="1"/>
  <c r="V6" i="40"/>
  <c r="X6" i="40" s="1"/>
  <c r="R36" i="40"/>
  <c r="R37" i="40" s="1"/>
  <c r="O35" i="40"/>
  <c r="P35" i="40" s="1"/>
  <c r="L35" i="40"/>
  <c r="M35" i="40" s="1"/>
  <c r="I35" i="40"/>
  <c r="J35" i="40" s="1"/>
  <c r="F35" i="40"/>
  <c r="G35" i="40" s="1"/>
  <c r="C35" i="40"/>
  <c r="D35" i="40" s="1"/>
  <c r="O34" i="40"/>
  <c r="P34" i="40" s="1"/>
  <c r="L34" i="40"/>
  <c r="M34" i="40" s="1"/>
  <c r="I34" i="40"/>
  <c r="J34" i="40" s="1"/>
  <c r="F34" i="40"/>
  <c r="G34" i="40" s="1"/>
  <c r="C34" i="40"/>
  <c r="D34" i="40" s="1"/>
  <c r="O33" i="40"/>
  <c r="P33" i="40" s="1"/>
  <c r="L33" i="40"/>
  <c r="M33" i="40" s="1"/>
  <c r="I33" i="40"/>
  <c r="J33" i="40" s="1"/>
  <c r="F33" i="40"/>
  <c r="G33" i="40" s="1"/>
  <c r="C33" i="40"/>
  <c r="D33" i="40" s="1"/>
  <c r="O32" i="40"/>
  <c r="P32" i="40" s="1"/>
  <c r="L32" i="40"/>
  <c r="M32" i="40" s="1"/>
  <c r="I32" i="40"/>
  <c r="J32" i="40" s="1"/>
  <c r="F32" i="40"/>
  <c r="G32" i="40" s="1"/>
  <c r="C32" i="40"/>
  <c r="D32" i="40" s="1"/>
  <c r="O31" i="40"/>
  <c r="P31" i="40" s="1"/>
  <c r="L31" i="40"/>
  <c r="M31" i="40" s="1"/>
  <c r="I31" i="40"/>
  <c r="J31" i="40" s="1"/>
  <c r="F31" i="40"/>
  <c r="G31" i="40" s="1"/>
  <c r="C31" i="40"/>
  <c r="D31" i="40" s="1"/>
  <c r="O30" i="40"/>
  <c r="P30" i="40" s="1"/>
  <c r="L30" i="40"/>
  <c r="M30" i="40" s="1"/>
  <c r="I30" i="40"/>
  <c r="J30" i="40" s="1"/>
  <c r="F30" i="40"/>
  <c r="G30" i="40" s="1"/>
  <c r="C30" i="40"/>
  <c r="D30" i="40" s="1"/>
  <c r="O29" i="40"/>
  <c r="P29" i="40" s="1"/>
  <c r="L29" i="40"/>
  <c r="M29" i="40" s="1"/>
  <c r="I29" i="40"/>
  <c r="J29" i="40" s="1"/>
  <c r="F29" i="40"/>
  <c r="G29" i="40" s="1"/>
  <c r="C29" i="40"/>
  <c r="D29" i="40" s="1"/>
  <c r="O28" i="40"/>
  <c r="P28" i="40" s="1"/>
  <c r="L28" i="40"/>
  <c r="M28" i="40" s="1"/>
  <c r="I28" i="40"/>
  <c r="J28" i="40" s="1"/>
  <c r="F28" i="40"/>
  <c r="G28" i="40" s="1"/>
  <c r="C28" i="40"/>
  <c r="D28" i="40" s="1"/>
  <c r="O27" i="40"/>
  <c r="P27" i="40" s="1"/>
  <c r="L27" i="40"/>
  <c r="M27" i="40" s="1"/>
  <c r="I27" i="40"/>
  <c r="J27" i="40" s="1"/>
  <c r="F27" i="40"/>
  <c r="G27" i="40" s="1"/>
  <c r="C27" i="40"/>
  <c r="D27" i="40" s="1"/>
  <c r="O26" i="40"/>
  <c r="P26" i="40" s="1"/>
  <c r="L26" i="40"/>
  <c r="M26" i="40" s="1"/>
  <c r="I26" i="40"/>
  <c r="J26" i="40" s="1"/>
  <c r="F26" i="40"/>
  <c r="G26" i="40" s="1"/>
  <c r="C26" i="40"/>
  <c r="D26" i="40" s="1"/>
  <c r="O25" i="40"/>
  <c r="P25" i="40" s="1"/>
  <c r="L25" i="40"/>
  <c r="M25" i="40" s="1"/>
  <c r="I25" i="40"/>
  <c r="J25" i="40" s="1"/>
  <c r="F25" i="40"/>
  <c r="G25" i="40" s="1"/>
  <c r="C25" i="40"/>
  <c r="D25" i="40" s="1"/>
  <c r="O24" i="40"/>
  <c r="P24" i="40" s="1"/>
  <c r="L24" i="40"/>
  <c r="M24" i="40" s="1"/>
  <c r="I24" i="40"/>
  <c r="J24" i="40" s="1"/>
  <c r="F24" i="40"/>
  <c r="G24" i="40" s="1"/>
  <c r="C24" i="40"/>
  <c r="D24" i="40" s="1"/>
  <c r="O23" i="40"/>
  <c r="P23" i="40" s="1"/>
  <c r="L23" i="40"/>
  <c r="M23" i="40" s="1"/>
  <c r="I23" i="40"/>
  <c r="J23" i="40" s="1"/>
  <c r="F23" i="40"/>
  <c r="G23" i="40" s="1"/>
  <c r="C23" i="40"/>
  <c r="D23" i="40" s="1"/>
  <c r="O22" i="40"/>
  <c r="P22" i="40" s="1"/>
  <c r="L22" i="40"/>
  <c r="M22" i="40" s="1"/>
  <c r="I22" i="40"/>
  <c r="J22" i="40" s="1"/>
  <c r="F22" i="40"/>
  <c r="G22" i="40" s="1"/>
  <c r="D22" i="40"/>
  <c r="C22" i="40"/>
  <c r="O21" i="40"/>
  <c r="P21" i="40" s="1"/>
  <c r="L21" i="40"/>
  <c r="M21" i="40" s="1"/>
  <c r="I21" i="40"/>
  <c r="J21" i="40" s="1"/>
  <c r="F21" i="40"/>
  <c r="G21" i="40" s="1"/>
  <c r="C21" i="40"/>
  <c r="D21" i="40" s="1"/>
  <c r="O20" i="40"/>
  <c r="P20" i="40" s="1"/>
  <c r="L20" i="40"/>
  <c r="M20" i="40" s="1"/>
  <c r="I20" i="40"/>
  <c r="J20" i="40" s="1"/>
  <c r="F20" i="40"/>
  <c r="G20" i="40" s="1"/>
  <c r="C20" i="40"/>
  <c r="D20" i="40" s="1"/>
  <c r="O19" i="40"/>
  <c r="P19" i="40" s="1"/>
  <c r="L19" i="40"/>
  <c r="M19" i="40" s="1"/>
  <c r="I19" i="40"/>
  <c r="J19" i="40" s="1"/>
  <c r="F19" i="40"/>
  <c r="G19" i="40" s="1"/>
  <c r="C19" i="40"/>
  <c r="D19" i="40" s="1"/>
  <c r="O18" i="40"/>
  <c r="P18" i="40" s="1"/>
  <c r="L18" i="40"/>
  <c r="M18" i="40" s="1"/>
  <c r="I18" i="40"/>
  <c r="J18" i="40" s="1"/>
  <c r="F18" i="40"/>
  <c r="G18" i="40" s="1"/>
  <c r="C18" i="40"/>
  <c r="D18" i="40" s="1"/>
  <c r="O17" i="40"/>
  <c r="P17" i="40" s="1"/>
  <c r="L17" i="40"/>
  <c r="M17" i="40" s="1"/>
  <c r="I17" i="40"/>
  <c r="J17" i="40" s="1"/>
  <c r="G17" i="40"/>
  <c r="C17" i="40"/>
  <c r="D17" i="40" s="1"/>
  <c r="O16" i="40"/>
  <c r="P16" i="40" s="1"/>
  <c r="L16" i="40"/>
  <c r="M16" i="40" s="1"/>
  <c r="I16" i="40"/>
  <c r="J16" i="40" s="1"/>
  <c r="F16" i="40"/>
  <c r="G16" i="40" s="1"/>
  <c r="C16" i="40"/>
  <c r="D16" i="40" s="1"/>
  <c r="O15" i="40"/>
  <c r="P15" i="40" s="1"/>
  <c r="L15" i="40"/>
  <c r="M15" i="40" s="1"/>
  <c r="I15" i="40"/>
  <c r="J15" i="40" s="1"/>
  <c r="F15" i="40"/>
  <c r="G15" i="40" s="1"/>
  <c r="C15" i="40"/>
  <c r="D15" i="40" s="1"/>
  <c r="O14" i="40"/>
  <c r="P14" i="40" s="1"/>
  <c r="L14" i="40"/>
  <c r="M14" i="40" s="1"/>
  <c r="I14" i="40"/>
  <c r="J14" i="40" s="1"/>
  <c r="F14" i="40"/>
  <c r="G14" i="40" s="1"/>
  <c r="C14" i="40"/>
  <c r="D14" i="40" s="1"/>
  <c r="O13" i="40"/>
  <c r="P13" i="40" s="1"/>
  <c r="L13" i="40"/>
  <c r="M13" i="40" s="1"/>
  <c r="I13" i="40"/>
  <c r="J13" i="40" s="1"/>
  <c r="F13" i="40"/>
  <c r="G13" i="40" s="1"/>
  <c r="C13" i="40"/>
  <c r="D13" i="40" s="1"/>
  <c r="O12" i="40"/>
  <c r="P12" i="40" s="1"/>
  <c r="L12" i="40"/>
  <c r="M12" i="40" s="1"/>
  <c r="I12" i="40"/>
  <c r="J12" i="40" s="1"/>
  <c r="F12" i="40"/>
  <c r="G12" i="40" s="1"/>
  <c r="C12" i="40"/>
  <c r="D12" i="40" s="1"/>
  <c r="O11" i="40"/>
  <c r="P11" i="40" s="1"/>
  <c r="L11" i="40"/>
  <c r="M11" i="40" s="1"/>
  <c r="I11" i="40"/>
  <c r="J11" i="40" s="1"/>
  <c r="F11" i="40"/>
  <c r="G11" i="40" s="1"/>
  <c r="C11" i="40"/>
  <c r="D11" i="40" s="1"/>
  <c r="O10" i="40"/>
  <c r="P10" i="40" s="1"/>
  <c r="L10" i="40"/>
  <c r="M10" i="40" s="1"/>
  <c r="I10" i="40"/>
  <c r="J10" i="40" s="1"/>
  <c r="F10" i="40"/>
  <c r="G10" i="40" s="1"/>
  <c r="C10" i="40"/>
  <c r="D10" i="40" s="1"/>
  <c r="O9" i="40"/>
  <c r="P9" i="40" s="1"/>
  <c r="L9" i="40"/>
  <c r="M9" i="40" s="1"/>
  <c r="I9" i="40"/>
  <c r="J9" i="40" s="1"/>
  <c r="F9" i="40"/>
  <c r="G9" i="40" s="1"/>
  <c r="C9" i="40"/>
  <c r="D9" i="40" s="1"/>
  <c r="O8" i="40"/>
  <c r="P8" i="40" s="1"/>
  <c r="L8" i="40"/>
  <c r="M8" i="40" s="1"/>
  <c r="I8" i="40"/>
  <c r="J8" i="40" s="1"/>
  <c r="F8" i="40"/>
  <c r="G8" i="40" s="1"/>
  <c r="C8" i="40"/>
  <c r="D8" i="40" s="1"/>
  <c r="O7" i="40"/>
  <c r="P7" i="40" s="1"/>
  <c r="L7" i="40"/>
  <c r="M7" i="40" s="1"/>
  <c r="I7" i="40"/>
  <c r="J7" i="40" s="1"/>
  <c r="F7" i="40"/>
  <c r="G7" i="40" s="1"/>
  <c r="C7" i="40"/>
  <c r="D7" i="40" s="1"/>
  <c r="P6" i="40"/>
  <c r="M6" i="40"/>
  <c r="J6" i="40"/>
  <c r="G6" i="40"/>
  <c r="D6" i="40"/>
  <c r="Q9" i="40" l="1"/>
  <c r="S9" i="40" s="1"/>
  <c r="Q20" i="40"/>
  <c r="S20" i="40" s="1"/>
  <c r="Q11" i="40"/>
  <c r="S11" i="40" s="1"/>
  <c r="Q32" i="40"/>
  <c r="S32" i="40" s="1"/>
  <c r="Q13" i="40"/>
  <c r="S13" i="40" s="1"/>
  <c r="Q12" i="40"/>
  <c r="S12" i="40" s="1"/>
  <c r="Q21" i="40"/>
  <c r="S21" i="40" s="1"/>
  <c r="Q25" i="40"/>
  <c r="S25" i="40" s="1"/>
  <c r="Q7" i="40"/>
  <c r="S7" i="40" s="1"/>
  <c r="Q6" i="40"/>
  <c r="Q10" i="40"/>
  <c r="S10" i="40" s="1"/>
  <c r="Q26" i="40"/>
  <c r="S26" i="40" s="1"/>
  <c r="Q31" i="40"/>
  <c r="S31" i="40" s="1"/>
  <c r="Q19" i="40"/>
  <c r="S19" i="40" s="1"/>
  <c r="Q30" i="40"/>
  <c r="S30" i="40" s="1"/>
  <c r="Q35" i="40"/>
  <c r="S35" i="40" s="1"/>
  <c r="Q8" i="40"/>
  <c r="S8" i="40" s="1"/>
  <c r="Q24" i="40"/>
  <c r="S24" i="40" s="1"/>
  <c r="Q29" i="40"/>
  <c r="S29" i="40" s="1"/>
  <c r="Q23" i="40"/>
  <c r="S23" i="40" s="1"/>
  <c r="Q34" i="40"/>
  <c r="S34" i="40" s="1"/>
  <c r="Q16" i="40"/>
  <c r="S16" i="40" s="1"/>
  <c r="Q17" i="40"/>
  <c r="S17" i="40" s="1"/>
  <c r="Q28" i="40"/>
  <c r="S28" i="40" s="1"/>
  <c r="Q33" i="40"/>
  <c r="S33" i="40" s="1"/>
  <c r="Q18" i="40"/>
  <c r="S18" i="40" s="1"/>
  <c r="Q14" i="40"/>
  <c r="S14" i="40" s="1"/>
  <c r="Q15" i="40"/>
  <c r="S15" i="40" s="1"/>
  <c r="Q22" i="40"/>
  <c r="S22" i="40" s="1"/>
  <c r="Q27" i="40"/>
  <c r="S27" i="40" s="1"/>
  <c r="S6" i="40" l="1"/>
  <c r="Q36" i="40"/>
  <c r="Q37" i="40" s="1"/>
  <c r="AB36" i="40" l="1"/>
  <c r="AB37" i="40" s="1"/>
  <c r="W36" i="40"/>
  <c r="W37" i="40" s="1"/>
  <c r="V36" i="40" l="1"/>
  <c r="V37" i="40" s="1"/>
  <c r="AA36" i="40"/>
  <c r="AA37" i="40" s="1"/>
  <c r="G5" i="38"/>
  <c r="G7" i="38"/>
  <c r="G8" i="38"/>
  <c r="G10" i="38"/>
  <c r="G11" i="38"/>
  <c r="G12" i="38"/>
  <c r="G13" i="38"/>
  <c r="G17" i="38"/>
  <c r="G19" i="38"/>
  <c r="G20" i="38"/>
  <c r="G22" i="38"/>
  <c r="G23" i="38"/>
  <c r="G24" i="38"/>
  <c r="G25" i="38"/>
  <c r="G29" i="38"/>
  <c r="G31" i="38"/>
  <c r="I2" i="38"/>
  <c r="I3" i="38"/>
  <c r="I6" i="38"/>
  <c r="I9" i="38"/>
  <c r="I11" i="38"/>
  <c r="I12" i="38"/>
  <c r="I13" i="38"/>
  <c r="I14" i="38"/>
  <c r="I15" i="38"/>
  <c r="I18" i="38"/>
  <c r="I21" i="38"/>
  <c r="I23" i="38"/>
  <c r="I24" i="38"/>
  <c r="I25" i="38"/>
  <c r="I26" i="38"/>
  <c r="I27" i="38"/>
  <c r="I30" i="38"/>
  <c r="I32" i="38"/>
  <c r="G21" i="38" l="1"/>
  <c r="G9" i="38"/>
  <c r="G30" i="38"/>
  <c r="G18" i="38"/>
  <c r="G6" i="38"/>
  <c r="G28" i="38"/>
  <c r="G16" i="38"/>
  <c r="G4" i="38"/>
  <c r="G27" i="38"/>
  <c r="G15" i="38"/>
  <c r="G3" i="38"/>
  <c r="G26" i="38"/>
  <c r="G14" i="38"/>
  <c r="G2" i="38"/>
  <c r="I22" i="38"/>
  <c r="I10" i="38"/>
  <c r="I20" i="38"/>
  <c r="I8" i="38"/>
  <c r="I31" i="38"/>
  <c r="I19" i="38"/>
  <c r="I7" i="38"/>
  <c r="I29" i="38"/>
  <c r="I17" i="38"/>
  <c r="I5" i="38"/>
  <c r="I28" i="38"/>
  <c r="I16" i="38"/>
  <c r="I4" i="38"/>
  <c r="G32" i="38"/>
  <c r="E29" i="38" l="1"/>
  <c r="E17" i="38"/>
  <c r="E5" i="38"/>
  <c r="E28" i="38"/>
  <c r="E16" i="38"/>
  <c r="E4" i="38"/>
  <c r="E27" i="38"/>
  <c r="E15" i="38"/>
  <c r="E3" i="38"/>
  <c r="E26" i="38"/>
  <c r="E14" i="38"/>
  <c r="E25" i="38"/>
  <c r="E13" i="38"/>
  <c r="E24" i="38"/>
  <c r="E12" i="38"/>
  <c r="E23" i="38"/>
  <c r="E11" i="38"/>
  <c r="E22" i="38"/>
  <c r="E10" i="38"/>
  <c r="E2" i="38"/>
  <c r="E21" i="38"/>
  <c r="E9" i="38"/>
  <c r="E20" i="38"/>
  <c r="E8" i="38"/>
  <c r="E31" i="38"/>
  <c r="E19" i="38"/>
  <c r="E7" i="38"/>
  <c r="E30" i="38"/>
  <c r="E18" i="38"/>
  <c r="E6" i="38"/>
  <c r="E32" i="38"/>
  <c r="B3" i="38" l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</calcChain>
</file>

<file path=xl/sharedStrings.xml><?xml version="1.0" encoding="utf-8"?>
<sst xmlns="http://schemas.openxmlformats.org/spreadsheetml/2006/main" count="94" uniqueCount="41">
  <si>
    <t>Budget</t>
  </si>
  <si>
    <t>Date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</si>
  <si>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</si>
  <si>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</si>
  <si>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</si>
  <si>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</si>
  <si>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</si>
  <si>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</si>
  <si>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</si>
  <si>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</si>
  <si>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</si>
  <si>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</si>
  <si>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>LPG</t>
  </si>
  <si>
    <t>Electricity</t>
  </si>
  <si>
    <t>Water</t>
  </si>
  <si>
    <t>Actual</t>
  </si>
  <si>
    <t>Centro Sharjah</t>
  </si>
  <si>
    <t>UTILITY CONSUMPTION TRACKING SHEET</t>
  </si>
  <si>
    <t>Meter 1 (21072157)</t>
  </si>
  <si>
    <t>Meter 2 (21072150)</t>
  </si>
  <si>
    <t>Meter 3 (21072106)</t>
  </si>
  <si>
    <t>Meter 4 (21072112)</t>
  </si>
  <si>
    <t>Meter 5 (21072132)</t>
  </si>
  <si>
    <t>Total Electricity</t>
  </si>
  <si>
    <t>Meter 1 (W-13E000112)</t>
  </si>
  <si>
    <t>Meter 1  (G-1799606002)</t>
  </si>
  <si>
    <t>AC 6160281418</t>
  </si>
  <si>
    <t>AC 4419770062</t>
  </si>
  <si>
    <t>AC 3728292485</t>
  </si>
  <si>
    <t>AC 5270465782</t>
  </si>
  <si>
    <t>AC 6415177127</t>
  </si>
  <si>
    <t>AC 1096947151</t>
  </si>
  <si>
    <t>Present</t>
  </si>
  <si>
    <t>Previous</t>
  </si>
  <si>
    <t>Consmp</t>
  </si>
  <si>
    <t>Variance</t>
  </si>
  <si>
    <t>Natural Gas $/m3</t>
  </si>
  <si>
    <t>Natual Gas (m3)</t>
  </si>
  <si>
    <t>Old water meter readings</t>
  </si>
  <si>
    <t>New water meter readings.</t>
  </si>
  <si>
    <t>water Meter is faulty we mentioned 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</si>
</sst>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"/>
    <numFmt numFmtId="166" formatCode="0\1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3">
    <xf numFmtId="0" fontId="0" fillId="0" borderId="0" xfId="0"/>
    <xf numFmtId="0" fontId="12" fillId="0" borderId="4" xfId="127" applyFont="1" applyBorder="1" applyAlignment="1">
      <alignment horizontal="center" vertical="center"/>
    </xf>
    <xf numFmtId="0" fontId="12" fillId="0" borderId="4" xfId="127" applyFont="1" applyBorder="1" applyAlignment="1">
      <alignment horizontal="center" vertical="center" wrapText="1"/>
    </xf>
    <xf numFmtId="2" fontId="13" fillId="0" borderId="4" xfId="127" applyNumberFormat="1" applyFont="1" applyBorder="1" applyAlignment="1">
      <alignment horizontal="center" vertical="center" wrapText="1"/>
    </xf>
    <xf numFmtId="0" fontId="13" fillId="0" borderId="4" xfId="127" applyFont="1" applyBorder="1" applyAlignment="1">
      <alignment horizontal="center" vertical="center" wrapText="1"/>
    </xf>
    <xf numFmtId="0" fontId="12" fillId="0" borderId="0" xfId="127" applyFont="1" applyAlignment="1">
      <alignment horizontal="center" vertical="center"/>
    </xf>
    <xf numFmtId="0" fontId="14" fillId="0" borderId="0" xfId="127" applyFont="1" applyAlignment="1">
      <alignment horizontal="center"/>
    </xf>
    <xf numFmtId="0" fontId="12" fillId="0" borderId="0" xfId="127" applyFont="1" applyAlignment="1">
      <alignment horizontal="center"/>
    </xf>
    <xf numFmtId="1" fontId="3" fillId="0" borderId="0" xfId="127" applyNumberFormat="1" applyAlignment="1">
      <alignment horizontal="center"/>
    </xf>
    <xf numFmtId="2" fontId="11" fillId="0" borderId="0" xfId="127" applyNumberFormat="1" applyFont="1" applyAlignment="1">
      <alignment horizontal="center"/>
    </xf>
    <xf numFmtId="165" fontId="11" fillId="0" borderId="0" xfId="127" applyNumberFormat="1" applyFont="1" applyAlignment="1">
      <alignment horizontal="center"/>
    </xf>
    <xf numFmtId="0" fontId="3" fillId="0" borderId="0" xfId="127" applyAlignment="1">
      <alignment horizontal="center"/>
    </xf>
    <xf numFmtId="0" fontId="12" fillId="0" borderId="0" xfId="127" applyFont="1"/>
    <xf numFmtId="0" fontId="11" fillId="0" borderId="0" xfId="127" applyFont="1" applyAlignment="1">
      <alignment horizontal="center"/>
    </xf>
    <xf numFmtId="0" fontId="3" fillId="0" borderId="0" xfId="127"/>
    <xf numFmtId="1" fontId="0" fillId="0" borderId="1" xfId="0" applyNumberFormat="1" applyBorder="1" applyAlignment="1">
      <alignment horizontal="center"/>
    </xf>
    <xf numFmtId="1" fontId="16" fillId="4" borderId="1" xfId="0" applyNumberFormat="1" applyFont="1" applyFill="1" applyBorder="1"/>
    <xf numFmtId="1" fontId="16" fillId="0" borderId="1" xfId="0" applyNumberFormat="1" applyFont="1" applyBorder="1"/>
    <xf numFmtId="1" fontId="0" fillId="0" borderId="1" xfId="0" applyNumberFormat="1" applyBorder="1"/>
    <xf numFmtId="0" fontId="18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2" fillId="0" borderId="0" xfId="0" applyNumberFormat="1" applyFont="1"/>
    <xf numFmtId="0" fontId="12" fillId="0" borderId="0" xfId="0" applyFont="1"/>
    <xf numFmtId="9" fontId="0" fillId="2" borderId="0" xfId="132" applyFont="1" applyFill="1"/>
    <xf numFmtId="0" fontId="0" fillId="2" borderId="0" xfId="0" applyFill="1"/>
    <xf numFmtId="1" fontId="0" fillId="2" borderId="0" xfId="0" applyNumberFormat="1" applyFill="1"/>
    <xf numFmtId="1" fontId="13" fillId="2" borderId="0" xfId="0" applyNumberFormat="1" applyFont="1" applyFill="1"/>
    <xf numFmtId="1" fontId="12" fillId="2" borderId="0" xfId="0" applyNumberFormat="1" applyFont="1" applyFill="1"/>
    <xf numFmtId="166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1" fontId="16" fillId="2" borderId="1" xfId="0" applyNumberFormat="1" applyFont="1" applyFill="1" applyBorder="1"/>
    <xf numFmtId="0" fontId="18" fillId="5" borderId="2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4" fillId="4" borderId="11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</cellXfs>
  <cellStyles count="133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Normal 5" xfId="130" xr:uid="{300125F4-C64E-43FB-A9B0-7A4856EA6A58}"/>
    <cellStyle name="Per cent 2" xfId="131" xr:uid="{C90C5104-5C78-4CA9-B06E-3B0F05ED3CBD}"/>
    <cellStyle name="Percent" xfId="132" builtinId="5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2"/>
  <sheetViews>
    <sheetView workbookViewId="0">
      <selection activeCell="A24" sqref="A24"/>
    </sheetView>
  </sheetViews>
  <sheetFormatPr defaultColWidth="11.5703125" defaultRowHeight="15" x14ac:dyDescent="0.25"/>
  <cols>
    <col min="1" max="1" width="29.140625" style="12" bestFit="1" customWidth="1"/>
    <col min="2" max="3" width="11.5703125" style="7"/>
    <col min="4" max="4" width="13.42578125" style="7" customWidth="1"/>
    <col min="5" max="5" width="12.5703125" style="11" customWidth="1"/>
    <col min="6" max="6" width="12.5703125" style="9" customWidth="1"/>
    <col min="7" max="7" width="11.5703125" style="11"/>
    <col min="8" max="8" width="11.5703125" style="9"/>
    <col min="9" max="9" width="11.5703125" style="11"/>
    <col min="10" max="10" width="11.5703125" style="13"/>
    <col min="11" max="24" width="11.5703125" style="11"/>
    <col min="25" max="16384" width="11.5703125" style="14"/>
  </cols>
  <sheetData>
    <row r="1" spans="1:12" s="5" customFormat="1" ht="60" x14ac:dyDescent="0.2">
      <c r="A1" s="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37</v>
      </c>
      <c r="H1" s="3" t="s">
        <v>36</v>
      </c>
      <c r="I1" s="2" t="s">
        <v>10</v>
      </c>
      <c r="J1" s="4" t="s">
        <v>11</v>
      </c>
      <c r="K1" s="2" t="s">
        <v>8</v>
      </c>
      <c r="L1" s="2" t="s">
        <v>9</v>
      </c>
    </row>
    <row r="2" spans="1:12" x14ac:dyDescent="0.25">
      <c r="A2" s="6" t="s">
        <v>16</v>
      </c>
      <c r="B2" s="7">
        <v>1</v>
      </c>
      <c r="C2" s="7">
        <v>5</v>
      </c>
      <c r="D2" s="7">
        <v>2025</v>
      </c>
      <c r="E2" s="8">
        <f>IF(June!Q6&lt;0,0,June!Q6)</f>
        <v>16100</v>
      </c>
      <c r="G2" s="8">
        <f>IF(June!AA6&lt;0,0,June!AA6)</f>
        <v>510</v>
      </c>
      <c r="I2" s="8">
        <f>IF(June!V6&lt;0,0,June!V6)</f>
        <v>90</v>
      </c>
      <c r="J2" s="10"/>
      <c r="K2" s="8"/>
      <c r="L2" s="8"/>
    </row>
    <row r="3" spans="1:12" x14ac:dyDescent="0.25">
      <c r="A3" s="6" t="s">
        <v>16</v>
      </c>
      <c r="B3" s="7">
        <f>B2+1</f>
        <v>2</v>
      </c>
      <c r="C3" s="7">
        <v>5</v>
      </c>
      <c r="D3" s="7">
        <v>2025</v>
      </c>
      <c r="E3" s="8">
        <f>IF(June!Q7&lt;0,0,June!Q7)</f>
        <v>14600</v>
      </c>
      <c r="G3" s="8">
        <f>IF(June!AA7&lt;0,0,June!AA7)</f>
        <v>593</v>
      </c>
      <c r="I3" s="8">
        <f>IF(June!V7&lt;0,0,June!V7)</f>
        <v>81</v>
      </c>
      <c r="J3" s="10"/>
      <c r="K3" s="8"/>
      <c r="L3" s="8"/>
    </row>
    <row r="4" spans="1:12" x14ac:dyDescent="0.25">
      <c r="A4" s="6" t="s">
        <v>16</v>
      </c>
      <c r="B4" s="7">
        <f t="shared" ref="B4:B31" si="0">B3+1</f>
        <v>3</v>
      </c>
      <c r="C4" s="7">
        <v>5</v>
      </c>
      <c r="D4" s="7">
        <v>2025</v>
      </c>
      <c r="E4" s="8">
        <f>IF(June!Q8&lt;0,0,June!Q8)</f>
        <v>14700</v>
      </c>
      <c r="G4" s="8">
        <f>IF(June!AA8&lt;0,0,June!AA8)</f>
        <v>455</v>
      </c>
      <c r="I4" s="8">
        <f>IF(June!V8&lt;0,0,June!V8)</f>
        <v>95</v>
      </c>
      <c r="J4" s="10"/>
      <c r="K4" s="8"/>
      <c r="L4" s="8"/>
    </row>
    <row r="5" spans="1:12" x14ac:dyDescent="0.25">
      <c r="A5" s="6" t="s">
        <v>16</v>
      </c>
      <c r="B5" s="7">
        <f t="shared" si="0"/>
        <v>4</v>
      </c>
      <c r="C5" s="7">
        <v>5</v>
      </c>
      <c r="D5" s="7">
        <v>2025</v>
      </c>
      <c r="E5" s="8">
        <f>IF(June!Q9&lt;0,0,June!Q9)</f>
        <v>14980</v>
      </c>
      <c r="G5" s="8">
        <f>IF(June!AA9&lt;0,0,June!AA9)</f>
        <v>455</v>
      </c>
      <c r="I5" s="8">
        <f>IF(June!V9&lt;0,0,June!V9)</f>
        <v>91</v>
      </c>
      <c r="J5" s="10"/>
      <c r="K5" s="8"/>
      <c r="L5" s="8"/>
    </row>
    <row r="6" spans="1:12" x14ac:dyDescent="0.25">
      <c r="A6" s="6" t="s">
        <v>16</v>
      </c>
      <c r="B6" s="7">
        <f t="shared" si="0"/>
        <v>5</v>
      </c>
      <c r="C6" s="7">
        <v>5</v>
      </c>
      <c r="D6" s="7">
        <v>2025</v>
      </c>
      <c r="E6" s="8">
        <f>IF(June!Q10&lt;0,0,June!Q10)</f>
        <v>14920</v>
      </c>
      <c r="G6" s="8">
        <f>IF(June!AA10&lt;0,0,June!AA10)</f>
        <v>459</v>
      </c>
      <c r="I6" s="8">
        <f>IF(June!V10&lt;0,0,June!V10)</f>
        <v>30</v>
      </c>
      <c r="J6" s="10"/>
      <c r="K6" s="8"/>
      <c r="L6" s="8"/>
    </row>
    <row r="7" spans="1:12" x14ac:dyDescent="0.25">
      <c r="A7" s="6" t="s">
        <v>16</v>
      </c>
      <c r="B7" s="7">
        <f t="shared" si="0"/>
        <v>6</v>
      </c>
      <c r="C7" s="7">
        <v>5</v>
      </c>
      <c r="D7" s="7">
        <v>2025</v>
      </c>
      <c r="E7" s="8">
        <f>IF(June!Q11&lt;0,0,June!Q11)</f>
        <v>14140</v>
      </c>
      <c r="G7" s="8">
        <f>IF(June!AA11&lt;0,0,June!AA11)</f>
        <v>451</v>
      </c>
      <c r="I7" s="8">
        <f>IF(June!V11&lt;0,0,June!V11)</f>
        <v>76</v>
      </c>
      <c r="J7" s="10"/>
      <c r="K7" s="8"/>
      <c r="L7" s="8"/>
    </row>
    <row r="8" spans="1:12" x14ac:dyDescent="0.25">
      <c r="A8" s="6" t="s">
        <v>16</v>
      </c>
      <c r="B8" s="7">
        <f t="shared" si="0"/>
        <v>7</v>
      </c>
      <c r="C8" s="7">
        <v>5</v>
      </c>
      <c r="D8" s="7">
        <v>2025</v>
      </c>
      <c r="E8" s="8">
        <f>IF(June!Q12&lt;0,0,June!Q12)</f>
        <v>13320</v>
      </c>
      <c r="G8" s="8">
        <f>IF(June!AA12&lt;0,0,June!AA12)</f>
        <v>453</v>
      </c>
      <c r="I8" s="8">
        <f>IF(June!V12&lt;0,0,June!V12)</f>
        <v>66</v>
      </c>
      <c r="J8" s="10"/>
      <c r="K8" s="8"/>
      <c r="L8" s="8"/>
    </row>
    <row r="9" spans="1:12" x14ac:dyDescent="0.25">
      <c r="A9" s="6" t="s">
        <v>16</v>
      </c>
      <c r="B9" s="7">
        <f t="shared" si="0"/>
        <v>8</v>
      </c>
      <c r="C9" s="7">
        <v>5</v>
      </c>
      <c r="D9" s="7">
        <v>2025</v>
      </c>
      <c r="E9" s="8">
        <f>IF(June!Q13&lt;0,0,June!Q13)</f>
        <v>15200</v>
      </c>
      <c r="G9" s="8">
        <f>IF(June!AA13&lt;0,0,June!AA13)</f>
        <v>453</v>
      </c>
      <c r="I9" s="8">
        <f>IF(June!V13&lt;0,0,June!V13)</f>
        <v>70</v>
      </c>
      <c r="J9" s="10"/>
      <c r="K9" s="8"/>
      <c r="L9" s="8"/>
    </row>
    <row r="10" spans="1:12" x14ac:dyDescent="0.25">
      <c r="A10" s="6" t="s">
        <v>16</v>
      </c>
      <c r="B10" s="7">
        <f t="shared" si="0"/>
        <v>9</v>
      </c>
      <c r="C10" s="7">
        <v>5</v>
      </c>
      <c r="D10" s="7">
        <v>2025</v>
      </c>
      <c r="E10" s="8">
        <f>IF(June!Q14&lt;0,0,June!Q14)</f>
        <v>15800</v>
      </c>
      <c r="G10" s="8">
        <f>IF(June!AA14&lt;0,0,June!AA14)</f>
        <v>456</v>
      </c>
      <c r="I10" s="8">
        <f>IF(June!V14&lt;0,0,June!V14)</f>
        <v>72</v>
      </c>
      <c r="J10" s="10"/>
      <c r="K10" s="8"/>
      <c r="L10" s="8"/>
    </row>
    <row r="11" spans="1:12" x14ac:dyDescent="0.25">
      <c r="A11" s="6" t="s">
        <v>16</v>
      </c>
      <c r="B11" s="7">
        <f t="shared" si="0"/>
        <v>10</v>
      </c>
      <c r="C11" s="7">
        <v>5</v>
      </c>
      <c r="D11" s="7">
        <v>2025</v>
      </c>
      <c r="E11" s="8">
        <f>IF(June!Q15&lt;0,0,June!Q15)</f>
        <v>14740</v>
      </c>
      <c r="G11" s="8">
        <f>IF(June!AA15&lt;0,0,June!AA15)</f>
        <v>441</v>
      </c>
      <c r="I11" s="8">
        <f>IF(June!V15&lt;0,0,June!V15)</f>
        <v>65</v>
      </c>
      <c r="J11" s="10"/>
      <c r="K11" s="8"/>
      <c r="L11" s="8"/>
    </row>
    <row r="12" spans="1:12" x14ac:dyDescent="0.25">
      <c r="A12" s="6" t="s">
        <v>16</v>
      </c>
      <c r="B12" s="7">
        <f t="shared" si="0"/>
        <v>11</v>
      </c>
      <c r="C12" s="7">
        <v>5</v>
      </c>
      <c r="D12" s="7">
        <v>2025</v>
      </c>
      <c r="E12" s="8">
        <f>IF(June!Q16&lt;0,0,June!Q16)</f>
        <v>15600</v>
      </c>
      <c r="G12" s="8">
        <f>IF(June!AA16&lt;0,0,June!AA16)</f>
        <v>439</v>
      </c>
      <c r="I12" s="8">
        <f>IF(June!V16&lt;0,0,June!V16)</f>
        <v>52</v>
      </c>
      <c r="J12" s="10"/>
      <c r="K12" s="8"/>
      <c r="L12" s="8"/>
    </row>
    <row r="13" spans="1:12" x14ac:dyDescent="0.25">
      <c r="A13" s="6" t="s">
        <v>16</v>
      </c>
      <c r="B13" s="7">
        <f t="shared" si="0"/>
        <v>12</v>
      </c>
      <c r="C13" s="7">
        <v>5</v>
      </c>
      <c r="D13" s="7">
        <v>2025</v>
      </c>
      <c r="E13" s="8">
        <f>IF(June!Q17&lt;0,0,June!Q17)</f>
        <v>15140</v>
      </c>
      <c r="G13" s="8">
        <f>IF(June!AA17&lt;0,0,June!AA17)</f>
        <v>409</v>
      </c>
      <c r="I13" s="8">
        <f>IF(June!V17&lt;0,0,June!V17)</f>
        <v>74</v>
      </c>
      <c r="J13" s="10"/>
      <c r="K13" s="8"/>
      <c r="L13" s="8"/>
    </row>
    <row r="14" spans="1:12" x14ac:dyDescent="0.25">
      <c r="A14" s="6" t="s">
        <v>16</v>
      </c>
      <c r="B14" s="7">
        <f t="shared" si="0"/>
        <v>13</v>
      </c>
      <c r="C14" s="7">
        <v>5</v>
      </c>
      <c r="D14" s="7">
        <v>2025</v>
      </c>
      <c r="E14" s="8">
        <f>IF(June!Q18&lt;0,0,June!Q18)</f>
        <v>15380</v>
      </c>
      <c r="G14" s="8">
        <f>IF(June!AA18&lt;0,0,June!AA18)</f>
        <v>465</v>
      </c>
      <c r="I14" s="8">
        <f>IF(June!V18&lt;0,0,June!V18)</f>
        <v>81</v>
      </c>
      <c r="J14" s="10"/>
      <c r="K14" s="8"/>
      <c r="L14" s="8"/>
    </row>
    <row r="15" spans="1:12" x14ac:dyDescent="0.25">
      <c r="A15" s="6" t="s">
        <v>16</v>
      </c>
      <c r="B15" s="7">
        <f t="shared" si="0"/>
        <v>14</v>
      </c>
      <c r="C15" s="7">
        <v>5</v>
      </c>
      <c r="D15" s="7">
        <v>2025</v>
      </c>
      <c r="E15" s="8">
        <f>IF(June!Q19&lt;0,0,June!Q19)</f>
        <v>16240</v>
      </c>
      <c r="G15" s="8">
        <f>IF(June!AA19&lt;0,0,June!AA19)</f>
        <v>469</v>
      </c>
      <c r="I15" s="8">
        <f>IF(June!V19&lt;0,0,June!V19)</f>
        <v>81</v>
      </c>
      <c r="J15" s="10"/>
      <c r="K15" s="8"/>
      <c r="L15" s="8"/>
    </row>
    <row r="16" spans="1:12" x14ac:dyDescent="0.25">
      <c r="A16" s="6" t="s">
        <v>16</v>
      </c>
      <c r="B16" s="7">
        <f t="shared" si="0"/>
        <v>15</v>
      </c>
      <c r="C16" s="7">
        <v>5</v>
      </c>
      <c r="D16" s="7">
        <v>2025</v>
      </c>
      <c r="E16" s="8">
        <f>IF(June!Q20&lt;0,0,June!Q20)</f>
        <v>17020</v>
      </c>
      <c r="G16" s="8">
        <f>IF(June!AA20&lt;0,0,June!AA20)</f>
        <v>486</v>
      </c>
      <c r="I16" s="8">
        <f>IF(June!V20&lt;0,0,June!V20)</f>
        <v>80</v>
      </c>
      <c r="J16" s="10"/>
      <c r="K16" s="8"/>
      <c r="L16" s="8"/>
    </row>
    <row r="17" spans="1:12" x14ac:dyDescent="0.25">
      <c r="A17" s="6" t="s">
        <v>16</v>
      </c>
      <c r="B17" s="7">
        <f t="shared" si="0"/>
        <v>16</v>
      </c>
      <c r="C17" s="7">
        <v>5</v>
      </c>
      <c r="D17" s="7">
        <v>2025</v>
      </c>
      <c r="E17" s="8">
        <f>IF(June!Q21&lt;0,0,June!Q21)</f>
        <v>15180</v>
      </c>
      <c r="G17" s="8">
        <f>IF(June!AA21&lt;0,0,June!AA21)</f>
        <v>482</v>
      </c>
      <c r="I17" s="8">
        <f>IF(June!V21&lt;0,0,June!V21)</f>
        <v>82</v>
      </c>
      <c r="J17" s="10"/>
      <c r="K17" s="8"/>
      <c r="L17" s="8"/>
    </row>
    <row r="18" spans="1:12" x14ac:dyDescent="0.25">
      <c r="A18" s="6" t="s">
        <v>16</v>
      </c>
      <c r="B18" s="7">
        <f t="shared" si="0"/>
        <v>17</v>
      </c>
      <c r="C18" s="7">
        <v>5</v>
      </c>
      <c r="D18" s="7">
        <v>2025</v>
      </c>
      <c r="E18" s="8">
        <f>IF(June!Q22&lt;0,0,June!Q22)</f>
        <v>16260</v>
      </c>
      <c r="G18" s="8">
        <f>IF(June!AA22&lt;0,0,June!AA22)</f>
        <v>473</v>
      </c>
      <c r="I18" s="8">
        <f>IF(June!V22&lt;0,0,June!V22)</f>
        <v>85</v>
      </c>
      <c r="J18" s="10"/>
      <c r="K18" s="8"/>
      <c r="L18" s="8"/>
    </row>
    <row r="19" spans="1:12" x14ac:dyDescent="0.25">
      <c r="A19" s="6" t="s">
        <v>16</v>
      </c>
      <c r="B19" s="7">
        <f t="shared" si="0"/>
        <v>18</v>
      </c>
      <c r="C19" s="7">
        <v>5</v>
      </c>
      <c r="D19" s="7">
        <v>2025</v>
      </c>
      <c r="E19" s="8">
        <f>IF(June!Q23&lt;0,0,June!Q23)</f>
        <v>16920</v>
      </c>
      <c r="G19" s="8">
        <f>IF(June!AA23&lt;0,0,June!AA23)</f>
        <v>476</v>
      </c>
      <c r="I19" s="8">
        <f>IF(June!V23&lt;0,0,June!V23)</f>
        <v>85</v>
      </c>
      <c r="J19" s="10"/>
      <c r="K19" s="8"/>
      <c r="L19" s="8"/>
    </row>
    <row r="20" spans="1:12" x14ac:dyDescent="0.25">
      <c r="A20" s="6" t="s">
        <v>16</v>
      </c>
      <c r="B20" s="7">
        <f t="shared" si="0"/>
        <v>19</v>
      </c>
      <c r="C20" s="7">
        <v>5</v>
      </c>
      <c r="D20" s="7">
        <v>2025</v>
      </c>
      <c r="E20" s="8">
        <f>IF(June!Q24&lt;0,0,June!Q24)</f>
        <v>17240</v>
      </c>
      <c r="G20" s="8">
        <f>IF(June!AA24&lt;0,0,June!AA24)</f>
        <v>477</v>
      </c>
      <c r="I20" s="8">
        <f>IF(June!V24&lt;0,0,June!V24)</f>
        <v>80</v>
      </c>
      <c r="J20" s="10"/>
      <c r="K20" s="8"/>
      <c r="L20" s="8"/>
    </row>
    <row r="21" spans="1:12" x14ac:dyDescent="0.25">
      <c r="A21" s="6" t="s">
        <v>16</v>
      </c>
      <c r="B21" s="7">
        <f t="shared" si="0"/>
        <v>20</v>
      </c>
      <c r="C21" s="7">
        <v>5</v>
      </c>
      <c r="D21" s="7">
        <v>2025</v>
      </c>
      <c r="E21" s="8">
        <f>IF(June!Q25&lt;0,0,June!Q25)</f>
        <v>17240</v>
      </c>
      <c r="G21" s="8">
        <f>IF(June!AA25&lt;0,0,June!AA25)</f>
        <v>486</v>
      </c>
      <c r="I21" s="8">
        <f>IF(June!V25&lt;0,0,June!V25)</f>
        <v>83</v>
      </c>
      <c r="J21" s="10"/>
      <c r="K21" s="8"/>
      <c r="L21" s="8"/>
    </row>
    <row r="22" spans="1:12" x14ac:dyDescent="0.25">
      <c r="A22" s="6" t="s">
        <v>16</v>
      </c>
      <c r="B22" s="7">
        <f t="shared" si="0"/>
        <v>21</v>
      </c>
      <c r="C22" s="7">
        <v>5</v>
      </c>
      <c r="D22" s="7">
        <v>2025</v>
      </c>
      <c r="E22" s="8">
        <f>IF(June!Q26&lt;0,0,June!Q26)</f>
        <v>17060</v>
      </c>
      <c r="G22" s="8">
        <f>IF(June!AA26&lt;0,0,June!AA26)</f>
        <v>475</v>
      </c>
      <c r="I22" s="8">
        <f>IF(June!V26&lt;0,0,June!V26)</f>
        <v>90</v>
      </c>
      <c r="J22" s="10"/>
      <c r="K22" s="8"/>
      <c r="L22" s="8"/>
    </row>
    <row r="23" spans="1:12" x14ac:dyDescent="0.25">
      <c r="A23" s="6" t="s">
        <v>16</v>
      </c>
      <c r="B23" s="7">
        <f t="shared" si="0"/>
        <v>22</v>
      </c>
      <c r="C23" s="7">
        <v>5</v>
      </c>
      <c r="D23" s="7">
        <v>2025</v>
      </c>
      <c r="E23" s="8">
        <f>IF(June!Q27&lt;0,0,June!Q27)</f>
        <v>16920</v>
      </c>
      <c r="G23" s="8">
        <f>IF(June!AA27&lt;0,0,June!AA27)</f>
        <v>478</v>
      </c>
      <c r="I23" s="8">
        <f>IF(June!V27&lt;0,0,June!V27)</f>
        <v>56</v>
      </c>
      <c r="J23" s="10"/>
      <c r="K23" s="8"/>
      <c r="L23" s="8"/>
    </row>
    <row r="24" spans="1:12" x14ac:dyDescent="0.25">
      <c r="A24" s="6" t="s">
        <v>16</v>
      </c>
      <c r="B24" s="7">
        <f t="shared" si="0"/>
        <v>23</v>
      </c>
      <c r="C24" s="7">
        <v>5</v>
      </c>
      <c r="D24" s="7">
        <v>2025</v>
      </c>
      <c r="E24" s="8">
        <f>IF(June!Q28&lt;0,0,June!Q28)</f>
        <v>16240</v>
      </c>
      <c r="G24" s="8">
        <f>IF(June!AA28&lt;0,0,June!AA28)</f>
        <v>486</v>
      </c>
      <c r="I24" s="8">
        <f>IF(June!V28&lt;0,0,June!V28)</f>
        <v>82</v>
      </c>
      <c r="J24" s="10"/>
      <c r="K24" s="8"/>
      <c r="L24" s="8"/>
    </row>
    <row r="25" spans="1:12" x14ac:dyDescent="0.25">
      <c r="A25" s="6" t="s">
        <v>16</v>
      </c>
      <c r="B25" s="7">
        <f t="shared" si="0"/>
        <v>24</v>
      </c>
      <c r="C25" s="7">
        <v>5</v>
      </c>
      <c r="D25" s="7">
        <v>2025</v>
      </c>
      <c r="E25" s="8">
        <f>IF(June!Q29&lt;0,0,June!Q29)</f>
        <v>16140</v>
      </c>
      <c r="G25" s="8">
        <f>IF(June!AA29&lt;0,0,June!AA29)</f>
        <v>477</v>
      </c>
      <c r="I25" s="8">
        <f>IF(June!V29&lt;0,0,June!V29)</f>
        <v>79</v>
      </c>
      <c r="J25" s="10"/>
      <c r="K25" s="8"/>
      <c r="L25" s="8"/>
    </row>
    <row r="26" spans="1:12" x14ac:dyDescent="0.25">
      <c r="A26" s="6" t="s">
        <v>16</v>
      </c>
      <c r="B26" s="7">
        <f>B25+1</f>
        <v>25</v>
      </c>
      <c r="C26" s="7">
        <v>5</v>
      </c>
      <c r="D26" s="7">
        <v>2025</v>
      </c>
      <c r="E26" s="8">
        <f>IF(June!Q30&lt;0,0,June!Q30)</f>
        <v>14600</v>
      </c>
      <c r="G26" s="8">
        <f>IF(June!AA30&lt;0,0,June!AA30)</f>
        <v>477</v>
      </c>
      <c r="I26" s="8">
        <f>IF(June!V30&lt;0,0,June!V30)</f>
        <v>71</v>
      </c>
      <c r="J26" s="10"/>
      <c r="K26" s="8"/>
      <c r="L26" s="8"/>
    </row>
    <row r="27" spans="1:12" x14ac:dyDescent="0.25">
      <c r="A27" s="6" t="s">
        <v>16</v>
      </c>
      <c r="B27" s="7">
        <f t="shared" si="0"/>
        <v>26</v>
      </c>
      <c r="C27" s="7">
        <v>5</v>
      </c>
      <c r="D27" s="7">
        <v>2025</v>
      </c>
      <c r="E27" s="8">
        <f>IF(June!Q31&lt;0,0,June!Q31)</f>
        <v>15160</v>
      </c>
      <c r="G27" s="8">
        <f>IF(June!AA31&lt;0,0,June!AA31)</f>
        <v>473</v>
      </c>
      <c r="I27" s="8">
        <f>IF(June!V31&lt;0,0,June!V31)</f>
        <v>77</v>
      </c>
      <c r="J27" s="10"/>
      <c r="K27" s="8"/>
      <c r="L27" s="8"/>
    </row>
    <row r="28" spans="1:12" x14ac:dyDescent="0.25">
      <c r="A28" s="6" t="s">
        <v>16</v>
      </c>
      <c r="B28" s="7">
        <f t="shared" si="0"/>
        <v>27</v>
      </c>
      <c r="C28" s="7">
        <v>5</v>
      </c>
      <c r="D28" s="7">
        <v>2025</v>
      </c>
      <c r="E28" s="8">
        <f>IF(June!Q32&lt;0,0,June!Q32)</f>
        <v>17260</v>
      </c>
      <c r="G28" s="8">
        <f>IF(June!AA32&lt;0,0,June!AA32)</f>
        <v>486</v>
      </c>
      <c r="I28" s="8">
        <f>IF(June!V32&lt;0,0,June!V32)</f>
        <v>72</v>
      </c>
      <c r="J28" s="10"/>
      <c r="K28" s="8"/>
      <c r="L28" s="8"/>
    </row>
    <row r="29" spans="1:12" x14ac:dyDescent="0.25">
      <c r="A29" s="6" t="s">
        <v>16</v>
      </c>
      <c r="B29" s="7">
        <f t="shared" si="0"/>
        <v>28</v>
      </c>
      <c r="C29" s="7">
        <v>5</v>
      </c>
      <c r="D29" s="7">
        <v>2025</v>
      </c>
      <c r="E29" s="8">
        <f>IF(June!Q33&lt;0,0,June!Q33)</f>
        <v>15880</v>
      </c>
      <c r="G29" s="8">
        <f>IF(June!AA33&lt;0,0,June!AA33)</f>
        <v>460</v>
      </c>
      <c r="I29" s="8">
        <f>IF(June!V33&lt;0,0,June!V33)</f>
        <v>70</v>
      </c>
      <c r="J29" s="10"/>
      <c r="K29" s="8"/>
      <c r="L29" s="8"/>
    </row>
    <row r="30" spans="1:12" x14ac:dyDescent="0.25">
      <c r="A30" s="6" t="s">
        <v>16</v>
      </c>
      <c r="B30" s="7">
        <f t="shared" si="0"/>
        <v>29</v>
      </c>
      <c r="C30" s="7">
        <v>5</v>
      </c>
      <c r="D30" s="7">
        <v>2025</v>
      </c>
      <c r="E30" s="8">
        <f>IF(June!Q34&lt;0,0,June!Q34)</f>
        <v>17300</v>
      </c>
      <c r="G30" s="8">
        <f>IF(June!AA34&lt;0,0,June!AA34)</f>
        <v>459</v>
      </c>
      <c r="I30" s="8">
        <f>IF(June!V34&lt;0,0,June!V34)</f>
        <v>82</v>
      </c>
      <c r="J30" s="10"/>
      <c r="K30" s="8"/>
      <c r="L30" s="8"/>
    </row>
    <row r="31" spans="1:12" x14ac:dyDescent="0.25">
      <c r="A31" s="6" t="s">
        <v>16</v>
      </c>
      <c r="B31" s="7">
        <f t="shared" si="0"/>
        <v>30</v>
      </c>
      <c r="C31" s="7">
        <v>5</v>
      </c>
      <c r="D31" s="7">
        <v>2025</v>
      </c>
      <c r="E31" s="8">
        <f>IF(June!Q35&lt;0,0,June!Q35)</f>
        <v>17440</v>
      </c>
      <c r="G31" s="8">
        <f>IF(June!AA35&lt;0,0,June!AA35)</f>
        <v>477</v>
      </c>
      <c r="I31" s="8">
        <f>IF(June!V35&lt;0,0,June!V35)</f>
        <v>83</v>
      </c>
      <c r="J31" s="10"/>
      <c r="K31" s="8"/>
      <c r="L31" s="8"/>
    </row>
    <row r="32" spans="1:12" x14ac:dyDescent="0.25">
      <c r="A32" s="6" t="s">
        <v>16</v>
      </c>
      <c r="B32" s="7">
        <v>31</v>
      </c>
      <c r="C32" s="7">
        <v>5</v>
      </c>
      <c r="D32" s="7">
        <v>2025</v>
      </c>
      <c r="E32" s="8" t="e">
        <f>IF(June!#REF!&lt;0,0,June!#REF!)</f>
        <v>#REF!</v>
      </c>
      <c r="G32" s="8" t="e">
        <f>IF(June!#REF!&lt;0,0,June!#REF!)</f>
        <v>#REF!</v>
      </c>
      <c r="I32" s="8" t="e">
        <f>IF(June!#REF!&lt;0,0,June!#REF!)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D092-0E5B-42ED-8DB9-9B4DBCBA0E5A}">
  <dimension ref="A1:AD71"/>
  <sheetViews>
    <sheetView tabSelected="1" topLeftCell="H1" zoomScale="85" zoomScaleNormal="85" workbookViewId="0">
      <selection activeCell="AE12" sqref="AE12"/>
    </sheetView>
  </sheetViews>
  <sheetFormatPr defaultRowHeight="12.75" x14ac:dyDescent="0.2"/>
  <cols>
    <col min="1" max="1" width="4.85546875" style="36" bestFit="1" customWidth="1"/>
    <col min="2" max="3" width="6.85546875" customWidth="1"/>
    <col min="4" max="4" width="7.5703125" customWidth="1"/>
    <col min="5" max="6" width="6.85546875" customWidth="1"/>
    <col min="7" max="7" width="8.5703125" customWidth="1"/>
    <col min="8" max="9" width="6.85546875" customWidth="1"/>
    <col min="10" max="10" width="8.85546875" customWidth="1"/>
    <col min="11" max="12" width="6.85546875" customWidth="1"/>
    <col min="13" max="13" width="10.42578125" customWidth="1"/>
    <col min="14" max="14" width="6.85546875" customWidth="1"/>
    <col min="15" max="15" width="8" customWidth="1"/>
    <col min="16" max="16" width="9.140625" customWidth="1"/>
    <col min="17" max="17" width="9.85546875" bestFit="1" customWidth="1"/>
    <col min="18" max="18" width="8.28515625" bestFit="1" customWidth="1"/>
    <col min="19" max="19" width="9" customWidth="1"/>
    <col min="20" max="21" width="7.7109375" customWidth="1"/>
    <col min="22" max="22" width="9.42578125" customWidth="1"/>
    <col min="23" max="24" width="7.7109375" customWidth="1"/>
    <col min="25" max="25" width="9.42578125" customWidth="1"/>
    <col min="26" max="26" width="9.28515625" customWidth="1"/>
    <col min="27" max="27" width="9" customWidth="1"/>
    <col min="28" max="28" width="6.85546875" bestFit="1" customWidth="1"/>
    <col min="29" max="29" width="8.140625" bestFit="1" customWidth="1"/>
    <col min="30" max="30" width="27.140625" customWidth="1"/>
    <col min="31" max="31" width="23.28515625" customWidth="1"/>
    <col min="32" max="32" width="29.85546875" customWidth="1"/>
  </cols>
  <sheetData>
    <row r="1" spans="1:30" ht="35.25" customHeight="1" x14ac:dyDescent="0.2">
      <c r="A1" s="45" t="s">
        <v>17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30" ht="15" x14ac:dyDescent="0.25">
      <c r="A2" s="46" t="s">
        <v>1</v>
      </c>
      <c r="B2" s="47" t="s">
        <v>13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50" t="s">
        <v>14</v>
      </c>
      <c r="U2" s="51"/>
      <c r="V2" s="51"/>
      <c r="W2" s="51"/>
      <c r="X2" s="52"/>
      <c r="Y2" s="53" t="s">
        <v>12</v>
      </c>
      <c r="Z2" s="54"/>
      <c r="AA2" s="54"/>
      <c r="AB2" s="54"/>
      <c r="AC2" s="55"/>
    </row>
    <row r="3" spans="1:30" s="23" customFormat="1" ht="12" x14ac:dyDescent="0.2">
      <c r="A3" s="46"/>
      <c r="B3" s="56" t="s">
        <v>18</v>
      </c>
      <c r="C3" s="56"/>
      <c r="D3" s="56"/>
      <c r="E3" s="56" t="s">
        <v>19</v>
      </c>
      <c r="F3" s="56"/>
      <c r="G3" s="56"/>
      <c r="H3" s="56" t="s">
        <v>20</v>
      </c>
      <c r="I3" s="56"/>
      <c r="J3" s="56"/>
      <c r="K3" s="56" t="s">
        <v>21</v>
      </c>
      <c r="L3" s="56"/>
      <c r="M3" s="56"/>
      <c r="N3" s="56" t="s">
        <v>22</v>
      </c>
      <c r="O3" s="56"/>
      <c r="P3" s="56"/>
      <c r="Q3" s="57" t="s">
        <v>23</v>
      </c>
      <c r="R3" s="58"/>
      <c r="S3" s="59"/>
      <c r="T3" s="41" t="s">
        <v>24</v>
      </c>
      <c r="U3" s="41"/>
      <c r="V3" s="41"/>
      <c r="W3" s="41"/>
      <c r="X3" s="41"/>
      <c r="Y3" s="42" t="s">
        <v>25</v>
      </c>
      <c r="Z3" s="43"/>
      <c r="AA3" s="43"/>
      <c r="AB3" s="43"/>
      <c r="AC3" s="44"/>
    </row>
    <row r="4" spans="1:30" s="23" customFormat="1" ht="12" x14ac:dyDescent="0.2">
      <c r="A4" s="46"/>
      <c r="B4" s="38" t="s">
        <v>26</v>
      </c>
      <c r="C4" s="39"/>
      <c r="D4" s="40"/>
      <c r="E4" s="38" t="s">
        <v>27</v>
      </c>
      <c r="F4" s="39"/>
      <c r="G4" s="40"/>
      <c r="H4" s="38" t="s">
        <v>28</v>
      </c>
      <c r="I4" s="39"/>
      <c r="J4" s="40"/>
      <c r="K4" s="38" t="s">
        <v>29</v>
      </c>
      <c r="L4" s="39"/>
      <c r="M4" s="40"/>
      <c r="N4" s="38" t="s">
        <v>30</v>
      </c>
      <c r="O4" s="39"/>
      <c r="P4" s="40"/>
      <c r="Q4" s="60"/>
      <c r="R4" s="61"/>
      <c r="S4" s="62"/>
      <c r="T4" s="41" t="s">
        <v>26</v>
      </c>
      <c r="U4" s="41"/>
      <c r="V4" s="41"/>
      <c r="W4" s="41"/>
      <c r="X4" s="41"/>
      <c r="Y4" s="42" t="s">
        <v>31</v>
      </c>
      <c r="Z4" s="43"/>
      <c r="AA4" s="43"/>
      <c r="AB4" s="43"/>
      <c r="AC4" s="44"/>
    </row>
    <row r="5" spans="1:30" s="24" customFormat="1" thickBot="1" x14ac:dyDescent="0.25">
      <c r="A5" s="46"/>
      <c r="B5" s="19" t="s">
        <v>32</v>
      </c>
      <c r="C5" s="19" t="s">
        <v>33</v>
      </c>
      <c r="D5" s="19" t="s">
        <v>34</v>
      </c>
      <c r="E5" s="19" t="s">
        <v>32</v>
      </c>
      <c r="F5" s="19" t="s">
        <v>33</v>
      </c>
      <c r="G5" s="19" t="s">
        <v>34</v>
      </c>
      <c r="H5" s="19" t="s">
        <v>32</v>
      </c>
      <c r="I5" s="19" t="s">
        <v>33</v>
      </c>
      <c r="J5" s="19" t="s">
        <v>34</v>
      </c>
      <c r="K5" s="19" t="s">
        <v>32</v>
      </c>
      <c r="L5" s="19" t="s">
        <v>33</v>
      </c>
      <c r="M5" s="19" t="s">
        <v>34</v>
      </c>
      <c r="N5" s="19" t="s">
        <v>32</v>
      </c>
      <c r="O5" s="19" t="s">
        <v>33</v>
      </c>
      <c r="P5" s="19" t="s">
        <v>34</v>
      </c>
      <c r="Q5" s="19" t="s">
        <v>15</v>
      </c>
      <c r="R5" s="19" t="s">
        <v>0</v>
      </c>
      <c r="S5" s="19" t="s">
        <v>35</v>
      </c>
      <c r="T5" s="20" t="s">
        <v>32</v>
      </c>
      <c r="U5" s="20" t="s">
        <v>33</v>
      </c>
      <c r="V5" s="20" t="s">
        <v>34</v>
      </c>
      <c r="W5" s="20" t="s">
        <v>0</v>
      </c>
      <c r="X5" s="20" t="s">
        <v>35</v>
      </c>
      <c r="Y5" s="21" t="s">
        <v>32</v>
      </c>
      <c r="Z5" s="21" t="s">
        <v>33</v>
      </c>
      <c r="AA5" s="21" t="s">
        <v>34</v>
      </c>
      <c r="AB5" s="21" t="s">
        <v>0</v>
      </c>
      <c r="AC5" s="21" t="s">
        <v>35</v>
      </c>
    </row>
    <row r="6" spans="1:30" ht="15" x14ac:dyDescent="0.25">
      <c r="A6" s="15">
        <v>1</v>
      </c>
      <c r="B6" s="16">
        <v>2944</v>
      </c>
      <c r="C6" s="37">
        <v>2941</v>
      </c>
      <c r="D6" s="17">
        <f>(B6-C6)*500</f>
        <v>1500</v>
      </c>
      <c r="E6" s="16">
        <v>3213</v>
      </c>
      <c r="F6" s="37">
        <v>3210</v>
      </c>
      <c r="G6" s="17">
        <f>(E6-F6)*500</f>
        <v>1500</v>
      </c>
      <c r="H6" s="16">
        <v>6787</v>
      </c>
      <c r="I6" s="17">
        <v>6774</v>
      </c>
      <c r="J6" s="17">
        <f>(H6-I6)*500</f>
        <v>6500</v>
      </c>
      <c r="K6" s="16">
        <v>6794</v>
      </c>
      <c r="L6" s="17">
        <v>6789</v>
      </c>
      <c r="M6" s="17">
        <f>(K6-L6)*320</f>
        <v>1600</v>
      </c>
      <c r="N6" s="16">
        <v>6455</v>
      </c>
      <c r="O6" s="17">
        <v>6445</v>
      </c>
      <c r="P6" s="17">
        <f>(N6-O6)*500</f>
        <v>5000</v>
      </c>
      <c r="Q6" s="17">
        <f>(D6+G6+J6+M6+P6)</f>
        <v>16100</v>
      </c>
      <c r="R6" s="17">
        <v>16500</v>
      </c>
      <c r="S6" s="17">
        <f>R6-Q6</f>
        <v>400</v>
      </c>
      <c r="T6" s="16">
        <v>99006</v>
      </c>
      <c r="U6" s="17">
        <v>98916</v>
      </c>
      <c r="V6" s="17">
        <f>T6-U6</f>
        <v>90</v>
      </c>
      <c r="W6" s="17">
        <v>90</v>
      </c>
      <c r="X6" s="17">
        <f>W6-V6</f>
        <v>0</v>
      </c>
      <c r="Y6" s="16">
        <v>3013993</v>
      </c>
      <c r="Z6" s="18">
        <v>3013483</v>
      </c>
      <c r="AA6" s="18">
        <f>(Y6-Z6)</f>
        <v>510</v>
      </c>
      <c r="AB6" s="18">
        <v>500</v>
      </c>
      <c r="AC6" s="63">
        <f>AB6-AA6</f>
        <v>-10</v>
      </c>
      <c r="AD6" s="64" t="s">
        <v>38</v>
      </c>
    </row>
    <row r="7" spans="1:30" ht="15" x14ac:dyDescent="0.25">
      <c r="A7" s="15">
        <v>2</v>
      </c>
      <c r="B7" s="16">
        <v>2947</v>
      </c>
      <c r="C7" s="17">
        <f>B6</f>
        <v>2944</v>
      </c>
      <c r="D7" s="17">
        <f>(B7-C7)*500</f>
        <v>1500</v>
      </c>
      <c r="E7" s="16">
        <v>3217</v>
      </c>
      <c r="F7" s="17">
        <f>E6</f>
        <v>3213</v>
      </c>
      <c r="G7" s="17">
        <f t="shared" ref="G7:G35" si="0">(E7-F7)*500</f>
        <v>2000</v>
      </c>
      <c r="H7" s="16">
        <v>6799</v>
      </c>
      <c r="I7" s="17">
        <f>H6</f>
        <v>6787</v>
      </c>
      <c r="J7" s="17">
        <f t="shared" ref="J7:J35" si="1">(H7-I7)*500</f>
        <v>6000</v>
      </c>
      <c r="K7" s="16">
        <v>6799</v>
      </c>
      <c r="L7" s="17">
        <f>K6</f>
        <v>6794</v>
      </c>
      <c r="M7" s="17">
        <f t="shared" ref="M7:M35" si="2">(K7-L7)*320</f>
        <v>1600</v>
      </c>
      <c r="N7" s="16">
        <v>6462</v>
      </c>
      <c r="O7" s="17">
        <f>N6</f>
        <v>6455</v>
      </c>
      <c r="P7" s="17">
        <f t="shared" ref="P7:P35" si="3">(N7-O7)*500</f>
        <v>3500</v>
      </c>
      <c r="Q7" s="17">
        <f t="shared" ref="Q7:Q35" si="4">(D7+G7+J7+M7+P7)</f>
        <v>14600</v>
      </c>
      <c r="R7" s="17">
        <v>16500</v>
      </c>
      <c r="S7" s="17">
        <f t="shared" ref="S7:S35" si="5">R7-Q7</f>
        <v>1900</v>
      </c>
      <c r="T7" s="16">
        <v>99087</v>
      </c>
      <c r="U7" s="17">
        <f>T6</f>
        <v>99006</v>
      </c>
      <c r="V7" s="17">
        <f t="shared" ref="V7:V35" si="6">T7-U7</f>
        <v>81</v>
      </c>
      <c r="W7" s="17">
        <v>90</v>
      </c>
      <c r="X7" s="17">
        <f t="shared" ref="X7:X35" si="7">W7-V7</f>
        <v>9</v>
      </c>
      <c r="Y7" s="16">
        <v>3014586</v>
      </c>
      <c r="Z7" s="18">
        <f>Y6</f>
        <v>3013993</v>
      </c>
      <c r="AA7" s="18">
        <f t="shared" ref="AA7:AA35" si="8">(Y7-Z7)</f>
        <v>593</v>
      </c>
      <c r="AB7" s="18">
        <v>500</v>
      </c>
      <c r="AC7" s="63">
        <f t="shared" ref="AC7:AC35" si="9">AB7-AA7</f>
        <v>-93</v>
      </c>
      <c r="AD7" s="65"/>
    </row>
    <row r="8" spans="1:30" ht="15" x14ac:dyDescent="0.25">
      <c r="A8" s="15">
        <v>3</v>
      </c>
      <c r="B8" s="16">
        <v>2950</v>
      </c>
      <c r="C8" s="17">
        <f t="shared" ref="C8:C35" si="10">B7</f>
        <v>2947</v>
      </c>
      <c r="D8" s="17">
        <f t="shared" ref="D8:D35" si="11">(B8-C8)*500</f>
        <v>1500</v>
      </c>
      <c r="E8" s="16">
        <v>3220</v>
      </c>
      <c r="F8" s="17">
        <f t="shared" ref="F8:F35" si="12">E7</f>
        <v>3217</v>
      </c>
      <c r="G8" s="17">
        <f t="shared" si="0"/>
        <v>1500</v>
      </c>
      <c r="H8" s="16">
        <v>6808</v>
      </c>
      <c r="I8" s="17">
        <f t="shared" ref="I8:I35" si="13">H7</f>
        <v>6799</v>
      </c>
      <c r="J8" s="17">
        <f t="shared" si="1"/>
        <v>4500</v>
      </c>
      <c r="K8" s="16">
        <v>6809</v>
      </c>
      <c r="L8" s="17">
        <f t="shared" ref="L8:L35" si="14">K7</f>
        <v>6799</v>
      </c>
      <c r="M8" s="17">
        <f t="shared" si="2"/>
        <v>3200</v>
      </c>
      <c r="N8" s="16">
        <v>6470</v>
      </c>
      <c r="O8" s="17">
        <f t="shared" ref="O8:O35" si="15">N7</f>
        <v>6462</v>
      </c>
      <c r="P8" s="17">
        <f t="shared" si="3"/>
        <v>4000</v>
      </c>
      <c r="Q8" s="17">
        <f t="shared" si="4"/>
        <v>14700</v>
      </c>
      <c r="R8" s="17">
        <v>16500</v>
      </c>
      <c r="S8" s="17">
        <f t="shared" si="5"/>
        <v>1800</v>
      </c>
      <c r="T8" s="16">
        <v>99182</v>
      </c>
      <c r="U8" s="17">
        <f t="shared" ref="U8:U35" si="16">T7</f>
        <v>99087</v>
      </c>
      <c r="V8" s="17">
        <f t="shared" si="6"/>
        <v>95</v>
      </c>
      <c r="W8" s="17">
        <v>90</v>
      </c>
      <c r="X8" s="17">
        <f t="shared" si="7"/>
        <v>-5</v>
      </c>
      <c r="Y8" s="16">
        <v>3015041</v>
      </c>
      <c r="Z8" s="18">
        <f t="shared" ref="Z8:Z35" si="17">Y7</f>
        <v>3014586</v>
      </c>
      <c r="AA8" s="18">
        <f t="shared" si="8"/>
        <v>455</v>
      </c>
      <c r="AB8" s="18">
        <v>500</v>
      </c>
      <c r="AC8" s="63">
        <f t="shared" si="9"/>
        <v>45</v>
      </c>
      <c r="AD8" s="65"/>
    </row>
    <row r="9" spans="1:30" ht="15" x14ac:dyDescent="0.25">
      <c r="A9" s="15">
        <v>4</v>
      </c>
      <c r="B9" s="16">
        <v>2953</v>
      </c>
      <c r="C9" s="17">
        <f t="shared" si="10"/>
        <v>2950</v>
      </c>
      <c r="D9" s="17">
        <f t="shared" si="11"/>
        <v>1500</v>
      </c>
      <c r="E9" s="16">
        <v>3223</v>
      </c>
      <c r="F9" s="17">
        <f t="shared" si="12"/>
        <v>3220</v>
      </c>
      <c r="G9" s="17">
        <f t="shared" si="0"/>
        <v>1500</v>
      </c>
      <c r="H9" s="16">
        <v>6815</v>
      </c>
      <c r="I9" s="17">
        <f t="shared" si="13"/>
        <v>6808</v>
      </c>
      <c r="J9" s="17">
        <f t="shared" si="1"/>
        <v>3500</v>
      </c>
      <c r="K9" s="16">
        <v>6823</v>
      </c>
      <c r="L9" s="17">
        <f t="shared" si="14"/>
        <v>6809</v>
      </c>
      <c r="M9" s="17">
        <f t="shared" si="2"/>
        <v>4480</v>
      </c>
      <c r="N9" s="16">
        <v>6478</v>
      </c>
      <c r="O9" s="17">
        <f t="shared" si="15"/>
        <v>6470</v>
      </c>
      <c r="P9" s="17">
        <f t="shared" si="3"/>
        <v>4000</v>
      </c>
      <c r="Q9" s="17">
        <f t="shared" si="4"/>
        <v>14980</v>
      </c>
      <c r="R9" s="17">
        <v>16500</v>
      </c>
      <c r="S9" s="17">
        <f t="shared" si="5"/>
        <v>1520</v>
      </c>
      <c r="T9" s="16">
        <v>99273</v>
      </c>
      <c r="U9" s="17">
        <f t="shared" si="16"/>
        <v>99182</v>
      </c>
      <c r="V9" s="17">
        <f t="shared" si="6"/>
        <v>91</v>
      </c>
      <c r="W9" s="17">
        <v>90</v>
      </c>
      <c r="X9" s="17">
        <f t="shared" si="7"/>
        <v>-1</v>
      </c>
      <c r="Y9" s="16">
        <v>3015496</v>
      </c>
      <c r="Z9" s="18">
        <f t="shared" si="17"/>
        <v>3015041</v>
      </c>
      <c r="AA9" s="18">
        <f t="shared" si="8"/>
        <v>455</v>
      </c>
      <c r="AB9" s="18">
        <v>500</v>
      </c>
      <c r="AC9" s="63">
        <f t="shared" si="9"/>
        <v>45</v>
      </c>
      <c r="AD9" s="65"/>
    </row>
    <row r="10" spans="1:30" ht="15" x14ac:dyDescent="0.25">
      <c r="A10" s="15">
        <v>5</v>
      </c>
      <c r="B10" s="16">
        <v>2955</v>
      </c>
      <c r="C10" s="17">
        <f t="shared" si="10"/>
        <v>2953</v>
      </c>
      <c r="D10" s="17">
        <f t="shared" si="11"/>
        <v>1000</v>
      </c>
      <c r="E10" s="16">
        <v>3226</v>
      </c>
      <c r="F10" s="17">
        <f t="shared" si="12"/>
        <v>3223</v>
      </c>
      <c r="G10" s="17">
        <f t="shared" si="0"/>
        <v>1500</v>
      </c>
      <c r="H10" s="16">
        <v>6828</v>
      </c>
      <c r="I10" s="17">
        <f t="shared" si="13"/>
        <v>6815</v>
      </c>
      <c r="J10" s="17">
        <f t="shared" si="1"/>
        <v>6500</v>
      </c>
      <c r="K10" s="16">
        <v>6829</v>
      </c>
      <c r="L10" s="17">
        <f t="shared" si="14"/>
        <v>6823</v>
      </c>
      <c r="M10" s="17">
        <f t="shared" si="2"/>
        <v>1920</v>
      </c>
      <c r="N10" s="16">
        <v>6486</v>
      </c>
      <c r="O10" s="17">
        <f t="shared" si="15"/>
        <v>6478</v>
      </c>
      <c r="P10" s="17">
        <f t="shared" si="3"/>
        <v>4000</v>
      </c>
      <c r="Q10" s="17">
        <f t="shared" si="4"/>
        <v>14920</v>
      </c>
      <c r="R10" s="17">
        <v>16500</v>
      </c>
      <c r="S10" s="17">
        <f t="shared" si="5"/>
        <v>1580</v>
      </c>
      <c r="T10" s="16">
        <v>99303</v>
      </c>
      <c r="U10" s="17">
        <f t="shared" si="16"/>
        <v>99273</v>
      </c>
      <c r="V10" s="17">
        <f>T10-U10</f>
        <v>30</v>
      </c>
      <c r="W10" s="17">
        <v>90</v>
      </c>
      <c r="X10" s="17">
        <f t="shared" si="7"/>
        <v>60</v>
      </c>
      <c r="Y10" s="16">
        <v>3015955</v>
      </c>
      <c r="Z10" s="18">
        <f t="shared" si="17"/>
        <v>3015496</v>
      </c>
      <c r="AA10" s="18">
        <f t="shared" si="8"/>
        <v>459</v>
      </c>
      <c r="AB10" s="18">
        <v>500</v>
      </c>
      <c r="AC10" s="63">
        <f t="shared" si="9"/>
        <v>41</v>
      </c>
      <c r="AD10" s="65"/>
    </row>
    <row r="11" spans="1:30" ht="15" x14ac:dyDescent="0.25">
      <c r="A11" s="15">
        <v>6</v>
      </c>
      <c r="B11" s="16">
        <v>2958</v>
      </c>
      <c r="C11" s="17">
        <f t="shared" si="10"/>
        <v>2955</v>
      </c>
      <c r="D11" s="17">
        <f t="shared" si="11"/>
        <v>1500</v>
      </c>
      <c r="E11" s="16">
        <v>3229</v>
      </c>
      <c r="F11" s="17">
        <f t="shared" si="12"/>
        <v>3226</v>
      </c>
      <c r="G11" s="17">
        <f t="shared" si="0"/>
        <v>1500</v>
      </c>
      <c r="H11" s="16">
        <v>6842</v>
      </c>
      <c r="I11" s="17">
        <f t="shared" si="13"/>
        <v>6828</v>
      </c>
      <c r="J11" s="17">
        <f t="shared" si="1"/>
        <v>7000</v>
      </c>
      <c r="K11" s="16">
        <v>6831</v>
      </c>
      <c r="L11" s="17">
        <f t="shared" si="14"/>
        <v>6829</v>
      </c>
      <c r="M11" s="17">
        <f t="shared" si="2"/>
        <v>640</v>
      </c>
      <c r="N11" s="16">
        <v>6493</v>
      </c>
      <c r="O11" s="17">
        <f t="shared" si="15"/>
        <v>6486</v>
      </c>
      <c r="P11" s="17">
        <f t="shared" si="3"/>
        <v>3500</v>
      </c>
      <c r="Q11" s="17">
        <f t="shared" si="4"/>
        <v>14140</v>
      </c>
      <c r="R11" s="17">
        <v>16500</v>
      </c>
      <c r="S11" s="17">
        <f t="shared" si="5"/>
        <v>2360</v>
      </c>
      <c r="T11" s="16">
        <v>99379</v>
      </c>
      <c r="U11" s="17">
        <f t="shared" si="16"/>
        <v>99303</v>
      </c>
      <c r="V11" s="17">
        <f t="shared" si="6"/>
        <v>76</v>
      </c>
      <c r="W11" s="17">
        <v>90</v>
      </c>
      <c r="X11" s="17">
        <f t="shared" si="7"/>
        <v>14</v>
      </c>
      <c r="Y11" s="16">
        <v>3016406</v>
      </c>
      <c r="Z11" s="18">
        <f t="shared" si="17"/>
        <v>3015955</v>
      </c>
      <c r="AA11" s="18">
        <f t="shared" si="8"/>
        <v>451</v>
      </c>
      <c r="AB11" s="18">
        <v>500</v>
      </c>
      <c r="AC11" s="63">
        <f t="shared" si="9"/>
        <v>49</v>
      </c>
      <c r="AD11" s="65"/>
    </row>
    <row r="12" spans="1:30" ht="15" x14ac:dyDescent="0.25">
      <c r="A12" s="15">
        <v>7</v>
      </c>
      <c r="B12" s="16">
        <v>2961</v>
      </c>
      <c r="C12" s="17">
        <f t="shared" si="10"/>
        <v>2958</v>
      </c>
      <c r="D12" s="17">
        <f t="shared" si="11"/>
        <v>1500</v>
      </c>
      <c r="E12" s="16">
        <v>3232</v>
      </c>
      <c r="F12" s="17">
        <f t="shared" si="12"/>
        <v>3229</v>
      </c>
      <c r="G12" s="17">
        <f t="shared" si="0"/>
        <v>1500</v>
      </c>
      <c r="H12" s="16">
        <v>6854</v>
      </c>
      <c r="I12" s="17">
        <f t="shared" si="13"/>
        <v>6842</v>
      </c>
      <c r="J12" s="17">
        <f t="shared" si="1"/>
        <v>6000</v>
      </c>
      <c r="K12" s="16">
        <v>6832</v>
      </c>
      <c r="L12" s="17">
        <f t="shared" si="14"/>
        <v>6831</v>
      </c>
      <c r="M12" s="17">
        <f t="shared" si="2"/>
        <v>320</v>
      </c>
      <c r="N12" s="16">
        <v>6501</v>
      </c>
      <c r="O12" s="17">
        <f t="shared" si="15"/>
        <v>6493</v>
      </c>
      <c r="P12" s="17">
        <f t="shared" si="3"/>
        <v>4000</v>
      </c>
      <c r="Q12" s="17">
        <f t="shared" si="4"/>
        <v>13320</v>
      </c>
      <c r="R12" s="17">
        <v>16500</v>
      </c>
      <c r="S12" s="17">
        <f t="shared" si="5"/>
        <v>3180</v>
      </c>
      <c r="T12" s="16">
        <v>99445</v>
      </c>
      <c r="U12" s="17">
        <f t="shared" si="16"/>
        <v>99379</v>
      </c>
      <c r="V12" s="17">
        <f t="shared" si="6"/>
        <v>66</v>
      </c>
      <c r="W12" s="17">
        <v>90</v>
      </c>
      <c r="X12" s="17">
        <f t="shared" si="7"/>
        <v>24</v>
      </c>
      <c r="Y12" s="16">
        <v>3016859</v>
      </c>
      <c r="Z12" s="18">
        <f t="shared" si="17"/>
        <v>3016406</v>
      </c>
      <c r="AA12" s="18">
        <f t="shared" si="8"/>
        <v>453</v>
      </c>
      <c r="AB12" s="18">
        <v>500</v>
      </c>
      <c r="AC12" s="63">
        <f t="shared" si="9"/>
        <v>47</v>
      </c>
      <c r="AD12" s="65"/>
    </row>
    <row r="13" spans="1:30" ht="15" x14ac:dyDescent="0.25">
      <c r="A13" s="15">
        <v>8</v>
      </c>
      <c r="B13" s="16">
        <v>2964</v>
      </c>
      <c r="C13" s="17">
        <f t="shared" si="10"/>
        <v>2961</v>
      </c>
      <c r="D13" s="17">
        <f t="shared" si="11"/>
        <v>1500</v>
      </c>
      <c r="E13" s="16">
        <v>3235</v>
      </c>
      <c r="F13" s="17">
        <f t="shared" si="12"/>
        <v>3232</v>
      </c>
      <c r="G13" s="17">
        <f t="shared" si="0"/>
        <v>1500</v>
      </c>
      <c r="H13" s="16">
        <v>6865</v>
      </c>
      <c r="I13" s="17">
        <f t="shared" si="13"/>
        <v>6854</v>
      </c>
      <c r="J13" s="17">
        <f t="shared" si="1"/>
        <v>5500</v>
      </c>
      <c r="K13" s="16">
        <v>6842</v>
      </c>
      <c r="L13" s="17">
        <f t="shared" si="14"/>
        <v>6832</v>
      </c>
      <c r="M13" s="17">
        <f t="shared" si="2"/>
        <v>3200</v>
      </c>
      <c r="N13" s="16">
        <v>6508</v>
      </c>
      <c r="O13" s="17">
        <f t="shared" si="15"/>
        <v>6501</v>
      </c>
      <c r="P13" s="17">
        <f t="shared" si="3"/>
        <v>3500</v>
      </c>
      <c r="Q13" s="17">
        <f t="shared" si="4"/>
        <v>15200</v>
      </c>
      <c r="R13" s="17">
        <v>16500</v>
      </c>
      <c r="S13" s="17">
        <f t="shared" si="5"/>
        <v>1300</v>
      </c>
      <c r="T13" s="16">
        <v>99515</v>
      </c>
      <c r="U13" s="17">
        <f t="shared" si="16"/>
        <v>99445</v>
      </c>
      <c r="V13" s="17">
        <f t="shared" si="6"/>
        <v>70</v>
      </c>
      <c r="W13" s="17">
        <v>90</v>
      </c>
      <c r="X13" s="17">
        <f t="shared" si="7"/>
        <v>20</v>
      </c>
      <c r="Y13" s="16">
        <v>3017312</v>
      </c>
      <c r="Z13" s="18">
        <f t="shared" si="17"/>
        <v>3016859</v>
      </c>
      <c r="AA13" s="18">
        <f t="shared" si="8"/>
        <v>453</v>
      </c>
      <c r="AB13" s="18">
        <v>500</v>
      </c>
      <c r="AC13" s="63">
        <f t="shared" si="9"/>
        <v>47</v>
      </c>
      <c r="AD13" s="65"/>
    </row>
    <row r="14" spans="1:30" ht="15" x14ac:dyDescent="0.25">
      <c r="A14" s="15">
        <v>9</v>
      </c>
      <c r="B14" s="16">
        <v>2967</v>
      </c>
      <c r="C14" s="17">
        <f t="shared" si="10"/>
        <v>2964</v>
      </c>
      <c r="D14" s="17">
        <f t="shared" si="11"/>
        <v>1500</v>
      </c>
      <c r="E14" s="16">
        <v>3238</v>
      </c>
      <c r="F14" s="17">
        <f t="shared" si="12"/>
        <v>3235</v>
      </c>
      <c r="G14" s="17">
        <f t="shared" si="0"/>
        <v>1500</v>
      </c>
      <c r="H14" s="16">
        <v>6873</v>
      </c>
      <c r="I14" s="17">
        <f t="shared" si="13"/>
        <v>6865</v>
      </c>
      <c r="J14" s="17">
        <f t="shared" si="1"/>
        <v>4000</v>
      </c>
      <c r="K14" s="16">
        <v>6857</v>
      </c>
      <c r="L14" s="17">
        <f t="shared" si="14"/>
        <v>6842</v>
      </c>
      <c r="M14" s="17">
        <f t="shared" si="2"/>
        <v>4800</v>
      </c>
      <c r="N14" s="16">
        <v>6516</v>
      </c>
      <c r="O14" s="17">
        <f t="shared" si="15"/>
        <v>6508</v>
      </c>
      <c r="P14" s="17">
        <f t="shared" si="3"/>
        <v>4000</v>
      </c>
      <c r="Q14" s="17">
        <f t="shared" si="4"/>
        <v>15800</v>
      </c>
      <c r="R14" s="17">
        <v>16500</v>
      </c>
      <c r="S14" s="17">
        <f>R14-Q14</f>
        <v>700</v>
      </c>
      <c r="T14" s="16">
        <v>99587</v>
      </c>
      <c r="U14" s="17">
        <f t="shared" si="16"/>
        <v>99515</v>
      </c>
      <c r="V14" s="17">
        <f t="shared" si="6"/>
        <v>72</v>
      </c>
      <c r="W14" s="17">
        <v>90</v>
      </c>
      <c r="X14" s="17">
        <f t="shared" si="7"/>
        <v>18</v>
      </c>
      <c r="Y14" s="16">
        <v>3017768</v>
      </c>
      <c r="Z14" s="18">
        <f t="shared" si="17"/>
        <v>3017312</v>
      </c>
      <c r="AA14" s="18">
        <f t="shared" si="8"/>
        <v>456</v>
      </c>
      <c r="AB14" s="18">
        <v>500</v>
      </c>
      <c r="AC14" s="63">
        <f t="shared" si="9"/>
        <v>44</v>
      </c>
      <c r="AD14" s="65"/>
    </row>
    <row r="15" spans="1:30" ht="15" x14ac:dyDescent="0.25">
      <c r="A15" s="15">
        <v>10</v>
      </c>
      <c r="B15" s="16">
        <v>2970</v>
      </c>
      <c r="C15" s="17">
        <f t="shared" si="10"/>
        <v>2967</v>
      </c>
      <c r="D15" s="17">
        <f t="shared" si="11"/>
        <v>1500</v>
      </c>
      <c r="E15" s="16">
        <v>3241</v>
      </c>
      <c r="F15" s="17">
        <f t="shared" si="12"/>
        <v>3238</v>
      </c>
      <c r="G15" s="17">
        <f t="shared" si="0"/>
        <v>1500</v>
      </c>
      <c r="H15" s="16">
        <v>6885</v>
      </c>
      <c r="I15" s="17">
        <f t="shared" si="13"/>
        <v>6873</v>
      </c>
      <c r="J15" s="17">
        <f t="shared" si="1"/>
        <v>6000</v>
      </c>
      <c r="K15" s="16">
        <v>6864</v>
      </c>
      <c r="L15" s="17">
        <f t="shared" si="14"/>
        <v>6857</v>
      </c>
      <c r="M15" s="17">
        <f t="shared" si="2"/>
        <v>2240</v>
      </c>
      <c r="N15" s="16">
        <v>6523</v>
      </c>
      <c r="O15" s="17">
        <f t="shared" si="15"/>
        <v>6516</v>
      </c>
      <c r="P15" s="17">
        <f t="shared" si="3"/>
        <v>3500</v>
      </c>
      <c r="Q15" s="17">
        <f t="shared" si="4"/>
        <v>14740</v>
      </c>
      <c r="R15" s="17">
        <v>16500</v>
      </c>
      <c r="S15" s="17">
        <f t="shared" si="5"/>
        <v>1760</v>
      </c>
      <c r="T15" s="16">
        <v>99652</v>
      </c>
      <c r="U15" s="17">
        <f t="shared" si="16"/>
        <v>99587</v>
      </c>
      <c r="V15" s="17">
        <f t="shared" si="6"/>
        <v>65</v>
      </c>
      <c r="W15" s="17">
        <v>90</v>
      </c>
      <c r="X15" s="17">
        <f t="shared" si="7"/>
        <v>25</v>
      </c>
      <c r="Y15" s="16">
        <v>3018209</v>
      </c>
      <c r="Z15" s="18">
        <f t="shared" si="17"/>
        <v>3017768</v>
      </c>
      <c r="AA15" s="18">
        <f t="shared" si="8"/>
        <v>441</v>
      </c>
      <c r="AB15" s="18">
        <v>500</v>
      </c>
      <c r="AC15" s="63">
        <f t="shared" si="9"/>
        <v>59</v>
      </c>
      <c r="AD15" s="65"/>
    </row>
    <row r="16" spans="1:30" ht="15" x14ac:dyDescent="0.25">
      <c r="A16" s="15">
        <v>11</v>
      </c>
      <c r="B16" s="16">
        <v>2973</v>
      </c>
      <c r="C16" s="17">
        <f t="shared" si="10"/>
        <v>2970</v>
      </c>
      <c r="D16" s="17">
        <f t="shared" si="11"/>
        <v>1500</v>
      </c>
      <c r="E16" s="16">
        <v>3245</v>
      </c>
      <c r="F16" s="17">
        <f t="shared" si="12"/>
        <v>3241</v>
      </c>
      <c r="G16" s="17">
        <f t="shared" si="0"/>
        <v>2000</v>
      </c>
      <c r="H16" s="16">
        <v>6898</v>
      </c>
      <c r="I16" s="17">
        <f t="shared" si="13"/>
        <v>6885</v>
      </c>
      <c r="J16" s="17">
        <f t="shared" si="1"/>
        <v>6500</v>
      </c>
      <c r="K16" s="16">
        <v>6869</v>
      </c>
      <c r="L16" s="17">
        <f t="shared" si="14"/>
        <v>6864</v>
      </c>
      <c r="M16" s="17">
        <f t="shared" si="2"/>
        <v>1600</v>
      </c>
      <c r="N16" s="16">
        <v>6531</v>
      </c>
      <c r="O16" s="17">
        <f t="shared" si="15"/>
        <v>6523</v>
      </c>
      <c r="P16" s="17">
        <f t="shared" si="3"/>
        <v>4000</v>
      </c>
      <c r="Q16" s="17">
        <f t="shared" si="4"/>
        <v>15600</v>
      </c>
      <c r="R16" s="17">
        <v>16500</v>
      </c>
      <c r="S16" s="17">
        <f t="shared" si="5"/>
        <v>900</v>
      </c>
      <c r="T16" s="16">
        <v>99704</v>
      </c>
      <c r="U16" s="17">
        <f t="shared" si="16"/>
        <v>99652</v>
      </c>
      <c r="V16" s="17">
        <f t="shared" si="6"/>
        <v>52</v>
      </c>
      <c r="W16" s="17">
        <v>90</v>
      </c>
      <c r="X16" s="17">
        <f t="shared" si="7"/>
        <v>38</v>
      </c>
      <c r="Y16" s="16">
        <v>3018648</v>
      </c>
      <c r="Z16" s="18">
        <f t="shared" si="17"/>
        <v>3018209</v>
      </c>
      <c r="AA16" s="18">
        <f t="shared" si="8"/>
        <v>439</v>
      </c>
      <c r="AB16" s="18">
        <v>500</v>
      </c>
      <c r="AC16" s="63">
        <f t="shared" si="9"/>
        <v>61</v>
      </c>
      <c r="AD16" s="65"/>
    </row>
    <row r="17" spans="1:30" ht="15" x14ac:dyDescent="0.25">
      <c r="A17" s="15">
        <v>12</v>
      </c>
      <c r="B17" s="16">
        <v>2976</v>
      </c>
      <c r="C17" s="17">
        <f t="shared" si="10"/>
        <v>2973</v>
      </c>
      <c r="D17" s="17">
        <f t="shared" si="11"/>
        <v>1500</v>
      </c>
      <c r="E17" s="16">
        <v>3248</v>
      </c>
      <c r="F17" s="17">
        <v>3245</v>
      </c>
      <c r="G17" s="17">
        <f t="shared" si="0"/>
        <v>1500</v>
      </c>
      <c r="H17" s="16">
        <v>6913</v>
      </c>
      <c r="I17" s="17">
        <f t="shared" si="13"/>
        <v>6898</v>
      </c>
      <c r="J17" s="17">
        <f t="shared" si="1"/>
        <v>7500</v>
      </c>
      <c r="K17" s="16">
        <v>6871</v>
      </c>
      <c r="L17" s="17">
        <f t="shared" si="14"/>
        <v>6869</v>
      </c>
      <c r="M17" s="17">
        <f t="shared" si="2"/>
        <v>640</v>
      </c>
      <c r="N17" s="16">
        <v>6539</v>
      </c>
      <c r="O17" s="17">
        <f t="shared" si="15"/>
        <v>6531</v>
      </c>
      <c r="P17" s="17">
        <f t="shared" si="3"/>
        <v>4000</v>
      </c>
      <c r="Q17" s="17">
        <f t="shared" si="4"/>
        <v>15140</v>
      </c>
      <c r="R17" s="17">
        <v>16500</v>
      </c>
      <c r="S17" s="17">
        <f t="shared" si="5"/>
        <v>1360</v>
      </c>
      <c r="T17" s="16">
        <v>99778</v>
      </c>
      <c r="U17" s="17">
        <f t="shared" si="16"/>
        <v>99704</v>
      </c>
      <c r="V17" s="17">
        <f t="shared" si="6"/>
        <v>74</v>
      </c>
      <c r="W17" s="17">
        <v>90</v>
      </c>
      <c r="X17" s="17">
        <f t="shared" si="7"/>
        <v>16</v>
      </c>
      <c r="Y17" s="16">
        <v>3019057</v>
      </c>
      <c r="Z17" s="18">
        <f t="shared" si="17"/>
        <v>3018648</v>
      </c>
      <c r="AA17" s="18">
        <f t="shared" si="8"/>
        <v>409</v>
      </c>
      <c r="AB17" s="18">
        <v>500</v>
      </c>
      <c r="AC17" s="63">
        <f t="shared" si="9"/>
        <v>91</v>
      </c>
      <c r="AD17" s="65"/>
    </row>
    <row r="18" spans="1:30" ht="15" x14ac:dyDescent="0.25">
      <c r="A18" s="15">
        <v>13</v>
      </c>
      <c r="B18" s="16">
        <v>2979</v>
      </c>
      <c r="C18" s="17">
        <f t="shared" si="10"/>
        <v>2976</v>
      </c>
      <c r="D18" s="17">
        <f t="shared" si="11"/>
        <v>1500</v>
      </c>
      <c r="E18" s="16">
        <v>3251</v>
      </c>
      <c r="F18" s="17">
        <f t="shared" si="12"/>
        <v>3248</v>
      </c>
      <c r="G18" s="17">
        <f t="shared" si="0"/>
        <v>1500</v>
      </c>
      <c r="H18" s="16">
        <v>6925</v>
      </c>
      <c r="I18" s="17">
        <f t="shared" si="13"/>
        <v>6913</v>
      </c>
      <c r="J18" s="17">
        <f t="shared" si="1"/>
        <v>6000</v>
      </c>
      <c r="K18" s="16">
        <v>6880</v>
      </c>
      <c r="L18" s="17">
        <f t="shared" si="14"/>
        <v>6871</v>
      </c>
      <c r="M18" s="17">
        <f t="shared" si="2"/>
        <v>2880</v>
      </c>
      <c r="N18" s="16">
        <v>6546</v>
      </c>
      <c r="O18" s="17">
        <f t="shared" si="15"/>
        <v>6539</v>
      </c>
      <c r="P18" s="17">
        <f t="shared" si="3"/>
        <v>3500</v>
      </c>
      <c r="Q18" s="17">
        <f t="shared" si="4"/>
        <v>15380</v>
      </c>
      <c r="R18" s="17">
        <v>16500</v>
      </c>
      <c r="S18" s="17">
        <f t="shared" si="5"/>
        <v>1120</v>
      </c>
      <c r="T18" s="16">
        <v>99859</v>
      </c>
      <c r="U18" s="17">
        <f t="shared" si="16"/>
        <v>99778</v>
      </c>
      <c r="V18" s="17">
        <f t="shared" si="6"/>
        <v>81</v>
      </c>
      <c r="W18" s="17">
        <v>90</v>
      </c>
      <c r="X18" s="17">
        <f t="shared" si="7"/>
        <v>9</v>
      </c>
      <c r="Y18" s="16">
        <v>3019522</v>
      </c>
      <c r="Z18" s="18">
        <f t="shared" si="17"/>
        <v>3019057</v>
      </c>
      <c r="AA18" s="18">
        <f t="shared" si="8"/>
        <v>465</v>
      </c>
      <c r="AB18" s="18">
        <v>500</v>
      </c>
      <c r="AC18" s="63">
        <f t="shared" si="9"/>
        <v>35</v>
      </c>
      <c r="AD18" s="65"/>
    </row>
    <row r="19" spans="1:30" ht="15.75" thickBot="1" x14ac:dyDescent="0.3">
      <c r="A19" s="15">
        <v>14</v>
      </c>
      <c r="B19" s="16">
        <v>2982</v>
      </c>
      <c r="C19" s="17">
        <f t="shared" si="10"/>
        <v>2979</v>
      </c>
      <c r="D19" s="17">
        <f t="shared" si="11"/>
        <v>1500</v>
      </c>
      <c r="E19" s="16">
        <v>3254</v>
      </c>
      <c r="F19" s="17">
        <f t="shared" si="12"/>
        <v>3251</v>
      </c>
      <c r="G19" s="17">
        <f t="shared" si="0"/>
        <v>1500</v>
      </c>
      <c r="H19" s="16">
        <v>6939</v>
      </c>
      <c r="I19" s="17">
        <f t="shared" si="13"/>
        <v>6925</v>
      </c>
      <c r="J19" s="17">
        <f t="shared" si="1"/>
        <v>7000</v>
      </c>
      <c r="K19" s="16">
        <v>6887</v>
      </c>
      <c r="L19" s="17">
        <f t="shared" si="14"/>
        <v>6880</v>
      </c>
      <c r="M19" s="17">
        <f t="shared" si="2"/>
        <v>2240</v>
      </c>
      <c r="N19" s="16">
        <v>6554</v>
      </c>
      <c r="O19" s="17">
        <f t="shared" si="15"/>
        <v>6546</v>
      </c>
      <c r="P19" s="17">
        <f t="shared" si="3"/>
        <v>4000</v>
      </c>
      <c r="Q19" s="17">
        <f t="shared" si="4"/>
        <v>16240</v>
      </c>
      <c r="R19" s="17">
        <v>16500</v>
      </c>
      <c r="S19" s="17">
        <f t="shared" si="5"/>
        <v>260</v>
      </c>
      <c r="T19" s="16">
        <v>99940</v>
      </c>
      <c r="U19" s="17">
        <f t="shared" si="16"/>
        <v>99859</v>
      </c>
      <c r="V19" s="17">
        <f t="shared" si="6"/>
        <v>81</v>
      </c>
      <c r="W19" s="17">
        <v>90</v>
      </c>
      <c r="X19" s="17">
        <f t="shared" si="7"/>
        <v>9</v>
      </c>
      <c r="Y19" s="16">
        <v>3019991</v>
      </c>
      <c r="Z19" s="18">
        <f t="shared" si="17"/>
        <v>3019522</v>
      </c>
      <c r="AA19" s="18">
        <f t="shared" si="8"/>
        <v>469</v>
      </c>
      <c r="AB19" s="18">
        <v>500</v>
      </c>
      <c r="AC19" s="63">
        <f t="shared" si="9"/>
        <v>31</v>
      </c>
      <c r="AD19" s="68"/>
    </row>
    <row r="20" spans="1:30" ht="15" x14ac:dyDescent="0.25">
      <c r="A20" s="15">
        <v>15</v>
      </c>
      <c r="B20" s="16">
        <v>2985</v>
      </c>
      <c r="C20" s="17">
        <f t="shared" si="10"/>
        <v>2982</v>
      </c>
      <c r="D20" s="17">
        <f t="shared" si="11"/>
        <v>1500</v>
      </c>
      <c r="E20" s="16">
        <v>3258</v>
      </c>
      <c r="F20" s="17">
        <f t="shared" si="12"/>
        <v>3254</v>
      </c>
      <c r="G20" s="17">
        <f t="shared" si="0"/>
        <v>2000</v>
      </c>
      <c r="H20" s="16">
        <v>6951</v>
      </c>
      <c r="I20" s="17">
        <f t="shared" si="13"/>
        <v>6939</v>
      </c>
      <c r="J20" s="17">
        <f t="shared" si="1"/>
        <v>6000</v>
      </c>
      <c r="K20" s="16">
        <v>6898</v>
      </c>
      <c r="L20" s="17">
        <f>K19</f>
        <v>6887</v>
      </c>
      <c r="M20" s="17">
        <f t="shared" si="2"/>
        <v>3520</v>
      </c>
      <c r="N20" s="16">
        <v>6562</v>
      </c>
      <c r="O20" s="17">
        <f t="shared" si="15"/>
        <v>6554</v>
      </c>
      <c r="P20" s="17">
        <f t="shared" si="3"/>
        <v>4000</v>
      </c>
      <c r="Q20" s="17">
        <f t="shared" si="4"/>
        <v>17020</v>
      </c>
      <c r="R20" s="17">
        <v>16500</v>
      </c>
      <c r="S20" s="17">
        <f t="shared" si="5"/>
        <v>-520</v>
      </c>
      <c r="T20" s="16"/>
      <c r="U20" s="17"/>
      <c r="V20" s="17">
        <v>80</v>
      </c>
      <c r="W20" s="17">
        <v>90</v>
      </c>
      <c r="X20" s="17">
        <f t="shared" si="7"/>
        <v>10</v>
      </c>
      <c r="Y20" s="16">
        <v>3020477</v>
      </c>
      <c r="Z20" s="18">
        <f t="shared" si="17"/>
        <v>3019991</v>
      </c>
      <c r="AA20" s="18">
        <f t="shared" si="8"/>
        <v>486</v>
      </c>
      <c r="AB20" s="18">
        <v>500</v>
      </c>
      <c r="AC20" s="63">
        <f t="shared" si="9"/>
        <v>14</v>
      </c>
      <c r="AD20" s="70" t="s">
        <v>40</v>
      </c>
    </row>
    <row r="21" spans="1:30" ht="15" x14ac:dyDescent="0.25">
      <c r="A21" s="15">
        <v>16</v>
      </c>
      <c r="B21" s="16">
        <v>2988</v>
      </c>
      <c r="C21" s="17">
        <f t="shared" si="10"/>
        <v>2985</v>
      </c>
      <c r="D21" s="17">
        <f t="shared" si="11"/>
        <v>1500</v>
      </c>
      <c r="E21" s="16">
        <v>3261</v>
      </c>
      <c r="F21" s="17">
        <f t="shared" si="12"/>
        <v>3258</v>
      </c>
      <c r="G21" s="17">
        <f t="shared" si="0"/>
        <v>1500</v>
      </c>
      <c r="H21" s="16">
        <v>6952</v>
      </c>
      <c r="I21" s="17">
        <f t="shared" si="13"/>
        <v>6951</v>
      </c>
      <c r="J21" s="17">
        <f t="shared" si="1"/>
        <v>500</v>
      </c>
      <c r="K21" s="16">
        <v>6922</v>
      </c>
      <c r="L21" s="17">
        <f t="shared" si="14"/>
        <v>6898</v>
      </c>
      <c r="M21" s="17">
        <f t="shared" si="2"/>
        <v>7680</v>
      </c>
      <c r="N21" s="16">
        <v>6570</v>
      </c>
      <c r="O21" s="17">
        <f t="shared" si="15"/>
        <v>6562</v>
      </c>
      <c r="P21" s="17">
        <f t="shared" si="3"/>
        <v>4000</v>
      </c>
      <c r="Q21" s="17">
        <f t="shared" si="4"/>
        <v>15180</v>
      </c>
      <c r="R21" s="17">
        <v>16500</v>
      </c>
      <c r="S21" s="17">
        <f t="shared" si="5"/>
        <v>1320</v>
      </c>
      <c r="T21" s="16"/>
      <c r="U21" s="17">
        <f t="shared" si="16"/>
        <v>0</v>
      </c>
      <c r="V21" s="17">
        <v>82</v>
      </c>
      <c r="W21" s="17">
        <v>90</v>
      </c>
      <c r="X21" s="17">
        <f t="shared" si="7"/>
        <v>8</v>
      </c>
      <c r="Y21" s="16">
        <v>3020959</v>
      </c>
      <c r="Z21" s="18">
        <f t="shared" si="17"/>
        <v>3020477</v>
      </c>
      <c r="AA21" s="18">
        <f t="shared" si="8"/>
        <v>482</v>
      </c>
      <c r="AB21" s="18">
        <v>500</v>
      </c>
      <c r="AC21" s="63">
        <f t="shared" si="9"/>
        <v>18</v>
      </c>
      <c r="AD21" s="71"/>
    </row>
    <row r="22" spans="1:30" ht="15" x14ac:dyDescent="0.25">
      <c r="A22" s="15">
        <v>17</v>
      </c>
      <c r="B22" s="16">
        <v>2991</v>
      </c>
      <c r="C22" s="17">
        <f t="shared" si="10"/>
        <v>2988</v>
      </c>
      <c r="D22" s="17">
        <f t="shared" si="11"/>
        <v>1500</v>
      </c>
      <c r="E22" s="16">
        <v>3264</v>
      </c>
      <c r="F22" s="17">
        <f t="shared" si="12"/>
        <v>3261</v>
      </c>
      <c r="G22" s="17">
        <f t="shared" si="0"/>
        <v>1500</v>
      </c>
      <c r="H22" s="16">
        <v>6960</v>
      </c>
      <c r="I22" s="17">
        <f t="shared" si="13"/>
        <v>6952</v>
      </c>
      <c r="J22" s="17">
        <f t="shared" si="1"/>
        <v>4000</v>
      </c>
      <c r="K22" s="16">
        <v>6940</v>
      </c>
      <c r="L22" s="17">
        <f t="shared" si="14"/>
        <v>6922</v>
      </c>
      <c r="M22" s="17">
        <f t="shared" si="2"/>
        <v>5760</v>
      </c>
      <c r="N22" s="16">
        <v>6577</v>
      </c>
      <c r="O22" s="17">
        <f t="shared" si="15"/>
        <v>6570</v>
      </c>
      <c r="P22" s="17">
        <f t="shared" si="3"/>
        <v>3500</v>
      </c>
      <c r="Q22" s="17">
        <f t="shared" si="4"/>
        <v>16260</v>
      </c>
      <c r="R22" s="17">
        <v>16500</v>
      </c>
      <c r="S22" s="17">
        <f t="shared" si="5"/>
        <v>240</v>
      </c>
      <c r="T22" s="16"/>
      <c r="U22" s="17">
        <f t="shared" si="16"/>
        <v>0</v>
      </c>
      <c r="V22" s="17">
        <v>85</v>
      </c>
      <c r="W22" s="17">
        <v>90</v>
      </c>
      <c r="X22" s="17">
        <f t="shared" si="7"/>
        <v>5</v>
      </c>
      <c r="Y22" s="16">
        <v>3021432</v>
      </c>
      <c r="Z22" s="18">
        <f t="shared" si="17"/>
        <v>3020959</v>
      </c>
      <c r="AA22" s="18">
        <f t="shared" si="8"/>
        <v>473</v>
      </c>
      <c r="AB22" s="18">
        <v>500</v>
      </c>
      <c r="AC22" s="63">
        <f t="shared" si="9"/>
        <v>27</v>
      </c>
      <c r="AD22" s="71"/>
    </row>
    <row r="23" spans="1:30" ht="15" x14ac:dyDescent="0.25">
      <c r="A23" s="15">
        <v>18</v>
      </c>
      <c r="B23" s="16">
        <v>2994</v>
      </c>
      <c r="C23" s="17">
        <f t="shared" si="10"/>
        <v>2991</v>
      </c>
      <c r="D23" s="17">
        <f>(B23-C23)*500</f>
        <v>1500</v>
      </c>
      <c r="E23" s="16">
        <v>3267</v>
      </c>
      <c r="F23" s="17">
        <f t="shared" si="12"/>
        <v>3264</v>
      </c>
      <c r="G23" s="17">
        <f t="shared" si="0"/>
        <v>1500</v>
      </c>
      <c r="H23" s="16">
        <v>6976</v>
      </c>
      <c r="I23" s="17">
        <f t="shared" si="13"/>
        <v>6960</v>
      </c>
      <c r="J23" s="17">
        <f t="shared" si="1"/>
        <v>8000</v>
      </c>
      <c r="K23" s="16">
        <v>6946</v>
      </c>
      <c r="L23" s="17">
        <f t="shared" si="14"/>
        <v>6940</v>
      </c>
      <c r="M23" s="17">
        <f>(K23-L23)*320</f>
        <v>1920</v>
      </c>
      <c r="N23" s="16">
        <v>6585</v>
      </c>
      <c r="O23" s="17">
        <f t="shared" si="15"/>
        <v>6577</v>
      </c>
      <c r="P23" s="17">
        <f t="shared" si="3"/>
        <v>4000</v>
      </c>
      <c r="Q23" s="17">
        <f t="shared" si="4"/>
        <v>16920</v>
      </c>
      <c r="R23" s="17">
        <v>16500</v>
      </c>
      <c r="S23" s="17">
        <f t="shared" si="5"/>
        <v>-420</v>
      </c>
      <c r="T23" s="16"/>
      <c r="U23" s="17">
        <f t="shared" si="16"/>
        <v>0</v>
      </c>
      <c r="V23" s="17">
        <v>85</v>
      </c>
      <c r="W23" s="17">
        <v>90</v>
      </c>
      <c r="X23" s="17">
        <f t="shared" si="7"/>
        <v>5</v>
      </c>
      <c r="Y23" s="16">
        <v>3021908</v>
      </c>
      <c r="Z23" s="18">
        <f t="shared" si="17"/>
        <v>3021432</v>
      </c>
      <c r="AA23" s="18">
        <f t="shared" si="8"/>
        <v>476</v>
      </c>
      <c r="AB23" s="18">
        <v>500</v>
      </c>
      <c r="AC23" s="63">
        <f t="shared" si="9"/>
        <v>24</v>
      </c>
      <c r="AD23" s="71"/>
    </row>
    <row r="24" spans="1:30" ht="15" x14ac:dyDescent="0.25">
      <c r="A24" s="15">
        <v>19</v>
      </c>
      <c r="B24" s="16">
        <v>2997</v>
      </c>
      <c r="C24" s="17">
        <f t="shared" si="10"/>
        <v>2994</v>
      </c>
      <c r="D24" s="17">
        <f t="shared" si="11"/>
        <v>1500</v>
      </c>
      <c r="E24" s="16">
        <v>3271</v>
      </c>
      <c r="F24" s="17">
        <f t="shared" si="12"/>
        <v>3267</v>
      </c>
      <c r="G24" s="17">
        <f t="shared" si="0"/>
        <v>2000</v>
      </c>
      <c r="H24" s="16">
        <v>6991</v>
      </c>
      <c r="I24" s="17">
        <f t="shared" si="13"/>
        <v>6976</v>
      </c>
      <c r="J24" s="17">
        <f t="shared" si="1"/>
        <v>7500</v>
      </c>
      <c r="K24" s="16">
        <v>6953</v>
      </c>
      <c r="L24" s="17">
        <f t="shared" si="14"/>
        <v>6946</v>
      </c>
      <c r="M24" s="17">
        <f t="shared" si="2"/>
        <v>2240</v>
      </c>
      <c r="N24" s="16">
        <v>6593</v>
      </c>
      <c r="O24" s="17">
        <f t="shared" si="15"/>
        <v>6585</v>
      </c>
      <c r="P24" s="17">
        <f t="shared" si="3"/>
        <v>4000</v>
      </c>
      <c r="Q24" s="17">
        <f t="shared" si="4"/>
        <v>17240</v>
      </c>
      <c r="R24" s="17">
        <v>16500</v>
      </c>
      <c r="S24" s="17">
        <f t="shared" si="5"/>
        <v>-740</v>
      </c>
      <c r="T24" s="16"/>
      <c r="U24" s="17">
        <f t="shared" si="16"/>
        <v>0</v>
      </c>
      <c r="V24" s="17">
        <v>80</v>
      </c>
      <c r="W24" s="17">
        <v>90</v>
      </c>
      <c r="X24" s="17">
        <f t="shared" si="7"/>
        <v>10</v>
      </c>
      <c r="Y24" s="16">
        <v>3022385</v>
      </c>
      <c r="Z24" s="18">
        <f t="shared" si="17"/>
        <v>3021908</v>
      </c>
      <c r="AA24" s="18">
        <f t="shared" si="8"/>
        <v>477</v>
      </c>
      <c r="AB24" s="18">
        <v>500</v>
      </c>
      <c r="AC24" s="63">
        <f t="shared" si="9"/>
        <v>23</v>
      </c>
      <c r="AD24" s="71"/>
    </row>
    <row r="25" spans="1:30" ht="15.75" thickBot="1" x14ac:dyDescent="0.3">
      <c r="A25" s="22">
        <v>20</v>
      </c>
      <c r="B25" s="16">
        <v>3000</v>
      </c>
      <c r="C25" s="17">
        <f t="shared" si="10"/>
        <v>2997</v>
      </c>
      <c r="D25" s="17">
        <f t="shared" si="11"/>
        <v>1500</v>
      </c>
      <c r="E25" s="16">
        <v>3274</v>
      </c>
      <c r="F25" s="17">
        <f t="shared" si="12"/>
        <v>3271</v>
      </c>
      <c r="G25" s="17">
        <f t="shared" si="0"/>
        <v>1500</v>
      </c>
      <c r="H25" s="16">
        <v>7007</v>
      </c>
      <c r="I25" s="17">
        <f t="shared" si="13"/>
        <v>6991</v>
      </c>
      <c r="J25" s="17">
        <f t="shared" si="1"/>
        <v>8000</v>
      </c>
      <c r="K25" s="16">
        <v>6960</v>
      </c>
      <c r="L25" s="17">
        <f t="shared" si="14"/>
        <v>6953</v>
      </c>
      <c r="M25" s="17">
        <f t="shared" si="2"/>
        <v>2240</v>
      </c>
      <c r="N25" s="16">
        <v>6601</v>
      </c>
      <c r="O25" s="17">
        <f t="shared" si="15"/>
        <v>6593</v>
      </c>
      <c r="P25" s="17">
        <f t="shared" si="3"/>
        <v>4000</v>
      </c>
      <c r="Q25" s="17">
        <f t="shared" si="4"/>
        <v>17240</v>
      </c>
      <c r="R25" s="17">
        <v>16500</v>
      </c>
      <c r="S25" s="17">
        <f t="shared" si="5"/>
        <v>-740</v>
      </c>
      <c r="T25" s="16"/>
      <c r="U25" s="17">
        <f t="shared" si="16"/>
        <v>0</v>
      </c>
      <c r="V25" s="17">
        <v>83</v>
      </c>
      <c r="W25" s="17">
        <v>90</v>
      </c>
      <c r="X25" s="17">
        <f t="shared" si="7"/>
        <v>7</v>
      </c>
      <c r="Y25" s="16">
        <v>3022871</v>
      </c>
      <c r="Z25" s="18">
        <f t="shared" si="17"/>
        <v>3022385</v>
      </c>
      <c r="AA25" s="18">
        <f t="shared" si="8"/>
        <v>486</v>
      </c>
      <c r="AB25" s="18">
        <v>500</v>
      </c>
      <c r="AC25" s="63">
        <f t="shared" si="9"/>
        <v>14</v>
      </c>
      <c r="AD25" s="72"/>
    </row>
    <row r="26" spans="1:30" ht="15" x14ac:dyDescent="0.25">
      <c r="A26" s="15">
        <v>21</v>
      </c>
      <c r="B26" s="16">
        <v>3003</v>
      </c>
      <c r="C26" s="17">
        <f t="shared" si="10"/>
        <v>3000</v>
      </c>
      <c r="D26" s="17">
        <f t="shared" si="11"/>
        <v>1500</v>
      </c>
      <c r="E26" s="16">
        <v>3277</v>
      </c>
      <c r="F26" s="17">
        <f t="shared" si="12"/>
        <v>3274</v>
      </c>
      <c r="G26" s="17">
        <f t="shared" si="0"/>
        <v>1500</v>
      </c>
      <c r="H26" s="16">
        <v>7023</v>
      </c>
      <c r="I26" s="17">
        <f t="shared" si="13"/>
        <v>7007</v>
      </c>
      <c r="J26" s="17">
        <f t="shared" si="1"/>
        <v>8000</v>
      </c>
      <c r="K26" s="16">
        <v>6968</v>
      </c>
      <c r="L26" s="17">
        <f t="shared" si="14"/>
        <v>6960</v>
      </c>
      <c r="M26" s="17">
        <f t="shared" si="2"/>
        <v>2560</v>
      </c>
      <c r="N26" s="16">
        <v>6608</v>
      </c>
      <c r="O26" s="17">
        <f t="shared" si="15"/>
        <v>6601</v>
      </c>
      <c r="P26" s="17">
        <f t="shared" si="3"/>
        <v>3500</v>
      </c>
      <c r="Q26" s="17">
        <f t="shared" si="4"/>
        <v>17060</v>
      </c>
      <c r="R26" s="17">
        <v>16500</v>
      </c>
      <c r="S26" s="17">
        <f t="shared" si="5"/>
        <v>-560</v>
      </c>
      <c r="T26" s="16"/>
      <c r="U26" s="17">
        <f t="shared" si="16"/>
        <v>0</v>
      </c>
      <c r="V26" s="17">
        <v>90</v>
      </c>
      <c r="W26" s="17">
        <v>90</v>
      </c>
      <c r="X26" s="17">
        <f t="shared" si="7"/>
        <v>0</v>
      </c>
      <c r="Y26" s="16">
        <v>3023346</v>
      </c>
      <c r="Z26" s="18">
        <f t="shared" si="17"/>
        <v>3022871</v>
      </c>
      <c r="AA26" s="18">
        <f t="shared" si="8"/>
        <v>475</v>
      </c>
      <c r="AB26" s="18">
        <v>500</v>
      </c>
      <c r="AC26" s="63">
        <f t="shared" si="9"/>
        <v>25</v>
      </c>
      <c r="AD26" s="69" t="s">
        <v>39</v>
      </c>
    </row>
    <row r="27" spans="1:30" ht="15" x14ac:dyDescent="0.25">
      <c r="A27" s="15">
        <v>22</v>
      </c>
      <c r="B27" s="16">
        <v>3006</v>
      </c>
      <c r="C27" s="17">
        <f t="shared" si="10"/>
        <v>3003</v>
      </c>
      <c r="D27" s="17">
        <f t="shared" si="11"/>
        <v>1500</v>
      </c>
      <c r="E27" s="16">
        <v>3280</v>
      </c>
      <c r="F27" s="17">
        <f t="shared" si="12"/>
        <v>3277</v>
      </c>
      <c r="G27" s="17">
        <f t="shared" si="0"/>
        <v>1500</v>
      </c>
      <c r="H27" s="16">
        <v>7039</v>
      </c>
      <c r="I27" s="17">
        <f t="shared" si="13"/>
        <v>7023</v>
      </c>
      <c r="J27" s="17">
        <f t="shared" si="1"/>
        <v>8000</v>
      </c>
      <c r="K27" s="16">
        <v>6974</v>
      </c>
      <c r="L27" s="17">
        <f t="shared" si="14"/>
        <v>6968</v>
      </c>
      <c r="M27" s="17">
        <f t="shared" si="2"/>
        <v>1920</v>
      </c>
      <c r="N27" s="16">
        <v>6616</v>
      </c>
      <c r="O27" s="17">
        <f t="shared" si="15"/>
        <v>6608</v>
      </c>
      <c r="P27" s="17">
        <f t="shared" si="3"/>
        <v>4000</v>
      </c>
      <c r="Q27" s="17">
        <f t="shared" si="4"/>
        <v>16920</v>
      </c>
      <c r="R27" s="17">
        <v>16500</v>
      </c>
      <c r="S27" s="17">
        <f t="shared" si="5"/>
        <v>-420</v>
      </c>
      <c r="T27" s="16">
        <v>56</v>
      </c>
      <c r="U27" s="17">
        <f t="shared" si="16"/>
        <v>0</v>
      </c>
      <c r="V27" s="17">
        <f t="shared" si="6"/>
        <v>56</v>
      </c>
      <c r="W27" s="17">
        <v>90</v>
      </c>
      <c r="X27" s="17">
        <f t="shared" si="7"/>
        <v>34</v>
      </c>
      <c r="Y27" s="16">
        <v>3023824</v>
      </c>
      <c r="Z27" s="18">
        <f t="shared" si="17"/>
        <v>3023346</v>
      </c>
      <c r="AA27" s="18">
        <f t="shared" si="8"/>
        <v>478</v>
      </c>
      <c r="AB27" s="18">
        <v>500</v>
      </c>
      <c r="AC27" s="63">
        <f t="shared" si="9"/>
        <v>22</v>
      </c>
      <c r="AD27" s="66"/>
    </row>
    <row r="28" spans="1:30" ht="15" x14ac:dyDescent="0.25">
      <c r="A28" s="15">
        <v>23</v>
      </c>
      <c r="B28" s="16">
        <v>3009</v>
      </c>
      <c r="C28" s="17">
        <f t="shared" si="10"/>
        <v>3006</v>
      </c>
      <c r="D28" s="17">
        <f t="shared" si="11"/>
        <v>1500</v>
      </c>
      <c r="E28" s="16">
        <v>3284</v>
      </c>
      <c r="F28" s="17">
        <f t="shared" si="12"/>
        <v>3280</v>
      </c>
      <c r="G28" s="17">
        <f t="shared" si="0"/>
        <v>2000</v>
      </c>
      <c r="H28" s="16">
        <v>7053</v>
      </c>
      <c r="I28" s="17">
        <f t="shared" si="13"/>
        <v>7039</v>
      </c>
      <c r="J28" s="17">
        <f t="shared" si="1"/>
        <v>7000</v>
      </c>
      <c r="K28" s="16">
        <v>6981</v>
      </c>
      <c r="L28" s="17">
        <f t="shared" si="14"/>
        <v>6974</v>
      </c>
      <c r="M28" s="17">
        <f t="shared" si="2"/>
        <v>2240</v>
      </c>
      <c r="N28" s="16">
        <v>6623</v>
      </c>
      <c r="O28" s="17">
        <f t="shared" si="15"/>
        <v>6616</v>
      </c>
      <c r="P28" s="17">
        <f t="shared" si="3"/>
        <v>3500</v>
      </c>
      <c r="Q28" s="17">
        <f t="shared" si="4"/>
        <v>16240</v>
      </c>
      <c r="R28" s="17">
        <v>16500</v>
      </c>
      <c r="S28" s="17">
        <f t="shared" si="5"/>
        <v>260</v>
      </c>
      <c r="T28" s="16">
        <v>138</v>
      </c>
      <c r="U28" s="17">
        <f t="shared" si="16"/>
        <v>56</v>
      </c>
      <c r="V28" s="17">
        <f t="shared" si="6"/>
        <v>82</v>
      </c>
      <c r="W28" s="17">
        <v>90</v>
      </c>
      <c r="X28" s="17">
        <f t="shared" si="7"/>
        <v>8</v>
      </c>
      <c r="Y28" s="16">
        <v>3024310</v>
      </c>
      <c r="Z28" s="18">
        <f t="shared" si="17"/>
        <v>3023824</v>
      </c>
      <c r="AA28" s="18">
        <f t="shared" si="8"/>
        <v>486</v>
      </c>
      <c r="AB28" s="18">
        <v>500</v>
      </c>
      <c r="AC28" s="63">
        <f t="shared" si="9"/>
        <v>14</v>
      </c>
      <c r="AD28" s="66"/>
    </row>
    <row r="29" spans="1:30" ht="15" x14ac:dyDescent="0.25">
      <c r="A29" s="15">
        <v>24</v>
      </c>
      <c r="B29" s="16">
        <v>3012</v>
      </c>
      <c r="C29" s="17">
        <f t="shared" si="10"/>
        <v>3009</v>
      </c>
      <c r="D29" s="17">
        <f t="shared" si="11"/>
        <v>1500</v>
      </c>
      <c r="E29" s="16">
        <v>3287</v>
      </c>
      <c r="F29" s="17">
        <f t="shared" si="12"/>
        <v>3284</v>
      </c>
      <c r="G29" s="17">
        <f t="shared" si="0"/>
        <v>1500</v>
      </c>
      <c r="H29" s="16">
        <v>7070</v>
      </c>
      <c r="I29" s="17">
        <f t="shared" si="13"/>
        <v>7053</v>
      </c>
      <c r="J29" s="17">
        <f t="shared" si="1"/>
        <v>8500</v>
      </c>
      <c r="K29" s="16">
        <v>6983</v>
      </c>
      <c r="L29" s="17">
        <f t="shared" si="14"/>
        <v>6981</v>
      </c>
      <c r="M29" s="17">
        <f t="shared" si="2"/>
        <v>640</v>
      </c>
      <c r="N29" s="16">
        <v>6631</v>
      </c>
      <c r="O29" s="17">
        <f t="shared" si="15"/>
        <v>6623</v>
      </c>
      <c r="P29" s="17">
        <f t="shared" si="3"/>
        <v>4000</v>
      </c>
      <c r="Q29" s="17">
        <f t="shared" si="4"/>
        <v>16140</v>
      </c>
      <c r="R29" s="17">
        <v>16500</v>
      </c>
      <c r="S29" s="17">
        <f t="shared" si="5"/>
        <v>360</v>
      </c>
      <c r="T29" s="16">
        <v>217</v>
      </c>
      <c r="U29" s="17">
        <f t="shared" si="16"/>
        <v>138</v>
      </c>
      <c r="V29" s="17">
        <f t="shared" si="6"/>
        <v>79</v>
      </c>
      <c r="W29" s="17">
        <v>90</v>
      </c>
      <c r="X29" s="17">
        <f t="shared" si="7"/>
        <v>11</v>
      </c>
      <c r="Y29" s="16">
        <v>3024787</v>
      </c>
      <c r="Z29" s="18">
        <f t="shared" si="17"/>
        <v>3024310</v>
      </c>
      <c r="AA29" s="18">
        <f t="shared" si="8"/>
        <v>477</v>
      </c>
      <c r="AB29" s="18">
        <v>500</v>
      </c>
      <c r="AC29" s="63">
        <f t="shared" si="9"/>
        <v>23</v>
      </c>
      <c r="AD29" s="66"/>
    </row>
    <row r="30" spans="1:30" ht="15" x14ac:dyDescent="0.25">
      <c r="A30" s="15">
        <v>25</v>
      </c>
      <c r="B30" s="16">
        <v>3015</v>
      </c>
      <c r="C30" s="17">
        <f t="shared" si="10"/>
        <v>3012</v>
      </c>
      <c r="D30" s="17">
        <f t="shared" si="11"/>
        <v>1500</v>
      </c>
      <c r="E30" s="16">
        <v>3290</v>
      </c>
      <c r="F30" s="17">
        <f t="shared" si="12"/>
        <v>3287</v>
      </c>
      <c r="G30" s="17">
        <f t="shared" si="0"/>
        <v>1500</v>
      </c>
      <c r="H30" s="16">
        <v>7083</v>
      </c>
      <c r="I30" s="17">
        <f t="shared" si="13"/>
        <v>7070</v>
      </c>
      <c r="J30" s="17">
        <f t="shared" si="1"/>
        <v>6500</v>
      </c>
      <c r="K30" s="16">
        <v>6988</v>
      </c>
      <c r="L30" s="17">
        <f t="shared" si="14"/>
        <v>6983</v>
      </c>
      <c r="M30" s="17">
        <f t="shared" si="2"/>
        <v>1600</v>
      </c>
      <c r="N30" s="16">
        <v>6638</v>
      </c>
      <c r="O30" s="17">
        <f t="shared" si="15"/>
        <v>6631</v>
      </c>
      <c r="P30" s="17">
        <f t="shared" si="3"/>
        <v>3500</v>
      </c>
      <c r="Q30" s="17">
        <f t="shared" si="4"/>
        <v>14600</v>
      </c>
      <c r="R30" s="17">
        <v>16500</v>
      </c>
      <c r="S30" s="17">
        <f t="shared" si="5"/>
        <v>1900</v>
      </c>
      <c r="T30" s="16">
        <v>288</v>
      </c>
      <c r="U30" s="17">
        <f t="shared" si="16"/>
        <v>217</v>
      </c>
      <c r="V30" s="17">
        <f t="shared" si="6"/>
        <v>71</v>
      </c>
      <c r="W30" s="17">
        <v>90</v>
      </c>
      <c r="X30" s="17">
        <f t="shared" si="7"/>
        <v>19</v>
      </c>
      <c r="Y30" s="16">
        <v>3025264</v>
      </c>
      <c r="Z30" s="18">
        <f t="shared" si="17"/>
        <v>3024787</v>
      </c>
      <c r="AA30" s="18">
        <f t="shared" si="8"/>
        <v>477</v>
      </c>
      <c r="AB30" s="18">
        <v>500</v>
      </c>
      <c r="AC30" s="63">
        <f t="shared" si="9"/>
        <v>23</v>
      </c>
      <c r="AD30" s="66"/>
    </row>
    <row r="31" spans="1:30" ht="15" x14ac:dyDescent="0.25">
      <c r="A31" s="15">
        <v>26</v>
      </c>
      <c r="B31" s="16">
        <v>3018</v>
      </c>
      <c r="C31" s="17">
        <f t="shared" si="10"/>
        <v>3015</v>
      </c>
      <c r="D31" s="17">
        <f t="shared" si="11"/>
        <v>1500</v>
      </c>
      <c r="E31" s="16">
        <v>3293</v>
      </c>
      <c r="F31" s="17">
        <f t="shared" si="12"/>
        <v>3290</v>
      </c>
      <c r="G31" s="17">
        <f t="shared" si="0"/>
        <v>1500</v>
      </c>
      <c r="H31" s="16">
        <v>7091</v>
      </c>
      <c r="I31" s="17">
        <f t="shared" si="13"/>
        <v>7083</v>
      </c>
      <c r="J31" s="17">
        <f t="shared" si="1"/>
        <v>4000</v>
      </c>
      <c r="K31" s="16">
        <v>7001</v>
      </c>
      <c r="L31" s="17">
        <f t="shared" si="14"/>
        <v>6988</v>
      </c>
      <c r="M31" s="17">
        <f t="shared" si="2"/>
        <v>4160</v>
      </c>
      <c r="N31" s="16">
        <v>6646</v>
      </c>
      <c r="O31" s="17">
        <f t="shared" si="15"/>
        <v>6638</v>
      </c>
      <c r="P31" s="17">
        <f t="shared" si="3"/>
        <v>4000</v>
      </c>
      <c r="Q31" s="17">
        <f t="shared" si="4"/>
        <v>15160</v>
      </c>
      <c r="R31" s="17">
        <v>16500</v>
      </c>
      <c r="S31" s="17">
        <f t="shared" si="5"/>
        <v>1340</v>
      </c>
      <c r="T31" s="16">
        <v>365</v>
      </c>
      <c r="U31" s="17">
        <f t="shared" si="16"/>
        <v>288</v>
      </c>
      <c r="V31" s="17">
        <f t="shared" si="6"/>
        <v>77</v>
      </c>
      <c r="W31" s="17">
        <v>90</v>
      </c>
      <c r="X31" s="17">
        <f t="shared" si="7"/>
        <v>13</v>
      </c>
      <c r="Y31" s="16">
        <v>3025737</v>
      </c>
      <c r="Z31" s="18">
        <f t="shared" si="17"/>
        <v>3025264</v>
      </c>
      <c r="AA31" s="18">
        <f t="shared" si="8"/>
        <v>473</v>
      </c>
      <c r="AB31" s="18">
        <v>500</v>
      </c>
      <c r="AC31" s="63">
        <f t="shared" si="9"/>
        <v>27</v>
      </c>
      <c r="AD31" s="66"/>
    </row>
    <row r="32" spans="1:30" ht="15" x14ac:dyDescent="0.25">
      <c r="A32" s="15">
        <v>27</v>
      </c>
      <c r="B32" s="16">
        <v>3021</v>
      </c>
      <c r="C32" s="17">
        <f t="shared" si="10"/>
        <v>3018</v>
      </c>
      <c r="D32" s="17">
        <f t="shared" si="11"/>
        <v>1500</v>
      </c>
      <c r="E32" s="16">
        <v>3296</v>
      </c>
      <c r="F32" s="17">
        <f t="shared" si="12"/>
        <v>3293</v>
      </c>
      <c r="G32" s="17">
        <f t="shared" si="0"/>
        <v>1500</v>
      </c>
      <c r="H32" s="16">
        <v>7100</v>
      </c>
      <c r="I32" s="17">
        <f t="shared" si="13"/>
        <v>7091</v>
      </c>
      <c r="J32" s="17">
        <f t="shared" si="1"/>
        <v>4500</v>
      </c>
      <c r="K32" s="16">
        <v>7019</v>
      </c>
      <c r="L32" s="17">
        <f t="shared" si="14"/>
        <v>7001</v>
      </c>
      <c r="M32" s="17">
        <f t="shared" si="2"/>
        <v>5760</v>
      </c>
      <c r="N32" s="16">
        <v>6654</v>
      </c>
      <c r="O32" s="17">
        <f t="shared" si="15"/>
        <v>6646</v>
      </c>
      <c r="P32" s="17">
        <f t="shared" si="3"/>
        <v>4000</v>
      </c>
      <c r="Q32" s="17">
        <f t="shared" si="4"/>
        <v>17260</v>
      </c>
      <c r="R32" s="17">
        <v>16500</v>
      </c>
      <c r="S32" s="17">
        <f t="shared" si="5"/>
        <v>-760</v>
      </c>
      <c r="T32" s="16">
        <v>437</v>
      </c>
      <c r="U32" s="17">
        <f t="shared" si="16"/>
        <v>365</v>
      </c>
      <c r="V32" s="17">
        <f t="shared" si="6"/>
        <v>72</v>
      </c>
      <c r="W32" s="17">
        <v>90</v>
      </c>
      <c r="X32" s="17">
        <f t="shared" si="7"/>
        <v>18</v>
      </c>
      <c r="Y32" s="16">
        <v>3026223</v>
      </c>
      <c r="Z32" s="18">
        <f t="shared" si="17"/>
        <v>3025737</v>
      </c>
      <c r="AA32" s="18">
        <f t="shared" si="8"/>
        <v>486</v>
      </c>
      <c r="AB32" s="18">
        <v>500</v>
      </c>
      <c r="AC32" s="63">
        <f t="shared" si="9"/>
        <v>14</v>
      </c>
      <c r="AD32" s="66"/>
    </row>
    <row r="33" spans="1:30" ht="15" x14ac:dyDescent="0.25">
      <c r="A33" s="15">
        <v>28</v>
      </c>
      <c r="B33" s="16">
        <v>3024</v>
      </c>
      <c r="C33" s="17">
        <f t="shared" si="10"/>
        <v>3021</v>
      </c>
      <c r="D33" s="17">
        <f t="shared" si="11"/>
        <v>1500</v>
      </c>
      <c r="E33" s="16">
        <v>3299</v>
      </c>
      <c r="F33" s="17">
        <f t="shared" si="12"/>
        <v>3296</v>
      </c>
      <c r="G33" s="17">
        <f t="shared" si="0"/>
        <v>1500</v>
      </c>
      <c r="H33" s="16">
        <v>7113</v>
      </c>
      <c r="I33" s="17">
        <f t="shared" si="13"/>
        <v>7100</v>
      </c>
      <c r="J33" s="17">
        <f t="shared" si="1"/>
        <v>6500</v>
      </c>
      <c r="K33" s="16">
        <v>7028</v>
      </c>
      <c r="L33" s="17">
        <f t="shared" si="14"/>
        <v>7019</v>
      </c>
      <c r="M33" s="17">
        <f t="shared" si="2"/>
        <v>2880</v>
      </c>
      <c r="N33" s="16">
        <v>6661</v>
      </c>
      <c r="O33" s="17">
        <f t="shared" si="15"/>
        <v>6654</v>
      </c>
      <c r="P33" s="17">
        <f t="shared" si="3"/>
        <v>3500</v>
      </c>
      <c r="Q33" s="17">
        <f t="shared" si="4"/>
        <v>15880</v>
      </c>
      <c r="R33" s="17">
        <v>16500</v>
      </c>
      <c r="S33" s="17">
        <f t="shared" si="5"/>
        <v>620</v>
      </c>
      <c r="T33" s="16">
        <v>507</v>
      </c>
      <c r="U33" s="17">
        <f t="shared" si="16"/>
        <v>437</v>
      </c>
      <c r="V33" s="17">
        <f t="shared" si="6"/>
        <v>70</v>
      </c>
      <c r="W33" s="17">
        <v>90</v>
      </c>
      <c r="X33" s="17">
        <f t="shared" si="7"/>
        <v>20</v>
      </c>
      <c r="Y33" s="16">
        <v>3026683</v>
      </c>
      <c r="Z33" s="18">
        <f t="shared" si="17"/>
        <v>3026223</v>
      </c>
      <c r="AA33" s="18">
        <f t="shared" si="8"/>
        <v>460</v>
      </c>
      <c r="AB33" s="18">
        <v>500</v>
      </c>
      <c r="AC33" s="63">
        <f t="shared" si="9"/>
        <v>40</v>
      </c>
      <c r="AD33" s="66"/>
    </row>
    <row r="34" spans="1:30" ht="15" x14ac:dyDescent="0.25">
      <c r="A34" s="15">
        <v>29</v>
      </c>
      <c r="B34" s="16">
        <v>3027</v>
      </c>
      <c r="C34" s="17">
        <f t="shared" si="10"/>
        <v>3024</v>
      </c>
      <c r="D34" s="17">
        <f t="shared" si="11"/>
        <v>1500</v>
      </c>
      <c r="E34" s="16">
        <v>3302</v>
      </c>
      <c r="F34" s="17">
        <f t="shared" si="12"/>
        <v>3299</v>
      </c>
      <c r="G34" s="17">
        <f t="shared" si="0"/>
        <v>1500</v>
      </c>
      <c r="H34" s="16">
        <v>7125</v>
      </c>
      <c r="I34" s="17">
        <f t="shared" si="13"/>
        <v>7113</v>
      </c>
      <c r="J34" s="17">
        <f t="shared" si="1"/>
        <v>6000</v>
      </c>
      <c r="K34" s="16">
        <v>7043</v>
      </c>
      <c r="L34" s="17">
        <f t="shared" si="14"/>
        <v>7028</v>
      </c>
      <c r="M34" s="17">
        <f t="shared" si="2"/>
        <v>4800</v>
      </c>
      <c r="N34" s="16">
        <v>6668</v>
      </c>
      <c r="O34" s="17">
        <f t="shared" si="15"/>
        <v>6661</v>
      </c>
      <c r="P34" s="17">
        <f t="shared" si="3"/>
        <v>3500</v>
      </c>
      <c r="Q34" s="17">
        <f t="shared" si="4"/>
        <v>17300</v>
      </c>
      <c r="R34" s="17">
        <v>16500</v>
      </c>
      <c r="S34" s="17">
        <f t="shared" si="5"/>
        <v>-800</v>
      </c>
      <c r="T34" s="16">
        <v>589</v>
      </c>
      <c r="U34" s="17">
        <f t="shared" si="16"/>
        <v>507</v>
      </c>
      <c r="V34" s="17">
        <f t="shared" si="6"/>
        <v>82</v>
      </c>
      <c r="W34" s="17">
        <v>90</v>
      </c>
      <c r="X34" s="17">
        <f t="shared" si="7"/>
        <v>8</v>
      </c>
      <c r="Y34" s="16">
        <v>3027142</v>
      </c>
      <c r="Z34" s="18">
        <f t="shared" si="17"/>
        <v>3026683</v>
      </c>
      <c r="AA34" s="18">
        <f t="shared" si="8"/>
        <v>459</v>
      </c>
      <c r="AB34" s="18">
        <v>500</v>
      </c>
      <c r="AC34" s="63">
        <f t="shared" si="9"/>
        <v>41</v>
      </c>
      <c r="AD34" s="66"/>
    </row>
    <row r="35" spans="1:30" ht="15.75" thickBot="1" x14ac:dyDescent="0.3">
      <c r="A35" s="15">
        <v>30</v>
      </c>
      <c r="B35" s="16">
        <v>3030</v>
      </c>
      <c r="C35" s="17">
        <f t="shared" si="10"/>
        <v>3027</v>
      </c>
      <c r="D35" s="17">
        <f t="shared" si="11"/>
        <v>1500</v>
      </c>
      <c r="E35" s="16">
        <v>3305</v>
      </c>
      <c r="F35" s="17">
        <f t="shared" si="12"/>
        <v>3302</v>
      </c>
      <c r="G35" s="17">
        <f t="shared" si="0"/>
        <v>1500</v>
      </c>
      <c r="H35" s="16">
        <v>7135</v>
      </c>
      <c r="I35" s="17">
        <f t="shared" si="13"/>
        <v>7125</v>
      </c>
      <c r="J35" s="17">
        <f t="shared" si="1"/>
        <v>5000</v>
      </c>
      <c r="K35" s="16">
        <v>7060</v>
      </c>
      <c r="L35" s="17">
        <f t="shared" si="14"/>
        <v>7043</v>
      </c>
      <c r="M35" s="17">
        <f t="shared" si="2"/>
        <v>5440</v>
      </c>
      <c r="N35" s="16">
        <v>6676</v>
      </c>
      <c r="O35" s="17">
        <f t="shared" si="15"/>
        <v>6668</v>
      </c>
      <c r="P35" s="17">
        <f t="shared" si="3"/>
        <v>4000</v>
      </c>
      <c r="Q35" s="17">
        <f t="shared" si="4"/>
        <v>17440</v>
      </c>
      <c r="R35" s="17">
        <v>16500</v>
      </c>
      <c r="S35" s="17">
        <f t="shared" si="5"/>
        <v>-940</v>
      </c>
      <c r="T35" s="16">
        <v>672</v>
      </c>
      <c r="U35" s="17">
        <f t="shared" si="16"/>
        <v>589</v>
      </c>
      <c r="V35" s="17">
        <f t="shared" si="6"/>
        <v>83</v>
      </c>
      <c r="W35" s="17">
        <v>90</v>
      </c>
      <c r="X35" s="17">
        <f t="shared" si="7"/>
        <v>7</v>
      </c>
      <c r="Y35" s="16">
        <v>3027619</v>
      </c>
      <c r="Z35" s="18">
        <f t="shared" si="17"/>
        <v>3027142</v>
      </c>
      <c r="AA35" s="18">
        <f t="shared" si="8"/>
        <v>477</v>
      </c>
      <c r="AB35" s="18">
        <v>500</v>
      </c>
      <c r="AC35" s="63">
        <f t="shared" si="9"/>
        <v>23</v>
      </c>
      <c r="AD35" s="67"/>
    </row>
    <row r="36" spans="1:30" x14ac:dyDescent="0.2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>
        <f>SUM(Q6:Q35)</f>
        <v>474720</v>
      </c>
      <c r="R36" s="26">
        <f>SUM(R6:R35)</f>
        <v>495000</v>
      </c>
      <c r="S36" s="26"/>
      <c r="T36" s="26"/>
      <c r="U36" s="26"/>
      <c r="V36" s="26">
        <f>SUM(V6:V35)</f>
        <v>2281</v>
      </c>
      <c r="W36" s="26">
        <f>SUM(W6:W35)</f>
        <v>2700</v>
      </c>
      <c r="X36" s="26"/>
      <c r="Y36" s="26"/>
      <c r="Z36" s="26"/>
      <c r="AA36" s="26">
        <f>SUM(AA6:AA35)</f>
        <v>14136</v>
      </c>
      <c r="AB36" s="26">
        <f>SUM(AB6:AB35)</f>
        <v>15000</v>
      </c>
      <c r="AC36" s="26"/>
      <c r="AD36" s="26"/>
    </row>
    <row r="37" spans="1:30" ht="15" x14ac:dyDescent="0.25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>
        <f>Q36*0.48</f>
        <v>227865.60000000001</v>
      </c>
      <c r="R37" s="27">
        <f>R36*0.48</f>
        <v>237600</v>
      </c>
      <c r="S37" s="28"/>
      <c r="T37" s="28"/>
      <c r="U37" s="26"/>
      <c r="V37" s="27">
        <f>(V36*11.66)</f>
        <v>26596.46</v>
      </c>
      <c r="W37" s="27">
        <f>(W36*11.66)</f>
        <v>31482</v>
      </c>
      <c r="X37" s="27"/>
      <c r="Y37" s="27"/>
      <c r="Z37" s="26"/>
      <c r="AA37" s="27">
        <f>(AA36*2.5)</f>
        <v>35340</v>
      </c>
      <c r="AB37" s="27">
        <f>(AB36*2.5)</f>
        <v>37500</v>
      </c>
      <c r="AC37" s="26"/>
      <c r="AD37" s="26"/>
    </row>
    <row r="38" spans="1:30" ht="15" x14ac:dyDescent="0.25">
      <c r="A38" s="25"/>
      <c r="N38" s="29"/>
      <c r="O38" s="30"/>
      <c r="P38" s="31"/>
      <c r="Q38" s="32"/>
      <c r="R38" s="32"/>
      <c r="S38" s="31"/>
      <c r="T38" s="31"/>
      <c r="U38" s="31"/>
      <c r="V38" s="32"/>
      <c r="W38" s="32"/>
      <c r="X38" s="31"/>
      <c r="Y38" s="31"/>
      <c r="Z38" s="31"/>
      <c r="AA38" s="32"/>
      <c r="AB38" s="32"/>
      <c r="AC38" s="31"/>
      <c r="AD38" s="26"/>
    </row>
    <row r="39" spans="1:30" ht="15" x14ac:dyDescent="0.25">
      <c r="A39" s="25"/>
      <c r="N39" s="30"/>
      <c r="O39" s="31"/>
      <c r="P39" s="31"/>
      <c r="Q39" s="32"/>
      <c r="R39" s="32"/>
      <c r="S39" s="31"/>
      <c r="T39" s="31"/>
      <c r="U39" s="31"/>
      <c r="V39" s="32"/>
      <c r="W39" s="32"/>
      <c r="X39" s="31"/>
      <c r="Y39" s="31"/>
      <c r="Z39" s="31"/>
      <c r="AA39" s="32"/>
      <c r="AB39" s="32"/>
      <c r="AC39" s="31"/>
      <c r="AD39" s="26"/>
    </row>
    <row r="40" spans="1:30" ht="15" x14ac:dyDescent="0.25">
      <c r="A40" s="25"/>
      <c r="N40" s="30"/>
      <c r="O40" s="30"/>
      <c r="P40" s="31"/>
      <c r="Q40" s="32"/>
      <c r="R40" s="32"/>
      <c r="S40" s="31"/>
      <c r="T40" s="31"/>
      <c r="U40" s="31"/>
      <c r="V40" s="32"/>
      <c r="W40" s="32"/>
      <c r="X40" s="31"/>
      <c r="Y40" s="31"/>
      <c r="Z40" s="31"/>
      <c r="AA40" s="32"/>
      <c r="AB40" s="32"/>
      <c r="AC40" s="31"/>
      <c r="AD40" s="26"/>
    </row>
    <row r="41" spans="1:30" ht="15" x14ac:dyDescent="0.25">
      <c r="A41" s="25"/>
      <c r="N41" s="30"/>
      <c r="O41" s="30"/>
      <c r="P41" s="31"/>
      <c r="Q41" s="32"/>
      <c r="R41" s="32"/>
      <c r="S41" s="31"/>
      <c r="T41" s="31"/>
      <c r="U41" s="31"/>
      <c r="V41" s="32"/>
      <c r="W41" s="32"/>
      <c r="X41" s="31"/>
      <c r="Y41" s="31"/>
      <c r="Z41" s="31"/>
      <c r="AA41" s="32"/>
      <c r="AB41" s="32"/>
      <c r="AC41" s="31"/>
      <c r="AD41" s="26"/>
    </row>
    <row r="42" spans="1:30" ht="15" x14ac:dyDescent="0.25">
      <c r="A42" s="25"/>
      <c r="N42" s="30"/>
      <c r="O42" s="30"/>
      <c r="P42" s="31"/>
      <c r="Q42" s="32"/>
      <c r="R42" s="32"/>
      <c r="S42" s="33"/>
      <c r="T42" s="33"/>
      <c r="U42" s="31"/>
      <c r="V42" s="32"/>
      <c r="W42" s="32"/>
      <c r="X42" s="33"/>
      <c r="Y42" s="33"/>
      <c r="Z42" s="31"/>
      <c r="AA42" s="32"/>
      <c r="AB42" s="32"/>
      <c r="AC42" s="31"/>
      <c r="AD42" s="26"/>
    </row>
    <row r="43" spans="1:30" x14ac:dyDescent="0.2">
      <c r="A43" s="25"/>
      <c r="N43" s="30"/>
      <c r="O43" s="30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26"/>
    </row>
    <row r="44" spans="1:30" x14ac:dyDescent="0.2">
      <c r="A44" s="25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x14ac:dyDescent="0.2">
      <c r="A45" s="2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x14ac:dyDescent="0.2">
      <c r="A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x14ac:dyDescent="0.2">
      <c r="A47" s="25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x14ac:dyDescent="0.2">
      <c r="A48" s="34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x14ac:dyDescent="0.2">
      <c r="A49" s="34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x14ac:dyDescent="0.2">
      <c r="A50" s="34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x14ac:dyDescent="0.2">
      <c r="A51" s="34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x14ac:dyDescent="0.2">
      <c r="A52" s="34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" x14ac:dyDescent="0.25">
      <c r="A53" s="34"/>
      <c r="M53" s="35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x14ac:dyDescent="0.2">
      <c r="A54" s="34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x14ac:dyDescent="0.2">
      <c r="A55" s="34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x14ac:dyDescent="0.2">
      <c r="A56" s="34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x14ac:dyDescent="0.2">
      <c r="A57" s="34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x14ac:dyDescent="0.2">
      <c r="A58" s="34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x14ac:dyDescent="0.2">
      <c r="A59" s="34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x14ac:dyDescent="0.2">
      <c r="A60" s="34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x14ac:dyDescent="0.2">
      <c r="A61" s="34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x14ac:dyDescent="0.2">
      <c r="A62" s="34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x14ac:dyDescent="0.2">
      <c r="A63" s="34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x14ac:dyDescent="0.2">
      <c r="A64" s="34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x14ac:dyDescent="0.2">
      <c r="A65" s="34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x14ac:dyDescent="0.2">
      <c r="A66" s="34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x14ac:dyDescent="0.2">
      <c r="A67" s="34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x14ac:dyDescent="0.2">
      <c r="A68" s="34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x14ac:dyDescent="0.2">
      <c r="A69" s="34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x14ac:dyDescent="0.2"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x14ac:dyDescent="0.2"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</sheetData>
  <mergeCells count="23">
    <mergeCell ref="A1:AC1"/>
    <mergeCell ref="A2:A5"/>
    <mergeCell ref="B2:S2"/>
    <mergeCell ref="T2:X2"/>
    <mergeCell ref="Y2:AC2"/>
    <mergeCell ref="B3:D3"/>
    <mergeCell ref="E3:G3"/>
    <mergeCell ref="H3:J3"/>
    <mergeCell ref="K3:M3"/>
    <mergeCell ref="N3:P3"/>
    <mergeCell ref="Q3:S4"/>
    <mergeCell ref="T3:X3"/>
    <mergeCell ref="Y3:AC3"/>
    <mergeCell ref="B4:D4"/>
    <mergeCell ref="E4:G4"/>
    <mergeCell ref="H4:J4"/>
    <mergeCell ref="AD20:AD25"/>
    <mergeCell ref="AD26:AD35"/>
    <mergeCell ref="K4:M4"/>
    <mergeCell ref="N4:P4"/>
    <mergeCell ref="T4:X4"/>
    <mergeCell ref="Y4:AC4"/>
    <mergeCell ref="AD6:A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Aneesh Sapalya</cp:lastModifiedBy>
  <cp:revision/>
  <dcterms:created xsi:type="dcterms:W3CDTF">2006-04-11T08:27:10Z</dcterms:created>
  <dcterms:modified xsi:type="dcterms:W3CDTF">2025-07-13T12:58:13Z</dcterms:modified>
  <cp:category/>
  <cp:contentStatus/>
</cp:coreProperties>
</file>