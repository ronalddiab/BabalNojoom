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448B47D4-312A-4248-B5D8-B5580DC27A7E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F7" i="1"/>
  <c r="G7" i="1" s="1"/>
  <c r="I2" i="2" l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7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<sst xmlns="http://schemas.openxmlformats.org/spreadsheetml/2006/main" count="64" uniqueCount="31">
  <si>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</si>
  <si>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</si>
  <si>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</si>
  <si>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</si>
  <si>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</si>
  <si>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</si>
  <si>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</si>
  <si>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</si>
  <si>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</si>
  <si>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</si>
  <si>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</si>
  <si>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</si>
  <si>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</si>
  <si>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</si>
  <si>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</si>
  <si>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</si>
  <si>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</si>
  <si>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</si>
  <si>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</si>
  <si>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</si>
  <si>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</si>
  <si>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</si>
  <si>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</si>
  <si>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</si>
  <si>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</si>
  <si>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</si>
  <si>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</si>
  <si>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</si>
  <si>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</si>
  <si>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</si>
  <si>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June-2025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</si>
</sst>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workbookViewId="0">
      <selection activeCell="H2" sqref="H2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6</v>
      </c>
      <c r="D2" s="12">
        <v>2025</v>
      </c>
      <c r="E2" s="13">
        <f>'Consum.'!G8</f>
        <v>13765</v>
      </c>
      <c r="F2" s="14">
        <v>0.2</v>
      </c>
      <c r="G2" s="13">
        <v>1650</v>
      </c>
      <c r="H2" s="14">
        <v>1.82</v>
      </c>
      <c r="I2" s="13">
        <f>'Consum.'!K8</f>
        <v>67</v>
      </c>
      <c r="J2" s="15">
        <v>7.84</v>
      </c>
      <c r="K2" s="13">
        <v>192</v>
      </c>
      <c r="L2" s="13">
        <v>247</v>
      </c>
    </row>
    <row r="3" spans="1:12">
      <c r="A3" s="11" t="s">
        <v>28</v>
      </c>
      <c r="B3" s="12">
        <f>B2+1</f>
        <v>2</v>
      </c>
      <c r="C3" s="12">
        <v>6</v>
      </c>
      <c r="D3" s="12">
        <v>2025</v>
      </c>
      <c r="E3" s="13">
        <f>'Consum.'!G9</f>
        <v>-28697752</v>
      </c>
      <c r="F3" s="14">
        <v>0.2</v>
      </c>
      <c r="G3" s="13"/>
      <c r="I3" s="13">
        <f>'Consum.'!K9</f>
        <v>-75291</v>
      </c>
      <c r="J3" s="15">
        <v>7.84</v>
      </c>
      <c r="K3" s="13">
        <v>194</v>
      </c>
      <c r="L3" s="13">
        <v>237</v>
      </c>
    </row>
    <row r="4" spans="1:12">
      <c r="A4" s="11" t="s">
        <v>28</v>
      </c>
      <c r="B4" s="12">
        <f t="shared" ref="B4:B31" si="0">B3+1</f>
        <v>3</v>
      </c>
      <c r="C4" s="12">
        <v>6</v>
      </c>
      <c r="D4" s="12">
        <v>2025</v>
      </c>
      <c r="E4" s="13">
        <f>'Consum.'!G10</f>
        <v>0</v>
      </c>
      <c r="F4" s="14">
        <v>0.2</v>
      </c>
      <c r="G4" s="13"/>
      <c r="I4" s="13">
        <f>'Consum.'!K10</f>
        <v>0</v>
      </c>
      <c r="J4" s="15">
        <v>7.84</v>
      </c>
      <c r="K4" s="13">
        <v>207</v>
      </c>
      <c r="L4" s="13">
        <v>247</v>
      </c>
    </row>
    <row r="5" spans="1:12">
      <c r="A5" s="11" t="s">
        <v>28</v>
      </c>
      <c r="B5" s="12">
        <f t="shared" si="0"/>
        <v>4</v>
      </c>
      <c r="C5" s="12">
        <v>6</v>
      </c>
      <c r="D5" s="12">
        <v>2025</v>
      </c>
      <c r="E5" s="13">
        <f>'Consum.'!G11</f>
        <v>0</v>
      </c>
      <c r="F5" s="14">
        <v>0.2</v>
      </c>
      <c r="G5" s="13"/>
      <c r="I5" s="13">
        <f>'Consum.'!K11</f>
        <v>0</v>
      </c>
      <c r="J5" s="15">
        <v>7.84</v>
      </c>
      <c r="K5" s="13">
        <v>200</v>
      </c>
      <c r="L5" s="13">
        <v>238</v>
      </c>
    </row>
    <row r="6" spans="1:12">
      <c r="A6" s="11" t="s">
        <v>28</v>
      </c>
      <c r="B6" s="12">
        <f t="shared" si="0"/>
        <v>5</v>
      </c>
      <c r="C6" s="12">
        <v>6</v>
      </c>
      <c r="D6" s="12">
        <v>2025</v>
      </c>
      <c r="E6" s="13">
        <f>'Consum.'!G12</f>
        <v>0</v>
      </c>
      <c r="F6" s="14">
        <v>0.2</v>
      </c>
      <c r="G6" s="13"/>
      <c r="I6" s="13">
        <f>'Consum.'!K12</f>
        <v>0</v>
      </c>
      <c r="J6" s="15">
        <v>7.84</v>
      </c>
      <c r="K6" s="13">
        <v>209</v>
      </c>
      <c r="L6" s="13">
        <v>256</v>
      </c>
    </row>
    <row r="7" spans="1:12">
      <c r="A7" s="11" t="s">
        <v>28</v>
      </c>
      <c r="B7" s="12">
        <f t="shared" si="0"/>
        <v>6</v>
      </c>
      <c r="C7" s="12">
        <v>6</v>
      </c>
      <c r="D7" s="12">
        <v>2025</v>
      </c>
      <c r="E7" s="13">
        <f>'Consum.'!G13</f>
        <v>0</v>
      </c>
      <c r="F7" s="14">
        <v>0.2</v>
      </c>
      <c r="G7" s="13"/>
      <c r="I7" s="13">
        <f>'Consum.'!K13</f>
        <v>0</v>
      </c>
      <c r="J7" s="15">
        <v>7.84</v>
      </c>
      <c r="K7" s="13">
        <v>200</v>
      </c>
      <c r="L7" s="13">
        <v>247</v>
      </c>
    </row>
    <row r="8" spans="1:12">
      <c r="A8" s="11" t="s">
        <v>28</v>
      </c>
      <c r="B8" s="12">
        <f t="shared" si="0"/>
        <v>7</v>
      </c>
      <c r="C8" s="12">
        <v>6</v>
      </c>
      <c r="D8" s="12">
        <v>2025</v>
      </c>
      <c r="E8" s="13">
        <f>'Consum.'!G14</f>
        <v>0</v>
      </c>
      <c r="F8" s="14">
        <v>0.2</v>
      </c>
      <c r="G8" s="13"/>
      <c r="I8" s="13">
        <f>'Consum.'!K14</f>
        <v>0</v>
      </c>
      <c r="J8" s="15">
        <v>7.84</v>
      </c>
      <c r="K8" s="13">
        <v>198</v>
      </c>
      <c r="L8" s="13">
        <v>256</v>
      </c>
    </row>
    <row r="9" spans="1:12">
      <c r="A9" s="11" t="s">
        <v>28</v>
      </c>
      <c r="B9" s="12">
        <f t="shared" si="0"/>
        <v>8</v>
      </c>
      <c r="C9" s="12">
        <v>6</v>
      </c>
      <c r="D9" s="12">
        <v>2025</v>
      </c>
      <c r="E9" s="13">
        <f>'Consum.'!G15</f>
        <v>0</v>
      </c>
      <c r="F9" s="14">
        <v>0.2</v>
      </c>
      <c r="G9" s="13"/>
      <c r="I9" s="13">
        <f>'Consum.'!K15</f>
        <v>0</v>
      </c>
      <c r="J9" s="15">
        <v>7.84</v>
      </c>
      <c r="K9" s="13">
        <v>191</v>
      </c>
      <c r="L9" s="13">
        <v>245</v>
      </c>
    </row>
    <row r="10" spans="1:12">
      <c r="A10" s="11" t="s">
        <v>28</v>
      </c>
      <c r="B10" s="12">
        <f t="shared" si="0"/>
        <v>9</v>
      </c>
      <c r="C10" s="12">
        <v>6</v>
      </c>
      <c r="D10" s="12">
        <v>2025</v>
      </c>
      <c r="E10" s="13">
        <f>'Consum.'!G16</f>
        <v>0</v>
      </c>
      <c r="F10" s="14">
        <v>0.2</v>
      </c>
      <c r="G10" s="13"/>
      <c r="I10" s="13">
        <f>'Consum.'!K16</f>
        <v>0</v>
      </c>
      <c r="J10" s="15">
        <v>7.84</v>
      </c>
      <c r="K10" s="13">
        <v>171</v>
      </c>
      <c r="L10" s="13">
        <v>204</v>
      </c>
    </row>
    <row r="11" spans="1:12">
      <c r="A11" s="11" t="s">
        <v>28</v>
      </c>
      <c r="B11" s="12">
        <f t="shared" si="0"/>
        <v>10</v>
      </c>
      <c r="C11" s="12">
        <v>6</v>
      </c>
      <c r="D11" s="12">
        <v>2025</v>
      </c>
      <c r="E11" s="13">
        <f>'Consum.'!G17</f>
        <v>0</v>
      </c>
      <c r="F11" s="14">
        <v>0.2</v>
      </c>
      <c r="G11" s="13"/>
      <c r="I11" s="13">
        <f>'Consum.'!K17</f>
        <v>0</v>
      </c>
      <c r="J11" s="15">
        <v>7.84</v>
      </c>
      <c r="K11" s="13">
        <v>205</v>
      </c>
      <c r="L11" s="13">
        <v>271</v>
      </c>
    </row>
    <row r="12" spans="1:12">
      <c r="A12" s="11" t="s">
        <v>28</v>
      </c>
      <c r="B12" s="12">
        <f t="shared" si="0"/>
        <v>11</v>
      </c>
      <c r="C12" s="12">
        <v>6</v>
      </c>
      <c r="D12" s="12">
        <v>2025</v>
      </c>
      <c r="E12" s="13">
        <f>'Consum.'!G18</f>
        <v>0</v>
      </c>
      <c r="F12" s="14">
        <v>0.2</v>
      </c>
      <c r="G12" s="13"/>
      <c r="I12" s="13">
        <f>'Consum.'!K18</f>
        <v>0</v>
      </c>
      <c r="J12" s="15">
        <v>7.84</v>
      </c>
      <c r="K12" s="13">
        <v>202</v>
      </c>
      <c r="L12" s="13">
        <v>260</v>
      </c>
    </row>
    <row r="13" spans="1:12">
      <c r="A13" s="11" t="s">
        <v>28</v>
      </c>
      <c r="B13" s="12">
        <f t="shared" si="0"/>
        <v>12</v>
      </c>
      <c r="C13" s="12">
        <v>6</v>
      </c>
      <c r="D13" s="12">
        <v>2025</v>
      </c>
      <c r="E13" s="13">
        <f>'Consum.'!G19</f>
        <v>0</v>
      </c>
      <c r="F13" s="14">
        <v>0.2</v>
      </c>
      <c r="G13" s="13"/>
      <c r="I13" s="13">
        <f>'Consum.'!K19</f>
        <v>0</v>
      </c>
      <c r="J13" s="15">
        <v>7.84</v>
      </c>
      <c r="K13" s="13">
        <v>198</v>
      </c>
      <c r="L13" s="13">
        <v>249</v>
      </c>
    </row>
    <row r="14" spans="1:12">
      <c r="A14" s="11" t="s">
        <v>28</v>
      </c>
      <c r="B14" s="12">
        <f t="shared" si="0"/>
        <v>13</v>
      </c>
      <c r="C14" s="12">
        <v>6</v>
      </c>
      <c r="D14" s="12">
        <v>2025</v>
      </c>
      <c r="E14" s="13">
        <f>'Consum.'!G20</f>
        <v>0</v>
      </c>
      <c r="F14" s="14">
        <v>0.2</v>
      </c>
      <c r="G14" s="13"/>
      <c r="I14" s="13">
        <f>'Consum.'!K20</f>
        <v>0</v>
      </c>
      <c r="J14" s="15">
        <v>7.84</v>
      </c>
      <c r="K14" s="13">
        <v>184</v>
      </c>
      <c r="L14" s="13">
        <v>233</v>
      </c>
    </row>
    <row r="15" spans="1:12">
      <c r="A15" s="11" t="s">
        <v>28</v>
      </c>
      <c r="B15" s="12">
        <f t="shared" si="0"/>
        <v>14</v>
      </c>
      <c r="C15" s="12">
        <v>6</v>
      </c>
      <c r="D15" s="12">
        <v>2025</v>
      </c>
      <c r="E15" s="13">
        <f>'Consum.'!G21</f>
        <v>0</v>
      </c>
      <c r="F15" s="14">
        <v>0.2</v>
      </c>
      <c r="G15" s="13"/>
      <c r="I15" s="13">
        <f>'Consum.'!K21</f>
        <v>0</v>
      </c>
      <c r="J15" s="15">
        <v>7.84</v>
      </c>
      <c r="K15" s="13">
        <v>174</v>
      </c>
      <c r="L15" s="13">
        <v>226</v>
      </c>
    </row>
    <row r="16" spans="1:12">
      <c r="A16" s="11" t="s">
        <v>28</v>
      </c>
      <c r="B16" s="12">
        <f t="shared" si="0"/>
        <v>15</v>
      </c>
      <c r="C16" s="12">
        <v>6</v>
      </c>
      <c r="D16" s="12">
        <v>2025</v>
      </c>
      <c r="E16" s="13">
        <f>'Consum.'!G22</f>
        <v>0</v>
      </c>
      <c r="F16" s="14">
        <v>0.2</v>
      </c>
      <c r="G16" s="13"/>
      <c r="I16" s="13">
        <f>'Consum.'!K22</f>
        <v>0</v>
      </c>
      <c r="J16" s="15">
        <v>7.84</v>
      </c>
      <c r="K16" s="13">
        <v>170</v>
      </c>
      <c r="L16" s="13">
        <v>218</v>
      </c>
    </row>
    <row r="17" spans="1:12">
      <c r="A17" s="11" t="s">
        <v>28</v>
      </c>
      <c r="B17" s="12">
        <f t="shared" si="0"/>
        <v>16</v>
      </c>
      <c r="C17" s="12">
        <v>6</v>
      </c>
      <c r="D17" s="12">
        <v>2025</v>
      </c>
      <c r="E17" s="13">
        <f>'Consum.'!G23</f>
        <v>0</v>
      </c>
      <c r="F17" s="14">
        <v>0.2</v>
      </c>
      <c r="G17" s="13"/>
      <c r="I17" s="13">
        <f>'Consum.'!K23</f>
        <v>0</v>
      </c>
      <c r="J17" s="15">
        <v>7.84</v>
      </c>
      <c r="K17" s="13">
        <v>189</v>
      </c>
      <c r="L17" s="13">
        <v>237</v>
      </c>
    </row>
    <row r="18" spans="1:12">
      <c r="A18" s="11" t="s">
        <v>28</v>
      </c>
      <c r="B18" s="12">
        <f t="shared" si="0"/>
        <v>17</v>
      </c>
      <c r="C18" s="12">
        <v>6</v>
      </c>
      <c r="D18" s="12">
        <v>2025</v>
      </c>
      <c r="E18" s="13">
        <f>'Consum.'!G24</f>
        <v>0</v>
      </c>
      <c r="F18" s="14">
        <v>0.2</v>
      </c>
      <c r="G18" s="13"/>
      <c r="I18" s="13">
        <f>'Consum.'!K24</f>
        <v>0</v>
      </c>
      <c r="J18" s="15">
        <v>7.84</v>
      </c>
      <c r="K18" s="13">
        <v>201</v>
      </c>
      <c r="L18" s="13">
        <v>250</v>
      </c>
    </row>
    <row r="19" spans="1:12">
      <c r="A19" s="11" t="s">
        <v>28</v>
      </c>
      <c r="B19" s="12">
        <f t="shared" si="0"/>
        <v>18</v>
      </c>
      <c r="C19" s="12">
        <v>6</v>
      </c>
      <c r="D19" s="12">
        <v>2025</v>
      </c>
      <c r="E19" s="13">
        <f>'Consum.'!G25</f>
        <v>0</v>
      </c>
      <c r="F19" s="14">
        <v>0.2</v>
      </c>
      <c r="G19" s="13"/>
      <c r="I19" s="13">
        <f>'Consum.'!K25</f>
        <v>0</v>
      </c>
      <c r="J19" s="15">
        <v>7.84</v>
      </c>
      <c r="K19" s="13">
        <v>206</v>
      </c>
      <c r="L19" s="13">
        <v>267</v>
      </c>
    </row>
    <row r="20" spans="1:12">
      <c r="A20" s="11" t="s">
        <v>28</v>
      </c>
      <c r="B20" s="12">
        <f t="shared" si="0"/>
        <v>19</v>
      </c>
      <c r="C20" s="12">
        <v>6</v>
      </c>
      <c r="D20" s="12">
        <v>2025</v>
      </c>
      <c r="E20" s="13">
        <f>'Consum.'!G26</f>
        <v>0</v>
      </c>
      <c r="F20" s="14">
        <v>0.2</v>
      </c>
      <c r="G20" s="13"/>
      <c r="I20" s="13">
        <f>'Consum.'!K26</f>
        <v>0</v>
      </c>
      <c r="J20" s="15">
        <v>7.84</v>
      </c>
      <c r="K20" s="13">
        <v>224</v>
      </c>
      <c r="L20" s="13">
        <v>287</v>
      </c>
    </row>
    <row r="21" spans="1:12">
      <c r="A21" s="11" t="s">
        <v>28</v>
      </c>
      <c r="B21" s="12">
        <f t="shared" si="0"/>
        <v>20</v>
      </c>
      <c r="C21" s="12">
        <v>6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>
        <v>187</v>
      </c>
      <c r="L21" s="13">
        <v>228</v>
      </c>
    </row>
    <row r="22" spans="1:12">
      <c r="A22" s="11" t="s">
        <v>28</v>
      </c>
      <c r="B22" s="12">
        <f t="shared" si="0"/>
        <v>21</v>
      </c>
      <c r="C22" s="12">
        <v>6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>
        <v>170</v>
      </c>
      <c r="L22" s="13">
        <v>223</v>
      </c>
    </row>
    <row r="23" spans="1:12">
      <c r="A23" s="11" t="s">
        <v>28</v>
      </c>
      <c r="B23" s="12">
        <f t="shared" si="0"/>
        <v>22</v>
      </c>
      <c r="C23" s="12">
        <v>6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>
        <v>173</v>
      </c>
      <c r="L23" s="13">
        <v>232</v>
      </c>
    </row>
    <row r="24" spans="1:12">
      <c r="A24" s="11" t="s">
        <v>28</v>
      </c>
      <c r="B24" s="12">
        <f t="shared" si="0"/>
        <v>23</v>
      </c>
      <c r="C24" s="12">
        <v>6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>
        <v>169</v>
      </c>
      <c r="L24" s="13">
        <v>207</v>
      </c>
    </row>
    <row r="25" spans="1:12">
      <c r="A25" s="11" t="s">
        <v>28</v>
      </c>
      <c r="B25" s="12">
        <f t="shared" si="0"/>
        <v>24</v>
      </c>
      <c r="C25" s="12">
        <v>6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>
        <v>176</v>
      </c>
      <c r="L25" s="13">
        <v>218</v>
      </c>
    </row>
    <row r="26" spans="1:12">
      <c r="A26" s="11" t="s">
        <v>28</v>
      </c>
      <c r="B26" s="12">
        <f>B25+1</f>
        <v>25</v>
      </c>
      <c r="C26" s="12">
        <v>6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>
        <v>180</v>
      </c>
      <c r="L26" s="13">
        <v>221</v>
      </c>
    </row>
    <row r="27" spans="1:12">
      <c r="A27" s="11" t="s">
        <v>28</v>
      </c>
      <c r="B27" s="12">
        <f t="shared" si="0"/>
        <v>26</v>
      </c>
      <c r="C27" s="12">
        <v>6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>
        <v>162</v>
      </c>
      <c r="L27" s="13">
        <v>204</v>
      </c>
    </row>
    <row r="28" spans="1:12">
      <c r="A28" s="11" t="s">
        <v>28</v>
      </c>
      <c r="B28" s="12">
        <f t="shared" si="0"/>
        <v>27</v>
      </c>
      <c r="C28" s="12">
        <v>6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>
        <v>159</v>
      </c>
      <c r="L28" s="13">
        <v>201</v>
      </c>
    </row>
    <row r="29" spans="1:12">
      <c r="A29" s="11" t="s">
        <v>28</v>
      </c>
      <c r="B29" s="12">
        <f t="shared" si="0"/>
        <v>28</v>
      </c>
      <c r="C29" s="12">
        <v>6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>
        <v>180</v>
      </c>
      <c r="L29" s="13">
        <v>248</v>
      </c>
    </row>
    <row r="30" spans="1:12">
      <c r="A30" s="11" t="s">
        <v>28</v>
      </c>
      <c r="B30" s="12">
        <f t="shared" si="0"/>
        <v>29</v>
      </c>
      <c r="C30" s="12">
        <v>6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>
        <v>197</v>
      </c>
      <c r="L30" s="13">
        <v>291</v>
      </c>
    </row>
    <row r="31" spans="1:12">
      <c r="A31" s="11" t="s">
        <v>28</v>
      </c>
      <c r="B31" s="12">
        <f t="shared" si="0"/>
        <v>30</v>
      </c>
      <c r="C31" s="12">
        <v>6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13">
        <v>226</v>
      </c>
      <c r="L31" s="13">
        <v>355</v>
      </c>
    </row>
    <row r="32" spans="1:12">
      <c r="G32" s="13"/>
      <c r="K32" s="16">
        <v>205</v>
      </c>
      <c r="L32" s="16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zoomScale="70" zoomScaleNormal="70" zoomScaleSheetLayoutView="100" workbookViewId="0">
      <selection activeCell="M8" sqref="M8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3" t="s">
        <v>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4" ht="96.75" customHeight="1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s="5" customFormat="1" ht="15.2" customHeight="1">
      <c r="A3" s="20" t="s">
        <v>0</v>
      </c>
      <c r="B3" s="49" t="s">
        <v>1</v>
      </c>
      <c r="C3" s="49"/>
      <c r="D3" s="50" t="s">
        <v>3</v>
      </c>
      <c r="E3" s="50"/>
      <c r="F3" s="50"/>
      <c r="G3" s="50"/>
      <c r="H3" s="51" t="s">
        <v>11</v>
      </c>
      <c r="I3" s="51"/>
      <c r="J3" s="51"/>
      <c r="K3" s="51"/>
      <c r="L3" s="24" t="s">
        <v>5</v>
      </c>
      <c r="M3" s="24" t="s">
        <v>5</v>
      </c>
    </row>
    <row r="4" spans="1:14" s="5" customFormat="1" ht="15" customHeight="1">
      <c r="A4" s="20"/>
      <c r="B4" s="49"/>
      <c r="C4" s="49"/>
      <c r="D4" s="50"/>
      <c r="E4" s="50"/>
      <c r="F4" s="50"/>
      <c r="G4" s="50"/>
      <c r="H4" s="51"/>
      <c r="I4" s="51"/>
      <c r="J4" s="51"/>
      <c r="K4" s="51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22584499</v>
      </c>
      <c r="E7" s="42">
        <v>6099488</v>
      </c>
      <c r="F7" s="43">
        <f t="shared" ref="F7" si="0">(D7+E7)</f>
        <v>28683987</v>
      </c>
      <c r="G7" s="44">
        <f t="shared" ref="G7" si="1">(F7-F6)</f>
        <v>28683987</v>
      </c>
      <c r="H7" s="45">
        <v>27799</v>
      </c>
      <c r="I7" s="46">
        <v>47424</v>
      </c>
      <c r="J7" s="43">
        <f>H7+I7</f>
        <v>75223</v>
      </c>
      <c r="K7" s="47">
        <f t="shared" ref="K7" si="2">(J7-J6)</f>
        <v>75223</v>
      </c>
      <c r="L7" s="48">
        <v>47</v>
      </c>
      <c r="M7" s="32">
        <v>85</v>
      </c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22595713</v>
      </c>
      <c r="E8" s="31">
        <v>6102039</v>
      </c>
      <c r="F8" s="30">
        <f t="shared" ref="F8:F37" si="4">(D8+E8)</f>
        <v>28697752</v>
      </c>
      <c r="G8" s="30">
        <f t="shared" ref="G8:G37" si="5">(F8-F7)</f>
        <v>13765</v>
      </c>
      <c r="H8" s="33">
        <v>27840</v>
      </c>
      <c r="I8" s="33">
        <v>47451</v>
      </c>
      <c r="J8" s="30">
        <f>H8+I8</f>
        <v>75291</v>
      </c>
      <c r="K8" s="30">
        <v>67</v>
      </c>
      <c r="L8" s="31">
        <v>1650</v>
      </c>
      <c r="M8" s="32">
        <v>1.82</v>
      </c>
      <c r="N8" s="4"/>
    </row>
    <row r="9" spans="1:14" ht="18" customHeight="1">
      <c r="A9" s="28">
        <v>2</v>
      </c>
      <c r="B9" s="29"/>
      <c r="C9" s="30">
        <f t="shared" si="3"/>
        <v>0</v>
      </c>
      <c r="D9" s="34"/>
      <c r="E9" s="34"/>
      <c r="F9" s="30">
        <f t="shared" si="4"/>
        <v>0</v>
      </c>
      <c r="G9" s="30">
        <f t="shared" si="5"/>
        <v>-28697752</v>
      </c>
      <c r="H9" s="31"/>
      <c r="I9" s="31"/>
      <c r="J9" s="30">
        <f t="shared" ref="J9:J36" si="6">H9+I9</f>
        <v>0</v>
      </c>
      <c r="K9" s="30">
        <f t="shared" ref="K9:K37" si="7">(J9-J8)</f>
        <v>-75291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/>
      <c r="E10" s="31"/>
      <c r="F10" s="30">
        <f t="shared" si="4"/>
        <v>0</v>
      </c>
      <c r="G10" s="30">
        <f t="shared" si="5"/>
        <v>0</v>
      </c>
      <c r="H10" s="31"/>
      <c r="I10" s="31"/>
      <c r="J10" s="30">
        <f t="shared" si="6"/>
        <v>0</v>
      </c>
      <c r="K10" s="30">
        <f t="shared" si="7"/>
        <v>0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/>
      <c r="E11" s="31"/>
      <c r="F11" s="30">
        <f t="shared" si="4"/>
        <v>0</v>
      </c>
      <c r="G11" s="30">
        <f t="shared" si="5"/>
        <v>0</v>
      </c>
      <c r="H11" s="31"/>
      <c r="I11" s="31"/>
      <c r="J11" s="30">
        <f t="shared" si="6"/>
        <v>0</v>
      </c>
      <c r="K11" s="30">
        <f t="shared" si="7"/>
        <v>0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/>
      <c r="E12" s="31"/>
      <c r="F12" s="30">
        <f t="shared" si="4"/>
        <v>0</v>
      </c>
      <c r="G12" s="30">
        <f t="shared" si="5"/>
        <v>0</v>
      </c>
      <c r="H12" s="31"/>
      <c r="I12" s="31"/>
      <c r="J12" s="30">
        <f t="shared" si="6"/>
        <v>0</v>
      </c>
      <c r="K12" s="30">
        <f t="shared" si="7"/>
        <v>0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/>
      <c r="E13" s="31"/>
      <c r="F13" s="30">
        <f t="shared" si="4"/>
        <v>0</v>
      </c>
      <c r="G13" s="30">
        <f t="shared" si="5"/>
        <v>0</v>
      </c>
      <c r="H13" s="31"/>
      <c r="I13" s="31"/>
      <c r="J13" s="30">
        <f t="shared" si="6"/>
        <v>0</v>
      </c>
      <c r="K13" s="30">
        <f t="shared" si="7"/>
        <v>0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/>
      <c r="E14" s="31"/>
      <c r="F14" s="30">
        <f t="shared" si="4"/>
        <v>0</v>
      </c>
      <c r="G14" s="30">
        <f t="shared" si="5"/>
        <v>0</v>
      </c>
      <c r="H14" s="31"/>
      <c r="I14" s="31"/>
      <c r="J14" s="30">
        <f t="shared" si="6"/>
        <v>0</v>
      </c>
      <c r="K14" s="30">
        <f t="shared" si="7"/>
        <v>0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/>
      <c r="E15" s="31"/>
      <c r="F15" s="30">
        <f t="shared" si="4"/>
        <v>0</v>
      </c>
      <c r="G15" s="30">
        <f t="shared" si="5"/>
        <v>0</v>
      </c>
      <c r="H15" s="31"/>
      <c r="I15" s="31"/>
      <c r="J15" s="30">
        <f t="shared" si="6"/>
        <v>0</v>
      </c>
      <c r="K15" s="30">
        <f t="shared" si="7"/>
        <v>0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/>
      <c r="E16" s="31"/>
      <c r="F16" s="30">
        <f t="shared" si="4"/>
        <v>0</v>
      </c>
      <c r="G16" s="30">
        <f t="shared" si="5"/>
        <v>0</v>
      </c>
      <c r="H16" s="31"/>
      <c r="I16" s="31"/>
      <c r="J16" s="30">
        <f t="shared" si="6"/>
        <v>0</v>
      </c>
      <c r="K16" s="30">
        <f t="shared" si="7"/>
        <v>0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/>
      <c r="E17" s="31"/>
      <c r="F17" s="30">
        <f t="shared" si="4"/>
        <v>0</v>
      </c>
      <c r="G17" s="30">
        <f t="shared" si="5"/>
        <v>0</v>
      </c>
      <c r="H17" s="31"/>
      <c r="I17" s="31"/>
      <c r="J17" s="30">
        <f t="shared" si="6"/>
        <v>0</v>
      </c>
      <c r="K17" s="30">
        <f t="shared" si="7"/>
        <v>0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/>
      <c r="E18" s="31"/>
      <c r="F18" s="30">
        <f t="shared" si="4"/>
        <v>0</v>
      </c>
      <c r="G18" s="30">
        <f t="shared" si="5"/>
        <v>0</v>
      </c>
      <c r="H18" s="31"/>
      <c r="I18" s="31"/>
      <c r="J18" s="30">
        <f t="shared" si="6"/>
        <v>0</v>
      </c>
      <c r="K18" s="30">
        <f t="shared" si="7"/>
        <v>0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/>
      <c r="E19" s="31"/>
      <c r="F19" s="30">
        <f t="shared" si="4"/>
        <v>0</v>
      </c>
      <c r="G19" s="30">
        <f t="shared" si="5"/>
        <v>0</v>
      </c>
      <c r="H19" s="31"/>
      <c r="I19" s="31"/>
      <c r="J19" s="30">
        <f t="shared" si="6"/>
        <v>0</v>
      </c>
      <c r="K19" s="30">
        <f t="shared" si="7"/>
        <v>0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/>
      <c r="E20" s="31"/>
      <c r="F20" s="30">
        <f t="shared" si="4"/>
        <v>0</v>
      </c>
      <c r="G20" s="30">
        <f t="shared" si="5"/>
        <v>0</v>
      </c>
      <c r="H20" s="31"/>
      <c r="I20" s="31"/>
      <c r="J20" s="30">
        <f t="shared" si="6"/>
        <v>0</v>
      </c>
      <c r="K20" s="30">
        <f t="shared" si="7"/>
        <v>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/>
      <c r="E21" s="31"/>
      <c r="F21" s="30">
        <f t="shared" si="4"/>
        <v>0</v>
      </c>
      <c r="G21" s="30">
        <f t="shared" si="5"/>
        <v>0</v>
      </c>
      <c r="H21" s="31"/>
      <c r="I21" s="31"/>
      <c r="J21" s="30">
        <f t="shared" si="6"/>
        <v>0</v>
      </c>
      <c r="K21" s="30">
        <f t="shared" si="7"/>
        <v>0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/>
      <c r="E22" s="31"/>
      <c r="F22" s="30">
        <f t="shared" si="4"/>
        <v>0</v>
      </c>
      <c r="G22" s="30">
        <f t="shared" si="5"/>
        <v>0</v>
      </c>
      <c r="H22" s="31"/>
      <c r="I22" s="31"/>
      <c r="J22" s="30">
        <f t="shared" si="6"/>
        <v>0</v>
      </c>
      <c r="K22" s="30">
        <f t="shared" si="7"/>
        <v>0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/>
      <c r="E23" s="31"/>
      <c r="F23" s="30">
        <f t="shared" si="4"/>
        <v>0</v>
      </c>
      <c r="G23" s="30">
        <f t="shared" si="5"/>
        <v>0</v>
      </c>
      <c r="H23" s="31"/>
      <c r="I23" s="31"/>
      <c r="J23" s="30">
        <f t="shared" si="6"/>
        <v>0</v>
      </c>
      <c r="K23" s="30">
        <f t="shared" si="7"/>
        <v>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/>
      <c r="E24" s="31"/>
      <c r="F24" s="30">
        <f t="shared" si="4"/>
        <v>0</v>
      </c>
      <c r="G24" s="30">
        <f t="shared" si="5"/>
        <v>0</v>
      </c>
      <c r="H24" s="31"/>
      <c r="I24" s="31"/>
      <c r="J24" s="30">
        <f t="shared" si="6"/>
        <v>0</v>
      </c>
      <c r="K24" s="30">
        <f t="shared" si="7"/>
        <v>0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/>
      <c r="E25" s="31"/>
      <c r="F25" s="30">
        <f t="shared" si="4"/>
        <v>0</v>
      </c>
      <c r="G25" s="30">
        <f t="shared" si="5"/>
        <v>0</v>
      </c>
      <c r="H25" s="31"/>
      <c r="I25" s="31"/>
      <c r="J25" s="30">
        <f t="shared" si="6"/>
        <v>0</v>
      </c>
      <c r="K25" s="30">
        <f t="shared" si="7"/>
        <v>0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0</v>
      </c>
      <c r="H26" s="31"/>
      <c r="I26" s="31"/>
      <c r="J26" s="30">
        <f t="shared" si="6"/>
        <v>0</v>
      </c>
      <c r="K26" s="30">
        <f t="shared" si="7"/>
        <v>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6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31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31"/>
      <c r="E33" s="31"/>
      <c r="F33" s="30">
        <f t="shared" si="4"/>
        <v>0</v>
      </c>
      <c r="G33" s="30">
        <f t="shared" si="5"/>
        <v>0</v>
      </c>
      <c r="H33" s="31"/>
      <c r="I33" s="31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31"/>
      <c r="E34" s="31"/>
      <c r="F34" s="30">
        <f t="shared" si="4"/>
        <v>0</v>
      </c>
      <c r="G34" s="30">
        <f t="shared" si="5"/>
        <v>0</v>
      </c>
      <c r="H34" s="31"/>
      <c r="I34" s="31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31"/>
      <c r="E35" s="31"/>
      <c r="F35" s="30">
        <f t="shared" si="4"/>
        <v>0</v>
      </c>
      <c r="G35" s="30">
        <f t="shared" si="5"/>
        <v>0</v>
      </c>
      <c r="H35" s="31"/>
      <c r="I35" s="31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31"/>
      <c r="E36" s="31"/>
      <c r="F36" s="30">
        <f t="shared" si="4"/>
        <v>0</v>
      </c>
      <c r="G36" s="30">
        <f t="shared" si="5"/>
        <v>0</v>
      </c>
      <c r="H36" s="31"/>
      <c r="I36" s="31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si="4"/>
        <v>0</v>
      </c>
      <c r="G37" s="30">
        <f t="shared" si="5"/>
        <v>0</v>
      </c>
      <c r="H37" s="31"/>
      <c r="I37" s="31"/>
      <c r="J37" s="30">
        <f>H37+I37</f>
        <v>0</v>
      </c>
      <c r="K37" s="30">
        <f t="shared" si="7"/>
        <v>0</v>
      </c>
      <c r="L37" s="35"/>
      <c r="M37" s="32"/>
      <c r="N37" s="4"/>
    </row>
    <row r="38" spans="1:14">
      <c r="L38" s="1"/>
    </row>
    <row r="40" spans="1:14">
      <c r="J40" s="1"/>
      <c r="K40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2025-06-02T13:23:47Z</dcterms:modified>
</cp:coreProperties>
</file>