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6250614C-948D-42CA-BC01-354A8D3F461A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'Consum.'!$L$38:$L$39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9" i="1"/>
  <c r="G9" i="1" s="1"/>
  <c r="E3" i="2" s="1"/>
  <c r="C9" i="1"/>
  <c r="J8" i="1"/>
  <c r="F8" i="1"/>
  <c r="J7" i="1"/>
  <c r="K7" i="1" s="1"/>
  <c r="F7" i="1"/>
  <c r="G7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K8" i="1" l="1"/>
  <c r="I2" i="2" s="1"/>
  <c r="K9" i="1"/>
  <c r="I3" i="2" s="1"/>
  <c r="G8" i="1"/>
  <c r="E2" i="2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J37" i="1" l="1"/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5" i="1"/>
  <c r="J16" i="1"/>
  <c r="J17" i="1"/>
  <c r="K35" i="1" l="1"/>
  <c r="I29" i="2" s="1"/>
  <c r="J10" i="1" l="1"/>
  <c r="J11" i="1"/>
  <c r="J12" i="1"/>
  <c r="J13" i="1"/>
  <c r="J14" i="1"/>
  <c r="K23" i="1" l="1"/>
  <c r="I17" i="2" s="1"/>
  <c r="K30" i="1"/>
  <c r="I24" i="2" s="1"/>
  <c r="K31" i="1" l="1"/>
  <c r="I25" i="2" s="1"/>
  <c r="K32" i="1"/>
  <c r="I26" i="2" s="1"/>
  <c r="K17" i="1" l="1"/>
  <c r="I11" i="2" s="1"/>
  <c r="K21" i="1"/>
  <c r="I15" i="2" s="1"/>
  <c r="K20" i="1"/>
  <c r="I14" i="2" s="1"/>
  <c r="K19" i="1"/>
  <c r="I13" i="2" s="1"/>
  <c r="K18" i="1"/>
  <c r="I12" i="2" s="1"/>
  <c r="G31" i="1" l="1"/>
  <c r="E25" i="2" s="1"/>
  <c r="G32" i="1"/>
  <c r="E26" i="2" s="1"/>
  <c r="K29" i="1"/>
  <c r="I23" i="2" s="1"/>
  <c r="K33" i="1"/>
  <c r="I27" i="2" s="1"/>
  <c r="K34" i="1"/>
  <c r="I28" i="2" s="1"/>
  <c r="K36" i="1"/>
  <c r="I30" i="2" s="1"/>
  <c r="K37" i="1"/>
  <c r="I31" i="2" s="1"/>
  <c r="K24" i="1"/>
  <c r="I18" i="2" s="1"/>
  <c r="K25" i="1"/>
  <c r="I19" i="2" s="1"/>
  <c r="K26" i="1"/>
  <c r="I20" i="2" s="1"/>
  <c r="K27" i="1"/>
  <c r="I21" i="2" s="1"/>
  <c r="K28" i="1"/>
  <c r="I22" i="2" s="1"/>
  <c r="G17" i="1" l="1"/>
  <c r="E11" i="2" s="1"/>
  <c r="G18" i="1"/>
  <c r="E12" i="2" s="1"/>
  <c r="G22" i="1"/>
  <c r="E16" i="2" s="1"/>
  <c r="G21" i="1"/>
  <c r="E15" i="2" s="1"/>
  <c r="G20" i="1"/>
  <c r="E14" i="2" s="1"/>
  <c r="G19" i="1"/>
  <c r="E13" i="2" s="1"/>
  <c r="G37" i="1" l="1"/>
  <c r="E31" i="2" s="1"/>
  <c r="G10" i="1" l="1"/>
  <c r="E4" i="2" s="1"/>
  <c r="G26" i="1"/>
  <c r="E20" i="2" s="1"/>
  <c r="G25" i="1"/>
  <c r="E19" i="2" s="1"/>
  <c r="G14" i="1"/>
  <c r="E8" i="2" s="1"/>
  <c r="G33" i="1"/>
  <c r="E27" i="2" s="1"/>
  <c r="G11" i="1"/>
  <c r="E5" i="2" s="1"/>
  <c r="G15" i="1"/>
  <c r="E9" i="2" s="1"/>
  <c r="G16" i="1"/>
  <c r="E10" i="2" s="1"/>
  <c r="G27" i="1"/>
  <c r="E21" i="2" s="1"/>
  <c r="G34" i="1"/>
  <c r="E28" i="2" s="1"/>
  <c r="G12" i="1"/>
  <c r="E6" i="2" s="1"/>
  <c r="G23" i="1"/>
  <c r="E17" i="2" s="1"/>
  <c r="G28" i="1"/>
  <c r="E22" i="2" s="1"/>
  <c r="G35" i="1"/>
  <c r="E29" i="2" s="1"/>
  <c r="G13" i="1"/>
  <c r="E7" i="2" s="1"/>
  <c r="G24" i="1"/>
  <c r="E18" i="2" s="1"/>
  <c r="G29" i="1"/>
  <c r="E23" i="2" s="1"/>
  <c r="G30" i="1"/>
  <c r="E24" i="2" s="1"/>
  <c r="G36" i="1"/>
  <c r="E30" i="2" s="1"/>
  <c r="K14" i="1"/>
  <c r="I8" i="2" s="1"/>
  <c r="K15" i="1"/>
  <c r="I9" i="2" s="1"/>
  <c r="K16" i="1"/>
  <c r="I10" i="2" s="1"/>
  <c r="K22" i="1"/>
  <c r="I16" i="2" s="1"/>
  <c r="K13" i="1"/>
  <c r="I7" i="2" s="1"/>
  <c r="K12" i="1"/>
  <c r="I6" i="2" s="1"/>
  <c r="K10" i="1"/>
  <c r="I4" i="2" s="1"/>
  <c r="K11" i="1"/>
  <c r="I5" i="2" s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<sst xmlns="http://schemas.openxmlformats.org/spreadsheetml/2006/main" count="64" uniqueCount="31">
  <si>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</si>
  <si>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</si>
  <si>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</si>
  <si>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</si>
  <si>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</si>
  <si>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</si>
  <si>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</si>
  <si>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</si>
  <si>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</si>
  <si>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</si>
  <si>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</si>
  <si>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</si>
  <si>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</si>
  <si>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</si>
  <si>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</si>
  <si>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</si>
  <si>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</si>
  <si>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</si>
  <si>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</si>
  <si>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</si>
  <si>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</si>
  <si>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</si>
  <si>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</si>
  <si>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</si>
  <si>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</si>
  <si>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</si>
  <si>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</si>
  <si>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</si>
  <si>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</si>
  <si>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</si>
  <si>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Apr-2025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</si>
</sst>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Univers"/>
      <family val="2"/>
    </font>
    <font>
      <sz val="10"/>
      <color rgb="FFFF000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9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" fontId="2" fillId="6" borderId="24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17" xfId="0" applyNumberFormat="1" applyFont="1" applyFill="1" applyBorder="1" applyAlignment="1">
      <alignment horizontal="center" vertical="center" wrapText="1"/>
    </xf>
    <xf numFmtId="14" fontId="6" fillId="6" borderId="27" xfId="0" applyNumberFormat="1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 wrapText="1"/>
    </xf>
    <xf numFmtId="2" fontId="12" fillId="0" borderId="30" xfId="1" applyNumberFormat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1" fillId="0" borderId="0" xfId="1" applyFont="1"/>
    <xf numFmtId="0" fontId="10" fillId="0" borderId="0" xfId="1" applyFont="1" applyAlignment="1">
      <alignment horizontal="center"/>
    </xf>
    <xf numFmtId="0" fontId="9" fillId="0" borderId="0" xfId="1"/>
    <xf numFmtId="0" fontId="2" fillId="5" borderId="26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 wrapText="1"/>
    </xf>
    <xf numFmtId="1" fontId="15" fillId="4" borderId="3" xfId="0" applyNumberFormat="1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workbookViewId="0">
      <selection activeCell="H39" sqref="H39"/>
    </sheetView>
  </sheetViews>
  <sheetFormatPr defaultColWidth="11.5703125" defaultRowHeight="15"/>
  <cols>
    <col min="1" max="1" width="29.140625" style="49" bestFit="1" customWidth="1"/>
    <col min="2" max="3" width="11.5703125" style="44"/>
    <col min="4" max="4" width="13.42578125" style="44" customWidth="1"/>
    <col min="5" max="5" width="12.5703125" style="48" customWidth="1"/>
    <col min="6" max="6" width="12.5703125" style="46" customWidth="1"/>
    <col min="7" max="7" width="11.5703125" style="48"/>
    <col min="8" max="8" width="11.5703125" style="46"/>
    <col min="9" max="9" width="11.5703125" style="48"/>
    <col min="10" max="10" width="11.5703125" style="50"/>
    <col min="11" max="24" width="11.5703125" style="48"/>
    <col min="25" max="16384" width="11.5703125" style="51"/>
  </cols>
  <sheetData>
    <row r="1" spans="1:12" s="42" customFormat="1" ht="60">
      <c r="A1" s="38" t="s">
        <v>16</v>
      </c>
      <c r="B1" s="38" t="s">
        <v>17</v>
      </c>
      <c r="C1" s="38" t="s">
        <v>18</v>
      </c>
      <c r="D1" s="38" t="s">
        <v>19</v>
      </c>
      <c r="E1" s="39" t="s">
        <v>20</v>
      </c>
      <c r="F1" s="40" t="s">
        <v>21</v>
      </c>
      <c r="G1" s="39" t="s">
        <v>22</v>
      </c>
      <c r="H1" s="40" t="s">
        <v>23</v>
      </c>
      <c r="I1" s="39" t="s">
        <v>24</v>
      </c>
      <c r="J1" s="41" t="s">
        <v>25</v>
      </c>
      <c r="K1" s="39" t="s">
        <v>26</v>
      </c>
      <c r="L1" s="39" t="s">
        <v>27</v>
      </c>
    </row>
    <row r="2" spans="1:12">
      <c r="A2" s="43" t="s">
        <v>28</v>
      </c>
      <c r="B2" s="44">
        <v>1</v>
      </c>
      <c r="C2" s="44">
        <v>4</v>
      </c>
      <c r="D2" s="44">
        <v>2025</v>
      </c>
      <c r="E2" s="45">
        <f>'Consum.'!G8</f>
        <v>11670</v>
      </c>
      <c r="F2" s="46">
        <v>0.2</v>
      </c>
      <c r="G2" s="45"/>
      <c r="I2" s="45">
        <f>'Consum.'!K8</f>
        <v>62</v>
      </c>
      <c r="J2" s="47">
        <v>7.84</v>
      </c>
      <c r="K2" s="45">
        <v>211</v>
      </c>
      <c r="L2" s="45">
        <v>306</v>
      </c>
    </row>
    <row r="3" spans="1:12">
      <c r="A3" s="43" t="s">
        <v>28</v>
      </c>
      <c r="B3" s="44">
        <f>B2+1</f>
        <v>2</v>
      </c>
      <c r="C3" s="44">
        <v>4</v>
      </c>
      <c r="D3" s="44">
        <v>2025</v>
      </c>
      <c r="E3" s="45">
        <f>'Consum.'!G9</f>
        <v>11405</v>
      </c>
      <c r="F3" s="46">
        <v>0.2</v>
      </c>
      <c r="G3" s="45"/>
      <c r="I3" s="45">
        <f>'Consum.'!K9</f>
        <v>70</v>
      </c>
      <c r="J3" s="47">
        <v>7.84</v>
      </c>
      <c r="K3" s="45">
        <v>214</v>
      </c>
      <c r="L3" s="45">
        <v>288</v>
      </c>
    </row>
    <row r="4" spans="1:12">
      <c r="A4" s="43" t="s">
        <v>28</v>
      </c>
      <c r="B4" s="44">
        <f t="shared" ref="B4:B31" si="0">B3+1</f>
        <v>3</v>
      </c>
      <c r="C4" s="44">
        <v>4</v>
      </c>
      <c r="D4" s="44">
        <v>2025</v>
      </c>
      <c r="E4" s="45">
        <f>'Consum.'!G10</f>
        <v>12565</v>
      </c>
      <c r="F4" s="46">
        <v>0.2</v>
      </c>
      <c r="G4" s="45"/>
      <c r="I4" s="45">
        <f>'Consum.'!K10</f>
        <v>58</v>
      </c>
      <c r="J4" s="47">
        <v>7.84</v>
      </c>
      <c r="K4" s="45">
        <v>178</v>
      </c>
      <c r="L4" s="45">
        <v>240</v>
      </c>
    </row>
    <row r="5" spans="1:12">
      <c r="A5" s="43" t="s">
        <v>28</v>
      </c>
      <c r="B5" s="44">
        <f t="shared" si="0"/>
        <v>4</v>
      </c>
      <c r="C5" s="44">
        <v>4</v>
      </c>
      <c r="D5" s="44">
        <v>2025</v>
      </c>
      <c r="E5" s="45">
        <f>'Consum.'!G11</f>
        <v>12700</v>
      </c>
      <c r="F5" s="46">
        <v>0.2</v>
      </c>
      <c r="G5" s="45"/>
      <c r="I5" s="45">
        <f>'Consum.'!K11</f>
        <v>51</v>
      </c>
      <c r="J5" s="47">
        <v>7.84</v>
      </c>
      <c r="K5" s="45">
        <v>177</v>
      </c>
      <c r="L5" s="45">
        <v>236</v>
      </c>
    </row>
    <row r="6" spans="1:12">
      <c r="A6" s="43" t="s">
        <v>28</v>
      </c>
      <c r="B6" s="44">
        <f t="shared" si="0"/>
        <v>5</v>
      </c>
      <c r="C6" s="44">
        <v>4</v>
      </c>
      <c r="D6" s="44">
        <v>2025</v>
      </c>
      <c r="E6" s="45">
        <f>'Consum.'!G12</f>
        <v>12601</v>
      </c>
      <c r="F6" s="46">
        <v>0.2</v>
      </c>
      <c r="G6" s="45"/>
      <c r="I6" s="45">
        <f>'Consum.'!K12</f>
        <v>34</v>
      </c>
      <c r="J6" s="47">
        <v>7.84</v>
      </c>
      <c r="K6" s="45">
        <v>191</v>
      </c>
      <c r="L6" s="45">
        <v>256</v>
      </c>
    </row>
    <row r="7" spans="1:12">
      <c r="A7" s="43" t="s">
        <v>28</v>
      </c>
      <c r="B7" s="44">
        <f t="shared" si="0"/>
        <v>6</v>
      </c>
      <c r="C7" s="44">
        <v>4</v>
      </c>
      <c r="D7" s="44">
        <v>2025</v>
      </c>
      <c r="E7" s="45">
        <f>'Consum.'!G13</f>
        <v>12214</v>
      </c>
      <c r="F7" s="46">
        <v>0.2</v>
      </c>
      <c r="G7" s="45"/>
      <c r="I7" s="45">
        <f>'Consum.'!K13</f>
        <v>105</v>
      </c>
      <c r="J7" s="47">
        <v>7.84</v>
      </c>
      <c r="K7" s="45">
        <v>221</v>
      </c>
      <c r="L7" s="45">
        <v>276</v>
      </c>
    </row>
    <row r="8" spans="1:12">
      <c r="A8" s="43" t="s">
        <v>28</v>
      </c>
      <c r="B8" s="44">
        <f t="shared" si="0"/>
        <v>7</v>
      </c>
      <c r="C8" s="44">
        <v>4</v>
      </c>
      <c r="D8" s="44">
        <v>2025</v>
      </c>
      <c r="E8" s="45">
        <f>'Consum.'!G14</f>
        <v>12337</v>
      </c>
      <c r="F8" s="46">
        <v>0.2</v>
      </c>
      <c r="G8" s="45"/>
      <c r="I8" s="45">
        <f>'Consum.'!K14</f>
        <v>14</v>
      </c>
      <c r="J8" s="47">
        <v>7.84</v>
      </c>
      <c r="K8" s="45">
        <v>226</v>
      </c>
      <c r="L8" s="45">
        <v>226</v>
      </c>
    </row>
    <row r="9" spans="1:12">
      <c r="A9" s="43" t="s">
        <v>28</v>
      </c>
      <c r="B9" s="44">
        <f t="shared" si="0"/>
        <v>8</v>
      </c>
      <c r="C9" s="44">
        <v>4</v>
      </c>
      <c r="D9" s="44">
        <v>2025</v>
      </c>
      <c r="E9" s="45">
        <f>'Consum.'!G15</f>
        <v>12163</v>
      </c>
      <c r="F9" s="46">
        <v>0.2</v>
      </c>
      <c r="G9" s="45"/>
      <c r="I9" s="45">
        <f>'Consum.'!K15</f>
        <v>66</v>
      </c>
      <c r="J9" s="47">
        <v>7.84</v>
      </c>
      <c r="K9" s="45">
        <v>229</v>
      </c>
      <c r="L9" s="45">
        <v>266</v>
      </c>
    </row>
    <row r="10" spans="1:12">
      <c r="A10" s="43" t="s">
        <v>28</v>
      </c>
      <c r="B10" s="44">
        <f t="shared" si="0"/>
        <v>9</v>
      </c>
      <c r="C10" s="44">
        <v>4</v>
      </c>
      <c r="D10" s="44">
        <v>2025</v>
      </c>
      <c r="E10" s="45">
        <f>'Consum.'!G16</f>
        <v>11531</v>
      </c>
      <c r="F10" s="46">
        <v>0.2</v>
      </c>
      <c r="G10" s="45"/>
      <c r="I10" s="45">
        <f>'Consum.'!K16</f>
        <v>66</v>
      </c>
      <c r="J10" s="47">
        <v>7.84</v>
      </c>
      <c r="K10" s="45">
        <v>229</v>
      </c>
      <c r="L10" s="45">
        <v>273</v>
      </c>
    </row>
    <row r="11" spans="1:12">
      <c r="A11" s="43" t="s">
        <v>28</v>
      </c>
      <c r="B11" s="44">
        <f t="shared" si="0"/>
        <v>10</v>
      </c>
      <c r="C11" s="44">
        <v>4</v>
      </c>
      <c r="D11" s="44">
        <v>2025</v>
      </c>
      <c r="E11" s="45">
        <f>'Consum.'!G17</f>
        <v>11144</v>
      </c>
      <c r="F11" s="46">
        <v>0.2</v>
      </c>
      <c r="G11" s="45"/>
      <c r="I11" s="45">
        <f>'Consum.'!K17</f>
        <v>39</v>
      </c>
      <c r="J11" s="47">
        <v>7.84</v>
      </c>
      <c r="K11" s="45">
        <v>229</v>
      </c>
      <c r="L11" s="45">
        <v>278</v>
      </c>
    </row>
    <row r="12" spans="1:12">
      <c r="A12" s="43" t="s">
        <v>28</v>
      </c>
      <c r="B12" s="44">
        <f t="shared" si="0"/>
        <v>11</v>
      </c>
      <c r="C12" s="44">
        <v>4</v>
      </c>
      <c r="D12" s="44">
        <v>2025</v>
      </c>
      <c r="E12" s="45">
        <f>'Consum.'!G18</f>
        <v>11304</v>
      </c>
      <c r="F12" s="46">
        <v>0.2</v>
      </c>
      <c r="G12" s="45"/>
      <c r="I12" s="45">
        <f>'Consum.'!K18</f>
        <v>68</v>
      </c>
      <c r="J12" s="47">
        <v>7.84</v>
      </c>
      <c r="K12" s="45">
        <v>214</v>
      </c>
      <c r="L12" s="45">
        <v>274</v>
      </c>
    </row>
    <row r="13" spans="1:12">
      <c r="A13" s="43" t="s">
        <v>28</v>
      </c>
      <c r="B13" s="44">
        <f t="shared" si="0"/>
        <v>12</v>
      </c>
      <c r="C13" s="44">
        <v>4</v>
      </c>
      <c r="D13" s="44">
        <v>2025</v>
      </c>
      <c r="E13" s="45">
        <f>'Consum.'!G19</f>
        <v>12165</v>
      </c>
      <c r="F13" s="46">
        <v>0.2</v>
      </c>
      <c r="G13" s="45"/>
      <c r="I13" s="45">
        <f>'Consum.'!K19</f>
        <v>53</v>
      </c>
      <c r="J13" s="47">
        <v>7.84</v>
      </c>
      <c r="K13" s="45">
        <v>221</v>
      </c>
      <c r="L13" s="45">
        <v>280</v>
      </c>
    </row>
    <row r="14" spans="1:12">
      <c r="A14" s="43" t="s">
        <v>28</v>
      </c>
      <c r="B14" s="44">
        <f t="shared" si="0"/>
        <v>13</v>
      </c>
      <c r="C14" s="44">
        <v>4</v>
      </c>
      <c r="D14" s="44">
        <v>2025</v>
      </c>
      <c r="E14" s="45">
        <f>'Consum.'!G20</f>
        <v>12589</v>
      </c>
      <c r="F14" s="46">
        <v>0.2</v>
      </c>
      <c r="G14" s="45"/>
      <c r="I14" s="45">
        <f>'Consum.'!K20</f>
        <v>57</v>
      </c>
      <c r="J14" s="47">
        <v>7.84</v>
      </c>
      <c r="K14" s="45">
        <v>210</v>
      </c>
      <c r="L14" s="45">
        <v>256</v>
      </c>
    </row>
    <row r="15" spans="1:12">
      <c r="A15" s="43" t="s">
        <v>28</v>
      </c>
      <c r="B15" s="44">
        <f t="shared" si="0"/>
        <v>14</v>
      </c>
      <c r="C15" s="44">
        <v>4</v>
      </c>
      <c r="D15" s="44">
        <v>2025</v>
      </c>
      <c r="E15" s="45">
        <f>'Consum.'!G21</f>
        <v>12962</v>
      </c>
      <c r="F15" s="46">
        <v>0.2</v>
      </c>
      <c r="G15" s="45"/>
      <c r="I15" s="45">
        <f>'Consum.'!K21</f>
        <v>42</v>
      </c>
      <c r="J15" s="47">
        <v>7.84</v>
      </c>
      <c r="K15" s="45">
        <v>228</v>
      </c>
      <c r="L15" s="45">
        <v>276</v>
      </c>
    </row>
    <row r="16" spans="1:12">
      <c r="A16" s="43" t="s">
        <v>28</v>
      </c>
      <c r="B16" s="44">
        <f t="shared" si="0"/>
        <v>15</v>
      </c>
      <c r="C16" s="44">
        <v>4</v>
      </c>
      <c r="D16" s="44">
        <v>2025</v>
      </c>
      <c r="E16" s="45">
        <f>'Consum.'!G22</f>
        <v>12279</v>
      </c>
      <c r="F16" s="46">
        <v>0.2</v>
      </c>
      <c r="G16" s="45"/>
      <c r="I16" s="45">
        <f>'Consum.'!K22</f>
        <v>79</v>
      </c>
      <c r="J16" s="47">
        <v>7.84</v>
      </c>
      <c r="K16" s="45">
        <v>229</v>
      </c>
      <c r="L16" s="45">
        <v>283</v>
      </c>
    </row>
    <row r="17" spans="1:12">
      <c r="A17" s="43" t="s">
        <v>28</v>
      </c>
      <c r="B17" s="44">
        <f t="shared" si="0"/>
        <v>16</v>
      </c>
      <c r="C17" s="44">
        <v>4</v>
      </c>
      <c r="D17" s="44">
        <v>2025</v>
      </c>
      <c r="E17" s="45">
        <f>'Consum.'!G23</f>
        <v>12140</v>
      </c>
      <c r="F17" s="46">
        <v>0.2</v>
      </c>
      <c r="G17" s="45"/>
      <c r="I17" s="45">
        <f>'Consum.'!K23</f>
        <v>68</v>
      </c>
      <c r="J17" s="47">
        <v>7.84</v>
      </c>
      <c r="K17" s="45">
        <v>229</v>
      </c>
      <c r="L17" s="45">
        <v>287</v>
      </c>
    </row>
    <row r="18" spans="1:12">
      <c r="A18" s="43" t="s">
        <v>28</v>
      </c>
      <c r="B18" s="44">
        <f t="shared" si="0"/>
        <v>17</v>
      </c>
      <c r="C18" s="44">
        <v>4</v>
      </c>
      <c r="D18" s="44">
        <v>2025</v>
      </c>
      <c r="E18" s="45">
        <f>'Consum.'!G24</f>
        <v>12005</v>
      </c>
      <c r="F18" s="46">
        <v>0.2</v>
      </c>
      <c r="G18" s="45"/>
      <c r="I18" s="45">
        <f>'Consum.'!K24</f>
        <v>37</v>
      </c>
      <c r="J18" s="47">
        <v>7.84</v>
      </c>
      <c r="K18" s="45">
        <v>229</v>
      </c>
      <c r="L18" s="45">
        <v>294</v>
      </c>
    </row>
    <row r="19" spans="1:12">
      <c r="A19" s="43" t="s">
        <v>28</v>
      </c>
      <c r="B19" s="44">
        <f t="shared" si="0"/>
        <v>18</v>
      </c>
      <c r="C19" s="44">
        <v>4</v>
      </c>
      <c r="D19" s="44">
        <v>2025</v>
      </c>
      <c r="E19" s="45">
        <f>'Consum.'!G25</f>
        <v>11210</v>
      </c>
      <c r="F19" s="46">
        <v>0.2</v>
      </c>
      <c r="G19" s="45">
        <v>1800</v>
      </c>
      <c r="H19" s="46">
        <v>1.85</v>
      </c>
      <c r="I19" s="45">
        <f>'Consum.'!K25</f>
        <v>38</v>
      </c>
      <c r="J19" s="47">
        <v>7.84</v>
      </c>
      <c r="K19" s="45">
        <v>229</v>
      </c>
      <c r="L19" s="45">
        <v>297</v>
      </c>
    </row>
    <row r="20" spans="1:12">
      <c r="A20" s="43" t="s">
        <v>28</v>
      </c>
      <c r="B20" s="44">
        <f t="shared" si="0"/>
        <v>19</v>
      </c>
      <c r="C20" s="44">
        <v>4</v>
      </c>
      <c r="D20" s="44">
        <v>2025</v>
      </c>
      <c r="E20" s="45">
        <f>'Consum.'!G26</f>
        <v>10859</v>
      </c>
      <c r="F20" s="46">
        <v>0.2</v>
      </c>
      <c r="G20" s="45"/>
      <c r="I20" s="45">
        <f>'Consum.'!K26</f>
        <v>58</v>
      </c>
      <c r="J20" s="47">
        <v>7.84</v>
      </c>
      <c r="K20" s="45">
        <v>226</v>
      </c>
      <c r="L20" s="45">
        <v>291</v>
      </c>
    </row>
    <row r="21" spans="1:12">
      <c r="A21" s="43" t="s">
        <v>28</v>
      </c>
      <c r="B21" s="44">
        <f t="shared" si="0"/>
        <v>20</v>
      </c>
      <c r="C21" s="44">
        <v>4</v>
      </c>
      <c r="D21" s="44">
        <v>2025</v>
      </c>
      <c r="E21" s="45">
        <f>'Consum.'!G27</f>
        <v>11381</v>
      </c>
      <c r="F21" s="46">
        <v>0.2</v>
      </c>
      <c r="G21" s="45"/>
      <c r="I21" s="45">
        <f>'Consum.'!K27</f>
        <v>64</v>
      </c>
      <c r="J21" s="47">
        <v>7.84</v>
      </c>
      <c r="K21" s="45">
        <v>223</v>
      </c>
      <c r="L21" s="45">
        <v>275</v>
      </c>
    </row>
    <row r="22" spans="1:12">
      <c r="A22" s="43" t="s">
        <v>28</v>
      </c>
      <c r="B22" s="44">
        <f t="shared" si="0"/>
        <v>21</v>
      </c>
      <c r="C22" s="44">
        <v>4</v>
      </c>
      <c r="D22" s="44">
        <v>2025</v>
      </c>
      <c r="E22" s="45">
        <f>'Consum.'!G28</f>
        <v>11356</v>
      </c>
      <c r="F22" s="46">
        <v>0.2</v>
      </c>
      <c r="G22" s="45"/>
      <c r="I22" s="45">
        <f>'Consum.'!K28</f>
        <v>54</v>
      </c>
      <c r="J22" s="47">
        <v>7.84</v>
      </c>
      <c r="K22" s="45">
        <v>229</v>
      </c>
      <c r="L22" s="45">
        <v>266</v>
      </c>
    </row>
    <row r="23" spans="1:12">
      <c r="A23" s="43" t="s">
        <v>28</v>
      </c>
      <c r="B23" s="44">
        <f t="shared" si="0"/>
        <v>22</v>
      </c>
      <c r="C23" s="44">
        <v>4</v>
      </c>
      <c r="D23" s="44">
        <v>2025</v>
      </c>
      <c r="E23" s="45">
        <f>'Consum.'!G29</f>
        <v>11924</v>
      </c>
      <c r="F23" s="46">
        <v>0.2</v>
      </c>
      <c r="G23" s="45"/>
      <c r="I23" s="45">
        <f>'Consum.'!K29</f>
        <v>50</v>
      </c>
      <c r="J23" s="47">
        <v>7.84</v>
      </c>
      <c r="K23" s="45">
        <v>229</v>
      </c>
      <c r="L23" s="45">
        <v>282</v>
      </c>
    </row>
    <row r="24" spans="1:12">
      <c r="A24" s="43" t="s">
        <v>28</v>
      </c>
      <c r="B24" s="44">
        <f t="shared" si="0"/>
        <v>23</v>
      </c>
      <c r="C24" s="44">
        <v>4</v>
      </c>
      <c r="D24" s="44">
        <v>2025</v>
      </c>
      <c r="E24" s="45">
        <f>'Consum.'!G30</f>
        <v>13004</v>
      </c>
      <c r="F24" s="46">
        <v>0.2</v>
      </c>
      <c r="G24" s="45"/>
      <c r="I24" s="45">
        <f>'Consum.'!K30</f>
        <v>52</v>
      </c>
      <c r="J24" s="47">
        <v>7.84</v>
      </c>
      <c r="K24" s="45">
        <v>224</v>
      </c>
      <c r="L24" s="45">
        <v>281</v>
      </c>
    </row>
    <row r="25" spans="1:12">
      <c r="A25" s="43" t="s">
        <v>28</v>
      </c>
      <c r="B25" s="44">
        <f t="shared" si="0"/>
        <v>24</v>
      </c>
      <c r="C25" s="44">
        <v>4</v>
      </c>
      <c r="D25" s="44">
        <v>2025</v>
      </c>
      <c r="E25" s="45">
        <f>'Consum.'!G31</f>
        <v>11266</v>
      </c>
      <c r="F25" s="46">
        <v>0.2</v>
      </c>
      <c r="G25" s="45"/>
      <c r="I25" s="45">
        <f>'Consum.'!K31</f>
        <v>52</v>
      </c>
      <c r="J25" s="47">
        <v>7.84</v>
      </c>
      <c r="K25" s="45">
        <v>219</v>
      </c>
      <c r="L25" s="45">
        <v>269</v>
      </c>
    </row>
    <row r="26" spans="1:12">
      <c r="A26" s="43" t="s">
        <v>28</v>
      </c>
      <c r="B26" s="44">
        <f>B25+1</f>
        <v>25</v>
      </c>
      <c r="C26" s="44">
        <v>4</v>
      </c>
      <c r="D26" s="44">
        <v>2025</v>
      </c>
      <c r="E26" s="45">
        <f>'Consum.'!G32</f>
        <v>11744</v>
      </c>
      <c r="F26" s="46">
        <v>0.2</v>
      </c>
      <c r="G26" s="45"/>
      <c r="I26" s="45">
        <f>'Consum.'!K32</f>
        <v>50</v>
      </c>
      <c r="J26" s="47">
        <v>7.84</v>
      </c>
      <c r="K26" s="45">
        <v>229</v>
      </c>
      <c r="L26" s="45">
        <v>297</v>
      </c>
    </row>
    <row r="27" spans="1:12">
      <c r="A27" s="43" t="s">
        <v>28</v>
      </c>
      <c r="B27" s="44">
        <f t="shared" si="0"/>
        <v>26</v>
      </c>
      <c r="C27" s="44">
        <v>4</v>
      </c>
      <c r="D27" s="44">
        <v>2025</v>
      </c>
      <c r="E27" s="45">
        <f>'Consum.'!G33</f>
        <v>12116</v>
      </c>
      <c r="F27" s="46">
        <v>0.2</v>
      </c>
      <c r="G27" s="45"/>
      <c r="I27" s="45">
        <f>'Consum.'!K33</f>
        <v>77</v>
      </c>
      <c r="J27" s="47">
        <v>7.84</v>
      </c>
      <c r="K27" s="45">
        <v>228</v>
      </c>
      <c r="L27" s="45">
        <v>303</v>
      </c>
    </row>
    <row r="28" spans="1:12">
      <c r="A28" s="43" t="s">
        <v>28</v>
      </c>
      <c r="B28" s="44">
        <f t="shared" si="0"/>
        <v>27</v>
      </c>
      <c r="C28" s="44">
        <v>4</v>
      </c>
      <c r="D28" s="44">
        <v>2025</v>
      </c>
      <c r="E28" s="45">
        <f>'Consum.'!G34</f>
        <v>13140</v>
      </c>
      <c r="F28" s="46">
        <v>0.2</v>
      </c>
      <c r="G28" s="45"/>
      <c r="I28" s="45">
        <f>'Consum.'!K34</f>
        <v>61</v>
      </c>
      <c r="J28" s="47">
        <v>7.84</v>
      </c>
      <c r="K28" s="45">
        <v>229</v>
      </c>
      <c r="L28" s="45">
        <v>293</v>
      </c>
    </row>
    <row r="29" spans="1:12">
      <c r="A29" s="43" t="s">
        <v>28</v>
      </c>
      <c r="B29" s="44">
        <f t="shared" si="0"/>
        <v>28</v>
      </c>
      <c r="C29" s="44">
        <v>4</v>
      </c>
      <c r="D29" s="44">
        <v>2025</v>
      </c>
      <c r="E29" s="45">
        <f>'Consum.'!G35</f>
        <v>12948</v>
      </c>
      <c r="F29" s="46">
        <v>0.2</v>
      </c>
      <c r="G29" s="45"/>
      <c r="I29" s="45">
        <f>'Consum.'!K35</f>
        <v>72</v>
      </c>
      <c r="J29" s="47">
        <v>7.84</v>
      </c>
      <c r="K29" s="45">
        <v>229</v>
      </c>
      <c r="L29" s="45">
        <v>283</v>
      </c>
    </row>
    <row r="30" spans="1:12">
      <c r="A30" s="43" t="s">
        <v>28</v>
      </c>
      <c r="B30" s="44">
        <f t="shared" si="0"/>
        <v>29</v>
      </c>
      <c r="C30" s="44">
        <v>4</v>
      </c>
      <c r="D30" s="44">
        <v>2025</v>
      </c>
      <c r="E30" s="45">
        <f>'Consum.'!G36</f>
        <v>14013</v>
      </c>
      <c r="F30" s="46">
        <v>0.2</v>
      </c>
      <c r="G30" s="45"/>
      <c r="I30" s="45">
        <f>'Consum.'!K36</f>
        <v>54</v>
      </c>
      <c r="J30" s="47">
        <v>7.84</v>
      </c>
      <c r="K30" s="45">
        <v>229</v>
      </c>
      <c r="L30" s="45">
        <v>279</v>
      </c>
    </row>
    <row r="31" spans="1:12">
      <c r="A31" s="43" t="s">
        <v>28</v>
      </c>
      <c r="B31" s="44">
        <f t="shared" si="0"/>
        <v>30</v>
      </c>
      <c r="C31" s="44">
        <v>4</v>
      </c>
      <c r="D31" s="44">
        <v>2025</v>
      </c>
      <c r="E31" s="45">
        <f>'Consum.'!G37</f>
        <v>13379</v>
      </c>
      <c r="F31" s="46">
        <v>0.2</v>
      </c>
      <c r="G31" s="45"/>
      <c r="I31" s="45">
        <f>'Consum.'!K37</f>
        <v>63</v>
      </c>
      <c r="J31" s="47">
        <v>7.84</v>
      </c>
      <c r="K31" s="45">
        <v>229</v>
      </c>
      <c r="L31" s="45">
        <v>277</v>
      </c>
    </row>
    <row r="32" spans="1:12">
      <c r="G32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zoomScale="70" zoomScaleNormal="70" zoomScaleSheetLayoutView="100" workbookViewId="0">
      <selection activeCell="P37" sqref="P37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27.42578125" customWidth="1"/>
    <col min="13" max="13" width="18.5703125" customWidth="1"/>
  </cols>
  <sheetData>
    <row r="1" spans="1:13" ht="49.5" customHeight="1" thickBot="1">
      <c r="A1" s="86" t="s">
        <v>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3" ht="96.75" customHeight="1" thickBot="1">
      <c r="A2" s="84" t="s">
        <v>30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s="8" customFormat="1" ht="15.2" customHeight="1">
      <c r="A3" s="34" t="s">
        <v>0</v>
      </c>
      <c r="B3" s="68" t="s">
        <v>1</v>
      </c>
      <c r="C3" s="69"/>
      <c r="D3" s="72" t="s">
        <v>3</v>
      </c>
      <c r="E3" s="73"/>
      <c r="F3" s="73"/>
      <c r="G3" s="74"/>
      <c r="H3" s="78" t="s">
        <v>11</v>
      </c>
      <c r="I3" s="79"/>
      <c r="J3" s="79"/>
      <c r="K3" s="80"/>
      <c r="L3" s="52" t="s">
        <v>5</v>
      </c>
      <c r="M3" s="65" t="s">
        <v>5</v>
      </c>
    </row>
    <row r="4" spans="1:13" s="8" customFormat="1" ht="15" customHeight="1">
      <c r="A4" s="34"/>
      <c r="B4" s="70"/>
      <c r="C4" s="71"/>
      <c r="D4" s="75"/>
      <c r="E4" s="76"/>
      <c r="F4" s="76"/>
      <c r="G4" s="77"/>
      <c r="H4" s="81"/>
      <c r="I4" s="82"/>
      <c r="J4" s="82"/>
      <c r="K4" s="83"/>
      <c r="L4" s="9" t="s">
        <v>6</v>
      </c>
      <c r="M4" s="65" t="s">
        <v>29</v>
      </c>
    </row>
    <row r="5" spans="1:13" s="8" customFormat="1" ht="15.75" thickBot="1">
      <c r="A5" s="35"/>
      <c r="B5" s="16" t="s">
        <v>12</v>
      </c>
      <c r="C5" s="15" t="s">
        <v>13</v>
      </c>
      <c r="D5" s="11" t="s">
        <v>14</v>
      </c>
      <c r="E5" s="12" t="s">
        <v>7</v>
      </c>
      <c r="F5" s="13" t="s">
        <v>2</v>
      </c>
      <c r="G5" s="14" t="s">
        <v>8</v>
      </c>
      <c r="H5" s="17" t="s">
        <v>9</v>
      </c>
      <c r="I5" s="18" t="s">
        <v>10</v>
      </c>
      <c r="J5" s="18" t="s">
        <v>2</v>
      </c>
      <c r="K5" s="19" t="s">
        <v>8</v>
      </c>
      <c r="L5" s="10" t="s">
        <v>4</v>
      </c>
      <c r="M5" s="65" t="s">
        <v>4</v>
      </c>
    </row>
    <row r="6" spans="1:13" s="8" customFormat="1" ht="15.75" thickTop="1">
      <c r="A6" s="36"/>
      <c r="B6" s="21"/>
      <c r="C6" s="22"/>
      <c r="D6" s="23"/>
      <c r="E6" s="24"/>
      <c r="F6" s="25"/>
      <c r="G6" s="26"/>
      <c r="H6" s="27"/>
      <c r="I6" s="28"/>
      <c r="J6" s="28"/>
      <c r="K6" s="29"/>
      <c r="L6" s="30"/>
      <c r="M6" s="65"/>
    </row>
    <row r="7" spans="1:13" ht="24" customHeight="1">
      <c r="A7" s="53">
        <v>31</v>
      </c>
      <c r="B7" s="54"/>
      <c r="C7" s="55"/>
      <c r="D7" s="56">
        <v>21961171</v>
      </c>
      <c r="E7" s="57">
        <v>5936432</v>
      </c>
      <c r="F7" s="58">
        <f t="shared" ref="F7:F9" si="0">(D7+E7)</f>
        <v>27897603</v>
      </c>
      <c r="G7" s="59">
        <f t="shared" ref="G7:G9" si="1">(F7-F6)</f>
        <v>27897603</v>
      </c>
      <c r="H7" s="56">
        <v>25896</v>
      </c>
      <c r="I7" s="57">
        <v>45890</v>
      </c>
      <c r="J7" s="58">
        <f>H7+I7</f>
        <v>71786</v>
      </c>
      <c r="K7" s="55">
        <f t="shared" ref="K7:K9" si="2">(J7-J6)</f>
        <v>71786</v>
      </c>
      <c r="L7" s="54"/>
      <c r="M7" s="66"/>
    </row>
    <row r="8" spans="1:13" ht="24" customHeight="1">
      <c r="A8" s="53">
        <v>1</v>
      </c>
      <c r="B8" s="54"/>
      <c r="C8" s="55"/>
      <c r="D8" s="61">
        <v>21970193</v>
      </c>
      <c r="E8" s="62">
        <v>5939080</v>
      </c>
      <c r="F8" s="60">
        <f t="shared" si="0"/>
        <v>27909273</v>
      </c>
      <c r="G8" s="59">
        <f t="shared" si="1"/>
        <v>11670</v>
      </c>
      <c r="H8" s="63">
        <v>25930</v>
      </c>
      <c r="I8" s="57">
        <v>45918</v>
      </c>
      <c r="J8" s="60">
        <f t="shared" ref="J8:J9" si="3">H8+I8</f>
        <v>71848</v>
      </c>
      <c r="K8" s="55">
        <f t="shared" si="2"/>
        <v>62</v>
      </c>
      <c r="L8" s="56"/>
      <c r="M8" s="66"/>
    </row>
    <row r="9" spans="1:13" s="64" customFormat="1" ht="21.95" customHeight="1">
      <c r="A9" s="53">
        <v>2</v>
      </c>
      <c r="B9" s="54"/>
      <c r="C9" s="55">
        <f t="shared" ref="C9" si="4">(229/100*B9)</f>
        <v>0</v>
      </c>
      <c r="D9" s="61">
        <v>21978908</v>
      </c>
      <c r="E9" s="62">
        <v>5941770</v>
      </c>
      <c r="F9" s="60">
        <f t="shared" si="0"/>
        <v>27920678</v>
      </c>
      <c r="G9" s="59">
        <f t="shared" si="1"/>
        <v>11405</v>
      </c>
      <c r="H9" s="63">
        <v>25969</v>
      </c>
      <c r="I9" s="57">
        <v>45949</v>
      </c>
      <c r="J9" s="60">
        <f t="shared" si="3"/>
        <v>71918</v>
      </c>
      <c r="K9" s="55">
        <f t="shared" si="2"/>
        <v>70</v>
      </c>
      <c r="L9" s="56"/>
      <c r="M9" s="66"/>
    </row>
    <row r="10" spans="1:13" ht="17.100000000000001" customHeight="1">
      <c r="A10" s="37">
        <v>3</v>
      </c>
      <c r="B10" s="5"/>
      <c r="C10" s="7">
        <f t="shared" ref="C10:C33" si="5">(229/100*B10)</f>
        <v>0</v>
      </c>
      <c r="D10" s="61">
        <v>21988699</v>
      </c>
      <c r="E10" s="62">
        <v>5944544</v>
      </c>
      <c r="F10" s="60">
        <f t="shared" ref="F10:F37" si="6">(D10+E10)</f>
        <v>27933243</v>
      </c>
      <c r="G10" s="59">
        <f>(F10-F9)</f>
        <v>12565</v>
      </c>
      <c r="H10" s="63">
        <v>26001</v>
      </c>
      <c r="I10" s="57">
        <v>45975</v>
      </c>
      <c r="J10" s="60">
        <f t="shared" ref="J10:J36" si="7">H10+I10</f>
        <v>71976</v>
      </c>
      <c r="K10" s="55">
        <f t="shared" ref="K10:K37" si="8">(J10-J9)</f>
        <v>58</v>
      </c>
      <c r="L10" s="32"/>
      <c r="M10" s="66"/>
    </row>
    <row r="11" spans="1:13" ht="17.100000000000001" customHeight="1">
      <c r="A11" s="37">
        <v>4</v>
      </c>
      <c r="B11" s="5"/>
      <c r="C11" s="7">
        <f t="shared" si="5"/>
        <v>0</v>
      </c>
      <c r="D11" s="56">
        <v>21998777</v>
      </c>
      <c r="E11" s="57">
        <v>5947166</v>
      </c>
      <c r="F11" s="60">
        <f t="shared" si="6"/>
        <v>27945943</v>
      </c>
      <c r="G11" s="59">
        <f t="shared" ref="G11:G37" si="9">(F11-F10)</f>
        <v>12700</v>
      </c>
      <c r="H11" s="56">
        <v>26028</v>
      </c>
      <c r="I11" s="57">
        <v>45999</v>
      </c>
      <c r="J11" s="60">
        <f t="shared" si="7"/>
        <v>72027</v>
      </c>
      <c r="K11" s="55">
        <f t="shared" si="8"/>
        <v>51</v>
      </c>
      <c r="L11" s="32"/>
      <c r="M11" s="66"/>
    </row>
    <row r="12" spans="1:13" ht="17.100000000000001" customHeight="1">
      <c r="A12" s="37">
        <v>5</v>
      </c>
      <c r="B12" s="5"/>
      <c r="C12" s="7">
        <f t="shared" si="5"/>
        <v>0</v>
      </c>
      <c r="D12" s="56">
        <v>22008744</v>
      </c>
      <c r="E12" s="57">
        <v>5949800</v>
      </c>
      <c r="F12" s="60">
        <f t="shared" si="6"/>
        <v>27958544</v>
      </c>
      <c r="G12" s="59">
        <f t="shared" si="9"/>
        <v>12601</v>
      </c>
      <c r="H12" s="56">
        <v>26047</v>
      </c>
      <c r="I12" s="57">
        <v>46014</v>
      </c>
      <c r="J12" s="60">
        <f t="shared" si="7"/>
        <v>72061</v>
      </c>
      <c r="K12" s="55">
        <f t="shared" si="8"/>
        <v>34</v>
      </c>
      <c r="L12" s="32"/>
      <c r="M12" s="66"/>
    </row>
    <row r="13" spans="1:13" ht="17.100000000000001" customHeight="1">
      <c r="A13" s="37">
        <v>6</v>
      </c>
      <c r="B13" s="5"/>
      <c r="C13" s="7">
        <f t="shared" si="5"/>
        <v>0</v>
      </c>
      <c r="D13" s="56">
        <v>22018386</v>
      </c>
      <c r="E13" s="57">
        <v>5952372</v>
      </c>
      <c r="F13" s="60">
        <f t="shared" si="6"/>
        <v>27970758</v>
      </c>
      <c r="G13" s="59">
        <f t="shared" si="9"/>
        <v>12214</v>
      </c>
      <c r="H13" s="56">
        <v>26098</v>
      </c>
      <c r="I13" s="57">
        <v>46068</v>
      </c>
      <c r="J13" s="60">
        <f t="shared" si="7"/>
        <v>72166</v>
      </c>
      <c r="K13" s="55">
        <f t="shared" si="8"/>
        <v>105</v>
      </c>
      <c r="L13" s="32"/>
      <c r="M13" s="66"/>
    </row>
    <row r="14" spans="1:13" ht="17.100000000000001" customHeight="1">
      <c r="A14" s="37">
        <v>7</v>
      </c>
      <c r="B14" s="5"/>
      <c r="C14" s="7">
        <f t="shared" si="5"/>
        <v>0</v>
      </c>
      <c r="D14" s="61">
        <v>22027965</v>
      </c>
      <c r="E14" s="62">
        <v>5955130</v>
      </c>
      <c r="F14" s="60">
        <f t="shared" si="6"/>
        <v>27983095</v>
      </c>
      <c r="G14" s="59">
        <f t="shared" si="9"/>
        <v>12337</v>
      </c>
      <c r="H14" s="63">
        <v>26108</v>
      </c>
      <c r="I14" s="57">
        <v>46072</v>
      </c>
      <c r="J14" s="60">
        <f t="shared" si="7"/>
        <v>72180</v>
      </c>
      <c r="K14" s="55">
        <f t="shared" si="8"/>
        <v>14</v>
      </c>
      <c r="L14" s="32"/>
      <c r="M14" s="66"/>
    </row>
    <row r="15" spans="1:13" ht="17.100000000000001" customHeight="1">
      <c r="A15" s="37">
        <v>8</v>
      </c>
      <c r="B15" s="5"/>
      <c r="C15" s="7">
        <f t="shared" si="5"/>
        <v>0</v>
      </c>
      <c r="D15" s="61">
        <v>22037424</v>
      </c>
      <c r="E15" s="62">
        <v>5957834</v>
      </c>
      <c r="F15" s="60">
        <f t="shared" si="6"/>
        <v>27995258</v>
      </c>
      <c r="G15" s="59">
        <f t="shared" si="9"/>
        <v>12163</v>
      </c>
      <c r="H15" s="63">
        <v>26149</v>
      </c>
      <c r="I15" s="57">
        <v>46097</v>
      </c>
      <c r="J15" s="60">
        <f t="shared" si="7"/>
        <v>72246</v>
      </c>
      <c r="K15" s="55">
        <f t="shared" si="8"/>
        <v>66</v>
      </c>
      <c r="L15" s="32"/>
      <c r="M15" s="66"/>
    </row>
    <row r="16" spans="1:13" ht="17.100000000000001" customHeight="1">
      <c r="A16" s="37">
        <v>9</v>
      </c>
      <c r="B16" s="5"/>
      <c r="C16" s="7">
        <f t="shared" si="5"/>
        <v>0</v>
      </c>
      <c r="D16" s="61">
        <v>22046225</v>
      </c>
      <c r="E16" s="62">
        <v>5960564</v>
      </c>
      <c r="F16" s="60">
        <f t="shared" si="6"/>
        <v>28006789</v>
      </c>
      <c r="G16" s="59">
        <f t="shared" si="9"/>
        <v>11531</v>
      </c>
      <c r="H16" s="63">
        <v>26186</v>
      </c>
      <c r="I16" s="57">
        <v>46126</v>
      </c>
      <c r="J16" s="60">
        <f t="shared" si="7"/>
        <v>72312</v>
      </c>
      <c r="K16" s="55">
        <f t="shared" si="8"/>
        <v>66</v>
      </c>
      <c r="L16" s="32"/>
      <c r="M16" s="66"/>
    </row>
    <row r="17" spans="1:13" ht="17.100000000000001" customHeight="1">
      <c r="A17" s="37">
        <v>10</v>
      </c>
      <c r="B17" s="5"/>
      <c r="C17" s="7">
        <f t="shared" si="5"/>
        <v>0</v>
      </c>
      <c r="D17" s="61">
        <v>22054683</v>
      </c>
      <c r="E17" s="62">
        <v>5963250</v>
      </c>
      <c r="F17" s="60">
        <f t="shared" si="6"/>
        <v>28017933</v>
      </c>
      <c r="G17" s="59">
        <f t="shared" si="9"/>
        <v>11144</v>
      </c>
      <c r="H17" s="63">
        <v>26207</v>
      </c>
      <c r="I17" s="57">
        <v>46144</v>
      </c>
      <c r="J17" s="60">
        <f t="shared" si="7"/>
        <v>72351</v>
      </c>
      <c r="K17" s="55">
        <f t="shared" si="8"/>
        <v>39</v>
      </c>
      <c r="L17" s="32"/>
      <c r="M17" s="66"/>
    </row>
    <row r="18" spans="1:13" ht="17.100000000000001" customHeight="1">
      <c r="A18" s="37">
        <v>11</v>
      </c>
      <c r="B18" s="5"/>
      <c r="C18" s="7">
        <f t="shared" si="5"/>
        <v>0</v>
      </c>
      <c r="D18" s="61">
        <v>22063364</v>
      </c>
      <c r="E18" s="62">
        <v>5965873</v>
      </c>
      <c r="F18" s="60">
        <f t="shared" si="6"/>
        <v>28029237</v>
      </c>
      <c r="G18" s="59">
        <f t="shared" si="9"/>
        <v>11304</v>
      </c>
      <c r="H18" s="63">
        <v>26246</v>
      </c>
      <c r="I18" s="57">
        <v>46173</v>
      </c>
      <c r="J18" s="60">
        <f t="shared" si="7"/>
        <v>72419</v>
      </c>
      <c r="K18" s="55">
        <f t="shared" si="8"/>
        <v>68</v>
      </c>
      <c r="L18" s="32"/>
      <c r="M18" s="66"/>
    </row>
    <row r="19" spans="1:13" ht="17.100000000000001" customHeight="1">
      <c r="A19" s="37">
        <v>12</v>
      </c>
      <c r="B19" s="5"/>
      <c r="C19" s="7">
        <f t="shared" si="5"/>
        <v>0</v>
      </c>
      <c r="D19" s="61">
        <v>22072848</v>
      </c>
      <c r="E19" s="62">
        <v>5968554</v>
      </c>
      <c r="F19" s="60">
        <f t="shared" si="6"/>
        <v>28041402</v>
      </c>
      <c r="G19" s="59">
        <f t="shared" si="9"/>
        <v>12165</v>
      </c>
      <c r="H19" s="63">
        <v>26275</v>
      </c>
      <c r="I19" s="57">
        <v>46197</v>
      </c>
      <c r="J19" s="60">
        <f t="shared" si="7"/>
        <v>72472</v>
      </c>
      <c r="K19" s="55">
        <f t="shared" si="8"/>
        <v>53</v>
      </c>
      <c r="L19" s="32"/>
      <c r="M19" s="66"/>
    </row>
    <row r="20" spans="1:13" ht="17.100000000000001" customHeight="1">
      <c r="A20" s="37">
        <v>13</v>
      </c>
      <c r="B20" s="5"/>
      <c r="C20" s="7">
        <f t="shared" si="5"/>
        <v>0</v>
      </c>
      <c r="D20" s="61">
        <v>22082851</v>
      </c>
      <c r="E20" s="62">
        <v>5971140</v>
      </c>
      <c r="F20" s="60">
        <f t="shared" si="6"/>
        <v>28053991</v>
      </c>
      <c r="G20" s="59">
        <f t="shared" si="9"/>
        <v>12589</v>
      </c>
      <c r="H20" s="63">
        <v>26306</v>
      </c>
      <c r="I20" s="57">
        <v>46223</v>
      </c>
      <c r="J20" s="60">
        <f t="shared" si="7"/>
        <v>72529</v>
      </c>
      <c r="K20" s="55">
        <f t="shared" si="8"/>
        <v>57</v>
      </c>
      <c r="L20" s="33"/>
      <c r="M20" s="66"/>
    </row>
    <row r="21" spans="1:13" ht="17.100000000000001" customHeight="1">
      <c r="A21" s="37">
        <v>14</v>
      </c>
      <c r="B21" s="5"/>
      <c r="C21" s="7">
        <f t="shared" si="5"/>
        <v>0</v>
      </c>
      <c r="D21" s="61">
        <v>22093105</v>
      </c>
      <c r="E21" s="62">
        <v>5973848</v>
      </c>
      <c r="F21" s="60">
        <f t="shared" si="6"/>
        <v>28066953</v>
      </c>
      <c r="G21" s="59">
        <f t="shared" si="9"/>
        <v>12962</v>
      </c>
      <c r="H21" s="63">
        <v>26328</v>
      </c>
      <c r="I21" s="57">
        <v>46243</v>
      </c>
      <c r="J21" s="60">
        <f t="shared" si="7"/>
        <v>72571</v>
      </c>
      <c r="K21" s="55">
        <f t="shared" si="8"/>
        <v>42</v>
      </c>
      <c r="L21" s="32"/>
      <c r="M21" s="66"/>
    </row>
    <row r="22" spans="1:13" ht="17.100000000000001" customHeight="1">
      <c r="A22" s="37">
        <v>15</v>
      </c>
      <c r="B22" s="5"/>
      <c r="C22" s="7">
        <f t="shared" si="5"/>
        <v>0</v>
      </c>
      <c r="D22" s="61">
        <v>22102644</v>
      </c>
      <c r="E22" s="62">
        <v>5976588</v>
      </c>
      <c r="F22" s="60">
        <f t="shared" si="6"/>
        <v>28079232</v>
      </c>
      <c r="G22" s="59">
        <f t="shared" si="9"/>
        <v>12279</v>
      </c>
      <c r="H22" s="63">
        <v>26373</v>
      </c>
      <c r="I22" s="57">
        <v>46277</v>
      </c>
      <c r="J22" s="60">
        <f t="shared" si="7"/>
        <v>72650</v>
      </c>
      <c r="K22" s="55">
        <f t="shared" si="8"/>
        <v>79</v>
      </c>
      <c r="L22" s="5"/>
      <c r="M22" s="66"/>
    </row>
    <row r="23" spans="1:13" ht="17.100000000000001" customHeight="1">
      <c r="A23" s="37">
        <v>16</v>
      </c>
      <c r="B23" s="5"/>
      <c r="C23" s="7">
        <f t="shared" si="5"/>
        <v>0</v>
      </c>
      <c r="D23" s="61">
        <v>22112095</v>
      </c>
      <c r="E23" s="62">
        <v>5979277</v>
      </c>
      <c r="F23" s="60">
        <f t="shared" si="6"/>
        <v>28091372</v>
      </c>
      <c r="G23" s="59">
        <f t="shared" si="9"/>
        <v>12140</v>
      </c>
      <c r="H23" s="63">
        <v>26409</v>
      </c>
      <c r="I23" s="57">
        <v>46309</v>
      </c>
      <c r="J23" s="60">
        <f t="shared" si="7"/>
        <v>72718</v>
      </c>
      <c r="K23" s="55">
        <f t="shared" si="8"/>
        <v>68</v>
      </c>
      <c r="L23" s="6"/>
      <c r="M23" s="66"/>
    </row>
    <row r="24" spans="1:13" ht="16.5" customHeight="1">
      <c r="A24" s="37">
        <v>17</v>
      </c>
      <c r="B24" s="5"/>
      <c r="C24" s="7">
        <f t="shared" si="5"/>
        <v>0</v>
      </c>
      <c r="D24" s="61">
        <v>22121344</v>
      </c>
      <c r="E24" s="62">
        <v>5982033</v>
      </c>
      <c r="F24" s="60">
        <f t="shared" si="6"/>
        <v>28103377</v>
      </c>
      <c r="G24" s="59">
        <f t="shared" si="9"/>
        <v>12005</v>
      </c>
      <c r="H24" s="63">
        <v>26429</v>
      </c>
      <c r="I24" s="57">
        <v>46326</v>
      </c>
      <c r="J24" s="60">
        <f t="shared" si="7"/>
        <v>72755</v>
      </c>
      <c r="K24" s="55">
        <f t="shared" si="8"/>
        <v>37</v>
      </c>
      <c r="L24" s="32"/>
      <c r="M24" s="66"/>
    </row>
    <row r="25" spans="1:13" ht="17.100000000000001" customHeight="1">
      <c r="A25" s="37">
        <v>18</v>
      </c>
      <c r="B25" s="5"/>
      <c r="C25" s="7">
        <f t="shared" si="5"/>
        <v>0</v>
      </c>
      <c r="D25" s="61">
        <v>22129888</v>
      </c>
      <c r="E25" s="62">
        <v>5984699</v>
      </c>
      <c r="F25" s="60">
        <f t="shared" si="6"/>
        <v>28114587</v>
      </c>
      <c r="G25" s="59">
        <f t="shared" si="9"/>
        <v>11210</v>
      </c>
      <c r="H25" s="63">
        <v>26452</v>
      </c>
      <c r="I25" s="57">
        <v>46341</v>
      </c>
      <c r="J25" s="60">
        <f t="shared" si="7"/>
        <v>72793</v>
      </c>
      <c r="K25" s="55">
        <f t="shared" si="8"/>
        <v>38</v>
      </c>
      <c r="L25" s="32">
        <v>1800</v>
      </c>
      <c r="M25" s="67">
        <v>1.85</v>
      </c>
    </row>
    <row r="26" spans="1:13" ht="17.100000000000001" customHeight="1">
      <c r="A26" s="37">
        <v>19</v>
      </c>
      <c r="B26" s="5"/>
      <c r="C26" s="7">
        <f t="shared" si="5"/>
        <v>0</v>
      </c>
      <c r="D26" s="61">
        <v>22138078</v>
      </c>
      <c r="E26" s="62">
        <v>5987368</v>
      </c>
      <c r="F26" s="60">
        <f t="shared" si="6"/>
        <v>28125446</v>
      </c>
      <c r="G26" s="59">
        <f t="shared" si="9"/>
        <v>10859</v>
      </c>
      <c r="H26" s="63">
        <v>26480</v>
      </c>
      <c r="I26" s="57">
        <v>46371</v>
      </c>
      <c r="J26" s="60">
        <f t="shared" si="7"/>
        <v>72851</v>
      </c>
      <c r="K26" s="55">
        <f t="shared" si="8"/>
        <v>58</v>
      </c>
      <c r="L26" s="32"/>
      <c r="M26" s="66"/>
    </row>
    <row r="27" spans="1:13" ht="17.100000000000001" customHeight="1">
      <c r="A27" s="37">
        <v>20</v>
      </c>
      <c r="B27" s="5"/>
      <c r="C27" s="7">
        <f t="shared" si="5"/>
        <v>0</v>
      </c>
      <c r="D27" s="61">
        <v>22146738</v>
      </c>
      <c r="E27" s="62">
        <v>5990089</v>
      </c>
      <c r="F27" s="60">
        <f t="shared" si="6"/>
        <v>28136827</v>
      </c>
      <c r="G27" s="59">
        <f t="shared" si="9"/>
        <v>11381</v>
      </c>
      <c r="H27" s="63">
        <v>26515</v>
      </c>
      <c r="I27" s="57">
        <v>46400</v>
      </c>
      <c r="J27" s="60">
        <f t="shared" si="7"/>
        <v>72915</v>
      </c>
      <c r="K27" s="55">
        <f t="shared" si="8"/>
        <v>64</v>
      </c>
      <c r="L27" s="32"/>
      <c r="M27" s="66"/>
    </row>
    <row r="28" spans="1:13" ht="17.100000000000001" customHeight="1">
      <c r="A28" s="37">
        <v>21</v>
      </c>
      <c r="B28" s="5"/>
      <c r="C28" s="7">
        <f t="shared" si="5"/>
        <v>0</v>
      </c>
      <c r="D28" s="61">
        <v>22155432</v>
      </c>
      <c r="E28" s="62">
        <v>5992751</v>
      </c>
      <c r="F28" s="60">
        <f t="shared" si="6"/>
        <v>28148183</v>
      </c>
      <c r="G28" s="59">
        <f t="shared" si="9"/>
        <v>11356</v>
      </c>
      <c r="H28" s="63">
        <v>26544</v>
      </c>
      <c r="I28" s="57">
        <v>46425</v>
      </c>
      <c r="J28" s="60">
        <f t="shared" si="7"/>
        <v>72969</v>
      </c>
      <c r="K28" s="55">
        <f t="shared" si="8"/>
        <v>54</v>
      </c>
      <c r="L28" s="32"/>
      <c r="M28" s="66"/>
    </row>
    <row r="29" spans="1:13" ht="17.100000000000001" customHeight="1">
      <c r="A29" s="37">
        <v>22</v>
      </c>
      <c r="B29" s="5"/>
      <c r="C29" s="7">
        <f t="shared" si="5"/>
        <v>0</v>
      </c>
      <c r="D29" s="61">
        <v>22164699</v>
      </c>
      <c r="E29" s="62">
        <v>5995408</v>
      </c>
      <c r="F29" s="60">
        <f t="shared" si="6"/>
        <v>28160107</v>
      </c>
      <c r="G29" s="59">
        <f t="shared" si="9"/>
        <v>11924</v>
      </c>
      <c r="H29" s="63">
        <v>26571</v>
      </c>
      <c r="I29" s="57">
        <v>46448</v>
      </c>
      <c r="J29" s="60">
        <f t="shared" si="7"/>
        <v>73019</v>
      </c>
      <c r="K29" s="55">
        <f t="shared" si="8"/>
        <v>50</v>
      </c>
      <c r="L29" s="32"/>
      <c r="M29" s="66"/>
    </row>
    <row r="30" spans="1:13" ht="17.100000000000001" customHeight="1">
      <c r="A30" s="37">
        <v>23</v>
      </c>
      <c r="B30" s="5"/>
      <c r="C30" s="7">
        <f t="shared" si="5"/>
        <v>0</v>
      </c>
      <c r="D30" s="61">
        <v>22174893</v>
      </c>
      <c r="E30" s="62">
        <v>5998218</v>
      </c>
      <c r="F30" s="60">
        <f t="shared" si="6"/>
        <v>28173111</v>
      </c>
      <c r="G30" s="59">
        <f t="shared" si="9"/>
        <v>13004</v>
      </c>
      <c r="H30" s="63">
        <v>26599</v>
      </c>
      <c r="I30" s="57">
        <v>46472</v>
      </c>
      <c r="J30" s="60">
        <f t="shared" si="7"/>
        <v>73071</v>
      </c>
      <c r="K30" s="55">
        <f>(J30-J29)</f>
        <v>52</v>
      </c>
      <c r="L30" s="32"/>
      <c r="M30" s="66"/>
    </row>
    <row r="31" spans="1:13" ht="17.100000000000001" customHeight="1">
      <c r="A31" s="37">
        <v>24</v>
      </c>
      <c r="B31" s="5"/>
      <c r="C31" s="7">
        <f t="shared" si="5"/>
        <v>0</v>
      </c>
      <c r="D31" s="61">
        <v>22183477</v>
      </c>
      <c r="E31" s="62">
        <v>6000900</v>
      </c>
      <c r="F31" s="60">
        <f t="shared" si="6"/>
        <v>28184377</v>
      </c>
      <c r="G31" s="59">
        <f t="shared" si="9"/>
        <v>11266</v>
      </c>
      <c r="H31" s="63">
        <v>26628</v>
      </c>
      <c r="I31" s="57">
        <v>46495</v>
      </c>
      <c r="J31" s="60">
        <f t="shared" si="7"/>
        <v>73123</v>
      </c>
      <c r="K31" s="55">
        <f t="shared" si="8"/>
        <v>52</v>
      </c>
      <c r="L31" s="32"/>
      <c r="M31" s="67"/>
    </row>
    <row r="32" spans="1:13" ht="17.100000000000001" customHeight="1">
      <c r="A32" s="37">
        <v>25</v>
      </c>
      <c r="B32" s="5"/>
      <c r="C32" s="7">
        <f t="shared" si="5"/>
        <v>0</v>
      </c>
      <c r="D32" s="61">
        <v>22192566</v>
      </c>
      <c r="E32" s="62">
        <v>6003555</v>
      </c>
      <c r="F32" s="60">
        <f t="shared" si="6"/>
        <v>28196121</v>
      </c>
      <c r="G32" s="59">
        <f t="shared" si="9"/>
        <v>11744</v>
      </c>
      <c r="H32" s="63">
        <v>26655</v>
      </c>
      <c r="I32" s="57">
        <v>46518</v>
      </c>
      <c r="J32" s="60">
        <f t="shared" si="7"/>
        <v>73173</v>
      </c>
      <c r="K32" s="55">
        <f t="shared" si="8"/>
        <v>50</v>
      </c>
      <c r="L32" s="32"/>
      <c r="M32" s="66"/>
    </row>
    <row r="33" spans="1:13" ht="17.100000000000001" customHeight="1">
      <c r="A33" s="37">
        <v>26</v>
      </c>
      <c r="B33" s="5"/>
      <c r="C33" s="7">
        <f t="shared" si="5"/>
        <v>0</v>
      </c>
      <c r="D33" s="61">
        <v>22202067</v>
      </c>
      <c r="E33" s="62">
        <v>6006170</v>
      </c>
      <c r="F33" s="60">
        <f t="shared" si="6"/>
        <v>28208237</v>
      </c>
      <c r="G33" s="59">
        <f t="shared" si="9"/>
        <v>12116</v>
      </c>
      <c r="H33" s="63">
        <v>26699</v>
      </c>
      <c r="I33" s="57">
        <v>46551</v>
      </c>
      <c r="J33" s="60">
        <f t="shared" si="7"/>
        <v>73250</v>
      </c>
      <c r="K33" s="55">
        <f t="shared" si="8"/>
        <v>77</v>
      </c>
      <c r="L33" s="32"/>
      <c r="M33" s="66"/>
    </row>
    <row r="34" spans="1:13" ht="17.100000000000001" customHeight="1">
      <c r="A34" s="37">
        <v>27</v>
      </c>
      <c r="B34" s="5"/>
      <c r="C34" s="7"/>
      <c r="D34" s="61">
        <v>22212544</v>
      </c>
      <c r="E34" s="62">
        <v>6008833</v>
      </c>
      <c r="F34" s="60">
        <f t="shared" si="6"/>
        <v>28221377</v>
      </c>
      <c r="G34" s="59">
        <f t="shared" si="9"/>
        <v>13140</v>
      </c>
      <c r="H34" s="63">
        <v>26733</v>
      </c>
      <c r="I34" s="57">
        <v>46578</v>
      </c>
      <c r="J34" s="60">
        <f t="shared" si="7"/>
        <v>73311</v>
      </c>
      <c r="K34" s="55">
        <f t="shared" si="8"/>
        <v>61</v>
      </c>
      <c r="L34" s="33"/>
      <c r="M34" s="66"/>
    </row>
    <row r="35" spans="1:13" ht="17.100000000000001" customHeight="1">
      <c r="A35" s="37">
        <v>28</v>
      </c>
      <c r="B35" s="5"/>
      <c r="C35" s="7"/>
      <c r="D35" s="61">
        <v>22222888</v>
      </c>
      <c r="E35" s="62">
        <v>6011437</v>
      </c>
      <c r="F35" s="60">
        <f t="shared" si="6"/>
        <v>28234325</v>
      </c>
      <c r="G35" s="59">
        <f t="shared" si="9"/>
        <v>12948</v>
      </c>
      <c r="H35" s="63">
        <v>26774</v>
      </c>
      <c r="I35" s="57">
        <v>46609</v>
      </c>
      <c r="J35" s="60">
        <f t="shared" si="7"/>
        <v>73383</v>
      </c>
      <c r="K35" s="55">
        <f t="shared" si="8"/>
        <v>72</v>
      </c>
      <c r="L35" s="32"/>
      <c r="M35" s="66"/>
    </row>
    <row r="36" spans="1:13" ht="15.75" customHeight="1">
      <c r="A36" s="37">
        <v>29</v>
      </c>
      <c r="B36" s="5"/>
      <c r="C36" s="7"/>
      <c r="D36" s="61">
        <v>22234240</v>
      </c>
      <c r="E36" s="62">
        <v>6014098</v>
      </c>
      <c r="F36" s="60">
        <f t="shared" si="6"/>
        <v>28248338</v>
      </c>
      <c r="G36" s="59">
        <f t="shared" si="9"/>
        <v>14013</v>
      </c>
      <c r="H36" s="63">
        <v>26804</v>
      </c>
      <c r="I36" s="57">
        <v>46633</v>
      </c>
      <c r="J36" s="60">
        <f t="shared" si="7"/>
        <v>73437</v>
      </c>
      <c r="K36" s="55">
        <f t="shared" si="8"/>
        <v>54</v>
      </c>
      <c r="L36" s="5"/>
      <c r="M36" s="66"/>
    </row>
    <row r="37" spans="1:13" ht="15" customHeight="1">
      <c r="A37" s="37">
        <v>30</v>
      </c>
      <c r="B37" s="5"/>
      <c r="C37" s="7"/>
      <c r="D37" s="61">
        <v>22245007</v>
      </c>
      <c r="E37" s="62">
        <v>6016710</v>
      </c>
      <c r="F37" s="60">
        <f t="shared" si="6"/>
        <v>28261717</v>
      </c>
      <c r="G37" s="59">
        <f t="shared" si="9"/>
        <v>13379</v>
      </c>
      <c r="H37" s="63">
        <v>26839</v>
      </c>
      <c r="I37" s="57">
        <v>46661</v>
      </c>
      <c r="J37" s="60">
        <f>H37+I37</f>
        <v>73500</v>
      </c>
      <c r="K37" s="55">
        <f t="shared" si="8"/>
        <v>63</v>
      </c>
      <c r="L37" s="6"/>
      <c r="M37" s="66"/>
    </row>
    <row r="38" spans="1:13" ht="16.5" customHeight="1">
      <c r="F38" s="31"/>
      <c r="G38" s="4"/>
      <c r="H38" s="4"/>
      <c r="L38" s="20"/>
    </row>
    <row r="39" spans="1:13" ht="16.5" customHeight="1">
      <c r="F39" s="31"/>
      <c r="J39" s="4"/>
      <c r="L39" s="20"/>
    </row>
    <row r="40" spans="1:13">
      <c r="L40" s="1"/>
    </row>
    <row r="42" spans="1:13">
      <c r="J42" s="1"/>
      <c r="K42"/>
    </row>
    <row r="43" spans="1:13">
      <c r="J43" s="1"/>
      <c r="K43"/>
    </row>
    <row r="44" spans="1:13">
      <c r="J44" s="1"/>
      <c r="K44"/>
    </row>
    <row r="45" spans="1:13">
      <c r="J45" s="1"/>
      <c r="K45"/>
    </row>
    <row r="46" spans="1:13">
      <c r="J46" s="1"/>
      <c r="K46"/>
    </row>
    <row r="47" spans="1:13">
      <c r="J47" s="1"/>
      <c r="K47"/>
    </row>
    <row r="48" spans="1:13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  <row r="67" spans="10:11">
      <c r="J67" s="1"/>
      <c r="K67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Consum.</vt:lpstr>
      <vt:lpstr>Consum.!Print_Area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2025-05-01T04:59:03Z</dcterms:modified>
</cp:coreProperties>
</file>