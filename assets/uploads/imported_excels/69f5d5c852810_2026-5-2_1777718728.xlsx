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modongroup-my.sharepoint.com/personal/muhammad_waseem_babalnojoum_com/Documents/Pictures/Desktop/HEP 2025 - Liwa &amp; Mugheria/Mugheria/Al Mugheirah HEP 2026/"/>
    </mc:Choice>
  </mc:AlternateContent>
  <xr:revisionPtr revIDLastSave="1226" documentId="13_ncr:1_{F8A65060-722C-4A64-99D8-EF71068E6823}" xr6:coauthVersionLast="47" xr6:coauthVersionMax="47" xr10:uidLastSave="{BB7812CE-D1A3-4278-A8EE-DBEDD8FE2578}"/>
  <bookViews>
    <workbookView xWindow="-110" yWindow="-110" windowWidth="19420" windowHeight="11500" tabRatio="783" xr2:uid="{00000000-000D-0000-FFFF-FFFF00000000}"/>
  </bookViews>
  <sheets>
    <sheet name="Total" sheetId="15" r:id="rId1"/>
    <sheet name="BAN-M Electrical &amp; Water Dec25" sheetId="14" r:id="rId2"/>
  </sheets>
  <definedNames>
    <definedName name="_xlnm.Print_Area" localSheetId="1">'BAN-M Electrical &amp; Water Dec25'!$C$1:$K$35</definedName>
    <definedName name="شت8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5" i="14" l="1"/>
  <c r="F35" i="14"/>
  <c r="E30" i="15" s="1"/>
  <c r="D35" i="14"/>
  <c r="H34" i="14"/>
  <c r="H35" i="14"/>
  <c r="H36" i="14"/>
  <c r="H37" i="14"/>
  <c r="B30" i="15"/>
  <c r="B31" i="15"/>
  <c r="E39" i="14"/>
  <c r="C39" i="14"/>
  <c r="D8" i="14"/>
  <c r="D37" i="14"/>
  <c r="B3" i="15"/>
  <c r="B4" i="15" s="1"/>
  <c r="B5" i="15" s="1"/>
  <c r="B6" i="15" s="1"/>
  <c r="B7" i="15" s="1"/>
  <c r="B8" i="15" s="1"/>
  <c r="B9" i="15" s="1"/>
  <c r="B10" i="15" s="1"/>
  <c r="B11" i="15" s="1"/>
  <c r="B12" i="15" s="1"/>
  <c r="B13" i="15" s="1"/>
  <c r="B14" i="15" s="1"/>
  <c r="B15" i="15" s="1"/>
  <c r="B16" i="15" s="1"/>
  <c r="B17" i="15" s="1"/>
  <c r="B18" i="15" s="1"/>
  <c r="B19" i="15" s="1"/>
  <c r="B20" i="15" s="1"/>
  <c r="B21" i="15" s="1"/>
  <c r="B22" i="15" s="1"/>
  <c r="B23" i="15" s="1"/>
  <c r="B24" i="15" s="1"/>
  <c r="B25" i="15" s="1"/>
  <c r="B26" i="15" s="1"/>
  <c r="B27" i="15" s="1"/>
  <c r="B28" i="15" s="1"/>
  <c r="B29" i="15" s="1"/>
  <c r="G30" i="15" l="1"/>
  <c r="D13" i="14"/>
  <c r="J37" i="14" l="1"/>
  <c r="F37" i="14"/>
  <c r="J36" i="14"/>
  <c r="G31" i="15"/>
  <c r="F36" i="14"/>
  <c r="E31" i="15" s="1"/>
  <c r="D36" i="14"/>
  <c r="J34" i="14"/>
  <c r="G29" i="15" s="1"/>
  <c r="F34" i="14"/>
  <c r="E29" i="15" s="1"/>
  <c r="D34" i="14"/>
  <c r="J33" i="14"/>
  <c r="H33" i="14"/>
  <c r="F33" i="14"/>
  <c r="E28" i="15" s="1"/>
  <c r="D33" i="14"/>
  <c r="J32" i="14"/>
  <c r="H32" i="14"/>
  <c r="F32" i="14"/>
  <c r="E27" i="15" s="1"/>
  <c r="D32" i="14"/>
  <c r="J31" i="14"/>
  <c r="H31" i="14"/>
  <c r="G26" i="15" s="1"/>
  <c r="F31" i="14"/>
  <c r="E26" i="15" s="1"/>
  <c r="D31" i="14"/>
  <c r="J30" i="14"/>
  <c r="H30" i="14"/>
  <c r="F30" i="14"/>
  <c r="E25" i="15" s="1"/>
  <c r="D30" i="14"/>
  <c r="J29" i="14"/>
  <c r="H29" i="14"/>
  <c r="F29" i="14"/>
  <c r="E24" i="15" s="1"/>
  <c r="D29" i="14"/>
  <c r="J28" i="14"/>
  <c r="H28" i="14"/>
  <c r="G23" i="15" s="1"/>
  <c r="F28" i="14"/>
  <c r="E23" i="15" s="1"/>
  <c r="D28" i="14"/>
  <c r="J27" i="14"/>
  <c r="H27" i="14"/>
  <c r="G22" i="15" s="1"/>
  <c r="F27" i="14"/>
  <c r="E22" i="15" s="1"/>
  <c r="D27" i="14"/>
  <c r="J26" i="14"/>
  <c r="H26" i="14"/>
  <c r="F26" i="14"/>
  <c r="E21" i="15" s="1"/>
  <c r="D26" i="14"/>
  <c r="J25" i="14"/>
  <c r="H25" i="14"/>
  <c r="F25" i="14"/>
  <c r="E20" i="15" s="1"/>
  <c r="D25" i="14"/>
  <c r="J24" i="14"/>
  <c r="H24" i="14"/>
  <c r="G19" i="15" s="1"/>
  <c r="F24" i="14"/>
  <c r="E19" i="15" s="1"/>
  <c r="D24" i="14"/>
  <c r="J23" i="14"/>
  <c r="H23" i="14"/>
  <c r="F23" i="14"/>
  <c r="E18" i="15" s="1"/>
  <c r="D23" i="14"/>
  <c r="J22" i="14"/>
  <c r="H22" i="14"/>
  <c r="G17" i="15" s="1"/>
  <c r="F22" i="14"/>
  <c r="E17" i="15" s="1"/>
  <c r="D22" i="14"/>
  <c r="J21" i="14"/>
  <c r="H21" i="14"/>
  <c r="G16" i="15" s="1"/>
  <c r="F21" i="14"/>
  <c r="E16" i="15" s="1"/>
  <c r="D21" i="14"/>
  <c r="J20" i="14"/>
  <c r="H20" i="14"/>
  <c r="F20" i="14"/>
  <c r="E15" i="15" s="1"/>
  <c r="D20" i="14"/>
  <c r="J19" i="14"/>
  <c r="H19" i="14"/>
  <c r="G14" i="15" s="1"/>
  <c r="F19" i="14"/>
  <c r="E14" i="15" s="1"/>
  <c r="D19" i="14"/>
  <c r="J18" i="14"/>
  <c r="H18" i="14"/>
  <c r="G13" i="15" s="1"/>
  <c r="F18" i="14"/>
  <c r="E13" i="15" s="1"/>
  <c r="D18" i="14"/>
  <c r="J17" i="14"/>
  <c r="H17" i="14"/>
  <c r="F17" i="14"/>
  <c r="E12" i="15" s="1"/>
  <c r="D17" i="14"/>
  <c r="J16" i="14"/>
  <c r="H16" i="14"/>
  <c r="F16" i="14"/>
  <c r="E11" i="15" s="1"/>
  <c r="D16" i="14"/>
  <c r="J15" i="14"/>
  <c r="H15" i="14"/>
  <c r="G10" i="15" s="1"/>
  <c r="F15" i="14"/>
  <c r="E10" i="15" s="1"/>
  <c r="D15" i="14"/>
  <c r="J14" i="14"/>
  <c r="H14" i="14"/>
  <c r="F14" i="14"/>
  <c r="E9" i="15" s="1"/>
  <c r="D14" i="14"/>
  <c r="J13" i="14"/>
  <c r="H13" i="14"/>
  <c r="G8" i="15" s="1"/>
  <c r="F13" i="14"/>
  <c r="E8" i="15" s="1"/>
  <c r="J12" i="14"/>
  <c r="H12" i="14"/>
  <c r="G7" i="15" s="1"/>
  <c r="F12" i="14"/>
  <c r="E7" i="15" s="1"/>
  <c r="D12" i="14"/>
  <c r="J11" i="14"/>
  <c r="H11" i="14"/>
  <c r="G6" i="15" s="1"/>
  <c r="F11" i="14"/>
  <c r="E6" i="15" s="1"/>
  <c r="D11" i="14"/>
  <c r="J10" i="14"/>
  <c r="H10" i="14"/>
  <c r="F10" i="14"/>
  <c r="E5" i="15" s="1"/>
  <c r="D10" i="14"/>
  <c r="J9" i="14"/>
  <c r="H9" i="14"/>
  <c r="G4" i="15" s="1"/>
  <c r="F9" i="14"/>
  <c r="E4" i="15" s="1"/>
  <c r="D9" i="14"/>
  <c r="J8" i="14"/>
  <c r="H8" i="14"/>
  <c r="G3" i="15" s="1"/>
  <c r="F8" i="14"/>
  <c r="E3" i="15" s="1"/>
  <c r="J7" i="14"/>
  <c r="H7" i="14"/>
  <c r="F7" i="14"/>
  <c r="E2" i="15" s="1"/>
  <c r="D7" i="14"/>
  <c r="G28" i="15" l="1"/>
  <c r="G20" i="15"/>
  <c r="G2" i="15"/>
  <c r="G5" i="15"/>
  <c r="G9" i="15"/>
  <c r="G12" i="15"/>
  <c r="G15" i="15"/>
  <c r="G21" i="15"/>
  <c r="G24" i="15"/>
  <c r="G27" i="15"/>
  <c r="J38" i="14"/>
  <c r="D38" i="14"/>
  <c r="H38" i="14"/>
  <c r="F38" i="14"/>
  <c r="G11" i="15"/>
  <c r="G18" i="15"/>
  <c r="G25" i="15"/>
</calcChain>
</file>

<file path=xl/sharedStrings.xml><?xml version="1.0" encoding="utf-8"?>
<sst xmlns="http://schemas.openxmlformats.org/spreadsheetml/2006/main" count="64" uniqueCount="26">
  <si>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</si>
  <si>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</si>
  <si>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</si>
  <si>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</si>
  <si>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</si>
  <si>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</si>
  <si>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</si>
  <si>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</si>
  <si>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</si>
  <si>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</si>
  <si>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Al Mugheirah</t>
  </si>
  <si>
    <t xml:space="preserve">BAN- Mugheirah Utility Readings </t>
  </si>
  <si>
    <t>TYPE</t>
  </si>
  <si>
    <t>Time</t>
  </si>
  <si>
    <t xml:space="preserve">BAN- Mugheirah Utility Readings -ADDC Electrical </t>
  </si>
  <si>
    <t xml:space="preserve">Daily Consumptions </t>
  </si>
  <si>
    <t>BAN- Mugheirah Utility Readings - ADDC Water.                   ( Villas)</t>
  </si>
  <si>
    <t>BAN- Mugheirah Utility Readings - ADDC Water (Irrigations)</t>
  </si>
  <si>
    <t xml:space="preserve">Remarks </t>
  </si>
  <si>
    <t>Meter</t>
  </si>
  <si>
    <t>AC No 0405438373</t>
  </si>
  <si>
    <t>AC N0 33777729225</t>
  </si>
  <si>
    <t>DATE</t>
  </si>
  <si>
    <t>Electricity (kWH)</t>
  </si>
  <si>
    <t>KWH</t>
  </si>
  <si>
    <t>CuM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</si>
</sst>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8"/>
      <name val="Calibri"/>
      <family val="2"/>
      <scheme val="minor"/>
    </font>
    <font>
      <b/>
      <sz val="14"/>
      <name val="Calibri"/>
      <family val="2"/>
      <scheme val="minor"/>
    </font>
    <font>
      <b/>
      <sz val="13"/>
      <color theme="1"/>
      <name val="Aptos Display"/>
      <family val="2"/>
    </font>
    <font>
      <b/>
      <sz val="11"/>
      <color rgb="FF00B050"/>
      <name val="Calibri"/>
      <family val="2"/>
      <scheme val="minor"/>
    </font>
    <font>
      <b/>
      <sz val="16"/>
      <color rgb="FF00B05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3"/>
      <name val="Aptos Display"/>
      <family val="2"/>
    </font>
    <font>
      <b/>
      <sz val="13"/>
      <color rgb="FFFF0000"/>
      <name val="Aptos Display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1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2" fillId="0" borderId="0"/>
  </cellStyleXfs>
  <cellXfs count="4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0" fillId="5" borderId="0" xfId="0" applyFill="1" applyAlignment="1">
      <alignment horizontal="center"/>
    </xf>
    <xf numFmtId="164" fontId="2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6" fillId="3" borderId="3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/>
    </xf>
    <xf numFmtId="0" fontId="7" fillId="6" borderId="1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0" fontId="9" fillId="6" borderId="1" xfId="0" applyFont="1" applyFill="1" applyBorder="1" applyAlignment="1">
      <alignment horizontal="center"/>
    </xf>
    <xf numFmtId="0" fontId="10" fillId="4" borderId="3" xfId="0" applyFont="1" applyFill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/>
    </xf>
    <xf numFmtId="0" fontId="10" fillId="6" borderId="3" xfId="0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 wrapText="1"/>
    </xf>
    <xf numFmtId="20" fontId="2" fillId="0" borderId="2" xfId="0" applyNumberFormat="1" applyFont="1" applyBorder="1" applyAlignment="1">
      <alignment horizontal="center" vertical="center"/>
    </xf>
    <xf numFmtId="20" fontId="2" fillId="0" borderId="1" xfId="0" applyNumberFormat="1" applyFont="1" applyBorder="1" applyAlignment="1">
      <alignment horizontal="center" vertical="center"/>
    </xf>
    <xf numFmtId="0" fontId="1" fillId="0" borderId="4" xfId="1" applyFont="1" applyBorder="1" applyAlignment="1">
      <alignment horizontal="center" vertical="center"/>
    </xf>
    <xf numFmtId="0" fontId="1" fillId="0" borderId="4" xfId="1" applyFont="1" applyBorder="1" applyAlignment="1">
      <alignment horizontal="center" vertical="center" wrapText="1"/>
    </xf>
    <xf numFmtId="2" fontId="14" fillId="0" borderId="4" xfId="1" applyNumberFormat="1" applyFont="1" applyBorder="1" applyAlignment="1">
      <alignment horizontal="center" vertical="center" wrapText="1"/>
    </xf>
    <xf numFmtId="0" fontId="14" fillId="0" borderId="4" xfId="1" applyFont="1" applyBorder="1" applyAlignment="1">
      <alignment horizontal="center" vertical="center" wrapText="1"/>
    </xf>
    <xf numFmtId="0" fontId="1" fillId="0" borderId="0" xfId="1" applyFont="1" applyAlignment="1">
      <alignment horizontal="center" vertical="center"/>
    </xf>
    <xf numFmtId="0" fontId="15" fillId="0" borderId="0" xfId="1" applyFont="1" applyAlignment="1">
      <alignment horizontal="center"/>
    </xf>
    <xf numFmtId="0" fontId="1" fillId="0" borderId="0" xfId="1" applyFont="1" applyAlignment="1">
      <alignment horizontal="center"/>
    </xf>
    <xf numFmtId="1" fontId="12" fillId="0" borderId="0" xfId="1" applyNumberFormat="1" applyAlignment="1">
      <alignment horizontal="center"/>
    </xf>
    <xf numFmtId="2" fontId="13" fillId="0" borderId="0" xfId="1" applyNumberFormat="1" applyFont="1" applyAlignment="1">
      <alignment horizontal="center"/>
    </xf>
    <xf numFmtId="0" fontId="12" fillId="0" borderId="0" xfId="1" applyAlignment="1">
      <alignment horizontal="center"/>
    </xf>
    <xf numFmtId="0" fontId="13" fillId="0" borderId="0" xfId="1" applyFont="1" applyAlignment="1">
      <alignment horizontal="center"/>
    </xf>
    <xf numFmtId="0" fontId="1" fillId="0" borderId="0" xfId="1" applyFont="1"/>
    <xf numFmtId="0" fontId="12" fillId="0" borderId="0" xfId="1"/>
    <xf numFmtId="0" fontId="16" fillId="8" borderId="0" xfId="0" applyFont="1" applyFill="1"/>
    <xf numFmtId="1" fontId="12" fillId="7" borderId="0" xfId="1" applyNumberFormat="1" applyFill="1"/>
    <xf numFmtId="0" fontId="6" fillId="3" borderId="3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0" fillId="4" borderId="3" xfId="0" applyFont="1" applyFill="1" applyBorder="1" applyAlignment="1">
      <alignment horizontal="center" vertical="center" wrapText="1"/>
    </xf>
    <xf numFmtId="0" fontId="10" fillId="6" borderId="3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/>
    </xf>
  </cellXfs>
  <cellStyles count="2">
    <cellStyle name="Normal" xfId="0" builtinId="0"/>
    <cellStyle name="Normal 5" xfId="1" xr:uid="{7F99A16C-EA25-477D-ACE3-910BFA5174D0}"/>
  </cellStyles>
  <dxfs count="0"/>
  <tableStyles count="0" defaultTableStyle="TableStyleMedium2" defaultPivotStyle="PivotStyleLight16"/>
  <colors>
    <mruColors>
      <color rgb="FF66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'[1]BAN Extension 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'[1]BAN Extension 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40B7-4C05-8572-E247B5CE2A7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540410544"/>
        <c:axId val="1540407632"/>
        <c:axId val="0"/>
      </c:bar3DChart>
      <c:dateAx>
        <c:axId val="1540410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0407632"/>
        <c:crosses val="autoZero"/>
        <c:auto val="0"/>
        <c:lblOffset val="100"/>
        <c:baseTimeUnit val="days"/>
      </c:dateAx>
      <c:valAx>
        <c:axId val="154040763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0410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rgbClr val="FF000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'BAN-M Electrical &amp; Water Dec25'!$D$6:$D$35</c:f>
              <c:numCache>
                <c:formatCode>General</c:formatCode>
                <c:ptCount val="30"/>
                <c:pt idx="0">
                  <c:v>0</c:v>
                </c:pt>
                <c:pt idx="1">
                  <c:v>1071</c:v>
                </c:pt>
                <c:pt idx="2">
                  <c:v>1109</c:v>
                </c:pt>
                <c:pt idx="3">
                  <c:v>965</c:v>
                </c:pt>
                <c:pt idx="4">
                  <c:v>1004</c:v>
                </c:pt>
                <c:pt idx="5">
                  <c:v>1135</c:v>
                </c:pt>
                <c:pt idx="6">
                  <c:v>1184</c:v>
                </c:pt>
                <c:pt idx="7">
                  <c:v>1046</c:v>
                </c:pt>
                <c:pt idx="8">
                  <c:v>1091</c:v>
                </c:pt>
                <c:pt idx="9">
                  <c:v>1107</c:v>
                </c:pt>
                <c:pt idx="10">
                  <c:v>1045</c:v>
                </c:pt>
                <c:pt idx="11">
                  <c:v>1152</c:v>
                </c:pt>
                <c:pt idx="12">
                  <c:v>1061</c:v>
                </c:pt>
                <c:pt idx="13">
                  <c:v>1027</c:v>
                </c:pt>
                <c:pt idx="14">
                  <c:v>1085</c:v>
                </c:pt>
                <c:pt idx="15">
                  <c:v>1048</c:v>
                </c:pt>
                <c:pt idx="16">
                  <c:v>1028</c:v>
                </c:pt>
                <c:pt idx="17">
                  <c:v>1089</c:v>
                </c:pt>
                <c:pt idx="18">
                  <c:v>1048</c:v>
                </c:pt>
                <c:pt idx="19">
                  <c:v>1165</c:v>
                </c:pt>
                <c:pt idx="20">
                  <c:v>1227</c:v>
                </c:pt>
                <c:pt idx="21">
                  <c:v>1110</c:v>
                </c:pt>
                <c:pt idx="22">
                  <c:v>1072</c:v>
                </c:pt>
                <c:pt idx="23">
                  <c:v>1706</c:v>
                </c:pt>
                <c:pt idx="24">
                  <c:v>1247</c:v>
                </c:pt>
                <c:pt idx="25">
                  <c:v>1486</c:v>
                </c:pt>
                <c:pt idx="26">
                  <c:v>1394</c:v>
                </c:pt>
                <c:pt idx="27">
                  <c:v>1314</c:v>
                </c:pt>
                <c:pt idx="28">
                  <c:v>1368</c:v>
                </c:pt>
                <c:pt idx="29">
                  <c:v>1433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'[1]BAN Extension 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C0D3-42AF-9718-7CCB6792054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775889040"/>
        <c:axId val="1775889456"/>
        <c:axId val="0"/>
      </c:bar3DChart>
      <c:catAx>
        <c:axId val="17758890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5889456"/>
        <c:crosses val="autoZero"/>
        <c:auto val="1"/>
        <c:lblAlgn val="ctr"/>
        <c:lblOffset val="100"/>
        <c:noMultiLvlLbl val="1"/>
      </c:catAx>
      <c:valAx>
        <c:axId val="177588945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5889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6">
                <a:lumMod val="75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8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00-52CE-4CC6-A81F-47EAD812BA9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'BAN-M Electrical &amp; Water Dec25'!$H$6:$H$35</c:f>
              <c:numCache>
                <c:formatCode>General</c:formatCode>
                <c:ptCount val="30"/>
                <c:pt idx="0">
                  <c:v>0</c:v>
                </c:pt>
                <c:pt idx="1">
                  <c:v>54</c:v>
                </c:pt>
                <c:pt idx="2">
                  <c:v>16</c:v>
                </c:pt>
                <c:pt idx="3">
                  <c:v>24</c:v>
                </c:pt>
                <c:pt idx="4">
                  <c:v>45</c:v>
                </c:pt>
                <c:pt idx="5">
                  <c:v>37</c:v>
                </c:pt>
                <c:pt idx="6">
                  <c:v>39</c:v>
                </c:pt>
                <c:pt idx="7">
                  <c:v>35</c:v>
                </c:pt>
                <c:pt idx="8">
                  <c:v>26</c:v>
                </c:pt>
                <c:pt idx="9">
                  <c:v>70</c:v>
                </c:pt>
                <c:pt idx="10">
                  <c:v>5</c:v>
                </c:pt>
                <c:pt idx="11">
                  <c:v>24</c:v>
                </c:pt>
                <c:pt idx="12">
                  <c:v>41</c:v>
                </c:pt>
                <c:pt idx="13">
                  <c:v>32</c:v>
                </c:pt>
                <c:pt idx="14">
                  <c:v>31</c:v>
                </c:pt>
                <c:pt idx="15">
                  <c:v>24</c:v>
                </c:pt>
                <c:pt idx="16">
                  <c:v>35</c:v>
                </c:pt>
                <c:pt idx="17">
                  <c:v>38</c:v>
                </c:pt>
                <c:pt idx="18">
                  <c:v>30</c:v>
                </c:pt>
                <c:pt idx="19">
                  <c:v>51</c:v>
                </c:pt>
                <c:pt idx="20">
                  <c:v>38</c:v>
                </c:pt>
                <c:pt idx="21">
                  <c:v>16</c:v>
                </c:pt>
                <c:pt idx="22">
                  <c:v>17</c:v>
                </c:pt>
                <c:pt idx="23">
                  <c:v>29</c:v>
                </c:pt>
                <c:pt idx="24">
                  <c:v>29</c:v>
                </c:pt>
                <c:pt idx="25">
                  <c:v>35</c:v>
                </c:pt>
                <c:pt idx="26">
                  <c:v>38</c:v>
                </c:pt>
                <c:pt idx="27">
                  <c:v>28</c:v>
                </c:pt>
                <c:pt idx="28">
                  <c:v>43</c:v>
                </c:pt>
                <c:pt idx="29">
                  <c:v>24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'[1]BAN Extension 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52CE-4CC6-A81F-47EAD812BA9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549474160"/>
        <c:axId val="1346893408"/>
        <c:axId val="0"/>
      </c:bar3DChart>
      <c:catAx>
        <c:axId val="15494741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6893408"/>
        <c:crosses val="autoZero"/>
        <c:auto val="0"/>
        <c:lblAlgn val="ctr"/>
        <c:lblOffset val="100"/>
        <c:noMultiLvlLbl val="1"/>
      </c:catAx>
      <c:valAx>
        <c:axId val="1346893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9474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550407</xdr:colOff>
      <xdr:row>5</xdr:row>
      <xdr:rowOff>149678</xdr:rowOff>
    </xdr:from>
    <xdr:to>
      <xdr:col>27</xdr:col>
      <xdr:colOff>163285</xdr:colOff>
      <xdr:row>13</xdr:row>
      <xdr:rowOff>408215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903A27-F565-4A9A-9817-0712753E8D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530998</xdr:colOff>
      <xdr:row>14</xdr:row>
      <xdr:rowOff>176891</xdr:rowOff>
    </xdr:from>
    <xdr:to>
      <xdr:col>27</xdr:col>
      <xdr:colOff>176893</xdr:colOff>
      <xdr:row>22</xdr:row>
      <xdr:rowOff>462642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76A8D5E-0F97-4F9E-87E0-6B0BB62062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550689</xdr:colOff>
      <xdr:row>23</xdr:row>
      <xdr:rowOff>248929</xdr:rowOff>
    </xdr:from>
    <xdr:to>
      <xdr:col>27</xdr:col>
      <xdr:colOff>163286</xdr:colOff>
      <xdr:row>31</xdr:row>
      <xdr:rowOff>285750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E099EB0-8673-4BED-B1F4-B2CECD1680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1490868</xdr:colOff>
      <xdr:row>0</xdr:row>
      <xdr:rowOff>47400</xdr:rowOff>
    </xdr:from>
    <xdr:to>
      <xdr:col>3</xdr:col>
      <xdr:colOff>2037356</xdr:colOff>
      <xdr:row>0</xdr:row>
      <xdr:rowOff>1104348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0F288D4-3609-4812-BEF3-7DEE00B89D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81738" y="47400"/>
          <a:ext cx="4163227" cy="10569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487A4-0886-45E5-8BA9-8489A8CB7D7B}">
  <dimension ref="A1:V33"/>
  <sheetViews>
    <sheetView tabSelected="1" workbookViewId="0">
      <selection activeCell="K28" sqref="K28"/>
    </sheetView>
  </sheetViews>
  <sheetFormatPr defaultColWidth="11.54296875" defaultRowHeight="14.5" x14ac:dyDescent="0.35"/>
  <cols>
    <col min="1" max="1" width="29.1796875" style="31" bestFit="1" customWidth="1"/>
    <col min="2" max="3" width="11.54296875" style="26"/>
    <col min="4" max="4" width="13.453125" style="26" customWidth="1"/>
    <col min="5" max="5" width="12.54296875" style="29" customWidth="1"/>
    <col min="6" max="6" width="12.54296875" style="28" customWidth="1"/>
    <col min="7" max="7" width="11.54296875" style="29"/>
    <col min="8" max="8" width="11.54296875" style="30"/>
    <col min="9" max="22" width="11.54296875" style="29"/>
    <col min="23" max="16384" width="11.54296875" style="32"/>
  </cols>
  <sheetData>
    <row r="1" spans="1:10" s="24" customFormat="1" ht="43.5" x14ac:dyDescent="0.35">
      <c r="A1" s="20" t="s">
        <v>0</v>
      </c>
      <c r="B1" s="20" t="s">
        <v>1</v>
      </c>
      <c r="C1" s="20" t="s">
        <v>2</v>
      </c>
      <c r="D1" s="20" t="s">
        <v>3</v>
      </c>
      <c r="E1" s="21" t="s">
        <v>4</v>
      </c>
      <c r="F1" s="22" t="s">
        <v>5</v>
      </c>
      <c r="G1" s="21" t="s">
        <v>6</v>
      </c>
      <c r="H1" s="23" t="s">
        <v>7</v>
      </c>
      <c r="I1" s="21" t="s">
        <v>8</v>
      </c>
      <c r="J1" s="21" t="s">
        <v>9</v>
      </c>
    </row>
    <row r="2" spans="1:10" x14ac:dyDescent="0.35">
      <c r="A2" s="25" t="s">
        <v>10</v>
      </c>
      <c r="B2" s="26">
        <v>1</v>
      </c>
      <c r="C2" s="26">
        <v>4</v>
      </c>
      <c r="D2" s="26">
        <v>2026</v>
      </c>
      <c r="E2" s="27">
        <f>IF('BAN-M Electrical &amp; Water Dec25'!F7&gt;0,'BAN-M Electrical &amp; Water Dec25'!F7,0)</f>
        <v>2594</v>
      </c>
      <c r="F2" s="28">
        <v>0.2</v>
      </c>
      <c r="G2" s="27">
        <f>IF('BAN-M Electrical &amp; Water Dec25'!H7+'BAN-M Electrical &amp; Water Dec25'!J7&gt;0,'BAN-M Electrical &amp; Water Dec25'!H7+'BAN-M Electrical &amp; Water Dec25'!J7,0)</f>
        <v>55</v>
      </c>
      <c r="H2" s="28">
        <v>7.84</v>
      </c>
      <c r="I2" s="33">
        <v>14</v>
      </c>
      <c r="J2" s="33">
        <v>31</v>
      </c>
    </row>
    <row r="3" spans="1:10" x14ac:dyDescent="0.35">
      <c r="A3" s="25" t="s">
        <v>10</v>
      </c>
      <c r="B3" s="26">
        <f>B2+1</f>
        <v>2</v>
      </c>
      <c r="C3" s="26">
        <v>4</v>
      </c>
      <c r="D3" s="26">
        <v>2026</v>
      </c>
      <c r="E3" s="27">
        <f>IF('BAN-M Electrical &amp; Water Dec25'!F8&gt;0,'BAN-M Electrical &amp; Water Dec25'!F8,0)</f>
        <v>3491</v>
      </c>
      <c r="F3" s="28">
        <v>0.2</v>
      </c>
      <c r="G3" s="27">
        <f>IF('BAN-M Electrical &amp; Water Dec25'!H8+'BAN-M Electrical &amp; Water Dec25'!J8&gt;0,'BAN-M Electrical &amp; Water Dec25'!H8+'BAN-M Electrical &amp; Water Dec25'!J8,0)</f>
        <v>16</v>
      </c>
      <c r="H3" s="28">
        <v>7.84</v>
      </c>
      <c r="I3" s="33">
        <v>16</v>
      </c>
      <c r="J3" s="33">
        <v>31</v>
      </c>
    </row>
    <row r="4" spans="1:10" x14ac:dyDescent="0.35">
      <c r="A4" s="25" t="s">
        <v>10</v>
      </c>
      <c r="B4" s="26">
        <f t="shared" ref="B4:B31" si="0">B3+1</f>
        <v>3</v>
      </c>
      <c r="C4" s="26">
        <v>4</v>
      </c>
      <c r="D4" s="26">
        <v>2026</v>
      </c>
      <c r="E4" s="27">
        <f>IF('BAN-M Electrical &amp; Water Dec25'!F9&gt;0,'BAN-M Electrical &amp; Water Dec25'!F9,0)</f>
        <v>2651</v>
      </c>
      <c r="F4" s="28">
        <v>0.2</v>
      </c>
      <c r="G4" s="27">
        <f>IF('BAN-M Electrical &amp; Water Dec25'!H9+'BAN-M Electrical &amp; Water Dec25'!J9&gt;0,'BAN-M Electrical &amp; Water Dec25'!H9+'BAN-M Electrical &amp; Water Dec25'!J9,0)</f>
        <v>24</v>
      </c>
      <c r="H4" s="28">
        <v>7.84</v>
      </c>
      <c r="I4" s="33">
        <v>27</v>
      </c>
      <c r="J4" s="33">
        <v>59</v>
      </c>
    </row>
    <row r="5" spans="1:10" x14ac:dyDescent="0.35">
      <c r="A5" s="25" t="s">
        <v>10</v>
      </c>
      <c r="B5" s="26">
        <f t="shared" si="0"/>
        <v>4</v>
      </c>
      <c r="C5" s="26">
        <v>4</v>
      </c>
      <c r="D5" s="26">
        <v>2026</v>
      </c>
      <c r="E5" s="27">
        <f>IF('BAN-M Electrical &amp; Water Dec25'!F10&gt;0,'BAN-M Electrical &amp; Water Dec25'!F10,0)</f>
        <v>2439</v>
      </c>
      <c r="F5" s="28">
        <v>0.2</v>
      </c>
      <c r="G5" s="27">
        <f>IF('BAN-M Electrical &amp; Water Dec25'!H10+'BAN-M Electrical &amp; Water Dec25'!J10&gt;0,'BAN-M Electrical &amp; Water Dec25'!H10+'BAN-M Electrical &amp; Water Dec25'!J10,0)</f>
        <v>45</v>
      </c>
      <c r="H5" s="28">
        <v>7.84</v>
      </c>
      <c r="I5" s="33">
        <v>26</v>
      </c>
      <c r="J5" s="33">
        <v>59</v>
      </c>
    </row>
    <row r="6" spans="1:10" x14ac:dyDescent="0.35">
      <c r="A6" s="25" t="s">
        <v>10</v>
      </c>
      <c r="B6" s="26">
        <f t="shared" si="0"/>
        <v>5</v>
      </c>
      <c r="C6" s="26">
        <v>4</v>
      </c>
      <c r="D6" s="26">
        <v>2026</v>
      </c>
      <c r="E6" s="27">
        <f>IF('BAN-M Electrical &amp; Water Dec25'!F11&gt;0,'BAN-M Electrical &amp; Water Dec25'!F11,0)</f>
        <v>3638</v>
      </c>
      <c r="F6" s="28">
        <v>0.2</v>
      </c>
      <c r="G6" s="27">
        <f>IF('BAN-M Electrical &amp; Water Dec25'!H11+'BAN-M Electrical &amp; Water Dec25'!J11&gt;0,'BAN-M Electrical &amp; Water Dec25'!H11+'BAN-M Electrical &amp; Water Dec25'!J11,0)</f>
        <v>49</v>
      </c>
      <c r="H6" s="28">
        <v>7.84</v>
      </c>
      <c r="I6" s="33">
        <v>12</v>
      </c>
      <c r="J6" s="33">
        <v>23</v>
      </c>
    </row>
    <row r="7" spans="1:10" x14ac:dyDescent="0.35">
      <c r="A7" s="25" t="s">
        <v>10</v>
      </c>
      <c r="B7" s="26">
        <f t="shared" si="0"/>
        <v>6</v>
      </c>
      <c r="C7" s="26">
        <v>4</v>
      </c>
      <c r="D7" s="26">
        <v>2026</v>
      </c>
      <c r="E7" s="27">
        <f>IF('BAN-M Electrical &amp; Water Dec25'!F12&gt;0,'BAN-M Electrical &amp; Water Dec25'!F12,0)</f>
        <v>2873</v>
      </c>
      <c r="F7" s="28">
        <v>0.2</v>
      </c>
      <c r="G7" s="27">
        <f>IF('BAN-M Electrical &amp; Water Dec25'!H12+'BAN-M Electrical &amp; Water Dec25'!J12&gt;0,'BAN-M Electrical &amp; Water Dec25'!H12+'BAN-M Electrical &amp; Water Dec25'!J12,0)</f>
        <v>73</v>
      </c>
      <c r="H7" s="28">
        <v>7.84</v>
      </c>
      <c r="I7" s="33">
        <v>5</v>
      </c>
      <c r="J7" s="33">
        <v>9</v>
      </c>
    </row>
    <row r="8" spans="1:10" x14ac:dyDescent="0.35">
      <c r="A8" s="25" t="s">
        <v>10</v>
      </c>
      <c r="B8" s="26">
        <f t="shared" si="0"/>
        <v>7</v>
      </c>
      <c r="C8" s="26">
        <v>4</v>
      </c>
      <c r="D8" s="26">
        <v>2026</v>
      </c>
      <c r="E8" s="27">
        <f>IF('BAN-M Electrical &amp; Water Dec25'!F13&gt;0,'BAN-M Electrical &amp; Water Dec25'!F13,0)</f>
        <v>2809</v>
      </c>
      <c r="F8" s="28">
        <v>0.2</v>
      </c>
      <c r="G8" s="27">
        <f>IF('BAN-M Electrical &amp; Water Dec25'!H13+'BAN-M Electrical &amp; Water Dec25'!J13&gt;0,'BAN-M Electrical &amp; Water Dec25'!H13+'BAN-M Electrical &amp; Water Dec25'!J13,0)</f>
        <v>58</v>
      </c>
      <c r="H8" s="28">
        <v>7.84</v>
      </c>
      <c r="I8" s="33">
        <v>8</v>
      </c>
      <c r="J8" s="33">
        <v>16</v>
      </c>
    </row>
    <row r="9" spans="1:10" x14ac:dyDescent="0.35">
      <c r="A9" s="25" t="s">
        <v>10</v>
      </c>
      <c r="B9" s="26">
        <f t="shared" si="0"/>
        <v>8</v>
      </c>
      <c r="C9" s="26">
        <v>4</v>
      </c>
      <c r="D9" s="26">
        <v>2026</v>
      </c>
      <c r="E9" s="27">
        <f>IF('BAN-M Electrical &amp; Water Dec25'!F14&gt;0,'BAN-M Electrical &amp; Water Dec25'!F14,0)</f>
        <v>2706</v>
      </c>
      <c r="F9" s="28">
        <v>0.2</v>
      </c>
      <c r="G9" s="27">
        <f>IF('BAN-M Electrical &amp; Water Dec25'!H14+'BAN-M Electrical &amp; Water Dec25'!J14&gt;0,'BAN-M Electrical &amp; Water Dec25'!H14+'BAN-M Electrical &amp; Water Dec25'!J14,0)</f>
        <v>87</v>
      </c>
      <c r="H9" s="28">
        <v>7.84</v>
      </c>
      <c r="I9" s="33">
        <v>8</v>
      </c>
      <c r="J9" s="33">
        <v>16</v>
      </c>
    </row>
    <row r="10" spans="1:10" x14ac:dyDescent="0.35">
      <c r="A10" s="25" t="s">
        <v>10</v>
      </c>
      <c r="B10" s="26">
        <f t="shared" si="0"/>
        <v>9</v>
      </c>
      <c r="C10" s="26">
        <v>4</v>
      </c>
      <c r="D10" s="26">
        <v>2026</v>
      </c>
      <c r="E10" s="27">
        <f>IF('BAN-M Electrical &amp; Water Dec25'!F15&gt;0,'BAN-M Electrical &amp; Water Dec25'!F15,0)</f>
        <v>2721</v>
      </c>
      <c r="F10" s="28">
        <v>0.2</v>
      </c>
      <c r="G10" s="27">
        <f>IF('BAN-M Electrical &amp; Water Dec25'!H15+'BAN-M Electrical &amp; Water Dec25'!J15&gt;0,'BAN-M Electrical &amp; Water Dec25'!H15+'BAN-M Electrical &amp; Water Dec25'!J15,0)</f>
        <v>171</v>
      </c>
      <c r="H10" s="28">
        <v>7.84</v>
      </c>
      <c r="I10" s="33">
        <v>9</v>
      </c>
      <c r="J10" s="33">
        <v>19</v>
      </c>
    </row>
    <row r="11" spans="1:10" x14ac:dyDescent="0.35">
      <c r="A11" s="25" t="s">
        <v>10</v>
      </c>
      <c r="B11" s="26">
        <f t="shared" si="0"/>
        <v>10</v>
      </c>
      <c r="C11" s="26">
        <v>4</v>
      </c>
      <c r="D11" s="26">
        <v>2026</v>
      </c>
      <c r="E11" s="27">
        <f>IF('BAN-M Electrical &amp; Water Dec25'!F16&gt;0,'BAN-M Electrical &amp; Water Dec25'!F16,0)</f>
        <v>2853</v>
      </c>
      <c r="F11" s="28">
        <v>0.2</v>
      </c>
      <c r="G11" s="27">
        <f>IF('BAN-M Electrical &amp; Water Dec25'!H16+'BAN-M Electrical &amp; Water Dec25'!J16&gt;0,'BAN-M Electrical &amp; Water Dec25'!H16+'BAN-M Electrical &amp; Water Dec25'!J16,0)</f>
        <v>5</v>
      </c>
      <c r="H11" s="28">
        <v>7.84</v>
      </c>
      <c r="I11" s="33">
        <v>21</v>
      </c>
      <c r="J11" s="33">
        <v>43</v>
      </c>
    </row>
    <row r="12" spans="1:10" x14ac:dyDescent="0.35">
      <c r="A12" s="25" t="s">
        <v>10</v>
      </c>
      <c r="B12" s="26">
        <f t="shared" si="0"/>
        <v>11</v>
      </c>
      <c r="C12" s="26">
        <v>4</v>
      </c>
      <c r="D12" s="26">
        <v>2026</v>
      </c>
      <c r="E12" s="27">
        <f>IF('BAN-M Electrical &amp; Water Dec25'!F17&gt;0,'BAN-M Electrical &amp; Water Dec25'!F17,0)</f>
        <v>3312</v>
      </c>
      <c r="F12" s="28">
        <v>0.2</v>
      </c>
      <c r="G12" s="27">
        <f>IF('BAN-M Electrical &amp; Water Dec25'!H17+'BAN-M Electrical &amp; Water Dec25'!J17&gt;0,'BAN-M Electrical &amp; Water Dec25'!H17+'BAN-M Electrical &amp; Water Dec25'!J17,0)</f>
        <v>24</v>
      </c>
      <c r="H12" s="28">
        <v>7.84</v>
      </c>
      <c r="I12" s="33">
        <v>26</v>
      </c>
      <c r="J12" s="33">
        <v>54</v>
      </c>
    </row>
    <row r="13" spans="1:10" x14ac:dyDescent="0.35">
      <c r="A13" s="25" t="s">
        <v>10</v>
      </c>
      <c r="B13" s="26">
        <f t="shared" si="0"/>
        <v>12</v>
      </c>
      <c r="C13" s="26">
        <v>4</v>
      </c>
      <c r="D13" s="26">
        <v>2026</v>
      </c>
      <c r="E13" s="27">
        <f>IF('BAN-M Electrical &amp; Water Dec25'!F18&gt;0,'BAN-M Electrical &amp; Water Dec25'!F18,0)</f>
        <v>2642</v>
      </c>
      <c r="F13" s="28">
        <v>0.2</v>
      </c>
      <c r="G13" s="27">
        <f>IF('BAN-M Electrical &amp; Water Dec25'!H18+'BAN-M Electrical &amp; Water Dec25'!J18&gt;0,'BAN-M Electrical &amp; Water Dec25'!H18+'BAN-M Electrical &amp; Water Dec25'!J18,0)</f>
        <v>44</v>
      </c>
      <c r="H13" s="28">
        <v>7.84</v>
      </c>
      <c r="I13" s="33">
        <v>10</v>
      </c>
      <c r="J13" s="33">
        <v>20</v>
      </c>
    </row>
    <row r="14" spans="1:10" x14ac:dyDescent="0.35">
      <c r="A14" s="25" t="s">
        <v>10</v>
      </c>
      <c r="B14" s="26">
        <f t="shared" si="0"/>
        <v>13</v>
      </c>
      <c r="C14" s="26">
        <v>4</v>
      </c>
      <c r="D14" s="26">
        <v>2026</v>
      </c>
      <c r="E14" s="27">
        <f>IF('BAN-M Electrical &amp; Water Dec25'!F19&gt;0,'BAN-M Electrical &amp; Water Dec25'!F19,0)</f>
        <v>2643</v>
      </c>
      <c r="F14" s="28">
        <v>0.2</v>
      </c>
      <c r="G14" s="27">
        <f>IF('BAN-M Electrical &amp; Water Dec25'!H19+'BAN-M Electrical &amp; Water Dec25'!J19&gt;0,'BAN-M Electrical &amp; Water Dec25'!H19+'BAN-M Electrical &amp; Water Dec25'!J19,0)</f>
        <v>98</v>
      </c>
      <c r="H14" s="28">
        <v>7.84</v>
      </c>
      <c r="I14" s="33">
        <v>6</v>
      </c>
      <c r="J14" s="33">
        <v>13</v>
      </c>
    </row>
    <row r="15" spans="1:10" x14ac:dyDescent="0.35">
      <c r="A15" s="25" t="s">
        <v>10</v>
      </c>
      <c r="B15" s="26">
        <f t="shared" si="0"/>
        <v>14</v>
      </c>
      <c r="C15" s="26">
        <v>4</v>
      </c>
      <c r="D15" s="26">
        <v>2026</v>
      </c>
      <c r="E15" s="27">
        <f>IF('BAN-M Electrical &amp; Water Dec25'!F20&gt;0,'BAN-M Electrical &amp; Water Dec25'!F20,0)</f>
        <v>2730</v>
      </c>
      <c r="F15" s="28">
        <v>0.2</v>
      </c>
      <c r="G15" s="27">
        <f>IF('BAN-M Electrical &amp; Water Dec25'!H20+'BAN-M Electrical &amp; Water Dec25'!J20&gt;0,'BAN-M Electrical &amp; Water Dec25'!H20+'BAN-M Electrical &amp; Water Dec25'!J20,0)</f>
        <v>75</v>
      </c>
      <c r="H15" s="28">
        <v>7.84</v>
      </c>
      <c r="I15" s="33">
        <v>7</v>
      </c>
      <c r="J15" s="33">
        <v>16</v>
      </c>
    </row>
    <row r="16" spans="1:10" x14ac:dyDescent="0.35">
      <c r="A16" s="25" t="s">
        <v>10</v>
      </c>
      <c r="B16" s="26">
        <f t="shared" si="0"/>
        <v>15</v>
      </c>
      <c r="C16" s="26">
        <v>4</v>
      </c>
      <c r="D16" s="26">
        <v>2026</v>
      </c>
      <c r="E16" s="27">
        <f>IF('BAN-M Electrical &amp; Water Dec25'!F21&gt;0,'BAN-M Electrical &amp; Water Dec25'!F21,0)</f>
        <v>2695</v>
      </c>
      <c r="F16" s="28">
        <v>0.2</v>
      </c>
      <c r="G16" s="27">
        <f>IF('BAN-M Electrical &amp; Water Dec25'!H21+'BAN-M Electrical &amp; Water Dec25'!J21&gt;0,'BAN-M Electrical &amp; Water Dec25'!H21+'BAN-M Electrical &amp; Water Dec25'!J21,0)</f>
        <v>78</v>
      </c>
      <c r="H16" s="28">
        <v>7.84</v>
      </c>
      <c r="I16" s="33">
        <v>11</v>
      </c>
      <c r="J16" s="33">
        <v>19</v>
      </c>
    </row>
    <row r="17" spans="1:10" x14ac:dyDescent="0.35">
      <c r="A17" s="25" t="s">
        <v>10</v>
      </c>
      <c r="B17" s="26">
        <f t="shared" si="0"/>
        <v>16</v>
      </c>
      <c r="C17" s="26">
        <v>4</v>
      </c>
      <c r="D17" s="26">
        <v>2026</v>
      </c>
      <c r="E17" s="27">
        <f>IF('BAN-M Electrical &amp; Water Dec25'!F22&gt;0,'BAN-M Electrical &amp; Water Dec25'!F22,0)</f>
        <v>2704</v>
      </c>
      <c r="F17" s="28">
        <v>0.2</v>
      </c>
      <c r="G17" s="27">
        <f>IF('BAN-M Electrical &amp; Water Dec25'!H22+'BAN-M Electrical &amp; Water Dec25'!J22&gt;0,'BAN-M Electrical &amp; Water Dec25'!H22+'BAN-M Electrical &amp; Water Dec25'!J22,0)</f>
        <v>85</v>
      </c>
      <c r="H17" s="28">
        <v>7.84</v>
      </c>
      <c r="I17" s="33">
        <v>12</v>
      </c>
      <c r="J17" s="33">
        <v>23</v>
      </c>
    </row>
    <row r="18" spans="1:10" x14ac:dyDescent="0.35">
      <c r="A18" s="25" t="s">
        <v>10</v>
      </c>
      <c r="B18" s="26">
        <f t="shared" si="0"/>
        <v>17</v>
      </c>
      <c r="C18" s="26">
        <v>4</v>
      </c>
      <c r="D18" s="26">
        <v>2026</v>
      </c>
      <c r="E18" s="27">
        <f>IF('BAN-M Electrical &amp; Water Dec25'!F23&gt;0,'BAN-M Electrical &amp; Water Dec25'!F23,0)</f>
        <v>3592</v>
      </c>
      <c r="F18" s="28">
        <v>0.2</v>
      </c>
      <c r="G18" s="27">
        <f>IF('BAN-M Electrical &amp; Water Dec25'!H23+'BAN-M Electrical &amp; Water Dec25'!J23&gt;0,'BAN-M Electrical &amp; Water Dec25'!H23+'BAN-M Electrical &amp; Water Dec25'!J23,0)</f>
        <v>38</v>
      </c>
      <c r="H18" s="28">
        <v>7.84</v>
      </c>
      <c r="I18" s="33">
        <v>38</v>
      </c>
      <c r="J18" s="33">
        <v>82</v>
      </c>
    </row>
    <row r="19" spans="1:10" x14ac:dyDescent="0.35">
      <c r="A19" s="25" t="s">
        <v>10</v>
      </c>
      <c r="B19" s="26">
        <f t="shared" si="0"/>
        <v>18</v>
      </c>
      <c r="C19" s="26">
        <v>4</v>
      </c>
      <c r="D19" s="26">
        <v>2026</v>
      </c>
      <c r="E19" s="27">
        <f>IF('BAN-M Electrical &amp; Water Dec25'!F24&gt;0,'BAN-M Electrical &amp; Water Dec25'!F24,0)</f>
        <v>3329</v>
      </c>
      <c r="F19" s="28">
        <v>0.2</v>
      </c>
      <c r="G19" s="27">
        <f>IF('BAN-M Electrical &amp; Water Dec25'!H24+'BAN-M Electrical &amp; Water Dec25'!J24&gt;0,'BAN-M Electrical &amp; Water Dec25'!H24+'BAN-M Electrical &amp; Water Dec25'!J24,0)</f>
        <v>33</v>
      </c>
      <c r="H19" s="28">
        <v>7.84</v>
      </c>
      <c r="I19" s="33">
        <v>39</v>
      </c>
      <c r="J19" s="33">
        <v>91</v>
      </c>
    </row>
    <row r="20" spans="1:10" x14ac:dyDescent="0.35">
      <c r="A20" s="25" t="s">
        <v>10</v>
      </c>
      <c r="B20" s="26">
        <f t="shared" si="0"/>
        <v>19</v>
      </c>
      <c r="C20" s="26">
        <v>4</v>
      </c>
      <c r="D20" s="26">
        <v>2026</v>
      </c>
      <c r="E20" s="27">
        <f>IF('BAN-M Electrical &amp; Water Dec25'!F25&gt;0,'BAN-M Electrical &amp; Water Dec25'!F25,0)</f>
        <v>2673</v>
      </c>
      <c r="F20" s="28">
        <v>0.2</v>
      </c>
      <c r="G20" s="27">
        <f>IF('BAN-M Electrical &amp; Water Dec25'!H25+'BAN-M Electrical &amp; Water Dec25'!J25&gt;0,'BAN-M Electrical &amp; Water Dec25'!H25+'BAN-M Electrical &amp; Water Dec25'!J25,0)</f>
        <v>102</v>
      </c>
      <c r="H20" s="28">
        <v>7.84</v>
      </c>
      <c r="I20" s="33">
        <v>8</v>
      </c>
      <c r="J20" s="33">
        <v>15</v>
      </c>
    </row>
    <row r="21" spans="1:10" x14ac:dyDescent="0.35">
      <c r="A21" s="25" t="s">
        <v>10</v>
      </c>
      <c r="B21" s="26">
        <f t="shared" si="0"/>
        <v>20</v>
      </c>
      <c r="C21" s="26">
        <v>4</v>
      </c>
      <c r="D21" s="26">
        <v>2026</v>
      </c>
      <c r="E21" s="27">
        <f>IF('BAN-M Electrical &amp; Water Dec25'!F26&gt;0,'BAN-M Electrical &amp; Water Dec25'!F26,0)</f>
        <v>3728</v>
      </c>
      <c r="F21" s="28">
        <v>0.2</v>
      </c>
      <c r="G21" s="27">
        <f>IF('BAN-M Electrical &amp; Water Dec25'!H26+'BAN-M Electrical &amp; Water Dec25'!J26&gt;0,'BAN-M Electrical &amp; Water Dec25'!H26+'BAN-M Electrical &amp; Water Dec25'!J26,0)</f>
        <v>40</v>
      </c>
      <c r="H21" s="28">
        <v>7.84</v>
      </c>
      <c r="I21" s="33">
        <v>3</v>
      </c>
      <c r="J21" s="33">
        <v>5</v>
      </c>
    </row>
    <row r="22" spans="1:10" x14ac:dyDescent="0.35">
      <c r="A22" s="25" t="s">
        <v>10</v>
      </c>
      <c r="B22" s="26">
        <f t="shared" si="0"/>
        <v>21</v>
      </c>
      <c r="C22" s="26">
        <v>4</v>
      </c>
      <c r="D22" s="26">
        <v>2026</v>
      </c>
      <c r="E22" s="27">
        <f>IF('BAN-M Electrical &amp; Water Dec25'!F27&gt;0,'BAN-M Electrical &amp; Water Dec25'!F27,0)</f>
        <v>3015</v>
      </c>
      <c r="F22" s="28">
        <v>0.2</v>
      </c>
      <c r="G22" s="27">
        <f>IF('BAN-M Electrical &amp; Water Dec25'!H27+'BAN-M Electrical &amp; Water Dec25'!J27&gt;0,'BAN-M Electrical &amp; Water Dec25'!H27+'BAN-M Electrical &amp; Water Dec25'!J27,0)</f>
        <v>43</v>
      </c>
      <c r="H22" s="28">
        <v>7.84</v>
      </c>
      <c r="I22" s="33">
        <v>9</v>
      </c>
      <c r="J22" s="33">
        <v>21</v>
      </c>
    </row>
    <row r="23" spans="1:10" x14ac:dyDescent="0.35">
      <c r="A23" s="25" t="s">
        <v>10</v>
      </c>
      <c r="B23" s="26">
        <f t="shared" si="0"/>
        <v>22</v>
      </c>
      <c r="C23" s="26">
        <v>4</v>
      </c>
      <c r="D23" s="26">
        <v>2026</v>
      </c>
      <c r="E23" s="27">
        <f>IF('BAN-M Electrical &amp; Water Dec25'!F28&gt;0,'BAN-M Electrical &amp; Water Dec25'!F28,0)</f>
        <v>3179</v>
      </c>
      <c r="F23" s="28">
        <v>0.2</v>
      </c>
      <c r="G23" s="27">
        <f>IF('BAN-M Electrical &amp; Water Dec25'!H28+'BAN-M Electrical &amp; Water Dec25'!J28&gt;0,'BAN-M Electrical &amp; Water Dec25'!H28+'BAN-M Electrical &amp; Water Dec25'!J28,0)</f>
        <v>59</v>
      </c>
      <c r="H23" s="28">
        <v>7.84</v>
      </c>
      <c r="I23" s="33">
        <v>3</v>
      </c>
      <c r="J23" s="33">
        <v>6</v>
      </c>
    </row>
    <row r="24" spans="1:10" x14ac:dyDescent="0.35">
      <c r="A24" s="25" t="s">
        <v>10</v>
      </c>
      <c r="B24" s="26">
        <f t="shared" si="0"/>
        <v>23</v>
      </c>
      <c r="C24" s="26">
        <v>4</v>
      </c>
      <c r="D24" s="26">
        <v>2026</v>
      </c>
      <c r="E24" s="27">
        <f>IF('BAN-M Electrical &amp; Water Dec25'!F29&gt;0,'BAN-M Electrical &amp; Water Dec25'!F29,0)</f>
        <v>3375</v>
      </c>
      <c r="F24" s="28">
        <v>0.2</v>
      </c>
      <c r="G24" s="27">
        <f>IF('BAN-M Electrical &amp; Water Dec25'!H29+'BAN-M Electrical &amp; Water Dec25'!J29&gt;0,'BAN-M Electrical &amp; Water Dec25'!H29+'BAN-M Electrical &amp; Water Dec25'!J29,0)</f>
        <v>39</v>
      </c>
      <c r="H24" s="28">
        <v>7.84</v>
      </c>
      <c r="I24" s="33">
        <v>7</v>
      </c>
      <c r="J24" s="33">
        <v>14</v>
      </c>
    </row>
    <row r="25" spans="1:10" x14ac:dyDescent="0.35">
      <c r="A25" s="25" t="s">
        <v>10</v>
      </c>
      <c r="B25" s="26">
        <f t="shared" si="0"/>
        <v>24</v>
      </c>
      <c r="C25" s="26">
        <v>4</v>
      </c>
      <c r="D25" s="26">
        <v>2026</v>
      </c>
      <c r="E25" s="27">
        <f>IF('BAN-M Electrical &amp; Water Dec25'!F30&gt;0,'BAN-M Electrical &amp; Water Dec25'!F30,0)</f>
        <v>3630</v>
      </c>
      <c r="F25" s="28">
        <v>0.2</v>
      </c>
      <c r="G25" s="27">
        <f>IF('BAN-M Electrical &amp; Water Dec25'!H30+'BAN-M Electrical &amp; Water Dec25'!J30&gt;0,'BAN-M Electrical &amp; Water Dec25'!H30+'BAN-M Electrical &amp; Water Dec25'!J30,0)</f>
        <v>75</v>
      </c>
      <c r="H25" s="28">
        <v>7.84</v>
      </c>
      <c r="I25" s="33">
        <v>13</v>
      </c>
      <c r="J25" s="33">
        <v>29</v>
      </c>
    </row>
    <row r="26" spans="1:10" x14ac:dyDescent="0.35">
      <c r="A26" s="25" t="s">
        <v>10</v>
      </c>
      <c r="B26" s="26">
        <f>B25+1</f>
        <v>25</v>
      </c>
      <c r="C26" s="26">
        <v>4</v>
      </c>
      <c r="D26" s="26">
        <v>2026</v>
      </c>
      <c r="E26" s="27">
        <f>IF('BAN-M Electrical &amp; Water Dec25'!F31&gt;0,'BAN-M Electrical &amp; Water Dec25'!F31,0)</f>
        <v>3772</v>
      </c>
      <c r="F26" s="28">
        <v>0.2</v>
      </c>
      <c r="G26" s="27">
        <f>IF('BAN-M Electrical &amp; Water Dec25'!H31+'BAN-M Electrical &amp; Water Dec25'!J31&gt;0,'BAN-M Electrical &amp; Water Dec25'!H31+'BAN-M Electrical &amp; Water Dec25'!J31,0)</f>
        <v>35</v>
      </c>
      <c r="H26" s="28">
        <v>7.84</v>
      </c>
      <c r="I26" s="33">
        <v>32</v>
      </c>
      <c r="J26" s="33">
        <v>69</v>
      </c>
    </row>
    <row r="27" spans="1:10" x14ac:dyDescent="0.35">
      <c r="A27" s="25" t="s">
        <v>10</v>
      </c>
      <c r="B27" s="26">
        <f t="shared" si="0"/>
        <v>26</v>
      </c>
      <c r="C27" s="26">
        <v>4</v>
      </c>
      <c r="D27" s="26">
        <v>2026</v>
      </c>
      <c r="E27" s="27">
        <f>IF('BAN-M Electrical &amp; Water Dec25'!F32&gt;0,'BAN-M Electrical &amp; Water Dec25'!F32,0)</f>
        <v>3941</v>
      </c>
      <c r="F27" s="28">
        <v>0.2</v>
      </c>
      <c r="G27" s="27">
        <f>IF('BAN-M Electrical &amp; Water Dec25'!H32+'BAN-M Electrical &amp; Water Dec25'!J32&gt;0,'BAN-M Electrical &amp; Water Dec25'!H32+'BAN-M Electrical &amp; Water Dec25'!J32,0)</f>
        <v>38</v>
      </c>
      <c r="H27" s="28">
        <v>7.84</v>
      </c>
      <c r="I27" s="33">
        <v>11</v>
      </c>
      <c r="J27" s="33">
        <v>18</v>
      </c>
    </row>
    <row r="28" spans="1:10" x14ac:dyDescent="0.35">
      <c r="A28" s="25" t="s">
        <v>10</v>
      </c>
      <c r="B28" s="26">
        <f t="shared" si="0"/>
        <v>27</v>
      </c>
      <c r="C28" s="26">
        <v>4</v>
      </c>
      <c r="D28" s="26">
        <v>2026</v>
      </c>
      <c r="E28" s="27">
        <f>IF('BAN-M Electrical &amp; Water Dec25'!F33&gt;0,'BAN-M Electrical &amp; Water Dec25'!F33,0)</f>
        <v>4006</v>
      </c>
      <c r="F28" s="28">
        <v>0.2</v>
      </c>
      <c r="G28" s="27">
        <f>IF('BAN-M Electrical &amp; Water Dec25'!H33+'BAN-M Electrical &amp; Water Dec25'!J33&gt;0,'BAN-M Electrical &amp; Water Dec25'!H33+'BAN-M Electrical &amp; Water Dec25'!J33,0)</f>
        <v>75</v>
      </c>
      <c r="H28" s="28">
        <v>7.84</v>
      </c>
      <c r="I28" s="33">
        <v>9</v>
      </c>
      <c r="J28" s="33">
        <v>17</v>
      </c>
    </row>
    <row r="29" spans="1:10" x14ac:dyDescent="0.35">
      <c r="A29" s="25" t="s">
        <v>10</v>
      </c>
      <c r="B29" s="26">
        <f t="shared" si="0"/>
        <v>28</v>
      </c>
      <c r="C29" s="26">
        <v>4</v>
      </c>
      <c r="D29" s="26">
        <v>2026</v>
      </c>
      <c r="E29" s="27">
        <f>IF('BAN-M Electrical &amp; Water Dec25'!F34&gt;0,'BAN-M Electrical &amp; Water Dec25'!F34,0)</f>
        <v>3517</v>
      </c>
      <c r="F29" s="28">
        <v>0.2</v>
      </c>
      <c r="G29" s="27">
        <f>IF('BAN-M Electrical &amp; Water Dec25'!H34+'BAN-M Electrical &amp; Water Dec25'!J34&gt;0,'BAN-M Electrical &amp; Water Dec25'!H34+'BAN-M Electrical &amp; Water Dec25'!J34,0)</f>
        <v>123</v>
      </c>
      <c r="H29" s="28">
        <v>7.84</v>
      </c>
      <c r="I29" s="33">
        <v>5</v>
      </c>
      <c r="J29" s="33">
        <v>11</v>
      </c>
    </row>
    <row r="30" spans="1:10" x14ac:dyDescent="0.35">
      <c r="A30" s="25" t="s">
        <v>10</v>
      </c>
      <c r="B30" s="26">
        <f t="shared" si="0"/>
        <v>29</v>
      </c>
      <c r="C30" s="26">
        <v>4</v>
      </c>
      <c r="D30" s="26">
        <v>2026</v>
      </c>
      <c r="E30" s="27">
        <f>IF('BAN-M Electrical &amp; Water Dec25'!F35&gt;0,'BAN-M Electrical &amp; Water Dec25'!F35,0)</f>
        <v>3626</v>
      </c>
      <c r="F30" s="28">
        <v>0.2</v>
      </c>
      <c r="G30" s="27">
        <f>IF('BAN-M Electrical &amp; Water Dec25'!H35+'BAN-M Electrical &amp; Water Dec25'!J35&gt;0,'BAN-M Electrical &amp; Water Dec25'!H35+'BAN-M Electrical &amp; Water Dec25'!J35,0)</f>
        <v>80</v>
      </c>
      <c r="H30" s="28">
        <v>7.84</v>
      </c>
      <c r="I30" s="33">
        <v>10</v>
      </c>
      <c r="J30" s="33">
        <v>21</v>
      </c>
    </row>
    <row r="31" spans="1:10" x14ac:dyDescent="0.35">
      <c r="A31" s="25" t="s">
        <v>10</v>
      </c>
      <c r="B31" s="26">
        <f t="shared" si="0"/>
        <v>30</v>
      </c>
      <c r="C31" s="26">
        <v>4</v>
      </c>
      <c r="D31" s="26">
        <v>2026</v>
      </c>
      <c r="E31" s="27">
        <f>IF('BAN-M Electrical &amp; Water Dec25'!F36&gt;0,'BAN-M Electrical &amp; Water Dec25'!F36,0)</f>
        <v>3765</v>
      </c>
      <c r="F31" s="28">
        <v>0.2</v>
      </c>
      <c r="G31" s="27">
        <f>IF('BAN-M Electrical &amp; Water Dec25'!H36+'BAN-M Electrical &amp; Water Dec25'!J36&gt;0,'BAN-M Electrical &amp; Water Dec25'!H36+'BAN-M Electrical &amp; Water Dec25'!J36,0)</f>
        <v>89</v>
      </c>
      <c r="H31" s="28">
        <v>7.84</v>
      </c>
      <c r="I31" s="33">
        <v>9</v>
      </c>
      <c r="J31" s="33">
        <v>20</v>
      </c>
    </row>
    <row r="32" spans="1:10" x14ac:dyDescent="0.35">
      <c r="A32" s="25"/>
      <c r="E32" s="27"/>
      <c r="G32" s="27"/>
      <c r="H32" s="28"/>
      <c r="I32" s="34">
        <v>414</v>
      </c>
      <c r="J32" s="34">
        <v>868</v>
      </c>
    </row>
    <row r="33" spans="7:10" x14ac:dyDescent="0.35">
      <c r="G33" s="27"/>
      <c r="I33" s="34"/>
      <c r="J33" s="3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3A63C-B111-40AA-B9A8-2E91F350E8C1}">
  <dimension ref="A1:N39"/>
  <sheetViews>
    <sheetView topLeftCell="A28" zoomScale="60" zoomScaleNormal="60" zoomScaleSheetLayoutView="90" zoomScalePageLayoutView="52" workbookViewId="0">
      <selection activeCell="C48" sqref="C48"/>
    </sheetView>
  </sheetViews>
  <sheetFormatPr defaultRowHeight="14.5" x14ac:dyDescent="0.35"/>
  <cols>
    <col min="1" max="2" width="21.26953125" customWidth="1"/>
    <col min="3" max="3" width="30.26953125" style="1" bestFit="1" customWidth="1"/>
    <col min="4" max="4" width="31.26953125" style="1" customWidth="1"/>
    <col min="5" max="5" width="33.26953125" style="1" customWidth="1"/>
    <col min="6" max="6" width="31.26953125" style="1" customWidth="1"/>
    <col min="7" max="7" width="30.81640625" style="6" customWidth="1"/>
    <col min="8" max="8" width="30.26953125" style="6" customWidth="1"/>
    <col min="9" max="9" width="32.1796875" style="6" customWidth="1"/>
    <col min="10" max="10" width="29.453125" style="6" customWidth="1"/>
    <col min="11" max="11" width="55.7265625" style="1" bestFit="1" customWidth="1"/>
  </cols>
  <sheetData>
    <row r="1" spans="1:14" ht="94.9" customHeight="1" thickBot="1" x14ac:dyDescent="0.4">
      <c r="C1" s="36" t="s">
        <v>11</v>
      </c>
      <c r="D1" s="37"/>
      <c r="E1" s="37"/>
      <c r="F1" s="37"/>
      <c r="G1" s="37"/>
      <c r="H1" s="37"/>
      <c r="I1" s="37"/>
      <c r="J1" s="37"/>
      <c r="K1" s="37"/>
      <c r="N1" s="2"/>
    </row>
    <row r="2" spans="1:14" s="1" customFormat="1" ht="54.75" customHeight="1" thickBot="1" x14ac:dyDescent="0.4">
      <c r="A2" s="9" t="s">
        <v>12</v>
      </c>
      <c r="B2" s="35" t="s">
        <v>13</v>
      </c>
      <c r="C2" s="14" t="s">
        <v>14</v>
      </c>
      <c r="D2" s="38" t="s">
        <v>15</v>
      </c>
      <c r="E2" s="14" t="s">
        <v>14</v>
      </c>
      <c r="F2" s="38" t="s">
        <v>15</v>
      </c>
      <c r="G2" s="39" t="s">
        <v>16</v>
      </c>
      <c r="H2" s="39" t="s">
        <v>15</v>
      </c>
      <c r="I2" s="39" t="s">
        <v>17</v>
      </c>
      <c r="J2" s="39" t="s">
        <v>15</v>
      </c>
      <c r="K2" s="40" t="s">
        <v>18</v>
      </c>
    </row>
    <row r="3" spans="1:14" ht="60" customHeight="1" thickBot="1" x14ac:dyDescent="0.4">
      <c r="A3" s="9" t="s">
        <v>19</v>
      </c>
      <c r="B3" s="35"/>
      <c r="C3" s="17" t="s">
        <v>20</v>
      </c>
      <c r="D3" s="38"/>
      <c r="E3" s="17" t="s">
        <v>21</v>
      </c>
      <c r="F3" s="38"/>
      <c r="G3" s="39"/>
      <c r="H3" s="39"/>
      <c r="I3" s="39"/>
      <c r="J3" s="39"/>
      <c r="K3" s="40"/>
    </row>
    <row r="4" spans="1:14" ht="46.5" customHeight="1" thickBot="1" x14ac:dyDescent="0.4">
      <c r="A4" s="35" t="s">
        <v>22</v>
      </c>
      <c r="B4" s="35"/>
      <c r="C4" s="38" t="s">
        <v>23</v>
      </c>
      <c r="D4" s="38"/>
      <c r="E4" s="38" t="s">
        <v>23</v>
      </c>
      <c r="F4" s="38"/>
      <c r="G4" s="39"/>
      <c r="H4" s="39"/>
      <c r="I4" s="39"/>
      <c r="J4" s="39"/>
      <c r="K4" s="40"/>
    </row>
    <row r="5" spans="1:14" ht="25" customHeight="1" thickBot="1" x14ac:dyDescent="0.4">
      <c r="A5" s="35"/>
      <c r="B5" s="35"/>
      <c r="C5" s="38"/>
      <c r="D5" s="15" t="s">
        <v>24</v>
      </c>
      <c r="E5" s="38"/>
      <c r="F5" s="15" t="s">
        <v>24</v>
      </c>
      <c r="G5" s="16" t="s">
        <v>25</v>
      </c>
      <c r="H5" s="16" t="s">
        <v>25</v>
      </c>
      <c r="I5" s="16" t="s">
        <v>25</v>
      </c>
      <c r="J5" s="16" t="s">
        <v>25</v>
      </c>
      <c r="K5" s="40"/>
    </row>
    <row r="6" spans="1:14" ht="39" customHeight="1" x14ac:dyDescent="0.35">
      <c r="A6" s="7">
        <v>46112</v>
      </c>
      <c r="B6" s="18">
        <v>0.21875</v>
      </c>
      <c r="C6" s="4">
        <v>3164053</v>
      </c>
      <c r="D6" s="4">
        <v>0</v>
      </c>
      <c r="E6" s="4">
        <v>8489322</v>
      </c>
      <c r="F6" s="4">
        <v>0</v>
      </c>
      <c r="G6" s="11">
        <v>10348</v>
      </c>
      <c r="H6" s="10">
        <v>0</v>
      </c>
      <c r="I6" s="11">
        <v>8991</v>
      </c>
      <c r="J6" s="10">
        <v>0</v>
      </c>
      <c r="K6" s="8"/>
    </row>
    <row r="7" spans="1:14" ht="39" customHeight="1" x14ac:dyDescent="0.35">
      <c r="A7" s="7">
        <v>46113</v>
      </c>
      <c r="B7" s="19">
        <v>0.99930555555555556</v>
      </c>
      <c r="C7" s="4">
        <v>3165124</v>
      </c>
      <c r="D7" s="4">
        <f>C7-C6</f>
        <v>1071</v>
      </c>
      <c r="E7" s="4">
        <v>8491916</v>
      </c>
      <c r="F7" s="4">
        <f>E7-E6</f>
        <v>2594</v>
      </c>
      <c r="G7" s="11">
        <v>10402</v>
      </c>
      <c r="H7" s="11">
        <f>G7-G6</f>
        <v>54</v>
      </c>
      <c r="I7" s="11">
        <v>8992</v>
      </c>
      <c r="J7" s="11">
        <f>I7-I6</f>
        <v>1</v>
      </c>
      <c r="K7" s="3"/>
    </row>
    <row r="8" spans="1:14" ht="39" customHeight="1" x14ac:dyDescent="0.35">
      <c r="A8" s="7">
        <v>46114</v>
      </c>
      <c r="B8" s="19">
        <v>0.28472222222222221</v>
      </c>
      <c r="C8" s="4">
        <v>3166233</v>
      </c>
      <c r="D8" s="4">
        <f>C8-C7</f>
        <v>1109</v>
      </c>
      <c r="E8" s="4">
        <v>8495407</v>
      </c>
      <c r="F8" s="4">
        <f t="shared" ref="F8:F35" si="0">E8-E7</f>
        <v>3491</v>
      </c>
      <c r="G8" s="11">
        <v>10418</v>
      </c>
      <c r="H8" s="11">
        <f t="shared" ref="H8:H37" si="1">G8-G7</f>
        <v>16</v>
      </c>
      <c r="I8" s="11">
        <v>8992</v>
      </c>
      <c r="J8" s="11">
        <f t="shared" ref="J8:J35" si="2">I8-I7</f>
        <v>0</v>
      </c>
      <c r="K8" s="3"/>
    </row>
    <row r="9" spans="1:14" ht="39" customHeight="1" x14ac:dyDescent="0.35">
      <c r="A9" s="7">
        <v>46115</v>
      </c>
      <c r="B9" s="19">
        <v>0.20833333333333334</v>
      </c>
      <c r="C9" s="4">
        <v>3167198</v>
      </c>
      <c r="D9" s="4">
        <f t="shared" ref="D9:D35" si="3">C9-C8</f>
        <v>965</v>
      </c>
      <c r="E9" s="4">
        <v>8498058</v>
      </c>
      <c r="F9" s="4">
        <f t="shared" si="0"/>
        <v>2651</v>
      </c>
      <c r="G9" s="11">
        <v>10442</v>
      </c>
      <c r="H9" s="11">
        <f t="shared" si="1"/>
        <v>24</v>
      </c>
      <c r="I9" s="11">
        <v>8992</v>
      </c>
      <c r="J9" s="11">
        <f t="shared" si="2"/>
        <v>0</v>
      </c>
      <c r="K9" s="3"/>
    </row>
    <row r="10" spans="1:14" ht="39" customHeight="1" x14ac:dyDescent="0.35">
      <c r="A10" s="7">
        <v>46116</v>
      </c>
      <c r="B10" s="19">
        <v>0.21875</v>
      </c>
      <c r="C10" s="4">
        <v>3168202</v>
      </c>
      <c r="D10" s="4">
        <f t="shared" si="3"/>
        <v>1004</v>
      </c>
      <c r="E10" s="4">
        <v>8500497</v>
      </c>
      <c r="F10" s="4">
        <f t="shared" si="0"/>
        <v>2439</v>
      </c>
      <c r="G10" s="11">
        <v>10487</v>
      </c>
      <c r="H10" s="11">
        <f t="shared" si="1"/>
        <v>45</v>
      </c>
      <c r="I10" s="11">
        <v>8992</v>
      </c>
      <c r="J10" s="11">
        <f t="shared" si="2"/>
        <v>0</v>
      </c>
      <c r="K10" s="3"/>
    </row>
    <row r="11" spans="1:14" ht="39" customHeight="1" x14ac:dyDescent="0.35">
      <c r="A11" s="7">
        <v>46117</v>
      </c>
      <c r="B11" s="19">
        <v>0.20833333333333334</v>
      </c>
      <c r="C11" s="4">
        <v>3169337</v>
      </c>
      <c r="D11" s="4">
        <f t="shared" si="3"/>
        <v>1135</v>
      </c>
      <c r="E11" s="4">
        <v>8504135</v>
      </c>
      <c r="F11" s="4">
        <f t="shared" si="0"/>
        <v>3638</v>
      </c>
      <c r="G11" s="11">
        <v>10524</v>
      </c>
      <c r="H11" s="11">
        <f t="shared" si="1"/>
        <v>37</v>
      </c>
      <c r="I11" s="11">
        <v>9004</v>
      </c>
      <c r="J11" s="11">
        <f t="shared" si="2"/>
        <v>12</v>
      </c>
      <c r="K11" s="3"/>
    </row>
    <row r="12" spans="1:14" ht="39" customHeight="1" x14ac:dyDescent="0.35">
      <c r="A12" s="7">
        <v>46118</v>
      </c>
      <c r="B12" s="19">
        <v>0.25</v>
      </c>
      <c r="C12" s="4">
        <v>3170521</v>
      </c>
      <c r="D12" s="4">
        <f t="shared" si="3"/>
        <v>1184</v>
      </c>
      <c r="E12" s="4">
        <v>8507008</v>
      </c>
      <c r="F12" s="4">
        <f t="shared" si="0"/>
        <v>2873</v>
      </c>
      <c r="G12" s="11">
        <v>10563</v>
      </c>
      <c r="H12" s="11">
        <f t="shared" si="1"/>
        <v>39</v>
      </c>
      <c r="I12" s="11">
        <v>9038</v>
      </c>
      <c r="J12" s="11">
        <f t="shared" si="2"/>
        <v>34</v>
      </c>
      <c r="K12" s="3"/>
    </row>
    <row r="13" spans="1:14" ht="39" customHeight="1" x14ac:dyDescent="0.35">
      <c r="A13" s="7">
        <v>46119</v>
      </c>
      <c r="B13" s="19">
        <v>0.21527777777777779</v>
      </c>
      <c r="C13" s="4">
        <v>3171567</v>
      </c>
      <c r="D13" s="4">
        <f t="shared" si="3"/>
        <v>1046</v>
      </c>
      <c r="E13" s="4">
        <v>8509817</v>
      </c>
      <c r="F13" s="4">
        <f t="shared" si="0"/>
        <v>2809</v>
      </c>
      <c r="G13" s="11">
        <v>10598</v>
      </c>
      <c r="H13" s="11">
        <f t="shared" si="1"/>
        <v>35</v>
      </c>
      <c r="I13" s="11">
        <v>9061</v>
      </c>
      <c r="J13" s="11">
        <f t="shared" si="2"/>
        <v>23</v>
      </c>
      <c r="K13" s="3"/>
    </row>
    <row r="14" spans="1:14" ht="39" customHeight="1" x14ac:dyDescent="0.35">
      <c r="A14" s="7">
        <v>46120</v>
      </c>
      <c r="B14" s="19">
        <v>0.22222222222222221</v>
      </c>
      <c r="C14" s="4">
        <v>3172658</v>
      </c>
      <c r="D14" s="4">
        <f t="shared" si="3"/>
        <v>1091</v>
      </c>
      <c r="E14" s="4">
        <v>8512523</v>
      </c>
      <c r="F14" s="4">
        <f t="shared" si="0"/>
        <v>2706</v>
      </c>
      <c r="G14" s="11">
        <v>10624</v>
      </c>
      <c r="H14" s="11">
        <f t="shared" si="1"/>
        <v>26</v>
      </c>
      <c r="I14" s="11">
        <v>9122</v>
      </c>
      <c r="J14" s="11">
        <f t="shared" si="2"/>
        <v>61</v>
      </c>
      <c r="K14" s="3"/>
    </row>
    <row r="15" spans="1:14" ht="39" customHeight="1" x14ac:dyDescent="0.35">
      <c r="A15" s="7">
        <v>46121</v>
      </c>
      <c r="B15" s="19">
        <v>0.20833333333333334</v>
      </c>
      <c r="C15" s="4">
        <v>3173765</v>
      </c>
      <c r="D15" s="4">
        <f t="shared" si="3"/>
        <v>1107</v>
      </c>
      <c r="E15" s="4">
        <v>8515244</v>
      </c>
      <c r="F15" s="4">
        <f t="shared" si="0"/>
        <v>2721</v>
      </c>
      <c r="G15" s="11">
        <v>10694</v>
      </c>
      <c r="H15" s="11">
        <f t="shared" si="1"/>
        <v>70</v>
      </c>
      <c r="I15" s="11">
        <v>9223</v>
      </c>
      <c r="J15" s="11">
        <f t="shared" si="2"/>
        <v>101</v>
      </c>
      <c r="K15" s="3"/>
    </row>
    <row r="16" spans="1:14" ht="39" customHeight="1" x14ac:dyDescent="0.35">
      <c r="A16" s="7">
        <v>46122</v>
      </c>
      <c r="B16" s="19">
        <v>0.22222222222222221</v>
      </c>
      <c r="C16" s="4">
        <v>3174810</v>
      </c>
      <c r="D16" s="4">
        <f t="shared" si="3"/>
        <v>1045</v>
      </c>
      <c r="E16" s="4">
        <v>8518097</v>
      </c>
      <c r="F16" s="4">
        <f t="shared" si="0"/>
        <v>2853</v>
      </c>
      <c r="G16" s="11">
        <v>10699</v>
      </c>
      <c r="H16" s="11">
        <f t="shared" si="1"/>
        <v>5</v>
      </c>
      <c r="I16" s="11">
        <v>9223</v>
      </c>
      <c r="J16" s="11">
        <f t="shared" si="2"/>
        <v>0</v>
      </c>
      <c r="K16" s="3"/>
    </row>
    <row r="17" spans="1:11" ht="39" customHeight="1" x14ac:dyDescent="0.35">
      <c r="A17" s="7">
        <v>46123</v>
      </c>
      <c r="B17" s="19">
        <v>0.21875</v>
      </c>
      <c r="C17" s="4">
        <v>3175962</v>
      </c>
      <c r="D17" s="4">
        <f t="shared" si="3"/>
        <v>1152</v>
      </c>
      <c r="E17" s="4">
        <v>8521409</v>
      </c>
      <c r="F17" s="4">
        <f t="shared" si="0"/>
        <v>3312</v>
      </c>
      <c r="G17" s="11">
        <v>10723</v>
      </c>
      <c r="H17" s="11">
        <f t="shared" si="1"/>
        <v>24</v>
      </c>
      <c r="I17" s="11">
        <v>9223</v>
      </c>
      <c r="J17" s="11">
        <f t="shared" si="2"/>
        <v>0</v>
      </c>
      <c r="K17" s="3"/>
    </row>
    <row r="18" spans="1:11" ht="39" customHeight="1" x14ac:dyDescent="0.35">
      <c r="A18" s="7">
        <v>46124</v>
      </c>
      <c r="B18" s="19">
        <v>0.20833333333333334</v>
      </c>
      <c r="C18" s="4">
        <v>3177023</v>
      </c>
      <c r="D18" s="4">
        <f t="shared" si="3"/>
        <v>1061</v>
      </c>
      <c r="E18" s="4">
        <v>8524051</v>
      </c>
      <c r="F18" s="4">
        <f t="shared" si="0"/>
        <v>2642</v>
      </c>
      <c r="G18" s="11">
        <v>10764</v>
      </c>
      <c r="H18" s="11">
        <f t="shared" si="1"/>
        <v>41</v>
      </c>
      <c r="I18" s="11">
        <v>9226</v>
      </c>
      <c r="J18" s="11">
        <f t="shared" si="2"/>
        <v>3</v>
      </c>
      <c r="K18" s="3"/>
    </row>
    <row r="19" spans="1:11" ht="39" customHeight="1" x14ac:dyDescent="0.35">
      <c r="A19" s="7">
        <v>46125</v>
      </c>
      <c r="B19" s="19">
        <v>0.21527777777777779</v>
      </c>
      <c r="C19" s="4">
        <v>3178050</v>
      </c>
      <c r="D19" s="4">
        <f t="shared" si="3"/>
        <v>1027</v>
      </c>
      <c r="E19" s="4">
        <v>8526694</v>
      </c>
      <c r="F19" s="4">
        <f t="shared" si="0"/>
        <v>2643</v>
      </c>
      <c r="G19" s="11">
        <v>10796</v>
      </c>
      <c r="H19" s="11">
        <f t="shared" si="1"/>
        <v>32</v>
      </c>
      <c r="I19" s="11">
        <v>9292</v>
      </c>
      <c r="J19" s="11">
        <f t="shared" si="2"/>
        <v>66</v>
      </c>
      <c r="K19" s="3"/>
    </row>
    <row r="20" spans="1:11" ht="39" customHeight="1" x14ac:dyDescent="0.35">
      <c r="A20" s="7">
        <v>46126</v>
      </c>
      <c r="B20" s="19">
        <v>0.20833333333333334</v>
      </c>
      <c r="C20" s="4">
        <v>3179135</v>
      </c>
      <c r="D20" s="4">
        <f t="shared" si="3"/>
        <v>1085</v>
      </c>
      <c r="E20" s="4">
        <v>8529424</v>
      </c>
      <c r="F20" s="4">
        <f t="shared" si="0"/>
        <v>2730</v>
      </c>
      <c r="G20" s="11">
        <v>10827</v>
      </c>
      <c r="H20" s="11">
        <f t="shared" si="1"/>
        <v>31</v>
      </c>
      <c r="I20" s="11">
        <v>9336</v>
      </c>
      <c r="J20" s="11">
        <f t="shared" si="2"/>
        <v>44</v>
      </c>
      <c r="K20" s="3"/>
    </row>
    <row r="21" spans="1:11" ht="39" customHeight="1" x14ac:dyDescent="0.35">
      <c r="A21" s="7">
        <v>46127</v>
      </c>
      <c r="B21" s="19">
        <v>0.22222222222222221</v>
      </c>
      <c r="C21" s="4">
        <v>3180183</v>
      </c>
      <c r="D21" s="4">
        <f t="shared" si="3"/>
        <v>1048</v>
      </c>
      <c r="E21" s="4">
        <v>8532119</v>
      </c>
      <c r="F21" s="4">
        <f t="shared" si="0"/>
        <v>2695</v>
      </c>
      <c r="G21" s="11">
        <v>10851</v>
      </c>
      <c r="H21" s="11">
        <f t="shared" si="1"/>
        <v>24</v>
      </c>
      <c r="I21" s="11">
        <v>9390</v>
      </c>
      <c r="J21" s="11">
        <f t="shared" si="2"/>
        <v>54</v>
      </c>
      <c r="K21" s="3"/>
    </row>
    <row r="22" spans="1:11" ht="39" customHeight="1" x14ac:dyDescent="0.35">
      <c r="A22" s="7">
        <v>46128</v>
      </c>
      <c r="B22" s="19">
        <v>0.20833333333333334</v>
      </c>
      <c r="C22" s="4">
        <v>3181211</v>
      </c>
      <c r="D22" s="4">
        <f t="shared" si="3"/>
        <v>1028</v>
      </c>
      <c r="E22" s="4">
        <v>8534823</v>
      </c>
      <c r="F22" s="4">
        <f t="shared" si="0"/>
        <v>2704</v>
      </c>
      <c r="G22" s="11">
        <v>10886</v>
      </c>
      <c r="H22" s="11">
        <f t="shared" si="1"/>
        <v>35</v>
      </c>
      <c r="I22" s="11">
        <v>9440</v>
      </c>
      <c r="J22" s="11">
        <f t="shared" si="2"/>
        <v>50</v>
      </c>
      <c r="K22" s="3"/>
    </row>
    <row r="23" spans="1:11" ht="39" customHeight="1" x14ac:dyDescent="0.35">
      <c r="A23" s="7">
        <v>46129</v>
      </c>
      <c r="B23" s="19">
        <v>0.22222222222222221</v>
      </c>
      <c r="C23" s="4">
        <v>3182300</v>
      </c>
      <c r="D23" s="4">
        <f t="shared" si="3"/>
        <v>1089</v>
      </c>
      <c r="E23" s="4">
        <v>8538415</v>
      </c>
      <c r="F23" s="4">
        <f t="shared" si="0"/>
        <v>3592</v>
      </c>
      <c r="G23" s="11">
        <v>10924</v>
      </c>
      <c r="H23" s="11">
        <f t="shared" si="1"/>
        <v>38</v>
      </c>
      <c r="I23" s="11">
        <v>9440</v>
      </c>
      <c r="J23" s="11">
        <f t="shared" si="2"/>
        <v>0</v>
      </c>
      <c r="K23" s="3"/>
    </row>
    <row r="24" spans="1:11" ht="39" customHeight="1" x14ac:dyDescent="0.35">
      <c r="A24" s="7">
        <v>46130</v>
      </c>
      <c r="B24" s="19">
        <v>0.20833333333333334</v>
      </c>
      <c r="C24" s="4">
        <v>3183348</v>
      </c>
      <c r="D24" s="4">
        <f t="shared" si="3"/>
        <v>1048</v>
      </c>
      <c r="E24" s="4">
        <v>8541744</v>
      </c>
      <c r="F24" s="4">
        <f t="shared" si="0"/>
        <v>3329</v>
      </c>
      <c r="G24" s="11">
        <v>10954</v>
      </c>
      <c r="H24" s="11">
        <f t="shared" si="1"/>
        <v>30</v>
      </c>
      <c r="I24" s="11">
        <v>9443</v>
      </c>
      <c r="J24" s="11">
        <f t="shared" si="2"/>
        <v>3</v>
      </c>
      <c r="K24" s="3"/>
    </row>
    <row r="25" spans="1:11" ht="39" customHeight="1" x14ac:dyDescent="0.35">
      <c r="A25" s="7">
        <v>46131</v>
      </c>
      <c r="B25" s="19">
        <v>0.22222222222222221</v>
      </c>
      <c r="C25" s="4">
        <v>3184513</v>
      </c>
      <c r="D25" s="4">
        <f t="shared" si="3"/>
        <v>1165</v>
      </c>
      <c r="E25" s="4">
        <v>8544417</v>
      </c>
      <c r="F25" s="4">
        <f t="shared" si="0"/>
        <v>2673</v>
      </c>
      <c r="G25" s="11">
        <v>11005</v>
      </c>
      <c r="H25" s="11">
        <f t="shared" si="1"/>
        <v>51</v>
      </c>
      <c r="I25" s="11">
        <v>9494</v>
      </c>
      <c r="J25" s="11">
        <f t="shared" si="2"/>
        <v>51</v>
      </c>
      <c r="K25" s="3"/>
    </row>
    <row r="26" spans="1:11" ht="39" customHeight="1" x14ac:dyDescent="0.35">
      <c r="A26" s="7">
        <v>46132</v>
      </c>
      <c r="B26" s="19">
        <v>0.20833333333333334</v>
      </c>
      <c r="C26" s="4">
        <v>3185740</v>
      </c>
      <c r="D26" s="4">
        <f t="shared" si="3"/>
        <v>1227</v>
      </c>
      <c r="E26" s="4">
        <v>8548145</v>
      </c>
      <c r="F26" s="4">
        <f t="shared" si="0"/>
        <v>3728</v>
      </c>
      <c r="G26" s="11">
        <v>11043</v>
      </c>
      <c r="H26" s="11">
        <f t="shared" si="1"/>
        <v>38</v>
      </c>
      <c r="I26" s="11">
        <v>9496</v>
      </c>
      <c r="J26" s="11">
        <f t="shared" si="2"/>
        <v>2</v>
      </c>
      <c r="K26" s="3"/>
    </row>
    <row r="27" spans="1:11" ht="39" customHeight="1" x14ac:dyDescent="0.5">
      <c r="A27" s="7">
        <v>46133</v>
      </c>
      <c r="B27" s="19">
        <v>0.21875</v>
      </c>
      <c r="C27" s="4">
        <v>3186850</v>
      </c>
      <c r="D27" s="4">
        <f t="shared" si="3"/>
        <v>1110</v>
      </c>
      <c r="E27" s="4">
        <v>8551160</v>
      </c>
      <c r="F27" s="4">
        <f t="shared" si="0"/>
        <v>3015</v>
      </c>
      <c r="G27" s="12">
        <v>11059</v>
      </c>
      <c r="H27" s="11">
        <f t="shared" si="1"/>
        <v>16</v>
      </c>
      <c r="I27" s="11">
        <v>9523</v>
      </c>
      <c r="J27" s="11">
        <f t="shared" si="2"/>
        <v>27</v>
      </c>
      <c r="K27" s="3"/>
    </row>
    <row r="28" spans="1:11" ht="39" customHeight="1" x14ac:dyDescent="0.45">
      <c r="A28" s="7">
        <v>46134</v>
      </c>
      <c r="B28" s="19">
        <v>0.20833333333333334</v>
      </c>
      <c r="C28" s="5">
        <v>3187922</v>
      </c>
      <c r="D28" s="4">
        <f t="shared" si="3"/>
        <v>1072</v>
      </c>
      <c r="E28" s="4">
        <v>8554339</v>
      </c>
      <c r="F28" s="4">
        <f t="shared" si="0"/>
        <v>3179</v>
      </c>
      <c r="G28" s="13">
        <v>11076</v>
      </c>
      <c r="H28" s="11">
        <f t="shared" si="1"/>
        <v>17</v>
      </c>
      <c r="I28" s="11">
        <v>9565</v>
      </c>
      <c r="J28" s="11">
        <f t="shared" si="2"/>
        <v>42</v>
      </c>
      <c r="K28" s="3"/>
    </row>
    <row r="29" spans="1:11" ht="39" customHeight="1" x14ac:dyDescent="0.45">
      <c r="A29" s="7">
        <v>46135</v>
      </c>
      <c r="B29" s="19">
        <v>0.21666666666666667</v>
      </c>
      <c r="C29" s="5">
        <v>3189628</v>
      </c>
      <c r="D29" s="4">
        <f t="shared" si="3"/>
        <v>1706</v>
      </c>
      <c r="E29" s="4">
        <v>8557714</v>
      </c>
      <c r="F29" s="4">
        <f t="shared" si="0"/>
        <v>3375</v>
      </c>
      <c r="G29" s="13">
        <v>11105</v>
      </c>
      <c r="H29" s="11">
        <f t="shared" si="1"/>
        <v>29</v>
      </c>
      <c r="I29" s="11">
        <v>9575</v>
      </c>
      <c r="J29" s="11">
        <f t="shared" si="2"/>
        <v>10</v>
      </c>
      <c r="K29" s="3"/>
    </row>
    <row r="30" spans="1:11" ht="39" customHeight="1" x14ac:dyDescent="0.45">
      <c r="A30" s="7">
        <v>46136</v>
      </c>
      <c r="B30" s="19">
        <v>0.20833333333333334</v>
      </c>
      <c r="C30" s="5">
        <v>3190875</v>
      </c>
      <c r="D30" s="4">
        <f t="shared" si="3"/>
        <v>1247</v>
      </c>
      <c r="E30" s="4">
        <v>8561344</v>
      </c>
      <c r="F30" s="4">
        <f t="shared" si="0"/>
        <v>3630</v>
      </c>
      <c r="G30" s="13">
        <v>11134</v>
      </c>
      <c r="H30" s="11">
        <f t="shared" si="1"/>
        <v>29</v>
      </c>
      <c r="I30" s="11">
        <v>9621</v>
      </c>
      <c r="J30" s="11">
        <f t="shared" si="2"/>
        <v>46</v>
      </c>
      <c r="K30" s="3"/>
    </row>
    <row r="31" spans="1:11" ht="39" customHeight="1" x14ac:dyDescent="0.35">
      <c r="A31" s="7">
        <v>46137</v>
      </c>
      <c r="B31" s="19">
        <v>0.22222222222222221</v>
      </c>
      <c r="C31" s="5">
        <v>3192361</v>
      </c>
      <c r="D31" s="4">
        <f t="shared" si="3"/>
        <v>1486</v>
      </c>
      <c r="E31" s="4">
        <v>8565116</v>
      </c>
      <c r="F31" s="4">
        <f t="shared" si="0"/>
        <v>3772</v>
      </c>
      <c r="G31" s="11">
        <v>11169</v>
      </c>
      <c r="H31" s="11">
        <f t="shared" si="1"/>
        <v>35</v>
      </c>
      <c r="I31" s="11">
        <v>9621</v>
      </c>
      <c r="J31" s="11">
        <f t="shared" si="2"/>
        <v>0</v>
      </c>
      <c r="K31" s="3"/>
    </row>
    <row r="32" spans="1:11" ht="39" customHeight="1" x14ac:dyDescent="0.35">
      <c r="A32" s="7">
        <v>46138</v>
      </c>
      <c r="B32" s="19">
        <v>0.21527777777777779</v>
      </c>
      <c r="C32" s="4">
        <v>3193755</v>
      </c>
      <c r="D32" s="4">
        <f t="shared" si="3"/>
        <v>1394</v>
      </c>
      <c r="E32" s="4">
        <v>8569057</v>
      </c>
      <c r="F32" s="4">
        <f t="shared" si="0"/>
        <v>3941</v>
      </c>
      <c r="G32" s="11">
        <v>11207</v>
      </c>
      <c r="H32" s="11">
        <f t="shared" si="1"/>
        <v>38</v>
      </c>
      <c r="I32" s="11">
        <v>9621</v>
      </c>
      <c r="J32" s="11">
        <f t="shared" si="2"/>
        <v>0</v>
      </c>
      <c r="K32" s="3"/>
    </row>
    <row r="33" spans="1:11" ht="39" customHeight="1" x14ac:dyDescent="0.35">
      <c r="A33" s="7">
        <v>46139</v>
      </c>
      <c r="B33" s="19">
        <v>0.22916666666666666</v>
      </c>
      <c r="C33" s="4">
        <v>3195069</v>
      </c>
      <c r="D33" s="4">
        <f t="shared" si="3"/>
        <v>1314</v>
      </c>
      <c r="E33" s="4">
        <v>8573063</v>
      </c>
      <c r="F33" s="4">
        <f t="shared" si="0"/>
        <v>4006</v>
      </c>
      <c r="G33" s="11">
        <v>11235</v>
      </c>
      <c r="H33" s="11">
        <f t="shared" si="1"/>
        <v>28</v>
      </c>
      <c r="I33" s="11">
        <v>9668</v>
      </c>
      <c r="J33" s="11">
        <f t="shared" si="2"/>
        <v>47</v>
      </c>
      <c r="K33" s="3"/>
    </row>
    <row r="34" spans="1:11" ht="39" customHeight="1" x14ac:dyDescent="0.35">
      <c r="A34" s="7">
        <v>46140</v>
      </c>
      <c r="B34" s="19">
        <v>0.20833333333333334</v>
      </c>
      <c r="C34" s="4">
        <v>3196437</v>
      </c>
      <c r="D34" s="4">
        <f t="shared" si="3"/>
        <v>1368</v>
      </c>
      <c r="E34" s="4">
        <v>8576580</v>
      </c>
      <c r="F34" s="4">
        <f t="shared" si="0"/>
        <v>3517</v>
      </c>
      <c r="G34" s="11">
        <v>11278</v>
      </c>
      <c r="H34" s="11">
        <f t="shared" si="1"/>
        <v>43</v>
      </c>
      <c r="I34" s="11">
        <v>9748</v>
      </c>
      <c r="J34" s="11">
        <f t="shared" si="2"/>
        <v>80</v>
      </c>
      <c r="K34" s="3"/>
    </row>
    <row r="35" spans="1:11" ht="39" customHeight="1" x14ac:dyDescent="0.35">
      <c r="A35" s="7">
        <v>46141</v>
      </c>
      <c r="B35" s="19">
        <v>0.21527777777777779</v>
      </c>
      <c r="C35" s="4">
        <v>3197870</v>
      </c>
      <c r="D35" s="4">
        <f t="shared" si="3"/>
        <v>1433</v>
      </c>
      <c r="E35" s="4">
        <v>8580206</v>
      </c>
      <c r="F35" s="4">
        <f t="shared" si="0"/>
        <v>3626</v>
      </c>
      <c r="G35" s="11">
        <v>11302</v>
      </c>
      <c r="H35" s="11">
        <f t="shared" si="1"/>
        <v>24</v>
      </c>
      <c r="I35" s="11">
        <v>9804</v>
      </c>
      <c r="J35" s="11">
        <f t="shared" si="2"/>
        <v>56</v>
      </c>
      <c r="K35" s="3"/>
    </row>
    <row r="36" spans="1:11" ht="39" customHeight="1" x14ac:dyDescent="0.35">
      <c r="A36" s="7">
        <v>46142</v>
      </c>
      <c r="B36" s="19">
        <v>0.22222222222222221</v>
      </c>
      <c r="C36" s="4">
        <v>3199309</v>
      </c>
      <c r="D36" s="4">
        <f>C36-C35</f>
        <v>1439</v>
      </c>
      <c r="E36" s="4">
        <v>8583971</v>
      </c>
      <c r="F36" s="4">
        <f>E36-E35</f>
        <v>3765</v>
      </c>
      <c r="G36" s="11">
        <v>11337</v>
      </c>
      <c r="H36" s="11">
        <f t="shared" si="1"/>
        <v>35</v>
      </c>
      <c r="I36" s="11">
        <v>9858</v>
      </c>
      <c r="J36" s="11">
        <f>I36-I35</f>
        <v>54</v>
      </c>
      <c r="K36" s="3"/>
    </row>
    <row r="37" spans="1:11" ht="39" customHeight="1" x14ac:dyDescent="0.35">
      <c r="A37" s="41"/>
      <c r="B37" s="41"/>
      <c r="C37" s="4"/>
      <c r="D37" s="4">
        <f>C37-C36</f>
        <v>-3199309</v>
      </c>
      <c r="E37" s="4"/>
      <c r="F37" s="4">
        <f>E37-E36</f>
        <v>-8583971</v>
      </c>
      <c r="G37" s="11">
        <v>11362</v>
      </c>
      <c r="H37" s="11">
        <f t="shared" si="1"/>
        <v>25</v>
      </c>
      <c r="I37" s="11"/>
      <c r="J37" s="11">
        <f>I37-I36</f>
        <v>-9858</v>
      </c>
      <c r="K37" s="3"/>
    </row>
    <row r="38" spans="1:11" x14ac:dyDescent="0.35">
      <c r="D38" s="1">
        <f>SUM(D6:D37)</f>
        <v>-3164053</v>
      </c>
      <c r="F38" s="1">
        <f>SUM(F6:F37)</f>
        <v>-8489322</v>
      </c>
      <c r="H38" s="1">
        <f>SUM(H6:H37)</f>
        <v>1014</v>
      </c>
      <c r="J38" s="1">
        <f>SUM(J6:J37)</f>
        <v>-8991</v>
      </c>
    </row>
    <row r="39" spans="1:11" x14ac:dyDescent="0.35">
      <c r="C39" s="1">
        <f>C34-C6</f>
        <v>32384</v>
      </c>
      <c r="E39" s="1">
        <f>E34-E6</f>
        <v>87258</v>
      </c>
    </row>
  </sheetData>
  <mergeCells count="12">
    <mergeCell ref="A4:A5"/>
    <mergeCell ref="C1:K1"/>
    <mergeCell ref="D2:D4"/>
    <mergeCell ref="H2:H4"/>
    <mergeCell ref="K2:K5"/>
    <mergeCell ref="F2:F4"/>
    <mergeCell ref="J2:J4"/>
    <mergeCell ref="G2:G4"/>
    <mergeCell ref="I2:I4"/>
    <mergeCell ref="B2:B5"/>
    <mergeCell ref="C4:C5"/>
    <mergeCell ref="E4:E5"/>
  </mergeCells>
  <pageMargins left="0.25" right="0.25" top="0.75" bottom="0.75" header="0.3" footer="0.3"/>
  <pageSetup paperSize="9" scale="55" fitToWidth="0" orientation="portrait" r:id="rId1"/>
  <headerFooter>
    <oddFooter>&amp;LPage &amp;P of &amp;N&amp;C_x000D_&amp;1#&amp;"Calibri"&amp;12&amp;K000000 Internal&amp;RQAH/DCT/eFM/IMS/OPHS/METREADPWR-FMC/0058 Rev 00 01/23/2019</oddFooter>
  </headerFooter>
  <drawing r:id="rId2"/>
</worksheet>
</file>

<file path=docMetadata/LabelInfo.xml><?xml version="1.0" encoding="utf-8"?>
<clbl:labelList xmlns:clbl="http://schemas.microsoft.com/office/2020/mipLabelMetadata">
  <clbl:label id="{a47fc36d-dc5d-4617-b467-14a51d2dca8e}" enabled="0" method="" siteId="{a47fc36d-dc5d-4617-b467-14a51d2dca8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Total</vt:lpstr>
      <vt:lpstr>BAN-M Electrical &amp; Water Dec25</vt:lpstr>
      <vt:lpstr>'BAN-M Electrical &amp; Water Dec25'!Print_Area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Rushan</dc:creator>
  <cp:keywords/>
  <dc:description/>
  <cp:lastModifiedBy>Muhammad Waseem</cp:lastModifiedBy>
  <cp:revision/>
  <dcterms:created xsi:type="dcterms:W3CDTF">2018-12-27T05:07:34Z</dcterms:created>
  <dcterms:modified xsi:type="dcterms:W3CDTF">2026-05-02T10:43:52Z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adedb8f-f6e8-473a-8eb6-5e84cba1f58e_Enabled">
    <vt:lpwstr>true</vt:lpwstr>
  </property>
  <property fmtid="{D5CDD505-2E9C-101B-9397-08002B2CF9AE}" pid="3" name="MSIP_Label_cadedb8f-f6e8-473a-8eb6-5e84cba1f58e_SetDate">
    <vt:lpwstr>2023-12-12T05:18:34Z</vt:lpwstr>
  </property>
  <property fmtid="{D5CDD505-2E9C-101B-9397-08002B2CF9AE}" pid="4" name="MSIP_Label_cadedb8f-f6e8-473a-8eb6-5e84cba1f58e_Method">
    <vt:lpwstr>Standard</vt:lpwstr>
  </property>
  <property fmtid="{D5CDD505-2E9C-101B-9397-08002B2CF9AE}" pid="5" name="MSIP_Label_cadedb8f-f6e8-473a-8eb6-5e84cba1f58e_Name">
    <vt:lpwstr>Internal</vt:lpwstr>
  </property>
  <property fmtid="{D5CDD505-2E9C-101B-9397-08002B2CF9AE}" pid="6" name="MSIP_Label_cadedb8f-f6e8-473a-8eb6-5e84cba1f58e_SiteId">
    <vt:lpwstr>956d0a5b-65df-40ee-b210-145b0e79eac8</vt:lpwstr>
  </property>
  <property fmtid="{D5CDD505-2E9C-101B-9397-08002B2CF9AE}" pid="7" name="MSIP_Label_cadedb8f-f6e8-473a-8eb6-5e84cba1f58e_ActionId">
    <vt:lpwstr>1e215cfd-7568-4d52-9866-0f8556d0cfa2</vt:lpwstr>
  </property>
  <property fmtid="{D5CDD505-2E9C-101B-9397-08002B2CF9AE}" pid="8" name="MSIP_Label_cadedb8f-f6e8-473a-8eb6-5e84cba1f58e_ContentBits">
    <vt:lpwstr>2</vt:lpwstr>
  </property>
</Properties>
</file>