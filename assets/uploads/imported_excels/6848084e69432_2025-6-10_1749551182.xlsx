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arun.navas\Desktop\"/>
    </mc:Choice>
  </mc:AlternateContent>
  <xr:revisionPtr revIDLastSave="0" documentId="13_ncr:1_{E213DE40-77E9-4972-8173-17E6E215BF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eneral" sheetId="3" r:id="rId1"/>
    <sheet name="Logo" sheetId="2" r:id="rId2"/>
    <sheet name="Monthly Data" sheetId="1" r:id="rId3"/>
  </sheets>
  <externalReferences>
    <externalReference r:id="rId4"/>
  </externalReferences>
  <definedNames>
    <definedName name="K">[1]ReportMaster!$C$16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3" i="1"/>
  <c r="AF6" i="1"/>
  <c r="AF4" i="1"/>
  <c r="AF5" i="1"/>
  <c r="AF7" i="1"/>
  <c r="AF8" i="1"/>
  <c r="AF9" i="1"/>
  <c r="AF10" i="1"/>
  <c r="AF11" i="1"/>
  <c r="AF12" i="1"/>
  <c r="AF13" i="1"/>
  <c r="AF14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3" i="1"/>
  <c r="J64" i="1" l="1"/>
  <c r="J65" i="1"/>
  <c r="J66" i="1"/>
  <c r="J67" i="1"/>
  <c r="J68" i="1"/>
  <c r="J69" i="1"/>
  <c r="J70" i="1"/>
  <c r="J71" i="1"/>
  <c r="J72" i="1"/>
  <c r="J73" i="1"/>
  <c r="J7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3" i="1"/>
  <c r="D64" i="1"/>
  <c r="D65" i="1"/>
  <c r="D66" i="1"/>
  <c r="D67" i="1"/>
  <c r="D68" i="1"/>
  <c r="D69" i="1"/>
  <c r="D70" i="1"/>
  <c r="D71" i="1"/>
  <c r="D72" i="1"/>
  <c r="D73" i="1"/>
  <c r="D74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Z3" i="1"/>
  <c r="Z4" i="1"/>
  <c r="Z5" i="1"/>
  <c r="Z6" i="1"/>
  <c r="Z7" i="1"/>
  <c r="Z8" i="1"/>
  <c r="Z9" i="1"/>
  <c r="Z10" i="1"/>
  <c r="Z11" i="1"/>
  <c r="Z12" i="1"/>
  <c r="Z13" i="1"/>
  <c r="Z14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15" i="1"/>
  <c r="H51" i="1" l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AF26" i="1" l="1"/>
  <c r="AF25" i="1"/>
  <c r="AF24" i="1"/>
  <c r="AF23" i="1"/>
  <c r="AF22" i="1"/>
  <c r="AF21" i="1"/>
  <c r="AF20" i="1"/>
  <c r="AF19" i="1"/>
  <c r="AF18" i="1"/>
  <c r="AF17" i="1"/>
  <c r="AF16" i="1"/>
  <c r="AF15" i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3" i="1"/>
  <c r="H3" i="1" l="1"/>
  <c r="O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</calcChain>
</file>

<file path=xl/sharedStrings.xml><?xml version="1.0" encoding="utf-8"?>
<sst xmlns="http://schemas.openxmlformats.org/spreadsheetml/2006/main" count="1135" uniqueCount="120">
  <si>
    <t>Month</t>
  </si>
  <si>
    <t>Year</t>
  </si>
  <si>
    <t>Electricity Total Budgeted</t>
  </si>
  <si>
    <t>Water Total Budgeted</t>
  </si>
  <si>
    <t>Room Nights</t>
  </si>
  <si>
    <t>Total Guests</t>
  </si>
  <si>
    <t>Year Built</t>
  </si>
  <si>
    <t># Rooms</t>
  </si>
  <si>
    <t>Electricity</t>
  </si>
  <si>
    <t>Natural Gas</t>
  </si>
  <si>
    <t>LPG</t>
  </si>
  <si>
    <t>Diesel</t>
  </si>
  <si>
    <t xml:space="preserve">Hotel General Information </t>
  </si>
  <si>
    <t xml:space="preserve">PLEASE INSERT LOGO HERE </t>
  </si>
  <si>
    <t xml:space="preserve">Total Built Up Area </t>
  </si>
  <si>
    <t>Fuel Oil Others (Liters) $/Liter</t>
  </si>
  <si>
    <t>Fuel Oil Total Budgeted</t>
  </si>
  <si>
    <t>Fuel Oil Total Budgeted Cost ($)</t>
  </si>
  <si>
    <t xml:space="preserve">Fuel Oil  (Liters)  </t>
  </si>
  <si>
    <t>Total Conditioned Area</t>
  </si>
  <si>
    <t xml:space="preserve">Utility choices </t>
  </si>
  <si>
    <t xml:space="preserve">District Cooling </t>
  </si>
  <si>
    <t>Yes/No</t>
  </si>
  <si>
    <t xml:space="preserve">Unit of Measure </t>
  </si>
  <si>
    <t>Total electricity consumption</t>
  </si>
  <si>
    <t>Average cost/KWh excluding demand</t>
  </si>
  <si>
    <t>Your monthly budgeted electricity consumption in KW</t>
  </si>
  <si>
    <t xml:space="preserve">Cost of DC per unit </t>
  </si>
  <si>
    <t xml:space="preserve">Cost of fuel per unit </t>
  </si>
  <si>
    <t xml:space="preserve">Your monthly budgeted fuel  consumption in unit </t>
  </si>
  <si>
    <t>Your monthly fuel cost budgeted (in AED)</t>
  </si>
  <si>
    <t>Please Choose</t>
  </si>
  <si>
    <t>Water</t>
  </si>
  <si>
    <t>Irrigation Water (if purchased separately)</t>
  </si>
  <si>
    <t xml:space="preserve">Can be inserted or sent as a file </t>
  </si>
  <si>
    <t>-</t>
  </si>
  <si>
    <t>Your monthly fuel consumption in  unit Litres</t>
  </si>
  <si>
    <t>Notes:</t>
  </si>
  <si>
    <t>Contract Period</t>
  </si>
  <si>
    <t>Consumption Rate / TR-hr.</t>
  </si>
  <si>
    <t>Jan 19 to Jul 19</t>
  </si>
  <si>
    <t>Aug 19 to Jul 20</t>
  </si>
  <si>
    <t>Aug 20 to Jul 21</t>
  </si>
  <si>
    <t>Aug 21 to Jul 22</t>
  </si>
  <si>
    <t>Aug 22 to Jul 23</t>
  </si>
  <si>
    <t>Aug 23 to Jul 24</t>
  </si>
  <si>
    <t>Aug 24 to Jul 25</t>
  </si>
  <si>
    <t>Capacity Charge</t>
  </si>
  <si>
    <t>→ Synthetic Natural Gas (SNG) monthly fixed charge equals 6,500 AED has been considered in the unit rate calculations, 2 columns have been added to separate the fixed charge and the consumption charge rate.</t>
  </si>
  <si>
    <t>→ The total District Cooling charges are separated as per the following table, one column has been added to indicate the monthly fixed charge:</t>
  </si>
  <si>
    <t>Site Name</t>
  </si>
  <si>
    <t>Purchased Electricity KWh</t>
  </si>
  <si>
    <t>Natural Gas Fixed Cost</t>
  </si>
  <si>
    <t>Natural Gas Total Budgeted</t>
  </si>
  <si>
    <t>Natural Gas Total Budgeted Cost ($)</t>
  </si>
  <si>
    <t>District Energy Cooling RTH</t>
  </si>
  <si>
    <t>Cooling Fixed Cost</t>
  </si>
  <si>
    <t>Cooling District Energy Total Budgeted</t>
  </si>
  <si>
    <t xml:space="preserve"> </t>
  </si>
  <si>
    <t>m2</t>
  </si>
  <si>
    <t>Hotel/Site Name</t>
  </si>
  <si>
    <t>Your monthly  NG consumption in  local unit</t>
  </si>
  <si>
    <t>Cost of NG per unit  in local currency  excluding fixed cost</t>
  </si>
  <si>
    <t xml:space="preserve">Currency </t>
  </si>
  <si>
    <t xml:space="preserve">All currency data in the ' Monthly Data' to be in the local currency </t>
  </si>
  <si>
    <t>Total Electricity Cost</t>
  </si>
  <si>
    <t>Total Water Cost</t>
  </si>
  <si>
    <t>Natural Gas   Tariff</t>
  </si>
  <si>
    <t>Natural Gas Consumption  (unit)</t>
  </si>
  <si>
    <t xml:space="preserve">Water Utility Supply   </t>
  </si>
  <si>
    <t>Water Utility Supply  Tariff</t>
  </si>
  <si>
    <t>Total Irrigation water consumption</t>
  </si>
  <si>
    <t>in chosen unit</t>
  </si>
  <si>
    <t>Total irrigation cost</t>
  </si>
  <si>
    <t xml:space="preserve">in local currency </t>
  </si>
  <si>
    <t>local currency</t>
  </si>
  <si>
    <t xml:space="preserve">Your monthly budgeted NG consumption in unit  </t>
  </si>
  <si>
    <t>Your monthly NG cost budgeted (in local currency)</t>
  </si>
  <si>
    <t>in local currency</t>
  </si>
  <si>
    <t>LPG  Tariff</t>
  </si>
  <si>
    <t>LPG  Fixed Cost</t>
  </si>
  <si>
    <t>LPG Total Budgeted</t>
  </si>
  <si>
    <t xml:space="preserve">LPG  Budgeted Cost  </t>
  </si>
  <si>
    <t>Notes on filling Data in 'Monthly Data subsheet'</t>
  </si>
  <si>
    <t>Don't fill any columns with utilities not related to your property</t>
  </si>
  <si>
    <t>Irrigation water to be filled only if it has a separate water supply from the utility</t>
  </si>
  <si>
    <t xml:space="preserve">If you have Renewable Energy installed (PV) - Fill in just the Kwh production </t>
  </si>
  <si>
    <t xml:space="preserve">Renewable Energy production </t>
  </si>
  <si>
    <t>in Kwh (if applicable)</t>
  </si>
  <si>
    <t xml:space="preserve">All consumption data to be in the units as chosen in the previous box </t>
  </si>
  <si>
    <t>For every utility , you can choose tariff (cost per unit ) or total cost column to be filled</t>
  </si>
  <si>
    <t>N/A</t>
  </si>
  <si>
    <t>Capital Centre Arjaan</t>
  </si>
  <si>
    <t>Total Cost in AED</t>
  </si>
  <si>
    <t>Total Water Consumption
(in M3)</t>
  </si>
  <si>
    <t>Your monthly electricity cost budgeted (in AED)</t>
  </si>
  <si>
    <t>Total Cost of Water purchase in AED</t>
  </si>
  <si>
    <t>Cost of Water per Unit in AED</t>
  </si>
  <si>
    <t>Purchased Electricity Tariff (AED/KWh)</t>
  </si>
  <si>
    <t>Electricity Total Budgeted Cost (AED)</t>
  </si>
  <si>
    <t>Water Total Budgeted Cost (AED)</t>
  </si>
  <si>
    <t>Your monthly Water cost budgeted (in AED)</t>
  </si>
  <si>
    <t xml:space="preserve">Your monthly budgeted Water consumption in M3  </t>
  </si>
  <si>
    <t>LPG Consumption  (Litre)</t>
  </si>
  <si>
    <t>District Energy Cooling AED/RTH</t>
  </si>
  <si>
    <t>Cooling District Energy Total Budgeted Cost (AED)</t>
  </si>
  <si>
    <t>Your monthly DC consumption in unit RTh</t>
  </si>
  <si>
    <t>Your monthly DC  cost budgeted (in AED)</t>
  </si>
  <si>
    <t>Your monthly budgeted DC consumption in RTh</t>
  </si>
  <si>
    <t>Your monthly NG cost budgeted (in AED)</t>
  </si>
  <si>
    <t>Your monthly budgeted NG consumption in Litre</t>
  </si>
  <si>
    <t>Your monthly  NG consumption in Litre</t>
  </si>
  <si>
    <t>Yes</t>
  </si>
  <si>
    <t>No</t>
  </si>
  <si>
    <t>KWH</t>
  </si>
  <si>
    <t>Litre</t>
  </si>
  <si>
    <t>M3</t>
  </si>
  <si>
    <t>RTH</t>
  </si>
  <si>
    <t>AED</t>
  </si>
  <si>
    <t>Capital Centre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</si>
</sst>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;[Red]0.0000"/>
  </numFmts>
  <fonts count="20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sz val="14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9"/>
      <color rgb="FF7030A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</font>
    <font>
      <b/>
      <sz val="9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</borders>
  <cellStyleXfs count="3">
    <xf numFmtId="0" fontId="0" fillId="0" borderId="0" applyFill="0" applyProtection="0"/>
    <xf numFmtId="0" fontId="2" fillId="0" borderId="0"/>
    <xf numFmtId="0" fontId="1" fillId="0" borderId="0"/>
  </cellStyleXfs>
  <cellXfs count="109">
    <xf numFmtId="0" fontId="0" fillId="0" borderId="0" xfId="0" applyFill="1" applyProtection="1"/>
    <xf numFmtId="0" fontId="3" fillId="0" borderId="0" xfId="0" applyFont="1" applyFill="1" applyAlignment="1" applyProtection="1">
      <alignment horizontal="center" vertical="center" wrapText="1"/>
    </xf>
    <xf numFmtId="0" fontId="6" fillId="0" borderId="0" xfId="0" applyFont="1" applyFill="1" applyProtection="1"/>
    <xf numFmtId="0" fontId="0" fillId="0" borderId="0" xfId="0" applyFill="1" applyAlignment="1" applyProtection="1">
      <alignment horizontal="center"/>
    </xf>
    <xf numFmtId="0" fontId="3" fillId="0" borderId="0" xfId="0" applyFont="1" applyFill="1" applyAlignment="1" applyProtection="1">
      <alignment horizontal="right"/>
    </xf>
    <xf numFmtId="0" fontId="7" fillId="0" borderId="0" xfId="0" applyFont="1" applyFill="1" applyProtection="1"/>
    <xf numFmtId="0" fontId="6" fillId="0" borderId="0" xfId="0" applyFont="1" applyFill="1" applyAlignment="1" applyProtection="1">
      <alignment horizont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  <xf numFmtId="0" fontId="8" fillId="0" borderId="0" xfId="0" applyFont="1" applyFill="1" applyAlignment="1" applyProtection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 applyProtection="1">
      <alignment horizontal="right"/>
    </xf>
    <xf numFmtId="0" fontId="0" fillId="2" borderId="0" xfId="0" applyFill="1" applyProtection="1"/>
    <xf numFmtId="0" fontId="4" fillId="0" borderId="4" xfId="0" applyFont="1" applyFill="1" applyBorder="1" applyAlignment="1" applyProtection="1">
      <alignment horizontal="center"/>
    </xf>
    <xf numFmtId="0" fontId="4" fillId="0" borderId="5" xfId="0" applyFont="1" applyFill="1" applyBorder="1" applyAlignment="1" applyProtection="1">
      <alignment horizontal="center"/>
    </xf>
    <xf numFmtId="0" fontId="4" fillId="0" borderId="7" xfId="0" applyFont="1" applyFill="1" applyBorder="1" applyAlignment="1" applyProtection="1">
      <alignment horizontal="center"/>
    </xf>
    <xf numFmtId="0" fontId="6" fillId="0" borderId="0" xfId="0" applyFont="1" applyFill="1" applyAlignment="1" applyProtection="1">
      <alignment horizontal="right"/>
    </xf>
    <xf numFmtId="0" fontId="11" fillId="0" borderId="0" xfId="0" applyFont="1" applyFill="1" applyAlignment="1" applyProtection="1">
      <alignment horizontal="center" vertical="center" wrapText="1"/>
    </xf>
    <xf numFmtId="0" fontId="12" fillId="0" borderId="0" xfId="0" applyFont="1" applyFill="1" applyProtection="1"/>
    <xf numFmtId="3" fontId="5" fillId="0" borderId="0" xfId="0" applyNumberFormat="1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3" fontId="0" fillId="0" borderId="0" xfId="0" applyNumberFormat="1" applyFill="1" applyAlignment="1" applyProtection="1">
      <alignment horizontal="center"/>
    </xf>
    <xf numFmtId="0" fontId="9" fillId="0" borderId="0" xfId="0" applyFont="1" applyFill="1" applyAlignment="1" applyProtection="1">
      <alignment horizontal="center"/>
    </xf>
    <xf numFmtId="3" fontId="9" fillId="0" borderId="0" xfId="0" applyNumberFormat="1" applyFont="1" applyFill="1" applyAlignment="1" applyProtection="1">
      <alignment horizontal="center"/>
    </xf>
    <xf numFmtId="0" fontId="0" fillId="3" borderId="2" xfId="0" applyFill="1" applyBorder="1" applyAlignment="1" applyProtection="1">
      <alignment horizontal="center"/>
    </xf>
    <xf numFmtId="0" fontId="0" fillId="3" borderId="9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</xf>
    <xf numFmtId="0" fontId="15" fillId="3" borderId="8" xfId="0" applyFont="1" applyFill="1" applyBorder="1" applyAlignment="1">
      <alignment vertical="center"/>
    </xf>
    <xf numFmtId="4" fontId="15" fillId="3" borderId="8" xfId="0" applyNumberFormat="1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4" fontId="13" fillId="3" borderId="8" xfId="0" applyNumberFormat="1" applyFont="1" applyFill="1" applyBorder="1" applyAlignment="1">
      <alignment horizontal="center" vertical="center"/>
    </xf>
    <xf numFmtId="0" fontId="0" fillId="3" borderId="6" xfId="0" applyFill="1" applyBorder="1" applyAlignment="1" applyProtection="1">
      <alignment horizontal="center"/>
    </xf>
    <xf numFmtId="0" fontId="0" fillId="3" borderId="10" xfId="0" applyFill="1" applyBorder="1" applyAlignment="1" applyProtection="1">
      <alignment horizontal="center"/>
    </xf>
    <xf numFmtId="0" fontId="0" fillId="3" borderId="7" xfId="0" applyFill="1" applyBorder="1" applyAlignment="1" applyProtection="1">
      <alignment horizontal="center"/>
    </xf>
    <xf numFmtId="164" fontId="13" fillId="3" borderId="8" xfId="0" applyNumberFormat="1" applyFont="1" applyFill="1" applyBorder="1" applyAlignment="1">
      <alignment horizontal="center" vertical="center"/>
    </xf>
    <xf numFmtId="0" fontId="18" fillId="4" borderId="0" xfId="0" applyFont="1" applyFill="1" applyAlignment="1" applyProtection="1">
      <alignment horizontal="center"/>
    </xf>
    <xf numFmtId="0" fontId="0" fillId="3" borderId="0" xfId="0" applyFill="1" applyAlignment="1" applyProtection="1">
      <alignment horizontal="center"/>
    </xf>
    <xf numFmtId="0" fontId="14" fillId="3" borderId="0" xfId="0" applyFont="1" applyFill="1" applyAlignment="1" applyProtection="1">
      <alignment horizontal="left"/>
    </xf>
    <xf numFmtId="0" fontId="4" fillId="3" borderId="0" xfId="0" applyFont="1" applyFill="1" applyAlignment="1" applyProtection="1">
      <alignment horizontal="left"/>
    </xf>
    <xf numFmtId="0" fontId="5" fillId="3" borderId="9" xfId="0" applyFont="1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0" fontId="4" fillId="3" borderId="0" xfId="0" applyFont="1" applyFill="1" applyAlignment="1" applyProtection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2" fillId="4" borderId="0" xfId="0" applyFont="1" applyFill="1" applyAlignment="1" applyProtection="1">
      <alignment horizontal="center"/>
    </xf>
    <xf numFmtId="0" fontId="3" fillId="5" borderId="1" xfId="0" applyFont="1" applyFill="1" applyBorder="1" applyAlignment="1" applyProtection="1">
      <alignment horizontal="center" vertical="center" wrapText="1"/>
    </xf>
    <xf numFmtId="4" fontId="12" fillId="4" borderId="5" xfId="0" applyNumberFormat="1" applyFont="1" applyFill="1" applyBorder="1" applyAlignment="1" applyProtection="1">
      <alignment horizont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2" fontId="17" fillId="4" borderId="4" xfId="0" applyNumberFormat="1" applyFont="1" applyFill="1" applyBorder="1" applyAlignment="1">
      <alignment horizontal="center" vertical="center" wrapText="1"/>
    </xf>
    <xf numFmtId="3" fontId="18" fillId="4" borderId="4" xfId="0" applyNumberFormat="1" applyFont="1" applyFill="1" applyBorder="1" applyAlignment="1" applyProtection="1">
      <alignment horizontal="center"/>
    </xf>
    <xf numFmtId="0" fontId="11" fillId="5" borderId="12" xfId="0" applyFont="1" applyFill="1" applyBorder="1" applyAlignment="1" applyProtection="1">
      <alignment horizontal="center" vertical="center" wrapText="1"/>
    </xf>
    <xf numFmtId="0" fontId="16" fillId="5" borderId="11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2" fontId="17" fillId="4" borderId="14" xfId="0" applyNumberFormat="1" applyFont="1" applyFill="1" applyBorder="1" applyAlignment="1">
      <alignment horizontal="center" vertical="center" wrapText="1"/>
    </xf>
    <xf numFmtId="3" fontId="18" fillId="4" borderId="14" xfId="0" applyNumberFormat="1" applyFont="1" applyFill="1" applyBorder="1" applyAlignment="1" applyProtection="1">
      <alignment horizontal="center"/>
    </xf>
    <xf numFmtId="0" fontId="3" fillId="7" borderId="1" xfId="0" applyFont="1" applyFill="1" applyBorder="1" applyAlignment="1" applyProtection="1">
      <alignment horizontal="center" vertical="center" wrapText="1"/>
    </xf>
    <xf numFmtId="0" fontId="16" fillId="7" borderId="13" xfId="0" applyFont="1" applyFill="1" applyBorder="1" applyAlignment="1" applyProtection="1">
      <alignment horizontal="center" vertical="center" wrapText="1"/>
    </xf>
    <xf numFmtId="0" fontId="4" fillId="7" borderId="1" xfId="0" applyFont="1" applyFill="1" applyBorder="1" applyAlignment="1" applyProtection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horizontal="center" vertical="center" wrapText="1"/>
    </xf>
    <xf numFmtId="0" fontId="11" fillId="8" borderId="12" xfId="0" applyFont="1" applyFill="1" applyBorder="1" applyAlignment="1" applyProtection="1">
      <alignment horizontal="center" vertical="center" wrapText="1"/>
    </xf>
    <xf numFmtId="0" fontId="16" fillId="8" borderId="11" xfId="0" applyFont="1" applyFill="1" applyBorder="1" applyAlignment="1" applyProtection="1">
      <alignment horizontal="center" vertical="center" wrapText="1"/>
    </xf>
    <xf numFmtId="0" fontId="3" fillId="9" borderId="1" xfId="0" applyFont="1" applyFill="1" applyBorder="1" applyAlignment="1" applyProtection="1">
      <alignment horizontal="center" vertical="center" wrapText="1"/>
    </xf>
    <xf numFmtId="0" fontId="4" fillId="9" borderId="1" xfId="0" applyFont="1" applyFill="1" applyBorder="1" applyAlignment="1" applyProtection="1">
      <alignment horizontal="center" vertical="center" wrapText="1"/>
    </xf>
    <xf numFmtId="0" fontId="19" fillId="0" borderId="0" xfId="0" applyFont="1" applyFill="1" applyProtection="1"/>
    <xf numFmtId="2" fontId="5" fillId="0" borderId="0" xfId="0" applyNumberFormat="1" applyFont="1" applyFill="1" applyAlignment="1" applyProtection="1">
      <alignment horizontal="center"/>
    </xf>
    <xf numFmtId="4" fontId="5" fillId="0" borderId="0" xfId="0" applyNumberFormat="1" applyFont="1" applyFill="1" applyAlignment="1" applyProtection="1">
      <alignment horizontal="center"/>
    </xf>
    <xf numFmtId="165" fontId="1" fillId="0" borderId="0" xfId="2" applyNumberFormat="1" applyAlignment="1">
      <alignment horizontal="center"/>
    </xf>
    <xf numFmtId="2" fontId="17" fillId="4" borderId="15" xfId="0" applyNumberFormat="1" applyFont="1" applyFill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2" fontId="10" fillId="4" borderId="17" xfId="0" applyNumberFormat="1" applyFont="1" applyFill="1" applyBorder="1" applyAlignment="1">
      <alignment horizontal="center" vertical="center" wrapText="1"/>
    </xf>
    <xf numFmtId="3" fontId="6" fillId="0" borderId="4" xfId="0" applyNumberFormat="1" applyFont="1" applyFill="1" applyBorder="1" applyAlignment="1" applyProtection="1">
      <alignment horizontal="center"/>
    </xf>
    <xf numFmtId="3" fontId="6" fillId="0" borderId="0" xfId="0" applyNumberFormat="1" applyFont="1" applyFill="1" applyAlignment="1" applyProtection="1">
      <alignment horizontal="center"/>
    </xf>
    <xf numFmtId="2" fontId="10" fillId="0" borderId="15" xfId="0" applyNumberFormat="1" applyFont="1" applyBorder="1" applyAlignment="1">
      <alignment horizontal="center" vertical="center" wrapText="1"/>
    </xf>
    <xf numFmtId="3" fontId="6" fillId="0" borderId="5" xfId="0" applyNumberFormat="1" applyFont="1" applyFill="1" applyBorder="1" applyAlignment="1" applyProtection="1">
      <alignment horizontal="center"/>
    </xf>
    <xf numFmtId="2" fontId="6" fillId="0" borderId="0" xfId="0" applyNumberFormat="1" applyFont="1" applyFill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18" xfId="0" applyFont="1" applyFill="1" applyBorder="1" applyAlignment="1" applyProtection="1">
      <alignment horizontal="center"/>
    </xf>
    <xf numFmtId="0" fontId="4" fillId="0" borderId="19" xfId="0" applyFont="1" applyFill="1" applyBorder="1" applyAlignment="1" applyProtection="1">
      <alignment horizontal="center"/>
    </xf>
    <xf numFmtId="0" fontId="8" fillId="0" borderId="20" xfId="0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 applyProtection="1">
      <alignment horizontal="center" vertical="center" wrapText="1"/>
    </xf>
    <xf numFmtId="3" fontId="9" fillId="0" borderId="5" xfId="0" applyNumberFormat="1" applyFont="1" applyFill="1" applyBorder="1" applyAlignment="1" applyProtection="1">
      <alignment horizontal="center"/>
    </xf>
    <xf numFmtId="0" fontId="9" fillId="0" borderId="5" xfId="0" applyFont="1" applyFill="1" applyBorder="1" applyAlignment="1" applyProtection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/>
    </xf>
    <xf numFmtId="3" fontId="12" fillId="0" borderId="0" xfId="0" applyNumberFormat="1" applyFont="1" applyFill="1" applyAlignment="1" applyProtection="1">
      <alignment horizontal="center"/>
    </xf>
    <xf numFmtId="1" fontId="12" fillId="0" borderId="0" xfId="0" applyNumberFormat="1" applyFont="1" applyFill="1" applyAlignment="1" applyProtection="1">
      <alignment horizontal="center"/>
    </xf>
    <xf numFmtId="0" fontId="11" fillId="8" borderId="22" xfId="0" applyFont="1" applyFill="1" applyBorder="1" applyAlignment="1" applyProtection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4" fontId="12" fillId="4" borderId="0" xfId="0" applyNumberFormat="1" applyFont="1" applyFill="1" applyAlignment="1" applyProtection="1">
      <alignment horizontal="center"/>
    </xf>
    <xf numFmtId="0" fontId="16" fillId="7" borderId="1" xfId="0" applyFont="1" applyFill="1" applyBorder="1" applyAlignment="1" applyProtection="1">
      <alignment horizontal="center" vertical="center" wrapText="1"/>
    </xf>
    <xf numFmtId="2" fontId="17" fillId="4" borderId="0" xfId="0" applyNumberFormat="1" applyFont="1" applyFill="1" applyAlignment="1">
      <alignment horizontal="center" vertical="center" wrapText="1"/>
    </xf>
    <xf numFmtId="3" fontId="18" fillId="4" borderId="0" xfId="0" applyNumberFormat="1" applyFont="1" applyFill="1" applyAlignment="1" applyProtection="1">
      <alignment horizontal="center"/>
    </xf>
    <xf numFmtId="0" fontId="0" fillId="4" borderId="0" xfId="0" applyFill="1" applyAlignment="1" applyProtection="1">
      <alignment horizontal="center"/>
    </xf>
    <xf numFmtId="0" fontId="3" fillId="2" borderId="0" xfId="0" applyFont="1" applyFill="1" applyAlignment="1" applyProtection="1">
      <alignment horizontal="right" vertical="center"/>
    </xf>
    <xf numFmtId="0" fontId="12" fillId="0" borderId="0" xfId="0" applyFont="1" applyFill="1" applyProtection="1"/>
    <xf numFmtId="0" fontId="6" fillId="0" borderId="0" xfId="0" applyFont="1" applyFill="1" applyProtection="1"/>
    <xf numFmtId="0" fontId="0" fillId="0" borderId="0" xfId="0" applyFill="1" applyProtection="1"/>
    <xf numFmtId="0" fontId="7" fillId="0" borderId="0" xfId="0" applyFont="1" applyFill="1" applyProtection="1"/>
    <xf numFmtId="0" fontId="4" fillId="3" borderId="0" xfId="0" applyFont="1" applyFill="1" applyAlignment="1" applyProtection="1">
      <alignment horizontal="left" wrapText="1"/>
    </xf>
  </cellXfs>
  <cellStyles count="3">
    <cellStyle name="Normal" xfId="0" builtinId="0"/>
    <cellStyle name="Normal 2" xfId="1" xr:uid="{83A28294-0A78-42DA-8941-876AEA5F9C3E}"/>
    <cellStyle name="Normal 3" xfId="2" xr:uid="{C65FBBF7-0CDF-402D-B8F4-40EF1F8E7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28574</xdr:rowOff>
    </xdr:from>
    <xdr:to>
      <xdr:col>4</xdr:col>
      <xdr:colOff>581025</xdr:colOff>
      <xdr:row>7</xdr:row>
      <xdr:rowOff>135319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778AA591-597D-46B9-B186-5F85354D8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457199"/>
          <a:ext cx="2971800" cy="1059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IN_HOD_Personal/PRCC,CCC%20&amp;%20CCA/Budget%202023/FINAL%20P&amp;L/Submission%2006-10-22/Pearl%20Rotana_Budget%20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Master"/>
      <sheetName val="Index Owners"/>
      <sheetName val="Index"/>
      <sheetName val="Sum Oper Stat (Act-Fcst)"/>
      <sheetName val="fst"/>
      <sheetName val="Trend FY"/>
      <sheetName val="Trend Qtr"/>
      <sheetName val="YTD EX"/>
      <sheetName val="AMC"/>
      <sheetName val="Sum Oper Stat"/>
      <sheetName val="Rooms"/>
      <sheetName val="RoomsMix"/>
      <sheetName val="B.Mix"/>
      <sheetName val="Ls_AgXLB_WorkbookFile"/>
      <sheetName val="Ls_Alert"/>
      <sheetName val="F&amp;B"/>
      <sheetName val="F&amp;BMix"/>
      <sheetName val="Licence"/>
      <sheetName val="FCT F&amp;B"/>
      <sheetName val="YTD F&amp;B"/>
      <sheetName val="Sheet2"/>
      <sheetName val="F&amp;BSummary"/>
      <sheetName val="Misc"/>
      <sheetName val="Minor"/>
      <sheetName val="OOD"/>
      <sheetName val="HC"/>
      <sheetName val="SPA"/>
      <sheetName val="Laundry"/>
      <sheetName val="BC"/>
      <sheetName val="Golf"/>
      <sheetName val="OODGeneric"/>
      <sheetName val="A&amp;G"/>
      <sheetName val="HR"/>
      <sheetName val="IT"/>
      <sheetName val="IT Varience Details"/>
      <sheetName val="IT Opex 2020"/>
      <sheetName val="Ls_XLB_WorkbookFile"/>
      <sheetName val="S&amp;M"/>
      <sheetName val="Flow Through"/>
      <sheetName val="POM"/>
      <sheetName val="Engineering AMC 2023"/>
      <sheetName val="ENG AMC 2021"/>
      <sheetName val="Utilities"/>
      <sheetName val="MgtFees"/>
      <sheetName val="NOIE"/>
      <sheetName val="RENT 2023"/>
      <sheetName val="RENT"/>
      <sheetName val="Owner"/>
      <sheetName val="Payroll"/>
      <sheetName val="Payroll Breakdown"/>
      <sheetName val="Payroll Benefits"/>
      <sheetName val="Housing"/>
      <sheetName val="Manning"/>
      <sheetName val="Manning 1"/>
      <sheetName val="FFE Summary"/>
      <sheetName val="FFE Summary "/>
      <sheetName val="Bud Analysis AD &amp; AA Total"/>
    </sheetNames>
    <sheetDataSet>
      <sheetData sheetId="0" refreshError="1">
        <row r="3">
          <cell r="C3" t="str">
            <v>Rotana</v>
          </cell>
        </row>
        <row r="16">
          <cell r="C1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1F34-F3EE-408C-99AE-3CA3BF4FE4ED}">
  <sheetPr>
    <tabColor rgb="FFFF0000"/>
  </sheetPr>
  <dimension ref="A1:D24"/>
  <sheetViews>
    <sheetView workbookViewId="0">
      <selection activeCell="J22" sqref="J22"/>
    </sheetView>
  </sheetViews>
  <sheetFormatPr defaultRowHeight="15" x14ac:dyDescent="0.25"/>
  <cols>
    <col min="1" max="1" width="48.140625" bestFit="1" customWidth="1"/>
    <col min="2" max="2" width="43.7109375" customWidth="1"/>
    <col min="4" max="4" width="17.5703125" customWidth="1"/>
  </cols>
  <sheetData>
    <row r="1" spans="1:4" ht="18.75" x14ac:dyDescent="0.3">
      <c r="A1" s="5" t="s">
        <v>12</v>
      </c>
    </row>
    <row r="3" spans="1:4" x14ac:dyDescent="0.25">
      <c r="A3" s="4" t="s">
        <v>60</v>
      </c>
      <c r="B3" s="16" t="s">
        <v>119</v>
      </c>
    </row>
    <row r="4" spans="1:4" x14ac:dyDescent="0.25">
      <c r="A4" s="4" t="s">
        <v>6</v>
      </c>
      <c r="B4">
        <v>2015</v>
      </c>
    </row>
    <row r="5" spans="1:4" x14ac:dyDescent="0.25">
      <c r="A5" s="4" t="s">
        <v>7</v>
      </c>
      <c r="B5">
        <v>259</v>
      </c>
    </row>
    <row r="6" spans="1:4" x14ac:dyDescent="0.25">
      <c r="A6" s="4" t="s">
        <v>14</v>
      </c>
      <c r="B6" s="16">
        <v>21711</v>
      </c>
      <c r="C6" t="s">
        <v>59</v>
      </c>
    </row>
    <row r="7" spans="1:4" x14ac:dyDescent="0.25">
      <c r="A7" s="4" t="s">
        <v>19</v>
      </c>
      <c r="B7" s="16">
        <v>20350</v>
      </c>
      <c r="C7" t="s">
        <v>59</v>
      </c>
    </row>
    <row r="8" spans="1:4" x14ac:dyDescent="0.25">
      <c r="A8" s="4" t="s">
        <v>63</v>
      </c>
      <c r="B8" s="16" t="s">
        <v>118</v>
      </c>
    </row>
    <row r="9" spans="1:4" x14ac:dyDescent="0.25">
      <c r="A9" s="11" t="s">
        <v>20</v>
      </c>
      <c r="B9" s="12"/>
      <c r="C9" s="85" t="s">
        <v>22</v>
      </c>
      <c r="D9" s="86" t="s">
        <v>23</v>
      </c>
    </row>
    <row r="10" spans="1:4" x14ac:dyDescent="0.25">
      <c r="A10" s="103" t="s">
        <v>31</v>
      </c>
      <c r="B10" s="11" t="s">
        <v>8</v>
      </c>
      <c r="C10" s="13" t="s">
        <v>112</v>
      </c>
      <c r="D10" s="14" t="s">
        <v>114</v>
      </c>
    </row>
    <row r="11" spans="1:4" x14ac:dyDescent="0.25">
      <c r="A11" s="103"/>
      <c r="B11" s="11" t="s">
        <v>9</v>
      </c>
      <c r="C11" s="13" t="s">
        <v>113</v>
      </c>
      <c r="D11" s="14" t="s">
        <v>58</v>
      </c>
    </row>
    <row r="12" spans="1:4" x14ac:dyDescent="0.25">
      <c r="A12" s="103"/>
      <c r="B12" s="11" t="s">
        <v>10</v>
      </c>
      <c r="C12" s="13" t="s">
        <v>112</v>
      </c>
      <c r="D12" s="14" t="s">
        <v>115</v>
      </c>
    </row>
    <row r="13" spans="1:4" x14ac:dyDescent="0.25">
      <c r="A13" s="103"/>
      <c r="B13" s="11" t="s">
        <v>11</v>
      </c>
      <c r="C13" s="13" t="s">
        <v>112</v>
      </c>
      <c r="D13" s="14" t="s">
        <v>115</v>
      </c>
    </row>
    <row r="14" spans="1:4" x14ac:dyDescent="0.25">
      <c r="A14" s="103"/>
      <c r="B14" s="11" t="s">
        <v>32</v>
      </c>
      <c r="C14" s="13" t="s">
        <v>112</v>
      </c>
      <c r="D14" s="14" t="s">
        <v>116</v>
      </c>
    </row>
    <row r="15" spans="1:4" x14ac:dyDescent="0.25">
      <c r="A15" s="103"/>
      <c r="B15" s="11" t="s">
        <v>33</v>
      </c>
      <c r="C15" s="13" t="s">
        <v>113</v>
      </c>
      <c r="D15" s="14"/>
    </row>
    <row r="16" spans="1:4" x14ac:dyDescent="0.25">
      <c r="A16" s="103"/>
      <c r="B16" s="11" t="s">
        <v>21</v>
      </c>
      <c r="C16" s="84" t="s">
        <v>112</v>
      </c>
      <c r="D16" s="15" t="s">
        <v>117</v>
      </c>
    </row>
    <row r="17" spans="1:2" x14ac:dyDescent="0.25">
      <c r="B17" s="8"/>
    </row>
    <row r="18" spans="1:2" ht="15.75" x14ac:dyDescent="0.25">
      <c r="A18" s="72" t="s">
        <v>83</v>
      </c>
    </row>
    <row r="19" spans="1:2" x14ac:dyDescent="0.25">
      <c r="A19" s="104" t="s">
        <v>64</v>
      </c>
      <c r="B19" s="104"/>
    </row>
    <row r="20" spans="1:2" x14ac:dyDescent="0.25">
      <c r="A20" s="18" t="s">
        <v>89</v>
      </c>
      <c r="B20" s="18"/>
    </row>
    <row r="21" spans="1:2" x14ac:dyDescent="0.25">
      <c r="A21" s="105" t="s">
        <v>90</v>
      </c>
      <c r="B21" s="106"/>
    </row>
    <row r="22" spans="1:2" x14ac:dyDescent="0.25">
      <c r="A22" s="2" t="s">
        <v>84</v>
      </c>
    </row>
    <row r="23" spans="1:2" x14ac:dyDescent="0.25">
      <c r="A23" s="2" t="s">
        <v>85</v>
      </c>
    </row>
    <row r="24" spans="1:2" x14ac:dyDescent="0.25">
      <c r="A24" s="2" t="s">
        <v>86</v>
      </c>
    </row>
  </sheetData>
  <mergeCells count="3">
    <mergeCell ref="A10:A16"/>
    <mergeCell ref="A19:B19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D04E-0081-42AC-AF98-E06C19AF3717}">
  <sheetPr>
    <tabColor rgb="FF92D050"/>
  </sheetPr>
  <dimension ref="A1:L3"/>
  <sheetViews>
    <sheetView workbookViewId="0">
      <selection activeCell="I13" sqref="I13"/>
    </sheetView>
  </sheetViews>
  <sheetFormatPr defaultRowHeight="15" x14ac:dyDescent="0.25"/>
  <sheetData>
    <row r="1" spans="1:12" ht="18.75" x14ac:dyDescent="0.3">
      <c r="A1" s="107" t="s">
        <v>13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</row>
    <row r="3" spans="1:12" x14ac:dyDescent="0.25">
      <c r="A3" s="2" t="s">
        <v>34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AP91"/>
  <sheetViews>
    <sheetView showGridLines="0" tabSelected="1" showRuler="0" zoomScale="80" zoomScaleNormal="80" workbookViewId="0">
      <selection activeCell="M80" sqref="M80"/>
    </sheetView>
  </sheetViews>
  <sheetFormatPr defaultRowHeight="15" x14ac:dyDescent="0.25"/>
  <cols>
    <col min="1" max="1" width="22.7109375" style="3" bestFit="1" customWidth="1"/>
    <col min="2" max="7" width="15" style="3" customWidth="1"/>
    <col min="8" max="9" width="15" style="20" customWidth="1"/>
    <col min="10" max="14" width="15" style="3" customWidth="1"/>
    <col min="15" max="16" width="15" style="20" customWidth="1"/>
    <col min="17" max="17" width="15" style="3" customWidth="1"/>
    <col min="18" max="18" width="15" style="47" customWidth="1"/>
    <col min="19" max="19" width="15" style="39" customWidth="1"/>
    <col min="20" max="22" width="15" style="3" customWidth="1"/>
    <col min="23" max="24" width="15" style="47" customWidth="1"/>
    <col min="25" max="25" width="15" style="39" customWidth="1"/>
    <col min="26" max="29" width="15" style="3" customWidth="1"/>
    <col min="30" max="31" width="15" style="39" customWidth="1"/>
    <col min="32" max="37" width="15" style="3" customWidth="1"/>
    <col min="38" max="39" width="15" style="22" customWidth="1"/>
    <col min="42" max="42" width="9.140625" style="18"/>
    <col min="43" max="43" width="12.85546875" customWidth="1"/>
  </cols>
  <sheetData>
    <row r="1" spans="1:42" s="1" customFormat="1" ht="70.150000000000006" customHeight="1" thickBot="1" x14ac:dyDescent="0.3">
      <c r="A1" s="91" t="s">
        <v>50</v>
      </c>
      <c r="B1" s="46" t="s">
        <v>0</v>
      </c>
      <c r="C1" s="46" t="s">
        <v>1</v>
      </c>
      <c r="D1" s="50" t="s">
        <v>51</v>
      </c>
      <c r="E1" s="51" t="s">
        <v>98</v>
      </c>
      <c r="F1" s="51" t="s">
        <v>65</v>
      </c>
      <c r="G1" s="51" t="s">
        <v>87</v>
      </c>
      <c r="H1" s="52" t="s">
        <v>2</v>
      </c>
      <c r="I1" s="52" t="s">
        <v>99</v>
      </c>
      <c r="J1" s="53" t="s">
        <v>69</v>
      </c>
      <c r="K1" s="54" t="s">
        <v>70</v>
      </c>
      <c r="L1" s="54" t="s">
        <v>66</v>
      </c>
      <c r="M1" s="54" t="s">
        <v>71</v>
      </c>
      <c r="N1" s="54" t="s">
        <v>73</v>
      </c>
      <c r="O1" s="55" t="s">
        <v>3</v>
      </c>
      <c r="P1" s="55" t="s">
        <v>100</v>
      </c>
      <c r="Q1" s="48" t="s">
        <v>68</v>
      </c>
      <c r="R1" s="58" t="s">
        <v>67</v>
      </c>
      <c r="S1" s="59" t="s">
        <v>52</v>
      </c>
      <c r="T1" s="60" t="s">
        <v>53</v>
      </c>
      <c r="U1" s="60" t="s">
        <v>54</v>
      </c>
      <c r="V1" s="66" t="s">
        <v>103</v>
      </c>
      <c r="W1" s="68" t="s">
        <v>79</v>
      </c>
      <c r="X1" s="96"/>
      <c r="Y1" s="69" t="s">
        <v>80</v>
      </c>
      <c r="Z1" s="67" t="s">
        <v>81</v>
      </c>
      <c r="AA1" s="67" t="s">
        <v>82</v>
      </c>
      <c r="AB1" s="63" t="s">
        <v>55</v>
      </c>
      <c r="AC1" s="63" t="s">
        <v>104</v>
      </c>
      <c r="AD1" s="64" t="s">
        <v>56</v>
      </c>
      <c r="AE1" s="99"/>
      <c r="AF1" s="65" t="s">
        <v>57</v>
      </c>
      <c r="AG1" s="65" t="s">
        <v>105</v>
      </c>
      <c r="AH1" s="70" t="s">
        <v>18</v>
      </c>
      <c r="AI1" s="70" t="s">
        <v>15</v>
      </c>
      <c r="AJ1" s="71" t="s">
        <v>16</v>
      </c>
      <c r="AK1" s="71" t="s">
        <v>17</v>
      </c>
      <c r="AL1" s="7" t="s">
        <v>4</v>
      </c>
      <c r="AM1" s="87" t="s">
        <v>5</v>
      </c>
      <c r="AN1" s="1" t="s">
        <v>58</v>
      </c>
      <c r="AP1" s="17"/>
    </row>
    <row r="2" spans="1:42" s="1" customFormat="1" ht="70.150000000000006" customHeight="1" x14ac:dyDescent="0.25">
      <c r="A2" s="92"/>
      <c r="D2" s="10" t="s">
        <v>24</v>
      </c>
      <c r="E2" s="10" t="s">
        <v>25</v>
      </c>
      <c r="F2" s="10" t="s">
        <v>93</v>
      </c>
      <c r="G2" s="10" t="s">
        <v>88</v>
      </c>
      <c r="H2" s="10" t="s">
        <v>26</v>
      </c>
      <c r="I2" s="10" t="s">
        <v>95</v>
      </c>
      <c r="J2" s="81" t="s">
        <v>94</v>
      </c>
      <c r="K2" s="77" t="s">
        <v>97</v>
      </c>
      <c r="L2" s="77" t="s">
        <v>96</v>
      </c>
      <c r="M2" s="77" t="s">
        <v>72</v>
      </c>
      <c r="N2" s="77" t="s">
        <v>74</v>
      </c>
      <c r="O2" s="77" t="s">
        <v>102</v>
      </c>
      <c r="P2" s="77" t="s">
        <v>101</v>
      </c>
      <c r="Q2" s="77" t="s">
        <v>61</v>
      </c>
      <c r="R2" s="78" t="s">
        <v>62</v>
      </c>
      <c r="S2" s="76" t="s">
        <v>75</v>
      </c>
      <c r="T2" s="77" t="s">
        <v>76</v>
      </c>
      <c r="U2" s="77" t="s">
        <v>77</v>
      </c>
      <c r="V2" s="77" t="s">
        <v>111</v>
      </c>
      <c r="W2" s="78" t="s">
        <v>62</v>
      </c>
      <c r="X2" s="97"/>
      <c r="Y2" s="56" t="s">
        <v>78</v>
      </c>
      <c r="Z2" s="10" t="s">
        <v>110</v>
      </c>
      <c r="AA2" s="10" t="s">
        <v>109</v>
      </c>
      <c r="AB2" s="10" t="s">
        <v>106</v>
      </c>
      <c r="AC2" s="10" t="s">
        <v>27</v>
      </c>
      <c r="AD2" s="61" t="s">
        <v>78</v>
      </c>
      <c r="AE2" s="100"/>
      <c r="AF2" s="10" t="s">
        <v>108</v>
      </c>
      <c r="AG2" s="10" t="s">
        <v>107</v>
      </c>
      <c r="AH2" s="10" t="s">
        <v>36</v>
      </c>
      <c r="AI2" s="10" t="s">
        <v>28</v>
      </c>
      <c r="AJ2" s="10" t="s">
        <v>29</v>
      </c>
      <c r="AK2" s="10" t="s">
        <v>30</v>
      </c>
      <c r="AL2" s="9"/>
      <c r="AM2" s="88"/>
      <c r="AP2" s="17"/>
    </row>
    <row r="3" spans="1:42" x14ac:dyDescent="0.25">
      <c r="A3" s="93" t="s">
        <v>92</v>
      </c>
      <c r="B3" s="3">
        <v>1</v>
      </c>
      <c r="C3" s="3">
        <v>2019</v>
      </c>
      <c r="D3" s="19">
        <f>F3/E3</f>
        <v>418095</v>
      </c>
      <c r="E3" s="73">
        <v>0.2</v>
      </c>
      <c r="F3" s="73">
        <v>83619</v>
      </c>
      <c r="G3" s="20" t="s">
        <v>91</v>
      </c>
      <c r="H3" s="19">
        <f>I3/0.2</f>
        <v>422140</v>
      </c>
      <c r="I3" s="74">
        <v>84428</v>
      </c>
      <c r="J3" s="79">
        <f>L3/K3</f>
        <v>2942</v>
      </c>
      <c r="K3" s="6">
        <v>7.84</v>
      </c>
      <c r="L3" s="6">
        <v>23065.279999999999</v>
      </c>
      <c r="M3" s="6" t="s">
        <v>91</v>
      </c>
      <c r="N3" s="6" t="s">
        <v>91</v>
      </c>
      <c r="O3" s="19">
        <f>P3/7.84</f>
        <v>2853.4438775510203</v>
      </c>
      <c r="P3" s="73">
        <v>22371</v>
      </c>
      <c r="Q3" s="80" t="s">
        <v>91</v>
      </c>
      <c r="R3" s="82" t="s">
        <v>91</v>
      </c>
      <c r="S3" s="79" t="s">
        <v>91</v>
      </c>
      <c r="T3" s="80" t="s">
        <v>91</v>
      </c>
      <c r="U3" s="80" t="s">
        <v>91</v>
      </c>
      <c r="V3" s="21">
        <v>5551.33</v>
      </c>
      <c r="W3" s="49">
        <v>0.81630000000000003</v>
      </c>
      <c r="X3" s="98">
        <f>V3*W3</f>
        <v>4531.5506789999999</v>
      </c>
      <c r="Y3" s="57" t="s">
        <v>91</v>
      </c>
      <c r="Z3" s="21">
        <f t="shared" ref="Z3:Z14" si="0">AA3/W3</f>
        <v>0</v>
      </c>
      <c r="AA3" s="73">
        <v>0</v>
      </c>
      <c r="AB3" s="95">
        <v>58583.75</v>
      </c>
      <c r="AC3" s="75">
        <v>0.34100000000000003</v>
      </c>
      <c r="AD3" s="62">
        <v>122651.95</v>
      </c>
      <c r="AE3" s="101">
        <f>AD3+(AB3*AC3)</f>
        <v>142629.00875000001</v>
      </c>
      <c r="AF3" s="21">
        <f>(AG3-AD3)/AC3</f>
        <v>273044.13489736069</v>
      </c>
      <c r="AG3" s="73">
        <v>215760</v>
      </c>
      <c r="AH3" s="6" t="s">
        <v>35</v>
      </c>
      <c r="AI3" s="6" t="s">
        <v>35</v>
      </c>
      <c r="AJ3" s="6" t="s">
        <v>35</v>
      </c>
      <c r="AK3" s="6" t="s">
        <v>35</v>
      </c>
      <c r="AL3" s="23">
        <v>7575</v>
      </c>
      <c r="AM3" s="89">
        <v>9987</v>
      </c>
      <c r="AP3"/>
    </row>
    <row r="4" spans="1:42" x14ac:dyDescent="0.25">
      <c r="A4" s="93" t="s">
        <v>92</v>
      </c>
      <c r="B4" s="3">
        <v>2</v>
      </c>
      <c r="C4" s="3">
        <v>2019</v>
      </c>
      <c r="D4" s="19">
        <f t="shared" ref="D4:D67" si="1">F4/E4</f>
        <v>373845</v>
      </c>
      <c r="E4" s="73">
        <v>0.2</v>
      </c>
      <c r="F4" s="73">
        <v>74769</v>
      </c>
      <c r="G4" s="20" t="s">
        <v>91</v>
      </c>
      <c r="H4" s="19">
        <f t="shared" ref="H4:H67" si="2">I4/0.2</f>
        <v>377620</v>
      </c>
      <c r="I4" s="74">
        <v>75524</v>
      </c>
      <c r="J4" s="79">
        <f t="shared" ref="J4:J67" si="3">L4/K4</f>
        <v>2469</v>
      </c>
      <c r="K4" s="6">
        <v>7.84</v>
      </c>
      <c r="L4" s="83">
        <v>19356.96</v>
      </c>
      <c r="M4" s="6" t="s">
        <v>91</v>
      </c>
      <c r="N4" s="6" t="s">
        <v>91</v>
      </c>
      <c r="O4" s="19">
        <f t="shared" ref="O4:O67" si="4">P4/7.84</f>
        <v>2552.5510204081634</v>
      </c>
      <c r="P4" s="73">
        <v>20012</v>
      </c>
      <c r="Q4" s="80" t="s">
        <v>91</v>
      </c>
      <c r="R4" s="82" t="s">
        <v>91</v>
      </c>
      <c r="S4" s="79" t="s">
        <v>91</v>
      </c>
      <c r="T4" s="80" t="s">
        <v>91</v>
      </c>
      <c r="U4" s="80" t="s">
        <v>91</v>
      </c>
      <c r="V4" s="21">
        <v>5851.33</v>
      </c>
      <c r="W4" s="49">
        <v>0.81630000000000003</v>
      </c>
      <c r="X4" s="98">
        <f t="shared" ref="X4:X62" si="5">V4*W4</f>
        <v>4776.4406790000003</v>
      </c>
      <c r="Y4" s="57" t="s">
        <v>91</v>
      </c>
      <c r="Z4" s="21">
        <f t="shared" si="0"/>
        <v>0</v>
      </c>
      <c r="AA4" s="73">
        <v>0</v>
      </c>
      <c r="AB4" s="94">
        <v>126187.891034033</v>
      </c>
      <c r="AC4" s="75">
        <v>0.34100000000000003</v>
      </c>
      <c r="AD4" s="62">
        <v>122651.95</v>
      </c>
      <c r="AE4" s="101">
        <f t="shared" ref="AE4:AE62" si="6">AD4+(AB4*AC4)</f>
        <v>165682.02084260527</v>
      </c>
      <c r="AF4" s="21">
        <f t="shared" ref="AF4:AF67" si="7">(AG4-AD4)/AC4</f>
        <v>208701.02639296188</v>
      </c>
      <c r="AG4" s="73">
        <v>193819</v>
      </c>
      <c r="AH4" s="6" t="s">
        <v>35</v>
      </c>
      <c r="AI4" s="6" t="s">
        <v>35</v>
      </c>
      <c r="AJ4" s="6" t="s">
        <v>35</v>
      </c>
      <c r="AK4" s="6" t="s">
        <v>35</v>
      </c>
      <c r="AL4" s="23">
        <v>6734</v>
      </c>
      <c r="AM4" s="89">
        <v>8377</v>
      </c>
      <c r="AP4"/>
    </row>
    <row r="5" spans="1:42" x14ac:dyDescent="0.25">
      <c r="A5" s="93" t="s">
        <v>92</v>
      </c>
      <c r="B5" s="3">
        <v>3</v>
      </c>
      <c r="C5" s="3">
        <v>2019</v>
      </c>
      <c r="D5" s="19">
        <f t="shared" si="1"/>
        <v>402915</v>
      </c>
      <c r="E5" s="73">
        <v>0.2</v>
      </c>
      <c r="F5" s="73">
        <v>80583</v>
      </c>
      <c r="G5" s="20" t="s">
        <v>91</v>
      </c>
      <c r="H5" s="19">
        <f t="shared" si="2"/>
        <v>401695</v>
      </c>
      <c r="I5" s="74">
        <v>80339</v>
      </c>
      <c r="J5" s="79">
        <f t="shared" si="3"/>
        <v>2816</v>
      </c>
      <c r="K5" s="6">
        <v>7.84</v>
      </c>
      <c r="L5" s="83">
        <v>22077.439999999999</v>
      </c>
      <c r="M5" s="6" t="s">
        <v>91</v>
      </c>
      <c r="N5" s="6" t="s">
        <v>91</v>
      </c>
      <c r="O5" s="19">
        <f t="shared" si="4"/>
        <v>2715.1785714285716</v>
      </c>
      <c r="P5" s="73">
        <v>21287</v>
      </c>
      <c r="Q5" s="80" t="s">
        <v>91</v>
      </c>
      <c r="R5" s="82" t="s">
        <v>91</v>
      </c>
      <c r="S5" s="79" t="s">
        <v>91</v>
      </c>
      <c r="T5" s="80" t="s">
        <v>91</v>
      </c>
      <c r="U5" s="80" t="s">
        <v>91</v>
      </c>
      <c r="V5" s="21">
        <v>5701.33</v>
      </c>
      <c r="W5" s="49">
        <v>0.81630000000000003</v>
      </c>
      <c r="X5" s="98">
        <f t="shared" si="5"/>
        <v>4653.9956789999997</v>
      </c>
      <c r="Y5" s="57" t="s">
        <v>91</v>
      </c>
      <c r="Z5" s="21">
        <f t="shared" si="0"/>
        <v>0</v>
      </c>
      <c r="AA5" s="73">
        <v>0</v>
      </c>
      <c r="AB5" s="94">
        <v>217413.74</v>
      </c>
      <c r="AC5" s="75">
        <v>0.34100000000000003</v>
      </c>
      <c r="AD5" s="62">
        <v>122651.95</v>
      </c>
      <c r="AE5" s="101">
        <f t="shared" si="6"/>
        <v>196790.03534</v>
      </c>
      <c r="AF5" s="21">
        <f t="shared" si="7"/>
        <v>244959.09090909091</v>
      </c>
      <c r="AG5" s="73">
        <v>206183</v>
      </c>
      <c r="AH5" s="6" t="s">
        <v>35</v>
      </c>
      <c r="AI5" s="6" t="s">
        <v>35</v>
      </c>
      <c r="AJ5" s="6" t="s">
        <v>35</v>
      </c>
      <c r="AK5" s="6" t="s">
        <v>35</v>
      </c>
      <c r="AL5" s="23">
        <v>7795</v>
      </c>
      <c r="AM5" s="89">
        <v>9490</v>
      </c>
      <c r="AP5"/>
    </row>
    <row r="6" spans="1:42" x14ac:dyDescent="0.25">
      <c r="A6" s="93" t="s">
        <v>92</v>
      </c>
      <c r="B6" s="3">
        <v>4</v>
      </c>
      <c r="C6" s="3">
        <v>2019</v>
      </c>
      <c r="D6" s="19">
        <f t="shared" si="1"/>
        <v>389095</v>
      </c>
      <c r="E6" s="73">
        <v>0.2</v>
      </c>
      <c r="F6" s="73">
        <v>77819</v>
      </c>
      <c r="G6" s="20" t="s">
        <v>91</v>
      </c>
      <c r="H6" s="19">
        <f t="shared" si="2"/>
        <v>406830</v>
      </c>
      <c r="I6" s="74">
        <v>81366</v>
      </c>
      <c r="J6" s="79">
        <f t="shared" si="3"/>
        <v>2958</v>
      </c>
      <c r="K6" s="6">
        <v>7.84</v>
      </c>
      <c r="L6" s="83">
        <v>23190.720000000001</v>
      </c>
      <c r="M6" s="6" t="s">
        <v>91</v>
      </c>
      <c r="N6" s="6" t="s">
        <v>91</v>
      </c>
      <c r="O6" s="19">
        <f t="shared" si="4"/>
        <v>2750</v>
      </c>
      <c r="P6" s="73">
        <v>21560</v>
      </c>
      <c r="Q6" s="80" t="s">
        <v>91</v>
      </c>
      <c r="R6" s="82" t="s">
        <v>91</v>
      </c>
      <c r="S6" s="79" t="s">
        <v>91</v>
      </c>
      <c r="T6" s="80" t="s">
        <v>91</v>
      </c>
      <c r="U6" s="80" t="s">
        <v>91</v>
      </c>
      <c r="V6" s="21">
        <v>5801.33</v>
      </c>
      <c r="W6" s="49">
        <v>0.81630000000000003</v>
      </c>
      <c r="X6" s="98">
        <f t="shared" si="5"/>
        <v>4735.6256789999998</v>
      </c>
      <c r="Y6" s="57" t="s">
        <v>91</v>
      </c>
      <c r="Z6" s="21">
        <f t="shared" si="0"/>
        <v>0</v>
      </c>
      <c r="AA6" s="73">
        <v>0</v>
      </c>
      <c r="AB6" s="94">
        <v>197215.46</v>
      </c>
      <c r="AC6" s="75">
        <v>0.34100000000000003</v>
      </c>
      <c r="AD6" s="62">
        <v>122651.95</v>
      </c>
      <c r="AE6" s="101">
        <f t="shared" si="6"/>
        <v>189902.42186</v>
      </c>
      <c r="AF6" s="21">
        <f>(AG6-AD6)/AC6</f>
        <v>252384.31085043988</v>
      </c>
      <c r="AG6" s="73">
        <v>208715</v>
      </c>
      <c r="AH6" s="6" t="s">
        <v>35</v>
      </c>
      <c r="AI6" s="6" t="s">
        <v>35</v>
      </c>
      <c r="AJ6" s="6" t="s">
        <v>35</v>
      </c>
      <c r="AK6" s="6" t="s">
        <v>35</v>
      </c>
      <c r="AL6" s="23">
        <v>7615</v>
      </c>
      <c r="AM6" s="89">
        <v>9032</v>
      </c>
      <c r="AP6"/>
    </row>
    <row r="7" spans="1:42" x14ac:dyDescent="0.25">
      <c r="A7" s="93" t="s">
        <v>92</v>
      </c>
      <c r="B7" s="3">
        <v>5</v>
      </c>
      <c r="C7" s="3">
        <v>2019</v>
      </c>
      <c r="D7" s="19">
        <f t="shared" si="1"/>
        <v>375830</v>
      </c>
      <c r="E7" s="73">
        <v>0.2</v>
      </c>
      <c r="F7" s="73">
        <v>75166</v>
      </c>
      <c r="G7" s="20" t="s">
        <v>91</v>
      </c>
      <c r="H7" s="19">
        <f t="shared" si="2"/>
        <v>353220</v>
      </c>
      <c r="I7" s="74">
        <v>70644</v>
      </c>
      <c r="J7" s="79">
        <f t="shared" si="3"/>
        <v>2699</v>
      </c>
      <c r="K7" s="6">
        <v>7.84</v>
      </c>
      <c r="L7" s="83">
        <v>21160.16</v>
      </c>
      <c r="M7" s="6" t="s">
        <v>91</v>
      </c>
      <c r="N7" s="6" t="s">
        <v>91</v>
      </c>
      <c r="O7" s="19">
        <f t="shared" si="4"/>
        <v>2387.6275510204082</v>
      </c>
      <c r="P7" s="73">
        <v>18719</v>
      </c>
      <c r="Q7" s="80" t="s">
        <v>91</v>
      </c>
      <c r="R7" s="82" t="s">
        <v>91</v>
      </c>
      <c r="S7" s="79" t="s">
        <v>91</v>
      </c>
      <c r="T7" s="80" t="s">
        <v>91</v>
      </c>
      <c r="U7" s="80" t="s">
        <v>91</v>
      </c>
      <c r="V7" s="21">
        <v>5601.33</v>
      </c>
      <c r="W7" s="49">
        <v>0.81630000000000003</v>
      </c>
      <c r="X7" s="98">
        <f t="shared" si="5"/>
        <v>4572.3656790000005</v>
      </c>
      <c r="Y7" s="57" t="s">
        <v>91</v>
      </c>
      <c r="Z7" s="21">
        <f t="shared" si="0"/>
        <v>0</v>
      </c>
      <c r="AA7" s="73">
        <v>0</v>
      </c>
      <c r="AB7" s="94">
        <v>237267.47</v>
      </c>
      <c r="AC7" s="75">
        <v>0.34100000000000003</v>
      </c>
      <c r="AD7" s="62">
        <v>122651.95</v>
      </c>
      <c r="AE7" s="101">
        <f t="shared" si="6"/>
        <v>203560.15727000003</v>
      </c>
      <c r="AF7" s="21">
        <f t="shared" si="7"/>
        <v>174906.30498533725</v>
      </c>
      <c r="AG7" s="73">
        <v>182295</v>
      </c>
      <c r="AH7" s="6" t="s">
        <v>35</v>
      </c>
      <c r="AI7" s="6" t="s">
        <v>35</v>
      </c>
      <c r="AJ7" s="6" t="s">
        <v>35</v>
      </c>
      <c r="AK7" s="6" t="s">
        <v>35</v>
      </c>
      <c r="AL7" s="23">
        <v>6750</v>
      </c>
      <c r="AM7" s="89">
        <v>7960</v>
      </c>
      <c r="AP7"/>
    </row>
    <row r="8" spans="1:42" x14ac:dyDescent="0.25">
      <c r="A8" s="93" t="s">
        <v>92</v>
      </c>
      <c r="B8" s="3">
        <v>6</v>
      </c>
      <c r="C8" s="3">
        <v>2019</v>
      </c>
      <c r="D8" s="19">
        <f t="shared" si="1"/>
        <v>358295</v>
      </c>
      <c r="E8" s="73">
        <v>0.2</v>
      </c>
      <c r="F8" s="73">
        <v>71659</v>
      </c>
      <c r="G8" s="20" t="s">
        <v>91</v>
      </c>
      <c r="H8" s="19">
        <f t="shared" si="2"/>
        <v>394930</v>
      </c>
      <c r="I8" s="74">
        <v>78986</v>
      </c>
      <c r="J8" s="79">
        <f t="shared" si="3"/>
        <v>2886</v>
      </c>
      <c r="K8" s="6">
        <v>7.84</v>
      </c>
      <c r="L8" s="83">
        <v>22626.239999999998</v>
      </c>
      <c r="M8" s="6" t="s">
        <v>91</v>
      </c>
      <c r="N8" s="6" t="s">
        <v>91</v>
      </c>
      <c r="O8" s="19">
        <f t="shared" si="4"/>
        <v>2669.5153061224491</v>
      </c>
      <c r="P8" s="73">
        <v>20929</v>
      </c>
      <c r="Q8" s="80" t="s">
        <v>91</v>
      </c>
      <c r="R8" s="82" t="s">
        <v>91</v>
      </c>
      <c r="S8" s="79" t="s">
        <v>91</v>
      </c>
      <c r="T8" s="80" t="s">
        <v>91</v>
      </c>
      <c r="U8" s="80" t="s">
        <v>91</v>
      </c>
      <c r="V8" s="21">
        <v>3778.02</v>
      </c>
      <c r="W8" s="49">
        <v>0.81630000000000003</v>
      </c>
      <c r="X8" s="98">
        <f t="shared" si="5"/>
        <v>3083.9977260000001</v>
      </c>
      <c r="Y8" s="57" t="s">
        <v>91</v>
      </c>
      <c r="Z8" s="21">
        <f t="shared" si="0"/>
        <v>0</v>
      </c>
      <c r="AA8" s="73">
        <v>0</v>
      </c>
      <c r="AB8" s="94">
        <v>306416.03999999998</v>
      </c>
      <c r="AC8" s="75">
        <v>0.34100000000000003</v>
      </c>
      <c r="AD8" s="62">
        <v>122651.95</v>
      </c>
      <c r="AE8" s="101">
        <f t="shared" si="6"/>
        <v>227139.81964</v>
      </c>
      <c r="AF8" s="21">
        <f t="shared" si="7"/>
        <v>235184.89736070379</v>
      </c>
      <c r="AG8" s="73">
        <v>202850</v>
      </c>
      <c r="AH8" s="6" t="s">
        <v>35</v>
      </c>
      <c r="AI8" s="6" t="s">
        <v>35</v>
      </c>
      <c r="AJ8" s="6" t="s">
        <v>35</v>
      </c>
      <c r="AK8" s="6" t="s">
        <v>35</v>
      </c>
      <c r="AL8" s="23">
        <v>7017</v>
      </c>
      <c r="AM8" s="89">
        <v>8789</v>
      </c>
      <c r="AP8"/>
    </row>
    <row r="9" spans="1:42" x14ac:dyDescent="0.25">
      <c r="A9" s="93" t="s">
        <v>92</v>
      </c>
      <c r="B9" s="3">
        <v>7</v>
      </c>
      <c r="C9" s="3">
        <v>2019</v>
      </c>
      <c r="D9" s="19">
        <f t="shared" si="1"/>
        <v>384145</v>
      </c>
      <c r="E9" s="73">
        <v>0.2</v>
      </c>
      <c r="F9" s="73">
        <v>76829</v>
      </c>
      <c r="G9" s="20" t="s">
        <v>91</v>
      </c>
      <c r="H9" s="19">
        <f t="shared" si="2"/>
        <v>386705</v>
      </c>
      <c r="I9" s="74">
        <v>77341</v>
      </c>
      <c r="J9" s="79">
        <f t="shared" si="3"/>
        <v>3272</v>
      </c>
      <c r="K9" s="6">
        <v>7.84</v>
      </c>
      <c r="L9" s="83">
        <v>25652.48</v>
      </c>
      <c r="M9" s="6" t="s">
        <v>91</v>
      </c>
      <c r="N9" s="6" t="s">
        <v>91</v>
      </c>
      <c r="O9" s="19">
        <f t="shared" si="4"/>
        <v>2613.9030612244896</v>
      </c>
      <c r="P9" s="73">
        <v>20493</v>
      </c>
      <c r="Q9" s="80" t="s">
        <v>91</v>
      </c>
      <c r="R9" s="82" t="s">
        <v>91</v>
      </c>
      <c r="S9" s="79" t="s">
        <v>91</v>
      </c>
      <c r="T9" s="80" t="s">
        <v>91</v>
      </c>
      <c r="U9" s="80" t="s">
        <v>91</v>
      </c>
      <c r="V9" s="21">
        <v>2800.34</v>
      </c>
      <c r="W9" s="49">
        <v>0.81630000000000003</v>
      </c>
      <c r="X9" s="98">
        <f t="shared" si="5"/>
        <v>2285.9175420000001</v>
      </c>
      <c r="Y9" s="57" t="s">
        <v>91</v>
      </c>
      <c r="Z9" s="21">
        <f t="shared" si="0"/>
        <v>0</v>
      </c>
      <c r="AA9" s="73">
        <v>0</v>
      </c>
      <c r="AB9" s="94">
        <v>223352.65</v>
      </c>
      <c r="AC9" s="75">
        <v>0.34100000000000003</v>
      </c>
      <c r="AD9" s="62">
        <v>122651.95</v>
      </c>
      <c r="AE9" s="101">
        <f t="shared" si="6"/>
        <v>198815.20364999998</v>
      </c>
      <c r="AF9" s="21">
        <f t="shared" si="7"/>
        <v>223302.19941348972</v>
      </c>
      <c r="AG9" s="73">
        <v>198798</v>
      </c>
      <c r="AH9" s="6" t="s">
        <v>35</v>
      </c>
      <c r="AI9" s="6" t="s">
        <v>35</v>
      </c>
      <c r="AJ9" s="6" t="s">
        <v>35</v>
      </c>
      <c r="AK9" s="6" t="s">
        <v>35</v>
      </c>
      <c r="AL9" s="23">
        <v>7545</v>
      </c>
      <c r="AM9" s="89">
        <v>9378</v>
      </c>
      <c r="AP9"/>
    </row>
    <row r="10" spans="1:42" x14ac:dyDescent="0.25">
      <c r="A10" s="93" t="s">
        <v>92</v>
      </c>
      <c r="B10" s="3">
        <v>8</v>
      </c>
      <c r="C10" s="3">
        <v>2019</v>
      </c>
      <c r="D10" s="19">
        <f t="shared" si="1"/>
        <v>377375</v>
      </c>
      <c r="E10" s="73">
        <v>0.2</v>
      </c>
      <c r="F10" s="73">
        <v>75475</v>
      </c>
      <c r="G10" s="20" t="s">
        <v>91</v>
      </c>
      <c r="H10" s="19">
        <f t="shared" si="2"/>
        <v>391035</v>
      </c>
      <c r="I10" s="74">
        <v>78207</v>
      </c>
      <c r="J10" s="79">
        <f t="shared" si="3"/>
        <v>3223</v>
      </c>
      <c r="K10" s="6">
        <v>7.84</v>
      </c>
      <c r="L10" s="83">
        <v>25268.32</v>
      </c>
      <c r="M10" s="6" t="s">
        <v>91</v>
      </c>
      <c r="N10" s="6" t="s">
        <v>91</v>
      </c>
      <c r="O10" s="19">
        <f t="shared" si="4"/>
        <v>2643.2397959183672</v>
      </c>
      <c r="P10" s="73">
        <v>20723</v>
      </c>
      <c r="Q10" s="80" t="s">
        <v>91</v>
      </c>
      <c r="R10" s="82" t="s">
        <v>91</v>
      </c>
      <c r="S10" s="79" t="s">
        <v>91</v>
      </c>
      <c r="T10" s="80" t="s">
        <v>91</v>
      </c>
      <c r="U10" s="80" t="s">
        <v>91</v>
      </c>
      <c r="V10" s="21">
        <v>3430</v>
      </c>
      <c r="W10" s="49">
        <v>0.81630000000000003</v>
      </c>
      <c r="X10" s="98">
        <f t="shared" si="5"/>
        <v>2799.9090000000001</v>
      </c>
      <c r="Y10" s="57" t="s">
        <v>91</v>
      </c>
      <c r="Z10" s="21">
        <f t="shared" si="0"/>
        <v>0</v>
      </c>
      <c r="AA10" s="73">
        <v>0</v>
      </c>
      <c r="AB10" s="94">
        <v>283442.75</v>
      </c>
      <c r="AC10" s="75">
        <v>0.34160000000000001</v>
      </c>
      <c r="AD10" s="62">
        <v>127558.42</v>
      </c>
      <c r="AE10" s="101">
        <f t="shared" si="6"/>
        <v>224382.46340000001</v>
      </c>
      <c r="AF10" s="21">
        <f t="shared" si="7"/>
        <v>214790.92505854802</v>
      </c>
      <c r="AG10" s="73">
        <v>200931</v>
      </c>
      <c r="AH10" s="6" t="s">
        <v>35</v>
      </c>
      <c r="AI10" s="6" t="s">
        <v>35</v>
      </c>
      <c r="AJ10" s="6" t="s">
        <v>35</v>
      </c>
      <c r="AK10" s="6" t="s">
        <v>35</v>
      </c>
      <c r="AL10" s="23">
        <v>7747</v>
      </c>
      <c r="AM10" s="89">
        <v>9536</v>
      </c>
      <c r="AP10"/>
    </row>
    <row r="11" spans="1:42" x14ac:dyDescent="0.25">
      <c r="A11" s="93" t="s">
        <v>92</v>
      </c>
      <c r="B11" s="3">
        <v>9</v>
      </c>
      <c r="C11" s="3">
        <v>2019</v>
      </c>
      <c r="D11" s="19">
        <f t="shared" si="1"/>
        <v>363480</v>
      </c>
      <c r="E11" s="73">
        <v>0.2</v>
      </c>
      <c r="F11" s="73">
        <v>72696</v>
      </c>
      <c r="G11" s="20" t="s">
        <v>91</v>
      </c>
      <c r="H11" s="19">
        <f t="shared" si="2"/>
        <v>378970</v>
      </c>
      <c r="I11" s="74">
        <v>75794</v>
      </c>
      <c r="J11" s="79">
        <f t="shared" si="3"/>
        <v>2659.9999999999995</v>
      </c>
      <c r="K11" s="6">
        <v>7.84</v>
      </c>
      <c r="L11" s="83">
        <v>20854.399999999998</v>
      </c>
      <c r="M11" s="6" t="s">
        <v>91</v>
      </c>
      <c r="N11" s="6" t="s">
        <v>91</v>
      </c>
      <c r="O11" s="19">
        <f t="shared" si="4"/>
        <v>2561.6071428571431</v>
      </c>
      <c r="P11" s="73">
        <v>20083</v>
      </c>
      <c r="Q11" s="80" t="s">
        <v>91</v>
      </c>
      <c r="R11" s="82" t="s">
        <v>91</v>
      </c>
      <c r="S11" s="79" t="s">
        <v>91</v>
      </c>
      <c r="T11" s="80" t="s">
        <v>91</v>
      </c>
      <c r="U11" s="80" t="s">
        <v>91</v>
      </c>
      <c r="V11" s="21">
        <v>4900.25</v>
      </c>
      <c r="W11" s="49">
        <v>0.81630000000000003</v>
      </c>
      <c r="X11" s="98">
        <f t="shared" si="5"/>
        <v>4000.074075</v>
      </c>
      <c r="Y11" s="57" t="s">
        <v>91</v>
      </c>
      <c r="Z11" s="21">
        <f t="shared" si="0"/>
        <v>0</v>
      </c>
      <c r="AA11" s="73">
        <v>0</v>
      </c>
      <c r="AB11" s="94">
        <v>290659.01</v>
      </c>
      <c r="AC11" s="75">
        <v>0.34160000000000001</v>
      </c>
      <c r="AD11" s="62">
        <v>127558.42</v>
      </c>
      <c r="AE11" s="101">
        <f t="shared" si="6"/>
        <v>226847.537816</v>
      </c>
      <c r="AF11" s="21">
        <f t="shared" si="7"/>
        <v>197387.52927400469</v>
      </c>
      <c r="AG11" s="73">
        <v>194986</v>
      </c>
      <c r="AH11" s="6" t="s">
        <v>35</v>
      </c>
      <c r="AI11" s="6" t="s">
        <v>35</v>
      </c>
      <c r="AJ11" s="6" t="s">
        <v>35</v>
      </c>
      <c r="AK11" s="6" t="s">
        <v>35</v>
      </c>
      <c r="AL11" s="23">
        <v>7432</v>
      </c>
      <c r="AM11" s="89">
        <v>8562</v>
      </c>
      <c r="AP11"/>
    </row>
    <row r="12" spans="1:42" x14ac:dyDescent="0.25">
      <c r="A12" s="93" t="s">
        <v>92</v>
      </c>
      <c r="B12" s="3">
        <v>10</v>
      </c>
      <c r="C12" s="3">
        <v>2019</v>
      </c>
      <c r="D12" s="19">
        <f t="shared" si="1"/>
        <v>386390</v>
      </c>
      <c r="E12" s="73">
        <v>0.2</v>
      </c>
      <c r="F12" s="73">
        <v>77278</v>
      </c>
      <c r="G12" s="20" t="s">
        <v>91</v>
      </c>
      <c r="H12" s="19">
        <f t="shared" si="2"/>
        <v>374370</v>
      </c>
      <c r="I12" s="74">
        <v>74874</v>
      </c>
      <c r="J12" s="79">
        <f t="shared" si="3"/>
        <v>2605</v>
      </c>
      <c r="K12" s="6">
        <v>7.84</v>
      </c>
      <c r="L12" s="83">
        <v>20423.2</v>
      </c>
      <c r="M12" s="6" t="s">
        <v>91</v>
      </c>
      <c r="N12" s="6" t="s">
        <v>91</v>
      </c>
      <c r="O12" s="19">
        <f t="shared" si="4"/>
        <v>2530.612244897959</v>
      </c>
      <c r="P12" s="73">
        <v>19840</v>
      </c>
      <c r="Q12" s="80" t="s">
        <v>91</v>
      </c>
      <c r="R12" s="82" t="s">
        <v>91</v>
      </c>
      <c r="S12" s="79" t="s">
        <v>91</v>
      </c>
      <c r="T12" s="80" t="s">
        <v>91</v>
      </c>
      <c r="U12" s="80" t="s">
        <v>91</v>
      </c>
      <c r="V12" s="21">
        <v>5194.1400000000003</v>
      </c>
      <c r="W12" s="49">
        <v>0.81630000000000003</v>
      </c>
      <c r="X12" s="98">
        <f t="shared" si="5"/>
        <v>4239.976482</v>
      </c>
      <c r="Y12" s="57" t="s">
        <v>91</v>
      </c>
      <c r="Z12" s="21">
        <f t="shared" si="0"/>
        <v>0</v>
      </c>
      <c r="AA12" s="73">
        <v>0</v>
      </c>
      <c r="AB12" s="94">
        <v>240084.25</v>
      </c>
      <c r="AC12" s="75">
        <v>0.34160000000000001</v>
      </c>
      <c r="AD12" s="62">
        <v>127558.42</v>
      </c>
      <c r="AE12" s="101">
        <f t="shared" si="6"/>
        <v>209571.1998</v>
      </c>
      <c r="AF12" s="21">
        <f t="shared" si="7"/>
        <v>190751.11241217799</v>
      </c>
      <c r="AG12" s="73">
        <v>192719</v>
      </c>
      <c r="AH12" s="6" t="s">
        <v>35</v>
      </c>
      <c r="AI12" s="6" t="s">
        <v>35</v>
      </c>
      <c r="AJ12" s="6" t="s">
        <v>35</v>
      </c>
      <c r="AK12" s="6" t="s">
        <v>35</v>
      </c>
      <c r="AL12" s="23">
        <v>7646</v>
      </c>
      <c r="AM12" s="89">
        <v>8567</v>
      </c>
      <c r="AP12"/>
    </row>
    <row r="13" spans="1:42" x14ac:dyDescent="0.25">
      <c r="A13" s="93" t="s">
        <v>92</v>
      </c>
      <c r="B13" s="3">
        <v>11</v>
      </c>
      <c r="C13" s="3">
        <v>2019</v>
      </c>
      <c r="D13" s="19">
        <f t="shared" si="1"/>
        <v>360140</v>
      </c>
      <c r="E13" s="73">
        <v>0.2</v>
      </c>
      <c r="F13" s="73">
        <v>72028</v>
      </c>
      <c r="G13" s="20" t="s">
        <v>91</v>
      </c>
      <c r="H13" s="19">
        <f t="shared" si="2"/>
        <v>390875</v>
      </c>
      <c r="I13" s="74">
        <v>78175</v>
      </c>
      <c r="J13" s="79">
        <f t="shared" si="3"/>
        <v>1918</v>
      </c>
      <c r="K13" s="6">
        <v>7.84</v>
      </c>
      <c r="L13" s="83">
        <v>15037.119999999999</v>
      </c>
      <c r="M13" s="6" t="s">
        <v>91</v>
      </c>
      <c r="N13" s="6" t="s">
        <v>91</v>
      </c>
      <c r="O13" s="19">
        <f t="shared" si="4"/>
        <v>2642.091836734694</v>
      </c>
      <c r="P13" s="73">
        <v>20714</v>
      </c>
      <c r="Q13" s="80" t="s">
        <v>91</v>
      </c>
      <c r="R13" s="82" t="s">
        <v>91</v>
      </c>
      <c r="S13" s="79" t="s">
        <v>91</v>
      </c>
      <c r="T13" s="80" t="s">
        <v>91</v>
      </c>
      <c r="U13" s="80" t="s">
        <v>91</v>
      </c>
      <c r="V13" s="21">
        <v>5194.3</v>
      </c>
      <c r="W13" s="49">
        <v>0.81630000000000003</v>
      </c>
      <c r="X13" s="98">
        <f t="shared" si="5"/>
        <v>4240.1070900000004</v>
      </c>
      <c r="Y13" s="57" t="s">
        <v>91</v>
      </c>
      <c r="Z13" s="21">
        <f t="shared" si="0"/>
        <v>0</v>
      </c>
      <c r="AA13" s="73">
        <v>0</v>
      </c>
      <c r="AB13" s="94">
        <v>157310.39999999999</v>
      </c>
      <c r="AC13" s="75">
        <v>0.34160000000000001</v>
      </c>
      <c r="AD13" s="62">
        <v>127558.42</v>
      </c>
      <c r="AE13" s="101">
        <f t="shared" si="6"/>
        <v>181295.65263999999</v>
      </c>
      <c r="AF13" s="21">
        <f t="shared" si="7"/>
        <v>214556.73302107729</v>
      </c>
      <c r="AG13" s="73">
        <v>200851</v>
      </c>
      <c r="AH13" s="6" t="s">
        <v>35</v>
      </c>
      <c r="AI13" s="6" t="s">
        <v>35</v>
      </c>
      <c r="AJ13" s="6" t="s">
        <v>35</v>
      </c>
      <c r="AK13" s="6" t="s">
        <v>35</v>
      </c>
      <c r="AL13" s="23">
        <v>7584</v>
      </c>
      <c r="AM13" s="89">
        <v>8526</v>
      </c>
      <c r="AP13"/>
    </row>
    <row r="14" spans="1:42" x14ac:dyDescent="0.25">
      <c r="A14" s="93" t="s">
        <v>92</v>
      </c>
      <c r="B14" s="3">
        <v>12</v>
      </c>
      <c r="C14" s="3">
        <v>2019</v>
      </c>
      <c r="D14" s="19">
        <f t="shared" si="1"/>
        <v>409750</v>
      </c>
      <c r="E14" s="73">
        <v>0.2</v>
      </c>
      <c r="F14" s="73">
        <v>81950</v>
      </c>
      <c r="G14" s="20" t="s">
        <v>91</v>
      </c>
      <c r="H14" s="19">
        <f t="shared" si="2"/>
        <v>344400</v>
      </c>
      <c r="I14" s="74">
        <v>68880</v>
      </c>
      <c r="J14" s="79">
        <f t="shared" si="3"/>
        <v>2200</v>
      </c>
      <c r="K14" s="6">
        <v>7.84</v>
      </c>
      <c r="L14" s="83">
        <v>17248</v>
      </c>
      <c r="M14" s="6" t="s">
        <v>91</v>
      </c>
      <c r="N14" s="6" t="s">
        <v>91</v>
      </c>
      <c r="O14" s="19">
        <f t="shared" si="4"/>
        <v>2327.9336734693879</v>
      </c>
      <c r="P14" s="73">
        <v>18251</v>
      </c>
      <c r="Q14" s="80" t="s">
        <v>91</v>
      </c>
      <c r="R14" s="82" t="s">
        <v>91</v>
      </c>
      <c r="S14" s="79" t="s">
        <v>91</v>
      </c>
      <c r="T14" s="80" t="s">
        <v>91</v>
      </c>
      <c r="U14" s="80" t="s">
        <v>91</v>
      </c>
      <c r="V14" s="21">
        <v>10633.34</v>
      </c>
      <c r="W14" s="49">
        <v>0.81630000000000003</v>
      </c>
      <c r="X14" s="98">
        <f t="shared" si="5"/>
        <v>8679.9954420000013</v>
      </c>
      <c r="Y14" s="57" t="s">
        <v>91</v>
      </c>
      <c r="Z14" s="21">
        <f t="shared" si="0"/>
        <v>0</v>
      </c>
      <c r="AA14" s="73">
        <v>0</v>
      </c>
      <c r="AB14" s="94">
        <v>105484.47</v>
      </c>
      <c r="AC14" s="75">
        <v>0.34160000000000001</v>
      </c>
      <c r="AD14" s="62">
        <v>127558.42</v>
      </c>
      <c r="AE14" s="101">
        <f t="shared" si="6"/>
        <v>163591.91495199999</v>
      </c>
      <c r="AF14" s="21">
        <f t="shared" si="7"/>
        <v>147516.3348946136</v>
      </c>
      <c r="AG14" s="73">
        <v>177950</v>
      </c>
      <c r="AH14" s="6" t="s">
        <v>35</v>
      </c>
      <c r="AI14" s="6" t="s">
        <v>35</v>
      </c>
      <c r="AJ14" s="6" t="s">
        <v>35</v>
      </c>
      <c r="AK14" s="6" t="s">
        <v>35</v>
      </c>
      <c r="AL14" s="23">
        <v>7778</v>
      </c>
      <c r="AM14" s="89">
        <v>9173</v>
      </c>
      <c r="AP14"/>
    </row>
    <row r="15" spans="1:42" x14ac:dyDescent="0.25">
      <c r="A15" s="93" t="s">
        <v>92</v>
      </c>
      <c r="B15" s="3">
        <v>1</v>
      </c>
      <c r="C15" s="3">
        <v>2020</v>
      </c>
      <c r="D15" s="19">
        <f t="shared" si="1"/>
        <v>383730.25</v>
      </c>
      <c r="E15" s="73">
        <v>0.2</v>
      </c>
      <c r="F15" s="73">
        <v>76746.05</v>
      </c>
      <c r="G15" s="20" t="s">
        <v>91</v>
      </c>
      <c r="H15" s="19">
        <f t="shared" si="2"/>
        <v>389567.75</v>
      </c>
      <c r="I15" s="74">
        <v>77913.55</v>
      </c>
      <c r="J15" s="79">
        <f t="shared" si="3"/>
        <v>2072</v>
      </c>
      <c r="K15" s="6">
        <v>7.84</v>
      </c>
      <c r="L15" s="83">
        <v>16244.48</v>
      </c>
      <c r="M15" s="6" t="s">
        <v>91</v>
      </c>
      <c r="N15" s="6" t="s">
        <v>91</v>
      </c>
      <c r="O15" s="19">
        <f t="shared" si="4"/>
        <v>2588.1250000000005</v>
      </c>
      <c r="P15" s="73">
        <v>20290.900000000001</v>
      </c>
      <c r="Q15" s="80" t="s">
        <v>91</v>
      </c>
      <c r="R15" s="82" t="s">
        <v>91</v>
      </c>
      <c r="S15" s="79" t="s">
        <v>91</v>
      </c>
      <c r="T15" s="80" t="s">
        <v>91</v>
      </c>
      <c r="U15" s="80" t="s">
        <v>91</v>
      </c>
      <c r="V15" s="21">
        <v>4017.99</v>
      </c>
      <c r="W15" s="49">
        <v>0.81630000000000003</v>
      </c>
      <c r="X15" s="98">
        <f t="shared" si="5"/>
        <v>3279.885237</v>
      </c>
      <c r="Y15" s="57" t="s">
        <v>91</v>
      </c>
      <c r="Z15" s="21">
        <f>AA15/W15</f>
        <v>4435.8691657478867</v>
      </c>
      <c r="AA15" s="73">
        <v>3621</v>
      </c>
      <c r="AB15" s="94">
        <v>75351.92</v>
      </c>
      <c r="AC15" s="75">
        <v>0.34160000000000001</v>
      </c>
      <c r="AD15" s="62">
        <v>127558.42</v>
      </c>
      <c r="AE15" s="101">
        <f t="shared" si="6"/>
        <v>153298.63587200001</v>
      </c>
      <c r="AF15" s="21">
        <f t="shared" si="7"/>
        <v>35558.840749414543</v>
      </c>
      <c r="AG15" s="73">
        <v>139705.32</v>
      </c>
      <c r="AH15" s="6" t="s">
        <v>35</v>
      </c>
      <c r="AI15" s="6" t="s">
        <v>35</v>
      </c>
      <c r="AJ15" s="6" t="s">
        <v>35</v>
      </c>
      <c r="AK15" s="6" t="s">
        <v>35</v>
      </c>
      <c r="AL15" s="23">
        <v>7706</v>
      </c>
      <c r="AM15" s="89">
        <v>9280</v>
      </c>
      <c r="AP15"/>
    </row>
    <row r="16" spans="1:42" x14ac:dyDescent="0.25">
      <c r="A16" s="93" t="s">
        <v>92</v>
      </c>
      <c r="B16" s="3">
        <v>2</v>
      </c>
      <c r="C16" s="3">
        <v>2020</v>
      </c>
      <c r="D16" s="19">
        <f t="shared" si="1"/>
        <v>333978.15000000002</v>
      </c>
      <c r="E16" s="73">
        <v>0.2</v>
      </c>
      <c r="F16" s="73">
        <v>66795.63</v>
      </c>
      <c r="G16" s="20" t="s">
        <v>91</v>
      </c>
      <c r="H16" s="19">
        <f t="shared" si="2"/>
        <v>374300.65</v>
      </c>
      <c r="I16" s="74">
        <v>74860.13</v>
      </c>
      <c r="J16" s="79">
        <f t="shared" si="3"/>
        <v>2045</v>
      </c>
      <c r="K16" s="6">
        <v>7.84</v>
      </c>
      <c r="L16" s="83">
        <v>16032.8</v>
      </c>
      <c r="M16" s="6" t="s">
        <v>91</v>
      </c>
      <c r="N16" s="6" t="s">
        <v>91</v>
      </c>
      <c r="O16" s="19">
        <f t="shared" si="4"/>
        <v>2552.2780612244901</v>
      </c>
      <c r="P16" s="73">
        <v>20009.86</v>
      </c>
      <c r="Q16" s="80" t="s">
        <v>91</v>
      </c>
      <c r="R16" s="82" t="s">
        <v>91</v>
      </c>
      <c r="S16" s="79" t="s">
        <v>91</v>
      </c>
      <c r="T16" s="80" t="s">
        <v>91</v>
      </c>
      <c r="U16" s="80" t="s">
        <v>91</v>
      </c>
      <c r="V16" s="21">
        <v>7399.2</v>
      </c>
      <c r="W16" s="49">
        <v>0.81630000000000003</v>
      </c>
      <c r="X16" s="98">
        <f t="shared" si="5"/>
        <v>6039.9669599999997</v>
      </c>
      <c r="Y16" s="57" t="s">
        <v>91</v>
      </c>
      <c r="Z16" s="21">
        <f t="shared" ref="Z16:Z74" si="8">AA16/W16</f>
        <v>4685.7772877618518</v>
      </c>
      <c r="AA16" s="73">
        <v>3825</v>
      </c>
      <c r="AB16" s="94">
        <v>82624.31</v>
      </c>
      <c r="AC16" s="75">
        <v>0.34160000000000001</v>
      </c>
      <c r="AD16" s="62">
        <v>127558.42</v>
      </c>
      <c r="AE16" s="101">
        <f t="shared" si="6"/>
        <v>155782.884296</v>
      </c>
      <c r="AF16" s="21">
        <f t="shared" si="7"/>
        <v>125109.86533957849</v>
      </c>
      <c r="AG16" s="73">
        <v>170295.95</v>
      </c>
      <c r="AH16" s="6" t="s">
        <v>35</v>
      </c>
      <c r="AI16" s="6" t="s">
        <v>35</v>
      </c>
      <c r="AJ16" s="6" t="s">
        <v>35</v>
      </c>
      <c r="AK16" s="6" t="s">
        <v>35</v>
      </c>
      <c r="AL16" s="23">
        <v>7266</v>
      </c>
      <c r="AM16" s="89">
        <v>8157</v>
      </c>
      <c r="AP16"/>
    </row>
    <row r="17" spans="1:42" x14ac:dyDescent="0.25">
      <c r="A17" s="93" t="s">
        <v>92</v>
      </c>
      <c r="B17" s="3">
        <v>3</v>
      </c>
      <c r="C17" s="3">
        <v>2020</v>
      </c>
      <c r="D17" s="19">
        <f t="shared" si="1"/>
        <v>334896.60000000003</v>
      </c>
      <c r="E17" s="73">
        <v>0.2</v>
      </c>
      <c r="F17" s="73">
        <v>66979.320000000007</v>
      </c>
      <c r="G17" s="20" t="s">
        <v>91</v>
      </c>
      <c r="H17" s="19">
        <f t="shared" si="2"/>
        <v>400316.9</v>
      </c>
      <c r="I17" s="74">
        <v>80063.38</v>
      </c>
      <c r="J17" s="79">
        <f t="shared" si="3"/>
        <v>2183</v>
      </c>
      <c r="K17" s="6">
        <v>7.84</v>
      </c>
      <c r="L17" s="83">
        <v>17114.72</v>
      </c>
      <c r="M17" s="6" t="s">
        <v>91</v>
      </c>
      <c r="N17" s="6" t="s">
        <v>91</v>
      </c>
      <c r="O17" s="19">
        <f t="shared" si="4"/>
        <v>2851.216836734694</v>
      </c>
      <c r="P17" s="73">
        <v>22353.54</v>
      </c>
      <c r="Q17" s="80" t="s">
        <v>91</v>
      </c>
      <c r="R17" s="82" t="s">
        <v>91</v>
      </c>
      <c r="S17" s="79" t="s">
        <v>91</v>
      </c>
      <c r="T17" s="80" t="s">
        <v>91</v>
      </c>
      <c r="U17" s="80" t="s">
        <v>91</v>
      </c>
      <c r="V17" s="21">
        <v>10633.22</v>
      </c>
      <c r="W17" s="49">
        <v>0.81630000000000003</v>
      </c>
      <c r="X17" s="98">
        <f t="shared" si="5"/>
        <v>8679.8974859999998</v>
      </c>
      <c r="Y17" s="57" t="s">
        <v>91</v>
      </c>
      <c r="Z17" s="21">
        <f t="shared" si="8"/>
        <v>5151.2924170035521</v>
      </c>
      <c r="AA17" s="73">
        <v>4205</v>
      </c>
      <c r="AB17" s="94">
        <v>86838.03</v>
      </c>
      <c r="AC17" s="75">
        <v>0.34160000000000001</v>
      </c>
      <c r="AD17" s="62">
        <v>127558.42</v>
      </c>
      <c r="AE17" s="101">
        <f t="shared" si="6"/>
        <v>157222.29104799998</v>
      </c>
      <c r="AF17" s="21">
        <f t="shared" si="7"/>
        <v>198297.8922716628</v>
      </c>
      <c r="AG17" s="73">
        <v>195296.98</v>
      </c>
      <c r="AH17" s="6" t="s">
        <v>35</v>
      </c>
      <c r="AI17" s="6" t="s">
        <v>35</v>
      </c>
      <c r="AJ17" s="6" t="s">
        <v>35</v>
      </c>
      <c r="AK17" s="6" t="s">
        <v>35</v>
      </c>
      <c r="AL17" s="23">
        <v>6817</v>
      </c>
      <c r="AM17" s="89">
        <v>7910</v>
      </c>
      <c r="AP17"/>
    </row>
    <row r="18" spans="1:42" x14ac:dyDescent="0.25">
      <c r="A18" s="93" t="s">
        <v>92</v>
      </c>
      <c r="B18" s="3">
        <v>4</v>
      </c>
      <c r="C18" s="3">
        <v>2020</v>
      </c>
      <c r="D18" s="19">
        <f t="shared" si="1"/>
        <v>297043.34999999998</v>
      </c>
      <c r="E18" s="73">
        <v>0.2</v>
      </c>
      <c r="F18" s="73">
        <v>59408.67</v>
      </c>
      <c r="G18" s="20" t="s">
        <v>91</v>
      </c>
      <c r="H18" s="19">
        <f t="shared" si="2"/>
        <v>354134.55</v>
      </c>
      <c r="I18" s="74">
        <v>70826.91</v>
      </c>
      <c r="J18" s="79">
        <f t="shared" si="3"/>
        <v>2346</v>
      </c>
      <c r="K18" s="6">
        <v>7.84</v>
      </c>
      <c r="L18" s="83">
        <v>18392.64</v>
      </c>
      <c r="M18" s="6" t="s">
        <v>91</v>
      </c>
      <c r="N18" s="6" t="s">
        <v>91</v>
      </c>
      <c r="O18" s="19">
        <f t="shared" si="4"/>
        <v>2867.9987244897961</v>
      </c>
      <c r="P18" s="73">
        <v>22485.11</v>
      </c>
      <c r="Q18" s="80" t="s">
        <v>91</v>
      </c>
      <c r="R18" s="82" t="s">
        <v>91</v>
      </c>
      <c r="S18" s="79" t="s">
        <v>91</v>
      </c>
      <c r="T18" s="80" t="s">
        <v>91</v>
      </c>
      <c r="U18" s="80" t="s">
        <v>91</v>
      </c>
      <c r="V18" s="21">
        <v>2842.15</v>
      </c>
      <c r="W18" s="49">
        <v>0.81630000000000003</v>
      </c>
      <c r="X18" s="98">
        <f t="shared" si="5"/>
        <v>2320.0470450000003</v>
      </c>
      <c r="Y18" s="57" t="s">
        <v>91</v>
      </c>
      <c r="Z18" s="21">
        <f t="shared" si="8"/>
        <v>6036.9962023765775</v>
      </c>
      <c r="AA18" s="73">
        <v>4928</v>
      </c>
      <c r="AB18" s="94">
        <v>120323.2</v>
      </c>
      <c r="AC18" s="75">
        <v>0.34160000000000001</v>
      </c>
      <c r="AD18" s="62">
        <v>127558.42</v>
      </c>
      <c r="AE18" s="101">
        <f t="shared" si="6"/>
        <v>168660.82511999999</v>
      </c>
      <c r="AF18" s="21">
        <f t="shared" si="7"/>
        <v>167682.08430913347</v>
      </c>
      <c r="AG18" s="73">
        <v>184838.62</v>
      </c>
      <c r="AH18" s="6" t="s">
        <v>35</v>
      </c>
      <c r="AI18" s="6" t="s">
        <v>35</v>
      </c>
      <c r="AJ18" s="6" t="s">
        <v>35</v>
      </c>
      <c r="AK18" s="6" t="s">
        <v>35</v>
      </c>
      <c r="AL18" s="23">
        <v>7662</v>
      </c>
      <c r="AM18" s="89">
        <v>8951</v>
      </c>
      <c r="AP18"/>
    </row>
    <row r="19" spans="1:42" x14ac:dyDescent="0.25">
      <c r="A19" s="93" t="s">
        <v>92</v>
      </c>
      <c r="B19" s="3">
        <v>5</v>
      </c>
      <c r="C19" s="3">
        <v>2020</v>
      </c>
      <c r="D19" s="19">
        <f t="shared" si="1"/>
        <v>313043.69999999995</v>
      </c>
      <c r="E19" s="73">
        <v>0.2</v>
      </c>
      <c r="F19" s="73">
        <v>62608.739999999991</v>
      </c>
      <c r="G19" s="20" t="s">
        <v>91</v>
      </c>
      <c r="H19" s="19">
        <f t="shared" si="2"/>
        <v>360212.6</v>
      </c>
      <c r="I19" s="74">
        <v>72042.52</v>
      </c>
      <c r="J19" s="79">
        <f t="shared" si="3"/>
        <v>2688</v>
      </c>
      <c r="K19" s="6">
        <v>7.84</v>
      </c>
      <c r="L19" s="83">
        <v>21073.919999999998</v>
      </c>
      <c r="M19" s="6" t="s">
        <v>91</v>
      </c>
      <c r="N19" s="6" t="s">
        <v>91</v>
      </c>
      <c r="O19" s="19">
        <f t="shared" si="4"/>
        <v>2948.4897959183672</v>
      </c>
      <c r="P19" s="73">
        <v>23116.16</v>
      </c>
      <c r="Q19" s="80" t="s">
        <v>91</v>
      </c>
      <c r="R19" s="82" t="s">
        <v>91</v>
      </c>
      <c r="S19" s="79" t="s">
        <v>91</v>
      </c>
      <c r="T19" s="80" t="s">
        <v>91</v>
      </c>
      <c r="U19" s="80" t="s">
        <v>91</v>
      </c>
      <c r="V19" s="21">
        <v>1862.04</v>
      </c>
      <c r="W19" s="49">
        <v>0.81630000000000003</v>
      </c>
      <c r="X19" s="98">
        <f t="shared" si="5"/>
        <v>1519.983252</v>
      </c>
      <c r="Y19" s="57" t="s">
        <v>91</v>
      </c>
      <c r="Z19" s="21">
        <f t="shared" si="8"/>
        <v>7698.1501898811712</v>
      </c>
      <c r="AA19" s="73">
        <v>6284</v>
      </c>
      <c r="AB19" s="94">
        <v>169201.16</v>
      </c>
      <c r="AC19" s="75">
        <v>0.34160000000000001</v>
      </c>
      <c r="AD19" s="62">
        <v>127558.42</v>
      </c>
      <c r="AE19" s="101">
        <f t="shared" si="6"/>
        <v>185357.53625599999</v>
      </c>
      <c r="AF19" s="21">
        <f t="shared" si="7"/>
        <v>221915.86651053865</v>
      </c>
      <c r="AG19" s="73">
        <v>203364.88</v>
      </c>
      <c r="AH19" s="6" t="s">
        <v>35</v>
      </c>
      <c r="AI19" s="6" t="s">
        <v>35</v>
      </c>
      <c r="AJ19" s="6" t="s">
        <v>35</v>
      </c>
      <c r="AK19" s="6" t="s">
        <v>35</v>
      </c>
      <c r="AL19" s="23">
        <v>7787</v>
      </c>
      <c r="AM19" s="89">
        <v>9053</v>
      </c>
      <c r="AP19"/>
    </row>
    <row r="20" spans="1:42" x14ac:dyDescent="0.25">
      <c r="A20" s="93" t="s">
        <v>92</v>
      </c>
      <c r="B20" s="3">
        <v>6</v>
      </c>
      <c r="C20" s="3">
        <v>2020</v>
      </c>
      <c r="D20" s="19">
        <f t="shared" si="1"/>
        <v>320195.14999999997</v>
      </c>
      <c r="E20" s="73">
        <v>0.2</v>
      </c>
      <c r="F20" s="73">
        <v>64039.03</v>
      </c>
      <c r="G20" s="20" t="s">
        <v>91</v>
      </c>
      <c r="H20" s="19">
        <f t="shared" si="2"/>
        <v>362102.24999999994</v>
      </c>
      <c r="I20" s="74">
        <v>72420.45</v>
      </c>
      <c r="J20" s="79">
        <f t="shared" si="3"/>
        <v>2717</v>
      </c>
      <c r="K20" s="6">
        <v>7.84</v>
      </c>
      <c r="L20" s="83">
        <v>21301.279999999999</v>
      </c>
      <c r="M20" s="6" t="s">
        <v>91</v>
      </c>
      <c r="N20" s="6" t="s">
        <v>91</v>
      </c>
      <c r="O20" s="19">
        <f t="shared" si="4"/>
        <v>3012.7155612244896</v>
      </c>
      <c r="P20" s="73">
        <v>23619.69</v>
      </c>
      <c r="Q20" s="80" t="s">
        <v>91</v>
      </c>
      <c r="R20" s="82" t="s">
        <v>91</v>
      </c>
      <c r="S20" s="79" t="s">
        <v>91</v>
      </c>
      <c r="T20" s="80" t="s">
        <v>91</v>
      </c>
      <c r="U20" s="80" t="s">
        <v>91</v>
      </c>
      <c r="V20" s="21">
        <v>2548</v>
      </c>
      <c r="W20" s="49">
        <v>0.81630000000000003</v>
      </c>
      <c r="X20" s="98">
        <f t="shared" si="5"/>
        <v>2079.9324000000001</v>
      </c>
      <c r="Y20" s="57" t="s">
        <v>91</v>
      </c>
      <c r="Z20" s="21">
        <f t="shared" si="8"/>
        <v>4046.3065049614111</v>
      </c>
      <c r="AA20" s="73">
        <v>3303</v>
      </c>
      <c r="AB20" s="94">
        <v>277728.59999999998</v>
      </c>
      <c r="AC20" s="75">
        <v>0.34160000000000001</v>
      </c>
      <c r="AD20" s="62">
        <v>127558.42</v>
      </c>
      <c r="AE20" s="101">
        <f t="shared" si="6"/>
        <v>222430.50975999999</v>
      </c>
      <c r="AF20" s="21">
        <f t="shared" si="7"/>
        <v>336149.70725995314</v>
      </c>
      <c r="AG20" s="73">
        <v>242387.16</v>
      </c>
      <c r="AH20" s="6" t="s">
        <v>35</v>
      </c>
      <c r="AI20" s="6" t="s">
        <v>35</v>
      </c>
      <c r="AJ20" s="6" t="s">
        <v>35</v>
      </c>
      <c r="AK20" s="6" t="s">
        <v>35</v>
      </c>
      <c r="AL20" s="23">
        <v>7614</v>
      </c>
      <c r="AM20" s="89">
        <v>9214</v>
      </c>
      <c r="AP20"/>
    </row>
    <row r="21" spans="1:42" x14ac:dyDescent="0.25">
      <c r="A21" s="93" t="s">
        <v>92</v>
      </c>
      <c r="B21" s="3">
        <v>7</v>
      </c>
      <c r="C21" s="3">
        <v>2020</v>
      </c>
      <c r="D21" s="19">
        <f t="shared" si="1"/>
        <v>337109.85</v>
      </c>
      <c r="E21" s="73">
        <v>0.2</v>
      </c>
      <c r="F21" s="73">
        <v>67421.97</v>
      </c>
      <c r="G21" s="20" t="s">
        <v>91</v>
      </c>
      <c r="H21" s="19">
        <f t="shared" si="2"/>
        <v>402018.49999999994</v>
      </c>
      <c r="I21" s="74">
        <v>80403.7</v>
      </c>
      <c r="J21" s="79">
        <f t="shared" si="3"/>
        <v>2948</v>
      </c>
      <c r="K21" s="6">
        <v>7.84</v>
      </c>
      <c r="L21" s="83">
        <v>23112.32</v>
      </c>
      <c r="M21" s="6" t="s">
        <v>91</v>
      </c>
      <c r="N21" s="6" t="s">
        <v>91</v>
      </c>
      <c r="O21" s="19">
        <f t="shared" si="4"/>
        <v>2694.9094387755104</v>
      </c>
      <c r="P21" s="73">
        <v>21128.09</v>
      </c>
      <c r="Q21" s="80" t="s">
        <v>91</v>
      </c>
      <c r="R21" s="82" t="s">
        <v>91</v>
      </c>
      <c r="S21" s="79" t="s">
        <v>91</v>
      </c>
      <c r="T21" s="80" t="s">
        <v>91</v>
      </c>
      <c r="U21" s="80" t="s">
        <v>91</v>
      </c>
      <c r="V21" s="21">
        <v>2450</v>
      </c>
      <c r="W21" s="49">
        <v>0.81630000000000003</v>
      </c>
      <c r="X21" s="98">
        <v>-5999.85</v>
      </c>
      <c r="Y21" s="57" t="s">
        <v>91</v>
      </c>
      <c r="Z21" s="21">
        <f t="shared" si="8"/>
        <v>4753.1544775205193</v>
      </c>
      <c r="AA21" s="73">
        <v>3880</v>
      </c>
      <c r="AB21" s="94">
        <v>296416.75</v>
      </c>
      <c r="AC21" s="75">
        <v>0.34160000000000001</v>
      </c>
      <c r="AD21" s="62">
        <v>127558.42</v>
      </c>
      <c r="AE21" s="101">
        <f t="shared" si="6"/>
        <v>228814.3818</v>
      </c>
      <c r="AF21" s="21">
        <f t="shared" si="7"/>
        <v>334455.38641686185</v>
      </c>
      <c r="AG21" s="73">
        <v>241808.38</v>
      </c>
      <c r="AH21" s="6" t="s">
        <v>35</v>
      </c>
      <c r="AI21" s="6" t="s">
        <v>35</v>
      </c>
      <c r="AJ21" s="6" t="s">
        <v>35</v>
      </c>
      <c r="AK21" s="6" t="s">
        <v>35</v>
      </c>
      <c r="AL21" s="23">
        <v>7602</v>
      </c>
      <c r="AM21" s="89">
        <v>9709</v>
      </c>
      <c r="AP21"/>
    </row>
    <row r="22" spans="1:42" x14ac:dyDescent="0.25">
      <c r="A22" s="93" t="s">
        <v>92</v>
      </c>
      <c r="B22" s="3">
        <v>8</v>
      </c>
      <c r="C22" s="3">
        <v>2020</v>
      </c>
      <c r="D22" s="19">
        <f t="shared" si="1"/>
        <v>343737.85000000003</v>
      </c>
      <c r="E22" s="73">
        <v>0.2</v>
      </c>
      <c r="F22" s="73">
        <v>68747.570000000007</v>
      </c>
      <c r="G22" s="20" t="s">
        <v>91</v>
      </c>
      <c r="H22" s="19">
        <f t="shared" si="2"/>
        <v>367773.89999999997</v>
      </c>
      <c r="I22" s="74">
        <v>73554.78</v>
      </c>
      <c r="J22" s="79">
        <f t="shared" si="3"/>
        <v>2982</v>
      </c>
      <c r="K22" s="6">
        <v>7.84</v>
      </c>
      <c r="L22" s="83">
        <v>23378.880000000001</v>
      </c>
      <c r="M22" s="6" t="s">
        <v>91</v>
      </c>
      <c r="N22" s="6" t="s">
        <v>91</v>
      </c>
      <c r="O22" s="19">
        <f t="shared" si="4"/>
        <v>2558.575255102041</v>
      </c>
      <c r="P22" s="73">
        <v>20059.23</v>
      </c>
      <c r="Q22" s="80" t="s">
        <v>91</v>
      </c>
      <c r="R22" s="82" t="s">
        <v>91</v>
      </c>
      <c r="S22" s="79" t="s">
        <v>91</v>
      </c>
      <c r="T22" s="80" t="s">
        <v>91</v>
      </c>
      <c r="U22" s="80" t="s">
        <v>91</v>
      </c>
      <c r="V22" s="21">
        <v>3038</v>
      </c>
      <c r="W22" s="49">
        <v>0.81630000000000003</v>
      </c>
      <c r="X22" s="98">
        <f t="shared" si="5"/>
        <v>2479.9194000000002</v>
      </c>
      <c r="Y22" s="57" t="s">
        <v>91</v>
      </c>
      <c r="Z22" s="21">
        <f t="shared" si="8"/>
        <v>4972.4366041896365</v>
      </c>
      <c r="AA22" s="73">
        <v>4059</v>
      </c>
      <c r="AB22" s="94">
        <v>309171.17</v>
      </c>
      <c r="AC22" s="75">
        <v>0.3422</v>
      </c>
      <c r="AD22" s="62">
        <v>132660.72</v>
      </c>
      <c r="AE22" s="101">
        <f t="shared" si="6"/>
        <v>238459.09437399998</v>
      </c>
      <c r="AF22" s="21">
        <f t="shared" si="7"/>
        <v>327015.31268264167</v>
      </c>
      <c r="AG22" s="73">
        <v>244565.36</v>
      </c>
      <c r="AH22" s="6" t="s">
        <v>35</v>
      </c>
      <c r="AI22" s="6" t="s">
        <v>35</v>
      </c>
      <c r="AJ22" s="6" t="s">
        <v>35</v>
      </c>
      <c r="AK22" s="6" t="s">
        <v>35</v>
      </c>
      <c r="AL22" s="23">
        <v>7322</v>
      </c>
      <c r="AM22" s="89">
        <v>9383</v>
      </c>
      <c r="AP22"/>
    </row>
    <row r="23" spans="1:42" x14ac:dyDescent="0.25">
      <c r="A23" s="93" t="s">
        <v>92</v>
      </c>
      <c r="B23" s="3">
        <v>9</v>
      </c>
      <c r="C23" s="3">
        <v>2020</v>
      </c>
      <c r="D23" s="19">
        <f t="shared" si="1"/>
        <v>343803.49999999994</v>
      </c>
      <c r="E23" s="73">
        <v>0.2</v>
      </c>
      <c r="F23" s="73">
        <v>68760.7</v>
      </c>
      <c r="G23" s="20" t="s">
        <v>91</v>
      </c>
      <c r="H23" s="19">
        <f t="shared" si="2"/>
        <v>382210.3</v>
      </c>
      <c r="I23" s="74">
        <v>76442.06</v>
      </c>
      <c r="J23" s="79">
        <f t="shared" si="3"/>
        <v>3121</v>
      </c>
      <c r="K23" s="6">
        <v>7.84</v>
      </c>
      <c r="L23" s="83">
        <v>24468.639999999999</v>
      </c>
      <c r="M23" s="6" t="s">
        <v>91</v>
      </c>
      <c r="N23" s="6" t="s">
        <v>91</v>
      </c>
      <c r="O23" s="19">
        <f t="shared" si="4"/>
        <v>2766.6505102040819</v>
      </c>
      <c r="P23" s="73">
        <v>21690.54</v>
      </c>
      <c r="Q23" s="80" t="s">
        <v>91</v>
      </c>
      <c r="R23" s="82" t="s">
        <v>91</v>
      </c>
      <c r="S23" s="79" t="s">
        <v>91</v>
      </c>
      <c r="T23" s="80" t="s">
        <v>91</v>
      </c>
      <c r="U23" s="80" t="s">
        <v>91</v>
      </c>
      <c r="V23" s="21">
        <v>2704.91</v>
      </c>
      <c r="W23" s="49">
        <v>0.81630000000000003</v>
      </c>
      <c r="X23" s="98">
        <f t="shared" si="5"/>
        <v>2208.0180329999998</v>
      </c>
      <c r="Y23" s="57" t="s">
        <v>91</v>
      </c>
      <c r="Z23" s="21">
        <f t="shared" si="8"/>
        <v>4838.9072644860953</v>
      </c>
      <c r="AA23" s="73">
        <v>3950</v>
      </c>
      <c r="AB23" s="94">
        <v>227170.05</v>
      </c>
      <c r="AC23" s="75">
        <v>0.3422</v>
      </c>
      <c r="AD23" s="62">
        <v>132660.72</v>
      </c>
      <c r="AE23" s="101">
        <f t="shared" si="6"/>
        <v>210398.31111000001</v>
      </c>
      <c r="AF23" s="21">
        <f t="shared" si="7"/>
        <v>275246.81472822907</v>
      </c>
      <c r="AG23" s="73">
        <v>226850.18</v>
      </c>
      <c r="AH23" s="6" t="s">
        <v>35</v>
      </c>
      <c r="AI23" s="6" t="s">
        <v>35</v>
      </c>
      <c r="AJ23" s="6" t="s">
        <v>35</v>
      </c>
      <c r="AK23" s="6" t="s">
        <v>35</v>
      </c>
      <c r="AL23" s="23">
        <v>7333</v>
      </c>
      <c r="AM23" s="89">
        <v>9135</v>
      </c>
      <c r="AP23"/>
    </row>
    <row r="24" spans="1:42" x14ac:dyDescent="0.25">
      <c r="A24" s="93" t="s">
        <v>92</v>
      </c>
      <c r="B24" s="3">
        <v>10</v>
      </c>
      <c r="C24" s="3">
        <v>2020</v>
      </c>
      <c r="D24" s="19">
        <f t="shared" si="1"/>
        <v>378124.89999999997</v>
      </c>
      <c r="E24" s="73">
        <v>0.2</v>
      </c>
      <c r="F24" s="73">
        <v>75624.98</v>
      </c>
      <c r="G24" s="20" t="s">
        <v>91</v>
      </c>
      <c r="H24" s="19">
        <f t="shared" si="2"/>
        <v>371233.35</v>
      </c>
      <c r="I24" s="74">
        <v>74246.67</v>
      </c>
      <c r="J24" s="79">
        <f t="shared" si="3"/>
        <v>3031</v>
      </c>
      <c r="K24" s="6">
        <v>7.84</v>
      </c>
      <c r="L24" s="83">
        <v>23763.040000000001</v>
      </c>
      <c r="M24" s="6" t="s">
        <v>91</v>
      </c>
      <c r="N24" s="6" t="s">
        <v>91</v>
      </c>
      <c r="O24" s="19">
        <f t="shared" si="4"/>
        <v>2516.2410714285716</v>
      </c>
      <c r="P24" s="73">
        <v>19727.330000000002</v>
      </c>
      <c r="Q24" s="80" t="s">
        <v>91</v>
      </c>
      <c r="R24" s="82" t="s">
        <v>91</v>
      </c>
      <c r="S24" s="79" t="s">
        <v>91</v>
      </c>
      <c r="T24" s="80" t="s">
        <v>91</v>
      </c>
      <c r="U24" s="80" t="s">
        <v>91</v>
      </c>
      <c r="V24" s="21">
        <v>1945.35</v>
      </c>
      <c r="W24" s="49">
        <v>0.81630000000000003</v>
      </c>
      <c r="X24" s="98">
        <f t="shared" si="5"/>
        <v>1587.9892050000001</v>
      </c>
      <c r="Y24" s="57" t="s">
        <v>91</v>
      </c>
      <c r="Z24" s="21">
        <f t="shared" si="8"/>
        <v>5237.045203969129</v>
      </c>
      <c r="AA24" s="73">
        <v>4275</v>
      </c>
      <c r="AB24" s="94">
        <v>201393</v>
      </c>
      <c r="AC24" s="75">
        <v>0.3422</v>
      </c>
      <c r="AD24" s="62">
        <v>132660.72</v>
      </c>
      <c r="AE24" s="101">
        <f t="shared" si="6"/>
        <v>201577.40460000001</v>
      </c>
      <c r="AF24" s="21">
        <f t="shared" si="7"/>
        <v>270532.84628872003</v>
      </c>
      <c r="AG24" s="73">
        <v>225237.06</v>
      </c>
      <c r="AH24" s="6" t="s">
        <v>35</v>
      </c>
      <c r="AI24" s="6" t="s">
        <v>35</v>
      </c>
      <c r="AJ24" s="6" t="s">
        <v>35</v>
      </c>
      <c r="AK24" s="6" t="s">
        <v>35</v>
      </c>
      <c r="AL24" s="23">
        <v>7818</v>
      </c>
      <c r="AM24" s="89">
        <v>10265</v>
      </c>
      <c r="AP24"/>
    </row>
    <row r="25" spans="1:42" x14ac:dyDescent="0.25">
      <c r="A25" s="93" t="s">
        <v>92</v>
      </c>
      <c r="B25" s="3">
        <v>11</v>
      </c>
      <c r="C25" s="3">
        <v>2020</v>
      </c>
      <c r="D25" s="19">
        <f t="shared" si="1"/>
        <v>365831.60000000003</v>
      </c>
      <c r="E25" s="73">
        <v>0.2</v>
      </c>
      <c r="F25" s="73">
        <v>73166.320000000007</v>
      </c>
      <c r="G25" s="20" t="s">
        <v>91</v>
      </c>
      <c r="H25" s="19">
        <f t="shared" si="2"/>
        <v>373405.1</v>
      </c>
      <c r="I25" s="74">
        <v>74681.02</v>
      </c>
      <c r="J25" s="79">
        <f t="shared" si="3"/>
        <v>2823</v>
      </c>
      <c r="K25" s="6">
        <v>7.84</v>
      </c>
      <c r="L25" s="83">
        <v>22132.32</v>
      </c>
      <c r="M25" s="6" t="s">
        <v>91</v>
      </c>
      <c r="N25" s="6" t="s">
        <v>91</v>
      </c>
      <c r="O25" s="19">
        <f t="shared" si="4"/>
        <v>2684.6989795918371</v>
      </c>
      <c r="P25" s="73">
        <v>21048.04</v>
      </c>
      <c r="Q25" s="80" t="s">
        <v>91</v>
      </c>
      <c r="R25" s="82" t="s">
        <v>91</v>
      </c>
      <c r="S25" s="79" t="s">
        <v>91</v>
      </c>
      <c r="T25" s="80" t="s">
        <v>91</v>
      </c>
      <c r="U25" s="80" t="s">
        <v>91</v>
      </c>
      <c r="V25" s="21">
        <v>2670.58</v>
      </c>
      <c r="W25" s="49">
        <v>0.81630000000000003</v>
      </c>
      <c r="X25" s="98">
        <f t="shared" si="5"/>
        <v>2179.9944540000001</v>
      </c>
      <c r="Y25" s="57" t="s">
        <v>91</v>
      </c>
      <c r="Z25" s="21">
        <f t="shared" si="8"/>
        <v>6002.6950875903467</v>
      </c>
      <c r="AA25" s="73">
        <v>4900</v>
      </c>
      <c r="AB25" s="94">
        <v>165501.1</v>
      </c>
      <c r="AC25" s="75">
        <v>0.3422</v>
      </c>
      <c r="AD25" s="62">
        <v>132660.72</v>
      </c>
      <c r="AE25" s="101">
        <f t="shared" si="6"/>
        <v>189295.19641999999</v>
      </c>
      <c r="AF25" s="21">
        <f t="shared" si="7"/>
        <v>277826.65108123905</v>
      </c>
      <c r="AG25" s="73">
        <v>227733</v>
      </c>
      <c r="AH25" s="6" t="s">
        <v>35</v>
      </c>
      <c r="AI25" s="6" t="s">
        <v>35</v>
      </c>
      <c r="AJ25" s="6" t="s">
        <v>35</v>
      </c>
      <c r="AK25" s="6" t="s">
        <v>35</v>
      </c>
      <c r="AL25" s="23">
        <v>7277</v>
      </c>
      <c r="AM25" s="89">
        <v>9532</v>
      </c>
      <c r="AP25"/>
    </row>
    <row r="26" spans="1:42" x14ac:dyDescent="0.25">
      <c r="A26" s="93" t="s">
        <v>92</v>
      </c>
      <c r="B26" s="3">
        <v>12</v>
      </c>
      <c r="C26" s="3">
        <v>2020</v>
      </c>
      <c r="D26" s="19">
        <f t="shared" si="1"/>
        <v>349242.24999999994</v>
      </c>
      <c r="E26" s="73">
        <v>0.2</v>
      </c>
      <c r="F26" s="73">
        <v>69848.45</v>
      </c>
      <c r="G26" s="20" t="s">
        <v>91</v>
      </c>
      <c r="H26" s="19">
        <f t="shared" si="2"/>
        <v>417256.9</v>
      </c>
      <c r="I26" s="74">
        <v>83451.38</v>
      </c>
      <c r="J26" s="79">
        <f t="shared" si="3"/>
        <v>2447</v>
      </c>
      <c r="K26" s="6">
        <v>7.84</v>
      </c>
      <c r="L26" s="83">
        <v>19184.48</v>
      </c>
      <c r="M26" s="6" t="s">
        <v>91</v>
      </c>
      <c r="N26" s="6" t="s">
        <v>91</v>
      </c>
      <c r="O26" s="19">
        <f t="shared" si="4"/>
        <v>2897.0471938775509</v>
      </c>
      <c r="P26" s="73">
        <v>22712.85</v>
      </c>
      <c r="Q26" s="80" t="s">
        <v>91</v>
      </c>
      <c r="R26" s="82" t="s">
        <v>91</v>
      </c>
      <c r="S26" s="79" t="s">
        <v>91</v>
      </c>
      <c r="T26" s="80" t="s">
        <v>91</v>
      </c>
      <c r="U26" s="80" t="s">
        <v>91</v>
      </c>
      <c r="V26" s="21">
        <v>4405.1499999999996</v>
      </c>
      <c r="W26" s="49">
        <v>0.81630000000000003</v>
      </c>
      <c r="X26" s="98">
        <f t="shared" si="5"/>
        <v>3595.923945</v>
      </c>
      <c r="Y26" s="57" t="s">
        <v>91</v>
      </c>
      <c r="Z26" s="21">
        <f t="shared" si="8"/>
        <v>6002.6950875903467</v>
      </c>
      <c r="AA26" s="73">
        <v>4900</v>
      </c>
      <c r="AB26" s="94">
        <v>107097.85</v>
      </c>
      <c r="AC26" s="75">
        <v>0.3422</v>
      </c>
      <c r="AD26" s="62">
        <v>132660.72</v>
      </c>
      <c r="AE26" s="101">
        <f t="shared" si="6"/>
        <v>169309.60427000001</v>
      </c>
      <c r="AF26" s="21">
        <f t="shared" si="7"/>
        <v>201567.15371127994</v>
      </c>
      <c r="AG26" s="73">
        <v>201637</v>
      </c>
      <c r="AH26" s="6" t="s">
        <v>35</v>
      </c>
      <c r="AI26" s="6" t="s">
        <v>35</v>
      </c>
      <c r="AJ26" s="6" t="s">
        <v>35</v>
      </c>
      <c r="AK26" s="6" t="s">
        <v>35</v>
      </c>
      <c r="AL26" s="23">
        <v>7078</v>
      </c>
      <c r="AM26" s="89">
        <v>9112</v>
      </c>
      <c r="AP26"/>
    </row>
    <row r="27" spans="1:42" x14ac:dyDescent="0.25">
      <c r="A27" s="93" t="s">
        <v>92</v>
      </c>
      <c r="B27" s="3">
        <v>1</v>
      </c>
      <c r="C27" s="3">
        <v>2021</v>
      </c>
      <c r="D27" s="19">
        <f t="shared" si="1"/>
        <v>386062.39999999997</v>
      </c>
      <c r="E27" s="73">
        <v>0.2</v>
      </c>
      <c r="F27" s="73">
        <v>77212.479999999996</v>
      </c>
      <c r="G27" s="20" t="s">
        <v>91</v>
      </c>
      <c r="H27" s="19">
        <f t="shared" si="2"/>
        <v>364585</v>
      </c>
      <c r="I27" s="74">
        <v>72917</v>
      </c>
      <c r="J27" s="79">
        <f t="shared" si="3"/>
        <v>2607</v>
      </c>
      <c r="K27" s="6">
        <v>7.84</v>
      </c>
      <c r="L27" s="83">
        <v>20438.88</v>
      </c>
      <c r="M27" s="6" t="s">
        <v>91</v>
      </c>
      <c r="N27" s="6" t="s">
        <v>91</v>
      </c>
      <c r="O27" s="19">
        <f t="shared" si="4"/>
        <v>2121.8112244897961</v>
      </c>
      <c r="P27" s="73">
        <v>16635</v>
      </c>
      <c r="Q27" s="80" t="s">
        <v>91</v>
      </c>
      <c r="R27" s="82" t="s">
        <v>91</v>
      </c>
      <c r="S27" s="79" t="s">
        <v>91</v>
      </c>
      <c r="T27" s="80" t="s">
        <v>91</v>
      </c>
      <c r="U27" s="80" t="s">
        <v>91</v>
      </c>
      <c r="V27" s="21">
        <v>5275.75</v>
      </c>
      <c r="W27" s="49">
        <v>0.81630000000000003</v>
      </c>
      <c r="X27" s="98">
        <f t="shared" si="5"/>
        <v>4306.5947249999999</v>
      </c>
      <c r="Y27" s="57" t="s">
        <v>91</v>
      </c>
      <c r="Z27" s="21">
        <f t="shared" si="8"/>
        <v>5477.1530074727425</v>
      </c>
      <c r="AA27" s="73">
        <v>4471</v>
      </c>
      <c r="AB27" s="94">
        <v>72225.5</v>
      </c>
      <c r="AC27" s="75">
        <v>0.3422</v>
      </c>
      <c r="AD27" s="62">
        <v>132660.72</v>
      </c>
      <c r="AE27" s="101">
        <f t="shared" si="6"/>
        <v>157376.2861</v>
      </c>
      <c r="AF27" s="21">
        <f t="shared" si="7"/>
        <v>45699.240210403266</v>
      </c>
      <c r="AG27" s="73">
        <v>148299</v>
      </c>
      <c r="AH27" s="6" t="s">
        <v>35</v>
      </c>
      <c r="AI27" s="6" t="s">
        <v>35</v>
      </c>
      <c r="AJ27" s="6" t="s">
        <v>35</v>
      </c>
      <c r="AK27" s="6" t="s">
        <v>35</v>
      </c>
      <c r="AL27" s="23">
        <v>6869</v>
      </c>
      <c r="AM27" s="89">
        <v>8278</v>
      </c>
      <c r="AP27"/>
    </row>
    <row r="28" spans="1:42" x14ac:dyDescent="0.25">
      <c r="A28" s="93" t="s">
        <v>92</v>
      </c>
      <c r="B28" s="3">
        <v>2</v>
      </c>
      <c r="C28" s="3">
        <v>2021</v>
      </c>
      <c r="D28" s="19">
        <f t="shared" si="1"/>
        <v>356560.69999999995</v>
      </c>
      <c r="E28" s="73">
        <v>0.2</v>
      </c>
      <c r="F28" s="73">
        <v>71312.14</v>
      </c>
      <c r="G28" s="20" t="s">
        <v>91</v>
      </c>
      <c r="H28" s="19">
        <f t="shared" si="2"/>
        <v>320150</v>
      </c>
      <c r="I28" s="74">
        <v>64030</v>
      </c>
      <c r="J28" s="79">
        <f t="shared" si="3"/>
        <v>1975</v>
      </c>
      <c r="K28" s="6">
        <v>7.84</v>
      </c>
      <c r="L28" s="83">
        <v>15484</v>
      </c>
      <c r="M28" s="6" t="s">
        <v>91</v>
      </c>
      <c r="N28" s="6" t="s">
        <v>91</v>
      </c>
      <c r="O28" s="19">
        <f t="shared" si="4"/>
        <v>1968.1122448979593</v>
      </c>
      <c r="P28" s="73">
        <v>15430</v>
      </c>
      <c r="Q28" s="80" t="s">
        <v>91</v>
      </c>
      <c r="R28" s="82" t="s">
        <v>91</v>
      </c>
      <c r="S28" s="79" t="s">
        <v>91</v>
      </c>
      <c r="T28" s="80" t="s">
        <v>91</v>
      </c>
      <c r="U28" s="80" t="s">
        <v>91</v>
      </c>
      <c r="V28" s="21">
        <v>3689.86</v>
      </c>
      <c r="W28" s="49">
        <v>0.81630000000000003</v>
      </c>
      <c r="X28" s="98">
        <f t="shared" si="5"/>
        <v>3012.0327180000004</v>
      </c>
      <c r="Y28" s="57" t="s">
        <v>91</v>
      </c>
      <c r="Z28" s="21">
        <f t="shared" si="8"/>
        <v>5976.9692515006736</v>
      </c>
      <c r="AA28" s="73">
        <v>4879</v>
      </c>
      <c r="AB28" s="94">
        <v>85702.41</v>
      </c>
      <c r="AC28" s="75">
        <v>0.3422</v>
      </c>
      <c r="AD28" s="62">
        <v>132660.72</v>
      </c>
      <c r="AE28" s="101">
        <f t="shared" si="6"/>
        <v>161988.08470199999</v>
      </c>
      <c r="AF28" s="21">
        <f t="shared" si="7"/>
        <v>34653.068381063698</v>
      </c>
      <c r="AG28" s="73">
        <v>144519</v>
      </c>
      <c r="AH28" s="6" t="s">
        <v>35</v>
      </c>
      <c r="AI28" s="6" t="s">
        <v>35</v>
      </c>
      <c r="AJ28" s="6" t="s">
        <v>35</v>
      </c>
      <c r="AK28" s="6" t="s">
        <v>35</v>
      </c>
      <c r="AL28" s="23">
        <v>6842</v>
      </c>
      <c r="AM28" s="89">
        <v>8292</v>
      </c>
      <c r="AP28"/>
    </row>
    <row r="29" spans="1:42" x14ac:dyDescent="0.25">
      <c r="A29" s="93" t="s">
        <v>92</v>
      </c>
      <c r="B29" s="3">
        <v>3</v>
      </c>
      <c r="C29" s="3">
        <v>2021</v>
      </c>
      <c r="D29" s="19">
        <f t="shared" si="1"/>
        <v>385841.75</v>
      </c>
      <c r="E29" s="73">
        <v>0.2</v>
      </c>
      <c r="F29" s="73">
        <v>77168.350000000006</v>
      </c>
      <c r="G29" s="20" t="s">
        <v>91</v>
      </c>
      <c r="H29" s="19">
        <f t="shared" si="2"/>
        <v>344725</v>
      </c>
      <c r="I29" s="74">
        <v>68945</v>
      </c>
      <c r="J29" s="79">
        <f t="shared" si="3"/>
        <v>1931</v>
      </c>
      <c r="K29" s="6">
        <v>7.84</v>
      </c>
      <c r="L29" s="83">
        <v>15139.039999999999</v>
      </c>
      <c r="M29" s="6" t="s">
        <v>91</v>
      </c>
      <c r="N29" s="6" t="s">
        <v>91</v>
      </c>
      <c r="O29" s="19">
        <f t="shared" si="4"/>
        <v>2384.4387755102043</v>
      </c>
      <c r="P29" s="73">
        <v>18694</v>
      </c>
      <c r="Q29" s="80" t="s">
        <v>91</v>
      </c>
      <c r="R29" s="82" t="s">
        <v>91</v>
      </c>
      <c r="S29" s="79" t="s">
        <v>91</v>
      </c>
      <c r="T29" s="80" t="s">
        <v>91</v>
      </c>
      <c r="U29" s="80" t="s">
        <v>91</v>
      </c>
      <c r="V29" s="21">
        <v>3878.14</v>
      </c>
      <c r="W29" s="49">
        <v>0.85709999999999997</v>
      </c>
      <c r="X29" s="98">
        <f t="shared" si="5"/>
        <v>3323.9537939999996</v>
      </c>
      <c r="Y29" s="57" t="s">
        <v>91</v>
      </c>
      <c r="Z29" s="21">
        <f t="shared" si="8"/>
        <v>5802.1234395053089</v>
      </c>
      <c r="AA29" s="73">
        <v>4973</v>
      </c>
      <c r="AB29" s="94">
        <v>122908.16</v>
      </c>
      <c r="AC29" s="75">
        <v>0.3422</v>
      </c>
      <c r="AD29" s="62">
        <v>132660.72</v>
      </c>
      <c r="AE29" s="101">
        <f t="shared" si="6"/>
        <v>174719.892352</v>
      </c>
      <c r="AF29" s="21">
        <f t="shared" si="7"/>
        <v>69354.997077732318</v>
      </c>
      <c r="AG29" s="73">
        <v>156394</v>
      </c>
      <c r="AH29" s="6" t="s">
        <v>35</v>
      </c>
      <c r="AI29" s="6" t="s">
        <v>35</v>
      </c>
      <c r="AJ29" s="6" t="s">
        <v>35</v>
      </c>
      <c r="AK29" s="6" t="s">
        <v>35</v>
      </c>
      <c r="AL29" s="23">
        <v>7299</v>
      </c>
      <c r="AM29" s="89">
        <v>8968</v>
      </c>
      <c r="AP29"/>
    </row>
    <row r="30" spans="1:42" x14ac:dyDescent="0.25">
      <c r="A30" s="93" t="s">
        <v>92</v>
      </c>
      <c r="B30" s="3">
        <v>4</v>
      </c>
      <c r="C30" s="3">
        <v>2021</v>
      </c>
      <c r="D30" s="19">
        <f t="shared" si="1"/>
        <v>333065.8</v>
      </c>
      <c r="E30" s="73">
        <v>0.2</v>
      </c>
      <c r="F30" s="73">
        <v>66613.16</v>
      </c>
      <c r="G30" s="20" t="s">
        <v>91</v>
      </c>
      <c r="H30" s="19">
        <f t="shared" si="2"/>
        <v>312230</v>
      </c>
      <c r="I30" s="74">
        <v>62446</v>
      </c>
      <c r="J30" s="79">
        <f t="shared" si="3"/>
        <v>1746</v>
      </c>
      <c r="K30" s="6">
        <v>7.84</v>
      </c>
      <c r="L30" s="83">
        <v>13688.64</v>
      </c>
      <c r="M30" s="6" t="s">
        <v>91</v>
      </c>
      <c r="N30" s="6" t="s">
        <v>91</v>
      </c>
      <c r="O30" s="19">
        <f t="shared" si="4"/>
        <v>2222.0663265306121</v>
      </c>
      <c r="P30" s="73">
        <v>17421</v>
      </c>
      <c r="Q30" s="80" t="s">
        <v>91</v>
      </c>
      <c r="R30" s="82" t="s">
        <v>91</v>
      </c>
      <c r="S30" s="79" t="s">
        <v>91</v>
      </c>
      <c r="T30" s="80" t="s">
        <v>91</v>
      </c>
      <c r="U30" s="80" t="s">
        <v>91</v>
      </c>
      <c r="V30" s="21">
        <v>3528.21</v>
      </c>
      <c r="W30" s="49">
        <v>0.85709999999999997</v>
      </c>
      <c r="X30" s="98">
        <f t="shared" si="5"/>
        <v>3024.0287909999997</v>
      </c>
      <c r="Y30" s="57" t="s">
        <v>91</v>
      </c>
      <c r="Z30" s="21">
        <f t="shared" si="8"/>
        <v>4864.0765371601919</v>
      </c>
      <c r="AA30" s="73">
        <v>4169</v>
      </c>
      <c r="AB30" s="94">
        <v>128390.24</v>
      </c>
      <c r="AC30" s="75">
        <v>0.3422</v>
      </c>
      <c r="AD30" s="62">
        <v>132660.72</v>
      </c>
      <c r="AE30" s="101">
        <f t="shared" si="6"/>
        <v>176595.860128</v>
      </c>
      <c r="AF30" s="21">
        <f t="shared" si="7"/>
        <v>102981.53126826417</v>
      </c>
      <c r="AG30" s="73">
        <v>167901</v>
      </c>
      <c r="AH30" s="6" t="s">
        <v>35</v>
      </c>
      <c r="AI30" s="6" t="s">
        <v>35</v>
      </c>
      <c r="AJ30" s="6" t="s">
        <v>35</v>
      </c>
      <c r="AK30" s="6" t="s">
        <v>35</v>
      </c>
      <c r="AL30" s="23">
        <v>6734</v>
      </c>
      <c r="AM30" s="89">
        <v>8269</v>
      </c>
      <c r="AP30"/>
    </row>
    <row r="31" spans="1:42" x14ac:dyDescent="0.25">
      <c r="A31" s="93" t="s">
        <v>92</v>
      </c>
      <c r="B31" s="3">
        <v>5</v>
      </c>
      <c r="C31" s="3">
        <v>2021</v>
      </c>
      <c r="D31" s="19">
        <f t="shared" si="1"/>
        <v>337244.8</v>
      </c>
      <c r="E31" s="73">
        <v>0.2</v>
      </c>
      <c r="F31" s="73">
        <v>67448.960000000006</v>
      </c>
      <c r="G31" s="20" t="s">
        <v>91</v>
      </c>
      <c r="H31" s="19">
        <f t="shared" si="2"/>
        <v>314005</v>
      </c>
      <c r="I31" s="74">
        <v>62801</v>
      </c>
      <c r="J31" s="79">
        <f t="shared" si="3"/>
        <v>1777</v>
      </c>
      <c r="K31" s="6">
        <v>7.84</v>
      </c>
      <c r="L31" s="83">
        <v>13931.68</v>
      </c>
      <c r="M31" s="6" t="s">
        <v>91</v>
      </c>
      <c r="N31" s="6" t="s">
        <v>91</v>
      </c>
      <c r="O31" s="19">
        <f t="shared" si="4"/>
        <v>2364.9234693877552</v>
      </c>
      <c r="P31" s="73">
        <v>18541</v>
      </c>
      <c r="Q31" s="80" t="s">
        <v>91</v>
      </c>
      <c r="R31" s="82" t="s">
        <v>91</v>
      </c>
      <c r="S31" s="79" t="s">
        <v>91</v>
      </c>
      <c r="T31" s="80" t="s">
        <v>91</v>
      </c>
      <c r="U31" s="80" t="s">
        <v>91</v>
      </c>
      <c r="V31" s="21">
        <v>1666.09</v>
      </c>
      <c r="W31" s="49">
        <v>0.85709999999999997</v>
      </c>
      <c r="X31" s="98">
        <f t="shared" si="5"/>
        <v>1428.0057389999999</v>
      </c>
      <c r="Y31" s="57" t="s">
        <v>91</v>
      </c>
      <c r="Z31" s="21">
        <f t="shared" si="8"/>
        <v>4739.2369618480925</v>
      </c>
      <c r="AA31" s="73">
        <v>4062</v>
      </c>
      <c r="AB31" s="94">
        <v>216949.98</v>
      </c>
      <c r="AC31" s="75">
        <v>0.3422</v>
      </c>
      <c r="AD31" s="62">
        <v>132660.72</v>
      </c>
      <c r="AE31" s="101">
        <f t="shared" si="6"/>
        <v>206901.00315599999</v>
      </c>
      <c r="AF31" s="21">
        <f t="shared" si="7"/>
        <v>154857.62711864407</v>
      </c>
      <c r="AG31" s="73">
        <v>185653</v>
      </c>
      <c r="AH31" s="6" t="s">
        <v>35</v>
      </c>
      <c r="AI31" s="6" t="s">
        <v>35</v>
      </c>
      <c r="AJ31" s="6" t="s">
        <v>35</v>
      </c>
      <c r="AK31" s="6" t="s">
        <v>35</v>
      </c>
      <c r="AL31" s="23">
        <v>7101</v>
      </c>
      <c r="AM31" s="89">
        <v>8926</v>
      </c>
      <c r="AP31"/>
    </row>
    <row r="32" spans="1:42" x14ac:dyDescent="0.25">
      <c r="A32" s="93" t="s">
        <v>92</v>
      </c>
      <c r="B32" s="3">
        <v>6</v>
      </c>
      <c r="C32" s="3">
        <v>2021</v>
      </c>
      <c r="D32" s="19">
        <f t="shared" si="1"/>
        <v>360620.5</v>
      </c>
      <c r="E32" s="73">
        <v>0.2</v>
      </c>
      <c r="F32" s="73">
        <v>72124.100000000006</v>
      </c>
      <c r="G32" s="20" t="s">
        <v>91</v>
      </c>
      <c r="H32" s="19">
        <f t="shared" si="2"/>
        <v>337225</v>
      </c>
      <c r="I32" s="74">
        <v>67445</v>
      </c>
      <c r="J32" s="79">
        <f t="shared" si="3"/>
        <v>2197</v>
      </c>
      <c r="K32" s="6">
        <v>7.84</v>
      </c>
      <c r="L32" s="83">
        <v>17224.48</v>
      </c>
      <c r="M32" s="6" t="s">
        <v>91</v>
      </c>
      <c r="N32" s="6" t="s">
        <v>91</v>
      </c>
      <c r="O32" s="19">
        <f t="shared" si="4"/>
        <v>2516.454081632653</v>
      </c>
      <c r="P32" s="73">
        <v>19729</v>
      </c>
      <c r="Q32" s="80" t="s">
        <v>91</v>
      </c>
      <c r="R32" s="82" t="s">
        <v>91</v>
      </c>
      <c r="S32" s="79" t="s">
        <v>91</v>
      </c>
      <c r="T32" s="80" t="s">
        <v>91</v>
      </c>
      <c r="U32" s="80" t="s">
        <v>91</v>
      </c>
      <c r="V32" s="21">
        <v>4704.99</v>
      </c>
      <c r="W32" s="49">
        <v>0.85709999999999997</v>
      </c>
      <c r="X32" s="98">
        <f t="shared" si="5"/>
        <v>4032.6469289999995</v>
      </c>
      <c r="Y32" s="57" t="s">
        <v>91</v>
      </c>
      <c r="Z32" s="21">
        <f t="shared" si="8"/>
        <v>4676.2338116905848</v>
      </c>
      <c r="AA32" s="73">
        <v>4008</v>
      </c>
      <c r="AB32" s="94">
        <v>246353.92000000001</v>
      </c>
      <c r="AC32" s="75">
        <v>0.3422</v>
      </c>
      <c r="AD32" s="62">
        <v>132660.72</v>
      </c>
      <c r="AE32" s="101">
        <f t="shared" si="6"/>
        <v>216963.03142399999</v>
      </c>
      <c r="AF32" s="21">
        <f t="shared" si="7"/>
        <v>255035.88544710694</v>
      </c>
      <c r="AG32" s="73">
        <v>219934</v>
      </c>
      <c r="AH32" s="6" t="s">
        <v>35</v>
      </c>
      <c r="AI32" s="6" t="s">
        <v>35</v>
      </c>
      <c r="AJ32" s="6" t="s">
        <v>35</v>
      </c>
      <c r="AK32" s="6" t="s">
        <v>35</v>
      </c>
      <c r="AL32" s="23">
        <v>7381</v>
      </c>
      <c r="AM32" s="89">
        <v>9377</v>
      </c>
      <c r="AP32"/>
    </row>
    <row r="33" spans="1:42" x14ac:dyDescent="0.25">
      <c r="A33" s="93" t="s">
        <v>92</v>
      </c>
      <c r="B33" s="3">
        <v>7</v>
      </c>
      <c r="C33" s="3">
        <v>2021</v>
      </c>
      <c r="D33" s="19">
        <f t="shared" si="1"/>
        <v>367062.05</v>
      </c>
      <c r="E33" s="73">
        <v>0.2</v>
      </c>
      <c r="F33" s="73">
        <v>73412.41</v>
      </c>
      <c r="G33" s="20" t="s">
        <v>91</v>
      </c>
      <c r="H33" s="19">
        <f t="shared" si="2"/>
        <v>358155</v>
      </c>
      <c r="I33" s="74">
        <v>71631</v>
      </c>
      <c r="J33" s="79">
        <f t="shared" si="3"/>
        <v>1948</v>
      </c>
      <c r="K33" s="6">
        <v>7.84</v>
      </c>
      <c r="L33" s="83">
        <v>15272.32</v>
      </c>
      <c r="M33" s="6" t="s">
        <v>91</v>
      </c>
      <c r="N33" s="6" t="s">
        <v>91</v>
      </c>
      <c r="O33" s="19">
        <f t="shared" si="4"/>
        <v>2802.8061224489797</v>
      </c>
      <c r="P33" s="73">
        <v>21974</v>
      </c>
      <c r="Q33" s="80" t="s">
        <v>91</v>
      </c>
      <c r="R33" s="82" t="s">
        <v>91</v>
      </c>
      <c r="S33" s="79" t="s">
        <v>91</v>
      </c>
      <c r="T33" s="80" t="s">
        <v>91</v>
      </c>
      <c r="U33" s="80" t="s">
        <v>91</v>
      </c>
      <c r="V33" s="21">
        <v>3000.25</v>
      </c>
      <c r="W33" s="49">
        <v>0.85709999999999997</v>
      </c>
      <c r="X33" s="98">
        <f t="shared" si="5"/>
        <v>2571.514275</v>
      </c>
      <c r="Y33" s="57" t="s">
        <v>91</v>
      </c>
      <c r="Z33" s="21">
        <f t="shared" si="8"/>
        <v>5168.5917629214791</v>
      </c>
      <c r="AA33" s="73">
        <v>4430</v>
      </c>
      <c r="AB33" s="94">
        <v>291826.98</v>
      </c>
      <c r="AC33" s="75">
        <v>0.3422</v>
      </c>
      <c r="AD33" s="62">
        <v>132660.72</v>
      </c>
      <c r="AE33" s="101">
        <f t="shared" si="6"/>
        <v>232523.912556</v>
      </c>
      <c r="AF33" s="21">
        <f t="shared" si="7"/>
        <v>275193.68790181179</v>
      </c>
      <c r="AG33" s="73">
        <v>226832</v>
      </c>
      <c r="AH33" s="6" t="s">
        <v>35</v>
      </c>
      <c r="AI33" s="6" t="s">
        <v>35</v>
      </c>
      <c r="AJ33" s="6" t="s">
        <v>35</v>
      </c>
      <c r="AK33" s="6" t="s">
        <v>35</v>
      </c>
      <c r="AL33" s="23">
        <v>7396</v>
      </c>
      <c r="AM33" s="89">
        <v>9176</v>
      </c>
      <c r="AP33"/>
    </row>
    <row r="34" spans="1:42" x14ac:dyDescent="0.25">
      <c r="A34" s="93" t="s">
        <v>92</v>
      </c>
      <c r="B34" s="3">
        <v>8</v>
      </c>
      <c r="C34" s="3">
        <v>2021</v>
      </c>
      <c r="D34" s="19">
        <f t="shared" si="1"/>
        <v>362824.95</v>
      </c>
      <c r="E34" s="73">
        <v>0.2</v>
      </c>
      <c r="F34" s="73">
        <v>72564.990000000005</v>
      </c>
      <c r="G34" s="20" t="s">
        <v>91</v>
      </c>
      <c r="H34" s="19">
        <f t="shared" si="2"/>
        <v>353165</v>
      </c>
      <c r="I34" s="74">
        <v>70633</v>
      </c>
      <c r="J34" s="79">
        <f t="shared" si="3"/>
        <v>1950</v>
      </c>
      <c r="K34" s="6">
        <v>7.84</v>
      </c>
      <c r="L34" s="83">
        <v>15288</v>
      </c>
      <c r="M34" s="6" t="s">
        <v>91</v>
      </c>
      <c r="N34" s="6" t="s">
        <v>91</v>
      </c>
      <c r="O34" s="19">
        <f t="shared" si="4"/>
        <v>2974.362244897959</v>
      </c>
      <c r="P34" s="73">
        <v>23319</v>
      </c>
      <c r="Q34" s="80" t="s">
        <v>91</v>
      </c>
      <c r="R34" s="82" t="s">
        <v>91</v>
      </c>
      <c r="S34" s="79" t="s">
        <v>91</v>
      </c>
      <c r="T34" s="80" t="s">
        <v>91</v>
      </c>
      <c r="U34" s="80" t="s">
        <v>91</v>
      </c>
      <c r="V34" s="21">
        <v>4839.93</v>
      </c>
      <c r="W34" s="49">
        <v>0.85709999999999997</v>
      </c>
      <c r="X34" s="98">
        <f t="shared" si="5"/>
        <v>4148.3040030000002</v>
      </c>
      <c r="Y34" s="57" t="s">
        <v>91</v>
      </c>
      <c r="Z34" s="21">
        <f t="shared" si="8"/>
        <v>4963.2481624081202</v>
      </c>
      <c r="AA34" s="73">
        <v>4254</v>
      </c>
      <c r="AB34" s="94">
        <v>288912.64000000001</v>
      </c>
      <c r="AC34" s="75">
        <v>0.34279999999999999</v>
      </c>
      <c r="AD34" s="62">
        <v>137966.57</v>
      </c>
      <c r="AE34" s="101">
        <f t="shared" si="6"/>
        <v>237005.82299200003</v>
      </c>
      <c r="AF34" s="21">
        <f t="shared" si="7"/>
        <v>288501.83780630102</v>
      </c>
      <c r="AG34" s="73">
        <v>236865</v>
      </c>
      <c r="AH34" s="6" t="s">
        <v>35</v>
      </c>
      <c r="AI34" s="6" t="s">
        <v>35</v>
      </c>
      <c r="AJ34" s="6" t="s">
        <v>35</v>
      </c>
      <c r="AK34" s="6" t="s">
        <v>35</v>
      </c>
      <c r="AL34" s="23">
        <v>7674</v>
      </c>
      <c r="AM34" s="89">
        <v>9403</v>
      </c>
      <c r="AP34"/>
    </row>
    <row r="35" spans="1:42" x14ac:dyDescent="0.25">
      <c r="A35" s="93" t="s">
        <v>92</v>
      </c>
      <c r="B35" s="3">
        <v>9</v>
      </c>
      <c r="C35" s="3">
        <v>2021</v>
      </c>
      <c r="D35" s="19">
        <f t="shared" si="1"/>
        <v>343246.2</v>
      </c>
      <c r="E35" s="73">
        <v>0.2</v>
      </c>
      <c r="F35" s="73">
        <v>68649.240000000005</v>
      </c>
      <c r="G35" s="20" t="s">
        <v>91</v>
      </c>
      <c r="H35" s="19">
        <f t="shared" si="2"/>
        <v>354545</v>
      </c>
      <c r="I35" s="74">
        <v>70909</v>
      </c>
      <c r="J35" s="79">
        <f t="shared" si="3"/>
        <v>1948</v>
      </c>
      <c r="K35" s="6">
        <v>7.84</v>
      </c>
      <c r="L35" s="83">
        <v>15272.32</v>
      </c>
      <c r="M35" s="6" t="s">
        <v>91</v>
      </c>
      <c r="N35" s="6" t="s">
        <v>91</v>
      </c>
      <c r="O35" s="19">
        <f t="shared" si="4"/>
        <v>3122.9591836734694</v>
      </c>
      <c r="P35" s="73">
        <v>24484</v>
      </c>
      <c r="Q35" s="80" t="s">
        <v>91</v>
      </c>
      <c r="R35" s="82" t="s">
        <v>91</v>
      </c>
      <c r="S35" s="79" t="s">
        <v>91</v>
      </c>
      <c r="T35" s="80" t="s">
        <v>91</v>
      </c>
      <c r="U35" s="80" t="s">
        <v>91</v>
      </c>
      <c r="V35" s="21">
        <v>4312.2</v>
      </c>
      <c r="W35" s="49">
        <v>0.85709999999999997</v>
      </c>
      <c r="X35" s="98">
        <f t="shared" si="5"/>
        <v>3695.9866199999997</v>
      </c>
      <c r="Y35" s="57" t="s">
        <v>91</v>
      </c>
      <c r="Z35" s="21">
        <f t="shared" si="8"/>
        <v>4707.7353867693382</v>
      </c>
      <c r="AA35" s="73">
        <v>4035</v>
      </c>
      <c r="AB35" s="94">
        <v>257660.37</v>
      </c>
      <c r="AC35" s="75">
        <v>0.34279999999999999</v>
      </c>
      <c r="AD35" s="62">
        <v>137966.57</v>
      </c>
      <c r="AE35" s="101">
        <f t="shared" si="6"/>
        <v>226292.54483600002</v>
      </c>
      <c r="AF35" s="21">
        <f t="shared" si="7"/>
        <v>238770.21586931153</v>
      </c>
      <c r="AG35" s="73">
        <v>219817</v>
      </c>
      <c r="AH35" s="6" t="s">
        <v>35</v>
      </c>
      <c r="AI35" s="6" t="s">
        <v>35</v>
      </c>
      <c r="AJ35" s="6" t="s">
        <v>35</v>
      </c>
      <c r="AK35" s="6" t="s">
        <v>35</v>
      </c>
      <c r="AL35" s="23">
        <v>7438</v>
      </c>
      <c r="AM35" s="89">
        <v>9208</v>
      </c>
      <c r="AP35"/>
    </row>
    <row r="36" spans="1:42" x14ac:dyDescent="0.25">
      <c r="A36" s="93" t="s">
        <v>92</v>
      </c>
      <c r="B36" s="3">
        <v>10</v>
      </c>
      <c r="C36" s="3">
        <v>2021</v>
      </c>
      <c r="D36" s="19">
        <f t="shared" si="1"/>
        <v>379199.74999999994</v>
      </c>
      <c r="E36" s="73">
        <v>0.2</v>
      </c>
      <c r="F36" s="73">
        <v>75839.95</v>
      </c>
      <c r="G36" s="20" t="s">
        <v>91</v>
      </c>
      <c r="H36" s="19">
        <f t="shared" si="2"/>
        <v>360345</v>
      </c>
      <c r="I36" s="74">
        <v>72069</v>
      </c>
      <c r="J36" s="79">
        <f t="shared" si="3"/>
        <v>1983</v>
      </c>
      <c r="K36" s="6">
        <v>7.84</v>
      </c>
      <c r="L36" s="83">
        <v>15546.72</v>
      </c>
      <c r="M36" s="6" t="s">
        <v>91</v>
      </c>
      <c r="N36" s="6" t="s">
        <v>91</v>
      </c>
      <c r="O36" s="19">
        <f t="shared" si="4"/>
        <v>3173.9795918367349</v>
      </c>
      <c r="P36" s="73">
        <v>24884</v>
      </c>
      <c r="Q36" s="80" t="s">
        <v>91</v>
      </c>
      <c r="R36" s="82" t="s">
        <v>91</v>
      </c>
      <c r="S36" s="79" t="s">
        <v>91</v>
      </c>
      <c r="T36" s="80" t="s">
        <v>91</v>
      </c>
      <c r="U36" s="80" t="s">
        <v>91</v>
      </c>
      <c r="V36" s="21">
        <v>3136</v>
      </c>
      <c r="W36" s="49">
        <v>0.85709999999999997</v>
      </c>
      <c r="X36" s="98">
        <f t="shared" si="5"/>
        <v>2687.8656000000001</v>
      </c>
      <c r="Y36" s="57" t="s">
        <v>91</v>
      </c>
      <c r="Z36" s="21">
        <f t="shared" si="8"/>
        <v>5401.936763504842</v>
      </c>
      <c r="AA36" s="73">
        <v>4630</v>
      </c>
      <c r="AB36" s="94">
        <v>214961.88</v>
      </c>
      <c r="AC36" s="75">
        <v>0.34279999999999999</v>
      </c>
      <c r="AD36" s="62">
        <v>137966.57</v>
      </c>
      <c r="AE36" s="101">
        <f t="shared" si="6"/>
        <v>211655.50246400002</v>
      </c>
      <c r="AF36" s="21">
        <f t="shared" si="7"/>
        <v>221063.09801633604</v>
      </c>
      <c r="AG36" s="73">
        <v>213747</v>
      </c>
      <c r="AH36" s="6" t="s">
        <v>35</v>
      </c>
      <c r="AI36" s="6" t="s">
        <v>35</v>
      </c>
      <c r="AJ36" s="6" t="s">
        <v>35</v>
      </c>
      <c r="AK36" s="6" t="s">
        <v>35</v>
      </c>
      <c r="AL36" s="23">
        <v>7705</v>
      </c>
      <c r="AM36" s="89">
        <v>9549</v>
      </c>
      <c r="AP36"/>
    </row>
    <row r="37" spans="1:42" x14ac:dyDescent="0.25">
      <c r="A37" s="93" t="s">
        <v>92</v>
      </c>
      <c r="B37" s="3">
        <v>11</v>
      </c>
      <c r="C37" s="3">
        <v>2021</v>
      </c>
      <c r="D37" s="19">
        <f t="shared" si="1"/>
        <v>377298.45</v>
      </c>
      <c r="E37" s="73">
        <v>0.2</v>
      </c>
      <c r="F37" s="73">
        <v>75459.69</v>
      </c>
      <c r="G37" s="20" t="s">
        <v>91</v>
      </c>
      <c r="H37" s="19">
        <f t="shared" si="2"/>
        <v>356725</v>
      </c>
      <c r="I37" s="74">
        <v>71345</v>
      </c>
      <c r="J37" s="79">
        <f t="shared" si="3"/>
        <v>1981</v>
      </c>
      <c r="K37" s="6">
        <v>7.84</v>
      </c>
      <c r="L37" s="83">
        <v>15531.039999999999</v>
      </c>
      <c r="M37" s="6" t="s">
        <v>91</v>
      </c>
      <c r="N37" s="6" t="s">
        <v>91</v>
      </c>
      <c r="O37" s="19">
        <f t="shared" si="4"/>
        <v>3075.3826530612246</v>
      </c>
      <c r="P37" s="73">
        <v>24111</v>
      </c>
      <c r="Q37" s="80" t="s">
        <v>91</v>
      </c>
      <c r="R37" s="82" t="s">
        <v>91</v>
      </c>
      <c r="S37" s="79" t="s">
        <v>91</v>
      </c>
      <c r="T37" s="80" t="s">
        <v>91</v>
      </c>
      <c r="U37" s="80" t="s">
        <v>91</v>
      </c>
      <c r="V37" s="21">
        <v>5019</v>
      </c>
      <c r="W37" s="49">
        <v>0.85709999999999997</v>
      </c>
      <c r="X37" s="98">
        <f t="shared" si="5"/>
        <v>4301.7848999999997</v>
      </c>
      <c r="Y37" s="57" t="s">
        <v>91</v>
      </c>
      <c r="Z37" s="21">
        <f t="shared" si="8"/>
        <v>5396.1031384902581</v>
      </c>
      <c r="AA37" s="73">
        <v>4625</v>
      </c>
      <c r="AB37" s="94">
        <v>152153.75</v>
      </c>
      <c r="AC37" s="75">
        <v>0.34279999999999999</v>
      </c>
      <c r="AD37" s="62">
        <v>137966.57</v>
      </c>
      <c r="AE37" s="101">
        <f t="shared" si="6"/>
        <v>190124.87550000002</v>
      </c>
      <c r="AF37" s="21">
        <f t="shared" si="7"/>
        <v>176296.47024504084</v>
      </c>
      <c r="AG37" s="73">
        <v>198401</v>
      </c>
      <c r="AH37" s="6" t="s">
        <v>35</v>
      </c>
      <c r="AI37" s="6" t="s">
        <v>35</v>
      </c>
      <c r="AJ37" s="6" t="s">
        <v>35</v>
      </c>
      <c r="AK37" s="6" t="s">
        <v>35</v>
      </c>
      <c r="AL37" s="23">
        <v>7191</v>
      </c>
      <c r="AM37" s="89">
        <v>8823</v>
      </c>
      <c r="AP37"/>
    </row>
    <row r="38" spans="1:42" x14ac:dyDescent="0.25">
      <c r="A38" s="93" t="s">
        <v>92</v>
      </c>
      <c r="B38" s="3">
        <v>12</v>
      </c>
      <c r="C38" s="3">
        <v>2021</v>
      </c>
      <c r="D38" s="19">
        <f t="shared" si="1"/>
        <v>387277</v>
      </c>
      <c r="E38" s="73">
        <v>0.2</v>
      </c>
      <c r="F38" s="73">
        <v>77455.400000000009</v>
      </c>
      <c r="G38" s="20" t="s">
        <v>91</v>
      </c>
      <c r="H38" s="19">
        <f t="shared" si="2"/>
        <v>365710</v>
      </c>
      <c r="I38" s="74">
        <v>73142</v>
      </c>
      <c r="J38" s="79">
        <f t="shared" si="3"/>
        <v>2170</v>
      </c>
      <c r="K38" s="6">
        <v>7.84</v>
      </c>
      <c r="L38" s="83">
        <v>17012.8</v>
      </c>
      <c r="M38" s="6" t="s">
        <v>91</v>
      </c>
      <c r="N38" s="6" t="s">
        <v>91</v>
      </c>
      <c r="O38" s="19">
        <f t="shared" si="4"/>
        <v>3148.4693877551022</v>
      </c>
      <c r="P38" s="73">
        <v>24684</v>
      </c>
      <c r="Q38" s="80" t="s">
        <v>91</v>
      </c>
      <c r="R38" s="82" t="s">
        <v>91</v>
      </c>
      <c r="S38" s="79" t="s">
        <v>91</v>
      </c>
      <c r="T38" s="80" t="s">
        <v>91</v>
      </c>
      <c r="U38" s="80" t="s">
        <v>91</v>
      </c>
      <c r="V38" s="21">
        <v>4998.49</v>
      </c>
      <c r="W38" s="49">
        <v>0.85709999999999997</v>
      </c>
      <c r="X38" s="98">
        <f t="shared" si="5"/>
        <v>4284.2057789999999</v>
      </c>
      <c r="Y38" s="57" t="s">
        <v>91</v>
      </c>
      <c r="Z38" s="21">
        <f t="shared" si="8"/>
        <v>5517.4425387936062</v>
      </c>
      <c r="AA38" s="73">
        <v>4729</v>
      </c>
      <c r="AB38" s="94">
        <v>120154.22</v>
      </c>
      <c r="AC38" s="75">
        <v>0.34279999999999999</v>
      </c>
      <c r="AD38" s="62">
        <v>137966.57</v>
      </c>
      <c r="AE38" s="101">
        <f t="shared" si="6"/>
        <v>179155.43661600002</v>
      </c>
      <c r="AF38" s="21">
        <f t="shared" si="7"/>
        <v>174102.77129521585</v>
      </c>
      <c r="AG38" s="73">
        <v>197649</v>
      </c>
      <c r="AH38" s="6" t="s">
        <v>35</v>
      </c>
      <c r="AI38" s="6" t="s">
        <v>35</v>
      </c>
      <c r="AJ38" s="6" t="s">
        <v>35</v>
      </c>
      <c r="AK38" s="6" t="s">
        <v>35</v>
      </c>
      <c r="AL38" s="23">
        <v>7457</v>
      </c>
      <c r="AM38" s="89">
        <v>9279</v>
      </c>
      <c r="AP38"/>
    </row>
    <row r="39" spans="1:42" x14ac:dyDescent="0.25">
      <c r="A39" s="93" t="s">
        <v>92</v>
      </c>
      <c r="B39" s="3">
        <v>1</v>
      </c>
      <c r="C39" s="3">
        <v>2022</v>
      </c>
      <c r="D39" s="19">
        <f t="shared" si="1"/>
        <v>391433.3</v>
      </c>
      <c r="E39" s="73">
        <v>0.2</v>
      </c>
      <c r="F39" s="73">
        <v>78286.66</v>
      </c>
      <c r="G39" s="20" t="s">
        <v>91</v>
      </c>
      <c r="H39" s="19">
        <f t="shared" si="2"/>
        <v>378341.14999999997</v>
      </c>
      <c r="I39" s="74">
        <v>75668.23</v>
      </c>
      <c r="J39" s="79">
        <f t="shared" si="3"/>
        <v>2001</v>
      </c>
      <c r="K39" s="6">
        <v>7.84</v>
      </c>
      <c r="L39" s="83">
        <v>15687.84</v>
      </c>
      <c r="M39" s="6" t="s">
        <v>91</v>
      </c>
      <c r="N39" s="6" t="s">
        <v>91</v>
      </c>
      <c r="O39" s="19">
        <f t="shared" si="4"/>
        <v>2403.0012755102039</v>
      </c>
      <c r="P39" s="73">
        <v>18839.53</v>
      </c>
      <c r="Q39" s="80" t="s">
        <v>91</v>
      </c>
      <c r="R39" s="82" t="s">
        <v>91</v>
      </c>
      <c r="S39" s="79" t="s">
        <v>91</v>
      </c>
      <c r="T39" s="80" t="s">
        <v>91</v>
      </c>
      <c r="U39" s="80" t="s">
        <v>91</v>
      </c>
      <c r="V39" s="21">
        <v>5096</v>
      </c>
      <c r="W39" s="49">
        <v>0.85709999999999997</v>
      </c>
      <c r="X39" s="98">
        <f t="shared" si="5"/>
        <v>4367.7816000000003</v>
      </c>
      <c r="Y39" s="57" t="s">
        <v>91</v>
      </c>
      <c r="Z39" s="21">
        <f t="shared" si="8"/>
        <v>5119.4609730486527</v>
      </c>
      <c r="AA39" s="73">
        <v>4387.8900000000003</v>
      </c>
      <c r="AB39" s="94">
        <v>86719.45</v>
      </c>
      <c r="AC39" s="75">
        <v>0.34279999999999999</v>
      </c>
      <c r="AD39" s="62">
        <v>137966.57</v>
      </c>
      <c r="AE39" s="101">
        <f t="shared" si="6"/>
        <v>167693.99746000001</v>
      </c>
      <c r="AF39" s="21">
        <f t="shared" si="7"/>
        <v>74764.323220536739</v>
      </c>
      <c r="AG39" s="73">
        <v>163595.78</v>
      </c>
      <c r="AH39" s="6" t="s">
        <v>35</v>
      </c>
      <c r="AI39" s="6" t="s">
        <v>35</v>
      </c>
      <c r="AJ39" s="6" t="s">
        <v>35</v>
      </c>
      <c r="AK39" s="6" t="s">
        <v>35</v>
      </c>
      <c r="AL39" s="23">
        <v>7266</v>
      </c>
      <c r="AM39" s="89">
        <v>8669</v>
      </c>
      <c r="AP39"/>
    </row>
    <row r="40" spans="1:42" x14ac:dyDescent="0.25">
      <c r="A40" s="93" t="s">
        <v>92</v>
      </c>
      <c r="B40" s="3">
        <v>2</v>
      </c>
      <c r="C40" s="3">
        <v>2022</v>
      </c>
      <c r="D40" s="19">
        <f t="shared" si="1"/>
        <v>355846.94999999995</v>
      </c>
      <c r="E40" s="73">
        <v>0.2</v>
      </c>
      <c r="F40" s="73">
        <v>71169.39</v>
      </c>
      <c r="G40" s="20" t="s">
        <v>91</v>
      </c>
      <c r="H40" s="19">
        <f t="shared" si="2"/>
        <v>361909.10000000003</v>
      </c>
      <c r="I40" s="74">
        <v>72381.820000000007</v>
      </c>
      <c r="J40" s="79">
        <f t="shared" si="3"/>
        <v>2006</v>
      </c>
      <c r="K40" s="6">
        <v>7.84</v>
      </c>
      <c r="L40" s="83">
        <v>15727.039999999999</v>
      </c>
      <c r="M40" s="6" t="s">
        <v>91</v>
      </c>
      <c r="N40" s="6" t="s">
        <v>91</v>
      </c>
      <c r="O40" s="19">
        <f t="shared" si="4"/>
        <v>2107.4068877551022</v>
      </c>
      <c r="P40" s="73">
        <v>16522.07</v>
      </c>
      <c r="Q40" s="80" t="s">
        <v>91</v>
      </c>
      <c r="R40" s="82" t="s">
        <v>91</v>
      </c>
      <c r="S40" s="79" t="s">
        <v>91</v>
      </c>
      <c r="T40" s="80" t="s">
        <v>91</v>
      </c>
      <c r="U40" s="80" t="s">
        <v>91</v>
      </c>
      <c r="V40" s="21">
        <v>6076.3</v>
      </c>
      <c r="W40" s="49">
        <v>0.85709999999999997</v>
      </c>
      <c r="X40" s="98">
        <f t="shared" si="5"/>
        <v>5207.9967299999998</v>
      </c>
      <c r="Y40" s="57" t="s">
        <v>91</v>
      </c>
      <c r="Z40" s="21">
        <f t="shared" si="8"/>
        <v>4090.7128689767824</v>
      </c>
      <c r="AA40" s="73">
        <v>3506.15</v>
      </c>
      <c r="AB40" s="94">
        <v>81281.02</v>
      </c>
      <c r="AC40" s="75">
        <v>0.34279999999999999</v>
      </c>
      <c r="AD40" s="62">
        <v>137966.57</v>
      </c>
      <c r="AE40" s="101">
        <f t="shared" si="6"/>
        <v>165829.703656</v>
      </c>
      <c r="AF40" s="21">
        <f t="shared" si="7"/>
        <v>91562.397899649935</v>
      </c>
      <c r="AG40" s="73">
        <v>169354.16</v>
      </c>
      <c r="AH40" s="6" t="s">
        <v>35</v>
      </c>
      <c r="AI40" s="6" t="s">
        <v>35</v>
      </c>
      <c r="AJ40" s="6" t="s">
        <v>35</v>
      </c>
      <c r="AK40" s="6" t="s">
        <v>35</v>
      </c>
      <c r="AL40" s="23">
        <v>6925</v>
      </c>
      <c r="AM40" s="89">
        <v>8210</v>
      </c>
      <c r="AP40"/>
    </row>
    <row r="41" spans="1:42" x14ac:dyDescent="0.25">
      <c r="A41" s="93" t="s">
        <v>92</v>
      </c>
      <c r="B41" s="3">
        <v>3</v>
      </c>
      <c r="C41" s="3">
        <v>2022</v>
      </c>
      <c r="D41" s="19">
        <f t="shared" si="1"/>
        <v>391317.5</v>
      </c>
      <c r="E41" s="73">
        <v>0.2</v>
      </c>
      <c r="F41" s="73">
        <v>78263.5</v>
      </c>
      <c r="G41" s="20" t="s">
        <v>91</v>
      </c>
      <c r="H41" s="19">
        <f t="shared" si="2"/>
        <v>391629.35</v>
      </c>
      <c r="I41" s="74">
        <v>78325.87</v>
      </c>
      <c r="J41" s="79">
        <f t="shared" si="3"/>
        <v>2192</v>
      </c>
      <c r="K41" s="6">
        <v>7.84</v>
      </c>
      <c r="L41" s="83">
        <v>17185.28</v>
      </c>
      <c r="M41" s="6" t="s">
        <v>91</v>
      </c>
      <c r="N41" s="6" t="s">
        <v>91</v>
      </c>
      <c r="O41" s="19">
        <f t="shared" si="4"/>
        <v>2018.3762755102041</v>
      </c>
      <c r="P41" s="73">
        <v>15824.07</v>
      </c>
      <c r="Q41" s="80" t="s">
        <v>91</v>
      </c>
      <c r="R41" s="82" t="s">
        <v>91</v>
      </c>
      <c r="S41" s="79" t="s">
        <v>91</v>
      </c>
      <c r="T41" s="80" t="s">
        <v>91</v>
      </c>
      <c r="U41" s="80" t="s">
        <v>91</v>
      </c>
      <c r="V41" s="21">
        <v>3528.3</v>
      </c>
      <c r="W41" s="49">
        <v>0.85709999999999997</v>
      </c>
      <c r="X41" s="98">
        <f t="shared" si="5"/>
        <v>3024.1059300000002</v>
      </c>
      <c r="Y41" s="57" t="s">
        <v>91</v>
      </c>
      <c r="Z41" s="21">
        <f t="shared" si="8"/>
        <v>4072.4769571811926</v>
      </c>
      <c r="AA41" s="73">
        <v>3490.52</v>
      </c>
      <c r="AB41" s="94">
        <v>120597.3</v>
      </c>
      <c r="AC41" s="75">
        <v>0.34279999999999999</v>
      </c>
      <c r="AD41" s="62">
        <v>137966.57</v>
      </c>
      <c r="AE41" s="101">
        <f t="shared" si="6"/>
        <v>179307.32444</v>
      </c>
      <c r="AF41" s="21">
        <f t="shared" si="7"/>
        <v>131346.41190198364</v>
      </c>
      <c r="AG41" s="73">
        <v>182992.12</v>
      </c>
      <c r="AH41" s="6" t="s">
        <v>35</v>
      </c>
      <c r="AI41" s="6" t="s">
        <v>35</v>
      </c>
      <c r="AJ41" s="6" t="s">
        <v>35</v>
      </c>
      <c r="AK41" s="6" t="s">
        <v>35</v>
      </c>
      <c r="AL41" s="23">
        <v>7073</v>
      </c>
      <c r="AM41" s="89">
        <v>8589</v>
      </c>
      <c r="AP41"/>
    </row>
    <row r="42" spans="1:42" x14ac:dyDescent="0.25">
      <c r="A42" s="93" t="s">
        <v>92</v>
      </c>
      <c r="B42" s="3">
        <v>4</v>
      </c>
      <c r="C42" s="3">
        <v>2022</v>
      </c>
      <c r="D42" s="19">
        <f t="shared" si="1"/>
        <v>342883.85</v>
      </c>
      <c r="E42" s="73">
        <v>0.2</v>
      </c>
      <c r="F42" s="73">
        <v>68576.77</v>
      </c>
      <c r="G42" s="20" t="s">
        <v>91</v>
      </c>
      <c r="H42" s="19">
        <f t="shared" si="2"/>
        <v>329735.09999999998</v>
      </c>
      <c r="I42" s="74">
        <v>65947.02</v>
      </c>
      <c r="J42" s="79">
        <f t="shared" si="3"/>
        <v>1915</v>
      </c>
      <c r="K42" s="6">
        <v>7.84</v>
      </c>
      <c r="L42" s="83">
        <v>15013.6</v>
      </c>
      <c r="M42" s="6" t="s">
        <v>91</v>
      </c>
      <c r="N42" s="6" t="s">
        <v>91</v>
      </c>
      <c r="O42" s="19">
        <f t="shared" si="4"/>
        <v>1875.5102040816328</v>
      </c>
      <c r="P42" s="73">
        <v>14704</v>
      </c>
      <c r="Q42" s="80" t="s">
        <v>91</v>
      </c>
      <c r="R42" s="82" t="s">
        <v>91</v>
      </c>
      <c r="S42" s="79" t="s">
        <v>91</v>
      </c>
      <c r="T42" s="80" t="s">
        <v>91</v>
      </c>
      <c r="U42" s="80" t="s">
        <v>91</v>
      </c>
      <c r="V42" s="21">
        <v>2352.1</v>
      </c>
      <c r="W42" s="49">
        <v>0.85709999999999997</v>
      </c>
      <c r="X42" s="98">
        <f t="shared" si="5"/>
        <v>2015.9849099999999</v>
      </c>
      <c r="Y42" s="57" t="s">
        <v>91</v>
      </c>
      <c r="Z42" s="21">
        <f t="shared" si="8"/>
        <v>3526.2629798156577</v>
      </c>
      <c r="AA42" s="73">
        <v>3022.36</v>
      </c>
      <c r="AB42" s="94">
        <v>140605.25</v>
      </c>
      <c r="AC42" s="75">
        <v>0.34279999999999999</v>
      </c>
      <c r="AD42" s="62">
        <v>137966.57</v>
      </c>
      <c r="AE42" s="101">
        <f t="shared" si="6"/>
        <v>186166.0497</v>
      </c>
      <c r="AF42" s="21">
        <f t="shared" si="7"/>
        <v>126493.20303383896</v>
      </c>
      <c r="AG42" s="73">
        <v>181328.44</v>
      </c>
      <c r="AH42" s="6" t="s">
        <v>35</v>
      </c>
      <c r="AI42" s="6" t="s">
        <v>35</v>
      </c>
      <c r="AJ42" s="6" t="s">
        <v>35</v>
      </c>
      <c r="AK42" s="6" t="s">
        <v>35</v>
      </c>
      <c r="AL42" s="23">
        <v>6263</v>
      </c>
      <c r="AM42" s="89">
        <v>7543</v>
      </c>
      <c r="AP42"/>
    </row>
    <row r="43" spans="1:42" x14ac:dyDescent="0.25">
      <c r="A43" s="93" t="s">
        <v>92</v>
      </c>
      <c r="B43" s="3">
        <v>5</v>
      </c>
      <c r="C43" s="3">
        <v>2022</v>
      </c>
      <c r="D43" s="19">
        <f t="shared" si="1"/>
        <v>357281.8</v>
      </c>
      <c r="E43" s="73">
        <v>0.2</v>
      </c>
      <c r="F43" s="73">
        <v>71456.36</v>
      </c>
      <c r="G43" s="20" t="s">
        <v>91</v>
      </c>
      <c r="H43" s="19">
        <f t="shared" si="2"/>
        <v>343989.64999999997</v>
      </c>
      <c r="I43" s="74">
        <v>68797.929999999993</v>
      </c>
      <c r="J43" s="79">
        <f t="shared" si="3"/>
        <v>1712</v>
      </c>
      <c r="K43" s="6">
        <v>7.84</v>
      </c>
      <c r="L43" s="83">
        <v>13422.08</v>
      </c>
      <c r="M43" s="6" t="s">
        <v>91</v>
      </c>
      <c r="N43" s="6" t="s">
        <v>91</v>
      </c>
      <c r="O43" s="19">
        <f t="shared" si="4"/>
        <v>1928.9119897959183</v>
      </c>
      <c r="P43" s="73">
        <v>15122.67</v>
      </c>
      <c r="Q43" s="80" t="s">
        <v>91</v>
      </c>
      <c r="R43" s="82" t="s">
        <v>91</v>
      </c>
      <c r="S43" s="79" t="s">
        <v>91</v>
      </c>
      <c r="T43" s="80" t="s">
        <v>91</v>
      </c>
      <c r="U43" s="80" t="s">
        <v>91</v>
      </c>
      <c r="V43" s="21">
        <v>2352.1</v>
      </c>
      <c r="W43" s="49">
        <v>0.85709999999999997</v>
      </c>
      <c r="X43" s="98">
        <f t="shared" si="5"/>
        <v>2015.9849099999999</v>
      </c>
      <c r="Y43" s="57" t="s">
        <v>91</v>
      </c>
      <c r="Z43" s="21">
        <f t="shared" si="8"/>
        <v>4047.6490491191225</v>
      </c>
      <c r="AA43" s="73">
        <v>3469.24</v>
      </c>
      <c r="AB43" s="94">
        <v>175523.9</v>
      </c>
      <c r="AC43" s="75">
        <v>0.34279999999999999</v>
      </c>
      <c r="AD43" s="62">
        <v>137966.57</v>
      </c>
      <c r="AE43" s="101">
        <f t="shared" si="6"/>
        <v>198136.16292</v>
      </c>
      <c r="AF43" s="21">
        <f t="shared" si="7"/>
        <v>244459.07234539092</v>
      </c>
      <c r="AG43" s="73">
        <v>221767.14</v>
      </c>
      <c r="AH43" s="6" t="s">
        <v>35</v>
      </c>
      <c r="AI43" s="6" t="s">
        <v>35</v>
      </c>
      <c r="AJ43" s="6" t="s">
        <v>35</v>
      </c>
      <c r="AK43" s="6" t="s">
        <v>35</v>
      </c>
      <c r="AL43" s="23">
        <v>7117</v>
      </c>
      <c r="AM43" s="89">
        <v>8632</v>
      </c>
      <c r="AP43"/>
    </row>
    <row r="44" spans="1:42" x14ac:dyDescent="0.25">
      <c r="A44" s="93" t="s">
        <v>92</v>
      </c>
      <c r="B44" s="3">
        <v>6</v>
      </c>
      <c r="C44" s="3">
        <v>2022</v>
      </c>
      <c r="D44" s="19">
        <f t="shared" si="1"/>
        <v>349668.94999999995</v>
      </c>
      <c r="E44" s="73">
        <v>0.2</v>
      </c>
      <c r="F44" s="73">
        <v>69933.789999999994</v>
      </c>
      <c r="G44" s="20" t="s">
        <v>91</v>
      </c>
      <c r="H44" s="19">
        <f t="shared" si="2"/>
        <v>365128.24999999994</v>
      </c>
      <c r="I44" s="74">
        <v>73025.649999999994</v>
      </c>
      <c r="J44" s="79">
        <f t="shared" si="3"/>
        <v>1863</v>
      </c>
      <c r="K44" s="6">
        <v>7.84</v>
      </c>
      <c r="L44" s="83">
        <v>14605.92</v>
      </c>
      <c r="M44" s="6" t="s">
        <v>91</v>
      </c>
      <c r="N44" s="6" t="s">
        <v>91</v>
      </c>
      <c r="O44" s="19">
        <f t="shared" si="4"/>
        <v>2266.625</v>
      </c>
      <c r="P44" s="73">
        <v>17770.34</v>
      </c>
      <c r="Q44" s="80" t="s">
        <v>91</v>
      </c>
      <c r="R44" s="82" t="s">
        <v>91</v>
      </c>
      <c r="S44" s="79" t="s">
        <v>91</v>
      </c>
      <c r="T44" s="80" t="s">
        <v>91</v>
      </c>
      <c r="U44" s="80" t="s">
        <v>91</v>
      </c>
      <c r="V44" s="21">
        <v>2842.2</v>
      </c>
      <c r="W44" s="49">
        <v>0.85709999999999997</v>
      </c>
      <c r="X44" s="98">
        <f t="shared" si="5"/>
        <v>2436.0496199999998</v>
      </c>
      <c r="Y44" s="57" t="s">
        <v>91</v>
      </c>
      <c r="Z44" s="21">
        <f t="shared" si="8"/>
        <v>4877.3188659432981</v>
      </c>
      <c r="AA44" s="73">
        <v>4180.3500000000004</v>
      </c>
      <c r="AB44" s="94">
        <v>230529.39</v>
      </c>
      <c r="AC44" s="75">
        <v>0.34279999999999999</v>
      </c>
      <c r="AD44" s="62">
        <v>137966.57</v>
      </c>
      <c r="AE44" s="101">
        <f t="shared" si="6"/>
        <v>216992.04489200001</v>
      </c>
      <c r="AF44" s="21">
        <f t="shared" si="7"/>
        <v>253473.30805134188</v>
      </c>
      <c r="AG44" s="73">
        <v>224857.22</v>
      </c>
      <c r="AH44" s="6" t="s">
        <v>35</v>
      </c>
      <c r="AI44" s="6" t="s">
        <v>35</v>
      </c>
      <c r="AJ44" s="6" t="s">
        <v>35</v>
      </c>
      <c r="AK44" s="6" t="s">
        <v>35</v>
      </c>
      <c r="AL44" s="23">
        <v>6906</v>
      </c>
      <c r="AM44" s="89">
        <v>8169</v>
      </c>
      <c r="AP44"/>
    </row>
    <row r="45" spans="1:42" x14ac:dyDescent="0.25">
      <c r="A45" s="93" t="s">
        <v>92</v>
      </c>
      <c r="B45" s="3">
        <v>7</v>
      </c>
      <c r="C45" s="3">
        <v>2022</v>
      </c>
      <c r="D45" s="19">
        <f t="shared" si="1"/>
        <v>362321.99999999994</v>
      </c>
      <c r="E45" s="73">
        <v>0.2</v>
      </c>
      <c r="F45" s="73">
        <v>72464.399999999994</v>
      </c>
      <c r="G45" s="20" t="s">
        <v>91</v>
      </c>
      <c r="H45" s="19">
        <f t="shared" si="2"/>
        <v>376238.6</v>
      </c>
      <c r="I45" s="74">
        <v>75247.72</v>
      </c>
      <c r="J45" s="79">
        <f t="shared" si="3"/>
        <v>2052</v>
      </c>
      <c r="K45" s="6">
        <v>7.84</v>
      </c>
      <c r="L45" s="83">
        <v>16087.68</v>
      </c>
      <c r="M45" s="6" t="s">
        <v>91</v>
      </c>
      <c r="N45" s="6" t="s">
        <v>91</v>
      </c>
      <c r="O45" s="19">
        <f t="shared" si="4"/>
        <v>2180.4630102040819</v>
      </c>
      <c r="P45" s="73">
        <v>17094.830000000002</v>
      </c>
      <c r="Q45" s="80" t="s">
        <v>91</v>
      </c>
      <c r="R45" s="82" t="s">
        <v>91</v>
      </c>
      <c r="S45" s="79" t="s">
        <v>91</v>
      </c>
      <c r="T45" s="80" t="s">
        <v>91</v>
      </c>
      <c r="U45" s="80" t="s">
        <v>91</v>
      </c>
      <c r="V45" s="21">
        <v>3332.2</v>
      </c>
      <c r="W45" s="49">
        <v>0.85709999999999997</v>
      </c>
      <c r="X45" s="98">
        <f t="shared" si="5"/>
        <v>2856.0286199999996</v>
      </c>
      <c r="Y45" s="57" t="s">
        <v>91</v>
      </c>
      <c r="Z45" s="21">
        <f t="shared" si="8"/>
        <v>5342.7254696068139</v>
      </c>
      <c r="AA45" s="73">
        <v>4579.25</v>
      </c>
      <c r="AB45" s="94">
        <v>258094.91</v>
      </c>
      <c r="AC45" s="75">
        <v>0.34279999999999999</v>
      </c>
      <c r="AD45" s="62">
        <v>137966.57</v>
      </c>
      <c r="AE45" s="101">
        <f t="shared" si="6"/>
        <v>226441.50514800003</v>
      </c>
      <c r="AF45" s="21">
        <f t="shared" si="7"/>
        <v>313734.48074679112</v>
      </c>
      <c r="AG45" s="73">
        <v>245514.75</v>
      </c>
      <c r="AH45" s="6" t="s">
        <v>35</v>
      </c>
      <c r="AI45" s="6" t="s">
        <v>35</v>
      </c>
      <c r="AJ45" s="6" t="s">
        <v>35</v>
      </c>
      <c r="AK45" s="6" t="s">
        <v>35</v>
      </c>
      <c r="AL45" s="23">
        <v>7145</v>
      </c>
      <c r="AM45" s="89">
        <v>8517</v>
      </c>
      <c r="AP45"/>
    </row>
    <row r="46" spans="1:42" x14ac:dyDescent="0.25">
      <c r="A46" s="93" t="s">
        <v>92</v>
      </c>
      <c r="B46" s="3">
        <v>8</v>
      </c>
      <c r="C46" s="3">
        <v>2022</v>
      </c>
      <c r="D46" s="19">
        <f t="shared" si="1"/>
        <v>361185.65</v>
      </c>
      <c r="E46" s="73">
        <v>0.2</v>
      </c>
      <c r="F46" s="73">
        <v>72237.13</v>
      </c>
      <c r="G46" s="20" t="s">
        <v>91</v>
      </c>
      <c r="H46" s="19">
        <f t="shared" si="2"/>
        <v>359196.69999999995</v>
      </c>
      <c r="I46" s="74">
        <v>71839.34</v>
      </c>
      <c r="J46" s="79">
        <f t="shared" si="3"/>
        <v>2167</v>
      </c>
      <c r="K46" s="6">
        <v>7.84</v>
      </c>
      <c r="L46" s="83">
        <v>16989.28</v>
      </c>
      <c r="M46" s="6" t="s">
        <v>91</v>
      </c>
      <c r="N46" s="6" t="s">
        <v>91</v>
      </c>
      <c r="O46" s="19">
        <f t="shared" si="4"/>
        <v>2001.7142857142858</v>
      </c>
      <c r="P46" s="73">
        <v>15693.44</v>
      </c>
      <c r="Q46" s="80" t="s">
        <v>91</v>
      </c>
      <c r="R46" s="82" t="s">
        <v>91</v>
      </c>
      <c r="S46" s="79" t="s">
        <v>91</v>
      </c>
      <c r="T46" s="80" t="s">
        <v>91</v>
      </c>
      <c r="U46" s="80" t="s">
        <v>91</v>
      </c>
      <c r="V46" s="21">
        <v>3430.2</v>
      </c>
      <c r="W46" s="49">
        <v>0.85709999999999997</v>
      </c>
      <c r="X46" s="98">
        <f t="shared" si="5"/>
        <v>2940.0244199999997</v>
      </c>
      <c r="Y46" s="57" t="s">
        <v>91</v>
      </c>
      <c r="Z46" s="21">
        <f t="shared" si="8"/>
        <v>4657.3562011433905</v>
      </c>
      <c r="AA46" s="73">
        <v>3991.82</v>
      </c>
      <c r="AB46" s="94">
        <v>237123.5</v>
      </c>
      <c r="AC46" s="75">
        <v>0.34350000000000003</v>
      </c>
      <c r="AD46" s="62">
        <v>143485.60999999999</v>
      </c>
      <c r="AE46" s="101">
        <f t="shared" si="6"/>
        <v>224937.53224999999</v>
      </c>
      <c r="AF46" s="21">
        <f t="shared" si="7"/>
        <v>316449.3740902475</v>
      </c>
      <c r="AG46" s="73">
        <v>252185.97</v>
      </c>
      <c r="AH46" s="6" t="s">
        <v>35</v>
      </c>
      <c r="AI46" s="6" t="s">
        <v>35</v>
      </c>
      <c r="AJ46" s="6" t="s">
        <v>35</v>
      </c>
      <c r="AK46" s="6" t="s">
        <v>35</v>
      </c>
      <c r="AL46" s="23">
        <v>7568</v>
      </c>
      <c r="AM46" s="89">
        <v>9103</v>
      </c>
      <c r="AP46"/>
    </row>
    <row r="47" spans="1:42" x14ac:dyDescent="0.25">
      <c r="A47" s="93" t="s">
        <v>92</v>
      </c>
      <c r="B47" s="3">
        <v>9</v>
      </c>
      <c r="C47" s="3">
        <v>2022</v>
      </c>
      <c r="D47" s="19">
        <f t="shared" si="1"/>
        <v>359668.35</v>
      </c>
      <c r="E47" s="73">
        <v>0.2</v>
      </c>
      <c r="F47" s="73">
        <v>71933.67</v>
      </c>
      <c r="G47" s="20" t="s">
        <v>91</v>
      </c>
      <c r="H47" s="19">
        <f t="shared" si="2"/>
        <v>391203.1</v>
      </c>
      <c r="I47" s="74">
        <v>78240.62</v>
      </c>
      <c r="J47" s="79">
        <f t="shared" si="3"/>
        <v>2077</v>
      </c>
      <c r="K47" s="6">
        <v>7.84</v>
      </c>
      <c r="L47" s="83">
        <v>16283.68</v>
      </c>
      <c r="M47" s="6" t="s">
        <v>91</v>
      </c>
      <c r="N47" s="6" t="s">
        <v>91</v>
      </c>
      <c r="O47" s="19">
        <f t="shared" si="4"/>
        <v>2981.0063775510207</v>
      </c>
      <c r="P47" s="73">
        <v>23371.09</v>
      </c>
      <c r="Q47" s="80" t="s">
        <v>91</v>
      </c>
      <c r="R47" s="82" t="s">
        <v>91</v>
      </c>
      <c r="S47" s="79" t="s">
        <v>91</v>
      </c>
      <c r="T47" s="80" t="s">
        <v>91</v>
      </c>
      <c r="U47" s="80" t="s">
        <v>91</v>
      </c>
      <c r="V47" s="21">
        <v>2842.1</v>
      </c>
      <c r="W47" s="49">
        <v>0.85709999999999997</v>
      </c>
      <c r="X47" s="98">
        <f t="shared" si="5"/>
        <v>2435.9639099999999</v>
      </c>
      <c r="Y47" s="57" t="s">
        <v>91</v>
      </c>
      <c r="Z47" s="21">
        <f t="shared" si="8"/>
        <v>4939.7853225994641</v>
      </c>
      <c r="AA47" s="73">
        <v>4233.8900000000003</v>
      </c>
      <c r="AB47" s="94">
        <v>220825.71</v>
      </c>
      <c r="AC47" s="75">
        <v>0.34350000000000003</v>
      </c>
      <c r="AD47" s="62">
        <v>143485.60999999999</v>
      </c>
      <c r="AE47" s="101">
        <f t="shared" si="6"/>
        <v>219339.241385</v>
      </c>
      <c r="AF47" s="21">
        <f t="shared" si="7"/>
        <v>275948.44250363903</v>
      </c>
      <c r="AG47" s="73">
        <v>238273.9</v>
      </c>
      <c r="AH47" s="6" t="s">
        <v>35</v>
      </c>
      <c r="AI47" s="6" t="s">
        <v>35</v>
      </c>
      <c r="AJ47" s="6" t="s">
        <v>35</v>
      </c>
      <c r="AK47" s="6" t="s">
        <v>35</v>
      </c>
      <c r="AL47" s="23">
        <v>7157</v>
      </c>
      <c r="AM47" s="89">
        <v>8549</v>
      </c>
      <c r="AP47"/>
    </row>
    <row r="48" spans="1:42" x14ac:dyDescent="0.25">
      <c r="A48" s="93" t="s">
        <v>92</v>
      </c>
      <c r="B48" s="3">
        <v>10</v>
      </c>
      <c r="C48" s="3">
        <v>2022</v>
      </c>
      <c r="D48" s="19">
        <f t="shared" si="1"/>
        <v>373943.35</v>
      </c>
      <c r="E48" s="73">
        <v>0.2</v>
      </c>
      <c r="F48" s="73">
        <v>74788.67</v>
      </c>
      <c r="G48" s="20" t="s">
        <v>91</v>
      </c>
      <c r="H48" s="19">
        <f t="shared" si="2"/>
        <v>384428.64999999997</v>
      </c>
      <c r="I48" s="74">
        <v>76885.73</v>
      </c>
      <c r="J48" s="79">
        <f t="shared" si="3"/>
        <v>2135</v>
      </c>
      <c r="K48" s="6">
        <v>7.84</v>
      </c>
      <c r="L48" s="83">
        <v>16738.400000000001</v>
      </c>
      <c r="M48" s="6" t="s">
        <v>91</v>
      </c>
      <c r="N48" s="6" t="s">
        <v>91</v>
      </c>
      <c r="O48" s="19">
        <f t="shared" si="4"/>
        <v>2837.7767857142853</v>
      </c>
      <c r="P48" s="73">
        <v>22248.17</v>
      </c>
      <c r="Q48" s="80" t="s">
        <v>91</v>
      </c>
      <c r="R48" s="82" t="s">
        <v>91</v>
      </c>
      <c r="S48" s="79" t="s">
        <v>91</v>
      </c>
      <c r="T48" s="80" t="s">
        <v>91</v>
      </c>
      <c r="U48" s="80" t="s">
        <v>91</v>
      </c>
      <c r="V48" s="21">
        <v>4379.6000000000004</v>
      </c>
      <c r="W48" s="49">
        <v>0.85709999999999997</v>
      </c>
      <c r="X48" s="98">
        <f t="shared" si="5"/>
        <v>3753.7551600000002</v>
      </c>
      <c r="Y48" s="57" t="s">
        <v>91</v>
      </c>
      <c r="Z48" s="21">
        <f t="shared" si="8"/>
        <v>5570.7968731769915</v>
      </c>
      <c r="AA48" s="73">
        <v>4774.7299999999996</v>
      </c>
      <c r="AB48" s="94">
        <v>191989.92</v>
      </c>
      <c r="AC48" s="75">
        <v>0.34350000000000003</v>
      </c>
      <c r="AD48" s="62">
        <v>143485.60999999999</v>
      </c>
      <c r="AE48" s="101">
        <f t="shared" si="6"/>
        <v>209434.14752</v>
      </c>
      <c r="AF48" s="21">
        <f t="shared" si="7"/>
        <v>266651.35371179041</v>
      </c>
      <c r="AG48" s="73">
        <v>235080.35</v>
      </c>
      <c r="AH48" s="6" t="s">
        <v>35</v>
      </c>
      <c r="AI48" s="6" t="s">
        <v>35</v>
      </c>
      <c r="AJ48" s="6" t="s">
        <v>35</v>
      </c>
      <c r="AK48" s="6" t="s">
        <v>35</v>
      </c>
      <c r="AL48" s="23">
        <v>7460</v>
      </c>
      <c r="AM48" s="89">
        <v>8800</v>
      </c>
      <c r="AP48"/>
    </row>
    <row r="49" spans="1:42" x14ac:dyDescent="0.25">
      <c r="A49" s="93" t="s">
        <v>92</v>
      </c>
      <c r="B49" s="3">
        <v>11</v>
      </c>
      <c r="C49" s="3">
        <v>2022</v>
      </c>
      <c r="D49" s="19">
        <f t="shared" si="1"/>
        <v>379989.8</v>
      </c>
      <c r="E49" s="73">
        <v>0.2</v>
      </c>
      <c r="F49" s="73">
        <v>75997.960000000006</v>
      </c>
      <c r="G49" s="20" t="s">
        <v>91</v>
      </c>
      <c r="H49" s="19">
        <f t="shared" si="2"/>
        <v>383920.65</v>
      </c>
      <c r="I49" s="74">
        <v>76784.13</v>
      </c>
      <c r="J49" s="79">
        <f t="shared" si="3"/>
        <v>2163</v>
      </c>
      <c r="K49" s="6">
        <v>7.84</v>
      </c>
      <c r="L49" s="83">
        <v>16957.919999999998</v>
      </c>
      <c r="M49" s="6" t="s">
        <v>91</v>
      </c>
      <c r="N49" s="6" t="s">
        <v>91</v>
      </c>
      <c r="O49" s="19">
        <f t="shared" si="4"/>
        <v>3034.766581632653</v>
      </c>
      <c r="P49" s="73">
        <v>23792.57</v>
      </c>
      <c r="Q49" s="80" t="s">
        <v>91</v>
      </c>
      <c r="R49" s="82" t="s">
        <v>91</v>
      </c>
      <c r="S49" s="79" t="s">
        <v>91</v>
      </c>
      <c r="T49" s="80" t="s">
        <v>91</v>
      </c>
      <c r="U49" s="80" t="s">
        <v>91</v>
      </c>
      <c r="V49" s="21">
        <v>5856.9</v>
      </c>
      <c r="W49" s="49">
        <v>0.85709999999999997</v>
      </c>
      <c r="X49" s="98">
        <f t="shared" si="5"/>
        <v>5019.9489899999999</v>
      </c>
      <c r="Y49" s="57" t="s">
        <v>91</v>
      </c>
      <c r="Z49" s="21">
        <f t="shared" si="8"/>
        <v>5771.4735736786834</v>
      </c>
      <c r="AA49" s="73">
        <v>4946.7299999999996</v>
      </c>
      <c r="AB49" s="94">
        <v>160974.32</v>
      </c>
      <c r="AC49" s="75">
        <v>0.34350000000000003</v>
      </c>
      <c r="AD49" s="62">
        <v>143485.60999999999</v>
      </c>
      <c r="AE49" s="101">
        <f t="shared" si="6"/>
        <v>198780.28891999999</v>
      </c>
      <c r="AF49" s="21">
        <f t="shared" si="7"/>
        <v>216646.17176128097</v>
      </c>
      <c r="AG49" s="73">
        <v>217903.57</v>
      </c>
      <c r="AH49" s="6" t="s">
        <v>35</v>
      </c>
      <c r="AI49" s="6" t="s">
        <v>35</v>
      </c>
      <c r="AJ49" s="6" t="s">
        <v>35</v>
      </c>
      <c r="AK49" s="6" t="s">
        <v>35</v>
      </c>
      <c r="AL49" s="23">
        <v>7492</v>
      </c>
      <c r="AM49" s="89">
        <v>8931</v>
      </c>
      <c r="AP49"/>
    </row>
    <row r="50" spans="1:42" x14ac:dyDescent="0.25">
      <c r="A50" s="93" t="s">
        <v>92</v>
      </c>
      <c r="B50" s="3">
        <v>12</v>
      </c>
      <c r="C50" s="3">
        <v>2022</v>
      </c>
      <c r="D50" s="19">
        <f t="shared" si="1"/>
        <v>405347.94999999995</v>
      </c>
      <c r="E50" s="73">
        <v>0.2</v>
      </c>
      <c r="F50" s="73">
        <v>81069.59</v>
      </c>
      <c r="G50" s="20" t="s">
        <v>91</v>
      </c>
      <c r="H50" s="19">
        <f t="shared" si="2"/>
        <v>398870.14999999997</v>
      </c>
      <c r="I50" s="74">
        <v>79774.03</v>
      </c>
      <c r="J50" s="79">
        <f t="shared" si="3"/>
        <v>2144</v>
      </c>
      <c r="K50" s="6">
        <v>7.84</v>
      </c>
      <c r="L50" s="83">
        <v>16808.96</v>
      </c>
      <c r="M50" s="6" t="s">
        <v>91</v>
      </c>
      <c r="N50" s="6" t="s">
        <v>91</v>
      </c>
      <c r="O50" s="19">
        <f t="shared" si="4"/>
        <v>2996.2474489795923</v>
      </c>
      <c r="P50" s="73">
        <v>23490.58</v>
      </c>
      <c r="Q50" s="80" t="s">
        <v>91</v>
      </c>
      <c r="R50" s="82" t="s">
        <v>91</v>
      </c>
      <c r="S50" s="79" t="s">
        <v>91</v>
      </c>
      <c r="T50" s="80" t="s">
        <v>91</v>
      </c>
      <c r="U50" s="80" t="s">
        <v>91</v>
      </c>
      <c r="V50" s="21">
        <v>5782.5</v>
      </c>
      <c r="W50" s="49">
        <v>0.85709999999999997</v>
      </c>
      <c r="X50" s="98">
        <f t="shared" si="5"/>
        <v>4956.1807499999995</v>
      </c>
      <c r="Y50" s="57" t="s">
        <v>91</v>
      </c>
      <c r="Z50" s="21">
        <f t="shared" si="8"/>
        <v>5651.7559211293901</v>
      </c>
      <c r="AA50" s="73">
        <v>4844.12</v>
      </c>
      <c r="AB50" s="94">
        <v>115732.15</v>
      </c>
      <c r="AC50" s="75">
        <v>0.34350000000000003</v>
      </c>
      <c r="AD50" s="62">
        <v>143485.60999999999</v>
      </c>
      <c r="AE50" s="101">
        <f t="shared" si="6"/>
        <v>183239.60352499998</v>
      </c>
      <c r="AF50" s="21">
        <f t="shared" si="7"/>
        <v>217337.43813682676</v>
      </c>
      <c r="AG50" s="73">
        <v>218141.02</v>
      </c>
      <c r="AH50" s="6" t="s">
        <v>35</v>
      </c>
      <c r="AI50" s="6" t="s">
        <v>35</v>
      </c>
      <c r="AJ50" s="6" t="s">
        <v>35</v>
      </c>
      <c r="AK50" s="6" t="s">
        <v>35</v>
      </c>
      <c r="AL50" s="23">
        <v>7430</v>
      </c>
      <c r="AM50" s="89">
        <v>9252</v>
      </c>
      <c r="AP50"/>
    </row>
    <row r="51" spans="1:42" x14ac:dyDescent="0.25">
      <c r="A51" s="93" t="s">
        <v>92</v>
      </c>
      <c r="B51" s="3">
        <v>1</v>
      </c>
      <c r="C51" s="3">
        <v>2023</v>
      </c>
      <c r="D51" s="19">
        <f t="shared" si="1"/>
        <v>395373.94999999995</v>
      </c>
      <c r="E51" s="73">
        <v>0.2</v>
      </c>
      <c r="F51" s="73">
        <v>79074.789999999994</v>
      </c>
      <c r="G51" s="20" t="s">
        <v>91</v>
      </c>
      <c r="H51" s="19">
        <f t="shared" si="2"/>
        <v>395347.6</v>
      </c>
      <c r="I51" s="74">
        <v>79069.52</v>
      </c>
      <c r="J51" s="79">
        <f t="shared" si="3"/>
        <v>2015</v>
      </c>
      <c r="K51" s="6">
        <v>7.84</v>
      </c>
      <c r="L51" s="83">
        <v>15797.6</v>
      </c>
      <c r="M51" s="6" t="s">
        <v>91</v>
      </c>
      <c r="N51" s="6" t="s">
        <v>91</v>
      </c>
      <c r="O51" s="19">
        <f t="shared" si="4"/>
        <v>2074.7359693877552</v>
      </c>
      <c r="P51" s="73">
        <v>16265.93</v>
      </c>
      <c r="Q51" s="80" t="s">
        <v>91</v>
      </c>
      <c r="R51" s="82" t="s">
        <v>91</v>
      </c>
      <c r="S51" s="79" t="s">
        <v>91</v>
      </c>
      <c r="T51" s="80" t="s">
        <v>91</v>
      </c>
      <c r="U51" s="80" t="s">
        <v>91</v>
      </c>
      <c r="V51" s="21">
        <v>4550</v>
      </c>
      <c r="W51" s="49">
        <v>0.85709999999999997</v>
      </c>
      <c r="X51" s="98">
        <f t="shared" si="5"/>
        <v>3899.8049999999998</v>
      </c>
      <c r="Y51" s="57" t="s">
        <v>91</v>
      </c>
      <c r="Z51" s="21">
        <f t="shared" si="8"/>
        <v>5535.3867693384673</v>
      </c>
      <c r="AA51" s="73">
        <v>4744.38</v>
      </c>
      <c r="AB51" s="94">
        <v>85735.79</v>
      </c>
      <c r="AC51" s="75">
        <v>0.34350000000000003</v>
      </c>
      <c r="AD51" s="62">
        <v>143485.60999999999</v>
      </c>
      <c r="AE51" s="101">
        <f t="shared" si="6"/>
        <v>172935.85386499998</v>
      </c>
      <c r="AF51" s="21">
        <f t="shared" si="7"/>
        <v>102702.47452692872</v>
      </c>
      <c r="AG51" s="73">
        <v>178763.91</v>
      </c>
      <c r="AH51" s="6" t="s">
        <v>35</v>
      </c>
      <c r="AI51" s="6" t="s">
        <v>35</v>
      </c>
      <c r="AJ51" s="6" t="s">
        <v>35</v>
      </c>
      <c r="AK51" s="6" t="s">
        <v>35</v>
      </c>
      <c r="AL51" s="23">
        <v>6238</v>
      </c>
      <c r="AM51" s="89">
        <v>7546</v>
      </c>
      <c r="AP51"/>
    </row>
    <row r="52" spans="1:42" x14ac:dyDescent="0.25">
      <c r="A52" s="93" t="s">
        <v>92</v>
      </c>
      <c r="B52" s="3">
        <v>2</v>
      </c>
      <c r="C52" s="3">
        <v>2023</v>
      </c>
      <c r="D52" s="19">
        <f t="shared" si="1"/>
        <v>360999</v>
      </c>
      <c r="E52" s="73">
        <v>0.2</v>
      </c>
      <c r="F52" s="73">
        <v>72199.8</v>
      </c>
      <c r="G52" s="20" t="s">
        <v>91</v>
      </c>
      <c r="H52" s="19">
        <f t="shared" si="2"/>
        <v>359405.39999999997</v>
      </c>
      <c r="I52" s="74">
        <v>71881.08</v>
      </c>
      <c r="J52" s="79">
        <f t="shared" si="3"/>
        <v>1954</v>
      </c>
      <c r="K52" s="6">
        <v>7.84</v>
      </c>
      <c r="L52" s="83">
        <v>15319.36</v>
      </c>
      <c r="M52" s="6" t="s">
        <v>91</v>
      </c>
      <c r="N52" s="6" t="s">
        <v>91</v>
      </c>
      <c r="O52" s="19">
        <f t="shared" si="4"/>
        <v>2166.7691326530612</v>
      </c>
      <c r="P52" s="73">
        <v>16987.47</v>
      </c>
      <c r="Q52" s="80" t="s">
        <v>91</v>
      </c>
      <c r="R52" s="82" t="s">
        <v>91</v>
      </c>
      <c r="S52" s="79" t="s">
        <v>91</v>
      </c>
      <c r="T52" s="80" t="s">
        <v>91</v>
      </c>
      <c r="U52" s="80" t="s">
        <v>91</v>
      </c>
      <c r="V52" s="21">
        <v>6860</v>
      </c>
      <c r="W52" s="49">
        <v>0.85709999999999997</v>
      </c>
      <c r="X52" s="98">
        <f t="shared" si="5"/>
        <v>5879.7060000000001</v>
      </c>
      <c r="Y52" s="57" t="s">
        <v>91</v>
      </c>
      <c r="Z52" s="21">
        <f t="shared" si="8"/>
        <v>6563.2831641582088</v>
      </c>
      <c r="AA52" s="73">
        <v>5625.39</v>
      </c>
      <c r="AB52" s="94">
        <v>92759.18</v>
      </c>
      <c r="AC52" s="75">
        <v>0.34350000000000003</v>
      </c>
      <c r="AD52" s="62">
        <v>143485.60999999999</v>
      </c>
      <c r="AE52" s="101">
        <f t="shared" si="6"/>
        <v>175348.38832999999</v>
      </c>
      <c r="AF52" s="21">
        <f t="shared" si="7"/>
        <v>96916.535662299895</v>
      </c>
      <c r="AG52" s="73">
        <v>176776.44</v>
      </c>
      <c r="AH52" s="6" t="s">
        <v>35</v>
      </c>
      <c r="AI52" s="6" t="s">
        <v>35</v>
      </c>
      <c r="AJ52" s="6" t="s">
        <v>35</v>
      </c>
      <c r="AK52" s="6" t="s">
        <v>35</v>
      </c>
      <c r="AL52" s="23">
        <v>6363</v>
      </c>
      <c r="AM52" s="89">
        <v>7811</v>
      </c>
      <c r="AP52"/>
    </row>
    <row r="53" spans="1:42" x14ac:dyDescent="0.25">
      <c r="A53" s="93" t="s">
        <v>92</v>
      </c>
      <c r="B53" s="3">
        <v>3</v>
      </c>
      <c r="C53" s="3">
        <v>2023</v>
      </c>
      <c r="D53" s="19">
        <f t="shared" si="1"/>
        <v>390029.25</v>
      </c>
      <c r="E53" s="73">
        <v>0.2</v>
      </c>
      <c r="F53" s="73">
        <v>78005.850000000006</v>
      </c>
      <c r="G53" s="20" t="s">
        <v>91</v>
      </c>
      <c r="H53" s="19">
        <f t="shared" si="2"/>
        <v>400317.8</v>
      </c>
      <c r="I53" s="74">
        <v>80063.56</v>
      </c>
      <c r="J53" s="79">
        <f t="shared" si="3"/>
        <v>1895</v>
      </c>
      <c r="K53" s="6">
        <v>7.84</v>
      </c>
      <c r="L53" s="83">
        <v>14856.8</v>
      </c>
      <c r="M53" s="6" t="s">
        <v>91</v>
      </c>
      <c r="N53" s="6" t="s">
        <v>91</v>
      </c>
      <c r="O53" s="19">
        <f t="shared" si="4"/>
        <v>2409.7040816326535</v>
      </c>
      <c r="P53" s="73">
        <v>18892.080000000002</v>
      </c>
      <c r="Q53" s="80" t="s">
        <v>91</v>
      </c>
      <c r="R53" s="82" t="s">
        <v>91</v>
      </c>
      <c r="S53" s="79" t="s">
        <v>91</v>
      </c>
      <c r="T53" s="80" t="s">
        <v>91</v>
      </c>
      <c r="U53" s="80" t="s">
        <v>91</v>
      </c>
      <c r="V53" s="21">
        <v>4410</v>
      </c>
      <c r="W53" s="49">
        <v>0.85709999999999997</v>
      </c>
      <c r="X53" s="98">
        <f t="shared" si="5"/>
        <v>3779.8109999999997</v>
      </c>
      <c r="Y53" s="57" t="s">
        <v>91</v>
      </c>
      <c r="Z53" s="21">
        <f t="shared" si="8"/>
        <v>4690.4911912262278</v>
      </c>
      <c r="AA53" s="73">
        <v>4020.22</v>
      </c>
      <c r="AB53" s="94">
        <v>127178.56</v>
      </c>
      <c r="AC53" s="75">
        <v>0.34350000000000003</v>
      </c>
      <c r="AD53" s="62">
        <v>143485.60999999999</v>
      </c>
      <c r="AE53" s="101">
        <f t="shared" si="6"/>
        <v>187171.44535999998</v>
      </c>
      <c r="AF53" s="21">
        <f t="shared" si="7"/>
        <v>138745.06550218345</v>
      </c>
      <c r="AG53" s="73">
        <v>191144.54</v>
      </c>
      <c r="AH53" s="6" t="s">
        <v>35</v>
      </c>
      <c r="AI53" s="6" t="s">
        <v>35</v>
      </c>
      <c r="AJ53" s="6" t="s">
        <v>35</v>
      </c>
      <c r="AK53" s="6" t="s">
        <v>35</v>
      </c>
      <c r="AL53" s="23">
        <v>7199</v>
      </c>
      <c r="AM53" s="89">
        <v>8914</v>
      </c>
      <c r="AP53"/>
    </row>
    <row r="54" spans="1:42" x14ac:dyDescent="0.25">
      <c r="A54" s="93" t="s">
        <v>92</v>
      </c>
      <c r="B54" s="3">
        <v>4</v>
      </c>
      <c r="C54" s="3">
        <v>2023</v>
      </c>
      <c r="D54" s="19">
        <f t="shared" si="1"/>
        <v>361751.60000000003</v>
      </c>
      <c r="E54" s="73">
        <v>0.2</v>
      </c>
      <c r="F54" s="73">
        <v>72350.320000000007</v>
      </c>
      <c r="G54" s="20" t="s">
        <v>91</v>
      </c>
      <c r="H54" s="19">
        <f t="shared" si="2"/>
        <v>363456.85</v>
      </c>
      <c r="I54" s="74">
        <v>72691.37</v>
      </c>
      <c r="J54" s="79">
        <f t="shared" si="3"/>
        <v>1840</v>
      </c>
      <c r="K54" s="6">
        <v>7.84</v>
      </c>
      <c r="L54" s="83">
        <v>14425.6</v>
      </c>
      <c r="M54" s="6" t="s">
        <v>91</v>
      </c>
      <c r="N54" s="6" t="s">
        <v>91</v>
      </c>
      <c r="O54" s="19">
        <f t="shared" si="4"/>
        <v>2125.3647959183672</v>
      </c>
      <c r="P54" s="73">
        <v>16662.86</v>
      </c>
      <c r="Q54" s="80" t="s">
        <v>91</v>
      </c>
      <c r="R54" s="82" t="s">
        <v>91</v>
      </c>
      <c r="S54" s="79" t="s">
        <v>91</v>
      </c>
      <c r="T54" s="80" t="s">
        <v>91</v>
      </c>
      <c r="U54" s="80" t="s">
        <v>91</v>
      </c>
      <c r="V54" s="21">
        <v>1960</v>
      </c>
      <c r="W54" s="49">
        <v>0.85709999999999997</v>
      </c>
      <c r="X54" s="98">
        <f t="shared" si="5"/>
        <v>1679.9159999999999</v>
      </c>
      <c r="Y54" s="57" t="s">
        <v>91</v>
      </c>
      <c r="Z54" s="21">
        <f t="shared" si="8"/>
        <v>3232.1199393303</v>
      </c>
      <c r="AA54" s="73">
        <v>2770.25</v>
      </c>
      <c r="AB54" s="94">
        <v>122152.7</v>
      </c>
      <c r="AC54" s="75">
        <v>0.34350000000000003</v>
      </c>
      <c r="AD54" s="62">
        <v>143485.60999999999</v>
      </c>
      <c r="AE54" s="101">
        <f t="shared" si="6"/>
        <v>185445.06245</v>
      </c>
      <c r="AF54" s="21">
        <f t="shared" si="7"/>
        <v>154394.9344978166</v>
      </c>
      <c r="AG54" s="73">
        <v>196520.27</v>
      </c>
      <c r="AH54" s="6" t="s">
        <v>35</v>
      </c>
      <c r="AI54" s="6" t="s">
        <v>35</v>
      </c>
      <c r="AJ54" s="6" t="s">
        <v>35</v>
      </c>
      <c r="AK54" s="6" t="s">
        <v>35</v>
      </c>
      <c r="AL54" s="23">
        <v>5269</v>
      </c>
      <c r="AM54" s="89">
        <v>6386</v>
      </c>
      <c r="AP54"/>
    </row>
    <row r="55" spans="1:42" x14ac:dyDescent="0.25">
      <c r="A55" s="93" t="s">
        <v>92</v>
      </c>
      <c r="B55" s="3">
        <v>5</v>
      </c>
      <c r="C55" s="3">
        <v>2023</v>
      </c>
      <c r="D55" s="19">
        <f t="shared" si="1"/>
        <v>377575.65</v>
      </c>
      <c r="E55" s="73">
        <v>0.2</v>
      </c>
      <c r="F55" s="73">
        <v>75515.13</v>
      </c>
      <c r="G55" s="20" t="s">
        <v>91</v>
      </c>
      <c r="H55" s="19">
        <f t="shared" si="2"/>
        <v>385864.3</v>
      </c>
      <c r="I55" s="74">
        <v>77172.86</v>
      </c>
      <c r="J55" s="79">
        <f t="shared" si="3"/>
        <v>1813</v>
      </c>
      <c r="K55" s="6">
        <v>7.84</v>
      </c>
      <c r="L55" s="83">
        <v>14213.92</v>
      </c>
      <c r="M55" s="6" t="s">
        <v>91</v>
      </c>
      <c r="N55" s="6" t="s">
        <v>91</v>
      </c>
      <c r="O55" s="19">
        <f t="shared" si="4"/>
        <v>2201.3278061224491</v>
      </c>
      <c r="P55" s="73">
        <v>17258.41</v>
      </c>
      <c r="Q55" s="80" t="s">
        <v>91</v>
      </c>
      <c r="R55" s="82" t="s">
        <v>91</v>
      </c>
      <c r="S55" s="79" t="s">
        <v>91</v>
      </c>
      <c r="T55" s="80" t="s">
        <v>91</v>
      </c>
      <c r="U55" s="80" t="s">
        <v>91</v>
      </c>
      <c r="V55" s="21">
        <v>3822</v>
      </c>
      <c r="W55" s="49">
        <v>0.85709999999999997</v>
      </c>
      <c r="X55" s="98">
        <f t="shared" si="5"/>
        <v>3275.8361999999997</v>
      </c>
      <c r="Y55" s="57" t="s">
        <v>91</v>
      </c>
      <c r="Z55" s="21">
        <f t="shared" si="8"/>
        <v>4284.5058919612648</v>
      </c>
      <c r="AA55" s="73">
        <v>3672.25</v>
      </c>
      <c r="AB55" s="94">
        <v>189034.32</v>
      </c>
      <c r="AC55" s="75">
        <v>0.34350000000000003</v>
      </c>
      <c r="AD55" s="62">
        <v>143485.60999999999</v>
      </c>
      <c r="AE55" s="101">
        <f t="shared" si="6"/>
        <v>208418.89892000001</v>
      </c>
      <c r="AF55" s="21">
        <f t="shared" si="7"/>
        <v>224176.91411935957</v>
      </c>
      <c r="AG55" s="73">
        <v>220490.38</v>
      </c>
      <c r="AH55" s="6" t="s">
        <v>35</v>
      </c>
      <c r="AI55" s="6" t="s">
        <v>35</v>
      </c>
      <c r="AJ55" s="6" t="s">
        <v>35</v>
      </c>
      <c r="AK55" s="6" t="s">
        <v>35</v>
      </c>
      <c r="AL55" s="23">
        <v>6673</v>
      </c>
      <c r="AM55" s="89">
        <v>7835</v>
      </c>
      <c r="AP55"/>
    </row>
    <row r="56" spans="1:42" x14ac:dyDescent="0.25">
      <c r="A56" s="93" t="s">
        <v>92</v>
      </c>
      <c r="B56" s="3">
        <v>6</v>
      </c>
      <c r="C56" s="3">
        <v>2023</v>
      </c>
      <c r="D56" s="19">
        <f t="shared" si="1"/>
        <v>357607.24999999994</v>
      </c>
      <c r="E56" s="73">
        <v>0.2</v>
      </c>
      <c r="F56" s="73">
        <v>71521.45</v>
      </c>
      <c r="G56" s="20" t="s">
        <v>91</v>
      </c>
      <c r="H56" s="19">
        <f t="shared" si="2"/>
        <v>353165.6</v>
      </c>
      <c r="I56" s="74">
        <v>70633.119999999995</v>
      </c>
      <c r="J56" s="79">
        <f t="shared" si="3"/>
        <v>1466</v>
      </c>
      <c r="K56" s="6">
        <v>7.84</v>
      </c>
      <c r="L56" s="83">
        <v>11493.44</v>
      </c>
      <c r="M56" s="6" t="s">
        <v>91</v>
      </c>
      <c r="N56" s="6" t="s">
        <v>91</v>
      </c>
      <c r="O56" s="19">
        <f t="shared" si="4"/>
        <v>1920.0012755102041</v>
      </c>
      <c r="P56" s="73">
        <v>15052.81</v>
      </c>
      <c r="Q56" s="80" t="s">
        <v>91</v>
      </c>
      <c r="R56" s="82" t="s">
        <v>91</v>
      </c>
      <c r="S56" s="79" t="s">
        <v>91</v>
      </c>
      <c r="T56" s="80" t="s">
        <v>91</v>
      </c>
      <c r="U56" s="80" t="s">
        <v>91</v>
      </c>
      <c r="V56" s="21">
        <v>3626</v>
      </c>
      <c r="W56" s="49">
        <v>0.85709999999999997</v>
      </c>
      <c r="X56" s="98">
        <f t="shared" si="5"/>
        <v>3107.8445999999999</v>
      </c>
      <c r="Y56" s="57" t="s">
        <v>91</v>
      </c>
      <c r="Z56" s="21">
        <f t="shared" si="8"/>
        <v>3696.9315132423289</v>
      </c>
      <c r="AA56" s="73">
        <v>3168.64</v>
      </c>
      <c r="AB56" s="94">
        <v>237403.02</v>
      </c>
      <c r="AC56" s="75">
        <v>0.34350000000000003</v>
      </c>
      <c r="AD56" s="62">
        <v>143485.60999999999</v>
      </c>
      <c r="AE56" s="101">
        <f t="shared" si="6"/>
        <v>225033.54736999999</v>
      </c>
      <c r="AF56" s="21">
        <f t="shared" si="7"/>
        <v>242561.77583697232</v>
      </c>
      <c r="AG56" s="73">
        <v>226805.58</v>
      </c>
      <c r="AH56" s="6" t="s">
        <v>35</v>
      </c>
      <c r="AI56" s="6" t="s">
        <v>35</v>
      </c>
      <c r="AJ56" s="6" t="s">
        <v>35</v>
      </c>
      <c r="AK56" s="6" t="s">
        <v>35</v>
      </c>
      <c r="AL56" s="23">
        <v>5627</v>
      </c>
      <c r="AM56" s="89">
        <v>6635</v>
      </c>
      <c r="AP56"/>
    </row>
    <row r="57" spans="1:42" x14ac:dyDescent="0.25">
      <c r="A57" s="93" t="s">
        <v>92</v>
      </c>
      <c r="B57" s="3">
        <v>7</v>
      </c>
      <c r="C57" s="3">
        <v>2023</v>
      </c>
      <c r="D57" s="19">
        <f t="shared" si="1"/>
        <v>366087.94999999995</v>
      </c>
      <c r="E57" s="73">
        <v>0.2</v>
      </c>
      <c r="F57" s="73">
        <v>73217.59</v>
      </c>
      <c r="G57" s="20" t="s">
        <v>91</v>
      </c>
      <c r="H57" s="19">
        <f t="shared" si="2"/>
        <v>373191.64999999997</v>
      </c>
      <c r="I57" s="74">
        <v>74638.33</v>
      </c>
      <c r="J57" s="79">
        <f t="shared" si="3"/>
        <v>2043</v>
      </c>
      <c r="K57" s="6">
        <v>7.84</v>
      </c>
      <c r="L57" s="83">
        <v>16017.119999999999</v>
      </c>
      <c r="M57" s="6" t="s">
        <v>91</v>
      </c>
      <c r="N57" s="6" t="s">
        <v>91</v>
      </c>
      <c r="O57" s="19">
        <f t="shared" si="4"/>
        <v>2321.6454081632655</v>
      </c>
      <c r="P57" s="73">
        <v>18201.7</v>
      </c>
      <c r="Q57" s="80" t="s">
        <v>91</v>
      </c>
      <c r="R57" s="82" t="s">
        <v>91</v>
      </c>
      <c r="S57" s="79" t="s">
        <v>91</v>
      </c>
      <c r="T57" s="80" t="s">
        <v>91</v>
      </c>
      <c r="U57" s="80" t="s">
        <v>91</v>
      </c>
      <c r="V57" s="21">
        <v>3430</v>
      </c>
      <c r="W57" s="49">
        <v>0.85709999999999997</v>
      </c>
      <c r="X57" s="98">
        <f t="shared" si="5"/>
        <v>2939.8530000000001</v>
      </c>
      <c r="Y57" s="57" t="s">
        <v>91</v>
      </c>
      <c r="Z57" s="21">
        <f t="shared" si="8"/>
        <v>4798.2032434955081</v>
      </c>
      <c r="AA57" s="73">
        <v>4112.54</v>
      </c>
      <c r="AB57" s="94">
        <v>281513.53999999998</v>
      </c>
      <c r="AC57" s="75">
        <v>0.34350000000000003</v>
      </c>
      <c r="AD57" s="62">
        <v>143485.60999999999</v>
      </c>
      <c r="AE57" s="101">
        <f t="shared" si="6"/>
        <v>240185.51098999998</v>
      </c>
      <c r="AF57" s="21">
        <f t="shared" si="7"/>
        <v>288456.59388646291</v>
      </c>
      <c r="AG57" s="73">
        <v>242570.45</v>
      </c>
      <c r="AH57" s="6" t="s">
        <v>35</v>
      </c>
      <c r="AI57" s="6" t="s">
        <v>35</v>
      </c>
      <c r="AJ57" s="6" t="s">
        <v>35</v>
      </c>
      <c r="AK57" s="6" t="s">
        <v>35</v>
      </c>
      <c r="AL57" s="23">
        <v>6891</v>
      </c>
      <c r="AM57" s="89">
        <v>8500</v>
      </c>
      <c r="AP57"/>
    </row>
    <row r="58" spans="1:42" x14ac:dyDescent="0.25">
      <c r="A58" s="93" t="s">
        <v>92</v>
      </c>
      <c r="B58" s="3">
        <v>8</v>
      </c>
      <c r="C58" s="3">
        <v>2023</v>
      </c>
      <c r="D58" s="19">
        <f t="shared" si="1"/>
        <v>357760.89999999997</v>
      </c>
      <c r="E58" s="73">
        <v>0.2</v>
      </c>
      <c r="F58" s="73">
        <v>71552.179999999993</v>
      </c>
      <c r="G58" s="20" t="s">
        <v>91</v>
      </c>
      <c r="H58" s="19">
        <f t="shared" si="2"/>
        <v>360992.64999999997</v>
      </c>
      <c r="I58" s="74">
        <v>72198.53</v>
      </c>
      <c r="J58" s="79">
        <f t="shared" si="3"/>
        <v>1952</v>
      </c>
      <c r="K58" s="6">
        <v>7.84</v>
      </c>
      <c r="L58" s="83">
        <v>15303.68</v>
      </c>
      <c r="M58" s="6" t="s">
        <v>91</v>
      </c>
      <c r="N58" s="6" t="s">
        <v>91</v>
      </c>
      <c r="O58" s="19">
        <f t="shared" si="4"/>
        <v>2115.9961734693879</v>
      </c>
      <c r="P58" s="73">
        <v>16589.41</v>
      </c>
      <c r="Q58" s="80" t="s">
        <v>91</v>
      </c>
      <c r="R58" s="82" t="s">
        <v>91</v>
      </c>
      <c r="S58" s="79" t="s">
        <v>91</v>
      </c>
      <c r="T58" s="80" t="s">
        <v>91</v>
      </c>
      <c r="U58" s="80" t="s">
        <v>91</v>
      </c>
      <c r="V58" s="21">
        <v>3234</v>
      </c>
      <c r="W58" s="49">
        <v>0.85709999999999997</v>
      </c>
      <c r="X58" s="98">
        <f t="shared" si="5"/>
        <v>2771.8613999999998</v>
      </c>
      <c r="Y58" s="57" t="s">
        <v>91</v>
      </c>
      <c r="Z58" s="21">
        <f t="shared" si="8"/>
        <v>4699.4633064986583</v>
      </c>
      <c r="AA58" s="73">
        <v>4027.91</v>
      </c>
      <c r="AB58" s="94">
        <v>261818.43</v>
      </c>
      <c r="AC58" s="75">
        <v>0.34420000000000001</v>
      </c>
      <c r="AD58" s="62">
        <v>149225.57999999999</v>
      </c>
      <c r="AE58" s="101">
        <f t="shared" si="6"/>
        <v>239343.48360599997</v>
      </c>
      <c r="AF58" s="21">
        <f t="shared" si="7"/>
        <v>346316.41487507266</v>
      </c>
      <c r="AG58" s="73">
        <v>268427.69</v>
      </c>
      <c r="AH58" s="6" t="s">
        <v>35</v>
      </c>
      <c r="AI58" s="6" t="s">
        <v>35</v>
      </c>
      <c r="AJ58" s="6" t="s">
        <v>35</v>
      </c>
      <c r="AK58" s="6" t="s">
        <v>35</v>
      </c>
      <c r="AL58" s="23">
        <v>7464</v>
      </c>
      <c r="AM58" s="89">
        <v>8838</v>
      </c>
      <c r="AP58"/>
    </row>
    <row r="59" spans="1:42" x14ac:dyDescent="0.25">
      <c r="A59" s="93" t="s">
        <v>92</v>
      </c>
      <c r="B59" s="3">
        <v>9</v>
      </c>
      <c r="C59" s="3">
        <v>2023</v>
      </c>
      <c r="D59" s="19">
        <f t="shared" si="1"/>
        <v>350355.04999999993</v>
      </c>
      <c r="E59" s="73">
        <v>0.2</v>
      </c>
      <c r="F59" s="73">
        <v>70071.009999999995</v>
      </c>
      <c r="G59" s="20" t="s">
        <v>91</v>
      </c>
      <c r="H59" s="19">
        <f t="shared" si="2"/>
        <v>400005.14999999997</v>
      </c>
      <c r="I59" s="74">
        <v>80001.03</v>
      </c>
      <c r="J59" s="79">
        <f t="shared" si="3"/>
        <v>1549</v>
      </c>
      <c r="K59" s="6">
        <v>7.84</v>
      </c>
      <c r="L59" s="83">
        <v>12144.16</v>
      </c>
      <c r="M59" s="6" t="s">
        <v>91</v>
      </c>
      <c r="N59" s="6" t="s">
        <v>91</v>
      </c>
      <c r="O59" s="19">
        <f t="shared" si="4"/>
        <v>2758.7767857142858</v>
      </c>
      <c r="P59" s="73">
        <v>21628.81</v>
      </c>
      <c r="Q59" s="80" t="s">
        <v>91</v>
      </c>
      <c r="R59" s="82" t="s">
        <v>91</v>
      </c>
      <c r="S59" s="79" t="s">
        <v>91</v>
      </c>
      <c r="T59" s="80" t="s">
        <v>91</v>
      </c>
      <c r="U59" s="80" t="s">
        <v>91</v>
      </c>
      <c r="V59" s="21">
        <v>4116</v>
      </c>
      <c r="W59" s="49">
        <v>0.85709999999999997</v>
      </c>
      <c r="X59" s="98">
        <f t="shared" si="5"/>
        <v>3527.8235999999997</v>
      </c>
      <c r="Y59" s="57" t="s">
        <v>91</v>
      </c>
      <c r="Z59" s="21">
        <f t="shared" si="8"/>
        <v>5052.747637381869</v>
      </c>
      <c r="AA59" s="73">
        <v>4330.71</v>
      </c>
      <c r="AB59" s="94">
        <v>256721.19</v>
      </c>
      <c r="AC59" s="75">
        <v>0.34420000000000001</v>
      </c>
      <c r="AD59" s="62">
        <v>149225.57999999999</v>
      </c>
      <c r="AE59" s="101">
        <f t="shared" si="6"/>
        <v>237589.01359799999</v>
      </c>
      <c r="AF59" s="21">
        <f t="shared" si="7"/>
        <v>284588.26263800118</v>
      </c>
      <c r="AG59" s="73">
        <v>247180.86</v>
      </c>
      <c r="AH59" s="6" t="s">
        <v>35</v>
      </c>
      <c r="AI59" s="6" t="s">
        <v>35</v>
      </c>
      <c r="AJ59" s="6" t="s">
        <v>35</v>
      </c>
      <c r="AK59" s="6" t="s">
        <v>35</v>
      </c>
      <c r="AL59" s="23">
        <v>6674</v>
      </c>
      <c r="AM59" s="89">
        <v>7778</v>
      </c>
      <c r="AP59"/>
    </row>
    <row r="60" spans="1:42" x14ac:dyDescent="0.25">
      <c r="A60" s="93" t="s">
        <v>92</v>
      </c>
      <c r="B60" s="3">
        <v>10</v>
      </c>
      <c r="C60" s="3">
        <v>2023</v>
      </c>
      <c r="D60" s="19">
        <f t="shared" si="1"/>
        <v>372964.10000000003</v>
      </c>
      <c r="E60" s="73">
        <v>0.2</v>
      </c>
      <c r="F60" s="73">
        <v>74592.820000000007</v>
      </c>
      <c r="G60" s="20" t="s">
        <v>91</v>
      </c>
      <c r="H60" s="19">
        <f t="shared" si="2"/>
        <v>392117.24999999994</v>
      </c>
      <c r="I60" s="74">
        <v>78423.45</v>
      </c>
      <c r="J60" s="79">
        <f t="shared" si="3"/>
        <v>1703</v>
      </c>
      <c r="K60" s="6">
        <v>7.84</v>
      </c>
      <c r="L60" s="83">
        <v>13351.52</v>
      </c>
      <c r="M60" s="6" t="s">
        <v>91</v>
      </c>
      <c r="N60" s="6" t="s">
        <v>91</v>
      </c>
      <c r="O60" s="19">
        <f t="shared" si="4"/>
        <v>2860.2321428571431</v>
      </c>
      <c r="P60" s="73">
        <v>22424.22</v>
      </c>
      <c r="Q60" s="80" t="s">
        <v>91</v>
      </c>
      <c r="R60" s="82" t="s">
        <v>91</v>
      </c>
      <c r="S60" s="79" t="s">
        <v>91</v>
      </c>
      <c r="T60" s="80" t="s">
        <v>91</v>
      </c>
      <c r="U60" s="80" t="s">
        <v>91</v>
      </c>
      <c r="V60" s="21">
        <v>4900</v>
      </c>
      <c r="W60" s="49">
        <v>0.85709999999999997</v>
      </c>
      <c r="X60" s="98">
        <f t="shared" si="5"/>
        <v>4199.79</v>
      </c>
      <c r="Y60" s="57" t="s">
        <v>91</v>
      </c>
      <c r="Z60" s="21">
        <f t="shared" si="8"/>
        <v>5955.1744253879369</v>
      </c>
      <c r="AA60" s="73">
        <v>5104.18</v>
      </c>
      <c r="AB60" s="94">
        <v>217734.83</v>
      </c>
      <c r="AC60" s="75">
        <v>0.34420000000000001</v>
      </c>
      <c r="AD60" s="62">
        <v>149225.57999999999</v>
      </c>
      <c r="AE60" s="101">
        <f t="shared" si="6"/>
        <v>224169.90848599997</v>
      </c>
      <c r="AF60" s="21">
        <f t="shared" si="7"/>
        <v>274938.95990703086</v>
      </c>
      <c r="AG60" s="73">
        <v>243859.57</v>
      </c>
      <c r="AH60" s="6" t="s">
        <v>35</v>
      </c>
      <c r="AI60" s="6" t="s">
        <v>35</v>
      </c>
      <c r="AJ60" s="6" t="s">
        <v>35</v>
      </c>
      <c r="AK60" s="6" t="s">
        <v>35</v>
      </c>
      <c r="AL60" s="23">
        <v>6648</v>
      </c>
      <c r="AM60" s="89">
        <v>7902</v>
      </c>
      <c r="AP60"/>
    </row>
    <row r="61" spans="1:42" x14ac:dyDescent="0.25">
      <c r="A61" s="93" t="s">
        <v>92</v>
      </c>
      <c r="B61" s="3">
        <v>11</v>
      </c>
      <c r="C61" s="3">
        <v>2023</v>
      </c>
      <c r="D61" s="19">
        <f t="shared" si="1"/>
        <v>373304.49999999994</v>
      </c>
      <c r="E61" s="73">
        <v>0.2</v>
      </c>
      <c r="F61" s="73">
        <v>74660.899999999994</v>
      </c>
      <c r="G61" s="20" t="s">
        <v>91</v>
      </c>
      <c r="H61" s="19">
        <f t="shared" si="2"/>
        <v>393518.7</v>
      </c>
      <c r="I61" s="74">
        <v>78703.740000000005</v>
      </c>
      <c r="J61" s="79">
        <f t="shared" si="3"/>
        <v>1764</v>
      </c>
      <c r="K61" s="6">
        <v>7.84</v>
      </c>
      <c r="L61" s="83">
        <v>13829.76</v>
      </c>
      <c r="M61" s="6" t="s">
        <v>91</v>
      </c>
      <c r="N61" s="6" t="s">
        <v>91</v>
      </c>
      <c r="O61" s="19">
        <f t="shared" si="4"/>
        <v>3112.4375</v>
      </c>
      <c r="P61" s="73">
        <v>24401.51</v>
      </c>
      <c r="Q61" s="80" t="s">
        <v>91</v>
      </c>
      <c r="R61" s="82" t="s">
        <v>91</v>
      </c>
      <c r="S61" s="79" t="s">
        <v>91</v>
      </c>
      <c r="T61" s="80" t="s">
        <v>91</v>
      </c>
      <c r="U61" s="80" t="s">
        <v>91</v>
      </c>
      <c r="V61" s="21">
        <v>3528</v>
      </c>
      <c r="W61" s="49">
        <v>0.85709999999999997</v>
      </c>
      <c r="X61" s="98">
        <f t="shared" si="5"/>
        <v>3023.8487999999998</v>
      </c>
      <c r="Y61" s="57" t="s">
        <v>91</v>
      </c>
      <c r="Z61" s="21">
        <f t="shared" si="8"/>
        <v>6007.5370435188433</v>
      </c>
      <c r="AA61" s="73">
        <v>5149.0600000000004</v>
      </c>
      <c r="AB61" s="94">
        <v>151487.01999999999</v>
      </c>
      <c r="AC61" s="75">
        <v>0.34420000000000001</v>
      </c>
      <c r="AD61" s="62">
        <v>149225.57999999999</v>
      </c>
      <c r="AE61" s="101">
        <f t="shared" si="6"/>
        <v>201367.41228399999</v>
      </c>
      <c r="AF61" s="21">
        <f t="shared" si="7"/>
        <v>229082.33585124931</v>
      </c>
      <c r="AG61" s="73">
        <v>228075.72</v>
      </c>
      <c r="AH61" s="6" t="s">
        <v>35</v>
      </c>
      <c r="AI61" s="6" t="s">
        <v>35</v>
      </c>
      <c r="AJ61" s="6" t="s">
        <v>35</v>
      </c>
      <c r="AK61" s="6" t="s">
        <v>35</v>
      </c>
      <c r="AL61" s="23">
        <v>7065</v>
      </c>
      <c r="AM61" s="89">
        <v>8817</v>
      </c>
      <c r="AP61"/>
    </row>
    <row r="62" spans="1:42" x14ac:dyDescent="0.25">
      <c r="A62" s="93" t="s">
        <v>92</v>
      </c>
      <c r="B62" s="3">
        <v>12</v>
      </c>
      <c r="C62" s="3">
        <v>2023</v>
      </c>
      <c r="D62" s="19">
        <f t="shared" si="1"/>
        <v>369720.69999999995</v>
      </c>
      <c r="E62" s="73">
        <v>0.2</v>
      </c>
      <c r="F62" s="73">
        <v>73944.14</v>
      </c>
      <c r="G62" s="20" t="s">
        <v>91</v>
      </c>
      <c r="H62" s="19">
        <f t="shared" si="2"/>
        <v>410836.25</v>
      </c>
      <c r="I62" s="74">
        <v>82167.25</v>
      </c>
      <c r="J62" s="79">
        <f t="shared" si="3"/>
        <v>2105</v>
      </c>
      <c r="K62" s="6">
        <v>7.84</v>
      </c>
      <c r="L62" s="83">
        <v>16503.2</v>
      </c>
      <c r="M62" s="6" t="s">
        <v>91</v>
      </c>
      <c r="N62" s="6" t="s">
        <v>91</v>
      </c>
      <c r="O62" s="19">
        <f t="shared" si="4"/>
        <v>2888.0382653061229</v>
      </c>
      <c r="P62" s="73">
        <v>22642.22</v>
      </c>
      <c r="Q62" s="80" t="s">
        <v>91</v>
      </c>
      <c r="R62" s="82" t="s">
        <v>91</v>
      </c>
      <c r="S62" s="79" t="s">
        <v>91</v>
      </c>
      <c r="T62" s="80" t="s">
        <v>91</v>
      </c>
      <c r="U62" s="80" t="s">
        <v>91</v>
      </c>
      <c r="V62" s="21">
        <v>4802</v>
      </c>
      <c r="W62" s="49">
        <v>0.85709999999999997</v>
      </c>
      <c r="X62" s="98">
        <f t="shared" si="5"/>
        <v>4115.7942000000003</v>
      </c>
      <c r="Y62" s="57" t="s">
        <v>91</v>
      </c>
      <c r="Z62" s="21">
        <f t="shared" si="8"/>
        <v>5759.4213043985528</v>
      </c>
      <c r="AA62" s="73">
        <v>4936.3999999999996</v>
      </c>
      <c r="AB62" s="94">
        <v>111532.58</v>
      </c>
      <c r="AC62" s="75">
        <v>0.34420000000000001</v>
      </c>
      <c r="AD62" s="62">
        <v>149225.57999999999</v>
      </c>
      <c r="AE62" s="101">
        <f t="shared" si="6"/>
        <v>187615.09403599999</v>
      </c>
      <c r="AF62" s="21">
        <f t="shared" si="7"/>
        <v>149913.48053457291</v>
      </c>
      <c r="AG62" s="73">
        <v>200825.8</v>
      </c>
      <c r="AH62" s="6" t="s">
        <v>35</v>
      </c>
      <c r="AI62" s="6" t="s">
        <v>35</v>
      </c>
      <c r="AJ62" s="6" t="s">
        <v>35</v>
      </c>
      <c r="AK62" s="6" t="s">
        <v>35</v>
      </c>
      <c r="AL62" s="23">
        <v>6930</v>
      </c>
      <c r="AM62" s="89">
        <v>8888</v>
      </c>
      <c r="AP62"/>
    </row>
    <row r="63" spans="1:42" x14ac:dyDescent="0.25">
      <c r="A63" s="93" t="s">
        <v>92</v>
      </c>
      <c r="B63" s="3">
        <v>1</v>
      </c>
      <c r="C63" s="3">
        <v>2024</v>
      </c>
      <c r="D63" s="19">
        <f t="shared" si="1"/>
        <v>375835.55</v>
      </c>
      <c r="E63" s="73">
        <v>0.2</v>
      </c>
      <c r="F63" s="73">
        <v>75167.11</v>
      </c>
      <c r="G63" s="20" t="s">
        <v>91</v>
      </c>
      <c r="H63" s="19">
        <f t="shared" si="2"/>
        <v>399327.64999999997</v>
      </c>
      <c r="I63" s="74">
        <v>79865.53</v>
      </c>
      <c r="J63" s="79">
        <f t="shared" si="3"/>
        <v>1566</v>
      </c>
      <c r="K63" s="6">
        <v>7.84</v>
      </c>
      <c r="L63" s="83">
        <v>12277.44</v>
      </c>
      <c r="M63" s="6" t="s">
        <v>91</v>
      </c>
      <c r="N63" s="6" t="s">
        <v>91</v>
      </c>
      <c r="O63" s="19">
        <f t="shared" si="4"/>
        <v>2090.9897959183672</v>
      </c>
      <c r="P63" s="73">
        <v>16393.36</v>
      </c>
      <c r="Q63" s="80" t="s">
        <v>91</v>
      </c>
      <c r="R63" s="82" t="s">
        <v>91</v>
      </c>
      <c r="S63" s="79" t="s">
        <v>91</v>
      </c>
      <c r="T63" s="80" t="s">
        <v>91</v>
      </c>
      <c r="U63" s="80" t="s">
        <v>91</v>
      </c>
      <c r="V63" s="21">
        <v>4312.2299999999996</v>
      </c>
      <c r="W63" s="49">
        <v>0.85709999999999997</v>
      </c>
      <c r="X63" s="98">
        <f t="shared" ref="X63:X74" si="9">V63*W63</f>
        <v>3696.0123329999997</v>
      </c>
      <c r="Y63" s="57" t="s">
        <v>91</v>
      </c>
      <c r="Z63" s="21">
        <f t="shared" si="8"/>
        <v>4946.4006533660022</v>
      </c>
      <c r="AA63" s="73">
        <v>4239.5600000000004</v>
      </c>
      <c r="AB63" s="94">
        <v>91918.59</v>
      </c>
      <c r="AC63" s="75">
        <v>0.34420000000000001</v>
      </c>
      <c r="AD63" s="62">
        <v>149225.57999999999</v>
      </c>
      <c r="AE63" s="101">
        <f t="shared" ref="AE63:AE74" si="10">AD63+(AB63*AC63)</f>
        <v>180863.958678</v>
      </c>
      <c r="AF63" s="21">
        <f t="shared" si="7"/>
        <v>102040.06391632772</v>
      </c>
      <c r="AG63" s="73">
        <v>184347.77</v>
      </c>
      <c r="AH63" s="6" t="s">
        <v>35</v>
      </c>
      <c r="AI63" s="6" t="s">
        <v>35</v>
      </c>
      <c r="AJ63" s="6" t="s">
        <v>35</v>
      </c>
      <c r="AK63" s="6" t="s">
        <v>35</v>
      </c>
      <c r="AL63" s="23">
        <v>6519</v>
      </c>
      <c r="AM63" s="89">
        <v>8255</v>
      </c>
      <c r="AP63"/>
    </row>
    <row r="64" spans="1:42" x14ac:dyDescent="0.25">
      <c r="A64" s="93" t="s">
        <v>92</v>
      </c>
      <c r="B64" s="3">
        <v>2</v>
      </c>
      <c r="C64" s="3">
        <v>2024</v>
      </c>
      <c r="D64" s="19">
        <f t="shared" si="1"/>
        <v>364679.7</v>
      </c>
      <c r="E64" s="73">
        <v>0.2</v>
      </c>
      <c r="F64" s="73">
        <v>72935.94</v>
      </c>
      <c r="G64" s="20" t="s">
        <v>91</v>
      </c>
      <c r="H64" s="19">
        <f t="shared" si="2"/>
        <v>388564.25</v>
      </c>
      <c r="I64" s="74">
        <v>77712.850000000006</v>
      </c>
      <c r="J64" s="79">
        <f t="shared" si="3"/>
        <v>1751</v>
      </c>
      <c r="K64" s="6">
        <v>7.84</v>
      </c>
      <c r="L64" s="83">
        <v>13727.84</v>
      </c>
      <c r="M64" s="6" t="s">
        <v>91</v>
      </c>
      <c r="N64" s="6" t="s">
        <v>91</v>
      </c>
      <c r="O64" s="19">
        <f t="shared" si="4"/>
        <v>2220.0140306122448</v>
      </c>
      <c r="P64" s="73">
        <v>17404.91</v>
      </c>
      <c r="Q64" s="80" t="s">
        <v>91</v>
      </c>
      <c r="R64" s="82" t="s">
        <v>91</v>
      </c>
      <c r="S64" s="79" t="s">
        <v>91</v>
      </c>
      <c r="T64" s="80" t="s">
        <v>91</v>
      </c>
      <c r="U64" s="80" t="s">
        <v>91</v>
      </c>
      <c r="V64" s="21">
        <v>5488.21</v>
      </c>
      <c r="W64" s="49">
        <v>0.85709999999999997</v>
      </c>
      <c r="X64" s="98">
        <f t="shared" si="9"/>
        <v>4703.9447909999999</v>
      </c>
      <c r="Y64" s="57" t="s">
        <v>91</v>
      </c>
      <c r="Z64" s="21">
        <f t="shared" si="8"/>
        <v>7423.0894878077243</v>
      </c>
      <c r="AA64" s="73">
        <v>6362.33</v>
      </c>
      <c r="AB64" s="94">
        <v>85847.23</v>
      </c>
      <c r="AC64" s="75">
        <v>0.34420000000000001</v>
      </c>
      <c r="AD64" s="62">
        <v>149225.57999999999</v>
      </c>
      <c r="AE64" s="101">
        <f t="shared" si="10"/>
        <v>178774.196566</v>
      </c>
      <c r="AF64" s="21">
        <f t="shared" si="7"/>
        <v>114809.41313190012</v>
      </c>
      <c r="AG64" s="73">
        <v>188742.98</v>
      </c>
      <c r="AH64" s="6" t="s">
        <v>35</v>
      </c>
      <c r="AI64" s="6" t="s">
        <v>35</v>
      </c>
      <c r="AJ64" s="6" t="s">
        <v>35</v>
      </c>
      <c r="AK64" s="6" t="s">
        <v>35</v>
      </c>
      <c r="AL64" s="22">
        <v>7190</v>
      </c>
      <c r="AM64" s="90">
        <v>9220</v>
      </c>
    </row>
    <row r="65" spans="1:39" x14ac:dyDescent="0.25">
      <c r="A65" s="93" t="s">
        <v>92</v>
      </c>
      <c r="B65" s="3">
        <v>3</v>
      </c>
      <c r="C65" s="3">
        <v>2024</v>
      </c>
      <c r="D65" s="19">
        <f t="shared" si="1"/>
        <v>362479.25</v>
      </c>
      <c r="E65" s="73">
        <v>0.2</v>
      </c>
      <c r="F65" s="73">
        <v>72495.850000000006</v>
      </c>
      <c r="G65" s="20" t="s">
        <v>91</v>
      </c>
      <c r="H65" s="19">
        <f t="shared" si="2"/>
        <v>398999.89999999997</v>
      </c>
      <c r="I65" s="74">
        <v>79799.98</v>
      </c>
      <c r="J65" s="79">
        <f t="shared" si="3"/>
        <v>1722</v>
      </c>
      <c r="K65" s="6">
        <v>7.84</v>
      </c>
      <c r="L65" s="83">
        <v>13500.48</v>
      </c>
      <c r="M65" s="6" t="s">
        <v>91</v>
      </c>
      <c r="N65" s="6" t="s">
        <v>91</v>
      </c>
      <c r="O65" s="19">
        <f t="shared" si="4"/>
        <v>1815.5038265306123</v>
      </c>
      <c r="P65" s="73">
        <v>14233.55</v>
      </c>
      <c r="Q65" s="80" t="s">
        <v>91</v>
      </c>
      <c r="R65" s="82" t="s">
        <v>91</v>
      </c>
      <c r="S65" s="79" t="s">
        <v>91</v>
      </c>
      <c r="T65" s="80" t="s">
        <v>91</v>
      </c>
      <c r="U65" s="80" t="s">
        <v>91</v>
      </c>
      <c r="V65" s="21">
        <v>2817.75</v>
      </c>
      <c r="W65" s="49">
        <v>0.85709999999999997</v>
      </c>
      <c r="X65" s="98">
        <f t="shared" si="9"/>
        <v>2415.0935249999998</v>
      </c>
      <c r="Y65" s="57" t="s">
        <v>91</v>
      </c>
      <c r="Z65" s="21">
        <f t="shared" si="8"/>
        <v>4609.4038035235099</v>
      </c>
      <c r="AA65" s="73">
        <v>3950.72</v>
      </c>
      <c r="AB65" s="94">
        <v>106309.26</v>
      </c>
      <c r="AC65" s="75">
        <v>0.34420000000000001</v>
      </c>
      <c r="AD65" s="62">
        <v>149225.57999999999</v>
      </c>
      <c r="AE65" s="101">
        <f t="shared" si="10"/>
        <v>185817.227292</v>
      </c>
      <c r="AF65" s="21">
        <f t="shared" si="7"/>
        <v>146125.59558396289</v>
      </c>
      <c r="AG65" s="73">
        <v>199522.01</v>
      </c>
      <c r="AH65" s="6" t="s">
        <v>35</v>
      </c>
      <c r="AI65" s="6" t="s">
        <v>35</v>
      </c>
      <c r="AJ65" s="6" t="s">
        <v>35</v>
      </c>
      <c r="AK65" s="6" t="s">
        <v>35</v>
      </c>
      <c r="AL65" s="22">
        <v>7308</v>
      </c>
      <c r="AM65" s="90">
        <v>8827</v>
      </c>
    </row>
    <row r="66" spans="1:39" x14ac:dyDescent="0.25">
      <c r="A66" s="93" t="s">
        <v>92</v>
      </c>
      <c r="B66" s="3">
        <v>4</v>
      </c>
      <c r="C66" s="3">
        <v>2024</v>
      </c>
      <c r="D66" s="19">
        <f t="shared" si="1"/>
        <v>344209.7</v>
      </c>
      <c r="E66" s="73">
        <v>0.2</v>
      </c>
      <c r="F66" s="73">
        <v>68841.94</v>
      </c>
      <c r="G66" s="20" t="s">
        <v>91</v>
      </c>
      <c r="H66" s="19">
        <f t="shared" si="2"/>
        <v>406660.89999999997</v>
      </c>
      <c r="I66" s="74">
        <v>81332.179999999993</v>
      </c>
      <c r="J66" s="79">
        <f t="shared" si="3"/>
        <v>1764</v>
      </c>
      <c r="K66" s="6">
        <v>7.84</v>
      </c>
      <c r="L66" s="83">
        <v>13829.76</v>
      </c>
      <c r="M66" s="6" t="s">
        <v>91</v>
      </c>
      <c r="N66" s="6" t="s">
        <v>91</v>
      </c>
      <c r="O66" s="19">
        <f t="shared" si="4"/>
        <v>2374.4056122448978</v>
      </c>
      <c r="P66" s="73">
        <v>18615.34</v>
      </c>
      <c r="Q66" s="80" t="s">
        <v>91</v>
      </c>
      <c r="R66" s="82" t="s">
        <v>91</v>
      </c>
      <c r="S66" s="79" t="s">
        <v>91</v>
      </c>
      <c r="T66" s="80" t="s">
        <v>91</v>
      </c>
      <c r="U66" s="80" t="s">
        <v>91</v>
      </c>
      <c r="V66" s="21">
        <v>3038.15</v>
      </c>
      <c r="W66" s="49">
        <v>0.85709999999999997</v>
      </c>
      <c r="X66" s="98">
        <f t="shared" si="9"/>
        <v>2603.9983649999999</v>
      </c>
      <c r="Y66" s="57" t="s">
        <v>91</v>
      </c>
      <c r="Z66" s="21">
        <f t="shared" si="8"/>
        <v>4257.6245478940618</v>
      </c>
      <c r="AA66" s="73">
        <v>3649.21</v>
      </c>
      <c r="AB66" s="94">
        <v>128469.34</v>
      </c>
      <c r="AC66" s="75">
        <v>0.34420000000000001</v>
      </c>
      <c r="AD66" s="62">
        <v>149225.57999999999</v>
      </c>
      <c r="AE66" s="101">
        <f t="shared" si="10"/>
        <v>193444.72682799998</v>
      </c>
      <c r="AF66" s="21">
        <f t="shared" si="7"/>
        <v>140779.2562463684</v>
      </c>
      <c r="AG66" s="73">
        <v>197681.8</v>
      </c>
      <c r="AH66" s="6" t="s">
        <v>35</v>
      </c>
      <c r="AI66" s="6" t="s">
        <v>35</v>
      </c>
      <c r="AJ66" s="6" t="s">
        <v>35</v>
      </c>
      <c r="AK66" s="6" t="s">
        <v>35</v>
      </c>
      <c r="AL66" s="22">
        <v>6787</v>
      </c>
      <c r="AM66" s="90">
        <v>8363</v>
      </c>
    </row>
    <row r="67" spans="1:39" x14ac:dyDescent="0.25">
      <c r="A67" s="93" t="s">
        <v>92</v>
      </c>
      <c r="B67" s="3">
        <v>5</v>
      </c>
      <c r="C67" s="3">
        <v>2024</v>
      </c>
      <c r="D67" s="19">
        <f t="shared" si="1"/>
        <v>362284.49999999994</v>
      </c>
      <c r="E67" s="73">
        <v>0.2</v>
      </c>
      <c r="F67" s="73">
        <v>72456.899999999994</v>
      </c>
      <c r="G67" s="20" t="s">
        <v>91</v>
      </c>
      <c r="H67" s="19">
        <f t="shared" si="2"/>
        <v>402140.5</v>
      </c>
      <c r="I67" s="74">
        <v>80428.100000000006</v>
      </c>
      <c r="J67" s="79">
        <f t="shared" si="3"/>
        <v>2023</v>
      </c>
      <c r="K67" s="6">
        <v>7.84</v>
      </c>
      <c r="L67" s="83">
        <v>15860.32</v>
      </c>
      <c r="M67" s="6" t="s">
        <v>91</v>
      </c>
      <c r="N67" s="6" t="s">
        <v>91</v>
      </c>
      <c r="O67" s="19">
        <f t="shared" si="4"/>
        <v>2195.4808673469388</v>
      </c>
      <c r="P67" s="73">
        <v>17212.57</v>
      </c>
      <c r="Q67" s="80" t="s">
        <v>91</v>
      </c>
      <c r="R67" s="82" t="s">
        <v>91</v>
      </c>
      <c r="S67" s="79" t="s">
        <v>91</v>
      </c>
      <c r="T67" s="80" t="s">
        <v>91</v>
      </c>
      <c r="U67" s="80" t="s">
        <v>91</v>
      </c>
      <c r="V67" s="21">
        <v>3529.29</v>
      </c>
      <c r="W67" s="49">
        <v>0.85709999999999997</v>
      </c>
      <c r="X67" s="98">
        <f t="shared" si="9"/>
        <v>3024.954459</v>
      </c>
      <c r="Y67" s="57" t="s">
        <v>91</v>
      </c>
      <c r="Z67" s="21">
        <f t="shared" si="8"/>
        <v>5597.1531909928826</v>
      </c>
      <c r="AA67" s="73">
        <v>4797.32</v>
      </c>
      <c r="AB67" s="94">
        <v>193280.91</v>
      </c>
      <c r="AC67" s="75">
        <v>0.34420000000000001</v>
      </c>
      <c r="AD67" s="62">
        <v>149225.57999999999</v>
      </c>
      <c r="AE67" s="101">
        <f t="shared" si="10"/>
        <v>215752.86922200001</v>
      </c>
      <c r="AF67" s="21">
        <f t="shared" si="7"/>
        <v>215074.49157466594</v>
      </c>
      <c r="AG67" s="73">
        <v>223254.22</v>
      </c>
      <c r="AH67" s="6" t="s">
        <v>35</v>
      </c>
      <c r="AI67" s="6" t="s">
        <v>35</v>
      </c>
      <c r="AJ67" s="6" t="s">
        <v>35</v>
      </c>
      <c r="AK67" s="6" t="s">
        <v>35</v>
      </c>
      <c r="AL67" s="22">
        <v>7233</v>
      </c>
      <c r="AM67" s="90">
        <v>8819</v>
      </c>
    </row>
    <row r="68" spans="1:39" x14ac:dyDescent="0.25">
      <c r="A68" s="93" t="s">
        <v>92</v>
      </c>
      <c r="B68" s="3">
        <v>6</v>
      </c>
      <c r="C68" s="3">
        <v>2024</v>
      </c>
      <c r="D68" s="19">
        <f t="shared" ref="D68:D74" si="11">F68/E68</f>
        <v>326367.94999999995</v>
      </c>
      <c r="E68" s="73">
        <v>0.2</v>
      </c>
      <c r="F68" s="73">
        <v>65273.59</v>
      </c>
      <c r="G68" s="20" t="s">
        <v>91</v>
      </c>
      <c r="H68" s="19">
        <f t="shared" ref="H68:H74" si="12">I68/0.2</f>
        <v>368669.13999999996</v>
      </c>
      <c r="I68" s="74">
        <v>73733.827999999994</v>
      </c>
      <c r="J68" s="79">
        <f t="shared" ref="J68:J74" si="13">L68/K68</f>
        <v>1971</v>
      </c>
      <c r="K68" s="6">
        <v>7.84</v>
      </c>
      <c r="L68" s="83">
        <v>15452.64</v>
      </c>
      <c r="M68" s="6" t="s">
        <v>91</v>
      </c>
      <c r="N68" s="6" t="s">
        <v>91</v>
      </c>
      <c r="O68" s="19">
        <f t="shared" ref="O68:O74" si="14">P68/7.84</f>
        <v>1885.1913265306123</v>
      </c>
      <c r="P68" s="73">
        <v>14779.9</v>
      </c>
      <c r="Q68" s="80" t="s">
        <v>91</v>
      </c>
      <c r="R68" s="82" t="s">
        <v>91</v>
      </c>
      <c r="S68" s="79" t="s">
        <v>91</v>
      </c>
      <c r="T68" s="80" t="s">
        <v>91</v>
      </c>
      <c r="U68" s="80" t="s">
        <v>91</v>
      </c>
      <c r="V68" s="21">
        <v>3721.01</v>
      </c>
      <c r="W68" s="49">
        <v>1.2551000000000001</v>
      </c>
      <c r="X68" s="98">
        <f t="shared" si="9"/>
        <v>4670.2396510000008</v>
      </c>
      <c r="Y68" s="57" t="s">
        <v>91</v>
      </c>
      <c r="Z68" s="21">
        <f t="shared" si="8"/>
        <v>3184.3996494303237</v>
      </c>
      <c r="AA68" s="73">
        <v>3996.74</v>
      </c>
      <c r="AB68" s="94">
        <v>212113.42</v>
      </c>
      <c r="AC68" s="75">
        <v>0.34420000000000001</v>
      </c>
      <c r="AD68" s="62">
        <v>149225.57999999999</v>
      </c>
      <c r="AE68" s="101">
        <f t="shared" si="10"/>
        <v>222235.019164</v>
      </c>
      <c r="AF68" s="21">
        <f t="shared" ref="AF68:AF74" si="15">(AG68-AD68)/AC68</f>
        <v>253180.12783265545</v>
      </c>
      <c r="AG68" s="73">
        <v>236370.18</v>
      </c>
      <c r="AH68" s="6" t="s">
        <v>35</v>
      </c>
      <c r="AI68" s="6" t="s">
        <v>35</v>
      </c>
      <c r="AJ68" s="6" t="s">
        <v>35</v>
      </c>
      <c r="AK68" s="6" t="s">
        <v>35</v>
      </c>
      <c r="AL68" s="22">
        <v>6920</v>
      </c>
      <c r="AM68" s="90">
        <v>8261</v>
      </c>
    </row>
    <row r="69" spans="1:39" x14ac:dyDescent="0.25">
      <c r="A69" s="93" t="s">
        <v>92</v>
      </c>
      <c r="B69" s="3">
        <v>7</v>
      </c>
      <c r="C69" s="3">
        <v>2024</v>
      </c>
      <c r="D69" s="19">
        <f t="shared" si="11"/>
        <v>344984.19999999995</v>
      </c>
      <c r="E69" s="73">
        <v>0.2</v>
      </c>
      <c r="F69" s="73">
        <v>68996.84</v>
      </c>
      <c r="G69" s="20" t="s">
        <v>91</v>
      </c>
      <c r="H69" s="19">
        <f t="shared" si="12"/>
        <v>373409.7</v>
      </c>
      <c r="I69" s="74">
        <v>74681.94</v>
      </c>
      <c r="J69" s="79">
        <f t="shared" si="13"/>
        <v>1874</v>
      </c>
      <c r="K69" s="6">
        <v>7.84</v>
      </c>
      <c r="L69" s="83">
        <v>14692.16</v>
      </c>
      <c r="M69" s="6" t="s">
        <v>91</v>
      </c>
      <c r="N69" s="6" t="s">
        <v>91</v>
      </c>
      <c r="O69" s="19">
        <f t="shared" si="14"/>
        <v>2093.9183673469388</v>
      </c>
      <c r="P69" s="73">
        <v>16416.32</v>
      </c>
      <c r="Q69" s="80" t="s">
        <v>91</v>
      </c>
      <c r="R69" s="82" t="s">
        <v>91</v>
      </c>
      <c r="S69" s="79" t="s">
        <v>91</v>
      </c>
      <c r="T69" s="80" t="s">
        <v>91</v>
      </c>
      <c r="U69" s="80" t="s">
        <v>91</v>
      </c>
      <c r="V69" s="21">
        <v>3880.79</v>
      </c>
      <c r="W69" s="49">
        <v>1.2551000000000001</v>
      </c>
      <c r="X69" s="98">
        <f t="shared" si="9"/>
        <v>4870.7795290000004</v>
      </c>
      <c r="Y69" s="57" t="s">
        <v>91</v>
      </c>
      <c r="Z69" s="21">
        <f t="shared" si="8"/>
        <v>2903.3224444267389</v>
      </c>
      <c r="AA69" s="73">
        <v>3643.96</v>
      </c>
      <c r="AB69" s="94">
        <v>248742.59</v>
      </c>
      <c r="AC69" s="75">
        <v>0.34420000000000001</v>
      </c>
      <c r="AD69" s="62">
        <v>149225.57999999999</v>
      </c>
      <c r="AE69" s="101">
        <f t="shared" si="10"/>
        <v>234842.77947799998</v>
      </c>
      <c r="AF69" s="21">
        <f t="shared" si="15"/>
        <v>306673.91051714122</v>
      </c>
      <c r="AG69" s="73">
        <v>254782.74</v>
      </c>
      <c r="AH69" s="6" t="s">
        <v>35</v>
      </c>
      <c r="AI69" s="6" t="s">
        <v>35</v>
      </c>
      <c r="AJ69" s="6" t="s">
        <v>35</v>
      </c>
      <c r="AK69" s="6" t="s">
        <v>35</v>
      </c>
      <c r="AL69" s="22">
        <v>7618</v>
      </c>
      <c r="AM69" s="90">
        <v>9249</v>
      </c>
    </row>
    <row r="70" spans="1:39" x14ac:dyDescent="0.25">
      <c r="A70" s="93" t="s">
        <v>92</v>
      </c>
      <c r="B70" s="3">
        <v>8</v>
      </c>
      <c r="C70" s="3">
        <v>2024</v>
      </c>
      <c r="D70" s="19">
        <f t="shared" si="11"/>
        <v>347550.55</v>
      </c>
      <c r="E70" s="73">
        <v>0.2</v>
      </c>
      <c r="F70" s="73">
        <v>69510.11</v>
      </c>
      <c r="G70" s="20" t="s">
        <v>91</v>
      </c>
      <c r="H70" s="19">
        <f t="shared" si="12"/>
        <v>364602.6</v>
      </c>
      <c r="I70" s="74">
        <v>72920.52</v>
      </c>
      <c r="J70" s="79">
        <f t="shared" si="13"/>
        <v>2255</v>
      </c>
      <c r="K70" s="6">
        <v>7.84</v>
      </c>
      <c r="L70" s="83">
        <v>17679.2</v>
      </c>
      <c r="M70" s="6" t="s">
        <v>91</v>
      </c>
      <c r="N70" s="6" t="s">
        <v>91</v>
      </c>
      <c r="O70" s="19">
        <f t="shared" si="14"/>
        <v>2191.8431122448978</v>
      </c>
      <c r="P70" s="73">
        <v>17184.05</v>
      </c>
      <c r="Q70" s="80" t="s">
        <v>91</v>
      </c>
      <c r="R70" s="82" t="s">
        <v>91</v>
      </c>
      <c r="S70" s="79" t="s">
        <v>91</v>
      </c>
      <c r="T70" s="80" t="s">
        <v>91</v>
      </c>
      <c r="U70" s="80" t="s">
        <v>91</v>
      </c>
      <c r="V70" s="21">
        <v>3523.11</v>
      </c>
      <c r="W70" s="49">
        <v>1.2551000000000001</v>
      </c>
      <c r="X70" s="98">
        <f t="shared" si="9"/>
        <v>4421.8553610000008</v>
      </c>
      <c r="Y70" s="57" t="s">
        <v>91</v>
      </c>
      <c r="Z70" s="21">
        <f t="shared" si="8"/>
        <v>2779.2685841765597</v>
      </c>
      <c r="AA70" s="73">
        <v>3488.26</v>
      </c>
      <c r="AB70" s="94">
        <v>271576.90000000002</v>
      </c>
      <c r="AC70" s="75">
        <v>0.34420000000000001</v>
      </c>
      <c r="AD70" s="62">
        <v>149225.57999999999</v>
      </c>
      <c r="AE70" s="101">
        <f t="shared" si="10"/>
        <v>242702.34898000001</v>
      </c>
      <c r="AF70" s="21">
        <f t="shared" si="15"/>
        <v>325824.4044160372</v>
      </c>
      <c r="AG70" s="73">
        <v>261374.34</v>
      </c>
      <c r="AH70" s="6" t="s">
        <v>35</v>
      </c>
      <c r="AI70" s="6" t="s">
        <v>35</v>
      </c>
      <c r="AJ70" s="6" t="s">
        <v>35</v>
      </c>
      <c r="AK70" s="6" t="s">
        <v>35</v>
      </c>
      <c r="AL70" s="22">
        <v>7650</v>
      </c>
      <c r="AM70" s="90">
        <v>9488</v>
      </c>
    </row>
    <row r="71" spans="1:39" x14ac:dyDescent="0.25">
      <c r="A71" s="93" t="s">
        <v>92</v>
      </c>
      <c r="B71" s="3">
        <v>9</v>
      </c>
      <c r="C71" s="3">
        <v>2024</v>
      </c>
      <c r="D71" s="19">
        <f t="shared" si="11"/>
        <v>333000.04999999993</v>
      </c>
      <c r="E71" s="73">
        <v>0.2</v>
      </c>
      <c r="F71" s="73">
        <v>66600.009999999995</v>
      </c>
      <c r="G71" s="20" t="s">
        <v>91</v>
      </c>
      <c r="H71" s="19">
        <f t="shared" si="12"/>
        <v>377250</v>
      </c>
      <c r="I71" s="74">
        <v>75450</v>
      </c>
      <c r="J71" s="79">
        <f t="shared" si="13"/>
        <v>1541</v>
      </c>
      <c r="K71" s="6">
        <v>7.84</v>
      </c>
      <c r="L71" s="83">
        <v>12081.44</v>
      </c>
      <c r="M71" s="6" t="s">
        <v>91</v>
      </c>
      <c r="N71" s="6" t="s">
        <v>91</v>
      </c>
      <c r="O71" s="19">
        <f t="shared" si="14"/>
        <v>2502.1670918367349</v>
      </c>
      <c r="P71" s="73">
        <v>19616.990000000002</v>
      </c>
      <c r="Q71" s="80" t="s">
        <v>91</v>
      </c>
      <c r="R71" s="82" t="s">
        <v>91</v>
      </c>
      <c r="S71" s="79" t="s">
        <v>91</v>
      </c>
      <c r="T71" s="80" t="s">
        <v>91</v>
      </c>
      <c r="U71" s="80" t="s">
        <v>91</v>
      </c>
      <c r="V71" s="21">
        <v>3219.3</v>
      </c>
      <c r="W71" s="49">
        <v>1.2551000000000001</v>
      </c>
      <c r="X71" s="98">
        <f t="shared" si="9"/>
        <v>4040.5434300000006</v>
      </c>
      <c r="Y71" s="57" t="s">
        <v>91</v>
      </c>
      <c r="Z71" s="21">
        <f t="shared" si="8"/>
        <v>3059.6127798581783</v>
      </c>
      <c r="AA71" s="73">
        <v>3840.12</v>
      </c>
      <c r="AB71" s="94">
        <v>232363</v>
      </c>
      <c r="AC71" s="75">
        <v>0.34489999999999998</v>
      </c>
      <c r="AD71" s="62">
        <v>155194.18</v>
      </c>
      <c r="AE71" s="101">
        <f t="shared" si="10"/>
        <v>235336.17869999999</v>
      </c>
      <c r="AF71" s="21">
        <f t="shared" si="15"/>
        <v>256855.2913888084</v>
      </c>
      <c r="AG71" s="73">
        <v>243783.57</v>
      </c>
      <c r="AH71" s="6" t="s">
        <v>35</v>
      </c>
      <c r="AI71" s="6" t="s">
        <v>35</v>
      </c>
      <c r="AJ71" s="6" t="s">
        <v>35</v>
      </c>
      <c r="AK71" s="6" t="s">
        <v>35</v>
      </c>
      <c r="AL71" s="22">
        <v>7247</v>
      </c>
      <c r="AM71" s="90">
        <v>8550</v>
      </c>
    </row>
    <row r="72" spans="1:39" x14ac:dyDescent="0.25">
      <c r="A72" s="93" t="s">
        <v>92</v>
      </c>
      <c r="B72" s="3">
        <v>10</v>
      </c>
      <c r="C72" s="3">
        <v>2024</v>
      </c>
      <c r="D72" s="19">
        <f t="shared" si="11"/>
        <v>358491.85</v>
      </c>
      <c r="E72" s="73">
        <v>0.2</v>
      </c>
      <c r="F72" s="73">
        <v>71698.37</v>
      </c>
      <c r="G72" s="20" t="s">
        <v>91</v>
      </c>
      <c r="H72" s="19">
        <f t="shared" si="12"/>
        <v>393513.39999999997</v>
      </c>
      <c r="I72" s="74">
        <v>78702.679999999993</v>
      </c>
      <c r="J72" s="79">
        <f t="shared" si="13"/>
        <v>1825</v>
      </c>
      <c r="K72" s="6">
        <v>7.84</v>
      </c>
      <c r="L72" s="83">
        <v>14308</v>
      </c>
      <c r="M72" s="6" t="s">
        <v>91</v>
      </c>
      <c r="N72" s="6" t="s">
        <v>91</v>
      </c>
      <c r="O72" s="19">
        <f t="shared" si="14"/>
        <v>2464.6428571428569</v>
      </c>
      <c r="P72" s="73">
        <v>19322.8</v>
      </c>
      <c r="Q72" s="80" t="s">
        <v>91</v>
      </c>
      <c r="R72" s="82" t="s">
        <v>91</v>
      </c>
      <c r="S72" s="79" t="s">
        <v>91</v>
      </c>
      <c r="T72" s="80" t="s">
        <v>91</v>
      </c>
      <c r="U72" s="80" t="s">
        <v>91</v>
      </c>
      <c r="V72" s="21">
        <v>4253.21</v>
      </c>
      <c r="W72" s="49">
        <v>1.2551000000000001</v>
      </c>
      <c r="X72" s="98">
        <f t="shared" si="9"/>
        <v>5338.2038710000006</v>
      </c>
      <c r="Y72" s="57" t="s">
        <v>91</v>
      </c>
      <c r="Z72" s="21">
        <f t="shared" si="8"/>
        <v>3525.5756513425222</v>
      </c>
      <c r="AA72" s="73">
        <v>4424.95</v>
      </c>
      <c r="AB72" s="94">
        <v>205926.7</v>
      </c>
      <c r="AC72" s="75">
        <v>0.34489999999999998</v>
      </c>
      <c r="AD72" s="62">
        <v>155194.18</v>
      </c>
      <c r="AE72" s="101">
        <f t="shared" si="10"/>
        <v>226218.29882999999</v>
      </c>
      <c r="AF72" s="21">
        <f t="shared" si="15"/>
        <v>215314.23601043783</v>
      </c>
      <c r="AG72" s="73">
        <v>229456.06</v>
      </c>
      <c r="AH72" s="6" t="s">
        <v>35</v>
      </c>
      <c r="AI72" s="6" t="s">
        <v>35</v>
      </c>
      <c r="AJ72" s="6" t="s">
        <v>35</v>
      </c>
      <c r="AK72" s="6" t="s">
        <v>35</v>
      </c>
      <c r="AL72" s="22">
        <v>7487</v>
      </c>
      <c r="AM72" s="90">
        <v>8828</v>
      </c>
    </row>
    <row r="73" spans="1:39" x14ac:dyDescent="0.25">
      <c r="A73" s="93" t="s">
        <v>92</v>
      </c>
      <c r="B73" s="3">
        <v>11</v>
      </c>
      <c r="C73" s="3">
        <v>2024</v>
      </c>
      <c r="D73" s="19">
        <f t="shared" si="11"/>
        <v>355617.3</v>
      </c>
      <c r="E73" s="73">
        <v>0.2</v>
      </c>
      <c r="F73" s="73">
        <v>71123.460000000006</v>
      </c>
      <c r="G73" s="20" t="s">
        <v>91</v>
      </c>
      <c r="H73" s="19">
        <f t="shared" si="12"/>
        <v>394065</v>
      </c>
      <c r="I73" s="74">
        <v>78813</v>
      </c>
      <c r="J73" s="79">
        <f t="shared" si="13"/>
        <v>1853</v>
      </c>
      <c r="K73" s="6">
        <v>7.84</v>
      </c>
      <c r="L73" s="83">
        <v>14527.52</v>
      </c>
      <c r="M73" s="6" t="s">
        <v>91</v>
      </c>
      <c r="N73" s="6" t="s">
        <v>91</v>
      </c>
      <c r="O73" s="19">
        <f t="shared" si="14"/>
        <v>2467.2882653061224</v>
      </c>
      <c r="P73" s="73">
        <v>19343.54</v>
      </c>
      <c r="Q73" s="80" t="s">
        <v>91</v>
      </c>
      <c r="R73" s="82" t="s">
        <v>91</v>
      </c>
      <c r="S73" s="79" t="s">
        <v>91</v>
      </c>
      <c r="T73" s="80" t="s">
        <v>91</v>
      </c>
      <c r="U73" s="80" t="s">
        <v>91</v>
      </c>
      <c r="V73" s="21">
        <v>3136</v>
      </c>
      <c r="W73" s="49">
        <v>1.2551000000000001</v>
      </c>
      <c r="X73" s="98">
        <f t="shared" si="9"/>
        <v>3935.9936000000002</v>
      </c>
      <c r="Y73" s="57" t="s">
        <v>91</v>
      </c>
      <c r="Z73" s="21">
        <f t="shared" si="8"/>
        <v>4517.8870209545048</v>
      </c>
      <c r="AA73" s="73">
        <v>5670.4</v>
      </c>
      <c r="AB73" s="94">
        <v>147236.4</v>
      </c>
      <c r="AC73" s="75">
        <v>0.34489999999999998</v>
      </c>
      <c r="AD73" s="62">
        <v>155194.18</v>
      </c>
      <c r="AE73" s="101">
        <f t="shared" si="10"/>
        <v>205976.01435999997</v>
      </c>
      <c r="AF73" s="21">
        <f t="shared" si="15"/>
        <v>193667.52681936792</v>
      </c>
      <c r="AG73" s="73">
        <v>221990.11</v>
      </c>
      <c r="AH73" s="6" t="s">
        <v>35</v>
      </c>
      <c r="AI73" s="6" t="s">
        <v>35</v>
      </c>
      <c r="AJ73" s="6" t="s">
        <v>35</v>
      </c>
      <c r="AK73" s="6" t="s">
        <v>35</v>
      </c>
      <c r="AL73" s="22">
        <v>7187</v>
      </c>
      <c r="AM73" s="90">
        <v>8740</v>
      </c>
    </row>
    <row r="74" spans="1:39" x14ac:dyDescent="0.25">
      <c r="A74" s="93" t="s">
        <v>92</v>
      </c>
      <c r="B74" s="3">
        <v>12</v>
      </c>
      <c r="C74" s="3">
        <v>2024</v>
      </c>
      <c r="D74" s="19">
        <f t="shared" si="11"/>
        <v>374075.14999999997</v>
      </c>
      <c r="E74" s="73">
        <v>0.2</v>
      </c>
      <c r="F74" s="73">
        <v>74815.03</v>
      </c>
      <c r="G74" s="20" t="s">
        <v>91</v>
      </c>
      <c r="H74" s="19">
        <f t="shared" si="12"/>
        <v>401326.25</v>
      </c>
      <c r="I74" s="74">
        <v>80265.25</v>
      </c>
      <c r="J74" s="79">
        <f t="shared" si="13"/>
        <v>2007</v>
      </c>
      <c r="K74" s="6">
        <v>7.84</v>
      </c>
      <c r="L74" s="83">
        <v>15734.88</v>
      </c>
      <c r="M74" s="6" t="s">
        <v>91</v>
      </c>
      <c r="N74" s="6" t="s">
        <v>91</v>
      </c>
      <c r="O74" s="19">
        <f t="shared" si="14"/>
        <v>2260.970663265306</v>
      </c>
      <c r="P74" s="73">
        <v>17726.009999999998</v>
      </c>
      <c r="Q74" s="80" t="s">
        <v>91</v>
      </c>
      <c r="R74" s="82" t="s">
        <v>91</v>
      </c>
      <c r="S74" s="79" t="s">
        <v>91</v>
      </c>
      <c r="T74" s="80" t="s">
        <v>91</v>
      </c>
      <c r="U74" s="80" t="s">
        <v>91</v>
      </c>
      <c r="V74" s="21">
        <v>8477.02</v>
      </c>
      <c r="W74" s="49">
        <v>1.2551000000000001</v>
      </c>
      <c r="X74" s="98">
        <f t="shared" si="9"/>
        <v>10639.507802000002</v>
      </c>
      <c r="Y74" s="57" t="s">
        <v>91</v>
      </c>
      <c r="Z74" s="21">
        <f t="shared" si="8"/>
        <v>4052.9519560194399</v>
      </c>
      <c r="AA74" s="73">
        <v>5086.8599999999997</v>
      </c>
      <c r="AB74" s="94">
        <v>97169.29</v>
      </c>
      <c r="AC74" s="75">
        <v>0.34489999999999998</v>
      </c>
      <c r="AD74" s="62">
        <v>155194.18</v>
      </c>
      <c r="AE74" s="101">
        <f t="shared" si="10"/>
        <v>188707.86812100001</v>
      </c>
      <c r="AF74" s="21">
        <f t="shared" si="15"/>
        <v>132863.87358654683</v>
      </c>
      <c r="AG74" s="73">
        <v>201018.93</v>
      </c>
      <c r="AH74" s="6" t="s">
        <v>35</v>
      </c>
      <c r="AI74" s="6" t="s">
        <v>35</v>
      </c>
      <c r="AJ74" s="6" t="s">
        <v>35</v>
      </c>
      <c r="AK74" s="6" t="s">
        <v>35</v>
      </c>
      <c r="AL74" s="22">
        <v>7228</v>
      </c>
      <c r="AM74" s="90">
        <v>9162</v>
      </c>
    </row>
    <row r="75" spans="1:39" x14ac:dyDescent="0.25">
      <c r="AG75" s="102"/>
    </row>
    <row r="76" spans="1:39" x14ac:dyDescent="0.25">
      <c r="B76" s="24"/>
      <c r="C76" s="25"/>
      <c r="D76" s="25"/>
      <c r="E76" s="25"/>
      <c r="F76" s="25"/>
      <c r="G76" s="25"/>
      <c r="H76" s="25"/>
      <c r="I76" s="43"/>
      <c r="J76" s="44"/>
    </row>
    <row r="77" spans="1:39" x14ac:dyDescent="0.25">
      <c r="B77" s="26"/>
      <c r="C77" s="41" t="s">
        <v>37</v>
      </c>
      <c r="D77" s="40"/>
      <c r="E77" s="40"/>
      <c r="F77" s="40"/>
      <c r="G77" s="40"/>
      <c r="H77" s="40"/>
      <c r="I77" s="40"/>
      <c r="J77" s="27"/>
    </row>
    <row r="78" spans="1:39" x14ac:dyDescent="0.25">
      <c r="B78" s="26"/>
      <c r="C78" s="41"/>
      <c r="D78" s="40"/>
      <c r="E78" s="40"/>
      <c r="F78" s="40"/>
      <c r="G78" s="40"/>
      <c r="H78" s="40"/>
      <c r="I78" s="40"/>
      <c r="J78" s="27"/>
    </row>
    <row r="79" spans="1:39" ht="48" customHeight="1" x14ac:dyDescent="0.25">
      <c r="B79" s="26"/>
      <c r="C79" s="108" t="s">
        <v>48</v>
      </c>
      <c r="D79" s="108"/>
      <c r="E79" s="108"/>
      <c r="F79" s="108"/>
      <c r="G79" s="108"/>
      <c r="H79" s="108"/>
      <c r="I79" s="108"/>
      <c r="J79" s="27"/>
    </row>
    <row r="80" spans="1:39" x14ac:dyDescent="0.25">
      <c r="B80" s="26"/>
      <c r="C80" s="42"/>
      <c r="D80" s="40"/>
      <c r="E80" s="40"/>
      <c r="F80" s="40"/>
      <c r="G80" s="40"/>
      <c r="H80" s="40"/>
      <c r="I80" s="40"/>
      <c r="J80" s="27"/>
    </row>
    <row r="81" spans="2:10" ht="28.5" customHeight="1" x14ac:dyDescent="0.25">
      <c r="B81" s="26"/>
      <c r="C81" s="108" t="s">
        <v>49</v>
      </c>
      <c r="D81" s="108"/>
      <c r="E81" s="108"/>
      <c r="F81" s="108"/>
      <c r="G81" s="108"/>
      <c r="H81" s="108"/>
      <c r="I81" s="108"/>
      <c r="J81" s="27"/>
    </row>
    <row r="82" spans="2:10" x14ac:dyDescent="0.25">
      <c r="B82" s="26"/>
      <c r="C82" s="42"/>
      <c r="D82" s="40"/>
      <c r="E82" s="40"/>
      <c r="F82" s="40"/>
      <c r="G82" s="40"/>
      <c r="H82" s="40"/>
      <c r="I82" s="40"/>
      <c r="J82" s="27"/>
    </row>
    <row r="83" spans="2:10" ht="30" x14ac:dyDescent="0.25">
      <c r="B83" s="26"/>
      <c r="C83" s="40"/>
      <c r="D83" s="28" t="s">
        <v>38</v>
      </c>
      <c r="E83" s="29" t="s">
        <v>47</v>
      </c>
      <c r="F83" s="29"/>
      <c r="G83" s="29"/>
      <c r="H83" s="30" t="s">
        <v>39</v>
      </c>
      <c r="I83" s="40"/>
      <c r="J83" s="27"/>
    </row>
    <row r="84" spans="2:10" x14ac:dyDescent="0.25">
      <c r="B84" s="26"/>
      <c r="C84" s="45"/>
      <c r="D84" s="31" t="s">
        <v>40</v>
      </c>
      <c r="E84" s="32">
        <v>108122.16915080535</v>
      </c>
      <c r="F84" s="32"/>
      <c r="G84" s="32"/>
      <c r="H84" s="33">
        <v>0.34099983482880003</v>
      </c>
      <c r="I84" s="40"/>
      <c r="J84" s="27"/>
    </row>
    <row r="85" spans="2:10" x14ac:dyDescent="0.25">
      <c r="B85" s="26"/>
      <c r="C85" s="40"/>
      <c r="D85" s="31" t="s">
        <v>41</v>
      </c>
      <c r="E85" s="32">
        <v>112447.05591683755</v>
      </c>
      <c r="F85" s="32"/>
      <c r="G85" s="32"/>
      <c r="H85" s="33">
        <v>0.34158382822195205</v>
      </c>
      <c r="I85" s="40"/>
      <c r="J85" s="27"/>
    </row>
    <row r="86" spans="2:10" x14ac:dyDescent="0.25">
      <c r="B86" s="26"/>
      <c r="C86" s="40"/>
      <c r="D86" s="31" t="s">
        <v>42</v>
      </c>
      <c r="E86" s="32">
        <v>116944.93815351107</v>
      </c>
      <c r="F86" s="32"/>
      <c r="G86" s="32"/>
      <c r="H86" s="33">
        <v>0.3421911813508301</v>
      </c>
      <c r="I86" s="40"/>
      <c r="J86" s="27"/>
    </row>
    <row r="87" spans="2:10" x14ac:dyDescent="0.25">
      <c r="B87" s="26"/>
      <c r="C87" s="40"/>
      <c r="D87" s="31" t="s">
        <v>43</v>
      </c>
      <c r="E87" s="32">
        <v>121622.73567965149</v>
      </c>
      <c r="F87" s="32"/>
      <c r="G87" s="32"/>
      <c r="H87" s="33">
        <v>0.34282282860486329</v>
      </c>
      <c r="I87" s="40"/>
      <c r="J87" s="27"/>
    </row>
    <row r="88" spans="2:10" x14ac:dyDescent="0.25">
      <c r="B88" s="26"/>
      <c r="C88" s="40"/>
      <c r="D88" s="31" t="s">
        <v>44</v>
      </c>
      <c r="E88" s="32">
        <v>126487.64510683758</v>
      </c>
      <c r="F88" s="32"/>
      <c r="G88" s="32"/>
      <c r="H88" s="38">
        <v>0.34347974174905782</v>
      </c>
      <c r="I88" s="40"/>
      <c r="J88" s="27"/>
    </row>
    <row r="89" spans="2:10" x14ac:dyDescent="0.25">
      <c r="B89" s="26"/>
      <c r="C89" s="40"/>
      <c r="D89" s="31" t="s">
        <v>45</v>
      </c>
      <c r="E89" s="34">
        <v>131547.15091111109</v>
      </c>
      <c r="F89" s="34"/>
      <c r="G89" s="34"/>
      <c r="H89" s="33">
        <v>0.34416293141902016</v>
      </c>
      <c r="I89" s="40"/>
      <c r="J89" s="27"/>
    </row>
    <row r="90" spans="2:10" x14ac:dyDescent="0.25">
      <c r="B90" s="26"/>
      <c r="C90" s="40"/>
      <c r="D90" s="31" t="s">
        <v>46</v>
      </c>
      <c r="E90" s="32">
        <v>136809.03694755555</v>
      </c>
      <c r="F90" s="32"/>
      <c r="G90" s="32"/>
      <c r="H90" s="33">
        <v>0.34487344867578096</v>
      </c>
      <c r="I90" s="40"/>
      <c r="J90" s="27"/>
    </row>
    <row r="91" spans="2:10" x14ac:dyDescent="0.25">
      <c r="B91" s="35"/>
      <c r="C91" s="36"/>
      <c r="D91" s="36"/>
      <c r="E91" s="36"/>
      <c r="F91" s="36"/>
      <c r="G91" s="36"/>
      <c r="H91" s="36"/>
      <c r="I91" s="36"/>
      <c r="J91" s="37"/>
    </row>
  </sheetData>
  <sheetProtection formatCells="0" formatColumns="0" formatRows="0" insertColumns="0" insertRows="0" insertHyperlinks="0" deleteColumns="0" deleteRows="0" sort="0" autoFilter="0" pivotTables="0"/>
  <mergeCells count="2">
    <mergeCell ref="C79:I79"/>
    <mergeCell ref="C81:I81"/>
  </mergeCells>
  <dataValidations count="48">
    <dataValidation type="textLength" errorStyle="information" allowBlank="1" showInputMessage="1" showErrorMessage="1" error="XLBVal:5=137025.97_x000d__x000a_" sqref="AG4" xr:uid="{5E943856-1766-4053-8800-07C7002D8BE5}">
      <formula1>0</formula1>
      <formula2>300</formula2>
    </dataValidation>
    <dataValidation type="textLength" errorStyle="information" allowBlank="1" showInputMessage="1" showErrorMessage="1" error="XLBVal:5=170273.01_x000d__x000a_" sqref="AG5" xr:uid="{F0C62483-76C1-41FB-9690-80F1C3829D65}">
      <formula1>0</formula1>
      <formula2>300</formula2>
    </dataValidation>
    <dataValidation type="textLength" errorStyle="information" allowBlank="1" showInputMessage="1" showErrorMessage="1" error="XLBVal:5=178983.11_x000d__x000a_" sqref="AG6" xr:uid="{6FD61DC5-651B-44D3-9834-4D8B33E0910D}">
      <formula1>0</formula1>
      <formula2>300</formula2>
    </dataValidation>
    <dataValidation type="textLength" errorStyle="information" allowBlank="1" showInputMessage="1" showErrorMessage="1" error="XLBVal:5=234067.27_x000d__x000a_" sqref="AG9" xr:uid="{EFBD209D-DA22-4869-83C3-3FA2C5A32A25}">
      <formula1>0</formula1>
      <formula2>300</formula2>
    </dataValidation>
    <dataValidation type="textLength" errorStyle="information" allowBlank="1" showInputMessage="1" showErrorMessage="1" error="XLBVal:5=229892.5_x000d__x000a_" sqref="AG10" xr:uid="{2FE74AD1-6200-44EF-A894-053A79ED768F}">
      <formula1>0</formula1>
      <formula2>300</formula2>
    </dataValidation>
    <dataValidation type="textLength" errorStyle="information" allowBlank="1" showInputMessage="1" showErrorMessage="1" error="XLBVal:5=247210_x000d__x000a_" sqref="AG11" xr:uid="{B4BC4D7E-941F-46DF-B19A-3DEE0DDCDC7E}">
      <formula1>0</formula1>
      <formula2>300</formula2>
    </dataValidation>
    <dataValidation type="textLength" errorStyle="information" allowBlank="1" showInputMessage="1" showErrorMessage="1" error="XLBVal:5=210311.38_x000d__x000a_" sqref="AG12" xr:uid="{E1867F44-2600-4328-BC19-F89DD31C7ADD}">
      <formula1>0</formula1>
      <formula2>300</formula2>
    </dataValidation>
    <dataValidation type="textLength" errorStyle="information" allowBlank="1" showInputMessage="1" showErrorMessage="1" error="XLBVal:5=152134.7_x000d__x000a_" sqref="AG13" xr:uid="{3D8639B9-E611-4929-B795-59525A0AFB24}">
      <formula1>0</formula1>
      <formula2>300</formula2>
    </dataValidation>
    <dataValidation type="textLength" errorStyle="information" allowBlank="1" showInputMessage="1" showErrorMessage="1" error="XLBVal:5=291030_x000d__x000a_" sqref="I39 I15 I27 I51 I63" xr:uid="{1DA467B6-54CC-4519-8853-94653791528F}">
      <formula1>0</formula1>
      <formula2>300</formula2>
    </dataValidation>
    <dataValidation type="textLength" errorStyle="information" allowBlank="1" showInputMessage="1" showErrorMessage="1" error="XLBVal:5=203721_x000d__x000a_" sqref="I74 I26 I38 I50 I62" xr:uid="{F6DAE73B-E740-4802-82C5-C4BC4F7E3E2F}">
      <formula1>0</formula1>
      <formula2>300</formula2>
    </dataValidation>
    <dataValidation type="textLength" errorStyle="information" allowBlank="1" showInputMessage="1" showErrorMessage="1" error="XLBVal:5=35789.07_x000d__x000a_" sqref="P39 P15 P27 P51 P63" xr:uid="{9EA0973D-5A91-4D76-9C60-0A71D7F41AE1}">
      <formula1>0</formula1>
      <formula2>300</formula2>
    </dataValidation>
    <dataValidation type="textLength" errorStyle="information" allowBlank="1" showInputMessage="1" showErrorMessage="1" error="XLBVal:5=39267.3_x000d__x000a_" sqref="P40 P16 P28 P52 P64" xr:uid="{0DD3ABFC-1CA7-4ED8-9EAF-F805C24170C6}">
      <formula1>0</formula1>
      <formula2>300</formula2>
    </dataValidation>
    <dataValidation type="textLength" errorStyle="information" allowBlank="1" showInputMessage="1" showErrorMessage="1" error="XLBVal:5=40686.6_x000d__x000a_" sqref="P74 P26 P38 P50 P62" xr:uid="{D60C8A19-BBB8-4267-8A4E-FD495CE12CB2}">
      <formula1>0</formula1>
      <formula2>300</formula2>
    </dataValidation>
    <dataValidation type="textLength" errorStyle="information" allowBlank="1" showInputMessage="1" showErrorMessage="1" error="XLBVal:5=88114.58_x000d__x000a_" sqref="AG40 AG16 AG28 AG52 AG64" xr:uid="{DCADEB4F-1B13-4674-AB70-F00CBC1FEFB5}">
      <formula1>0</formula1>
      <formula2>300</formula2>
    </dataValidation>
    <dataValidation type="textLength" errorStyle="information" allowBlank="1" showInputMessage="1" showErrorMessage="1" error="XLBVal:5=140145.63_x000d__x000a_" sqref="AG62 AG50 AG26 AG38 AG74" xr:uid="{45C57369-5DE1-4BC3-9A25-01A223EB45C8}">
      <formula1>0</formula1>
      <formula2>300</formula2>
    </dataValidation>
    <dataValidation type="textLength" errorStyle="information" allowBlank="1" showInputMessage="1" showErrorMessage="1" error="XLBVal:5=0_x000d__x000a_" sqref="AA15:AA74" xr:uid="{E4B384BA-1B71-4CE7-9978-5D23ED95095E}">
      <formula1>0</formula1>
      <formula2>300</formula2>
    </dataValidation>
    <dataValidation type="textLength" errorStyle="information" allowBlank="1" showInputMessage="1" showErrorMessage="1" error="XLBVal:5=226290.38_x000d__x000a_" sqref="I16 I28 I40 I52 I64" xr:uid="{ABB3B3AD-CCA0-4CFD-B632-F4D00128DE07}">
      <formula1>0</formula1>
      <formula2>300</formula2>
    </dataValidation>
    <dataValidation type="textLength" errorStyle="information" allowBlank="1" showInputMessage="1" showErrorMessage="1" error="XLBVal:5=261247.93_x000d__x000a_" sqref="I17 I29 I41 I53 I65" xr:uid="{2979F5C3-752D-4933-B63B-96005CF07B28}">
      <formula1>0</formula1>
      <formula2>300</formula2>
    </dataValidation>
    <dataValidation type="textLength" errorStyle="information" allowBlank="1" showInputMessage="1" showErrorMessage="1" error="XLBVal:5=253425.04_x000d__x000a_" sqref="I18 I30 I42 I54 I66" xr:uid="{23088596-2971-4A8F-B4A9-905B18904812}">
      <formula1>0</formula1>
      <formula2>300</formula2>
    </dataValidation>
    <dataValidation type="textLength" errorStyle="information" allowBlank="1" showInputMessage="1" showErrorMessage="1" error="XLBVal:5=268502.34_x000d__x000a_" sqref="I19 I31 I43 I55 I67" xr:uid="{AB2FC7B6-FD94-4888-A867-840DB5A17A3E}">
      <formula1>0</formula1>
      <formula2>300</formula2>
    </dataValidation>
    <dataValidation type="textLength" errorStyle="information" allowBlank="1" showInputMessage="1" showErrorMessage="1" error="XLBVal:5=290407.2_x000d__x000a_" sqref="I20 I32 I44 I56 I68" xr:uid="{E9EBDA3F-C9FA-4F6A-8BDE-FCF1D73116D0}">
      <formula1>0</formula1>
      <formula2>300</formula2>
    </dataValidation>
    <dataValidation type="textLength" errorStyle="information" allowBlank="1" showInputMessage="1" showErrorMessage="1" error="XLBVal:5=334684.5_x000d__x000a_" sqref="I21 I33 I45 I57 I69" xr:uid="{28E4CDDB-F37D-4970-A668-D5303DE4F7FB}">
      <formula1>0</formula1>
      <formula2>300</formula2>
    </dataValidation>
    <dataValidation type="textLength" errorStyle="information" allowBlank="1" showInputMessage="1" showErrorMessage="1" error="XLBVal:5=327934.54_x000d__x000a_" sqref="I22 I34 I46 I58 I70" xr:uid="{7EF1D37A-56E4-4964-A23E-7792D18F7718}">
      <formula1>0</formula1>
      <formula2>300</formula2>
    </dataValidation>
    <dataValidation type="textLength" errorStyle="information" allowBlank="1" showInputMessage="1" showErrorMessage="1" error="XLBVal:5=320133_x000d__x000a_" sqref="I23 I35 I47 I59 I71" xr:uid="{1F6BC1E9-FA48-41F3-A45F-8C42E800081B}">
      <formula1>0</formula1>
      <formula2>300</formula2>
    </dataValidation>
    <dataValidation type="textLength" errorStyle="information" allowBlank="1" showInputMessage="1" showErrorMessage="1" error="XLBVal:5=323043.3_x000d__x000a_" sqref="I24 I36 I48 I60 I72" xr:uid="{3B8315B3-EAED-436A-A4FF-E32A5AD2F03A}">
      <formula1>0</formula1>
      <formula2>300</formula2>
    </dataValidation>
    <dataValidation type="textLength" errorStyle="information" allowBlank="1" showInputMessage="1" showErrorMessage="1" error="XLBVal:5=298580.29_x000d__x000a_" sqref="I25 I37 I49 I61 I73" xr:uid="{43AB5E78-54EC-4916-8F56-D030D70AFAD3}">
      <formula1>0</formula1>
      <formula2>300</formula2>
    </dataValidation>
    <dataValidation type="textLength" errorStyle="information" allowBlank="1" showInputMessage="1" showErrorMessage="1" error="XLBVal:5=42328.26_x000d__x000a_" sqref="P17 P29 P41 P53 P65" xr:uid="{BD2FDC61-AA6D-42AD-AE2D-1897660D6974}">
      <formula1>0</formula1>
      <formula2>300</formula2>
    </dataValidation>
    <dataValidation type="textLength" errorStyle="information" allowBlank="1" showInputMessage="1" showErrorMessage="1" error="XLBVal:5=38362.73_x000d__x000a_" sqref="P18 P30 P42 P54 P66" xr:uid="{80A9065E-FCF4-4B98-931A-9DA1E4DB07F9}">
      <formula1>0</formula1>
      <formula2>300</formula2>
    </dataValidation>
    <dataValidation type="textLength" errorStyle="information" allowBlank="1" showInputMessage="1" showErrorMessage="1" error="XLBVal:5=37555.62_x000d__x000a_" sqref="P19 P31 P43 P55 P67" xr:uid="{583C48B5-2829-4F44-8BAD-D0F06014A1A7}">
      <formula1>0</formula1>
      <formula2>300</formula2>
    </dataValidation>
    <dataValidation type="textLength" errorStyle="information" allowBlank="1" showInputMessage="1" showErrorMessage="1" error="XLBVal:5=34856.12_x000d__x000a_" sqref="P20 P32 P44 P56 P68" xr:uid="{5B378B06-FBB9-4C2E-A7DF-AE034C2D2535}">
      <formula1>0</formula1>
      <formula2>300</formula2>
    </dataValidation>
    <dataValidation type="textLength" errorStyle="information" allowBlank="1" showInputMessage="1" showErrorMessage="1" error="XLBVal:5=41159.7_x000d__x000a_" sqref="P21 P33 P45 P57 P69" xr:uid="{6C7EAAA6-665A-4B7E-91D4-41A6B0FC90E6}">
      <formula1>0</formula1>
      <formula2>300</formula2>
    </dataValidation>
    <dataValidation type="textLength" errorStyle="information" allowBlank="1" showInputMessage="1" showErrorMessage="1" error="XLBVal:5=31374.1_x000d__x000a_" sqref="P22 P34 P46 P58 P70" xr:uid="{0F0FC468-CDF0-4B12-BCB7-42A920253F35}">
      <formula1>0</formula1>
      <formula2>300</formula2>
    </dataValidation>
    <dataValidation type="textLength" errorStyle="information" allowBlank="1" showInputMessage="1" showErrorMessage="1" error="XLBVal:5=31291.78_x000d__x000a_" sqref="P23 P35 P47 P59 P71" xr:uid="{B248EB87-E483-4A7C-9DE9-F340D68D3997}">
      <formula1>0</formula1>
      <formula2>300</formula2>
    </dataValidation>
    <dataValidation type="textLength" errorStyle="information" allowBlank="1" showInputMessage="1" showErrorMessage="1" error="XLBVal:5=44944.5_x000d__x000a_" sqref="P24 P36 P48 P60 P72" xr:uid="{D6DBD4FA-9388-4E8F-902A-F43B282C29A5}">
      <formula1>0</formula1>
      <formula2>300</formula2>
    </dataValidation>
    <dataValidation type="textLength" errorStyle="information" allowBlank="1" showInputMessage="1" showErrorMessage="1" error="XLBVal:5=33356.39_x000d__x000a_" sqref="P25 P37 P49 P61 P73" xr:uid="{1D430E7D-57B9-41C5-8836-7314E9739DEC}">
      <formula1>0</formula1>
      <formula2>300</formula2>
    </dataValidation>
    <dataValidation type="textLength" errorStyle="information" allowBlank="1" showInputMessage="1" showErrorMessage="1" error="XLBVal:5=147859.54_x000d__x000a_" sqref="AG15 AG27 AG39 AG51 AG63" xr:uid="{402FC467-9506-498E-8F5D-41BBA0644AC9}">
      <formula1>0</formula1>
      <formula2>300</formula2>
    </dataValidation>
    <dataValidation type="textLength" errorStyle="information" allowBlank="1" showInputMessage="1" showErrorMessage="1" error="XLBVal:5=101319.23_x000d__x000a_" sqref="AG17 AG29 AG41 AG53 AG65" xr:uid="{42EFF683-AD72-41CE-B7E1-4295E1BD9F1F}">
      <formula1>0</formula1>
      <formula2>300</formula2>
    </dataValidation>
    <dataValidation type="textLength" errorStyle="information" allowBlank="1" showInputMessage="1" showErrorMessage="1" error="XLBVal:5=129826.24_x000d__x000a_" sqref="AG18 AG30 AG42 AG54 AG66" xr:uid="{B9FFA807-56E7-4ED0-B771-6F85D97F9AB5}">
      <formula1>0</formula1>
      <formula2>300</formula2>
    </dataValidation>
    <dataValidation type="textLength" errorStyle="information" allowBlank="1" showInputMessage="1" showErrorMessage="1" error="XLBVal:5=168424.66_x000d__x000a_" sqref="AG19 AG31 AG43 AG55 AG67" xr:uid="{D556ACEB-03D7-45CE-BE95-8D31CE78C094}">
      <formula1>0</formula1>
      <formula2>300</formula2>
    </dataValidation>
    <dataValidation type="textLength" errorStyle="information" allowBlank="1" showInputMessage="1" showErrorMessage="1" error="XLBVal:5=251828.06_x000d__x000a_" sqref="AG20 AG32 AG44 AG56 AG68" xr:uid="{882969A9-FB58-43F8-8735-6F6AFDA9D412}">
      <formula1>0</formula1>
      <formula2>300</formula2>
    </dataValidation>
    <dataValidation type="textLength" errorStyle="information" allowBlank="1" showInputMessage="1" showErrorMessage="1" error="XLBVal:5=312618.4_x000d__x000a_" sqref="AG21 AG33 AG45 AG57 AG69" xr:uid="{9B4E2026-E434-4DB9-BA78-395DA516A91D}">
      <formula1>0</formula1>
      <formula2>300</formula2>
    </dataValidation>
    <dataValidation type="textLength" errorStyle="information" allowBlank="1" showInputMessage="1" showErrorMessage="1" error="XLBVal:5=350252.08_x000d__x000a_" sqref="AG22 AG34 AG46 AG58 AG70" xr:uid="{933A7880-5BDF-4A2E-B64E-35A52DE53C5A}">
      <formula1>0</formula1>
      <formula2>300</formula2>
    </dataValidation>
    <dataValidation type="textLength" errorStyle="information" allowBlank="1" showInputMessage="1" showErrorMessage="1" error="XLBVal:5=296489.68_x000d__x000a_" sqref="AG23 AG35 AG47 AG59 AG71" xr:uid="{C79B679F-2AE3-400B-ABB3-869C6C9FF5E5}">
      <formula1>0</formula1>
      <formula2>300</formula2>
    </dataValidation>
    <dataValidation type="textLength" errorStyle="information" allowBlank="1" showInputMessage="1" showErrorMessage="1" error="XLBVal:5=248103.52_x000d__x000a_" sqref="AG24 AG36 AG48 AG60 AG72" xr:uid="{05988B1B-6A58-44AC-885D-AAEEEBCF7B9F}">
      <formula1>0</formula1>
      <formula2>300</formula2>
    </dataValidation>
    <dataValidation type="textLength" errorStyle="information" allowBlank="1" showInputMessage="1" showErrorMessage="1" error="XLBVal:5=194341.12_x000d__x000a_" sqref="AG25 AG37 AG49 AG61 AG73" xr:uid="{57DF89D3-AAA7-40AA-AC26-C27251274707}">
      <formula1>0</formula1>
      <formula2>300</formula2>
    </dataValidation>
    <dataValidation type="textLength" errorStyle="information" allowBlank="1" showInputMessage="1" showErrorMessage="1" error="XLBVal:5=317354.3_x000d__x000a_" sqref="F63:F74" xr:uid="{95BB43AD-6B73-453B-93B1-E1240CA1DB06}">
      <formula1>0</formula1>
      <formula2>300</formula2>
    </dataValidation>
    <dataValidation type="textLength" errorStyle="information" allowBlank="1" showInputMessage="1" showErrorMessage="1" error="XLBVal:5=87611.97_x000d__x000a_" sqref="L63:L74" xr:uid="{789AB4E8-15C5-4CA9-A42C-A0E738DBAC3A}">
      <formula1>0</formula1>
      <formula2>300</formula2>
    </dataValidation>
    <dataValidation type="textLength" errorStyle="information" allowBlank="1" showInputMessage="1" showErrorMessage="1" error="XLBVal:5=178387_x000d__x000a_" sqref="AC3:AC74 AF3:AF74" xr:uid="{444F30E6-9C45-4645-BC8E-64C7BF4083F8}">
      <formula1>0</formula1>
      <formula2>300</formula2>
    </dataValidation>
  </dataValidation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Logo</vt:lpstr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creator>HEP</dc:creator>
  <cp:keywords>Excel Report</cp:keywords>
  <cp:lastModifiedBy>Harun Navas</cp:lastModifiedBy>
  <dcterms:created xsi:type="dcterms:W3CDTF">2020-11-09T05:02:29Z</dcterms:created>
  <dcterms:modified xsi:type="dcterms:W3CDTF">2025-02-28T12:29:55Z</dcterms:modified>
</cp:coreProperties>
</file>