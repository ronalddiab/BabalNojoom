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Admin\Utility\HEP\"/>
    </mc:Choice>
  </mc:AlternateContent>
  <xr:revisionPtr revIDLastSave="0" documentId="13_ncr:1_{26C54B1C-F26C-4C9A-ACF9-4E35235B6CD0}" xr6:coauthVersionLast="47" xr6:coauthVersionMax="47" xr10:uidLastSave="{00000000-0000-0000-0000-000000000000}"/>
  <bookViews>
    <workbookView showVerticalScroll="0" xWindow="-120" yWindow="-120" windowWidth="21840" windowHeight="13140" activeTab="1" xr2:uid="{00000000-000D-0000-FFFF-FFFF00000000}"/>
  </bookViews>
  <sheets>
    <sheet name="Total" sheetId="38" r:id="rId1"/>
    <sheet name="April-25" sheetId="3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4" i="39" l="1"/>
  <c r="R34" i="39"/>
  <c r="S34" i="39"/>
  <c r="Q33" i="39"/>
  <c r="R33" i="39"/>
  <c r="S33" i="39"/>
  <c r="J34" i="39"/>
  <c r="K34" i="39"/>
  <c r="L34" i="39"/>
  <c r="J33" i="39"/>
  <c r="K33" i="39"/>
  <c r="L33" i="39"/>
  <c r="Q43" i="39"/>
  <c r="J43" i="39"/>
  <c r="B43" i="39"/>
  <c r="D34" i="39"/>
  <c r="E34" i="39"/>
  <c r="F34" i="39"/>
  <c r="D33" i="39"/>
  <c r="E33" i="39" s="1"/>
  <c r="F33" i="39" l="1"/>
  <c r="S20" i="39" l="1"/>
  <c r="S21" i="39"/>
  <c r="S22" i="39"/>
  <c r="S23" i="39"/>
  <c r="S24" i="39"/>
  <c r="S25" i="39"/>
  <c r="S26" i="39"/>
  <c r="S27" i="39"/>
  <c r="S28" i="39"/>
  <c r="S29" i="39"/>
  <c r="S30" i="39"/>
  <c r="S31" i="39"/>
  <c r="S32" i="39"/>
  <c r="R20" i="39"/>
  <c r="R21" i="39"/>
  <c r="R22" i="39"/>
  <c r="R23" i="39"/>
  <c r="R24" i="39"/>
  <c r="R25" i="39"/>
  <c r="R26" i="39"/>
  <c r="R27" i="39"/>
  <c r="R28" i="39"/>
  <c r="R29" i="39"/>
  <c r="R30" i="39"/>
  <c r="R31" i="39"/>
  <c r="R32" i="39"/>
  <c r="Q20" i="39"/>
  <c r="Q21" i="39"/>
  <c r="Q22" i="39"/>
  <c r="Q23" i="39"/>
  <c r="Q24" i="39"/>
  <c r="Q25" i="39"/>
  <c r="Q26" i="39"/>
  <c r="Q27" i="39"/>
  <c r="Q28" i="39"/>
  <c r="Q29" i="39"/>
  <c r="Q30" i="39"/>
  <c r="Q31" i="39"/>
  <c r="Q32" i="39"/>
  <c r="L20" i="39"/>
  <c r="L21" i="39"/>
  <c r="L22" i="39"/>
  <c r="L23" i="39"/>
  <c r="L24" i="39"/>
  <c r="L25" i="39"/>
  <c r="L26" i="39"/>
  <c r="L27" i="39"/>
  <c r="L28" i="39"/>
  <c r="L29" i="39"/>
  <c r="L30" i="39"/>
  <c r="L31" i="39"/>
  <c r="L32" i="39"/>
  <c r="K20" i="39"/>
  <c r="K21" i="39"/>
  <c r="K22" i="39"/>
  <c r="K23" i="39"/>
  <c r="K24" i="39"/>
  <c r="K25" i="39"/>
  <c r="K26" i="39"/>
  <c r="K27" i="39"/>
  <c r="K28" i="39"/>
  <c r="K29" i="39"/>
  <c r="K30" i="39"/>
  <c r="K31" i="39"/>
  <c r="K32" i="39"/>
  <c r="J20" i="39"/>
  <c r="J21" i="39"/>
  <c r="J22" i="39"/>
  <c r="J23" i="39"/>
  <c r="J24" i="39"/>
  <c r="J25" i="39"/>
  <c r="J26" i="39"/>
  <c r="J27" i="39"/>
  <c r="J28" i="39"/>
  <c r="J29" i="39"/>
  <c r="J30" i="39"/>
  <c r="J31" i="39"/>
  <c r="J32" i="39"/>
  <c r="F20" i="39"/>
  <c r="F21" i="39"/>
  <c r="F22" i="39"/>
  <c r="F23" i="39"/>
  <c r="F24" i="39"/>
  <c r="F25" i="39"/>
  <c r="F26" i="39"/>
  <c r="F27" i="39"/>
  <c r="F28" i="39"/>
  <c r="F29" i="39"/>
  <c r="F30" i="39"/>
  <c r="F31" i="39"/>
  <c r="F32" i="39"/>
  <c r="E20" i="39"/>
  <c r="E21" i="39"/>
  <c r="E22" i="39"/>
  <c r="E23" i="39"/>
  <c r="E24" i="39"/>
  <c r="E25" i="39"/>
  <c r="E26" i="39"/>
  <c r="E27" i="39"/>
  <c r="E28" i="39"/>
  <c r="E29" i="39"/>
  <c r="E30" i="39"/>
  <c r="E31" i="39"/>
  <c r="E32" i="39"/>
  <c r="D20" i="39"/>
  <c r="D21" i="39"/>
  <c r="D22" i="39"/>
  <c r="D23" i="39"/>
  <c r="D24" i="39"/>
  <c r="D25" i="39"/>
  <c r="D26" i="39"/>
  <c r="D27" i="39"/>
  <c r="D28" i="39"/>
  <c r="D29" i="39"/>
  <c r="D30" i="39"/>
  <c r="D31" i="39"/>
  <c r="D32" i="39"/>
  <c r="Q6" i="39"/>
  <c r="S6" i="39" s="1"/>
  <c r="Q7" i="39"/>
  <c r="R7" i="39" s="1"/>
  <c r="Q8" i="39"/>
  <c r="R8" i="39" s="1"/>
  <c r="Q9" i="39"/>
  <c r="R9" i="39" s="1"/>
  <c r="Q10" i="39"/>
  <c r="Q11" i="39"/>
  <c r="S11" i="39" s="1"/>
  <c r="Q12" i="39"/>
  <c r="S12" i="39" s="1"/>
  <c r="Q13" i="39"/>
  <c r="R13" i="39" s="1"/>
  <c r="Q14" i="39"/>
  <c r="S14" i="39" s="1"/>
  <c r="Q15" i="39"/>
  <c r="R15" i="39" s="1"/>
  <c r="Q16" i="39"/>
  <c r="Q17" i="39"/>
  <c r="S17" i="39" s="1"/>
  <c r="Q18" i="39"/>
  <c r="S18" i="39" s="1"/>
  <c r="Q19" i="39"/>
  <c r="R19" i="39" s="1"/>
  <c r="Q5" i="39"/>
  <c r="R5" i="39" s="1"/>
  <c r="R6" i="39"/>
  <c r="R10" i="39"/>
  <c r="R11" i="39"/>
  <c r="R12" i="39"/>
  <c r="R16" i="39"/>
  <c r="R17" i="39"/>
  <c r="R18" i="39"/>
  <c r="S10" i="39"/>
  <c r="S16" i="39"/>
  <c r="S5" i="39"/>
  <c r="L6" i="39"/>
  <c r="L7" i="39"/>
  <c r="L8" i="39"/>
  <c r="L9" i="39"/>
  <c r="L10" i="39"/>
  <c r="L11" i="39"/>
  <c r="L12" i="39"/>
  <c r="L13" i="39"/>
  <c r="L14" i="39"/>
  <c r="L15" i="39"/>
  <c r="L16" i="39"/>
  <c r="L17" i="39"/>
  <c r="L18" i="39"/>
  <c r="L19" i="39"/>
  <c r="L5" i="39"/>
  <c r="K6" i="39"/>
  <c r="K7" i="39"/>
  <c r="K8" i="39"/>
  <c r="K9" i="39"/>
  <c r="K10" i="39"/>
  <c r="K11" i="39"/>
  <c r="K12" i="39"/>
  <c r="K13" i="39"/>
  <c r="K14" i="39"/>
  <c r="K15" i="39"/>
  <c r="K16" i="39"/>
  <c r="K17" i="39"/>
  <c r="K18" i="39"/>
  <c r="K19" i="39"/>
  <c r="K5" i="39"/>
  <c r="F6" i="39"/>
  <c r="F7" i="39"/>
  <c r="F8" i="39"/>
  <c r="F9" i="39"/>
  <c r="F10" i="39"/>
  <c r="F11" i="39"/>
  <c r="F12" i="39"/>
  <c r="F13" i="39"/>
  <c r="F14" i="39"/>
  <c r="F15" i="39"/>
  <c r="F16" i="39"/>
  <c r="F17" i="39"/>
  <c r="F18" i="39"/>
  <c r="F19" i="39"/>
  <c r="F5" i="39"/>
  <c r="E19" i="39"/>
  <c r="E6" i="39"/>
  <c r="E7" i="39"/>
  <c r="E8" i="39"/>
  <c r="E9" i="39"/>
  <c r="E10" i="39"/>
  <c r="E11" i="39"/>
  <c r="E12" i="39"/>
  <c r="E13" i="39"/>
  <c r="E14" i="39"/>
  <c r="E15" i="39"/>
  <c r="E16" i="39"/>
  <c r="E17" i="39"/>
  <c r="E18" i="39"/>
  <c r="E5" i="39"/>
  <c r="S15" i="39" l="1"/>
  <c r="S8" i="39"/>
  <c r="S19" i="39"/>
  <c r="S13" i="39"/>
  <c r="S7" i="39"/>
  <c r="R14" i="39"/>
  <c r="S9" i="39"/>
  <c r="I3" i="38"/>
  <c r="I4" i="38"/>
  <c r="I5" i="38"/>
  <c r="I6" i="38"/>
  <c r="I7" i="38"/>
  <c r="I8" i="38"/>
  <c r="I9" i="38"/>
  <c r="I10" i="38"/>
  <c r="I11" i="38"/>
  <c r="I12" i="38"/>
  <c r="I13" i="38"/>
  <c r="I14" i="38"/>
  <c r="I15" i="38"/>
  <c r="I16" i="38"/>
  <c r="I17" i="38"/>
  <c r="I18" i="38"/>
  <c r="I19" i="38"/>
  <c r="I20" i="38"/>
  <c r="I21" i="38"/>
  <c r="I22" i="38"/>
  <c r="I23" i="38"/>
  <c r="I24" i="38"/>
  <c r="I25" i="38"/>
  <c r="I26" i="38"/>
  <c r="I27" i="38"/>
  <c r="I28" i="38"/>
  <c r="I29" i="38"/>
  <c r="I30" i="38"/>
  <c r="I31" i="38"/>
  <c r="I32" i="38"/>
  <c r="J32" i="38" s="1"/>
  <c r="I2" i="38"/>
  <c r="H20" i="38"/>
  <c r="H32" i="38"/>
  <c r="G3" i="38"/>
  <c r="G4" i="38"/>
  <c r="G5" i="38"/>
  <c r="G6" i="38"/>
  <c r="G7" i="38"/>
  <c r="G8" i="38"/>
  <c r="G9" i="38"/>
  <c r="G10" i="38"/>
  <c r="G11" i="38"/>
  <c r="G12" i="38"/>
  <c r="G13" i="38"/>
  <c r="G14" i="38"/>
  <c r="G15" i="38"/>
  <c r="G16" i="38"/>
  <c r="G17" i="38"/>
  <c r="G18" i="38"/>
  <c r="G19" i="38"/>
  <c r="G20" i="38"/>
  <c r="G21" i="38"/>
  <c r="G22" i="38"/>
  <c r="G23" i="38"/>
  <c r="G24" i="38"/>
  <c r="G25" i="38"/>
  <c r="G26" i="38"/>
  <c r="G27" i="38"/>
  <c r="G28" i="38"/>
  <c r="G29" i="38"/>
  <c r="G30" i="38"/>
  <c r="G31" i="38"/>
  <c r="G32" i="38"/>
  <c r="G2" i="38"/>
  <c r="E3" i="38"/>
  <c r="E4" i="38"/>
  <c r="E5" i="38"/>
  <c r="E6" i="38"/>
  <c r="E7" i="38"/>
  <c r="E8" i="38"/>
  <c r="E9" i="38"/>
  <c r="E10" i="38"/>
  <c r="E11" i="38"/>
  <c r="E12" i="38"/>
  <c r="E13" i="38"/>
  <c r="E14" i="38"/>
  <c r="E15" i="38"/>
  <c r="E16" i="38"/>
  <c r="E17" i="38"/>
  <c r="E18" i="38"/>
  <c r="E19" i="38"/>
  <c r="E20" i="38"/>
  <c r="E21" i="38"/>
  <c r="E22" i="38"/>
  <c r="E23" i="38"/>
  <c r="E24" i="38"/>
  <c r="E25" i="38"/>
  <c r="E26" i="38"/>
  <c r="E27" i="38"/>
  <c r="E28" i="38"/>
  <c r="E29" i="38"/>
  <c r="E30" i="38"/>
  <c r="E31" i="38"/>
  <c r="E32" i="38"/>
  <c r="E2" i="38"/>
  <c r="Q41" i="39"/>
  <c r="Q44" i="39" s="1"/>
  <c r="J41" i="39"/>
  <c r="J44" i="39" s="1"/>
  <c r="B41" i="39"/>
  <c r="P37" i="39"/>
  <c r="I37" i="39"/>
  <c r="I38" i="39" s="1"/>
  <c r="T35" i="39"/>
  <c r="P35" i="39"/>
  <c r="Q35" i="39" s="1"/>
  <c r="M35" i="39"/>
  <c r="I35" i="39"/>
  <c r="J35" i="39" s="1"/>
  <c r="G35" i="39"/>
  <c r="C35" i="39"/>
  <c r="D35" i="39" s="1"/>
  <c r="F32" i="38"/>
  <c r="F27" i="38"/>
  <c r="J19" i="39"/>
  <c r="D19" i="39"/>
  <c r="J18" i="39"/>
  <c r="D18" i="39"/>
  <c r="J17" i="39"/>
  <c r="D17" i="39"/>
  <c r="J16" i="39"/>
  <c r="D16" i="39"/>
  <c r="J15" i="39"/>
  <c r="D15" i="39"/>
  <c r="J14" i="39"/>
  <c r="D14" i="39"/>
  <c r="J13" i="39"/>
  <c r="D13" i="39"/>
  <c r="J12" i="39"/>
  <c r="D12" i="39"/>
  <c r="J11" i="39"/>
  <c r="D11" i="39"/>
  <c r="J10" i="39"/>
  <c r="D10" i="39"/>
  <c r="J9" i="39"/>
  <c r="D9" i="39"/>
  <c r="H5" i="38"/>
  <c r="J8" i="39"/>
  <c r="D8" i="39"/>
  <c r="J7" i="39"/>
  <c r="J4" i="38" s="1"/>
  <c r="D7" i="39"/>
  <c r="J6" i="39"/>
  <c r="D6" i="39"/>
  <c r="F3" i="38" s="1"/>
  <c r="J5" i="39"/>
  <c r="J2" i="38" s="1"/>
  <c r="D5" i="39"/>
  <c r="F2" i="38" s="1"/>
  <c r="H4" i="38" l="1"/>
  <c r="F6" i="38"/>
  <c r="F10" i="38"/>
  <c r="F7" i="38"/>
  <c r="H9" i="38"/>
  <c r="H3" i="38"/>
  <c r="J8" i="38"/>
  <c r="H13" i="38"/>
  <c r="H15" i="38"/>
  <c r="H17" i="38"/>
  <c r="H19" i="38"/>
  <c r="H21" i="38"/>
  <c r="H23" i="38"/>
  <c r="H25" i="38"/>
  <c r="H27" i="38"/>
  <c r="H29" i="38"/>
  <c r="H31" i="38"/>
  <c r="F12" i="38"/>
  <c r="F14" i="38"/>
  <c r="F16" i="38"/>
  <c r="F18" i="38"/>
  <c r="F20" i="38"/>
  <c r="F22" i="38"/>
  <c r="F24" i="38"/>
  <c r="F26" i="38"/>
  <c r="F30" i="38"/>
  <c r="J12" i="38"/>
  <c r="J14" i="38"/>
  <c r="J16" i="38"/>
  <c r="J18" i="38"/>
  <c r="J20" i="38"/>
  <c r="J22" i="38"/>
  <c r="J24" i="38"/>
  <c r="J26" i="38"/>
  <c r="J28" i="38"/>
  <c r="J30" i="38"/>
  <c r="H12" i="38"/>
  <c r="H16" i="38"/>
  <c r="H18" i="38"/>
  <c r="H22" i="38"/>
  <c r="H24" i="38"/>
  <c r="H28" i="38"/>
  <c r="H30" i="38"/>
  <c r="F11" i="38"/>
  <c r="F5" i="38"/>
  <c r="H26" i="38"/>
  <c r="H8" i="38"/>
  <c r="J7" i="38"/>
  <c r="J6" i="38"/>
  <c r="F28" i="38"/>
  <c r="F13" i="38"/>
  <c r="F15" i="38"/>
  <c r="F17" i="38"/>
  <c r="F19" i="38"/>
  <c r="F21" i="38"/>
  <c r="F23" i="38"/>
  <c r="F25" i="38"/>
  <c r="F29" i="38"/>
  <c r="F31" i="38"/>
  <c r="F4" i="38"/>
  <c r="H7" i="38"/>
  <c r="J13" i="38"/>
  <c r="J15" i="38"/>
  <c r="J17" i="38"/>
  <c r="J19" i="38"/>
  <c r="J21" i="38"/>
  <c r="J23" i="38"/>
  <c r="J25" i="38"/>
  <c r="J27" i="38"/>
  <c r="J29" i="38"/>
  <c r="J31" i="38"/>
  <c r="B44" i="39"/>
  <c r="F9" i="38"/>
  <c r="H14" i="38"/>
  <c r="H6" i="38"/>
  <c r="J11" i="38"/>
  <c r="J5" i="38"/>
  <c r="F8" i="38"/>
  <c r="H11" i="38"/>
  <c r="J10" i="38"/>
  <c r="H2" i="38"/>
  <c r="H10" i="38"/>
  <c r="J9" i="38"/>
  <c r="J3" i="38"/>
  <c r="J37" i="39"/>
  <c r="D37" i="39"/>
  <c r="Q37" i="39"/>
  <c r="S36" i="39" l="1"/>
  <c r="L47" i="39" s="1"/>
  <c r="F36" i="39"/>
  <c r="L45" i="39" s="1"/>
  <c r="R36" i="39"/>
  <c r="M47" i="39" s="1"/>
  <c r="E36" i="39"/>
  <c r="M45" i="39" s="1"/>
  <c r="L36" i="39"/>
  <c r="L46" i="39" s="1"/>
  <c r="K36" i="39"/>
  <c r="M46" i="39" s="1"/>
  <c r="L48" i="39" l="1"/>
  <c r="M48" i="39"/>
  <c r="B3" i="38" l="1"/>
  <c r="B4" i="38" s="1"/>
  <c r="B5" i="38" s="1"/>
  <c r="B6" i="38" s="1"/>
  <c r="B7" i="38" s="1"/>
  <c r="B8" i="38" s="1"/>
  <c r="B9" i="38" s="1"/>
  <c r="B10" i="38" s="1"/>
  <c r="B11" i="38" s="1"/>
  <c r="B12" i="38" s="1"/>
  <c r="B13" i="38" s="1"/>
  <c r="B14" i="38" s="1"/>
  <c r="B15" i="38" s="1"/>
  <c r="B16" i="38" s="1"/>
  <c r="B17" i="38" s="1"/>
  <c r="B18" i="38" s="1"/>
  <c r="B19" i="38" s="1"/>
  <c r="B20" i="38" s="1"/>
  <c r="B21" i="38" s="1"/>
  <c r="B22" i="38" s="1"/>
  <c r="B23" i="38" s="1"/>
  <c r="B24" i="38" s="1"/>
  <c r="B25" i="38" s="1"/>
  <c r="B26" i="38" s="1"/>
  <c r="B27" i="38" s="1"/>
  <c r="B28" i="38" s="1"/>
  <c r="B29" i="38" s="1"/>
  <c r="B30" i="38" s="1"/>
  <c r="B31" i="38" s="1"/>
  <c r="B32" i="38" s="1"/>
</calcChain>
</file>

<file path=xl/sharedStrings.xml><?xml version="1.0" encoding="utf-8"?>
<sst xmlns="http://schemas.openxmlformats.org/spreadsheetml/2006/main" count="99" uniqueCount="51">
  <si>
    <t>Budget</t>
  </si>
  <si>
    <t>Date</t>
  </si>
  <si>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</si>
  <si>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</si>
  <si>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</si>
  <si>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</si>
  <si>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</si>
  <si>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</si>
  <si>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</si>
  <si>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 xml:space="preserve">Total Guests </t>
  </si>
  <si>
    <t>Water Utility Supply (m3) m3</t>
  </si>
  <si>
    <t>Water Utility Supply (m3) $/m3</t>
  </si>
  <si>
    <t xml:space="preserve">                                                       ELECTRICITY </t>
  </si>
  <si>
    <t xml:space="preserve">WATER </t>
  </si>
  <si>
    <t>LPG</t>
  </si>
  <si>
    <t>Daily forecast budget DHS</t>
  </si>
  <si>
    <t>Daily reading Kwh</t>
  </si>
  <si>
    <t>Daily consumption  DHS</t>
  </si>
  <si>
    <t xml:space="preserve">Daily Variance DHS Forecast </t>
  </si>
  <si>
    <t>Daily variance DHS Budget</t>
  </si>
  <si>
    <t>2024                                    Daily reading Kwh</t>
  </si>
  <si>
    <t>Daily reading gallon</t>
  </si>
  <si>
    <t>Daily Variance DHS Forecast</t>
  </si>
  <si>
    <t>2024                Daily reading gallon</t>
  </si>
  <si>
    <t>Daily forecast budget Litter</t>
  </si>
  <si>
    <t>Daily reading Litter</t>
  </si>
  <si>
    <t>2024                     Daily reading Litter</t>
  </si>
  <si>
    <t>Electricity saved in dhs</t>
  </si>
  <si>
    <t>Water saved in dhs</t>
  </si>
  <si>
    <t>LPG saved in dhs</t>
  </si>
  <si>
    <t>Occu</t>
  </si>
  <si>
    <t>Budget/</t>
  </si>
  <si>
    <t>Acutal/</t>
  </si>
  <si>
    <t>M3*220</t>
  </si>
  <si>
    <t>Electricity</t>
  </si>
  <si>
    <t>Water</t>
  </si>
  <si>
    <t>Column1</t>
  </si>
  <si>
    <t>Con MTD</t>
  </si>
  <si>
    <t xml:space="preserve">Utility Readings( MTD)  savings </t>
  </si>
  <si>
    <t>Budget/day</t>
  </si>
  <si>
    <t xml:space="preserve">Forecast </t>
  </si>
  <si>
    <t>Budget(MTD)</t>
  </si>
  <si>
    <t xml:space="preserve"> Occupancy </t>
  </si>
  <si>
    <t>Saving</t>
  </si>
  <si>
    <t>Actual</t>
  </si>
  <si>
    <t xml:space="preserve">Water </t>
  </si>
  <si>
    <t>Total</t>
  </si>
  <si>
    <t>Centro Barsha by Rotana Dubai</t>
  </si>
  <si>
    <t xml:space="preserve">LPG (Liters) </t>
  </si>
  <si>
    <t>LPG $/Liters</t>
  </si>
  <si>
    <t>APRIL 2025 HOTEL UTILITIES MONTHLY 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</si>
</sst>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000"/>
    <numFmt numFmtId="166" formatCode="[$-409]d\-mmm\-yy;@"/>
  </numFmts>
  <fonts count="2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3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theme="8" tint="-0.249977111117893"/>
      </left>
      <right/>
      <top style="double">
        <color theme="8" tint="-0.249977111117893"/>
      </top>
      <bottom style="double">
        <color theme="8" tint="-0.249977111117893"/>
      </bottom>
      <diagonal/>
    </border>
    <border>
      <left/>
      <right style="double">
        <color theme="8" tint="-0.249977111117893"/>
      </right>
      <top style="double">
        <color theme="8" tint="-0.249977111117893"/>
      </top>
      <bottom style="double">
        <color theme="8" tint="-0.249977111117893"/>
      </bottom>
      <diagonal/>
    </border>
    <border>
      <left style="double">
        <color theme="8" tint="-0.249977111117893"/>
      </left>
      <right style="double">
        <color theme="8" tint="-0.249977111117893"/>
      </right>
      <top style="double">
        <color theme="8" tint="-0.249977111117893"/>
      </top>
      <bottom style="double">
        <color theme="8" tint="-0.249977111117893"/>
      </bottom>
      <diagonal/>
    </border>
    <border>
      <left style="double">
        <color theme="8" tint="-0.249977111117893"/>
      </left>
      <right/>
      <top/>
      <bottom style="double">
        <color theme="8" tint="-0.249977111117893"/>
      </bottom>
      <diagonal/>
    </border>
    <border>
      <left/>
      <right style="double">
        <color theme="8" tint="-0.249977111117893"/>
      </right>
      <top/>
      <bottom style="double">
        <color theme="8" tint="-0.249977111117893"/>
      </bottom>
      <diagonal/>
    </border>
    <border>
      <left style="double">
        <color theme="8" tint="-0.249977111117893"/>
      </left>
      <right style="double">
        <color theme="8" tint="-0.249977111117893"/>
      </right>
      <top style="double">
        <color theme="8" tint="-0.24997711111789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30">
    <xf numFmtId="0" fontId="0" fillId="0" borderId="0"/>
    <xf numFmtId="164" fontId="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4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1" fillId="0" borderId="0"/>
    <xf numFmtId="164" fontId="1" fillId="0" borderId="0" applyFont="0" applyFill="0" applyBorder="0" applyAlignment="0" applyProtection="0"/>
  </cellStyleXfs>
  <cellXfs count="145">
    <xf numFmtId="0" fontId="0" fillId="0" borderId="0" xfId="0"/>
    <xf numFmtId="0" fontId="11" fillId="0" borderId="24" xfId="127" applyFont="1" applyBorder="1" applyAlignment="1">
      <alignment horizontal="center" vertical="center"/>
    </xf>
    <xf numFmtId="0" fontId="11" fillId="0" borderId="24" xfId="127" applyFont="1" applyBorder="1" applyAlignment="1">
      <alignment horizontal="center" vertical="center" wrapText="1"/>
    </xf>
    <xf numFmtId="2" fontId="12" fillId="0" borderId="24" xfId="127" applyNumberFormat="1" applyFont="1" applyBorder="1" applyAlignment="1">
      <alignment horizontal="center" vertical="center" wrapText="1"/>
    </xf>
    <xf numFmtId="0" fontId="12" fillId="0" borderId="24" xfId="127" applyFont="1" applyBorder="1" applyAlignment="1">
      <alignment horizontal="center" vertical="center" wrapText="1"/>
    </xf>
    <xf numFmtId="0" fontId="11" fillId="0" borderId="0" xfId="127" applyFont="1" applyAlignment="1">
      <alignment horizontal="center" vertical="center"/>
    </xf>
    <xf numFmtId="0" fontId="13" fillId="0" borderId="0" xfId="127" applyFont="1" applyAlignment="1">
      <alignment horizontal="center"/>
    </xf>
    <xf numFmtId="0" fontId="11" fillId="0" borderId="0" xfId="127" applyFont="1" applyAlignment="1">
      <alignment horizontal="center"/>
    </xf>
    <xf numFmtId="1" fontId="2" fillId="0" borderId="0" xfId="127" applyNumberFormat="1" applyAlignment="1">
      <alignment horizontal="center"/>
    </xf>
    <xf numFmtId="2" fontId="10" fillId="0" borderId="0" xfId="127" applyNumberFormat="1" applyFont="1" applyAlignment="1">
      <alignment horizontal="center"/>
    </xf>
    <xf numFmtId="165" fontId="10" fillId="0" borderId="0" xfId="127" applyNumberFormat="1" applyFont="1" applyAlignment="1">
      <alignment horizontal="center"/>
    </xf>
    <xf numFmtId="0" fontId="2" fillId="0" borderId="0" xfId="127" applyAlignment="1">
      <alignment horizontal="center"/>
    </xf>
    <xf numFmtId="0" fontId="11" fillId="0" borderId="0" xfId="127" applyFont="1"/>
    <xf numFmtId="0" fontId="10" fillId="0" borderId="0" xfId="127" applyFont="1" applyAlignment="1">
      <alignment horizontal="center"/>
    </xf>
    <xf numFmtId="0" fontId="2" fillId="0" borderId="0" xfId="127"/>
    <xf numFmtId="0" fontId="1" fillId="0" borderId="0" xfId="128"/>
    <xf numFmtId="0" fontId="11" fillId="3" borderId="2" xfId="128" applyFont="1" applyFill="1" applyBorder="1" applyAlignment="1">
      <alignment horizontal="center" vertical="center" wrapText="1"/>
    </xf>
    <xf numFmtId="0" fontId="11" fillId="3" borderId="3" xfId="128" applyFont="1" applyFill="1" applyBorder="1" applyAlignment="1">
      <alignment horizontal="center" vertical="center" wrapText="1"/>
    </xf>
    <xf numFmtId="0" fontId="11" fillId="3" borderId="8" xfId="128" applyFont="1" applyFill="1" applyBorder="1" applyAlignment="1">
      <alignment horizontal="center" vertical="center" wrapText="1"/>
    </xf>
    <xf numFmtId="0" fontId="11" fillId="3" borderId="34" xfId="128" applyFont="1" applyFill="1" applyBorder="1" applyAlignment="1">
      <alignment horizontal="center" vertical="center" wrapText="1"/>
    </xf>
    <xf numFmtId="0" fontId="11" fillId="4" borderId="2" xfId="128" applyFont="1" applyFill="1" applyBorder="1" applyAlignment="1">
      <alignment horizontal="center" vertical="center" wrapText="1"/>
    </xf>
    <xf numFmtId="0" fontId="11" fillId="4" borderId="3" xfId="128" applyFont="1" applyFill="1" applyBorder="1" applyAlignment="1">
      <alignment horizontal="center" vertical="center" wrapText="1"/>
    </xf>
    <xf numFmtId="0" fontId="11" fillId="4" borderId="8" xfId="128" applyFont="1" applyFill="1" applyBorder="1" applyAlignment="1">
      <alignment horizontal="center" vertical="center" wrapText="1"/>
    </xf>
    <xf numFmtId="0" fontId="11" fillId="4" borderId="34" xfId="128" applyFont="1" applyFill="1" applyBorder="1" applyAlignment="1">
      <alignment horizontal="center" vertical="center" wrapText="1"/>
    </xf>
    <xf numFmtId="0" fontId="11" fillId="5" borderId="2" xfId="128" applyFont="1" applyFill="1" applyBorder="1" applyAlignment="1">
      <alignment horizontal="center" vertical="center" wrapText="1"/>
    </xf>
    <xf numFmtId="0" fontId="11" fillId="5" borderId="3" xfId="128" applyFont="1" applyFill="1" applyBorder="1" applyAlignment="1">
      <alignment horizontal="center" vertical="center" wrapText="1"/>
    </xf>
    <xf numFmtId="0" fontId="11" fillId="5" borderId="32" xfId="128" applyFont="1" applyFill="1" applyBorder="1" applyAlignment="1">
      <alignment horizontal="center" vertical="center" wrapText="1"/>
    </xf>
    <xf numFmtId="166" fontId="16" fillId="0" borderId="35" xfId="128" applyNumberFormat="1" applyFont="1" applyBorder="1" applyAlignment="1">
      <alignment horizontal="center"/>
    </xf>
    <xf numFmtId="0" fontId="1" fillId="3" borderId="20" xfId="128" applyFill="1" applyBorder="1" applyAlignment="1">
      <alignment horizontal="center"/>
    </xf>
    <xf numFmtId="0" fontId="17" fillId="3" borderId="17" xfId="128" applyFont="1" applyFill="1" applyBorder="1" applyAlignment="1">
      <alignment horizontal="center"/>
    </xf>
    <xf numFmtId="0" fontId="17" fillId="3" borderId="6" xfId="128" applyFont="1" applyFill="1" applyBorder="1" applyAlignment="1">
      <alignment horizontal="center"/>
    </xf>
    <xf numFmtId="0" fontId="17" fillId="3" borderId="36" xfId="128" applyFont="1" applyFill="1" applyBorder="1" applyAlignment="1">
      <alignment horizontal="center"/>
    </xf>
    <xf numFmtId="0" fontId="17" fillId="4" borderId="17" xfId="128" applyFont="1" applyFill="1" applyBorder="1" applyAlignment="1">
      <alignment horizontal="center"/>
    </xf>
    <xf numFmtId="0" fontId="17" fillId="4" borderId="36" xfId="128" applyFont="1" applyFill="1" applyBorder="1" applyAlignment="1">
      <alignment horizontal="center"/>
    </xf>
    <xf numFmtId="0" fontId="17" fillId="5" borderId="17" xfId="128" applyFont="1" applyFill="1" applyBorder="1" applyAlignment="1">
      <alignment horizontal="center"/>
    </xf>
    <xf numFmtId="0" fontId="17" fillId="5" borderId="24" xfId="128" applyFont="1" applyFill="1" applyBorder="1" applyAlignment="1">
      <alignment horizontal="center"/>
    </xf>
    <xf numFmtId="0" fontId="17" fillId="5" borderId="6" xfId="128" applyFont="1" applyFill="1" applyBorder="1" applyAlignment="1">
      <alignment horizontal="center"/>
    </xf>
    <xf numFmtId="0" fontId="17" fillId="5" borderId="7" xfId="128" applyFont="1" applyFill="1" applyBorder="1" applyAlignment="1">
      <alignment horizontal="center"/>
    </xf>
    <xf numFmtId="166" fontId="16" fillId="0" borderId="37" xfId="128" applyNumberFormat="1" applyFont="1" applyBorder="1" applyAlignment="1">
      <alignment horizontal="center"/>
    </xf>
    <xf numFmtId="0" fontId="17" fillId="3" borderId="37" xfId="128" applyFont="1" applyFill="1" applyBorder="1" applyAlignment="1">
      <alignment horizontal="center"/>
    </xf>
    <xf numFmtId="0" fontId="17" fillId="6" borderId="6" xfId="128" applyFont="1" applyFill="1" applyBorder="1" applyAlignment="1">
      <alignment horizontal="center"/>
    </xf>
    <xf numFmtId="0" fontId="17" fillId="3" borderId="0" xfId="128" applyFont="1" applyFill="1" applyAlignment="1">
      <alignment horizontal="center"/>
    </xf>
    <xf numFmtId="0" fontId="1" fillId="4" borderId="0" xfId="128" applyFill="1" applyAlignment="1">
      <alignment horizontal="center"/>
    </xf>
    <xf numFmtId="0" fontId="17" fillId="4" borderId="18" xfId="128" applyFont="1" applyFill="1" applyBorder="1" applyAlignment="1">
      <alignment horizontal="center"/>
    </xf>
    <xf numFmtId="0" fontId="17" fillId="3" borderId="19" xfId="128" applyFont="1" applyFill="1" applyBorder="1" applyAlignment="1">
      <alignment horizontal="center"/>
    </xf>
    <xf numFmtId="0" fontId="17" fillId="5" borderId="0" xfId="128" applyFont="1" applyFill="1" applyAlignment="1">
      <alignment horizontal="center"/>
    </xf>
    <xf numFmtId="0" fontId="15" fillId="7" borderId="28" xfId="128" applyFont="1" applyFill="1" applyBorder="1" applyAlignment="1">
      <alignment vertical="center"/>
    </xf>
    <xf numFmtId="164" fontId="19" fillId="3" borderId="16" xfId="129" applyFont="1" applyFill="1" applyBorder="1" applyAlignment="1">
      <alignment horizontal="center" vertical="center"/>
    </xf>
    <xf numFmtId="164" fontId="19" fillId="3" borderId="30" xfId="129" applyFont="1" applyFill="1" applyBorder="1" applyAlignment="1">
      <alignment horizontal="center" vertical="center"/>
    </xf>
    <xf numFmtId="0" fontId="17" fillId="8" borderId="10" xfId="128" applyFont="1" applyFill="1" applyBorder="1" applyAlignment="1">
      <alignment horizontal="center"/>
    </xf>
    <xf numFmtId="164" fontId="18" fillId="4" borderId="23" xfId="129" applyFont="1" applyFill="1" applyBorder="1" applyAlignment="1">
      <alignment horizontal="center" vertical="center" wrapText="1"/>
    </xf>
    <xf numFmtId="0" fontId="17" fillId="9" borderId="16" xfId="128" applyFont="1" applyFill="1" applyBorder="1" applyAlignment="1">
      <alignment horizontal="center"/>
    </xf>
    <xf numFmtId="164" fontId="18" fillId="5" borderId="5" xfId="129" applyFont="1" applyFill="1" applyBorder="1" applyAlignment="1">
      <alignment horizontal="center" vertical="center" wrapText="1"/>
    </xf>
    <xf numFmtId="164" fontId="18" fillId="5" borderId="9" xfId="129" applyFont="1" applyFill="1" applyBorder="1" applyAlignment="1">
      <alignment horizontal="center" vertical="center" wrapText="1"/>
    </xf>
    <xf numFmtId="0" fontId="1" fillId="10" borderId="1" xfId="128" applyFill="1" applyBorder="1"/>
    <xf numFmtId="0" fontId="1" fillId="0" borderId="6" xfId="128" applyBorder="1"/>
    <xf numFmtId="0" fontId="1" fillId="7" borderId="6" xfId="128" applyFill="1" applyBorder="1"/>
    <xf numFmtId="0" fontId="20" fillId="7" borderId="6" xfId="128" applyFont="1" applyFill="1" applyBorder="1" applyAlignment="1">
      <alignment horizontal="center"/>
    </xf>
    <xf numFmtId="0" fontId="20" fillId="0" borderId="6" xfId="128" applyFont="1" applyBorder="1" applyAlignment="1">
      <alignment horizontal="center"/>
    </xf>
    <xf numFmtId="0" fontId="17" fillId="7" borderId="6" xfId="128" applyFont="1" applyFill="1" applyBorder="1" applyAlignment="1">
      <alignment horizontal="center"/>
    </xf>
    <xf numFmtId="0" fontId="20" fillId="0" borderId="0" xfId="128" applyFont="1" applyAlignment="1">
      <alignment horizontal="center"/>
    </xf>
    <xf numFmtId="0" fontId="21" fillId="0" borderId="6" xfId="128" applyFont="1" applyBorder="1"/>
    <xf numFmtId="0" fontId="22" fillId="0" borderId="0" xfId="128" applyFont="1" applyAlignment="1">
      <alignment horizontal="center" vertical="center"/>
    </xf>
    <xf numFmtId="0" fontId="22" fillId="0" borderId="0" xfId="128" applyFont="1" applyAlignment="1">
      <alignment horizontal="center"/>
    </xf>
    <xf numFmtId="0" fontId="24" fillId="11" borderId="43" xfId="128" applyFont="1" applyFill="1" applyBorder="1" applyAlignment="1">
      <alignment horizontal="center"/>
    </xf>
    <xf numFmtId="0" fontId="24" fillId="11" borderId="44" xfId="128" applyFont="1" applyFill="1" applyBorder="1" applyAlignment="1">
      <alignment horizontal="center"/>
    </xf>
    <xf numFmtId="0" fontId="1" fillId="11" borderId="42" xfId="128" applyFill="1" applyBorder="1"/>
    <xf numFmtId="0" fontId="1" fillId="11" borderId="42" xfId="128" applyFill="1" applyBorder="1" applyAlignment="1">
      <alignment horizontal="left"/>
    </xf>
    <xf numFmtId="0" fontId="12" fillId="11" borderId="45" xfId="128" applyFont="1" applyFill="1" applyBorder="1"/>
    <xf numFmtId="0" fontId="12" fillId="11" borderId="45" xfId="128" applyFont="1" applyFill="1" applyBorder="1" applyAlignment="1">
      <alignment horizontal="left"/>
    </xf>
    <xf numFmtId="0" fontId="25" fillId="13" borderId="46" xfId="128" applyFont="1" applyFill="1" applyBorder="1" applyAlignment="1">
      <alignment horizontal="center"/>
    </xf>
    <xf numFmtId="0" fontId="25" fillId="13" borderId="6" xfId="128" applyFont="1" applyFill="1" applyBorder="1" applyAlignment="1">
      <alignment horizontal="center"/>
    </xf>
    <xf numFmtId="0" fontId="25" fillId="13" borderId="47" xfId="128" applyFont="1" applyFill="1" applyBorder="1" applyAlignment="1">
      <alignment horizontal="center"/>
    </xf>
    <xf numFmtId="0" fontId="1" fillId="11" borderId="6" xfId="128" applyFill="1" applyBorder="1"/>
    <xf numFmtId="0" fontId="1" fillId="11" borderId="6" xfId="128" applyFill="1" applyBorder="1" applyAlignment="1">
      <alignment horizontal="left"/>
    </xf>
    <xf numFmtId="0" fontId="25" fillId="0" borderId="46" xfId="128" applyFont="1" applyBorder="1" applyAlignment="1">
      <alignment horizontal="center"/>
    </xf>
    <xf numFmtId="10" fontId="25" fillId="0" borderId="6" xfId="128" applyNumberFormat="1" applyFont="1" applyBorder="1" applyAlignment="1">
      <alignment horizontal="center"/>
    </xf>
    <xf numFmtId="10" fontId="25" fillId="0" borderId="47" xfId="128" applyNumberFormat="1" applyFont="1" applyBorder="1" applyAlignment="1">
      <alignment horizontal="center"/>
    </xf>
    <xf numFmtId="10" fontId="25" fillId="0" borderId="6" xfId="128" applyNumberFormat="1" applyFont="1" applyBorder="1" applyAlignment="1">
      <alignment horizontal="center" vertical="center"/>
    </xf>
    <xf numFmtId="0" fontId="1" fillId="11" borderId="7" xfId="128" applyFill="1" applyBorder="1"/>
    <xf numFmtId="164" fontId="25" fillId="0" borderId="6" xfId="129" applyFont="1" applyBorder="1" applyAlignment="1">
      <alignment horizontal="center"/>
    </xf>
    <xf numFmtId="164" fontId="25" fillId="0" borderId="47" xfId="129" applyFont="1" applyBorder="1" applyAlignment="1">
      <alignment horizontal="center"/>
    </xf>
    <xf numFmtId="3" fontId="25" fillId="0" borderId="6" xfId="128" applyNumberFormat="1" applyFont="1" applyBorder="1" applyAlignment="1">
      <alignment horizontal="center" vertical="center"/>
    </xf>
    <xf numFmtId="0" fontId="25" fillId="0" borderId="11" xfId="128" applyFont="1" applyBorder="1" applyAlignment="1">
      <alignment horizontal="center"/>
    </xf>
    <xf numFmtId="164" fontId="25" fillId="0" borderId="7" xfId="129" applyFont="1" applyBorder="1" applyAlignment="1">
      <alignment horizontal="center"/>
    </xf>
    <xf numFmtId="164" fontId="25" fillId="0" borderId="12" xfId="129" applyFont="1" applyBorder="1" applyAlignment="1">
      <alignment horizontal="center"/>
    </xf>
    <xf numFmtId="0" fontId="25" fillId="11" borderId="13" xfId="128" applyFont="1" applyFill="1" applyBorder="1" applyAlignment="1">
      <alignment horizontal="center"/>
    </xf>
    <xf numFmtId="164" fontId="25" fillId="11" borderId="8" xfId="129" applyFont="1" applyFill="1" applyBorder="1" applyAlignment="1">
      <alignment horizontal="center"/>
    </xf>
    <xf numFmtId="164" fontId="25" fillId="11" borderId="5" xfId="129" applyFon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17" fillId="5" borderId="6" xfId="0" applyFont="1" applyFill="1" applyBorder="1" applyAlignment="1">
      <alignment horizontal="center"/>
    </xf>
    <xf numFmtId="0" fontId="17" fillId="5" borderId="7" xfId="0" applyFont="1" applyFill="1" applyBorder="1" applyAlignment="1">
      <alignment horizontal="center"/>
    </xf>
    <xf numFmtId="0" fontId="11" fillId="5" borderId="48" xfId="128" applyFont="1" applyFill="1" applyBorder="1" applyAlignment="1">
      <alignment horizontal="center" vertical="center" wrapText="1"/>
    </xf>
    <xf numFmtId="0" fontId="17" fillId="3" borderId="14" xfId="0" applyFont="1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17" fillId="3" borderId="6" xfId="0" applyFont="1" applyFill="1" applyBorder="1" applyAlignment="1">
      <alignment horizontal="center"/>
    </xf>
    <xf numFmtId="0" fontId="17" fillId="3" borderId="36" xfId="0" applyFont="1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17" fillId="4" borderId="6" xfId="0" applyFont="1" applyFill="1" applyBorder="1" applyAlignment="1">
      <alignment horizontal="center"/>
    </xf>
    <xf numFmtId="0" fontId="17" fillId="5" borderId="14" xfId="0" applyFont="1" applyFill="1" applyBorder="1" applyAlignment="1">
      <alignment horizontal="center"/>
    </xf>
    <xf numFmtId="0" fontId="17" fillId="5" borderId="17" xfId="0" applyFont="1" applyFill="1" applyBorder="1" applyAlignment="1">
      <alignment horizontal="center"/>
    </xf>
    <xf numFmtId="0" fontId="17" fillId="4" borderId="17" xfId="0" applyFont="1" applyFill="1" applyBorder="1" applyAlignment="1">
      <alignment horizontal="center"/>
    </xf>
    <xf numFmtId="0" fontId="17" fillId="4" borderId="36" xfId="0" applyFont="1" applyFill="1" applyBorder="1" applyAlignment="1">
      <alignment horizontal="center"/>
    </xf>
    <xf numFmtId="0" fontId="17" fillId="5" borderId="24" xfId="0" applyFont="1" applyFill="1" applyBorder="1" applyAlignment="1">
      <alignment horizontal="center"/>
    </xf>
    <xf numFmtId="0" fontId="1" fillId="0" borderId="0" xfId="128" applyAlignment="1">
      <alignment horizontal="center" vertical="center"/>
    </xf>
    <xf numFmtId="0" fontId="14" fillId="0" borderId="25" xfId="128" applyFont="1" applyBorder="1" applyAlignment="1">
      <alignment horizontal="center" vertical="center"/>
    </xf>
    <xf numFmtId="0" fontId="14" fillId="0" borderId="26" xfId="128" applyFont="1" applyBorder="1" applyAlignment="1">
      <alignment horizontal="center" vertical="center"/>
    </xf>
    <xf numFmtId="0" fontId="14" fillId="0" borderId="27" xfId="128" applyFont="1" applyBorder="1" applyAlignment="1">
      <alignment horizontal="center" vertical="center"/>
    </xf>
    <xf numFmtId="0" fontId="11" fillId="2" borderId="16" xfId="128" applyFont="1" applyFill="1" applyBorder="1" applyAlignment="1">
      <alignment horizontal="center" vertical="center" wrapText="1"/>
    </xf>
    <xf numFmtId="0" fontId="11" fillId="2" borderId="10" xfId="128" applyFont="1" applyFill="1" applyBorder="1" applyAlignment="1">
      <alignment horizontal="center" vertical="center" wrapText="1"/>
    </xf>
    <xf numFmtId="0" fontId="11" fillId="2" borderId="15" xfId="128" applyFont="1" applyFill="1" applyBorder="1" applyAlignment="1">
      <alignment horizontal="center" vertical="center" wrapText="1"/>
    </xf>
    <xf numFmtId="0" fontId="15" fillId="3" borderId="28" xfId="128" applyFont="1" applyFill="1" applyBorder="1" applyAlignment="1">
      <alignment vertical="center" wrapText="1"/>
    </xf>
    <xf numFmtId="0" fontId="15" fillId="3" borderId="29" xfId="128" applyFont="1" applyFill="1" applyBorder="1" applyAlignment="1">
      <alignment vertical="center" wrapText="1"/>
    </xf>
    <xf numFmtId="0" fontId="15" fillId="3" borderId="30" xfId="128" applyFont="1" applyFill="1" applyBorder="1" applyAlignment="1">
      <alignment vertical="center" wrapText="1"/>
    </xf>
    <xf numFmtId="0" fontId="15" fillId="3" borderId="31" xfId="128" applyFont="1" applyFill="1" applyBorder="1" applyAlignment="1">
      <alignment vertical="center" wrapText="1"/>
    </xf>
    <xf numFmtId="0" fontId="15" fillId="3" borderId="32" xfId="128" applyFont="1" applyFill="1" applyBorder="1" applyAlignment="1">
      <alignment vertical="center" wrapText="1"/>
    </xf>
    <xf numFmtId="0" fontId="15" fillId="3" borderId="33" xfId="128" applyFont="1" applyFill="1" applyBorder="1" applyAlignment="1">
      <alignment vertical="center" wrapText="1"/>
    </xf>
    <xf numFmtId="0" fontId="15" fillId="4" borderId="28" xfId="128" applyFont="1" applyFill="1" applyBorder="1" applyAlignment="1">
      <alignment horizontal="center" vertical="center"/>
    </xf>
    <xf numFmtId="0" fontId="15" fillId="4" borderId="29" xfId="128" applyFont="1" applyFill="1" applyBorder="1" applyAlignment="1">
      <alignment horizontal="center" vertical="center"/>
    </xf>
    <xf numFmtId="0" fontId="15" fillId="4" borderId="30" xfId="128" applyFont="1" applyFill="1" applyBorder="1" applyAlignment="1">
      <alignment horizontal="center" vertical="center"/>
    </xf>
    <xf numFmtId="0" fontId="15" fillId="4" borderId="31" xfId="128" applyFont="1" applyFill="1" applyBorder="1" applyAlignment="1">
      <alignment horizontal="center" vertical="center"/>
    </xf>
    <xf numFmtId="0" fontId="15" fillId="4" borderId="32" xfId="128" applyFont="1" applyFill="1" applyBorder="1" applyAlignment="1">
      <alignment horizontal="center" vertical="center"/>
    </xf>
    <xf numFmtId="0" fontId="15" fillId="4" borderId="33" xfId="128" applyFont="1" applyFill="1" applyBorder="1" applyAlignment="1">
      <alignment horizontal="center" vertical="center"/>
    </xf>
    <xf numFmtId="0" fontId="15" fillId="5" borderId="28" xfId="128" applyFont="1" applyFill="1" applyBorder="1" applyAlignment="1">
      <alignment horizontal="center" vertical="center"/>
    </xf>
    <xf numFmtId="0" fontId="15" fillId="5" borderId="29" xfId="128" applyFont="1" applyFill="1" applyBorder="1" applyAlignment="1">
      <alignment horizontal="center" vertical="center"/>
    </xf>
    <xf numFmtId="0" fontId="15" fillId="5" borderId="30" xfId="128" applyFont="1" applyFill="1" applyBorder="1" applyAlignment="1">
      <alignment horizontal="center" vertical="center"/>
    </xf>
    <xf numFmtId="0" fontId="15" fillId="5" borderId="31" xfId="128" applyFont="1" applyFill="1" applyBorder="1" applyAlignment="1">
      <alignment horizontal="center" vertical="center"/>
    </xf>
    <xf numFmtId="0" fontId="15" fillId="5" borderId="32" xfId="128" applyFont="1" applyFill="1" applyBorder="1" applyAlignment="1">
      <alignment horizontal="center" vertical="center"/>
    </xf>
    <xf numFmtId="0" fontId="15" fillId="5" borderId="33" xfId="128" applyFont="1" applyFill="1" applyBorder="1" applyAlignment="1">
      <alignment horizontal="center" vertical="center"/>
    </xf>
    <xf numFmtId="0" fontId="25" fillId="12" borderId="21" xfId="128" applyFont="1" applyFill="1" applyBorder="1" applyAlignment="1">
      <alignment horizontal="center"/>
    </xf>
    <xf numFmtId="0" fontId="25" fillId="12" borderId="22" xfId="128" applyFont="1" applyFill="1" applyBorder="1" applyAlignment="1">
      <alignment horizontal="center"/>
    </xf>
    <xf numFmtId="0" fontId="25" fillId="12" borderId="4" xfId="128" applyFont="1" applyFill="1" applyBorder="1" applyAlignment="1">
      <alignment horizontal="center"/>
    </xf>
    <xf numFmtId="0" fontId="18" fillId="3" borderId="28" xfId="128" applyFont="1" applyFill="1" applyBorder="1" applyAlignment="1">
      <alignment horizontal="center" vertical="center" wrapText="1"/>
    </xf>
    <xf numFmtId="0" fontId="18" fillId="3" borderId="29" xfId="128" applyFont="1" applyFill="1" applyBorder="1" applyAlignment="1">
      <alignment horizontal="center" vertical="center" wrapText="1"/>
    </xf>
    <xf numFmtId="0" fontId="18" fillId="4" borderId="28" xfId="128" applyFont="1" applyFill="1" applyBorder="1" applyAlignment="1">
      <alignment horizontal="center" vertical="center" wrapText="1"/>
    </xf>
    <xf numFmtId="0" fontId="18" fillId="4" borderId="29" xfId="128" applyFont="1" applyFill="1" applyBorder="1" applyAlignment="1">
      <alignment horizontal="center" vertical="center" wrapText="1"/>
    </xf>
    <xf numFmtId="0" fontId="18" fillId="4" borderId="38" xfId="128" applyFont="1" applyFill="1" applyBorder="1" applyAlignment="1">
      <alignment horizontal="center" vertical="center" wrapText="1"/>
    </xf>
    <xf numFmtId="0" fontId="18" fillId="5" borderId="37" xfId="128" applyFont="1" applyFill="1" applyBorder="1" applyAlignment="1">
      <alignment horizontal="center" vertical="center" wrapText="1"/>
    </xf>
    <xf numFmtId="0" fontId="18" fillId="5" borderId="9" xfId="128" applyFont="1" applyFill="1" applyBorder="1" applyAlignment="1">
      <alignment horizontal="center" vertical="center" wrapText="1"/>
    </xf>
    <xf numFmtId="0" fontId="18" fillId="5" borderId="39" xfId="128" applyFont="1" applyFill="1" applyBorder="1" applyAlignment="1">
      <alignment horizontal="center" vertical="center" wrapText="1"/>
    </xf>
    <xf numFmtId="0" fontId="21" fillId="0" borderId="6" xfId="128" applyFont="1" applyBorder="1" applyAlignment="1">
      <alignment horizontal="center" vertical="center"/>
    </xf>
    <xf numFmtId="0" fontId="23" fillId="11" borderId="40" xfId="128" applyFont="1" applyFill="1" applyBorder="1" applyAlignment="1">
      <alignment horizontal="center"/>
    </xf>
    <xf numFmtId="0" fontId="23" fillId="11" borderId="41" xfId="128" applyFont="1" applyFill="1" applyBorder="1" applyAlignment="1">
      <alignment horizontal="center"/>
    </xf>
    <xf numFmtId="0" fontId="23" fillId="11" borderId="42" xfId="128" applyFont="1" applyFill="1" applyBorder="1" applyAlignment="1">
      <alignment horizontal="center"/>
    </xf>
  </cellXfs>
  <cellStyles count="130">
    <cellStyle name="Comma 2" xfId="1" xr:uid="{00000000-0005-0000-0000-000001000000}"/>
    <cellStyle name="Comma 2 10" xfId="66" xr:uid="{00000000-0005-0000-0000-000002000000}"/>
    <cellStyle name="Comma 2 11" xfId="105" xr:uid="{00000000-0005-0000-0000-000003000000}"/>
    <cellStyle name="Comma 2 12" xfId="91" xr:uid="{00000000-0005-0000-0000-000004000000}"/>
    <cellStyle name="Comma 2 13" xfId="101" xr:uid="{00000000-0005-0000-0000-000005000000}"/>
    <cellStyle name="Comma 2 14" xfId="76" xr:uid="{00000000-0005-0000-0000-000006000000}"/>
    <cellStyle name="Comma 2 15" xfId="90" xr:uid="{00000000-0005-0000-0000-000007000000}"/>
    <cellStyle name="Comma 2 16" xfId="93" xr:uid="{00000000-0005-0000-0000-000008000000}"/>
    <cellStyle name="Comma 2 17" xfId="88" xr:uid="{00000000-0005-0000-0000-000009000000}"/>
    <cellStyle name="Comma 2 18" xfId="104" xr:uid="{00000000-0005-0000-0000-00000A000000}"/>
    <cellStyle name="Comma 2 2" xfId="10" xr:uid="{00000000-0005-0000-0000-00000B000000}"/>
    <cellStyle name="Comma 2 3" xfId="13" xr:uid="{00000000-0005-0000-0000-00000C000000}"/>
    <cellStyle name="Comma 2 4" xfId="20" xr:uid="{00000000-0005-0000-0000-00000D000000}"/>
    <cellStyle name="Comma 2 5" xfId="27" xr:uid="{00000000-0005-0000-0000-00000E000000}"/>
    <cellStyle name="Comma 2 6" xfId="34" xr:uid="{00000000-0005-0000-0000-00000F000000}"/>
    <cellStyle name="Comma 2 7" xfId="41" xr:uid="{00000000-0005-0000-0000-000010000000}"/>
    <cellStyle name="Comma 2 8" xfId="48" xr:uid="{00000000-0005-0000-0000-000011000000}"/>
    <cellStyle name="Comma 2 9" xfId="54" xr:uid="{00000000-0005-0000-0000-000012000000}"/>
    <cellStyle name="Comma 3" xfId="2" xr:uid="{00000000-0005-0000-0000-000013000000}"/>
    <cellStyle name="Comma 3 10" xfId="67" xr:uid="{00000000-0005-0000-0000-000014000000}"/>
    <cellStyle name="Comma 3 11" xfId="99" xr:uid="{00000000-0005-0000-0000-000015000000}"/>
    <cellStyle name="Comma 3 12" xfId="74" xr:uid="{00000000-0005-0000-0000-000016000000}"/>
    <cellStyle name="Comma 3 13" xfId="103" xr:uid="{00000000-0005-0000-0000-000017000000}"/>
    <cellStyle name="Comma 3 14" xfId="102" xr:uid="{00000000-0005-0000-0000-000018000000}"/>
    <cellStyle name="Comma 3 15" xfId="107" xr:uid="{00000000-0005-0000-0000-000019000000}"/>
    <cellStyle name="Comma 3 16" xfId="78" xr:uid="{00000000-0005-0000-0000-00001A000000}"/>
    <cellStyle name="Comma 3 17" xfId="79" xr:uid="{00000000-0005-0000-0000-00001B000000}"/>
    <cellStyle name="Comma 3 18" xfId="64" xr:uid="{00000000-0005-0000-0000-00001C000000}"/>
    <cellStyle name="Comma 3 2" xfId="11" xr:uid="{00000000-0005-0000-0000-00001D000000}"/>
    <cellStyle name="Comma 3 3" xfId="9" xr:uid="{00000000-0005-0000-0000-00001E000000}"/>
    <cellStyle name="Comma 3 4" xfId="8" xr:uid="{00000000-0005-0000-0000-00001F000000}"/>
    <cellStyle name="Comma 3 5" xfId="15" xr:uid="{00000000-0005-0000-0000-000020000000}"/>
    <cellStyle name="Comma 3 6" xfId="22" xr:uid="{00000000-0005-0000-0000-000021000000}"/>
    <cellStyle name="Comma 3 7" xfId="29" xr:uid="{00000000-0005-0000-0000-000022000000}"/>
    <cellStyle name="Comma 3 8" xfId="36" xr:uid="{00000000-0005-0000-0000-000023000000}"/>
    <cellStyle name="Comma 3 9" xfId="43" xr:uid="{00000000-0005-0000-0000-000024000000}"/>
    <cellStyle name="Comma 4" xfId="3" xr:uid="{00000000-0005-0000-0000-000025000000}"/>
    <cellStyle name="Comma 4 10" xfId="68" xr:uid="{00000000-0005-0000-0000-000026000000}"/>
    <cellStyle name="Comma 4 11" xfId="94" xr:uid="{00000000-0005-0000-0000-000027000000}"/>
    <cellStyle name="Comma 4 12" xfId="83" xr:uid="{00000000-0005-0000-0000-000028000000}"/>
    <cellStyle name="Comma 4 13" xfId="95" xr:uid="{00000000-0005-0000-0000-000029000000}"/>
    <cellStyle name="Comma 4 14" xfId="77" xr:uid="{00000000-0005-0000-0000-00002A000000}"/>
    <cellStyle name="Comma 4 15" xfId="84" xr:uid="{00000000-0005-0000-0000-00002B000000}"/>
    <cellStyle name="Comma 4 16" xfId="87" xr:uid="{00000000-0005-0000-0000-00002C000000}"/>
    <cellStyle name="Comma 4 17" xfId="109" xr:uid="{00000000-0005-0000-0000-00002D000000}"/>
    <cellStyle name="Comma 4 18" xfId="65" xr:uid="{00000000-0005-0000-0000-00002E000000}"/>
    <cellStyle name="Comma 4 2" xfId="12" xr:uid="{00000000-0005-0000-0000-00002F000000}"/>
    <cellStyle name="Comma 4 3" xfId="19" xr:uid="{00000000-0005-0000-0000-000030000000}"/>
    <cellStyle name="Comma 4 4" xfId="26" xr:uid="{00000000-0005-0000-0000-000031000000}"/>
    <cellStyle name="Comma 4 5" xfId="33" xr:uid="{00000000-0005-0000-0000-000032000000}"/>
    <cellStyle name="Comma 4 6" xfId="40" xr:uid="{00000000-0005-0000-0000-000033000000}"/>
    <cellStyle name="Comma 4 7" xfId="47" xr:uid="{00000000-0005-0000-0000-000034000000}"/>
    <cellStyle name="Comma 4 8" xfId="53" xr:uid="{00000000-0005-0000-0000-000035000000}"/>
    <cellStyle name="Comma 4 9" xfId="59" xr:uid="{00000000-0005-0000-0000-000036000000}"/>
    <cellStyle name="Comma 5" xfId="5" xr:uid="{00000000-0005-0000-0000-000037000000}"/>
    <cellStyle name="Comma 5 10" xfId="71" xr:uid="{00000000-0005-0000-0000-000038000000}"/>
    <cellStyle name="Comma 5 11" xfId="70" xr:uid="{00000000-0005-0000-0000-000039000000}"/>
    <cellStyle name="Comma 5 12" xfId="81" xr:uid="{00000000-0005-0000-0000-00003A000000}"/>
    <cellStyle name="Comma 5 13" xfId="106" xr:uid="{00000000-0005-0000-0000-00003B000000}"/>
    <cellStyle name="Comma 5 14" xfId="89" xr:uid="{00000000-0005-0000-0000-00003C000000}"/>
    <cellStyle name="Comma 5 15" xfId="98" xr:uid="{00000000-0005-0000-0000-00003D000000}"/>
    <cellStyle name="Comma 5 16" xfId="80" xr:uid="{00000000-0005-0000-0000-00003E000000}"/>
    <cellStyle name="Comma 5 17" xfId="112" xr:uid="{00000000-0005-0000-0000-00003F000000}"/>
    <cellStyle name="Comma 5 18" xfId="115" xr:uid="{00000000-0005-0000-0000-000040000000}"/>
    <cellStyle name="Comma 5 2" xfId="16" xr:uid="{00000000-0005-0000-0000-000041000000}"/>
    <cellStyle name="Comma 5 3" xfId="23" xr:uid="{00000000-0005-0000-0000-000042000000}"/>
    <cellStyle name="Comma 5 4" xfId="30" xr:uid="{00000000-0005-0000-0000-000043000000}"/>
    <cellStyle name="Comma 5 5" xfId="37" xr:uid="{00000000-0005-0000-0000-000044000000}"/>
    <cellStyle name="Comma 5 6" xfId="44" xr:uid="{00000000-0005-0000-0000-000045000000}"/>
    <cellStyle name="Comma 5 7" xfId="50" xr:uid="{00000000-0005-0000-0000-000046000000}"/>
    <cellStyle name="Comma 5 8" xfId="56" xr:uid="{00000000-0005-0000-0000-000047000000}"/>
    <cellStyle name="Comma 5 9" xfId="61" xr:uid="{00000000-0005-0000-0000-000048000000}"/>
    <cellStyle name="Comma 6" xfId="129" xr:uid="{14BC9F93-272F-48BA-85C5-3C2905A78B8C}"/>
    <cellStyle name="Hyperlink 2" xfId="7" xr:uid="{00000000-0005-0000-0000-00004A000000}"/>
    <cellStyle name="Hyperlink 2 10" xfId="73" xr:uid="{00000000-0005-0000-0000-00004B000000}"/>
    <cellStyle name="Hyperlink 2 11" xfId="108" xr:uid="{00000000-0005-0000-0000-00004C000000}"/>
    <cellStyle name="Hyperlink 2 12" xfId="75" xr:uid="{00000000-0005-0000-0000-00004D000000}"/>
    <cellStyle name="Hyperlink 2 13" xfId="92" xr:uid="{00000000-0005-0000-0000-00004E000000}"/>
    <cellStyle name="Hyperlink 2 14" xfId="96" xr:uid="{00000000-0005-0000-0000-00004F000000}"/>
    <cellStyle name="Hyperlink 2 15" xfId="97" xr:uid="{00000000-0005-0000-0000-000050000000}"/>
    <cellStyle name="Hyperlink 2 16" xfId="85" xr:uid="{00000000-0005-0000-0000-000051000000}"/>
    <cellStyle name="Hyperlink 2 17" xfId="82" xr:uid="{00000000-0005-0000-0000-000052000000}"/>
    <cellStyle name="Hyperlink 2 18" xfId="100" xr:uid="{00000000-0005-0000-0000-000053000000}"/>
    <cellStyle name="Hyperlink 2 2" xfId="18" xr:uid="{00000000-0005-0000-0000-000054000000}"/>
    <cellStyle name="Hyperlink 2 3" xfId="25" xr:uid="{00000000-0005-0000-0000-000055000000}"/>
    <cellStyle name="Hyperlink 2 4" xfId="32" xr:uid="{00000000-0005-0000-0000-000056000000}"/>
    <cellStyle name="Hyperlink 2 5" xfId="39" xr:uid="{00000000-0005-0000-0000-000057000000}"/>
    <cellStyle name="Hyperlink 2 6" xfId="46" xr:uid="{00000000-0005-0000-0000-000058000000}"/>
    <cellStyle name="Hyperlink 2 7" xfId="52" xr:uid="{00000000-0005-0000-0000-000059000000}"/>
    <cellStyle name="Hyperlink 2 8" xfId="58" xr:uid="{00000000-0005-0000-0000-00005A000000}"/>
    <cellStyle name="Hyperlink 2 9" xfId="63" xr:uid="{00000000-0005-0000-0000-00005B000000}"/>
    <cellStyle name="Normal" xfId="0" builtinId="0"/>
    <cellStyle name="Normal 2" xfId="4" xr:uid="{00000000-0005-0000-0000-00005D000000}"/>
    <cellStyle name="Normal 2 10" xfId="69" xr:uid="{00000000-0005-0000-0000-00005E000000}"/>
    <cellStyle name="Normal 2 11" xfId="86" xr:uid="{00000000-0005-0000-0000-00005F000000}"/>
    <cellStyle name="Normal 2 12" xfId="111" xr:uid="{00000000-0005-0000-0000-000060000000}"/>
    <cellStyle name="Normal 2 13" xfId="114" xr:uid="{00000000-0005-0000-0000-000061000000}"/>
    <cellStyle name="Normal 2 14" xfId="117" xr:uid="{00000000-0005-0000-0000-000062000000}"/>
    <cellStyle name="Normal 2 15" xfId="119" xr:uid="{00000000-0005-0000-0000-000063000000}"/>
    <cellStyle name="Normal 2 16" xfId="121" xr:uid="{00000000-0005-0000-0000-000064000000}"/>
    <cellStyle name="Normal 2 17" xfId="123" xr:uid="{00000000-0005-0000-0000-000065000000}"/>
    <cellStyle name="Normal 2 18" xfId="125" xr:uid="{00000000-0005-0000-0000-000066000000}"/>
    <cellStyle name="Normal 2 2" xfId="14" xr:uid="{00000000-0005-0000-0000-000067000000}"/>
    <cellStyle name="Normal 2 3" xfId="21" xr:uid="{00000000-0005-0000-0000-000068000000}"/>
    <cellStyle name="Normal 2 4" xfId="28" xr:uid="{00000000-0005-0000-0000-000069000000}"/>
    <cellStyle name="Normal 2 5" xfId="35" xr:uid="{00000000-0005-0000-0000-00006A000000}"/>
    <cellStyle name="Normal 2 6" xfId="42" xr:uid="{00000000-0005-0000-0000-00006B000000}"/>
    <cellStyle name="Normal 2 7" xfId="49" xr:uid="{00000000-0005-0000-0000-00006C000000}"/>
    <cellStyle name="Normal 2 8" xfId="55" xr:uid="{00000000-0005-0000-0000-00006D000000}"/>
    <cellStyle name="Normal 2 9" xfId="60" xr:uid="{00000000-0005-0000-0000-00006E000000}"/>
    <cellStyle name="Normal 3" xfId="127" xr:uid="{7A2A2037-D085-4A6E-AB41-E865E3DF52F4}"/>
    <cellStyle name="Normal 4" xfId="128" xr:uid="{BBA50316-FD07-4654-8812-D8F294408716}"/>
    <cellStyle name="Percent 2" xfId="6" xr:uid="{00000000-0005-0000-0000-000070000000}"/>
    <cellStyle name="Percent 2 10" xfId="72" xr:uid="{00000000-0005-0000-0000-000071000000}"/>
    <cellStyle name="Percent 2 11" xfId="110" xr:uid="{00000000-0005-0000-0000-000072000000}"/>
    <cellStyle name="Percent 2 12" xfId="113" xr:uid="{00000000-0005-0000-0000-000073000000}"/>
    <cellStyle name="Percent 2 13" xfId="116" xr:uid="{00000000-0005-0000-0000-000074000000}"/>
    <cellStyle name="Percent 2 14" xfId="118" xr:uid="{00000000-0005-0000-0000-000075000000}"/>
    <cellStyle name="Percent 2 15" xfId="120" xr:uid="{00000000-0005-0000-0000-000076000000}"/>
    <cellStyle name="Percent 2 16" xfId="122" xr:uid="{00000000-0005-0000-0000-000077000000}"/>
    <cellStyle name="Percent 2 17" xfId="124" xr:uid="{00000000-0005-0000-0000-000078000000}"/>
    <cellStyle name="Percent 2 18" xfId="126" xr:uid="{00000000-0005-0000-0000-000079000000}"/>
    <cellStyle name="Percent 2 2" xfId="17" xr:uid="{00000000-0005-0000-0000-00007A000000}"/>
    <cellStyle name="Percent 2 3" xfId="24" xr:uid="{00000000-0005-0000-0000-00007B000000}"/>
    <cellStyle name="Percent 2 4" xfId="31" xr:uid="{00000000-0005-0000-0000-00007C000000}"/>
    <cellStyle name="Percent 2 5" xfId="38" xr:uid="{00000000-0005-0000-0000-00007D000000}"/>
    <cellStyle name="Percent 2 6" xfId="45" xr:uid="{00000000-0005-0000-0000-00007E000000}"/>
    <cellStyle name="Percent 2 7" xfId="51" xr:uid="{00000000-0005-0000-0000-00007F000000}"/>
    <cellStyle name="Percent 2 8" xfId="57" xr:uid="{00000000-0005-0000-0000-000080000000}"/>
    <cellStyle name="Percent 2 9" xfId="62" xr:uid="{00000000-0005-0000-0000-000081000000}"/>
  </cellStyles>
  <dxfs count="3">
    <dxf>
      <border outline="0">
        <top style="double">
          <color rgb="FF305496"/>
        </top>
        <bottom style="thin">
          <color rgb="FF000000"/>
        </bottom>
      </border>
    </dxf>
    <dxf>
      <border outline="0">
        <bottom style="double">
          <color rgb="FF30549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colors>
    <mruColors>
      <color rgb="FF2C22F2"/>
      <color rgb="FFE7E200"/>
      <color rgb="FF3333CC"/>
      <color rgb="FF00A4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17</xdr:row>
      <xdr:rowOff>42862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2022249-F1D8-4A6E-9127-63C2A55FF6C1}"/>
            </a:ext>
          </a:extLst>
        </xdr:cNvPr>
        <xdr:cNvSpPr txBox="1"/>
      </xdr:nvSpPr>
      <xdr:spPr>
        <a:xfrm>
          <a:off x="9955530" y="410432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17</xdr:row>
      <xdr:rowOff>42862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E8B99D4-7F04-4634-A9BB-E7BB775315FD}"/>
            </a:ext>
          </a:extLst>
        </xdr:cNvPr>
        <xdr:cNvSpPr txBox="1"/>
      </xdr:nvSpPr>
      <xdr:spPr>
        <a:xfrm>
          <a:off x="9955530" y="410432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17</xdr:row>
      <xdr:rowOff>42862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ADE0BD1-F344-4437-9269-CA23A8F346C6}"/>
            </a:ext>
          </a:extLst>
        </xdr:cNvPr>
        <xdr:cNvSpPr txBox="1"/>
      </xdr:nvSpPr>
      <xdr:spPr>
        <a:xfrm>
          <a:off x="9955530" y="410432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17</xdr:row>
      <xdr:rowOff>42862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4FA708B-EF20-4A3B-891E-BD13777684F3}"/>
            </a:ext>
          </a:extLst>
        </xdr:cNvPr>
        <xdr:cNvSpPr txBox="1"/>
      </xdr:nvSpPr>
      <xdr:spPr>
        <a:xfrm>
          <a:off x="9955530" y="410432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18</xdr:row>
      <xdr:rowOff>42862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5368419-905D-4608-824D-F4C1416CFC51}"/>
            </a:ext>
          </a:extLst>
        </xdr:cNvPr>
        <xdr:cNvSpPr txBox="1"/>
      </xdr:nvSpPr>
      <xdr:spPr>
        <a:xfrm>
          <a:off x="9680762" y="4368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18</xdr:row>
      <xdr:rowOff>42862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1C5161C-3838-4DF6-B912-6FA21C66A397}"/>
            </a:ext>
          </a:extLst>
        </xdr:cNvPr>
        <xdr:cNvSpPr txBox="1"/>
      </xdr:nvSpPr>
      <xdr:spPr>
        <a:xfrm>
          <a:off x="9680762" y="4368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18</xdr:row>
      <xdr:rowOff>42862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25A58C7-5243-4ABA-8CD8-752CFCF341BD}"/>
            </a:ext>
          </a:extLst>
        </xdr:cNvPr>
        <xdr:cNvSpPr txBox="1"/>
      </xdr:nvSpPr>
      <xdr:spPr>
        <a:xfrm>
          <a:off x="9680762" y="4368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18</xdr:row>
      <xdr:rowOff>42862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A7362CC-0D69-405B-860C-83240609FF66}"/>
            </a:ext>
          </a:extLst>
        </xdr:cNvPr>
        <xdr:cNvSpPr txBox="1"/>
      </xdr:nvSpPr>
      <xdr:spPr>
        <a:xfrm>
          <a:off x="9680762" y="4368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19</xdr:row>
      <xdr:rowOff>42862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FE1307A-15CE-4FC2-8D66-5B726B99742E}"/>
            </a:ext>
          </a:extLst>
        </xdr:cNvPr>
        <xdr:cNvSpPr txBox="1"/>
      </xdr:nvSpPr>
      <xdr:spPr>
        <a:xfrm>
          <a:off x="9680762" y="4368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19</xdr:row>
      <xdr:rowOff>42862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4435D0C-23A1-44EC-875C-234879C9E089}"/>
            </a:ext>
          </a:extLst>
        </xdr:cNvPr>
        <xdr:cNvSpPr txBox="1"/>
      </xdr:nvSpPr>
      <xdr:spPr>
        <a:xfrm>
          <a:off x="9680762" y="4368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19</xdr:row>
      <xdr:rowOff>42862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CF1D479-F8C6-4D92-B35C-3E9480753C95}"/>
            </a:ext>
          </a:extLst>
        </xdr:cNvPr>
        <xdr:cNvSpPr txBox="1"/>
      </xdr:nvSpPr>
      <xdr:spPr>
        <a:xfrm>
          <a:off x="9680762" y="4368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19</xdr:row>
      <xdr:rowOff>42862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5ED92D3-41D2-4AE1-AF80-CF582340EA39}"/>
            </a:ext>
          </a:extLst>
        </xdr:cNvPr>
        <xdr:cNvSpPr txBox="1"/>
      </xdr:nvSpPr>
      <xdr:spPr>
        <a:xfrm>
          <a:off x="9680762" y="4368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20</xdr:row>
      <xdr:rowOff>42862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F71AB10-5565-48BC-8F0F-643DE0024FA5}"/>
            </a:ext>
          </a:extLst>
        </xdr:cNvPr>
        <xdr:cNvSpPr txBox="1"/>
      </xdr:nvSpPr>
      <xdr:spPr>
        <a:xfrm>
          <a:off x="9680762" y="45588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20</xdr:row>
      <xdr:rowOff>42862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1C161B53-EEFB-4752-8503-DE451F05BA82}"/>
            </a:ext>
          </a:extLst>
        </xdr:cNvPr>
        <xdr:cNvSpPr txBox="1"/>
      </xdr:nvSpPr>
      <xdr:spPr>
        <a:xfrm>
          <a:off x="9680762" y="45588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20</xdr:row>
      <xdr:rowOff>42862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791309A-FB31-450A-A65F-0C83176D6C29}"/>
            </a:ext>
          </a:extLst>
        </xdr:cNvPr>
        <xdr:cNvSpPr txBox="1"/>
      </xdr:nvSpPr>
      <xdr:spPr>
        <a:xfrm>
          <a:off x="9680762" y="45588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20</xdr:row>
      <xdr:rowOff>42862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489CF27-5888-4FD1-BED4-1EC0F0527A3A}"/>
            </a:ext>
          </a:extLst>
        </xdr:cNvPr>
        <xdr:cNvSpPr txBox="1"/>
      </xdr:nvSpPr>
      <xdr:spPr>
        <a:xfrm>
          <a:off x="9680762" y="45588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20</xdr:row>
      <xdr:rowOff>42862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62B8446D-08C5-4F28-AC1B-0EDD50D8A82E}"/>
            </a:ext>
          </a:extLst>
        </xdr:cNvPr>
        <xdr:cNvSpPr txBox="1"/>
      </xdr:nvSpPr>
      <xdr:spPr>
        <a:xfrm>
          <a:off x="9680762" y="4368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20</xdr:row>
      <xdr:rowOff>42862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AB3F331-92CD-4AD2-A725-84849A4794AD}"/>
            </a:ext>
          </a:extLst>
        </xdr:cNvPr>
        <xdr:cNvSpPr txBox="1"/>
      </xdr:nvSpPr>
      <xdr:spPr>
        <a:xfrm>
          <a:off x="9680762" y="4368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20</xdr:row>
      <xdr:rowOff>42862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576F83C9-7047-4EDF-B536-5B07B2E0C0FE}"/>
            </a:ext>
          </a:extLst>
        </xdr:cNvPr>
        <xdr:cNvSpPr txBox="1"/>
      </xdr:nvSpPr>
      <xdr:spPr>
        <a:xfrm>
          <a:off x="9680762" y="4368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20</xdr:row>
      <xdr:rowOff>42862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7B9A4E1-2C64-45C1-B753-54BB0CAE0C79}"/>
            </a:ext>
          </a:extLst>
        </xdr:cNvPr>
        <xdr:cNvSpPr txBox="1"/>
      </xdr:nvSpPr>
      <xdr:spPr>
        <a:xfrm>
          <a:off x="9680762" y="4368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21</xdr:row>
      <xdr:rowOff>42862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AA5D5B1-25A2-4620-9EE8-12F1FC9DD55D}"/>
            </a:ext>
          </a:extLst>
        </xdr:cNvPr>
        <xdr:cNvSpPr txBox="1"/>
      </xdr:nvSpPr>
      <xdr:spPr>
        <a:xfrm>
          <a:off x="9680762" y="45588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21</xdr:row>
      <xdr:rowOff>42862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9A544A9C-6108-4CFF-8A40-3591FC14556B}"/>
            </a:ext>
          </a:extLst>
        </xdr:cNvPr>
        <xdr:cNvSpPr txBox="1"/>
      </xdr:nvSpPr>
      <xdr:spPr>
        <a:xfrm>
          <a:off x="9680762" y="45588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21</xdr:row>
      <xdr:rowOff>42862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739E131-3EBC-4E36-BAC7-5CE3A9185F79}"/>
            </a:ext>
          </a:extLst>
        </xdr:cNvPr>
        <xdr:cNvSpPr txBox="1"/>
      </xdr:nvSpPr>
      <xdr:spPr>
        <a:xfrm>
          <a:off x="9680762" y="45588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21</xdr:row>
      <xdr:rowOff>42862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D6C92F7F-E0E8-4CA7-8895-FA1E2FB14794}"/>
            </a:ext>
          </a:extLst>
        </xdr:cNvPr>
        <xdr:cNvSpPr txBox="1"/>
      </xdr:nvSpPr>
      <xdr:spPr>
        <a:xfrm>
          <a:off x="9680762" y="45588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21</xdr:row>
      <xdr:rowOff>42862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2649256-6105-49D8-9FB8-7E55FCBD00F6}"/>
            </a:ext>
          </a:extLst>
        </xdr:cNvPr>
        <xdr:cNvSpPr txBox="1"/>
      </xdr:nvSpPr>
      <xdr:spPr>
        <a:xfrm>
          <a:off x="9680762" y="4368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21</xdr:row>
      <xdr:rowOff>42862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4961DC60-D734-4E17-AD32-68BE8667DEB3}"/>
            </a:ext>
          </a:extLst>
        </xdr:cNvPr>
        <xdr:cNvSpPr txBox="1"/>
      </xdr:nvSpPr>
      <xdr:spPr>
        <a:xfrm>
          <a:off x="9680762" y="4368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21</xdr:row>
      <xdr:rowOff>42862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6D8B2323-6E3C-47A4-BB3A-311AB960E62E}"/>
            </a:ext>
          </a:extLst>
        </xdr:cNvPr>
        <xdr:cNvSpPr txBox="1"/>
      </xdr:nvSpPr>
      <xdr:spPr>
        <a:xfrm>
          <a:off x="9680762" y="4368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21</xdr:row>
      <xdr:rowOff>42862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6E354DF1-ACD7-43FC-85DD-A478B88F2A3F}"/>
            </a:ext>
          </a:extLst>
        </xdr:cNvPr>
        <xdr:cNvSpPr txBox="1"/>
      </xdr:nvSpPr>
      <xdr:spPr>
        <a:xfrm>
          <a:off x="9680762" y="4368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22</xdr:row>
      <xdr:rowOff>42862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5F777561-49CE-4551-A98E-694CEC79D1A4}"/>
            </a:ext>
          </a:extLst>
        </xdr:cNvPr>
        <xdr:cNvSpPr txBox="1"/>
      </xdr:nvSpPr>
      <xdr:spPr>
        <a:xfrm>
          <a:off x="9680762" y="45588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22</xdr:row>
      <xdr:rowOff>42862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E8045EFB-8AEC-40E1-BFB0-0B1B9F3CD762}"/>
            </a:ext>
          </a:extLst>
        </xdr:cNvPr>
        <xdr:cNvSpPr txBox="1"/>
      </xdr:nvSpPr>
      <xdr:spPr>
        <a:xfrm>
          <a:off x="9680762" y="45588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22</xdr:row>
      <xdr:rowOff>42862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5162B673-E140-4704-9E70-FBB6C9B19117}"/>
            </a:ext>
          </a:extLst>
        </xdr:cNvPr>
        <xdr:cNvSpPr txBox="1"/>
      </xdr:nvSpPr>
      <xdr:spPr>
        <a:xfrm>
          <a:off x="9680762" y="45588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22</xdr:row>
      <xdr:rowOff>42862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ABA23D22-4D0E-4226-B53F-C8657A2F4201}"/>
            </a:ext>
          </a:extLst>
        </xdr:cNvPr>
        <xdr:cNvSpPr txBox="1"/>
      </xdr:nvSpPr>
      <xdr:spPr>
        <a:xfrm>
          <a:off x="9680762" y="45588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22</xdr:row>
      <xdr:rowOff>42862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EE108511-378B-49DE-8379-2CD688E8863B}"/>
            </a:ext>
          </a:extLst>
        </xdr:cNvPr>
        <xdr:cNvSpPr txBox="1"/>
      </xdr:nvSpPr>
      <xdr:spPr>
        <a:xfrm>
          <a:off x="9680762" y="4368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22</xdr:row>
      <xdr:rowOff>42862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2DE67B1F-F8A7-4AEE-BEC4-6B97B7CE6C37}"/>
            </a:ext>
          </a:extLst>
        </xdr:cNvPr>
        <xdr:cNvSpPr txBox="1"/>
      </xdr:nvSpPr>
      <xdr:spPr>
        <a:xfrm>
          <a:off x="9680762" y="4368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22</xdr:row>
      <xdr:rowOff>42862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CB47DFAB-EC5D-4680-8D42-DB43CEA67DF5}"/>
            </a:ext>
          </a:extLst>
        </xdr:cNvPr>
        <xdr:cNvSpPr txBox="1"/>
      </xdr:nvSpPr>
      <xdr:spPr>
        <a:xfrm>
          <a:off x="9680762" y="4368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22</xdr:row>
      <xdr:rowOff>42862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8058654B-7908-490F-A384-0C0EF649F861}"/>
            </a:ext>
          </a:extLst>
        </xdr:cNvPr>
        <xdr:cNvSpPr txBox="1"/>
      </xdr:nvSpPr>
      <xdr:spPr>
        <a:xfrm>
          <a:off x="9680762" y="4368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23</xdr:row>
      <xdr:rowOff>42862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42570FA0-C2FF-4A91-A29D-980063AC9206}"/>
            </a:ext>
          </a:extLst>
        </xdr:cNvPr>
        <xdr:cNvSpPr txBox="1"/>
      </xdr:nvSpPr>
      <xdr:spPr>
        <a:xfrm>
          <a:off x="9680762" y="45588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23</xdr:row>
      <xdr:rowOff>42862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51B34687-7BD8-464B-8820-2FA9DF2A9934}"/>
            </a:ext>
          </a:extLst>
        </xdr:cNvPr>
        <xdr:cNvSpPr txBox="1"/>
      </xdr:nvSpPr>
      <xdr:spPr>
        <a:xfrm>
          <a:off x="9680762" y="45588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23</xdr:row>
      <xdr:rowOff>42862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65CCBA69-A175-4015-B1A7-42219BB05B20}"/>
            </a:ext>
          </a:extLst>
        </xdr:cNvPr>
        <xdr:cNvSpPr txBox="1"/>
      </xdr:nvSpPr>
      <xdr:spPr>
        <a:xfrm>
          <a:off x="9680762" y="45588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23</xdr:row>
      <xdr:rowOff>42862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1D4820AF-28F5-4D52-A452-F4B9E23CFBED}"/>
            </a:ext>
          </a:extLst>
        </xdr:cNvPr>
        <xdr:cNvSpPr txBox="1"/>
      </xdr:nvSpPr>
      <xdr:spPr>
        <a:xfrm>
          <a:off x="9680762" y="45588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23</xdr:row>
      <xdr:rowOff>42862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28B78529-8E25-44DC-BC13-AED672BF404E}"/>
            </a:ext>
          </a:extLst>
        </xdr:cNvPr>
        <xdr:cNvSpPr txBox="1"/>
      </xdr:nvSpPr>
      <xdr:spPr>
        <a:xfrm>
          <a:off x="9680762" y="4368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23</xdr:row>
      <xdr:rowOff>42862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C0598344-26A9-4F3F-BC0E-4C7CCB9D7303}"/>
            </a:ext>
          </a:extLst>
        </xdr:cNvPr>
        <xdr:cNvSpPr txBox="1"/>
      </xdr:nvSpPr>
      <xdr:spPr>
        <a:xfrm>
          <a:off x="9680762" y="4368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23</xdr:row>
      <xdr:rowOff>42862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CBE706CE-71E3-442F-A617-F475C67A7995}"/>
            </a:ext>
          </a:extLst>
        </xdr:cNvPr>
        <xdr:cNvSpPr txBox="1"/>
      </xdr:nvSpPr>
      <xdr:spPr>
        <a:xfrm>
          <a:off x="9680762" y="4368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23</xdr:row>
      <xdr:rowOff>42862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C2780782-D97A-41D8-A08C-D90BF5312332}"/>
            </a:ext>
          </a:extLst>
        </xdr:cNvPr>
        <xdr:cNvSpPr txBox="1"/>
      </xdr:nvSpPr>
      <xdr:spPr>
        <a:xfrm>
          <a:off x="9680762" y="4368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24</xdr:row>
      <xdr:rowOff>42862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6C62C3B3-1DCB-48F0-9466-3C9306F5FC95}"/>
            </a:ext>
          </a:extLst>
        </xdr:cNvPr>
        <xdr:cNvSpPr txBox="1"/>
      </xdr:nvSpPr>
      <xdr:spPr>
        <a:xfrm>
          <a:off x="9680762" y="45588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24</xdr:row>
      <xdr:rowOff>42862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BE0345D9-491D-44F7-90B2-75A950B9D951}"/>
            </a:ext>
          </a:extLst>
        </xdr:cNvPr>
        <xdr:cNvSpPr txBox="1"/>
      </xdr:nvSpPr>
      <xdr:spPr>
        <a:xfrm>
          <a:off x="9680762" y="45588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24</xdr:row>
      <xdr:rowOff>42862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8BC24C7B-B5CB-498E-9F6A-263B29B6CCD7}"/>
            </a:ext>
          </a:extLst>
        </xdr:cNvPr>
        <xdr:cNvSpPr txBox="1"/>
      </xdr:nvSpPr>
      <xdr:spPr>
        <a:xfrm>
          <a:off x="9680762" y="45588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24</xdr:row>
      <xdr:rowOff>42862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39CBE801-6D82-48B9-A5E9-3CF8CDF02D33}"/>
            </a:ext>
          </a:extLst>
        </xdr:cNvPr>
        <xdr:cNvSpPr txBox="1"/>
      </xdr:nvSpPr>
      <xdr:spPr>
        <a:xfrm>
          <a:off x="9680762" y="45588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24</xdr:row>
      <xdr:rowOff>42862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883378D-3802-40DE-8E74-00E36DA6A688}"/>
            </a:ext>
          </a:extLst>
        </xdr:cNvPr>
        <xdr:cNvSpPr txBox="1"/>
      </xdr:nvSpPr>
      <xdr:spPr>
        <a:xfrm>
          <a:off x="9680762" y="4368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24</xdr:row>
      <xdr:rowOff>42862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617C4520-1EA6-44DA-B71E-9534F8C0FF07}"/>
            </a:ext>
          </a:extLst>
        </xdr:cNvPr>
        <xdr:cNvSpPr txBox="1"/>
      </xdr:nvSpPr>
      <xdr:spPr>
        <a:xfrm>
          <a:off x="9680762" y="4368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24</xdr:row>
      <xdr:rowOff>42862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C82D039E-2AE4-498D-BAC6-87D77CAF6F70}"/>
            </a:ext>
          </a:extLst>
        </xdr:cNvPr>
        <xdr:cNvSpPr txBox="1"/>
      </xdr:nvSpPr>
      <xdr:spPr>
        <a:xfrm>
          <a:off x="9680762" y="4368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24</xdr:row>
      <xdr:rowOff>42862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C09CBDFF-01F8-4A34-9AA7-2A29ABC4B5F1}"/>
            </a:ext>
          </a:extLst>
        </xdr:cNvPr>
        <xdr:cNvSpPr txBox="1"/>
      </xdr:nvSpPr>
      <xdr:spPr>
        <a:xfrm>
          <a:off x="9680762" y="4368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25</xdr:row>
      <xdr:rowOff>42862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7E6827DB-FC62-4071-B2BD-A4BC39BD7494}"/>
            </a:ext>
          </a:extLst>
        </xdr:cNvPr>
        <xdr:cNvSpPr txBox="1"/>
      </xdr:nvSpPr>
      <xdr:spPr>
        <a:xfrm>
          <a:off x="9680762" y="45588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25</xdr:row>
      <xdr:rowOff>42862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DC2EC041-F98D-4B6D-81B4-95550F7C29B8}"/>
            </a:ext>
          </a:extLst>
        </xdr:cNvPr>
        <xdr:cNvSpPr txBox="1"/>
      </xdr:nvSpPr>
      <xdr:spPr>
        <a:xfrm>
          <a:off x="9680762" y="45588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25</xdr:row>
      <xdr:rowOff>42862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4D6A6834-4221-4572-B167-071BC4CB654A}"/>
            </a:ext>
          </a:extLst>
        </xdr:cNvPr>
        <xdr:cNvSpPr txBox="1"/>
      </xdr:nvSpPr>
      <xdr:spPr>
        <a:xfrm>
          <a:off x="9680762" y="45588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25</xdr:row>
      <xdr:rowOff>42862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246B5E40-37D5-4F1A-999C-2F79A01F96FF}"/>
            </a:ext>
          </a:extLst>
        </xdr:cNvPr>
        <xdr:cNvSpPr txBox="1"/>
      </xdr:nvSpPr>
      <xdr:spPr>
        <a:xfrm>
          <a:off x="9680762" y="45588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25</xdr:row>
      <xdr:rowOff>42862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A50725B5-C1D7-4DFE-95B3-02AC0663F40D}"/>
            </a:ext>
          </a:extLst>
        </xdr:cNvPr>
        <xdr:cNvSpPr txBox="1"/>
      </xdr:nvSpPr>
      <xdr:spPr>
        <a:xfrm>
          <a:off x="9680762" y="4368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25</xdr:row>
      <xdr:rowOff>42862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2C199BD9-EB46-4974-9D74-E52F91D6D52B}"/>
            </a:ext>
          </a:extLst>
        </xdr:cNvPr>
        <xdr:cNvSpPr txBox="1"/>
      </xdr:nvSpPr>
      <xdr:spPr>
        <a:xfrm>
          <a:off x="9680762" y="4368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25</xdr:row>
      <xdr:rowOff>42862</xdr:rowOff>
    </xdr:from>
    <xdr:ext cx="65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EE876C03-0971-4806-9E5C-942292829BD9}"/>
            </a:ext>
          </a:extLst>
        </xdr:cNvPr>
        <xdr:cNvSpPr txBox="1"/>
      </xdr:nvSpPr>
      <xdr:spPr>
        <a:xfrm>
          <a:off x="9680762" y="4368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25</xdr:row>
      <xdr:rowOff>42862</xdr:rowOff>
    </xdr:from>
    <xdr:ext cx="65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6664377F-4BDA-4B89-90B6-17C0940A1C7F}"/>
            </a:ext>
          </a:extLst>
        </xdr:cNvPr>
        <xdr:cNvSpPr txBox="1"/>
      </xdr:nvSpPr>
      <xdr:spPr>
        <a:xfrm>
          <a:off x="9680762" y="4368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26</xdr:row>
      <xdr:rowOff>42862</xdr:rowOff>
    </xdr:from>
    <xdr:ext cx="65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BB891AE7-4EA9-4C8D-917B-795C78F0CFB3}"/>
            </a:ext>
          </a:extLst>
        </xdr:cNvPr>
        <xdr:cNvSpPr txBox="1"/>
      </xdr:nvSpPr>
      <xdr:spPr>
        <a:xfrm>
          <a:off x="9680762" y="45588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26</xdr:row>
      <xdr:rowOff>42862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193982C8-86D9-4CD2-881B-77EB184D4CE2}"/>
            </a:ext>
          </a:extLst>
        </xdr:cNvPr>
        <xdr:cNvSpPr txBox="1"/>
      </xdr:nvSpPr>
      <xdr:spPr>
        <a:xfrm>
          <a:off x="9680762" y="45588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26</xdr:row>
      <xdr:rowOff>42862</xdr:rowOff>
    </xdr:from>
    <xdr:ext cx="65" cy="17222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5B7FF13C-F10D-4DC5-B0FA-902EA55911F2}"/>
            </a:ext>
          </a:extLst>
        </xdr:cNvPr>
        <xdr:cNvSpPr txBox="1"/>
      </xdr:nvSpPr>
      <xdr:spPr>
        <a:xfrm>
          <a:off x="9680762" y="45588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26</xdr:row>
      <xdr:rowOff>42862</xdr:rowOff>
    </xdr:from>
    <xdr:ext cx="65" cy="17222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BDB4149A-FFD1-452C-ADFA-395648C8206B}"/>
            </a:ext>
          </a:extLst>
        </xdr:cNvPr>
        <xdr:cNvSpPr txBox="1"/>
      </xdr:nvSpPr>
      <xdr:spPr>
        <a:xfrm>
          <a:off x="9680762" y="45588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26</xdr:row>
      <xdr:rowOff>42862</xdr:rowOff>
    </xdr:from>
    <xdr:ext cx="65" cy="172227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B3AC62C6-22C8-45DD-9C95-85BB9BA30D85}"/>
            </a:ext>
          </a:extLst>
        </xdr:cNvPr>
        <xdr:cNvSpPr txBox="1"/>
      </xdr:nvSpPr>
      <xdr:spPr>
        <a:xfrm>
          <a:off x="9680762" y="4368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26</xdr:row>
      <xdr:rowOff>42862</xdr:rowOff>
    </xdr:from>
    <xdr:ext cx="65" cy="17222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8FC85457-77D3-4FFE-8CDB-F73B74906EF6}"/>
            </a:ext>
          </a:extLst>
        </xdr:cNvPr>
        <xdr:cNvSpPr txBox="1"/>
      </xdr:nvSpPr>
      <xdr:spPr>
        <a:xfrm>
          <a:off x="9680762" y="4368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26</xdr:row>
      <xdr:rowOff>42862</xdr:rowOff>
    </xdr:from>
    <xdr:ext cx="65" cy="172227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BAE359BD-BBBC-4EE1-9904-A56209827158}"/>
            </a:ext>
          </a:extLst>
        </xdr:cNvPr>
        <xdr:cNvSpPr txBox="1"/>
      </xdr:nvSpPr>
      <xdr:spPr>
        <a:xfrm>
          <a:off x="9680762" y="4368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26</xdr:row>
      <xdr:rowOff>42862</xdr:rowOff>
    </xdr:from>
    <xdr:ext cx="65" cy="172227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B4D85CA7-1353-41C9-A7FE-88B98EC2D360}"/>
            </a:ext>
          </a:extLst>
        </xdr:cNvPr>
        <xdr:cNvSpPr txBox="1"/>
      </xdr:nvSpPr>
      <xdr:spPr>
        <a:xfrm>
          <a:off x="9680762" y="4368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27</xdr:row>
      <xdr:rowOff>42862</xdr:rowOff>
    </xdr:from>
    <xdr:ext cx="65" cy="172227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B5D52799-5D3D-4EFA-9E1F-55B49D57E096}"/>
            </a:ext>
          </a:extLst>
        </xdr:cNvPr>
        <xdr:cNvSpPr txBox="1"/>
      </xdr:nvSpPr>
      <xdr:spPr>
        <a:xfrm>
          <a:off x="9680762" y="45588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27</xdr:row>
      <xdr:rowOff>42862</xdr:rowOff>
    </xdr:from>
    <xdr:ext cx="65" cy="172227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997255A-E111-4136-BF3E-072744C17A2A}"/>
            </a:ext>
          </a:extLst>
        </xdr:cNvPr>
        <xdr:cNvSpPr txBox="1"/>
      </xdr:nvSpPr>
      <xdr:spPr>
        <a:xfrm>
          <a:off x="9680762" y="45588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27</xdr:row>
      <xdr:rowOff>42862</xdr:rowOff>
    </xdr:from>
    <xdr:ext cx="65" cy="172227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50F899C8-CD57-4447-8B73-488A9B25C896}"/>
            </a:ext>
          </a:extLst>
        </xdr:cNvPr>
        <xdr:cNvSpPr txBox="1"/>
      </xdr:nvSpPr>
      <xdr:spPr>
        <a:xfrm>
          <a:off x="9680762" y="45588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27</xdr:row>
      <xdr:rowOff>42862</xdr:rowOff>
    </xdr:from>
    <xdr:ext cx="65" cy="172227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6683AFF8-E676-487B-9D19-A4842EF4A950}"/>
            </a:ext>
          </a:extLst>
        </xdr:cNvPr>
        <xdr:cNvSpPr txBox="1"/>
      </xdr:nvSpPr>
      <xdr:spPr>
        <a:xfrm>
          <a:off x="9680762" y="45588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27</xdr:row>
      <xdr:rowOff>42862</xdr:rowOff>
    </xdr:from>
    <xdr:ext cx="65" cy="172227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150FB501-5A0D-4858-990E-650A228429D2}"/>
            </a:ext>
          </a:extLst>
        </xdr:cNvPr>
        <xdr:cNvSpPr txBox="1"/>
      </xdr:nvSpPr>
      <xdr:spPr>
        <a:xfrm>
          <a:off x="9680762" y="4368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27</xdr:row>
      <xdr:rowOff>42862</xdr:rowOff>
    </xdr:from>
    <xdr:ext cx="65" cy="172227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4131193B-59B5-416D-89AB-45986C0B9795}"/>
            </a:ext>
          </a:extLst>
        </xdr:cNvPr>
        <xdr:cNvSpPr txBox="1"/>
      </xdr:nvSpPr>
      <xdr:spPr>
        <a:xfrm>
          <a:off x="9680762" y="4368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27</xdr:row>
      <xdr:rowOff>42862</xdr:rowOff>
    </xdr:from>
    <xdr:ext cx="65" cy="172227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6DB5E03B-27DE-44B6-9738-21571D46A061}"/>
            </a:ext>
          </a:extLst>
        </xdr:cNvPr>
        <xdr:cNvSpPr txBox="1"/>
      </xdr:nvSpPr>
      <xdr:spPr>
        <a:xfrm>
          <a:off x="9680762" y="4368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27</xdr:row>
      <xdr:rowOff>42862</xdr:rowOff>
    </xdr:from>
    <xdr:ext cx="65" cy="172227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F1858C1A-2170-4810-A9B3-F0DE41FAB699}"/>
            </a:ext>
          </a:extLst>
        </xdr:cNvPr>
        <xdr:cNvSpPr txBox="1"/>
      </xdr:nvSpPr>
      <xdr:spPr>
        <a:xfrm>
          <a:off x="9680762" y="4368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28</xdr:row>
      <xdr:rowOff>42862</xdr:rowOff>
    </xdr:from>
    <xdr:ext cx="65" cy="172227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1DD22B07-05F8-40B1-9E1D-17E64CA27475}"/>
            </a:ext>
          </a:extLst>
        </xdr:cNvPr>
        <xdr:cNvSpPr txBox="1"/>
      </xdr:nvSpPr>
      <xdr:spPr>
        <a:xfrm>
          <a:off x="9680762" y="45588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28</xdr:row>
      <xdr:rowOff>42862</xdr:rowOff>
    </xdr:from>
    <xdr:ext cx="65" cy="17222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3024B022-9542-4B23-89A8-B345584BDB44}"/>
            </a:ext>
          </a:extLst>
        </xdr:cNvPr>
        <xdr:cNvSpPr txBox="1"/>
      </xdr:nvSpPr>
      <xdr:spPr>
        <a:xfrm>
          <a:off x="9680762" y="45588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28</xdr:row>
      <xdr:rowOff>42862</xdr:rowOff>
    </xdr:from>
    <xdr:ext cx="65" cy="172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F63456FE-662F-4036-B622-11A41B5F7E87}"/>
            </a:ext>
          </a:extLst>
        </xdr:cNvPr>
        <xdr:cNvSpPr txBox="1"/>
      </xdr:nvSpPr>
      <xdr:spPr>
        <a:xfrm>
          <a:off x="9680762" y="45588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28</xdr:row>
      <xdr:rowOff>42862</xdr:rowOff>
    </xdr:from>
    <xdr:ext cx="65" cy="17222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99C0C8A3-DFB9-4834-900F-4B840EBF330F}"/>
            </a:ext>
          </a:extLst>
        </xdr:cNvPr>
        <xdr:cNvSpPr txBox="1"/>
      </xdr:nvSpPr>
      <xdr:spPr>
        <a:xfrm>
          <a:off x="9680762" y="45588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28</xdr:row>
      <xdr:rowOff>42862</xdr:rowOff>
    </xdr:from>
    <xdr:ext cx="65" cy="17222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B3EBB03B-A7CE-40BD-8AB0-9EEF147A087F}"/>
            </a:ext>
          </a:extLst>
        </xdr:cNvPr>
        <xdr:cNvSpPr txBox="1"/>
      </xdr:nvSpPr>
      <xdr:spPr>
        <a:xfrm>
          <a:off x="9680762" y="4368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28</xdr:row>
      <xdr:rowOff>42862</xdr:rowOff>
    </xdr:from>
    <xdr:ext cx="65" cy="172227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8BCCC5AE-597B-4BFC-9512-E309667881B1}"/>
            </a:ext>
          </a:extLst>
        </xdr:cNvPr>
        <xdr:cNvSpPr txBox="1"/>
      </xdr:nvSpPr>
      <xdr:spPr>
        <a:xfrm>
          <a:off x="9680762" y="4368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28</xdr:row>
      <xdr:rowOff>42862</xdr:rowOff>
    </xdr:from>
    <xdr:ext cx="65" cy="17222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5D308DFF-5E06-42E8-A535-08E2E2FCDB62}"/>
            </a:ext>
          </a:extLst>
        </xdr:cNvPr>
        <xdr:cNvSpPr txBox="1"/>
      </xdr:nvSpPr>
      <xdr:spPr>
        <a:xfrm>
          <a:off x="9680762" y="4368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28</xdr:row>
      <xdr:rowOff>42862</xdr:rowOff>
    </xdr:from>
    <xdr:ext cx="65" cy="172227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E31151EE-4F3C-492D-8FBA-2FFA7ECAD894}"/>
            </a:ext>
          </a:extLst>
        </xdr:cNvPr>
        <xdr:cNvSpPr txBox="1"/>
      </xdr:nvSpPr>
      <xdr:spPr>
        <a:xfrm>
          <a:off x="9680762" y="4368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29</xdr:row>
      <xdr:rowOff>42862</xdr:rowOff>
    </xdr:from>
    <xdr:ext cx="65" cy="17222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C9E102B5-685C-4B0A-B00C-EB81A120D977}"/>
            </a:ext>
          </a:extLst>
        </xdr:cNvPr>
        <xdr:cNvSpPr txBox="1"/>
      </xdr:nvSpPr>
      <xdr:spPr>
        <a:xfrm>
          <a:off x="9680762" y="45588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29</xdr:row>
      <xdr:rowOff>42862</xdr:rowOff>
    </xdr:from>
    <xdr:ext cx="65" cy="17222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122A35D3-3D52-4443-9A84-CC71CB31C3B4}"/>
            </a:ext>
          </a:extLst>
        </xdr:cNvPr>
        <xdr:cNvSpPr txBox="1"/>
      </xdr:nvSpPr>
      <xdr:spPr>
        <a:xfrm>
          <a:off x="9680762" y="45588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29</xdr:row>
      <xdr:rowOff>42862</xdr:rowOff>
    </xdr:from>
    <xdr:ext cx="65" cy="172227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81F6EB68-B8B9-4CB8-B1E7-CD6004202CE1}"/>
            </a:ext>
          </a:extLst>
        </xdr:cNvPr>
        <xdr:cNvSpPr txBox="1"/>
      </xdr:nvSpPr>
      <xdr:spPr>
        <a:xfrm>
          <a:off x="9680762" y="45588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29</xdr:row>
      <xdr:rowOff>42862</xdr:rowOff>
    </xdr:from>
    <xdr:ext cx="65" cy="17222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5E97F651-4BDD-4494-9DF9-7445DB82CF7E}"/>
            </a:ext>
          </a:extLst>
        </xdr:cNvPr>
        <xdr:cNvSpPr txBox="1"/>
      </xdr:nvSpPr>
      <xdr:spPr>
        <a:xfrm>
          <a:off x="9680762" y="45588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29</xdr:row>
      <xdr:rowOff>42862</xdr:rowOff>
    </xdr:from>
    <xdr:ext cx="65" cy="172227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EB1F252C-CB83-41C4-831B-3278D57D9D28}"/>
            </a:ext>
          </a:extLst>
        </xdr:cNvPr>
        <xdr:cNvSpPr txBox="1"/>
      </xdr:nvSpPr>
      <xdr:spPr>
        <a:xfrm>
          <a:off x="9680762" y="4368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29</xdr:row>
      <xdr:rowOff>42862</xdr:rowOff>
    </xdr:from>
    <xdr:ext cx="65" cy="172227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7C86CC48-8368-4152-B48B-652CAB024A60}"/>
            </a:ext>
          </a:extLst>
        </xdr:cNvPr>
        <xdr:cNvSpPr txBox="1"/>
      </xdr:nvSpPr>
      <xdr:spPr>
        <a:xfrm>
          <a:off x="9680762" y="4368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29</xdr:row>
      <xdr:rowOff>42862</xdr:rowOff>
    </xdr:from>
    <xdr:ext cx="65" cy="172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4E75F3BD-1EFF-44D4-AD13-A562296082C7}"/>
            </a:ext>
          </a:extLst>
        </xdr:cNvPr>
        <xdr:cNvSpPr txBox="1"/>
      </xdr:nvSpPr>
      <xdr:spPr>
        <a:xfrm>
          <a:off x="9680762" y="4368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29</xdr:row>
      <xdr:rowOff>42862</xdr:rowOff>
    </xdr:from>
    <xdr:ext cx="65" cy="17222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C2D5D5D3-561F-4E47-AB03-E73C0FC8E1E7}"/>
            </a:ext>
          </a:extLst>
        </xdr:cNvPr>
        <xdr:cNvSpPr txBox="1"/>
      </xdr:nvSpPr>
      <xdr:spPr>
        <a:xfrm>
          <a:off x="9680762" y="4368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30</xdr:row>
      <xdr:rowOff>42862</xdr:rowOff>
    </xdr:from>
    <xdr:ext cx="65" cy="172227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B2B62C08-90E6-40E3-8CF4-315848DD821F}"/>
            </a:ext>
          </a:extLst>
        </xdr:cNvPr>
        <xdr:cNvSpPr txBox="1"/>
      </xdr:nvSpPr>
      <xdr:spPr>
        <a:xfrm>
          <a:off x="9680762" y="45588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30</xdr:row>
      <xdr:rowOff>42862</xdr:rowOff>
    </xdr:from>
    <xdr:ext cx="65" cy="172227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6FA24979-C555-4A95-A73C-2A94E927036F}"/>
            </a:ext>
          </a:extLst>
        </xdr:cNvPr>
        <xdr:cNvSpPr txBox="1"/>
      </xdr:nvSpPr>
      <xdr:spPr>
        <a:xfrm>
          <a:off x="9680762" y="45588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30</xdr:row>
      <xdr:rowOff>42862</xdr:rowOff>
    </xdr:from>
    <xdr:ext cx="65" cy="172227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98127C01-3637-4AAB-9452-059DEA6031ED}"/>
            </a:ext>
          </a:extLst>
        </xdr:cNvPr>
        <xdr:cNvSpPr txBox="1"/>
      </xdr:nvSpPr>
      <xdr:spPr>
        <a:xfrm>
          <a:off x="9680762" y="45588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30</xdr:row>
      <xdr:rowOff>42862</xdr:rowOff>
    </xdr:from>
    <xdr:ext cx="65" cy="172227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76DC4242-2CFC-48FB-937A-8624084F8B60}"/>
            </a:ext>
          </a:extLst>
        </xdr:cNvPr>
        <xdr:cNvSpPr txBox="1"/>
      </xdr:nvSpPr>
      <xdr:spPr>
        <a:xfrm>
          <a:off x="9680762" y="45588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30</xdr:row>
      <xdr:rowOff>42862</xdr:rowOff>
    </xdr:from>
    <xdr:ext cx="65" cy="172227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EF2B9B27-ED67-4C47-8924-68246E97A5DD}"/>
            </a:ext>
          </a:extLst>
        </xdr:cNvPr>
        <xdr:cNvSpPr txBox="1"/>
      </xdr:nvSpPr>
      <xdr:spPr>
        <a:xfrm>
          <a:off x="9680762" y="4368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30</xdr:row>
      <xdr:rowOff>42862</xdr:rowOff>
    </xdr:from>
    <xdr:ext cx="65" cy="172227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29FB3B1A-8AF3-4C2B-B577-DA12C261F884}"/>
            </a:ext>
          </a:extLst>
        </xdr:cNvPr>
        <xdr:cNvSpPr txBox="1"/>
      </xdr:nvSpPr>
      <xdr:spPr>
        <a:xfrm>
          <a:off x="9680762" y="4368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30</xdr:row>
      <xdr:rowOff>42862</xdr:rowOff>
    </xdr:from>
    <xdr:ext cx="65" cy="172227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9EFFBA07-BAFC-4CAF-86CD-D9330AEA3B32}"/>
            </a:ext>
          </a:extLst>
        </xdr:cNvPr>
        <xdr:cNvSpPr txBox="1"/>
      </xdr:nvSpPr>
      <xdr:spPr>
        <a:xfrm>
          <a:off x="9680762" y="4368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30</xdr:row>
      <xdr:rowOff>42862</xdr:rowOff>
    </xdr:from>
    <xdr:ext cx="65" cy="172227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C6030BF5-C5D0-47C1-8807-3D9D02B86FEA}"/>
            </a:ext>
          </a:extLst>
        </xdr:cNvPr>
        <xdr:cNvSpPr txBox="1"/>
      </xdr:nvSpPr>
      <xdr:spPr>
        <a:xfrm>
          <a:off x="9680762" y="4368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31</xdr:row>
      <xdr:rowOff>42862</xdr:rowOff>
    </xdr:from>
    <xdr:ext cx="65" cy="172227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AD18CE8-123B-49D9-BD3C-9F0F1DE6C8C0}"/>
            </a:ext>
          </a:extLst>
        </xdr:cNvPr>
        <xdr:cNvSpPr txBox="1"/>
      </xdr:nvSpPr>
      <xdr:spPr>
        <a:xfrm>
          <a:off x="9680762" y="45588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31</xdr:row>
      <xdr:rowOff>42862</xdr:rowOff>
    </xdr:from>
    <xdr:ext cx="65" cy="172227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26C87CDA-AB54-4DEE-BD59-99E3D745B4ED}"/>
            </a:ext>
          </a:extLst>
        </xdr:cNvPr>
        <xdr:cNvSpPr txBox="1"/>
      </xdr:nvSpPr>
      <xdr:spPr>
        <a:xfrm>
          <a:off x="9680762" y="45588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31</xdr:row>
      <xdr:rowOff>42862</xdr:rowOff>
    </xdr:from>
    <xdr:ext cx="65" cy="172227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99F86825-2AC1-4BBA-9F7B-168FD25B0B8C}"/>
            </a:ext>
          </a:extLst>
        </xdr:cNvPr>
        <xdr:cNvSpPr txBox="1"/>
      </xdr:nvSpPr>
      <xdr:spPr>
        <a:xfrm>
          <a:off x="9680762" y="45588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31</xdr:row>
      <xdr:rowOff>42862</xdr:rowOff>
    </xdr:from>
    <xdr:ext cx="65" cy="172227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7276B201-E0C4-483B-85F3-F0D69A8CCBFB}"/>
            </a:ext>
          </a:extLst>
        </xdr:cNvPr>
        <xdr:cNvSpPr txBox="1"/>
      </xdr:nvSpPr>
      <xdr:spPr>
        <a:xfrm>
          <a:off x="9680762" y="45588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AD9A41-4672-41F0-900C-40BFEBAAFA29}" name="Table13489" displayName="Table13489" ref="P40:Q44" totalsRowShown="0" headerRowDxfId="2" headerRowBorderDxfId="1" tableBorderDxfId="0">
  <autoFilter ref="P40:Q44" xr:uid="{FCCEA306-0A5F-4639-85CE-B4901DE87A2D}"/>
  <tableColumns count="2">
    <tableColumn id="1" xr3:uid="{79083114-D2CC-4E8E-B138-322BB7D6238E}" name="LPG"/>
    <tableColumn id="2" xr3:uid="{3CCAC26F-343D-43A8-A7FD-04504507C136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DCF30-0531-4103-9999-295F0C76E335}">
  <dimension ref="A1:X33"/>
  <sheetViews>
    <sheetView workbookViewId="0">
      <selection activeCell="F36" sqref="F36"/>
    </sheetView>
  </sheetViews>
  <sheetFormatPr defaultColWidth="11.5703125" defaultRowHeight="15" x14ac:dyDescent="0.25"/>
  <cols>
    <col min="1" max="1" width="29.140625" style="12" bestFit="1" customWidth="1"/>
    <col min="2" max="3" width="11.5703125" style="7"/>
    <col min="4" max="4" width="13.42578125" style="7" customWidth="1"/>
    <col min="5" max="5" width="12.5703125" style="11" customWidth="1"/>
    <col min="6" max="6" width="12.5703125" style="9" customWidth="1"/>
    <col min="7" max="7" width="11.5703125" style="11"/>
    <col min="8" max="8" width="11.5703125" style="9"/>
    <col min="9" max="9" width="11.5703125" style="11"/>
    <col min="10" max="10" width="11.5703125" style="13"/>
    <col min="11" max="24" width="11.5703125" style="11"/>
    <col min="25" max="16384" width="11.5703125" style="14"/>
  </cols>
  <sheetData>
    <row r="1" spans="1:12" s="5" customFormat="1" ht="60" x14ac:dyDescent="0.2">
      <c r="A1" s="1" t="s">
        <v>2</v>
      </c>
      <c r="B1" s="1" t="s">
        <v>3</v>
      </c>
      <c r="C1" s="1" t="s">
        <v>4</v>
      </c>
      <c r="D1" s="1" t="s">
        <v>5</v>
      </c>
      <c r="E1" s="2" t="s">
        <v>6</v>
      </c>
      <c r="F1" s="3" t="s">
        <v>7</v>
      </c>
      <c r="G1" s="2" t="s">
        <v>48</v>
      </c>
      <c r="H1" s="3" t="s">
        <v>49</v>
      </c>
      <c r="I1" s="2" t="s">
        <v>10</v>
      </c>
      <c r="J1" s="4" t="s">
        <v>11</v>
      </c>
      <c r="K1" s="2" t="s">
        <v>8</v>
      </c>
      <c r="L1" s="2" t="s">
        <v>9</v>
      </c>
    </row>
    <row r="2" spans="1:12" x14ac:dyDescent="0.25">
      <c r="A2" s="6" t="s">
        <v>47</v>
      </c>
      <c r="B2" s="7">
        <v>1</v>
      </c>
      <c r="C2" s="7">
        <v>4</v>
      </c>
      <c r="D2" s="7">
        <v>2025</v>
      </c>
      <c r="E2" s="8">
        <f>'April-25'!C5</f>
        <v>10080</v>
      </c>
      <c r="F2" s="9">
        <f>'April-25'!D5/'April-25'!C5</f>
        <v>0.44</v>
      </c>
      <c r="G2" s="8">
        <f>'April-25'!P5</f>
        <v>629</v>
      </c>
      <c r="H2" s="9">
        <f>'April-25'!Q5/'April-25'!P5</f>
        <v>1.7800000000000002</v>
      </c>
      <c r="I2" s="8">
        <f>'April-25'!I5*0.00454609</f>
        <v>124.44921375</v>
      </c>
      <c r="J2" s="10">
        <f>'April-25'!J5/Total!I2</f>
        <v>13.198154897945267</v>
      </c>
      <c r="K2" s="8"/>
      <c r="L2" s="8"/>
    </row>
    <row r="3" spans="1:12" x14ac:dyDescent="0.25">
      <c r="A3" s="6" t="s">
        <v>47</v>
      </c>
      <c r="B3" s="7">
        <f>B2+1</f>
        <v>2</v>
      </c>
      <c r="C3" s="7">
        <v>4</v>
      </c>
      <c r="D3" s="7">
        <v>2025</v>
      </c>
      <c r="E3" s="8">
        <f>'April-25'!C6</f>
        <v>9600</v>
      </c>
      <c r="F3" s="9">
        <f>'April-25'!D6/'April-25'!C6</f>
        <v>0.44</v>
      </c>
      <c r="G3" s="8">
        <f>'April-25'!P6</f>
        <v>638</v>
      </c>
      <c r="H3" s="9">
        <f>'April-25'!Q6/'April-25'!P6</f>
        <v>1.7800000000000002</v>
      </c>
      <c r="I3" s="8">
        <f>'April-25'!I6*0.00454609</f>
        <v>91.594621320000002</v>
      </c>
      <c r="J3" s="10">
        <f>'April-25'!J6/Total!I3</f>
        <v>13.198154897945265</v>
      </c>
      <c r="K3" s="8"/>
      <c r="L3" s="8"/>
    </row>
    <row r="4" spans="1:12" x14ac:dyDescent="0.25">
      <c r="A4" s="6" t="s">
        <v>47</v>
      </c>
      <c r="B4" s="7">
        <f t="shared" ref="B4:B32" si="0">B3+1</f>
        <v>3</v>
      </c>
      <c r="C4" s="7">
        <v>4</v>
      </c>
      <c r="D4" s="7">
        <v>2025</v>
      </c>
      <c r="E4" s="8">
        <f>'April-25'!C7</f>
        <v>10080</v>
      </c>
      <c r="F4" s="9">
        <f>'April-25'!D7/'April-25'!C7</f>
        <v>0.44</v>
      </c>
      <c r="G4" s="8">
        <f>'April-25'!P7</f>
        <v>644</v>
      </c>
      <c r="H4" s="9">
        <f>'April-25'!Q7/'April-25'!P7</f>
        <v>1.7799999999999998</v>
      </c>
      <c r="I4" s="8">
        <f>'April-25'!I7*0.00454609</f>
        <v>121.46243262</v>
      </c>
      <c r="J4" s="10">
        <f>'April-25'!J7/Total!I4</f>
        <v>13.198154897945267</v>
      </c>
      <c r="K4" s="8"/>
      <c r="L4" s="8"/>
    </row>
    <row r="5" spans="1:12" x14ac:dyDescent="0.25">
      <c r="A5" s="6" t="s">
        <v>47</v>
      </c>
      <c r="B5" s="7">
        <f t="shared" si="0"/>
        <v>4</v>
      </c>
      <c r="C5" s="7">
        <v>4</v>
      </c>
      <c r="D5" s="7">
        <v>2025</v>
      </c>
      <c r="E5" s="8">
        <f>'April-25'!C8</f>
        <v>10560</v>
      </c>
      <c r="F5" s="9">
        <f>'April-25'!D8/'April-25'!C8</f>
        <v>0.43999999999999995</v>
      </c>
      <c r="G5" s="8">
        <f>'April-25'!P8</f>
        <v>659</v>
      </c>
      <c r="H5" s="9">
        <f>'April-25'!Q8/'April-25'!P8</f>
        <v>1.78</v>
      </c>
      <c r="I5" s="8">
        <f>'April-25'!I8*0.00454609</f>
        <v>85.621059060000007</v>
      </c>
      <c r="J5" s="10">
        <f>'April-25'!J8/Total!I5</f>
        <v>13.198154897945265</v>
      </c>
      <c r="K5" s="8"/>
      <c r="L5" s="8"/>
    </row>
    <row r="6" spans="1:12" x14ac:dyDescent="0.25">
      <c r="A6" s="6" t="s">
        <v>47</v>
      </c>
      <c r="B6" s="7">
        <f t="shared" si="0"/>
        <v>5</v>
      </c>
      <c r="C6" s="7">
        <v>4</v>
      </c>
      <c r="D6" s="7">
        <v>2025</v>
      </c>
      <c r="E6" s="8">
        <f>'April-25'!C9</f>
        <v>11040</v>
      </c>
      <c r="F6" s="9">
        <f>'April-25'!D9/'April-25'!C9</f>
        <v>0.44000000000000006</v>
      </c>
      <c r="G6" s="8">
        <f>'April-25'!P9</f>
        <v>714</v>
      </c>
      <c r="H6" s="9">
        <f>'April-25'!Q9/'April-25'!P9</f>
        <v>1.78</v>
      </c>
      <c r="I6" s="8">
        <f>'April-25'!I9*0.00454609</f>
        <v>130.42277601000001</v>
      </c>
      <c r="J6" s="10">
        <f>'April-25'!J9/Total!I6</f>
        <v>13.198154897945265</v>
      </c>
      <c r="K6" s="8"/>
      <c r="L6" s="8"/>
    </row>
    <row r="7" spans="1:12" x14ac:dyDescent="0.25">
      <c r="A7" s="6" t="s">
        <v>47</v>
      </c>
      <c r="B7" s="7">
        <f t="shared" si="0"/>
        <v>6</v>
      </c>
      <c r="C7" s="7">
        <v>4</v>
      </c>
      <c r="D7" s="7">
        <v>2025</v>
      </c>
      <c r="E7" s="8">
        <f>'April-25'!C10</f>
        <v>10080</v>
      </c>
      <c r="F7" s="9">
        <f>'April-25'!D10/'April-25'!C10</f>
        <v>0.44</v>
      </c>
      <c r="G7" s="8">
        <f>'April-25'!P10</f>
        <v>685</v>
      </c>
      <c r="H7" s="9">
        <f>'April-25'!Q10/'April-25'!P10</f>
        <v>1.78</v>
      </c>
      <c r="I7" s="8">
        <f>'April-25'!I10*0.00454609</f>
        <v>84.580004450000004</v>
      </c>
      <c r="J7" s="10">
        <f>'April-25'!J10/Total!I7</f>
        <v>13.198154897945265</v>
      </c>
      <c r="K7" s="8"/>
      <c r="L7" s="8"/>
    </row>
    <row r="8" spans="1:12" x14ac:dyDescent="0.25">
      <c r="A8" s="6" t="s">
        <v>47</v>
      </c>
      <c r="B8" s="7">
        <f t="shared" si="0"/>
        <v>7</v>
      </c>
      <c r="C8" s="7">
        <v>4</v>
      </c>
      <c r="D8" s="7">
        <v>2025</v>
      </c>
      <c r="E8" s="8">
        <f>'April-25'!C11</f>
        <v>10560</v>
      </c>
      <c r="F8" s="9">
        <f>'April-25'!D11/'April-25'!C11</f>
        <v>0.43999999999999995</v>
      </c>
      <c r="G8" s="8">
        <f>'April-25'!P11</f>
        <v>604</v>
      </c>
      <c r="H8" s="9">
        <f>'April-25'!Q11/'April-25'!P11</f>
        <v>1.7800000000000002</v>
      </c>
      <c r="I8" s="8">
        <f>'April-25'!I11*0.00454609</f>
        <v>121.46243262</v>
      </c>
      <c r="J8" s="10">
        <f>'April-25'!J11/Total!I8</f>
        <v>13.198154897945267</v>
      </c>
      <c r="K8" s="8"/>
      <c r="L8" s="8"/>
    </row>
    <row r="9" spans="1:12" x14ac:dyDescent="0.25">
      <c r="A9" s="6" t="s">
        <v>47</v>
      </c>
      <c r="B9" s="7">
        <f t="shared" si="0"/>
        <v>8</v>
      </c>
      <c r="C9" s="7">
        <v>4</v>
      </c>
      <c r="D9" s="7">
        <v>2025</v>
      </c>
      <c r="E9" s="8">
        <f>'April-25'!C12</f>
        <v>10560</v>
      </c>
      <c r="F9" s="9">
        <f>'April-25'!D12/'April-25'!C12</f>
        <v>0.43999999999999995</v>
      </c>
      <c r="G9" s="8">
        <f>'April-25'!P12</f>
        <v>654</v>
      </c>
      <c r="H9" s="9">
        <f>'April-25'!Q12/'April-25'!P12</f>
        <v>1.7800000000000002</v>
      </c>
      <c r="I9" s="8">
        <f>'April-25'!I12*0.00454609</f>
        <v>77.656309379999996</v>
      </c>
      <c r="J9" s="10">
        <f>'April-25'!J12/Total!I9</f>
        <v>13.198154897945269</v>
      </c>
      <c r="K9" s="8"/>
      <c r="L9" s="8"/>
    </row>
    <row r="10" spans="1:12" x14ac:dyDescent="0.25">
      <c r="A10" s="6" t="s">
        <v>47</v>
      </c>
      <c r="B10" s="7">
        <f t="shared" si="0"/>
        <v>9</v>
      </c>
      <c r="C10" s="7">
        <v>4</v>
      </c>
      <c r="D10" s="7">
        <v>2025</v>
      </c>
      <c r="E10" s="8">
        <f>'April-25'!C13</f>
        <v>10080</v>
      </c>
      <c r="F10" s="9">
        <f>'April-25'!D13/'April-25'!C13</f>
        <v>0.44</v>
      </c>
      <c r="G10" s="8">
        <f>'April-25'!P13</f>
        <v>628</v>
      </c>
      <c r="H10" s="9">
        <f>'April-25'!Q13/'April-25'!P13</f>
        <v>1.7799999999999998</v>
      </c>
      <c r="I10" s="8">
        <f>'April-25'!I13*0.00454609</f>
        <v>82.634277929999996</v>
      </c>
      <c r="J10" s="10">
        <f>'April-25'!J13/Total!I10</f>
        <v>13.198154897945267</v>
      </c>
      <c r="K10" s="8"/>
      <c r="L10" s="8"/>
    </row>
    <row r="11" spans="1:12" x14ac:dyDescent="0.25">
      <c r="A11" s="6" t="s">
        <v>47</v>
      </c>
      <c r="B11" s="7">
        <f t="shared" si="0"/>
        <v>10</v>
      </c>
      <c r="C11" s="7">
        <v>4</v>
      </c>
      <c r="D11" s="7">
        <v>2025</v>
      </c>
      <c r="E11" s="8">
        <f>'April-25'!C14</f>
        <v>9600</v>
      </c>
      <c r="F11" s="9">
        <f>'April-25'!D14/'April-25'!C14</f>
        <v>0.44</v>
      </c>
      <c r="G11" s="8">
        <f>'April-25'!P14</f>
        <v>652</v>
      </c>
      <c r="H11" s="9">
        <f>'April-25'!Q14/'April-25'!P14</f>
        <v>1.78</v>
      </c>
      <c r="I11" s="8">
        <f>'April-25'!I14*0.00454609</f>
        <v>89.603433899999999</v>
      </c>
      <c r="J11" s="10">
        <f>'April-25'!J14/Total!I11</f>
        <v>13.198154897945267</v>
      </c>
      <c r="K11" s="8"/>
      <c r="L11" s="8"/>
    </row>
    <row r="12" spans="1:12" x14ac:dyDescent="0.25">
      <c r="A12" s="6" t="s">
        <v>47</v>
      </c>
      <c r="B12" s="7">
        <f t="shared" si="0"/>
        <v>11</v>
      </c>
      <c r="C12" s="7">
        <v>4</v>
      </c>
      <c r="D12" s="7">
        <v>2025</v>
      </c>
      <c r="E12" s="8">
        <f>'April-25'!C15</f>
        <v>10560</v>
      </c>
      <c r="F12" s="9">
        <f>'April-25'!D15/'April-25'!C15</f>
        <v>0.43999999999999995</v>
      </c>
      <c r="G12" s="8">
        <f>'April-25'!P15</f>
        <v>628</v>
      </c>
      <c r="H12" s="9">
        <f>'April-25'!Q15/'April-25'!P15</f>
        <v>1.7799999999999998</v>
      </c>
      <c r="I12" s="8">
        <f>'April-25'!I15*0.00454609</f>
        <v>82.634277929999996</v>
      </c>
      <c r="J12" s="10">
        <f>'April-25'!J15/Total!I12</f>
        <v>13.198154897945267</v>
      </c>
      <c r="K12" s="8"/>
      <c r="L12" s="8"/>
    </row>
    <row r="13" spans="1:12" x14ac:dyDescent="0.25">
      <c r="A13" s="6" t="s">
        <v>47</v>
      </c>
      <c r="B13" s="7">
        <f t="shared" si="0"/>
        <v>12</v>
      </c>
      <c r="C13" s="7">
        <v>4</v>
      </c>
      <c r="D13" s="7">
        <v>2025</v>
      </c>
      <c r="E13" s="8">
        <f>'April-25'!C16</f>
        <v>11040</v>
      </c>
      <c r="F13" s="9">
        <f>'April-25'!D16/'April-25'!C16</f>
        <v>0.44000000000000006</v>
      </c>
      <c r="G13" s="8">
        <f>'April-25'!P16</f>
        <v>628</v>
      </c>
      <c r="H13" s="9">
        <f>'April-25'!Q16/'April-25'!P16</f>
        <v>1.7799999999999998</v>
      </c>
      <c r="I13" s="8">
        <f>'April-25'!I16*0.00454609</f>
        <v>84.625465349999999</v>
      </c>
      <c r="J13" s="10">
        <f>'April-25'!J16/Total!I13</f>
        <v>13.198154897945265</v>
      </c>
      <c r="K13" s="8"/>
      <c r="L13" s="8"/>
    </row>
    <row r="14" spans="1:12" x14ac:dyDescent="0.25">
      <c r="A14" s="6" t="s">
        <v>47</v>
      </c>
      <c r="B14" s="7">
        <f t="shared" si="0"/>
        <v>13</v>
      </c>
      <c r="C14" s="7">
        <v>4</v>
      </c>
      <c r="D14" s="7">
        <v>2025</v>
      </c>
      <c r="E14" s="8">
        <f>'April-25'!C17</f>
        <v>10560</v>
      </c>
      <c r="F14" s="9">
        <f>'April-25'!D17/'April-25'!C17</f>
        <v>0.43999999999999995</v>
      </c>
      <c r="G14" s="8">
        <f>'April-25'!P17</f>
        <v>614</v>
      </c>
      <c r="H14" s="9">
        <f>'April-25'!Q17/'April-25'!P17</f>
        <v>1.78</v>
      </c>
      <c r="I14" s="8">
        <f>'April-25'!I17*0.00454609</f>
        <v>127.43599488</v>
      </c>
      <c r="J14" s="10">
        <f>'April-25'!J17/Total!I14</f>
        <v>13.198154897945267</v>
      </c>
      <c r="K14" s="8"/>
      <c r="L14" s="8"/>
    </row>
    <row r="15" spans="1:12" x14ac:dyDescent="0.25">
      <c r="A15" s="6" t="s">
        <v>47</v>
      </c>
      <c r="B15" s="7">
        <f t="shared" si="0"/>
        <v>14</v>
      </c>
      <c r="C15" s="7">
        <v>4</v>
      </c>
      <c r="D15" s="7">
        <v>2025</v>
      </c>
      <c r="E15" s="8">
        <f>'April-25'!C18</f>
        <v>11520</v>
      </c>
      <c r="F15" s="9">
        <f>'April-25'!D18/'April-25'!C18</f>
        <v>0.44</v>
      </c>
      <c r="G15" s="8">
        <f>'April-25'!P18</f>
        <v>585</v>
      </c>
      <c r="H15" s="9">
        <f>'April-25'!Q18/'April-25'!P18</f>
        <v>1.78</v>
      </c>
      <c r="I15" s="8">
        <f>'April-25'!I18*0.00454609</f>
        <v>89.603433899999999</v>
      </c>
      <c r="J15" s="10">
        <f>'April-25'!J18/Total!I15</f>
        <v>13.198154897945267</v>
      </c>
      <c r="K15" s="8"/>
      <c r="L15" s="8"/>
    </row>
    <row r="16" spans="1:12" x14ac:dyDescent="0.25">
      <c r="A16" s="6" t="s">
        <v>47</v>
      </c>
      <c r="B16" s="7">
        <f t="shared" si="0"/>
        <v>15</v>
      </c>
      <c r="C16" s="7">
        <v>4</v>
      </c>
      <c r="D16" s="7">
        <v>2025</v>
      </c>
      <c r="E16" s="8">
        <f>'April-25'!C19</f>
        <v>11040</v>
      </c>
      <c r="F16" s="9">
        <f>'April-25'!D19/'April-25'!C19</f>
        <v>0.44000000000000006</v>
      </c>
      <c r="G16" s="8">
        <f>'April-25'!P19</f>
        <v>472</v>
      </c>
      <c r="H16" s="9">
        <f>'April-25'!Q19/'April-25'!P19</f>
        <v>1.78</v>
      </c>
      <c r="I16" s="8">
        <f>'April-25'!I19*0.00454609</f>
        <v>98.563777290000004</v>
      </c>
      <c r="J16" s="10">
        <f>'April-25'!J19/Total!I16</f>
        <v>13.198154897945265</v>
      </c>
      <c r="K16" s="8"/>
      <c r="L16" s="8"/>
    </row>
    <row r="17" spans="1:12" x14ac:dyDescent="0.25">
      <c r="A17" s="6" t="s">
        <v>47</v>
      </c>
      <c r="B17" s="7">
        <f t="shared" si="0"/>
        <v>16</v>
      </c>
      <c r="C17" s="7">
        <v>4</v>
      </c>
      <c r="D17" s="7">
        <v>2025</v>
      </c>
      <c r="E17" s="8">
        <f>'April-25'!C20</f>
        <v>10560</v>
      </c>
      <c r="F17" s="9">
        <f>'April-25'!D20/'April-25'!C20</f>
        <v>0.43999999999999995</v>
      </c>
      <c r="G17" s="8">
        <f>'April-25'!P20</f>
        <v>465</v>
      </c>
      <c r="H17" s="9">
        <f>'April-25'!Q20/'April-25'!P20</f>
        <v>1.78</v>
      </c>
      <c r="I17" s="8">
        <f>'April-25'!I20*0.00454609</f>
        <v>94.581402449999999</v>
      </c>
      <c r="J17" s="10">
        <f>'April-25'!J20/Total!I17</f>
        <v>13.198154897945267</v>
      </c>
      <c r="K17" s="8"/>
      <c r="L17" s="8"/>
    </row>
    <row r="18" spans="1:12" x14ac:dyDescent="0.25">
      <c r="A18" s="6" t="s">
        <v>47</v>
      </c>
      <c r="B18" s="7">
        <f t="shared" si="0"/>
        <v>17</v>
      </c>
      <c r="C18" s="7">
        <v>4</v>
      </c>
      <c r="D18" s="7">
        <v>2025</v>
      </c>
      <c r="E18" s="8">
        <f>'April-25'!C21</f>
        <v>9600</v>
      </c>
      <c r="F18" s="9">
        <f>'April-25'!D21/'April-25'!C21</f>
        <v>0.44</v>
      </c>
      <c r="G18" s="8">
        <f>'April-25'!P21</f>
        <v>455</v>
      </c>
      <c r="H18" s="9">
        <f>'April-25'!Q21/'April-25'!P21</f>
        <v>1.78</v>
      </c>
      <c r="I18" s="8">
        <f>'April-25'!I21*0.00454609</f>
        <v>79.647496799999999</v>
      </c>
      <c r="J18" s="10">
        <f>'April-25'!J21/Total!I18</f>
        <v>13.198154897945267</v>
      </c>
      <c r="K18" s="8"/>
      <c r="L18" s="8"/>
    </row>
    <row r="19" spans="1:12" x14ac:dyDescent="0.25">
      <c r="A19" s="6" t="s">
        <v>47</v>
      </c>
      <c r="B19" s="7">
        <f t="shared" si="0"/>
        <v>18</v>
      </c>
      <c r="C19" s="7">
        <v>4</v>
      </c>
      <c r="D19" s="7">
        <v>2025</v>
      </c>
      <c r="E19" s="8">
        <f>'April-25'!C22</f>
        <v>10560</v>
      </c>
      <c r="F19" s="9">
        <f>'April-25'!D22/'April-25'!C22</f>
        <v>0.43999999999999995</v>
      </c>
      <c r="G19" s="8">
        <f>'April-25'!P22</f>
        <v>459</v>
      </c>
      <c r="H19" s="9">
        <f>'April-25'!Q22/'April-25'!P22</f>
        <v>1.78</v>
      </c>
      <c r="I19" s="8">
        <f>'April-25'!I22*0.00454609</f>
        <v>70.687153409999993</v>
      </c>
      <c r="J19" s="10">
        <f>'April-25'!J22/Total!I19</f>
        <v>13.198154897945267</v>
      </c>
      <c r="K19" s="8"/>
      <c r="L19" s="8"/>
    </row>
    <row r="20" spans="1:12" x14ac:dyDescent="0.25">
      <c r="A20" s="6" t="s">
        <v>47</v>
      </c>
      <c r="B20" s="7">
        <f t="shared" si="0"/>
        <v>19</v>
      </c>
      <c r="C20" s="7">
        <v>4</v>
      </c>
      <c r="D20" s="7">
        <v>2025</v>
      </c>
      <c r="E20" s="8">
        <f>'April-25'!C23</f>
        <v>9120</v>
      </c>
      <c r="F20" s="9">
        <f>'April-25'!D23/'April-25'!C23</f>
        <v>0.44</v>
      </c>
      <c r="G20" s="8">
        <f>'April-25'!P23</f>
        <v>445</v>
      </c>
      <c r="H20" s="9">
        <f>'April-25'!Q23/'April-25'!P23</f>
        <v>1.78</v>
      </c>
      <c r="I20" s="8">
        <f>'April-25'!I23*0.00454609</f>
        <v>77.656309379999996</v>
      </c>
      <c r="J20" s="10">
        <f>'April-25'!J23/Total!I20</f>
        <v>13.198154897945269</v>
      </c>
      <c r="K20" s="8"/>
      <c r="L20" s="8"/>
    </row>
    <row r="21" spans="1:12" x14ac:dyDescent="0.25">
      <c r="A21" s="6" t="s">
        <v>47</v>
      </c>
      <c r="B21" s="7">
        <f t="shared" si="0"/>
        <v>20</v>
      </c>
      <c r="C21" s="7">
        <v>4</v>
      </c>
      <c r="D21" s="7">
        <v>2025</v>
      </c>
      <c r="E21" s="8">
        <f>'April-25'!C24</f>
        <v>9600</v>
      </c>
      <c r="F21" s="9">
        <f>'April-25'!D24/'April-25'!C24</f>
        <v>0.44</v>
      </c>
      <c r="G21" s="8">
        <f>'April-25'!P24</f>
        <v>496</v>
      </c>
      <c r="H21" s="9">
        <f>'April-25'!Q24/'April-25'!P24</f>
        <v>1.78</v>
      </c>
      <c r="I21" s="8">
        <f>'April-25'!I24*0.00454609</f>
        <v>75.665121959999993</v>
      </c>
      <c r="J21" s="10">
        <f>'April-25'!J24/Total!I21</f>
        <v>13.198154897945269</v>
      </c>
      <c r="K21" s="8"/>
      <c r="L21" s="8"/>
    </row>
    <row r="22" spans="1:12" x14ac:dyDescent="0.25">
      <c r="A22" s="6" t="s">
        <v>47</v>
      </c>
      <c r="B22" s="7">
        <f t="shared" si="0"/>
        <v>21</v>
      </c>
      <c r="C22" s="7">
        <v>4</v>
      </c>
      <c r="D22" s="7">
        <v>2025</v>
      </c>
      <c r="E22" s="8">
        <f>'April-25'!C25</f>
        <v>9120</v>
      </c>
      <c r="F22" s="9">
        <f>'April-25'!D25/'April-25'!C25</f>
        <v>0.44</v>
      </c>
      <c r="G22" s="8">
        <f>'April-25'!P25</f>
        <v>403</v>
      </c>
      <c r="H22" s="9">
        <f>'April-25'!Q25/'April-25'!P25</f>
        <v>1.78</v>
      </c>
      <c r="I22" s="8">
        <f>'April-25'!I25*0.00454609</f>
        <v>78.651903090000005</v>
      </c>
      <c r="J22" s="10">
        <f>'April-25'!J25/Total!I22</f>
        <v>13.198154897945265</v>
      </c>
      <c r="K22" s="8"/>
      <c r="L22" s="8"/>
    </row>
    <row r="23" spans="1:12" x14ac:dyDescent="0.25">
      <c r="A23" s="6" t="s">
        <v>47</v>
      </c>
      <c r="B23" s="7">
        <f t="shared" si="0"/>
        <v>22</v>
      </c>
      <c r="C23" s="7">
        <v>4</v>
      </c>
      <c r="D23" s="7">
        <v>2025</v>
      </c>
      <c r="E23" s="8">
        <f>'April-25'!C26</f>
        <v>10560</v>
      </c>
      <c r="F23" s="9">
        <f>'April-25'!D26/'April-25'!C26</f>
        <v>0.43999999999999995</v>
      </c>
      <c r="G23" s="8">
        <f>'April-25'!P26</f>
        <v>499</v>
      </c>
      <c r="H23" s="9">
        <f>'April-25'!Q26/'April-25'!P26</f>
        <v>1.78</v>
      </c>
      <c r="I23" s="8">
        <f>'April-25'!I26*0.00454609</f>
        <v>82.634277929999996</v>
      </c>
      <c r="J23" s="10">
        <f>'April-25'!J26/Total!I23</f>
        <v>13.198154897945267</v>
      </c>
      <c r="K23" s="8"/>
      <c r="L23" s="8"/>
    </row>
    <row r="24" spans="1:12" x14ac:dyDescent="0.25">
      <c r="A24" s="6" t="s">
        <v>47</v>
      </c>
      <c r="B24" s="7">
        <f t="shared" si="0"/>
        <v>23</v>
      </c>
      <c r="C24" s="7">
        <v>4</v>
      </c>
      <c r="D24" s="7">
        <v>2025</v>
      </c>
      <c r="E24" s="8">
        <f>'April-25'!C27</f>
        <v>11040</v>
      </c>
      <c r="F24" s="9">
        <f>'April-25'!D27/'April-25'!C27</f>
        <v>0.44000000000000006</v>
      </c>
      <c r="G24" s="8">
        <f>'April-25'!P27</f>
        <v>462</v>
      </c>
      <c r="H24" s="9">
        <f>'April-25'!Q27/'April-25'!P27</f>
        <v>1.78</v>
      </c>
      <c r="I24" s="8">
        <f>'April-25'!I27*0.00454609</f>
        <v>81.638684220000002</v>
      </c>
      <c r="J24" s="10">
        <f>'April-25'!J27/Total!I24</f>
        <v>13.198154897945267</v>
      </c>
      <c r="K24" s="8"/>
      <c r="L24" s="8"/>
    </row>
    <row r="25" spans="1:12" x14ac:dyDescent="0.25">
      <c r="A25" s="6" t="s">
        <v>47</v>
      </c>
      <c r="B25" s="7">
        <f t="shared" si="0"/>
        <v>24</v>
      </c>
      <c r="C25" s="7">
        <v>4</v>
      </c>
      <c r="D25" s="7">
        <v>2025</v>
      </c>
      <c r="E25" s="8">
        <f>'April-25'!C28</f>
        <v>10560</v>
      </c>
      <c r="F25" s="9">
        <f>'April-25'!D28/'April-25'!C28</f>
        <v>0.43999999999999995</v>
      </c>
      <c r="G25" s="8">
        <f>'April-25'!P28</f>
        <v>406</v>
      </c>
      <c r="H25" s="9">
        <f>'April-25'!Q28/'April-25'!P28</f>
        <v>1.7800000000000002</v>
      </c>
      <c r="I25" s="8">
        <f>'April-25'!I28*0.00454609</f>
        <v>76.660715670000002</v>
      </c>
      <c r="J25" s="10">
        <f>'April-25'!J28/Total!I25</f>
        <v>13.198154897945267</v>
      </c>
      <c r="K25" s="8"/>
      <c r="L25" s="8"/>
    </row>
    <row r="26" spans="1:12" x14ac:dyDescent="0.25">
      <c r="A26" s="6" t="s">
        <v>47</v>
      </c>
      <c r="B26" s="7">
        <f>B25+1</f>
        <v>25</v>
      </c>
      <c r="C26" s="7">
        <v>4</v>
      </c>
      <c r="D26" s="7">
        <v>2025</v>
      </c>
      <c r="E26" s="8">
        <f>'April-25'!C29</f>
        <v>9600</v>
      </c>
      <c r="F26" s="9">
        <f>'April-25'!D29/'April-25'!C29</f>
        <v>0.44</v>
      </c>
      <c r="G26" s="8">
        <f>'April-25'!P29</f>
        <v>403</v>
      </c>
      <c r="H26" s="9">
        <f>'April-25'!Q29/'April-25'!P29</f>
        <v>1.78</v>
      </c>
      <c r="I26" s="8">
        <f>'April-25'!I29*0.00454609</f>
        <v>80.656728779999995</v>
      </c>
      <c r="J26" s="10">
        <f>'April-25'!J29/Total!I26</f>
        <v>13.198154897945267</v>
      </c>
      <c r="K26" s="8"/>
      <c r="L26" s="8"/>
    </row>
    <row r="27" spans="1:12" x14ac:dyDescent="0.25">
      <c r="A27" s="6" t="s">
        <v>47</v>
      </c>
      <c r="B27" s="7">
        <f t="shared" si="0"/>
        <v>26</v>
      </c>
      <c r="C27" s="7">
        <v>4</v>
      </c>
      <c r="D27" s="7">
        <v>2025</v>
      </c>
      <c r="E27" s="8">
        <f>'April-25'!C30</f>
        <v>10080</v>
      </c>
      <c r="F27" s="9">
        <f>'April-25'!D30/'April-25'!C30</f>
        <v>0.44</v>
      </c>
      <c r="G27" s="8">
        <f>'April-25'!P30</f>
        <v>526</v>
      </c>
      <c r="H27" s="9">
        <f>'April-25'!Q30/'April-25'!P30</f>
        <v>1.78</v>
      </c>
      <c r="I27" s="8">
        <f>'April-25'!I30*0.00454609</f>
        <v>81.638684220000002</v>
      </c>
      <c r="J27" s="10">
        <f>'April-25'!J30/Total!I27</f>
        <v>13.198154897945267</v>
      </c>
      <c r="K27" s="8"/>
      <c r="L27" s="8"/>
    </row>
    <row r="28" spans="1:12" x14ac:dyDescent="0.25">
      <c r="A28" s="6" t="s">
        <v>47</v>
      </c>
      <c r="B28" s="7">
        <f t="shared" si="0"/>
        <v>27</v>
      </c>
      <c r="C28" s="7">
        <v>4</v>
      </c>
      <c r="D28" s="7">
        <v>2025</v>
      </c>
      <c r="E28" s="8">
        <f>'April-25'!C31</f>
        <v>11040</v>
      </c>
      <c r="F28" s="9">
        <f>'April-25'!D31/'April-25'!C31</f>
        <v>0.44000000000000006</v>
      </c>
      <c r="G28" s="8">
        <f>'April-25'!P31</f>
        <v>468</v>
      </c>
      <c r="H28" s="9">
        <f>'April-25'!Q31/'April-25'!P31</f>
        <v>1.78</v>
      </c>
      <c r="I28" s="8">
        <f>'April-25'!I31*0.00454609</f>
        <v>78.651903090000005</v>
      </c>
      <c r="J28" s="10">
        <f>'April-25'!J31/Total!I28</f>
        <v>13.198154897945265</v>
      </c>
      <c r="K28" s="8"/>
      <c r="L28" s="8"/>
    </row>
    <row r="29" spans="1:12" x14ac:dyDescent="0.25">
      <c r="A29" s="6" t="s">
        <v>47</v>
      </c>
      <c r="B29" s="7">
        <f t="shared" si="0"/>
        <v>28</v>
      </c>
      <c r="C29" s="7">
        <v>4</v>
      </c>
      <c r="D29" s="7">
        <v>2025</v>
      </c>
      <c r="E29" s="8">
        <f>'April-25'!C32</f>
        <v>10560</v>
      </c>
      <c r="F29" s="9">
        <f>'April-25'!D32/'April-25'!C32</f>
        <v>0.43999999999999995</v>
      </c>
      <c r="G29" s="8">
        <f>'April-25'!P32</f>
        <v>426</v>
      </c>
      <c r="H29" s="9">
        <f>'April-25'!Q32/'April-25'!P32</f>
        <v>1.78</v>
      </c>
      <c r="I29" s="8">
        <f>'April-25'!I32*0.00454609</f>
        <v>78.651903090000005</v>
      </c>
      <c r="J29" s="10">
        <f>'April-25'!J32/Total!I29</f>
        <v>13.198154897945265</v>
      </c>
      <c r="K29" s="8"/>
      <c r="L29" s="8"/>
    </row>
    <row r="30" spans="1:12" x14ac:dyDescent="0.25">
      <c r="A30" s="6" t="s">
        <v>47</v>
      </c>
      <c r="B30" s="7">
        <f t="shared" si="0"/>
        <v>29</v>
      </c>
      <c r="C30" s="7">
        <v>4</v>
      </c>
      <c r="D30" s="7">
        <v>2025</v>
      </c>
      <c r="E30" s="8">
        <f>'April-25'!C33</f>
        <v>11520</v>
      </c>
      <c r="F30" s="9">
        <f>'April-25'!D33/'April-25'!C33</f>
        <v>0.44</v>
      </c>
      <c r="G30" s="8">
        <f>'April-25'!P33</f>
        <v>458</v>
      </c>
      <c r="H30" s="9">
        <f>'April-25'!Q33/'April-25'!P33</f>
        <v>1.78</v>
      </c>
      <c r="I30" s="8">
        <f>'April-25'!I33*0.00454609</f>
        <v>84.625465349999999</v>
      </c>
      <c r="J30" s="10">
        <f>'April-25'!J33/Total!I30</f>
        <v>13.198154897945265</v>
      </c>
      <c r="K30" s="8"/>
      <c r="L30" s="8"/>
    </row>
    <row r="31" spans="1:12" x14ac:dyDescent="0.25">
      <c r="A31" s="6" t="s">
        <v>47</v>
      </c>
      <c r="B31" s="7">
        <f t="shared" si="0"/>
        <v>30</v>
      </c>
      <c r="C31" s="7">
        <v>4</v>
      </c>
      <c r="D31" s="7">
        <v>2025</v>
      </c>
      <c r="E31" s="8">
        <f>'April-25'!C34</f>
        <v>11520</v>
      </c>
      <c r="F31" s="9">
        <f>'April-25'!D34/'April-25'!C34</f>
        <v>0.44</v>
      </c>
      <c r="G31" s="8">
        <f>'April-25'!P34</f>
        <v>447</v>
      </c>
      <c r="H31" s="9">
        <f>'April-25'!Q34/'April-25'!P34</f>
        <v>1.78</v>
      </c>
      <c r="I31" s="8">
        <f>'April-25'!I34*0.00454609</f>
        <v>78.651903090000005</v>
      </c>
      <c r="J31" s="10">
        <f>'April-25'!J34/Total!I31</f>
        <v>13.198154897945265</v>
      </c>
      <c r="K31" s="8"/>
      <c r="L31" s="8"/>
    </row>
    <row r="32" spans="1:12" x14ac:dyDescent="0.25">
      <c r="A32" s="6" t="s">
        <v>47</v>
      </c>
      <c r="B32" s="7">
        <f t="shared" si="0"/>
        <v>31</v>
      </c>
      <c r="C32" s="7">
        <v>4</v>
      </c>
      <c r="D32" s="7">
        <v>2025</v>
      </c>
      <c r="E32" s="8" t="e">
        <f>'April-25'!#REF!</f>
        <v>#REF!</v>
      </c>
      <c r="F32" s="9" t="e">
        <f>'April-25'!#REF!/'April-25'!#REF!</f>
        <v>#REF!</v>
      </c>
      <c r="G32" s="8" t="e">
        <f>'April-25'!#REF!</f>
        <v>#REF!</v>
      </c>
      <c r="H32" s="9" t="e">
        <f>'April-25'!#REF!/'April-25'!#REF!</f>
        <v>#REF!</v>
      </c>
      <c r="I32" s="8" t="e">
        <f>'April-25'!#REF!*0.00454609</f>
        <v>#REF!</v>
      </c>
      <c r="J32" s="10" t="e">
        <f>'April-25'!#REF!/Total!I32</f>
        <v>#REF!</v>
      </c>
      <c r="K32" s="8"/>
      <c r="L32" s="8"/>
    </row>
    <row r="33" spans="7:7" x14ac:dyDescent="0.25">
      <c r="G33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2095F-0997-438A-AAF5-2E77518AB87A}">
  <dimension ref="A1:V48"/>
  <sheetViews>
    <sheetView tabSelected="1" topLeftCell="A25" zoomScale="85" zoomScaleNormal="85" workbookViewId="0">
      <selection activeCell="P35" sqref="P35"/>
    </sheetView>
  </sheetViews>
  <sheetFormatPr defaultColWidth="8.85546875" defaultRowHeight="15" x14ac:dyDescent="0.25"/>
  <cols>
    <col min="1" max="1" width="14.7109375" style="15" bestFit="1" customWidth="1"/>
    <col min="2" max="2" width="13.85546875" style="15" customWidth="1"/>
    <col min="3" max="3" width="13.42578125" style="15" customWidth="1"/>
    <col min="4" max="4" width="17.7109375" style="15" customWidth="1"/>
    <col min="5" max="5" width="18.5703125" style="15" customWidth="1"/>
    <col min="6" max="6" width="20.7109375" style="15" customWidth="1"/>
    <col min="7" max="7" width="15.140625" style="15" customWidth="1"/>
    <col min="8" max="8" width="14.28515625" style="15" customWidth="1"/>
    <col min="9" max="9" width="14.85546875" style="15" customWidth="1"/>
    <col min="10" max="10" width="13.7109375" style="15" customWidth="1"/>
    <col min="11" max="12" width="19.85546875" style="15" bestFit="1" customWidth="1"/>
    <col min="13" max="13" width="13.7109375" style="15" customWidth="1"/>
    <col min="14" max="14" width="19.42578125" style="15" customWidth="1"/>
    <col min="15" max="15" width="12.28515625" style="15" customWidth="1"/>
    <col min="16" max="16" width="14.140625" style="15" customWidth="1"/>
    <col min="17" max="17" width="12.42578125" style="15" customWidth="1"/>
    <col min="18" max="18" width="17.85546875" style="15" customWidth="1"/>
    <col min="19" max="19" width="19.140625" style="15" bestFit="1" customWidth="1"/>
    <col min="20" max="20" width="16.7109375" style="15" customWidth="1"/>
    <col min="21" max="16384" width="8.85546875" style="15"/>
  </cols>
  <sheetData>
    <row r="1" spans="1:22" ht="47.25" thickBot="1" x14ac:dyDescent="0.3">
      <c r="A1" s="106" t="s">
        <v>50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8"/>
    </row>
    <row r="2" spans="1:22" ht="21" customHeight="1" x14ac:dyDescent="0.25">
      <c r="A2" s="109" t="s">
        <v>1</v>
      </c>
      <c r="B2" s="112" t="s">
        <v>12</v>
      </c>
      <c r="C2" s="113"/>
      <c r="D2" s="113"/>
      <c r="E2" s="113"/>
      <c r="F2" s="113"/>
      <c r="G2" s="114"/>
      <c r="H2" s="118" t="s">
        <v>13</v>
      </c>
      <c r="I2" s="119"/>
      <c r="J2" s="119"/>
      <c r="K2" s="119"/>
      <c r="L2" s="119"/>
      <c r="M2" s="120"/>
      <c r="N2" s="124" t="s">
        <v>14</v>
      </c>
      <c r="O2" s="125"/>
      <c r="P2" s="125"/>
      <c r="Q2" s="125"/>
      <c r="R2" s="125"/>
      <c r="S2" s="125"/>
      <c r="T2" s="126"/>
    </row>
    <row r="3" spans="1:22" ht="15.75" customHeight="1" thickBot="1" x14ac:dyDescent="0.3">
      <c r="A3" s="110"/>
      <c r="B3" s="115"/>
      <c r="C3" s="116"/>
      <c r="D3" s="116"/>
      <c r="E3" s="116"/>
      <c r="F3" s="116"/>
      <c r="G3" s="117"/>
      <c r="H3" s="121"/>
      <c r="I3" s="122"/>
      <c r="J3" s="122"/>
      <c r="K3" s="122"/>
      <c r="L3" s="122"/>
      <c r="M3" s="123"/>
      <c r="N3" s="127"/>
      <c r="O3" s="128"/>
      <c r="P3" s="128"/>
      <c r="Q3" s="128"/>
      <c r="R3" s="128"/>
      <c r="S3" s="128"/>
      <c r="T3" s="129"/>
    </row>
    <row r="4" spans="1:22" ht="60.75" thickBot="1" x14ac:dyDescent="0.3">
      <c r="A4" s="111"/>
      <c r="B4" s="16" t="s">
        <v>15</v>
      </c>
      <c r="C4" s="17" t="s">
        <v>16</v>
      </c>
      <c r="D4" s="17" t="s">
        <v>17</v>
      </c>
      <c r="E4" s="18" t="s">
        <v>18</v>
      </c>
      <c r="F4" s="19" t="s">
        <v>19</v>
      </c>
      <c r="G4" s="17" t="s">
        <v>20</v>
      </c>
      <c r="H4" s="20" t="s">
        <v>15</v>
      </c>
      <c r="I4" s="21" t="s">
        <v>21</v>
      </c>
      <c r="J4" s="21" t="s">
        <v>17</v>
      </c>
      <c r="K4" s="22" t="s">
        <v>22</v>
      </c>
      <c r="L4" s="23" t="s">
        <v>19</v>
      </c>
      <c r="M4" s="21" t="s">
        <v>23</v>
      </c>
      <c r="N4" s="24" t="s">
        <v>15</v>
      </c>
      <c r="O4" s="25" t="s">
        <v>24</v>
      </c>
      <c r="P4" s="25" t="s">
        <v>25</v>
      </c>
      <c r="Q4" s="25" t="s">
        <v>17</v>
      </c>
      <c r="R4" s="93" t="s">
        <v>22</v>
      </c>
      <c r="S4" s="26" t="s">
        <v>19</v>
      </c>
      <c r="T4" s="25" t="s">
        <v>26</v>
      </c>
      <c r="U4" s="105"/>
      <c r="V4" s="105"/>
    </row>
    <row r="5" spans="1:22" x14ac:dyDescent="0.25">
      <c r="A5" s="27">
        <v>45748</v>
      </c>
      <c r="B5" s="94">
        <v>4774.33</v>
      </c>
      <c r="C5" s="95">
        <v>10080</v>
      </c>
      <c r="D5" s="29">
        <f>C5*0.44</f>
        <v>4435.2</v>
      </c>
      <c r="E5" s="96">
        <f>B5-D5</f>
        <v>339.13000000000011</v>
      </c>
      <c r="F5" s="97">
        <f t="shared" ref="F5:F34" si="0">4468.66-D5</f>
        <v>33.460000000000036</v>
      </c>
      <c r="G5" s="95">
        <v>9120</v>
      </c>
      <c r="H5" s="98">
        <v>1438.83</v>
      </c>
      <c r="I5" s="99">
        <v>27375</v>
      </c>
      <c r="J5" s="32">
        <f t="shared" ref="J5:J35" si="1">I5*0.06</f>
        <v>1642.5</v>
      </c>
      <c r="K5" s="102">
        <f>H5-J5</f>
        <v>-203.67000000000007</v>
      </c>
      <c r="L5" s="103">
        <f t="shared" ref="L5:L34" si="2">1392.23-J5</f>
        <v>-250.26999999999998</v>
      </c>
      <c r="M5" s="99">
        <v>16584</v>
      </c>
      <c r="N5" s="100">
        <v>1246</v>
      </c>
      <c r="O5" s="34"/>
      <c r="P5" s="101">
        <v>629</v>
      </c>
      <c r="Q5" s="34">
        <f>P5*1.78</f>
        <v>1119.6200000000001</v>
      </c>
      <c r="R5" s="91">
        <f>N5-Q5</f>
        <v>126.37999999999988</v>
      </c>
      <c r="S5" s="104">
        <f t="shared" ref="S5:S34" si="3">1268.76-Q5</f>
        <v>149.13999999999987</v>
      </c>
      <c r="T5" s="101">
        <v>601</v>
      </c>
    </row>
    <row r="6" spans="1:22" x14ac:dyDescent="0.25">
      <c r="A6" s="27">
        <v>45749</v>
      </c>
      <c r="B6" s="94">
        <v>4774.33</v>
      </c>
      <c r="C6" s="95">
        <v>9600</v>
      </c>
      <c r="D6" s="29">
        <f t="shared" ref="D6:D35" si="4">C6*0.44</f>
        <v>4224</v>
      </c>
      <c r="E6" s="96">
        <f t="shared" ref="E6:E18" si="5">B6-D6</f>
        <v>550.32999999999993</v>
      </c>
      <c r="F6" s="97">
        <f t="shared" si="0"/>
        <v>244.65999999999985</v>
      </c>
      <c r="G6" s="95">
        <v>9600</v>
      </c>
      <c r="H6" s="98">
        <v>1438.83</v>
      </c>
      <c r="I6" s="99">
        <v>20148</v>
      </c>
      <c r="J6" s="32">
        <f t="shared" si="1"/>
        <v>1208.8799999999999</v>
      </c>
      <c r="K6" s="102">
        <f t="shared" ref="K6:K34" si="6">H6-J6</f>
        <v>229.95000000000005</v>
      </c>
      <c r="L6" s="103">
        <f t="shared" si="2"/>
        <v>183.35000000000014</v>
      </c>
      <c r="M6" s="99">
        <v>16485</v>
      </c>
      <c r="N6" s="100">
        <v>1246</v>
      </c>
      <c r="O6" s="36"/>
      <c r="P6" s="91">
        <v>638</v>
      </c>
      <c r="Q6" s="34">
        <f t="shared" ref="Q6:Q34" si="7">P6*1.78</f>
        <v>1135.6400000000001</v>
      </c>
      <c r="R6" s="91">
        <f t="shared" ref="R6:R34" si="8">N6-Q6</f>
        <v>110.3599999999999</v>
      </c>
      <c r="S6" s="104">
        <f t="shared" si="3"/>
        <v>133.11999999999989</v>
      </c>
      <c r="T6" s="91">
        <v>649</v>
      </c>
    </row>
    <row r="7" spans="1:22" x14ac:dyDescent="0.25">
      <c r="A7" s="27">
        <v>45750</v>
      </c>
      <c r="B7" s="94">
        <v>4774.33</v>
      </c>
      <c r="C7" s="95">
        <v>10080</v>
      </c>
      <c r="D7" s="29">
        <f t="shared" si="4"/>
        <v>4435.2</v>
      </c>
      <c r="E7" s="96">
        <f t="shared" si="5"/>
        <v>339.13000000000011</v>
      </c>
      <c r="F7" s="97">
        <f t="shared" si="0"/>
        <v>33.460000000000036</v>
      </c>
      <c r="G7" s="95">
        <v>8640</v>
      </c>
      <c r="H7" s="98">
        <v>1438.83</v>
      </c>
      <c r="I7" s="99">
        <v>26718</v>
      </c>
      <c r="J7" s="32">
        <f t="shared" si="1"/>
        <v>1603.08</v>
      </c>
      <c r="K7" s="102">
        <f t="shared" si="6"/>
        <v>-164.25</v>
      </c>
      <c r="L7" s="103">
        <f t="shared" si="2"/>
        <v>-210.84999999999991</v>
      </c>
      <c r="M7" s="99">
        <v>16206</v>
      </c>
      <c r="N7" s="100">
        <v>1246</v>
      </c>
      <c r="O7" s="36"/>
      <c r="P7" s="91">
        <v>644</v>
      </c>
      <c r="Q7" s="34">
        <f t="shared" si="7"/>
        <v>1146.32</v>
      </c>
      <c r="R7" s="91">
        <f t="shared" si="8"/>
        <v>99.680000000000064</v>
      </c>
      <c r="S7" s="104">
        <f t="shared" si="3"/>
        <v>122.44000000000005</v>
      </c>
      <c r="T7" s="91">
        <v>682</v>
      </c>
    </row>
    <row r="8" spans="1:22" x14ac:dyDescent="0.25">
      <c r="A8" s="27">
        <v>45751</v>
      </c>
      <c r="B8" s="94">
        <v>4774.33</v>
      </c>
      <c r="C8" s="95">
        <v>10560</v>
      </c>
      <c r="D8" s="29">
        <f t="shared" si="4"/>
        <v>4646.3999999999996</v>
      </c>
      <c r="E8" s="96">
        <f t="shared" si="5"/>
        <v>127.93000000000029</v>
      </c>
      <c r="F8" s="97">
        <f t="shared" si="0"/>
        <v>-177.73999999999978</v>
      </c>
      <c r="G8" s="95">
        <v>10560</v>
      </c>
      <c r="H8" s="98">
        <v>1438.83</v>
      </c>
      <c r="I8" s="99">
        <v>18834</v>
      </c>
      <c r="J8" s="32">
        <f t="shared" si="1"/>
        <v>1130.04</v>
      </c>
      <c r="K8" s="102">
        <f t="shared" si="6"/>
        <v>308.78999999999996</v>
      </c>
      <c r="L8" s="103">
        <f t="shared" si="2"/>
        <v>262.19000000000005</v>
      </c>
      <c r="M8" s="99">
        <v>23871</v>
      </c>
      <c r="N8" s="100">
        <v>1246</v>
      </c>
      <c r="O8" s="36"/>
      <c r="P8" s="91">
        <v>659</v>
      </c>
      <c r="Q8" s="34">
        <f t="shared" si="7"/>
        <v>1173.02</v>
      </c>
      <c r="R8" s="91">
        <f t="shared" si="8"/>
        <v>72.980000000000018</v>
      </c>
      <c r="S8" s="104">
        <f t="shared" si="3"/>
        <v>95.740000000000009</v>
      </c>
      <c r="T8" s="91">
        <v>715</v>
      </c>
    </row>
    <row r="9" spans="1:22" x14ac:dyDescent="0.25">
      <c r="A9" s="27">
        <v>45752</v>
      </c>
      <c r="B9" s="94">
        <v>4774.33</v>
      </c>
      <c r="C9" s="95">
        <v>11040</v>
      </c>
      <c r="D9" s="29">
        <f t="shared" si="4"/>
        <v>4857.6000000000004</v>
      </c>
      <c r="E9" s="96">
        <f t="shared" si="5"/>
        <v>-83.270000000000437</v>
      </c>
      <c r="F9" s="97">
        <f t="shared" si="0"/>
        <v>-388.94000000000051</v>
      </c>
      <c r="G9" s="95">
        <v>8640</v>
      </c>
      <c r="H9" s="98">
        <v>1438.83</v>
      </c>
      <c r="I9" s="99">
        <v>28689</v>
      </c>
      <c r="J9" s="32">
        <f t="shared" si="1"/>
        <v>1721.34</v>
      </c>
      <c r="K9" s="102">
        <f t="shared" si="6"/>
        <v>-282.51</v>
      </c>
      <c r="L9" s="103">
        <f t="shared" si="2"/>
        <v>-329.1099999999999</v>
      </c>
      <c r="M9" s="99">
        <v>18177</v>
      </c>
      <c r="N9" s="100">
        <v>1246</v>
      </c>
      <c r="O9" s="36"/>
      <c r="P9" s="91">
        <v>714</v>
      </c>
      <c r="Q9" s="34">
        <f t="shared" si="7"/>
        <v>1270.92</v>
      </c>
      <c r="R9" s="91">
        <f t="shared" si="8"/>
        <v>-24.920000000000073</v>
      </c>
      <c r="S9" s="104">
        <f t="shared" si="3"/>
        <v>-2.1600000000000819</v>
      </c>
      <c r="T9" s="91">
        <v>693</v>
      </c>
    </row>
    <row r="10" spans="1:22" x14ac:dyDescent="0.25">
      <c r="A10" s="27">
        <v>45753</v>
      </c>
      <c r="B10" s="94">
        <v>4774.33</v>
      </c>
      <c r="C10" s="95">
        <v>10080</v>
      </c>
      <c r="D10" s="29">
        <f t="shared" si="4"/>
        <v>4435.2</v>
      </c>
      <c r="E10" s="96">
        <f t="shared" si="5"/>
        <v>339.13000000000011</v>
      </c>
      <c r="F10" s="97">
        <f t="shared" si="0"/>
        <v>33.460000000000036</v>
      </c>
      <c r="G10" s="95">
        <v>10080</v>
      </c>
      <c r="H10" s="98">
        <v>1438.83</v>
      </c>
      <c r="I10" s="99">
        <v>18605</v>
      </c>
      <c r="J10" s="32">
        <f t="shared" si="1"/>
        <v>1116.3</v>
      </c>
      <c r="K10" s="102">
        <f t="shared" si="6"/>
        <v>322.52999999999997</v>
      </c>
      <c r="L10" s="103">
        <f t="shared" si="2"/>
        <v>275.93000000000006</v>
      </c>
      <c r="M10" s="99">
        <v>31755</v>
      </c>
      <c r="N10" s="100">
        <v>1246</v>
      </c>
      <c r="O10" s="36"/>
      <c r="P10" s="91">
        <v>685</v>
      </c>
      <c r="Q10" s="34">
        <f t="shared" si="7"/>
        <v>1219.3</v>
      </c>
      <c r="R10" s="91">
        <f t="shared" si="8"/>
        <v>26.700000000000045</v>
      </c>
      <c r="S10" s="104">
        <f t="shared" si="3"/>
        <v>49.460000000000036</v>
      </c>
      <c r="T10" s="91">
        <v>752.9</v>
      </c>
    </row>
    <row r="11" spans="1:22" x14ac:dyDescent="0.25">
      <c r="A11" s="27">
        <v>45754</v>
      </c>
      <c r="B11" s="94">
        <v>4774.33</v>
      </c>
      <c r="C11" s="95">
        <v>10560</v>
      </c>
      <c r="D11" s="29">
        <f t="shared" si="4"/>
        <v>4646.3999999999996</v>
      </c>
      <c r="E11" s="96">
        <f t="shared" si="5"/>
        <v>127.93000000000029</v>
      </c>
      <c r="F11" s="97">
        <f t="shared" si="0"/>
        <v>-177.73999999999978</v>
      </c>
      <c r="G11" s="95">
        <v>8640</v>
      </c>
      <c r="H11" s="98">
        <v>1438.83</v>
      </c>
      <c r="I11" s="99">
        <v>26718</v>
      </c>
      <c r="J11" s="32">
        <f t="shared" si="1"/>
        <v>1603.08</v>
      </c>
      <c r="K11" s="102">
        <f t="shared" si="6"/>
        <v>-164.25</v>
      </c>
      <c r="L11" s="103">
        <f t="shared" si="2"/>
        <v>-210.84999999999991</v>
      </c>
      <c r="M11" s="99">
        <v>16863</v>
      </c>
      <c r="N11" s="100">
        <v>1246</v>
      </c>
      <c r="O11" s="36"/>
      <c r="P11" s="91">
        <v>604</v>
      </c>
      <c r="Q11" s="34">
        <f t="shared" si="7"/>
        <v>1075.1200000000001</v>
      </c>
      <c r="R11" s="91">
        <f t="shared" si="8"/>
        <v>170.87999999999988</v>
      </c>
      <c r="S11" s="104">
        <f t="shared" si="3"/>
        <v>193.63999999999987</v>
      </c>
      <c r="T11" s="91">
        <v>589</v>
      </c>
    </row>
    <row r="12" spans="1:22" x14ac:dyDescent="0.25">
      <c r="A12" s="27">
        <v>45755</v>
      </c>
      <c r="B12" s="94">
        <v>4774.33</v>
      </c>
      <c r="C12" s="95">
        <v>10560</v>
      </c>
      <c r="D12" s="29">
        <f t="shared" si="4"/>
        <v>4646.3999999999996</v>
      </c>
      <c r="E12" s="96">
        <f t="shared" si="5"/>
        <v>127.93000000000029</v>
      </c>
      <c r="F12" s="97">
        <f t="shared" si="0"/>
        <v>-177.73999999999978</v>
      </c>
      <c r="G12" s="95">
        <v>10080</v>
      </c>
      <c r="H12" s="98">
        <v>1438.83</v>
      </c>
      <c r="I12" s="99">
        <v>17082</v>
      </c>
      <c r="J12" s="32">
        <f t="shared" si="1"/>
        <v>1024.92</v>
      </c>
      <c r="K12" s="102">
        <f t="shared" si="6"/>
        <v>413.90999999999985</v>
      </c>
      <c r="L12" s="103">
        <f t="shared" si="2"/>
        <v>367.30999999999995</v>
      </c>
      <c r="M12" s="99">
        <v>18615</v>
      </c>
      <c r="N12" s="100">
        <v>1246</v>
      </c>
      <c r="O12" s="36"/>
      <c r="P12" s="91">
        <v>654</v>
      </c>
      <c r="Q12" s="34">
        <f t="shared" si="7"/>
        <v>1164.1200000000001</v>
      </c>
      <c r="R12" s="91">
        <f t="shared" si="8"/>
        <v>81.879999999999882</v>
      </c>
      <c r="S12" s="104">
        <f t="shared" si="3"/>
        <v>104.63999999999987</v>
      </c>
      <c r="T12" s="91">
        <v>607</v>
      </c>
    </row>
    <row r="13" spans="1:22" x14ac:dyDescent="0.25">
      <c r="A13" s="27">
        <v>45756</v>
      </c>
      <c r="B13" s="94">
        <v>4774.33</v>
      </c>
      <c r="C13" s="95">
        <v>10080</v>
      </c>
      <c r="D13" s="29">
        <f t="shared" si="4"/>
        <v>4435.2</v>
      </c>
      <c r="E13" s="96">
        <f t="shared" si="5"/>
        <v>339.13000000000011</v>
      </c>
      <c r="F13" s="97">
        <f t="shared" si="0"/>
        <v>33.460000000000036</v>
      </c>
      <c r="G13" s="95">
        <v>9600</v>
      </c>
      <c r="H13" s="98">
        <v>1438.83</v>
      </c>
      <c r="I13" s="99">
        <v>18177</v>
      </c>
      <c r="J13" s="32">
        <f t="shared" si="1"/>
        <v>1090.6199999999999</v>
      </c>
      <c r="K13" s="102">
        <f t="shared" si="6"/>
        <v>348.21000000000004</v>
      </c>
      <c r="L13" s="103">
        <f t="shared" si="2"/>
        <v>301.61000000000013</v>
      </c>
      <c r="M13" s="99">
        <v>23652</v>
      </c>
      <c r="N13" s="100">
        <v>1246</v>
      </c>
      <c r="O13" s="36"/>
      <c r="P13" s="91">
        <v>628</v>
      </c>
      <c r="Q13" s="34">
        <f t="shared" si="7"/>
        <v>1117.8399999999999</v>
      </c>
      <c r="R13" s="91">
        <f t="shared" si="8"/>
        <v>128.16000000000008</v>
      </c>
      <c r="S13" s="104">
        <f t="shared" si="3"/>
        <v>150.92000000000007</v>
      </c>
      <c r="T13" s="91">
        <v>562</v>
      </c>
    </row>
    <row r="14" spans="1:22" x14ac:dyDescent="0.25">
      <c r="A14" s="27">
        <v>45757</v>
      </c>
      <c r="B14" s="94">
        <v>4774.33</v>
      </c>
      <c r="C14" s="95">
        <v>9600</v>
      </c>
      <c r="D14" s="29">
        <f t="shared" si="4"/>
        <v>4224</v>
      </c>
      <c r="E14" s="96">
        <f t="shared" si="5"/>
        <v>550.32999999999993</v>
      </c>
      <c r="F14" s="97">
        <f t="shared" si="0"/>
        <v>244.65999999999985</v>
      </c>
      <c r="G14" s="95">
        <v>10080</v>
      </c>
      <c r="H14" s="98">
        <v>1438.83</v>
      </c>
      <c r="I14" s="99">
        <v>19710</v>
      </c>
      <c r="J14" s="32">
        <f t="shared" si="1"/>
        <v>1182.5999999999999</v>
      </c>
      <c r="K14" s="102">
        <f t="shared" si="6"/>
        <v>256.23</v>
      </c>
      <c r="L14" s="103">
        <f t="shared" si="2"/>
        <v>209.63000000000011</v>
      </c>
      <c r="M14" s="99">
        <v>17301</v>
      </c>
      <c r="N14" s="100">
        <v>1246</v>
      </c>
      <c r="O14" s="36"/>
      <c r="P14" s="91">
        <v>652</v>
      </c>
      <c r="Q14" s="34">
        <f t="shared" si="7"/>
        <v>1160.56</v>
      </c>
      <c r="R14" s="91">
        <f t="shared" si="8"/>
        <v>85.440000000000055</v>
      </c>
      <c r="S14" s="104">
        <f t="shared" si="3"/>
        <v>108.20000000000005</v>
      </c>
      <c r="T14" s="91">
        <v>623</v>
      </c>
    </row>
    <row r="15" spans="1:22" x14ac:dyDescent="0.25">
      <c r="A15" s="27">
        <v>45758</v>
      </c>
      <c r="B15" s="94">
        <v>4774.33</v>
      </c>
      <c r="C15" s="95">
        <v>10560</v>
      </c>
      <c r="D15" s="29">
        <f t="shared" si="4"/>
        <v>4646.3999999999996</v>
      </c>
      <c r="E15" s="96">
        <f t="shared" si="5"/>
        <v>127.93000000000029</v>
      </c>
      <c r="F15" s="97">
        <f t="shared" si="0"/>
        <v>-177.73999999999978</v>
      </c>
      <c r="G15" s="95">
        <v>11520</v>
      </c>
      <c r="H15" s="98">
        <v>1438.83</v>
      </c>
      <c r="I15" s="89">
        <v>18177</v>
      </c>
      <c r="J15" s="32">
        <f t="shared" si="1"/>
        <v>1090.6199999999999</v>
      </c>
      <c r="K15" s="102">
        <f t="shared" si="6"/>
        <v>348.21000000000004</v>
      </c>
      <c r="L15" s="103">
        <f t="shared" si="2"/>
        <v>301.61000000000013</v>
      </c>
      <c r="M15" s="89">
        <v>27813</v>
      </c>
      <c r="N15" s="100">
        <v>1246</v>
      </c>
      <c r="O15" s="36"/>
      <c r="P15" s="91">
        <v>628</v>
      </c>
      <c r="Q15" s="34">
        <f t="shared" si="7"/>
        <v>1117.8399999999999</v>
      </c>
      <c r="R15" s="91">
        <f t="shared" si="8"/>
        <v>128.16000000000008</v>
      </c>
      <c r="S15" s="104">
        <f t="shared" si="3"/>
        <v>150.92000000000007</v>
      </c>
      <c r="T15" s="91">
        <v>623</v>
      </c>
    </row>
    <row r="16" spans="1:22" x14ac:dyDescent="0.25">
      <c r="A16" s="27">
        <v>45759</v>
      </c>
      <c r="B16" s="94">
        <v>4774.33</v>
      </c>
      <c r="C16" s="95">
        <v>11040</v>
      </c>
      <c r="D16" s="29">
        <f t="shared" si="4"/>
        <v>4857.6000000000004</v>
      </c>
      <c r="E16" s="96">
        <f t="shared" si="5"/>
        <v>-83.270000000000437</v>
      </c>
      <c r="F16" s="97">
        <f t="shared" si="0"/>
        <v>-388.94000000000051</v>
      </c>
      <c r="G16" s="95">
        <v>10560</v>
      </c>
      <c r="H16" s="98">
        <v>1438.83</v>
      </c>
      <c r="I16" s="89">
        <v>18615</v>
      </c>
      <c r="J16" s="32">
        <f t="shared" si="1"/>
        <v>1116.8999999999999</v>
      </c>
      <c r="K16" s="102">
        <f t="shared" si="6"/>
        <v>321.93000000000006</v>
      </c>
      <c r="L16" s="103">
        <f t="shared" si="2"/>
        <v>275.33000000000015</v>
      </c>
      <c r="M16" s="89">
        <v>16863</v>
      </c>
      <c r="N16" s="100">
        <v>1246</v>
      </c>
      <c r="O16" s="36"/>
      <c r="P16" s="91">
        <v>628</v>
      </c>
      <c r="Q16" s="34">
        <f t="shared" si="7"/>
        <v>1117.8399999999999</v>
      </c>
      <c r="R16" s="91">
        <f t="shared" si="8"/>
        <v>128.16000000000008</v>
      </c>
      <c r="S16" s="104">
        <f t="shared" si="3"/>
        <v>150.92000000000007</v>
      </c>
      <c r="T16" s="91">
        <v>627</v>
      </c>
    </row>
    <row r="17" spans="1:20" x14ac:dyDescent="0.25">
      <c r="A17" s="27">
        <v>45760</v>
      </c>
      <c r="B17" s="94">
        <v>4774.33</v>
      </c>
      <c r="C17" s="95">
        <v>10560</v>
      </c>
      <c r="D17" s="29">
        <f t="shared" si="4"/>
        <v>4646.3999999999996</v>
      </c>
      <c r="E17" s="96">
        <f t="shared" si="5"/>
        <v>127.93000000000029</v>
      </c>
      <c r="F17" s="97">
        <f t="shared" si="0"/>
        <v>-177.73999999999978</v>
      </c>
      <c r="G17" s="95">
        <v>10560</v>
      </c>
      <c r="H17" s="98">
        <v>1438.83</v>
      </c>
      <c r="I17" s="89">
        <v>28032</v>
      </c>
      <c r="J17" s="32">
        <f t="shared" si="1"/>
        <v>1681.9199999999998</v>
      </c>
      <c r="K17" s="102">
        <f t="shared" si="6"/>
        <v>-243.08999999999992</v>
      </c>
      <c r="L17" s="103">
        <f t="shared" si="2"/>
        <v>-289.68999999999983</v>
      </c>
      <c r="M17" s="89">
        <v>37011</v>
      </c>
      <c r="N17" s="100">
        <v>1246</v>
      </c>
      <c r="O17" s="36"/>
      <c r="P17" s="91">
        <v>614</v>
      </c>
      <c r="Q17" s="34">
        <f t="shared" si="7"/>
        <v>1092.92</v>
      </c>
      <c r="R17" s="91">
        <f t="shared" si="8"/>
        <v>153.07999999999993</v>
      </c>
      <c r="S17" s="104">
        <f t="shared" si="3"/>
        <v>175.83999999999992</v>
      </c>
      <c r="T17" s="91">
        <v>647</v>
      </c>
    </row>
    <row r="18" spans="1:20" x14ac:dyDescent="0.25">
      <c r="A18" s="27">
        <v>45761</v>
      </c>
      <c r="B18" s="94">
        <v>4774.33</v>
      </c>
      <c r="C18" s="95">
        <v>11520</v>
      </c>
      <c r="D18" s="29">
        <f t="shared" si="4"/>
        <v>5068.8</v>
      </c>
      <c r="E18" s="96">
        <f t="shared" si="5"/>
        <v>-294.47000000000025</v>
      </c>
      <c r="F18" s="97">
        <f t="shared" si="0"/>
        <v>-600.14000000000033</v>
      </c>
      <c r="G18" s="95">
        <v>10560</v>
      </c>
      <c r="H18" s="98">
        <v>1438.83</v>
      </c>
      <c r="I18" s="89">
        <v>19710</v>
      </c>
      <c r="J18" s="32">
        <f t="shared" si="1"/>
        <v>1182.5999999999999</v>
      </c>
      <c r="K18" s="102">
        <f t="shared" si="6"/>
        <v>256.23</v>
      </c>
      <c r="L18" s="103">
        <f t="shared" si="2"/>
        <v>209.63000000000011</v>
      </c>
      <c r="M18" s="89">
        <v>28689</v>
      </c>
      <c r="N18" s="100">
        <v>1246</v>
      </c>
      <c r="O18" s="36"/>
      <c r="P18" s="91">
        <v>585</v>
      </c>
      <c r="Q18" s="34">
        <f t="shared" si="7"/>
        <v>1041.3</v>
      </c>
      <c r="R18" s="91">
        <f t="shared" si="8"/>
        <v>204.70000000000005</v>
      </c>
      <c r="S18" s="104">
        <f t="shared" si="3"/>
        <v>227.46000000000004</v>
      </c>
      <c r="T18" s="91">
        <v>565</v>
      </c>
    </row>
    <row r="19" spans="1:20" x14ac:dyDescent="0.25">
      <c r="A19" s="27">
        <v>45762</v>
      </c>
      <c r="B19" s="94">
        <v>4774.33</v>
      </c>
      <c r="C19" s="95">
        <v>11040</v>
      </c>
      <c r="D19" s="29">
        <f t="shared" si="4"/>
        <v>4857.6000000000004</v>
      </c>
      <c r="E19" s="96">
        <f>B19-D19</f>
        <v>-83.270000000000437</v>
      </c>
      <c r="F19" s="97">
        <f t="shared" si="0"/>
        <v>-388.94000000000051</v>
      </c>
      <c r="G19" s="95">
        <v>10080</v>
      </c>
      <c r="H19" s="98">
        <v>1438.83</v>
      </c>
      <c r="I19" s="89">
        <v>21681</v>
      </c>
      <c r="J19" s="32">
        <f t="shared" si="1"/>
        <v>1300.8599999999999</v>
      </c>
      <c r="K19" s="102">
        <f t="shared" si="6"/>
        <v>137.97000000000003</v>
      </c>
      <c r="L19" s="103">
        <f t="shared" si="2"/>
        <v>91.370000000000118</v>
      </c>
      <c r="M19" s="89">
        <v>16644</v>
      </c>
      <c r="N19" s="100">
        <v>1246</v>
      </c>
      <c r="O19" s="36"/>
      <c r="P19" s="91">
        <v>472</v>
      </c>
      <c r="Q19" s="34">
        <f t="shared" si="7"/>
        <v>840.16</v>
      </c>
      <c r="R19" s="91">
        <f t="shared" si="8"/>
        <v>405.84000000000003</v>
      </c>
      <c r="S19" s="104">
        <f t="shared" si="3"/>
        <v>428.6</v>
      </c>
      <c r="T19" s="91">
        <v>585</v>
      </c>
    </row>
    <row r="20" spans="1:20" x14ac:dyDescent="0.25">
      <c r="A20" s="27">
        <v>45763</v>
      </c>
      <c r="B20" s="94">
        <v>4774.33</v>
      </c>
      <c r="C20" s="95">
        <v>10560</v>
      </c>
      <c r="D20" s="29">
        <f t="shared" si="4"/>
        <v>4646.3999999999996</v>
      </c>
      <c r="E20" s="96">
        <f t="shared" ref="E20:E34" si="9">B20-D20</f>
        <v>127.93000000000029</v>
      </c>
      <c r="F20" s="97">
        <f t="shared" si="0"/>
        <v>-177.73999999999978</v>
      </c>
      <c r="G20" s="95">
        <v>9120</v>
      </c>
      <c r="H20" s="98">
        <v>1438.83</v>
      </c>
      <c r="I20" s="89">
        <v>20805</v>
      </c>
      <c r="J20" s="32">
        <f t="shared" si="1"/>
        <v>1248.3</v>
      </c>
      <c r="K20" s="102">
        <f t="shared" si="6"/>
        <v>190.52999999999997</v>
      </c>
      <c r="L20" s="103">
        <f t="shared" si="2"/>
        <v>143.93000000000006</v>
      </c>
      <c r="M20" s="89">
        <v>23883</v>
      </c>
      <c r="N20" s="100">
        <v>1246</v>
      </c>
      <c r="O20" s="36"/>
      <c r="P20" s="91">
        <v>465</v>
      </c>
      <c r="Q20" s="34">
        <f t="shared" si="7"/>
        <v>827.7</v>
      </c>
      <c r="R20" s="91">
        <f t="shared" si="8"/>
        <v>418.29999999999995</v>
      </c>
      <c r="S20" s="104">
        <f t="shared" si="3"/>
        <v>441.05999999999995</v>
      </c>
      <c r="T20" s="91">
        <v>587</v>
      </c>
    </row>
    <row r="21" spans="1:20" x14ac:dyDescent="0.25">
      <c r="A21" s="27">
        <v>45764</v>
      </c>
      <c r="B21" s="94">
        <v>4774.33</v>
      </c>
      <c r="C21" s="95">
        <v>9600</v>
      </c>
      <c r="D21" s="29">
        <f t="shared" si="4"/>
        <v>4224</v>
      </c>
      <c r="E21" s="96">
        <f t="shared" si="9"/>
        <v>550.32999999999993</v>
      </c>
      <c r="F21" s="97">
        <f t="shared" si="0"/>
        <v>244.65999999999985</v>
      </c>
      <c r="G21" s="95">
        <v>10080</v>
      </c>
      <c r="H21" s="98">
        <v>1438.83</v>
      </c>
      <c r="I21" s="89">
        <v>17520</v>
      </c>
      <c r="J21" s="32">
        <f t="shared" si="1"/>
        <v>1051.2</v>
      </c>
      <c r="K21" s="102">
        <f t="shared" si="6"/>
        <v>387.62999999999988</v>
      </c>
      <c r="L21" s="103">
        <f t="shared" si="2"/>
        <v>341.03</v>
      </c>
      <c r="M21" s="89">
        <v>21450</v>
      </c>
      <c r="N21" s="100">
        <v>1246</v>
      </c>
      <c r="O21" s="36"/>
      <c r="P21" s="91">
        <v>455</v>
      </c>
      <c r="Q21" s="34">
        <f t="shared" si="7"/>
        <v>809.9</v>
      </c>
      <c r="R21" s="91">
        <f t="shared" si="8"/>
        <v>436.1</v>
      </c>
      <c r="S21" s="104">
        <f t="shared" si="3"/>
        <v>458.86</v>
      </c>
      <c r="T21" s="91">
        <v>633</v>
      </c>
    </row>
    <row r="22" spans="1:20" x14ac:dyDescent="0.25">
      <c r="A22" s="27">
        <v>45765</v>
      </c>
      <c r="B22" s="94">
        <v>4774.33</v>
      </c>
      <c r="C22" s="95">
        <v>10560</v>
      </c>
      <c r="D22" s="29">
        <f t="shared" si="4"/>
        <v>4646.3999999999996</v>
      </c>
      <c r="E22" s="96">
        <f t="shared" si="9"/>
        <v>127.93000000000029</v>
      </c>
      <c r="F22" s="97">
        <f t="shared" si="0"/>
        <v>-177.73999999999978</v>
      </c>
      <c r="G22" s="95">
        <v>9600</v>
      </c>
      <c r="H22" s="98">
        <v>1438.83</v>
      </c>
      <c r="I22" s="89">
        <v>15549</v>
      </c>
      <c r="J22" s="32">
        <f t="shared" si="1"/>
        <v>932.93999999999994</v>
      </c>
      <c r="K22" s="102">
        <f t="shared" si="6"/>
        <v>505.89</v>
      </c>
      <c r="L22" s="103">
        <f t="shared" si="2"/>
        <v>459.29000000000008</v>
      </c>
      <c r="M22" s="89">
        <v>17520</v>
      </c>
      <c r="N22" s="100">
        <v>1246</v>
      </c>
      <c r="O22" s="36"/>
      <c r="P22" s="91">
        <v>459</v>
      </c>
      <c r="Q22" s="34">
        <f t="shared" si="7"/>
        <v>817.02</v>
      </c>
      <c r="R22" s="91">
        <f t="shared" si="8"/>
        <v>428.98</v>
      </c>
      <c r="S22" s="104">
        <f t="shared" si="3"/>
        <v>451.74</v>
      </c>
      <c r="T22" s="91">
        <v>603</v>
      </c>
    </row>
    <row r="23" spans="1:20" x14ac:dyDescent="0.25">
      <c r="A23" s="27">
        <v>45766</v>
      </c>
      <c r="B23" s="94">
        <v>4774.33</v>
      </c>
      <c r="C23" s="95">
        <v>9120</v>
      </c>
      <c r="D23" s="29">
        <f t="shared" si="4"/>
        <v>4012.8</v>
      </c>
      <c r="E23" s="96">
        <f t="shared" si="9"/>
        <v>761.52999999999975</v>
      </c>
      <c r="F23" s="97">
        <f t="shared" si="0"/>
        <v>455.85999999999967</v>
      </c>
      <c r="G23" s="95">
        <v>10080</v>
      </c>
      <c r="H23" s="98">
        <v>1438.83</v>
      </c>
      <c r="I23" s="89">
        <v>17082</v>
      </c>
      <c r="J23" s="32">
        <f t="shared" si="1"/>
        <v>1024.92</v>
      </c>
      <c r="K23" s="102">
        <f t="shared" si="6"/>
        <v>413.90999999999985</v>
      </c>
      <c r="L23" s="103">
        <f t="shared" si="2"/>
        <v>367.30999999999995</v>
      </c>
      <c r="M23" s="89">
        <v>18615</v>
      </c>
      <c r="N23" s="100">
        <v>1246</v>
      </c>
      <c r="O23" s="36"/>
      <c r="P23" s="91">
        <v>445</v>
      </c>
      <c r="Q23" s="34">
        <f t="shared" si="7"/>
        <v>792.1</v>
      </c>
      <c r="R23" s="91">
        <f t="shared" si="8"/>
        <v>453.9</v>
      </c>
      <c r="S23" s="104">
        <f t="shared" si="3"/>
        <v>476.65999999999997</v>
      </c>
      <c r="T23" s="91">
        <v>627</v>
      </c>
    </row>
    <row r="24" spans="1:20" x14ac:dyDescent="0.25">
      <c r="A24" s="27">
        <v>45767</v>
      </c>
      <c r="B24" s="94">
        <v>4774.33</v>
      </c>
      <c r="C24" s="95">
        <v>9600</v>
      </c>
      <c r="D24" s="29">
        <f t="shared" si="4"/>
        <v>4224</v>
      </c>
      <c r="E24" s="96">
        <f t="shared" si="9"/>
        <v>550.32999999999993</v>
      </c>
      <c r="F24" s="97">
        <f t="shared" si="0"/>
        <v>244.65999999999985</v>
      </c>
      <c r="G24" s="95">
        <v>10080</v>
      </c>
      <c r="H24" s="98">
        <v>1438.83</v>
      </c>
      <c r="I24" s="89">
        <v>16644</v>
      </c>
      <c r="J24" s="32">
        <f t="shared" si="1"/>
        <v>998.64</v>
      </c>
      <c r="K24" s="102">
        <f t="shared" si="6"/>
        <v>440.18999999999994</v>
      </c>
      <c r="L24" s="103">
        <f t="shared" si="2"/>
        <v>393.59000000000003</v>
      </c>
      <c r="M24" s="89">
        <v>26499</v>
      </c>
      <c r="N24" s="100">
        <v>1246</v>
      </c>
      <c r="O24" s="36"/>
      <c r="P24" s="91">
        <v>496</v>
      </c>
      <c r="Q24" s="34">
        <f t="shared" si="7"/>
        <v>882.88</v>
      </c>
      <c r="R24" s="91">
        <f t="shared" si="8"/>
        <v>363.12</v>
      </c>
      <c r="S24" s="104">
        <f t="shared" si="3"/>
        <v>385.88</v>
      </c>
      <c r="T24" s="91">
        <v>597</v>
      </c>
    </row>
    <row r="25" spans="1:20" x14ac:dyDescent="0.25">
      <c r="A25" s="27">
        <v>45768</v>
      </c>
      <c r="B25" s="94">
        <v>4774.33</v>
      </c>
      <c r="C25" s="95">
        <v>9120</v>
      </c>
      <c r="D25" s="29">
        <f t="shared" si="4"/>
        <v>4012.8</v>
      </c>
      <c r="E25" s="96">
        <f t="shared" si="9"/>
        <v>761.52999999999975</v>
      </c>
      <c r="F25" s="97">
        <f t="shared" si="0"/>
        <v>455.85999999999967</v>
      </c>
      <c r="G25" s="95">
        <v>10080</v>
      </c>
      <c r="H25" s="98">
        <v>1438.83</v>
      </c>
      <c r="I25" s="89">
        <v>17301</v>
      </c>
      <c r="J25" s="32">
        <f t="shared" si="1"/>
        <v>1038.06</v>
      </c>
      <c r="K25" s="102">
        <f t="shared" si="6"/>
        <v>400.77</v>
      </c>
      <c r="L25" s="103">
        <f t="shared" si="2"/>
        <v>354.17000000000007</v>
      </c>
      <c r="M25" s="89">
        <v>17958</v>
      </c>
      <c r="N25" s="100">
        <v>1246</v>
      </c>
      <c r="O25" s="36"/>
      <c r="P25" s="91">
        <v>403</v>
      </c>
      <c r="Q25" s="34">
        <f t="shared" si="7"/>
        <v>717.34</v>
      </c>
      <c r="R25" s="91">
        <f t="shared" si="8"/>
        <v>528.66</v>
      </c>
      <c r="S25" s="104">
        <f t="shared" si="3"/>
        <v>551.41999999999996</v>
      </c>
      <c r="T25" s="91">
        <v>594</v>
      </c>
    </row>
    <row r="26" spans="1:20" x14ac:dyDescent="0.25">
      <c r="A26" s="27">
        <v>45769</v>
      </c>
      <c r="B26" s="94">
        <v>4774.33</v>
      </c>
      <c r="C26" s="95">
        <v>10560</v>
      </c>
      <c r="D26" s="29">
        <f t="shared" si="4"/>
        <v>4646.3999999999996</v>
      </c>
      <c r="E26" s="96">
        <f t="shared" si="9"/>
        <v>127.93000000000029</v>
      </c>
      <c r="F26" s="97">
        <f t="shared" si="0"/>
        <v>-177.73999999999978</v>
      </c>
      <c r="G26" s="95">
        <v>10560</v>
      </c>
      <c r="H26" s="98">
        <v>1438.83</v>
      </c>
      <c r="I26" s="89">
        <v>18177</v>
      </c>
      <c r="J26" s="32">
        <f t="shared" si="1"/>
        <v>1090.6199999999999</v>
      </c>
      <c r="K26" s="102">
        <f t="shared" si="6"/>
        <v>348.21000000000004</v>
      </c>
      <c r="L26" s="103">
        <f t="shared" si="2"/>
        <v>301.61000000000013</v>
      </c>
      <c r="M26" s="89">
        <v>17958</v>
      </c>
      <c r="N26" s="100">
        <v>1246</v>
      </c>
      <c r="O26" s="36"/>
      <c r="P26" s="91">
        <v>499</v>
      </c>
      <c r="Q26" s="34">
        <f t="shared" si="7"/>
        <v>888.22</v>
      </c>
      <c r="R26" s="91">
        <f t="shared" si="8"/>
        <v>357.78</v>
      </c>
      <c r="S26" s="104">
        <f t="shared" si="3"/>
        <v>380.53999999999996</v>
      </c>
      <c r="T26" s="91">
        <v>609</v>
      </c>
    </row>
    <row r="27" spans="1:20" x14ac:dyDescent="0.25">
      <c r="A27" s="27">
        <v>45770</v>
      </c>
      <c r="B27" s="94">
        <v>4774.33</v>
      </c>
      <c r="C27" s="95">
        <v>11040</v>
      </c>
      <c r="D27" s="29">
        <f t="shared" si="4"/>
        <v>4857.6000000000004</v>
      </c>
      <c r="E27" s="96">
        <f t="shared" si="9"/>
        <v>-83.270000000000437</v>
      </c>
      <c r="F27" s="97">
        <f t="shared" si="0"/>
        <v>-388.94000000000051</v>
      </c>
      <c r="G27" s="95">
        <v>11040</v>
      </c>
      <c r="H27" s="98">
        <v>1438.83</v>
      </c>
      <c r="I27" s="89">
        <v>17958</v>
      </c>
      <c r="J27" s="32">
        <f t="shared" si="1"/>
        <v>1077.48</v>
      </c>
      <c r="K27" s="102">
        <f t="shared" si="6"/>
        <v>361.34999999999991</v>
      </c>
      <c r="L27" s="103">
        <f t="shared" si="2"/>
        <v>314.75</v>
      </c>
      <c r="M27" s="89">
        <v>16644</v>
      </c>
      <c r="N27" s="100">
        <v>1246</v>
      </c>
      <c r="O27" s="36"/>
      <c r="P27" s="91">
        <v>462</v>
      </c>
      <c r="Q27" s="34">
        <f t="shared" si="7"/>
        <v>822.36</v>
      </c>
      <c r="R27" s="91">
        <f t="shared" si="8"/>
        <v>423.64</v>
      </c>
      <c r="S27" s="104">
        <f t="shared" si="3"/>
        <v>446.4</v>
      </c>
      <c r="T27" s="91">
        <v>583</v>
      </c>
    </row>
    <row r="28" spans="1:20" x14ac:dyDescent="0.25">
      <c r="A28" s="27">
        <v>45771</v>
      </c>
      <c r="B28" s="94">
        <v>4774.33</v>
      </c>
      <c r="C28" s="95">
        <v>10560</v>
      </c>
      <c r="D28" s="29">
        <f t="shared" si="4"/>
        <v>4646.3999999999996</v>
      </c>
      <c r="E28" s="96">
        <f t="shared" si="9"/>
        <v>127.93000000000029</v>
      </c>
      <c r="F28" s="97">
        <f t="shared" si="0"/>
        <v>-177.73999999999978</v>
      </c>
      <c r="G28" s="95">
        <v>11040</v>
      </c>
      <c r="H28" s="98">
        <v>1438.83</v>
      </c>
      <c r="I28" s="89">
        <v>16863</v>
      </c>
      <c r="J28" s="32">
        <f t="shared" si="1"/>
        <v>1011.78</v>
      </c>
      <c r="K28" s="102">
        <f t="shared" si="6"/>
        <v>427.04999999999995</v>
      </c>
      <c r="L28" s="103">
        <f t="shared" si="2"/>
        <v>380.45000000000005</v>
      </c>
      <c r="M28" s="89">
        <v>17082</v>
      </c>
      <c r="N28" s="100">
        <v>1246</v>
      </c>
      <c r="O28" s="36"/>
      <c r="P28" s="91">
        <v>406</v>
      </c>
      <c r="Q28" s="34">
        <f t="shared" si="7"/>
        <v>722.68000000000006</v>
      </c>
      <c r="R28" s="91">
        <f t="shared" si="8"/>
        <v>523.31999999999994</v>
      </c>
      <c r="S28" s="104">
        <f t="shared" si="3"/>
        <v>546.07999999999993</v>
      </c>
      <c r="T28" s="91">
        <v>667</v>
      </c>
    </row>
    <row r="29" spans="1:20" x14ac:dyDescent="0.25">
      <c r="A29" s="27">
        <v>45772</v>
      </c>
      <c r="B29" s="94">
        <v>4774.33</v>
      </c>
      <c r="C29" s="95">
        <v>9600</v>
      </c>
      <c r="D29" s="29">
        <f t="shared" si="4"/>
        <v>4224</v>
      </c>
      <c r="E29" s="96">
        <f t="shared" si="9"/>
        <v>550.32999999999993</v>
      </c>
      <c r="F29" s="97">
        <f t="shared" si="0"/>
        <v>244.65999999999985</v>
      </c>
      <c r="G29" s="95">
        <v>9600</v>
      </c>
      <c r="H29" s="98">
        <v>1438.83</v>
      </c>
      <c r="I29" s="89">
        <v>17742</v>
      </c>
      <c r="J29" s="32">
        <f t="shared" si="1"/>
        <v>1064.52</v>
      </c>
      <c r="K29" s="102">
        <f t="shared" si="6"/>
        <v>374.30999999999995</v>
      </c>
      <c r="L29" s="103">
        <f t="shared" si="2"/>
        <v>327.71000000000004</v>
      </c>
      <c r="M29" s="89">
        <v>20805</v>
      </c>
      <c r="N29" s="100">
        <v>1246</v>
      </c>
      <c r="O29" s="36"/>
      <c r="P29" s="91">
        <v>403</v>
      </c>
      <c r="Q29" s="34">
        <f t="shared" si="7"/>
        <v>717.34</v>
      </c>
      <c r="R29" s="91">
        <f t="shared" si="8"/>
        <v>528.66</v>
      </c>
      <c r="S29" s="104">
        <f t="shared" si="3"/>
        <v>551.41999999999996</v>
      </c>
      <c r="T29" s="91">
        <v>592</v>
      </c>
    </row>
    <row r="30" spans="1:20" x14ac:dyDescent="0.25">
      <c r="A30" s="27">
        <v>45773</v>
      </c>
      <c r="B30" s="94">
        <v>4774.33</v>
      </c>
      <c r="C30" s="95">
        <v>10080</v>
      </c>
      <c r="D30" s="29">
        <f t="shared" si="4"/>
        <v>4435.2</v>
      </c>
      <c r="E30" s="96">
        <f t="shared" si="9"/>
        <v>339.13000000000011</v>
      </c>
      <c r="F30" s="97">
        <f t="shared" si="0"/>
        <v>33.460000000000036</v>
      </c>
      <c r="G30" s="95">
        <v>11520</v>
      </c>
      <c r="H30" s="98">
        <v>1438.83</v>
      </c>
      <c r="I30" s="89">
        <v>17958</v>
      </c>
      <c r="J30" s="32">
        <f t="shared" si="1"/>
        <v>1077.48</v>
      </c>
      <c r="K30" s="102">
        <f t="shared" si="6"/>
        <v>361.34999999999991</v>
      </c>
      <c r="L30" s="103">
        <f t="shared" si="2"/>
        <v>314.75</v>
      </c>
      <c r="M30" s="89">
        <v>21900</v>
      </c>
      <c r="N30" s="100">
        <v>1246</v>
      </c>
      <c r="O30" s="36"/>
      <c r="P30" s="91">
        <v>526</v>
      </c>
      <c r="Q30" s="34">
        <f t="shared" si="7"/>
        <v>936.28</v>
      </c>
      <c r="R30" s="91">
        <f t="shared" si="8"/>
        <v>309.72000000000003</v>
      </c>
      <c r="S30" s="104">
        <f t="shared" si="3"/>
        <v>332.48</v>
      </c>
      <c r="T30" s="91">
        <v>640</v>
      </c>
    </row>
    <row r="31" spans="1:20" x14ac:dyDescent="0.25">
      <c r="A31" s="27">
        <v>45774</v>
      </c>
      <c r="B31" s="94">
        <v>4774.33</v>
      </c>
      <c r="C31" s="95">
        <v>11040</v>
      </c>
      <c r="D31" s="29">
        <f t="shared" si="4"/>
        <v>4857.6000000000004</v>
      </c>
      <c r="E31" s="96">
        <f t="shared" si="9"/>
        <v>-83.270000000000437</v>
      </c>
      <c r="F31" s="97">
        <f t="shared" si="0"/>
        <v>-388.94000000000051</v>
      </c>
      <c r="G31" s="95">
        <v>10560</v>
      </c>
      <c r="H31" s="98">
        <v>1438.83</v>
      </c>
      <c r="I31" s="89">
        <v>17301</v>
      </c>
      <c r="J31" s="32">
        <f t="shared" si="1"/>
        <v>1038.06</v>
      </c>
      <c r="K31" s="102">
        <f t="shared" si="6"/>
        <v>400.77</v>
      </c>
      <c r="L31" s="103">
        <f t="shared" si="2"/>
        <v>354.17000000000007</v>
      </c>
      <c r="M31" s="89">
        <v>16863</v>
      </c>
      <c r="N31" s="100">
        <v>1246</v>
      </c>
      <c r="O31" s="36"/>
      <c r="P31" s="91">
        <v>468</v>
      </c>
      <c r="Q31" s="34">
        <f t="shared" si="7"/>
        <v>833.04</v>
      </c>
      <c r="R31" s="91">
        <f t="shared" si="8"/>
        <v>412.96000000000004</v>
      </c>
      <c r="S31" s="104">
        <f t="shared" si="3"/>
        <v>435.72</v>
      </c>
      <c r="T31" s="91">
        <v>605</v>
      </c>
    </row>
    <row r="32" spans="1:20" x14ac:dyDescent="0.25">
      <c r="A32" s="27">
        <v>45775</v>
      </c>
      <c r="B32" s="94">
        <v>4774.33</v>
      </c>
      <c r="C32" s="95">
        <v>10560</v>
      </c>
      <c r="D32" s="29">
        <f t="shared" si="4"/>
        <v>4646.3999999999996</v>
      </c>
      <c r="E32" s="96">
        <f t="shared" si="9"/>
        <v>127.93000000000029</v>
      </c>
      <c r="F32" s="97">
        <f t="shared" si="0"/>
        <v>-177.73999999999978</v>
      </c>
      <c r="G32" s="95">
        <v>11520</v>
      </c>
      <c r="H32" s="98">
        <v>1438.83</v>
      </c>
      <c r="I32" s="89">
        <v>17301</v>
      </c>
      <c r="J32" s="32">
        <f t="shared" si="1"/>
        <v>1038.06</v>
      </c>
      <c r="K32" s="102">
        <f t="shared" si="6"/>
        <v>400.77</v>
      </c>
      <c r="L32" s="103">
        <f t="shared" si="2"/>
        <v>354.17000000000007</v>
      </c>
      <c r="M32" s="89">
        <v>16863</v>
      </c>
      <c r="N32" s="100">
        <v>1246</v>
      </c>
      <c r="O32" s="36"/>
      <c r="P32" s="91">
        <v>426</v>
      </c>
      <c r="Q32" s="34">
        <f t="shared" si="7"/>
        <v>758.28</v>
      </c>
      <c r="R32" s="91">
        <f t="shared" si="8"/>
        <v>487.72</v>
      </c>
      <c r="S32" s="104">
        <f t="shared" si="3"/>
        <v>510.48</v>
      </c>
      <c r="T32" s="91">
        <v>648</v>
      </c>
    </row>
    <row r="33" spans="1:20" x14ac:dyDescent="0.25">
      <c r="A33" s="27">
        <v>45776</v>
      </c>
      <c r="B33" s="94">
        <v>4774.33</v>
      </c>
      <c r="C33" s="28">
        <v>11520</v>
      </c>
      <c r="D33" s="29">
        <f t="shared" si="4"/>
        <v>5068.8</v>
      </c>
      <c r="E33" s="30">
        <f t="shared" si="9"/>
        <v>-294.47000000000025</v>
      </c>
      <c r="F33" s="31">
        <f t="shared" si="0"/>
        <v>-600.14000000000033</v>
      </c>
      <c r="G33" s="95">
        <v>11040</v>
      </c>
      <c r="H33" s="98">
        <v>1438.83</v>
      </c>
      <c r="I33" s="90">
        <v>18615</v>
      </c>
      <c r="J33" s="32">
        <f t="shared" si="1"/>
        <v>1116.8999999999999</v>
      </c>
      <c r="K33" s="32">
        <f t="shared" si="6"/>
        <v>321.93000000000006</v>
      </c>
      <c r="L33" s="33">
        <f t="shared" si="2"/>
        <v>275.33000000000015</v>
      </c>
      <c r="M33" s="90">
        <v>26061</v>
      </c>
      <c r="N33" s="100">
        <v>1246</v>
      </c>
      <c r="O33" s="36"/>
      <c r="P33" s="92">
        <v>458</v>
      </c>
      <c r="Q33" s="34">
        <f t="shared" si="7"/>
        <v>815.24</v>
      </c>
      <c r="R33" s="36">
        <f t="shared" si="8"/>
        <v>430.76</v>
      </c>
      <c r="S33" s="35">
        <f t="shared" si="3"/>
        <v>453.52</v>
      </c>
      <c r="T33" s="92">
        <v>651</v>
      </c>
    </row>
    <row r="34" spans="1:20" x14ac:dyDescent="0.25">
      <c r="A34" s="27">
        <v>45777</v>
      </c>
      <c r="B34" s="94">
        <v>4774.33</v>
      </c>
      <c r="C34" s="28">
        <v>11520</v>
      </c>
      <c r="D34" s="29">
        <f t="shared" si="4"/>
        <v>5068.8</v>
      </c>
      <c r="E34" s="30">
        <f t="shared" si="9"/>
        <v>-294.47000000000025</v>
      </c>
      <c r="F34" s="31">
        <f t="shared" si="0"/>
        <v>-600.14000000000033</v>
      </c>
      <c r="G34" s="95">
        <v>11040</v>
      </c>
      <c r="H34" s="98">
        <v>1438.83</v>
      </c>
      <c r="I34" s="90">
        <v>17301</v>
      </c>
      <c r="J34" s="32">
        <f t="shared" si="1"/>
        <v>1038.06</v>
      </c>
      <c r="K34" s="32">
        <f t="shared" si="6"/>
        <v>400.77</v>
      </c>
      <c r="L34" s="33">
        <f t="shared" si="2"/>
        <v>354.17000000000007</v>
      </c>
      <c r="M34" s="90">
        <v>15768</v>
      </c>
      <c r="N34" s="100">
        <v>1246</v>
      </c>
      <c r="O34" s="37"/>
      <c r="P34" s="92">
        <v>447</v>
      </c>
      <c r="Q34" s="34">
        <f t="shared" si="7"/>
        <v>795.66</v>
      </c>
      <c r="R34" s="36">
        <f t="shared" si="8"/>
        <v>450.34000000000003</v>
      </c>
      <c r="S34" s="35">
        <f t="shared" si="3"/>
        <v>473.1</v>
      </c>
      <c r="T34" s="92">
        <v>608</v>
      </c>
    </row>
    <row r="35" spans="1:20" ht="15.75" thickBot="1" x14ac:dyDescent="0.3">
      <c r="A35" s="38"/>
      <c r="B35" s="39"/>
      <c r="C35" s="40">
        <f>SUM(C5:C34)</f>
        <v>312000</v>
      </c>
      <c r="D35" s="29">
        <f t="shared" si="4"/>
        <v>137280</v>
      </c>
      <c r="E35" s="41"/>
      <c r="F35" s="41"/>
      <c r="G35" s="40">
        <f>SUM(G5:G34)</f>
        <v>305280</v>
      </c>
      <c r="H35" s="42"/>
      <c r="I35" s="30">
        <f>SUM(I5:I34)</f>
        <v>592388</v>
      </c>
      <c r="J35" s="32">
        <f t="shared" si="1"/>
        <v>35543.279999999999</v>
      </c>
      <c r="K35" s="32"/>
      <c r="L35" s="43"/>
      <c r="M35" s="44">
        <f>SUM(M5:M34)</f>
        <v>622398</v>
      </c>
      <c r="N35" s="36"/>
      <c r="O35" s="37"/>
      <c r="P35" s="30">
        <f>SUM(P5:P34)</f>
        <v>16252</v>
      </c>
      <c r="Q35" s="34">
        <f t="shared" ref="Q35" si="10">P35*1.84</f>
        <v>29903.68</v>
      </c>
      <c r="R35" s="36"/>
      <c r="S35" s="45"/>
      <c r="T35" s="30">
        <f>SUM(T5:T34)</f>
        <v>18764.900000000001</v>
      </c>
    </row>
    <row r="36" spans="1:20" ht="24" thickBot="1" x14ac:dyDescent="0.3">
      <c r="A36" s="46"/>
      <c r="B36" s="133" t="s">
        <v>27</v>
      </c>
      <c r="C36" s="134"/>
      <c r="D36" s="134"/>
      <c r="E36" s="47">
        <f>SUM(E5:E34)</f>
        <v>5949.9</v>
      </c>
      <c r="F36" s="48">
        <f>SUM(F5:F34)</f>
        <v>-3220.2000000000025</v>
      </c>
      <c r="G36" s="49"/>
      <c r="H36" s="135" t="s">
        <v>28</v>
      </c>
      <c r="I36" s="136"/>
      <c r="J36" s="137"/>
      <c r="K36" s="50">
        <f>SUM(K5:K34)</f>
        <v>7621.6200000000026</v>
      </c>
      <c r="L36" s="50">
        <f>SUM(L5:L34)</f>
        <v>6223.6200000000017</v>
      </c>
      <c r="M36" s="51"/>
      <c r="N36" s="138" t="s">
        <v>29</v>
      </c>
      <c r="O36" s="139"/>
      <c r="P36" s="139"/>
      <c r="Q36" s="140"/>
      <c r="R36" s="52">
        <f>SUM(R5:R34)</f>
        <v>8451.44</v>
      </c>
      <c r="S36" s="53">
        <f>SUM(S5:S34)</f>
        <v>9134.2400000000016</v>
      </c>
      <c r="T36" s="54"/>
    </row>
    <row r="37" spans="1:20" ht="28.5" x14ac:dyDescent="0.45">
      <c r="A37" s="55"/>
      <c r="B37" s="56"/>
      <c r="C37" s="55">
        <v>136578</v>
      </c>
      <c r="D37" s="56">
        <f>SUM(D5:D34)</f>
        <v>137279.99999999997</v>
      </c>
      <c r="E37" s="57"/>
      <c r="F37" s="56"/>
      <c r="G37" s="56"/>
      <c r="H37" s="55"/>
      <c r="I37" s="55">
        <f>SUM(I5:I34)</f>
        <v>592388</v>
      </c>
      <c r="J37" s="55">
        <f>SUM(J5:J34)</f>
        <v>35543.279999999992</v>
      </c>
      <c r="K37" s="58"/>
      <c r="L37" s="55"/>
      <c r="M37" s="59"/>
      <c r="N37" s="55"/>
      <c r="P37" s="15">
        <f>SUM(P5:P34)</f>
        <v>16252</v>
      </c>
      <c r="Q37" s="45">
        <f>SUM(Q5:Q34)</f>
        <v>28928.560000000005</v>
      </c>
      <c r="R37" s="60"/>
    </row>
    <row r="38" spans="1:20" ht="28.5" x14ac:dyDescent="0.45">
      <c r="C38" s="141" t="s">
        <v>30</v>
      </c>
      <c r="D38" s="61" t="s">
        <v>31</v>
      </c>
      <c r="E38" s="60"/>
      <c r="F38" s="62"/>
      <c r="I38" s="15">
        <f>I37/220</f>
        <v>2692.6727272727271</v>
      </c>
      <c r="K38" s="63"/>
      <c r="L38" s="60"/>
    </row>
    <row r="39" spans="1:20" ht="19.5" thickBot="1" x14ac:dyDescent="0.35">
      <c r="C39" s="141"/>
      <c r="D39" s="61" t="s">
        <v>32</v>
      </c>
      <c r="H39" s="15" t="s">
        <v>33</v>
      </c>
    </row>
    <row r="40" spans="1:20" ht="17.25" thickTop="1" thickBot="1" x14ac:dyDescent="0.3">
      <c r="A40" s="142" t="s">
        <v>34</v>
      </c>
      <c r="B40" s="143"/>
      <c r="I40" s="144" t="s">
        <v>35</v>
      </c>
      <c r="J40" s="144"/>
      <c r="P40" s="64" t="s">
        <v>14</v>
      </c>
      <c r="Q40" s="65" t="s">
        <v>36</v>
      </c>
    </row>
    <row r="41" spans="1:20" ht="20.25" thickTop="1" thickBot="1" x14ac:dyDescent="0.35">
      <c r="A41" s="66" t="s">
        <v>37</v>
      </c>
      <c r="B41" s="67">
        <f>SUM(C5:C34)</f>
        <v>312000</v>
      </c>
      <c r="I41" s="66" t="s">
        <v>37</v>
      </c>
      <c r="J41" s="67">
        <f>SUM(I5:I34)</f>
        <v>592388</v>
      </c>
      <c r="K41" s="130" t="s">
        <v>38</v>
      </c>
      <c r="L41" s="131"/>
      <c r="M41" s="132"/>
      <c r="P41" s="66" t="s">
        <v>37</v>
      </c>
      <c r="Q41" s="67">
        <f>SUM(P5:P33)</f>
        <v>15805</v>
      </c>
    </row>
    <row r="42" spans="1:20" ht="19.5" thickTop="1" x14ac:dyDescent="0.3">
      <c r="A42" s="68" t="s">
        <v>39</v>
      </c>
      <c r="B42" s="69">
        <v>10333.33</v>
      </c>
      <c r="I42" s="68" t="s">
        <v>39</v>
      </c>
      <c r="J42" s="69">
        <v>22000</v>
      </c>
      <c r="K42" s="70"/>
      <c r="L42" s="71" t="s">
        <v>0</v>
      </c>
      <c r="M42" s="72" t="s">
        <v>40</v>
      </c>
      <c r="N42" s="72"/>
      <c r="P42" s="68" t="s">
        <v>39</v>
      </c>
      <c r="Q42" s="69">
        <v>725</v>
      </c>
    </row>
    <row r="43" spans="1:20" ht="18.75" x14ac:dyDescent="0.3">
      <c r="A43" s="73" t="s">
        <v>41</v>
      </c>
      <c r="B43" s="74">
        <f>B42*30</f>
        <v>309999.90000000002</v>
      </c>
      <c r="I43" s="73" t="s">
        <v>41</v>
      </c>
      <c r="J43" s="74">
        <f>J42*30</f>
        <v>660000</v>
      </c>
      <c r="K43" s="75" t="s">
        <v>42</v>
      </c>
      <c r="L43" s="76">
        <v>0.754</v>
      </c>
      <c r="M43" s="77">
        <v>0.83</v>
      </c>
      <c r="N43" s="78"/>
      <c r="P43" s="73" t="s">
        <v>41</v>
      </c>
      <c r="Q43" s="74">
        <f>Q42*30</f>
        <v>21750</v>
      </c>
    </row>
    <row r="44" spans="1:20" ht="18.75" x14ac:dyDescent="0.3">
      <c r="A44" s="73" t="s">
        <v>43</v>
      </c>
      <c r="B44" s="74">
        <f>B43-B41</f>
        <v>-2000.0999999999767</v>
      </c>
      <c r="I44" s="73" t="s">
        <v>43</v>
      </c>
      <c r="J44" s="74">
        <f>J43-J41</f>
        <v>67612</v>
      </c>
      <c r="K44" s="75" t="s">
        <v>44</v>
      </c>
      <c r="L44" s="76">
        <v>0.82199999999999995</v>
      </c>
      <c r="M44" s="76"/>
      <c r="N44" s="78"/>
      <c r="P44" s="79" t="s">
        <v>43</v>
      </c>
      <c r="Q44" s="74">
        <f>Q43-Q41</f>
        <v>5945</v>
      </c>
    </row>
    <row r="45" spans="1:20" ht="18.75" x14ac:dyDescent="0.3">
      <c r="K45" s="75" t="s">
        <v>34</v>
      </c>
      <c r="L45" s="80">
        <f>F36</f>
        <v>-3220.2000000000025</v>
      </c>
      <c r="M45" s="81">
        <f>E36</f>
        <v>5949.9</v>
      </c>
      <c r="N45" s="82"/>
    </row>
    <row r="46" spans="1:20" ht="18.75" x14ac:dyDescent="0.3">
      <c r="K46" s="75" t="s">
        <v>45</v>
      </c>
      <c r="L46" s="80">
        <f>L36</f>
        <v>6223.6200000000017</v>
      </c>
      <c r="M46" s="81">
        <f>K36</f>
        <v>7621.6200000000026</v>
      </c>
      <c r="N46" s="82"/>
    </row>
    <row r="47" spans="1:20" ht="19.5" thickBot="1" x14ac:dyDescent="0.35">
      <c r="K47" s="83" t="s">
        <v>14</v>
      </c>
      <c r="L47" s="84">
        <f>S36</f>
        <v>9134.2400000000016</v>
      </c>
      <c r="M47" s="85">
        <f>R36</f>
        <v>8451.44</v>
      </c>
      <c r="N47" s="82"/>
    </row>
    <row r="48" spans="1:20" ht="19.5" thickBot="1" x14ac:dyDescent="0.35">
      <c r="K48" s="86" t="s">
        <v>46</v>
      </c>
      <c r="L48" s="87">
        <f>SUM(L45:L47)</f>
        <v>12137.66</v>
      </c>
      <c r="M48" s="88">
        <f>SUM(M45:M47)</f>
        <v>22022.960000000003</v>
      </c>
      <c r="N48" s="82"/>
    </row>
  </sheetData>
  <mergeCells count="13">
    <mergeCell ref="K41:M41"/>
    <mergeCell ref="B36:D36"/>
    <mergeCell ref="H36:J36"/>
    <mergeCell ref="N36:Q36"/>
    <mergeCell ref="C38:C39"/>
    <mergeCell ref="A40:B40"/>
    <mergeCell ref="I40:J40"/>
    <mergeCell ref="U4:V4"/>
    <mergeCell ref="A1:T1"/>
    <mergeCell ref="A2:A4"/>
    <mergeCell ref="B2:G3"/>
    <mergeCell ref="H2:M3"/>
    <mergeCell ref="N2:T3"/>
  </mergeCells>
  <pageMargins left="0.7" right="0.7" top="0.75" bottom="0.75" header="0.3" footer="0.3"/>
  <pageSetup paperSize="9" orientation="portrait" verticalDpi="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April-25</vt:lpstr>
    </vt:vector>
  </TitlesOfParts>
  <Manager/>
  <Company>Rotana Hotels Co.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T.Elserougi</dc:creator>
  <cp:keywords/>
  <dc:description/>
  <cp:lastModifiedBy>Prashanth Dsouza</cp:lastModifiedBy>
  <cp:revision/>
  <dcterms:created xsi:type="dcterms:W3CDTF">2006-04-11T08:27:10Z</dcterms:created>
  <dcterms:modified xsi:type="dcterms:W3CDTF">2025-05-11T08:24:37Z</dcterms:modified>
  <cp:category/>
  <cp:contentStatus/>
</cp:coreProperties>
</file>