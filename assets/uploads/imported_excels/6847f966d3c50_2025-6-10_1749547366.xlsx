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6E50905E-E32D-4B4F-9B1F-3057BD8D9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y 2025" sheetId="1" r:id="rId1"/>
    <sheet name="Daily Consumption" sheetId="4" r:id="rId2"/>
  </sheets>
  <definedNames>
    <definedName name="_xlnm.Print_Area" localSheetId="0">'May 2025'!$A$1:$AN$44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26" i="1" l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8" i="1"/>
  <c r="AE29" i="1"/>
  <c r="AE30" i="1"/>
  <c r="AE31" i="1"/>
  <c r="AE32" i="1"/>
  <c r="AE33" i="1"/>
  <c r="AE34" i="1"/>
  <c r="AE35" i="1"/>
  <c r="AE5" i="1"/>
  <c r="Z36" i="1" l="1"/>
  <c r="G57" i="1"/>
  <c r="G56" i="1"/>
  <c r="G55" i="1"/>
  <c r="G54" i="1"/>
  <c r="G50" i="1"/>
  <c r="G49" i="1"/>
  <c r="G47" i="1"/>
  <c r="AA42" i="1" l="1"/>
  <c r="AL35" i="1"/>
  <c r="AK35" i="1"/>
  <c r="AH35" i="1"/>
  <c r="AF35" i="1"/>
  <c r="AG35" i="1" s="1"/>
  <c r="AI35" i="1" s="1"/>
  <c r="AA35" i="1"/>
  <c r="AB35" i="1" s="1"/>
  <c r="X35" i="1"/>
  <c r="Y35" i="1" s="1"/>
  <c r="W35" i="1"/>
  <c r="U35" i="1"/>
  <c r="Q35" i="1"/>
  <c r="P35" i="1"/>
  <c r="M35" i="1"/>
  <c r="N35" i="1" s="1"/>
  <c r="K35" i="1"/>
  <c r="H35" i="1"/>
  <c r="I35" i="1" s="1"/>
  <c r="E35" i="1"/>
  <c r="F35" i="1" s="1"/>
  <c r="C35" i="1"/>
  <c r="R35" i="1" s="1"/>
  <c r="S35" i="1" s="1"/>
  <c r="AL34" i="1"/>
  <c r="AK34" i="1"/>
  <c r="AH34" i="1"/>
  <c r="AF34" i="1"/>
  <c r="AG34" i="1" s="1"/>
  <c r="AI34" i="1" s="1"/>
  <c r="AA34" i="1"/>
  <c r="AB34" i="1" s="1"/>
  <c r="W34" i="1"/>
  <c r="U34" i="1"/>
  <c r="X34" i="1" s="1"/>
  <c r="Y34" i="1" s="1"/>
  <c r="P34" i="1"/>
  <c r="Q34" i="1" s="1"/>
  <c r="M34" i="1"/>
  <c r="N34" i="1" s="1"/>
  <c r="K34" i="1"/>
  <c r="H34" i="1"/>
  <c r="I34" i="1" s="1"/>
  <c r="E34" i="1"/>
  <c r="F34" i="1" s="1"/>
  <c r="C34" i="1"/>
  <c r="R34" i="1" s="1"/>
  <c r="S34" i="1" s="1"/>
  <c r="AK32" i="1" l="1"/>
  <c r="AL32" i="1" s="1"/>
  <c r="AH32" i="1"/>
  <c r="AF32" i="1"/>
  <c r="AG32" i="1" s="1"/>
  <c r="AI32" i="1" s="1"/>
  <c r="AB32" i="1"/>
  <c r="AA32" i="1"/>
  <c r="W32" i="1"/>
  <c r="U32" i="1"/>
  <c r="X32" i="1" s="1"/>
  <c r="Y32" i="1" s="1"/>
  <c r="P32" i="1"/>
  <c r="Q32" i="1" s="1"/>
  <c r="M32" i="1"/>
  <c r="N32" i="1" s="1"/>
  <c r="K32" i="1"/>
  <c r="H32" i="1"/>
  <c r="I32" i="1" s="1"/>
  <c r="E32" i="1"/>
  <c r="F32" i="1" s="1"/>
  <c r="C32" i="1"/>
  <c r="R32" i="1" s="1"/>
  <c r="S32" i="1" s="1"/>
  <c r="AL31" i="1"/>
  <c r="AK31" i="1"/>
  <c r="AH31" i="1"/>
  <c r="AF31" i="1"/>
  <c r="AG31" i="1" s="1"/>
  <c r="AI31" i="1" s="1"/>
  <c r="AA31" i="1"/>
  <c r="AB31" i="1" s="1"/>
  <c r="W31" i="1"/>
  <c r="U31" i="1"/>
  <c r="X31" i="1" s="1"/>
  <c r="Y31" i="1" s="1"/>
  <c r="P31" i="1"/>
  <c r="Q31" i="1" s="1"/>
  <c r="M31" i="1"/>
  <c r="N31" i="1" s="1"/>
  <c r="K31" i="1"/>
  <c r="I31" i="1"/>
  <c r="H31" i="1"/>
  <c r="E31" i="1"/>
  <c r="F31" i="1" s="1"/>
  <c r="C31" i="1"/>
  <c r="R31" i="1" s="1"/>
  <c r="S31" i="1" s="1"/>
  <c r="AL30" i="1"/>
  <c r="AK30" i="1"/>
  <c r="AH30" i="1"/>
  <c r="AF30" i="1"/>
  <c r="AG30" i="1" s="1"/>
  <c r="AI30" i="1" s="1"/>
  <c r="AA30" i="1"/>
  <c r="AB30" i="1" s="1"/>
  <c r="W30" i="1"/>
  <c r="U30" i="1"/>
  <c r="X30" i="1" s="1"/>
  <c r="Y30" i="1" s="1"/>
  <c r="P30" i="1"/>
  <c r="Q30" i="1" s="1"/>
  <c r="M30" i="1"/>
  <c r="N30" i="1" s="1"/>
  <c r="K30" i="1"/>
  <c r="H30" i="1"/>
  <c r="I30" i="1" s="1"/>
  <c r="E30" i="1"/>
  <c r="F30" i="1" s="1"/>
  <c r="R30" i="1" s="1"/>
  <c r="S30" i="1" s="1"/>
  <c r="C30" i="1"/>
  <c r="AK29" i="1" l="1"/>
  <c r="AL29" i="1" s="1"/>
  <c r="AH29" i="1"/>
  <c r="AF29" i="1"/>
  <c r="AG29" i="1" s="1"/>
  <c r="AI29" i="1" s="1"/>
  <c r="AA29" i="1"/>
  <c r="AB29" i="1" s="1"/>
  <c r="W29" i="1"/>
  <c r="U29" i="1"/>
  <c r="X29" i="1" s="1"/>
  <c r="Y29" i="1" s="1"/>
  <c r="P29" i="1"/>
  <c r="Q29" i="1" s="1"/>
  <c r="M29" i="1"/>
  <c r="N29" i="1" s="1"/>
  <c r="K29" i="1"/>
  <c r="H29" i="1"/>
  <c r="I29" i="1" s="1"/>
  <c r="E29" i="1"/>
  <c r="F29" i="1" s="1"/>
  <c r="C29" i="1"/>
  <c r="R29" i="1" s="1"/>
  <c r="S29" i="1" s="1"/>
  <c r="AK28" i="1"/>
  <c r="AL28" i="1" s="1"/>
  <c r="AH28" i="1"/>
  <c r="AF28" i="1"/>
  <c r="AG28" i="1" s="1"/>
  <c r="AI28" i="1" s="1"/>
  <c r="AA28" i="1"/>
  <c r="AB28" i="1" s="1"/>
  <c r="W28" i="1"/>
  <c r="U28" i="1"/>
  <c r="X28" i="1" s="1"/>
  <c r="Y28" i="1" s="1"/>
  <c r="P28" i="1"/>
  <c r="Q28" i="1" s="1"/>
  <c r="N28" i="1"/>
  <c r="K28" i="1"/>
  <c r="H28" i="1"/>
  <c r="I28" i="1" s="1"/>
  <c r="E28" i="1"/>
  <c r="F28" i="1" s="1"/>
  <c r="C28" i="1"/>
  <c r="R28" i="1" s="1"/>
  <c r="S28" i="1" s="1"/>
  <c r="AK27" i="1"/>
  <c r="AL27" i="1" s="1"/>
  <c r="AE27" i="1" s="1"/>
  <c r="AF27" i="1" s="1"/>
  <c r="AG27" i="1" s="1"/>
  <c r="AI27" i="1" s="1"/>
  <c r="AH27" i="1"/>
  <c r="AA27" i="1"/>
  <c r="AB27" i="1" s="1"/>
  <c r="W27" i="1"/>
  <c r="U27" i="1"/>
  <c r="X27" i="1" s="1"/>
  <c r="Y27" i="1" s="1"/>
  <c r="P27" i="1"/>
  <c r="Q27" i="1" s="1"/>
  <c r="M27" i="1"/>
  <c r="N27" i="1" s="1"/>
  <c r="K27" i="1"/>
  <c r="H27" i="1"/>
  <c r="I27" i="1" s="1"/>
  <c r="E27" i="1"/>
  <c r="F27" i="1" s="1"/>
  <c r="C27" i="1"/>
  <c r="AK24" i="1"/>
  <c r="AL24" i="1" s="1"/>
  <c r="AH24" i="1"/>
  <c r="AF24" i="1"/>
  <c r="AG24" i="1" s="1"/>
  <c r="AI24" i="1" s="1"/>
  <c r="AA24" i="1"/>
  <c r="AB24" i="1" s="1"/>
  <c r="W24" i="1"/>
  <c r="U24" i="1"/>
  <c r="X24" i="1" s="1"/>
  <c r="Y24" i="1" s="1"/>
  <c r="Q24" i="1"/>
  <c r="P24" i="1"/>
  <c r="M24" i="1"/>
  <c r="N24" i="1" s="1"/>
  <c r="K24" i="1"/>
  <c r="H24" i="1"/>
  <c r="I24" i="1" s="1"/>
  <c r="E24" i="1"/>
  <c r="F24" i="1" s="1"/>
  <c r="C24" i="1"/>
  <c r="R24" i="1" s="1"/>
  <c r="S24" i="1" s="1"/>
  <c r="AL23" i="1"/>
  <c r="AK23" i="1"/>
  <c r="AH23" i="1"/>
  <c r="AF23" i="1"/>
  <c r="AG23" i="1" s="1"/>
  <c r="AI23" i="1" s="1"/>
  <c r="AA23" i="1"/>
  <c r="AB23" i="1" s="1"/>
  <c r="X23" i="1"/>
  <c r="Y23" i="1" s="1"/>
  <c r="W23" i="1"/>
  <c r="U23" i="1"/>
  <c r="P23" i="1"/>
  <c r="Q23" i="1" s="1"/>
  <c r="M23" i="1"/>
  <c r="N23" i="1" s="1"/>
  <c r="K23" i="1"/>
  <c r="I23" i="1"/>
  <c r="H23" i="1"/>
  <c r="E23" i="1"/>
  <c r="F23" i="1" s="1"/>
  <c r="C23" i="1"/>
  <c r="R23" i="1" s="1"/>
  <c r="S23" i="1" s="1"/>
  <c r="AK21" i="1"/>
  <c r="AL21" i="1" s="1"/>
  <c r="AH21" i="1"/>
  <c r="AF21" i="1"/>
  <c r="AG21" i="1" s="1"/>
  <c r="AI21" i="1" s="1"/>
  <c r="AB21" i="1"/>
  <c r="AA21" i="1"/>
  <c r="W21" i="1"/>
  <c r="U21" i="1"/>
  <c r="X21" i="1" s="1"/>
  <c r="Y21" i="1" s="1"/>
  <c r="P21" i="1"/>
  <c r="Q21" i="1" s="1"/>
  <c r="M21" i="1"/>
  <c r="N21" i="1" s="1"/>
  <c r="K21" i="1"/>
  <c r="H21" i="1"/>
  <c r="I21" i="1" s="1"/>
  <c r="E21" i="1"/>
  <c r="F21" i="1" s="1"/>
  <c r="C21" i="1"/>
  <c r="R21" i="1" s="1"/>
  <c r="S21" i="1" s="1"/>
  <c r="AK20" i="1"/>
  <c r="AL20" i="1" s="1"/>
  <c r="AH20" i="1"/>
  <c r="AF20" i="1"/>
  <c r="AG20" i="1" s="1"/>
  <c r="AI20" i="1" s="1"/>
  <c r="AA20" i="1"/>
  <c r="AB20" i="1" s="1"/>
  <c r="X20" i="1"/>
  <c r="Y20" i="1" s="1"/>
  <c r="W20" i="1"/>
  <c r="U20" i="1"/>
  <c r="P20" i="1"/>
  <c r="Q20" i="1" s="1"/>
  <c r="M20" i="1"/>
  <c r="N20" i="1" s="1"/>
  <c r="K20" i="1"/>
  <c r="H20" i="1"/>
  <c r="I20" i="1" s="1"/>
  <c r="E20" i="1"/>
  <c r="F20" i="1" s="1"/>
  <c r="R20" i="1" s="1"/>
  <c r="S20" i="1" s="1"/>
  <c r="C20" i="1"/>
  <c r="R27" i="1" l="1"/>
  <c r="S27" i="1" s="1"/>
  <c r="AK17" i="1"/>
  <c r="AL17" i="1" s="1"/>
  <c r="AH17" i="1"/>
  <c r="AF17" i="1"/>
  <c r="AG17" i="1" s="1"/>
  <c r="AI17" i="1" s="1"/>
  <c r="AA17" i="1"/>
  <c r="AB17" i="1" s="1"/>
  <c r="W17" i="1"/>
  <c r="U17" i="1"/>
  <c r="X17" i="1" s="1"/>
  <c r="Y17" i="1" s="1"/>
  <c r="P17" i="1"/>
  <c r="Q17" i="1" s="1"/>
  <c r="M17" i="1"/>
  <c r="N17" i="1" s="1"/>
  <c r="K17" i="1"/>
  <c r="H17" i="1"/>
  <c r="I17" i="1" s="1"/>
  <c r="F17" i="1"/>
  <c r="E17" i="1"/>
  <c r="C17" i="1"/>
  <c r="R17" i="1" s="1"/>
  <c r="S17" i="1" s="1"/>
  <c r="AA10" i="1" l="1"/>
  <c r="AA11" i="1"/>
  <c r="AA12" i="1"/>
  <c r="AA13" i="1"/>
  <c r="AA14" i="1"/>
  <c r="AA15" i="1"/>
  <c r="AA16" i="1"/>
  <c r="AB12" i="1"/>
  <c r="AB13" i="1"/>
  <c r="AB14" i="1"/>
  <c r="AB15" i="1"/>
  <c r="AB16" i="1"/>
  <c r="AL16" i="1"/>
  <c r="AK16" i="1"/>
  <c r="AH16" i="1"/>
  <c r="AF16" i="1"/>
  <c r="AG16" i="1" s="1"/>
  <c r="AI16" i="1" s="1"/>
  <c r="W16" i="1"/>
  <c r="U16" i="1"/>
  <c r="X16" i="1" s="1"/>
  <c r="Y16" i="1" s="1"/>
  <c r="P16" i="1"/>
  <c r="Q16" i="1" s="1"/>
  <c r="M16" i="1"/>
  <c r="N16" i="1" s="1"/>
  <c r="K16" i="1"/>
  <c r="H16" i="1"/>
  <c r="I16" i="1" s="1"/>
  <c r="E16" i="1"/>
  <c r="F16" i="1" s="1"/>
  <c r="C16" i="1"/>
  <c r="R16" i="1" s="1"/>
  <c r="S16" i="1" s="1"/>
  <c r="AK14" i="1"/>
  <c r="AL14" i="1" s="1"/>
  <c r="AH14" i="1"/>
  <c r="AF14" i="1"/>
  <c r="AG14" i="1" s="1"/>
  <c r="AI14" i="1" s="1"/>
  <c r="W14" i="1"/>
  <c r="U14" i="1"/>
  <c r="X14" i="1" s="1"/>
  <c r="Y14" i="1" s="1"/>
  <c r="P14" i="1"/>
  <c r="Q14" i="1" s="1"/>
  <c r="M14" i="1"/>
  <c r="N14" i="1" s="1"/>
  <c r="K14" i="1"/>
  <c r="H14" i="1"/>
  <c r="I14" i="1" s="1"/>
  <c r="E14" i="1"/>
  <c r="F14" i="1" s="1"/>
  <c r="C14" i="1"/>
  <c r="R14" i="1" s="1"/>
  <c r="S14" i="1" s="1"/>
  <c r="AK13" i="1"/>
  <c r="AL13" i="1" s="1"/>
  <c r="AH13" i="1"/>
  <c r="AF13" i="1"/>
  <c r="AG13" i="1" s="1"/>
  <c r="AI13" i="1" s="1"/>
  <c r="W13" i="1"/>
  <c r="U13" i="1"/>
  <c r="X13" i="1" s="1"/>
  <c r="Y13" i="1" s="1"/>
  <c r="P13" i="1"/>
  <c r="Q13" i="1" s="1"/>
  <c r="M13" i="1"/>
  <c r="N13" i="1" s="1"/>
  <c r="K13" i="1"/>
  <c r="H13" i="1"/>
  <c r="I13" i="1" s="1"/>
  <c r="E13" i="1"/>
  <c r="F13" i="1" s="1"/>
  <c r="C13" i="1"/>
  <c r="R13" i="1" s="1"/>
  <c r="S13" i="1" s="1"/>
  <c r="AB7" i="1" l="1"/>
  <c r="AB8" i="1"/>
  <c r="AB9" i="1"/>
  <c r="AB25" i="1"/>
  <c r="AB6" i="1"/>
  <c r="AB5" i="1"/>
  <c r="AA7" i="1"/>
  <c r="AA8" i="1"/>
  <c r="AA9" i="1"/>
  <c r="AB11" i="1"/>
  <c r="AA18" i="1"/>
  <c r="AB18" i="1" s="1"/>
  <c r="AA19" i="1"/>
  <c r="AB19" i="1" s="1"/>
  <c r="AA22" i="1"/>
  <c r="AB22" i="1" s="1"/>
  <c r="AA25" i="1"/>
  <c r="AA26" i="1"/>
  <c r="AB26" i="1" s="1"/>
  <c r="AA33" i="1"/>
  <c r="AB33" i="1" s="1"/>
  <c r="AA6" i="1"/>
  <c r="AA5" i="1"/>
  <c r="AA36" i="1" l="1"/>
  <c r="AB10" i="1"/>
  <c r="D2" i="4"/>
  <c r="AF42" i="1" l="1"/>
  <c r="V42" i="1"/>
  <c r="G42" i="1"/>
  <c r="AE1" i="4" l="1"/>
  <c r="I45" i="1"/>
  <c r="AH7" i="1"/>
  <c r="AH8" i="1"/>
  <c r="AH9" i="1"/>
  <c r="AH10" i="1"/>
  <c r="AH11" i="1"/>
  <c r="AH12" i="1"/>
  <c r="AH15" i="1"/>
  <c r="AH18" i="1"/>
  <c r="AH19" i="1"/>
  <c r="AH22" i="1"/>
  <c r="AH25" i="1"/>
  <c r="AH26" i="1"/>
  <c r="AH33" i="1"/>
  <c r="AH6" i="1"/>
  <c r="AH5" i="1"/>
  <c r="AE4" i="4"/>
  <c r="AE3" i="4" l="1"/>
  <c r="AE5" i="4"/>
  <c r="AE2" i="4"/>
  <c r="AF1" i="4" l="1"/>
  <c r="AD1" i="4"/>
  <c r="AC1" i="4"/>
  <c r="AB1" i="4"/>
  <c r="AA1" i="4"/>
  <c r="Z1" i="4"/>
  <c r="Y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F5" i="1"/>
  <c r="Z4" i="4"/>
  <c r="C33" i="1"/>
  <c r="E33" i="1"/>
  <c r="F33" i="1" s="1"/>
  <c r="H33" i="1"/>
  <c r="I33" i="1" s="1"/>
  <c r="K33" i="1"/>
  <c r="M33" i="1"/>
  <c r="N33" i="1" s="1"/>
  <c r="P33" i="1"/>
  <c r="Q33" i="1" s="1"/>
  <c r="U33" i="1"/>
  <c r="W33" i="1"/>
  <c r="AF33" i="1"/>
  <c r="AG33" i="1" s="1"/>
  <c r="AK33" i="1"/>
  <c r="AL33" i="1" s="1"/>
  <c r="C10" i="1"/>
  <c r="AF3" i="4" l="1"/>
  <c r="AB5" i="4"/>
  <c r="AF5" i="4"/>
  <c r="AI33" i="1"/>
  <c r="AD5" i="4" s="1"/>
  <c r="X33" i="1"/>
  <c r="Y33" i="1" s="1"/>
  <c r="AD3" i="4" s="1"/>
  <c r="AC3" i="4"/>
  <c r="AB3" i="4"/>
  <c r="AA3" i="4"/>
  <c r="Z2" i="4"/>
  <c r="AD4" i="4"/>
  <c r="AC4" i="4"/>
  <c r="AB4" i="4"/>
  <c r="AA4" i="4"/>
  <c r="AF4" i="4"/>
  <c r="AC5" i="4"/>
  <c r="AB2" i="4"/>
  <c r="R33" i="1"/>
  <c r="S33" i="1" s="1"/>
  <c r="AD2" i="4" s="1"/>
  <c r="AC2" i="4"/>
  <c r="AF2" i="4"/>
  <c r="AP47" i="1"/>
  <c r="AP46" i="1"/>
  <c r="Z5" i="4" l="1"/>
  <c r="AA5" i="4"/>
  <c r="AA2" i="4"/>
  <c r="Z3" i="4"/>
  <c r="AC36" i="1"/>
  <c r="AK22" i="1"/>
  <c r="AL22" i="1" s="1"/>
  <c r="AF22" i="1"/>
  <c r="AG22" i="1" s="1"/>
  <c r="W22" i="1"/>
  <c r="U22" i="1"/>
  <c r="P22" i="1"/>
  <c r="Q22" i="1" s="1"/>
  <c r="M22" i="1"/>
  <c r="N22" i="1" s="1"/>
  <c r="K22" i="1"/>
  <c r="H22" i="1"/>
  <c r="I22" i="1" s="1"/>
  <c r="E22" i="1"/>
  <c r="F22" i="1" s="1"/>
  <c r="C22" i="1"/>
  <c r="X22" i="1" l="1"/>
  <c r="Y22" i="1" s="1"/>
  <c r="AI22" i="1"/>
  <c r="R22" i="1"/>
  <c r="S22" i="1" s="1"/>
  <c r="AL5" i="1" l="1"/>
  <c r="AK7" i="1" l="1"/>
  <c r="AL7" i="1" s="1"/>
  <c r="AK8" i="1"/>
  <c r="AL8" i="1" s="1"/>
  <c r="AK9" i="1"/>
  <c r="AL9" i="1" s="1"/>
  <c r="AK10" i="1"/>
  <c r="AL10" i="1" s="1"/>
  <c r="AK11" i="1"/>
  <c r="AK12" i="1"/>
  <c r="AL12" i="1" s="1"/>
  <c r="AK15" i="1"/>
  <c r="AL15" i="1" s="1"/>
  <c r="AK18" i="1"/>
  <c r="AL18" i="1" s="1"/>
  <c r="AK19" i="1"/>
  <c r="AL19" i="1" s="1"/>
  <c r="AK25" i="1"/>
  <c r="AL25" i="1" s="1"/>
  <c r="AL26" i="1"/>
  <c r="AE26" i="1" s="1"/>
  <c r="AK6" i="1"/>
  <c r="AL6" i="1" s="1"/>
  <c r="AK36" i="1" l="1"/>
  <c r="AL11" i="1"/>
  <c r="AL36" i="1" s="1"/>
  <c r="AB40" i="1"/>
  <c r="AB42" i="1"/>
  <c r="M18" i="1" l="1"/>
  <c r="M19" i="1"/>
  <c r="T39" i="1" l="1"/>
  <c r="AP44" i="1" l="1"/>
  <c r="AH44" i="1" s="1"/>
  <c r="AP48" i="1"/>
  <c r="AP43" i="1" s="1"/>
  <c r="U8" i="1" l="1"/>
  <c r="P9" i="1" l="1"/>
  <c r="E6" i="1" l="1"/>
  <c r="E7" i="1"/>
  <c r="E8" i="1"/>
  <c r="E9" i="1"/>
  <c r="E10" i="1"/>
  <c r="E11" i="1"/>
  <c r="B50" i="1" l="1"/>
  <c r="B49" i="1"/>
  <c r="B48" i="1"/>
  <c r="G48" i="1" s="1"/>
  <c r="B47" i="1"/>
  <c r="S47" i="1" l="1"/>
  <c r="AA47" i="1" s="1"/>
  <c r="S48" i="1"/>
  <c r="S49" i="1"/>
  <c r="S50" i="1"/>
  <c r="AF7" i="1"/>
  <c r="AG7" i="1" s="1"/>
  <c r="AF8" i="1"/>
  <c r="AG8" i="1" s="1"/>
  <c r="W6" i="1"/>
  <c r="S51" i="1" l="1"/>
  <c r="AH43" i="1"/>
  <c r="AM36" i="1" l="1"/>
  <c r="AH36" i="1" l="1"/>
  <c r="AF6" i="1"/>
  <c r="AG6" i="1" s="1"/>
  <c r="AP42" i="1" l="1"/>
  <c r="AH42" i="1" s="1"/>
  <c r="W7" i="1" l="1"/>
  <c r="W8" i="1"/>
  <c r="W9" i="1"/>
  <c r="W10" i="1"/>
  <c r="W11" i="1"/>
  <c r="W12" i="1"/>
  <c r="W15" i="1"/>
  <c r="W18" i="1"/>
  <c r="W19" i="1"/>
  <c r="C6" i="1" l="1"/>
  <c r="C7" i="1"/>
  <c r="C8" i="1"/>
  <c r="C9" i="1"/>
  <c r="C11" i="1"/>
  <c r="C12" i="1"/>
  <c r="C15" i="1"/>
  <c r="C18" i="1"/>
  <c r="C19" i="1"/>
  <c r="C25" i="1"/>
  <c r="C26" i="1"/>
  <c r="F6" i="1"/>
  <c r="F7" i="1"/>
  <c r="F8" i="1"/>
  <c r="F9" i="1"/>
  <c r="F10" i="1"/>
  <c r="F11" i="1"/>
  <c r="E12" i="1"/>
  <c r="F12" i="1" s="1"/>
  <c r="E15" i="1"/>
  <c r="F15" i="1" s="1"/>
  <c r="E18" i="1"/>
  <c r="F18" i="1" s="1"/>
  <c r="E19" i="1"/>
  <c r="F19" i="1" s="1"/>
  <c r="E25" i="1"/>
  <c r="F25" i="1" s="1"/>
  <c r="E26" i="1"/>
  <c r="F26" i="1" s="1"/>
  <c r="K42" i="1"/>
  <c r="AF10" i="1"/>
  <c r="AG10" i="1" s="1"/>
  <c r="AF15" i="1"/>
  <c r="AG15" i="1" s="1"/>
  <c r="AF18" i="1"/>
  <c r="AG18" i="1" s="1"/>
  <c r="AF19" i="1"/>
  <c r="AG19" i="1" s="1"/>
  <c r="AN36" i="1"/>
  <c r="C1" i="4"/>
  <c r="X8" i="1"/>
  <c r="Y8" i="1" s="1"/>
  <c r="B1" i="4"/>
  <c r="AB44" i="1"/>
  <c r="AB43" i="1"/>
  <c r="T41" i="1"/>
  <c r="Z41" i="1" s="1"/>
  <c r="T42" i="1"/>
  <c r="AD42" i="1" s="1"/>
  <c r="AI42" i="1" s="1"/>
  <c r="T43" i="1"/>
  <c r="AD43" i="1" s="1"/>
  <c r="T44" i="1"/>
  <c r="Z44" i="1" s="1"/>
  <c r="U6" i="1"/>
  <c r="U7" i="1"/>
  <c r="U9" i="1"/>
  <c r="X9" i="1" s="1"/>
  <c r="Y9" i="1" s="1"/>
  <c r="U10" i="1"/>
  <c r="X10" i="1" s="1"/>
  <c r="Y10" i="1" s="1"/>
  <c r="U11" i="1"/>
  <c r="X11" i="1" s="1"/>
  <c r="Y11" i="1" s="1"/>
  <c r="U12" i="1"/>
  <c r="X12" i="1" s="1"/>
  <c r="U15" i="1"/>
  <c r="U18" i="1"/>
  <c r="U19" i="1"/>
  <c r="X19" i="1" s="1"/>
  <c r="Y19" i="1" s="1"/>
  <c r="U25" i="1"/>
  <c r="U26" i="1"/>
  <c r="AF25" i="1"/>
  <c r="AG25" i="1" s="1"/>
  <c r="AF26" i="1"/>
  <c r="AG26" i="1" s="1"/>
  <c r="W25" i="1"/>
  <c r="W26" i="1"/>
  <c r="P26" i="1"/>
  <c r="Q26" i="1" s="1"/>
  <c r="M26" i="1"/>
  <c r="N26" i="1" s="1"/>
  <c r="K26" i="1"/>
  <c r="H25" i="1"/>
  <c r="I25" i="1" s="1"/>
  <c r="H26" i="1"/>
  <c r="I26" i="1" s="1"/>
  <c r="AF11" i="1"/>
  <c r="AG11" i="1" s="1"/>
  <c r="AF12" i="1"/>
  <c r="AG12" i="1" s="1"/>
  <c r="K11" i="1"/>
  <c r="K12" i="1"/>
  <c r="K15" i="1"/>
  <c r="H12" i="1"/>
  <c r="I12" i="1" s="1"/>
  <c r="H15" i="1"/>
  <c r="I15" i="1" s="1"/>
  <c r="N19" i="1"/>
  <c r="T40" i="1"/>
  <c r="Z40" i="1" s="1"/>
  <c r="AD39" i="1"/>
  <c r="AI39" i="1" s="1"/>
  <c r="K43" i="1"/>
  <c r="K44" i="1"/>
  <c r="B55" i="1"/>
  <c r="B54" i="1"/>
  <c r="X43" i="1"/>
  <c r="X44" i="1"/>
  <c r="B57" i="1"/>
  <c r="B56" i="1"/>
  <c r="H18" i="1"/>
  <c r="I18" i="1" s="1"/>
  <c r="P7" i="1"/>
  <c r="Q7" i="1" s="1"/>
  <c r="P8" i="1"/>
  <c r="Q8" i="1" s="1"/>
  <c r="Q9" i="1"/>
  <c r="P10" i="1"/>
  <c r="Q10" i="1" s="1"/>
  <c r="P11" i="1"/>
  <c r="Q11" i="1" s="1"/>
  <c r="P12" i="1"/>
  <c r="Q12" i="1" s="1"/>
  <c r="P15" i="1"/>
  <c r="Q15" i="1" s="1"/>
  <c r="P18" i="1"/>
  <c r="Q18" i="1" s="1"/>
  <c r="P19" i="1"/>
  <c r="Q19" i="1" s="1"/>
  <c r="P25" i="1"/>
  <c r="Q25" i="1" s="1"/>
  <c r="P6" i="1"/>
  <c r="Q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5" i="1"/>
  <c r="N15" i="1" s="1"/>
  <c r="N18" i="1"/>
  <c r="M25" i="1"/>
  <c r="N25" i="1" s="1"/>
  <c r="M6" i="1"/>
  <c r="N6" i="1" s="1"/>
  <c r="K7" i="1"/>
  <c r="K8" i="1"/>
  <c r="K9" i="1"/>
  <c r="K10" i="1"/>
  <c r="K18" i="1"/>
  <c r="K19" i="1"/>
  <c r="K25" i="1"/>
  <c r="K6" i="1"/>
  <c r="H7" i="1"/>
  <c r="I7" i="1" s="1"/>
  <c r="H8" i="1"/>
  <c r="I8" i="1" s="1"/>
  <c r="H9" i="1"/>
  <c r="I9" i="1" s="1"/>
  <c r="H10" i="1"/>
  <c r="I10" i="1" s="1"/>
  <c r="H11" i="1"/>
  <c r="I11" i="1" s="1"/>
  <c r="H19" i="1"/>
  <c r="I19" i="1" s="1"/>
  <c r="H6" i="1"/>
  <c r="I6" i="1" s="1"/>
  <c r="AF5" i="1"/>
  <c r="AG5" i="1" s="1"/>
  <c r="AF9" i="1"/>
  <c r="AG9" i="1" s="1"/>
  <c r="Q5" i="1"/>
  <c r="N5" i="1"/>
  <c r="X42" i="1"/>
  <c r="X5" i="1"/>
  <c r="Y5" i="1" s="1"/>
  <c r="I5" i="1"/>
  <c r="K36" i="1" l="1"/>
  <c r="W4" i="4"/>
  <c r="F3" i="4"/>
  <c r="AI5" i="1"/>
  <c r="B5" i="4" s="1"/>
  <c r="L4" i="4"/>
  <c r="D4" i="4"/>
  <c r="AI25" i="1"/>
  <c r="V5" i="4" s="1"/>
  <c r="R5" i="1"/>
  <c r="T4" i="4"/>
  <c r="R4" i="4"/>
  <c r="X4" i="4"/>
  <c r="P4" i="4"/>
  <c r="P3" i="4"/>
  <c r="N4" i="4"/>
  <c r="M5" i="4"/>
  <c r="AI8" i="1"/>
  <c r="E5" i="4" s="1"/>
  <c r="H3" i="4"/>
  <c r="O4" i="4"/>
  <c r="B4" i="4"/>
  <c r="E4" i="4"/>
  <c r="U4" i="4"/>
  <c r="B3" i="4"/>
  <c r="AI6" i="1"/>
  <c r="C5" i="4" s="1"/>
  <c r="Q3" i="4"/>
  <c r="S4" i="4"/>
  <c r="AD41" i="1"/>
  <c r="AI12" i="1"/>
  <c r="I5" i="4" s="1"/>
  <c r="Q4" i="4"/>
  <c r="Y4" i="4"/>
  <c r="C4" i="4"/>
  <c r="R5" i="4"/>
  <c r="AI7" i="1"/>
  <c r="D5" i="4" s="1"/>
  <c r="X6" i="1"/>
  <c r="Y6" i="1" s="1"/>
  <c r="C3" i="4" s="1"/>
  <c r="X25" i="1"/>
  <c r="Y25" i="1" s="1"/>
  <c r="V3" i="4" s="1"/>
  <c r="AI10" i="1"/>
  <c r="G5" i="4" s="1"/>
  <c r="S5" i="4"/>
  <c r="T5" i="4"/>
  <c r="AI11" i="1"/>
  <c r="H5" i="4" s="1"/>
  <c r="U3" i="4"/>
  <c r="S3" i="4"/>
  <c r="R3" i="4"/>
  <c r="J5" i="4"/>
  <c r="J4" i="4"/>
  <c r="I4" i="4"/>
  <c r="J3" i="4"/>
  <c r="Y12" i="1"/>
  <c r="I3" i="4" s="1"/>
  <c r="H4" i="4"/>
  <c r="B58" i="1"/>
  <c r="Z43" i="1"/>
  <c r="AD40" i="1"/>
  <c r="AI9" i="1"/>
  <c r="F5" i="4" s="1"/>
  <c r="AI26" i="1"/>
  <c r="W5" i="4" s="1"/>
  <c r="U5" i="4"/>
  <c r="AI15" i="1"/>
  <c r="L5" i="4" s="1"/>
  <c r="X26" i="1"/>
  <c r="Y26" i="1" s="1"/>
  <c r="W3" i="4" s="1"/>
  <c r="X7" i="1"/>
  <c r="Y7" i="1" s="1"/>
  <c r="D3" i="4" s="1"/>
  <c r="T3" i="4"/>
  <c r="X18" i="1"/>
  <c r="Y18" i="1" s="1"/>
  <c r="O3" i="4" s="1"/>
  <c r="R7" i="1"/>
  <c r="S7" i="1" s="1"/>
  <c r="R11" i="1"/>
  <c r="S11" i="1" s="1"/>
  <c r="H2" i="4" s="1"/>
  <c r="R6" i="1"/>
  <c r="S6" i="1" s="1"/>
  <c r="C2" i="4" s="1"/>
  <c r="R9" i="1"/>
  <c r="S9" i="1" s="1"/>
  <c r="F2" i="4" s="1"/>
  <c r="R12" i="1"/>
  <c r="S12" i="1" s="1"/>
  <c r="I2" i="4" s="1"/>
  <c r="R10" i="1"/>
  <c r="S10" i="1" s="1"/>
  <c r="G2" i="4" s="1"/>
  <c r="R8" i="1"/>
  <c r="S8" i="1" s="1"/>
  <c r="E2" i="4" s="1"/>
  <c r="J2" i="4"/>
  <c r="E3" i="4"/>
  <c r="AD44" i="1"/>
  <c r="Z39" i="1"/>
  <c r="F4" i="4"/>
  <c r="AI19" i="1"/>
  <c r="P5" i="4" s="1"/>
  <c r="Z42" i="1"/>
  <c r="X5" i="4"/>
  <c r="Q5" i="4"/>
  <c r="M4" i="4"/>
  <c r="AI18" i="1"/>
  <c r="O5" i="4" s="1"/>
  <c r="G4" i="4"/>
  <c r="G3" i="4"/>
  <c r="V4" i="4"/>
  <c r="X3" i="4"/>
  <c r="X2" i="4"/>
  <c r="R26" i="1"/>
  <c r="S26" i="1" s="1"/>
  <c r="W2" i="4" s="1"/>
  <c r="R25" i="1"/>
  <c r="S25" i="1" s="1"/>
  <c r="V2" i="4" s="1"/>
  <c r="U2" i="4"/>
  <c r="T2" i="4"/>
  <c r="C36" i="1"/>
  <c r="S2" i="4"/>
  <c r="R2" i="4"/>
  <c r="Q2" i="4"/>
  <c r="AF36" i="1"/>
  <c r="R19" i="1"/>
  <c r="S19" i="1" s="1"/>
  <c r="P2" i="4" s="1"/>
  <c r="I36" i="1"/>
  <c r="N3" i="4"/>
  <c r="R18" i="1"/>
  <c r="S18" i="1" s="1"/>
  <c r="O2" i="4" s="1"/>
  <c r="AE36" i="1"/>
  <c r="N5" i="4"/>
  <c r="U36" i="1"/>
  <c r="M3" i="4"/>
  <c r="N2" i="4"/>
  <c r="W36" i="1"/>
  <c r="M2" i="4"/>
  <c r="Q36" i="1"/>
  <c r="F36" i="1"/>
  <c r="K4" i="4"/>
  <c r="X15" i="1"/>
  <c r="Y15" i="1" s="1"/>
  <c r="L3" i="4" s="1"/>
  <c r="R15" i="1"/>
  <c r="S15" i="1" s="1"/>
  <c r="L2" i="4" s="1"/>
  <c r="N36" i="1"/>
  <c r="K2" i="4"/>
  <c r="L56" i="1"/>
  <c r="AA49" i="1"/>
  <c r="AA48" i="1"/>
  <c r="L54" i="1"/>
  <c r="L57" i="1"/>
  <c r="AA50" i="1"/>
  <c r="L55" i="1"/>
  <c r="Y3" i="4" l="1"/>
  <c r="Y5" i="4"/>
  <c r="Y2" i="4"/>
  <c r="S5" i="1"/>
  <c r="B2" i="4" s="1"/>
  <c r="AP40" i="1"/>
  <c r="AH40" i="1" s="1"/>
  <c r="X40" i="1"/>
  <c r="K40" i="1"/>
  <c r="AI40" i="1"/>
  <c r="AB36" i="1"/>
  <c r="AH39" i="1"/>
  <c r="AG36" i="1"/>
  <c r="X36" i="1"/>
  <c r="X39" i="1" s="1"/>
  <c r="AI36" i="1"/>
  <c r="K5" i="4"/>
  <c r="Y36" i="1"/>
  <c r="R55" i="1" s="1"/>
  <c r="W55" i="1" s="1"/>
  <c r="R36" i="1"/>
  <c r="S36" i="1" s="1"/>
  <c r="W47" i="1" s="1"/>
  <c r="L58" i="1"/>
  <c r="AA39" i="1" l="1"/>
  <c r="W49" i="1"/>
  <c r="AI44" i="1"/>
  <c r="L49" i="1"/>
  <c r="AD56" i="1" s="1"/>
  <c r="R56" i="1"/>
  <c r="W56" i="1" s="1"/>
  <c r="AF39" i="1"/>
  <c r="AF41" i="1" s="1"/>
  <c r="W50" i="1"/>
  <c r="R57" i="1"/>
  <c r="W57" i="1" s="1"/>
  <c r="L50" i="1"/>
  <c r="AD57" i="1" s="1"/>
  <c r="K3" i="4"/>
  <c r="V39" i="1"/>
  <c r="V41" i="1" s="1"/>
  <c r="W48" i="1"/>
  <c r="L48" i="1"/>
  <c r="AD55" i="1" s="1"/>
  <c r="G39" i="1"/>
  <c r="G41" i="1" s="1"/>
  <c r="L47" i="1"/>
  <c r="R54" i="1"/>
  <c r="X47" i="1"/>
  <c r="AA51" i="1"/>
  <c r="AA41" i="1" l="1"/>
  <c r="AB41" i="1" s="1"/>
  <c r="AB39" i="1"/>
  <c r="AD54" i="1"/>
  <c r="AG54" i="1" s="1"/>
  <c r="AF47" i="1"/>
  <c r="AF48" i="1"/>
  <c r="AF50" i="1"/>
  <c r="AP41" i="1"/>
  <c r="AH41" i="1" s="1"/>
  <c r="AE57" i="1"/>
  <c r="AE55" i="1"/>
  <c r="AE56" i="1"/>
  <c r="X49" i="1"/>
  <c r="X50" i="1"/>
  <c r="AI43" i="1"/>
  <c r="W51" i="1"/>
  <c r="X51" i="1" s="1"/>
  <c r="X48" i="1"/>
  <c r="X41" i="1"/>
  <c r="AA55" i="1"/>
  <c r="K39" i="1"/>
  <c r="R58" i="1"/>
  <c r="W59" i="1" s="1"/>
  <c r="W54" i="1"/>
  <c r="W58" i="1" s="1"/>
  <c r="AA56" i="1" l="1"/>
  <c r="AF49" i="1"/>
  <c r="AH49" i="1" s="1"/>
  <c r="AE54" i="1"/>
  <c r="AH54" i="1" s="1"/>
  <c r="AD58" i="1"/>
  <c r="AG47" i="1"/>
  <c r="AH47" i="1"/>
  <c r="K41" i="1"/>
  <c r="AA54" i="1"/>
  <c r="AH57" i="1"/>
  <c r="AH55" i="1"/>
  <c r="AG55" i="1"/>
  <c r="AG57" i="1"/>
  <c r="AG56" i="1"/>
  <c r="AH56" i="1"/>
  <c r="AA57" i="1"/>
  <c r="AG50" i="1"/>
  <c r="AH50" i="1"/>
  <c r="AH48" i="1"/>
  <c r="AG48" i="1"/>
  <c r="AF51" i="1" l="1"/>
  <c r="AG51" i="1" s="1"/>
  <c r="AG49" i="1"/>
  <c r="AA58" i="1"/>
  <c r="AG58" i="1"/>
  <c r="AH58" i="1"/>
  <c r="AE58" i="1"/>
</calcChain>
</file>

<file path=xl/sharedStrings.xml><?xml version="1.0" encoding="utf-8"?>
<sst xmlns="http://schemas.openxmlformats.org/spreadsheetml/2006/main" count="158" uniqueCount="84">
  <si>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</si>
  <si>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</si>
  <si>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</si>
  <si>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</si>
  <si>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</si>
  <si>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</si>
  <si>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</si>
  <si>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</si>
  <si>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</si>
  <si>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</si>
  <si>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</si>
  <si>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</si>
  <si>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</si>
  <si>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</si>
  <si>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</si>
  <si>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r>
      <t>M</t>
    </r>
    <r>
      <rPr>
        <b/>
        <vertAlign val="superscript"/>
        <sz val="12"/>
        <rFont val="Calibri"/>
        <family val="2"/>
        <scheme val="minor"/>
      </rPr>
      <t>3</t>
    </r>
  </si>
  <si>
    <t>Chilled Water</t>
  </si>
  <si>
    <t>Ton Hour</t>
  </si>
  <si>
    <t>Additional Info</t>
  </si>
  <si>
    <t>Hotel Occupancy %</t>
  </si>
  <si>
    <t>Adl. &amp; Chl.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</si>
  <si>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</si>
  <si>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Total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</si>
  <si>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No of Cylinder</t>
  </si>
  <si>
    <t>Cons. Ltrs</t>
  </si>
  <si>
    <t>Gas</t>
  </si>
  <si>
    <t>Litres</t>
  </si>
  <si>
    <t>Hotel Reading</t>
  </si>
  <si>
    <t>Irrigation water BHP</t>
  </si>
  <si>
    <t>To be deducted       from Hotel Meter.</t>
  </si>
  <si>
    <t>Total ELE Cons.
KW</t>
  </si>
  <si>
    <t>Hotel BTU Meter Energy Reading</t>
  </si>
  <si>
    <t>1st Floor Kitchen</t>
  </si>
  <si>
    <t>Gas 
AED</t>
  </si>
  <si>
    <t>AVT Charges should be Zero in the DC invoice - Please notify if not</t>
  </si>
  <si>
    <t>Daily Budget</t>
  </si>
  <si>
    <t>MTD Average</t>
  </si>
  <si>
    <t>MTD Budget</t>
  </si>
  <si>
    <t>MTD Actual</t>
  </si>
  <si>
    <t>Monthly Budget</t>
  </si>
  <si>
    <t>YTD Budget</t>
  </si>
  <si>
    <t>YTD Actual</t>
  </si>
  <si>
    <t>Total Energy cost</t>
  </si>
  <si>
    <t>Total Energy Cost YTD</t>
  </si>
  <si>
    <t>LP Gas</t>
  </si>
  <si>
    <t>Savings</t>
  </si>
  <si>
    <t>Exceeds</t>
  </si>
  <si>
    <t>MDB #2</t>
  </si>
  <si>
    <t>MDB #3</t>
  </si>
  <si>
    <t>MDB #1
MDB-E</t>
  </si>
  <si>
    <t>MDB #1
SMDB Kitchen</t>
  </si>
  <si>
    <t>MDB #1
Fire Pump #1</t>
  </si>
  <si>
    <t>MDB #1
Fire Pump #2</t>
  </si>
  <si>
    <r>
      <t xml:space="preserve">Hotel share </t>
    </r>
    <r>
      <rPr>
        <u/>
        <sz val="9"/>
        <color theme="1"/>
        <rFont val="Calibri"/>
        <family val="2"/>
        <scheme val="minor"/>
      </rPr>
      <t>94.38 %</t>
    </r>
  </si>
  <si>
    <r>
      <t xml:space="preserve">Hotel  share </t>
    </r>
    <r>
      <rPr>
        <u/>
        <sz val="9"/>
        <color theme="1"/>
        <rFont val="Calibri"/>
        <family val="2"/>
        <scheme val="minor"/>
      </rPr>
      <t>65.36 %</t>
    </r>
  </si>
  <si>
    <r>
      <t xml:space="preserve">Hotel share </t>
    </r>
    <r>
      <rPr>
        <u/>
        <sz val="9"/>
        <color theme="1"/>
        <rFont val="Calibri"/>
        <family val="2"/>
        <scheme val="minor"/>
      </rPr>
      <t>50 %</t>
    </r>
  </si>
  <si>
    <t>Actual Last Year</t>
  </si>
  <si>
    <t>Average Daily Consumption Last Year</t>
  </si>
  <si>
    <t>MTD Average Last Year</t>
  </si>
  <si>
    <t>MTD Actual Vs Last Year</t>
  </si>
  <si>
    <t>YTD Actual Vs Last Year</t>
  </si>
  <si>
    <t>MTD Savings Forecast Vs LY</t>
  </si>
  <si>
    <t>YTD Savings Forecast Vs LY</t>
  </si>
  <si>
    <t>D Cooling</t>
  </si>
  <si>
    <t>MTD Fcast</t>
  </si>
  <si>
    <t>YTD Fcast</t>
  </si>
  <si>
    <t>Gas Cylinder purchased
(50 litres)</t>
  </si>
  <si>
    <t>Actual YTD 2024</t>
  </si>
  <si>
    <t>CHW Consumption Charges (Actual 2024 YTD)</t>
  </si>
  <si>
    <t>CHW Fixed Charges YTD 2024</t>
  </si>
  <si>
    <t>Bulk ETS Energy Meter Reading</t>
  </si>
  <si>
    <t>ETS Cons.
Ton Hours</t>
  </si>
  <si>
    <t>ETS Cons.
MWH</t>
  </si>
  <si>
    <t>Actual YTD 2025</t>
  </si>
  <si>
    <t>Budget YTD 2025</t>
  </si>
  <si>
    <t>CHW Fixed Charges YTD 2025</t>
  </si>
  <si>
    <t>CHW Consumption Charges (Budget 2025 MTD)</t>
  </si>
  <si>
    <t>CHW Consumption Charges (Actual 2025 YTD)</t>
  </si>
  <si>
    <t>CHW Consumption Charges (Budget 2025 YTD)</t>
  </si>
  <si>
    <t>CHW Consumption Charges (Actual 2024 MTD)</t>
  </si>
  <si>
    <t>CAPITAL CENTRE ARJAAN UTILITIES CONSUMPTION - April 2025.</t>
  </si>
  <si>
    <t>Budget May 2025</t>
  </si>
  <si>
    <t>Actual May 2024</t>
  </si>
  <si>
    <t>Actual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</si>
</sst>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0_ ;\-#,##0.00\ "/>
    <numFmt numFmtId="166" formatCode="0;&quot;&quot;"/>
    <numFmt numFmtId="167" formatCode="_(* #,##0.00_);_(* \(#,##0.00\);_(* &quot;-&quot;_);_(@_)"/>
    <numFmt numFmtId="168" formatCode="_-* #,##0_-;\-* #,##0_-;_-* &quot;-&quot;??_-;_-@_-"/>
    <numFmt numFmtId="169" formatCode="_(* #,##0_);[Red]_(* \(#,##0\);_(* &quot;-&quot;??_);_(@_)\ "/>
    <numFmt numFmtId="170" formatCode="[$-409]d\-mmm;@"/>
    <numFmt numFmtId="177" formatCode="0.0"/>
  </numFmts>
  <fonts count="44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sz val="10"/>
      <color theme="1"/>
      <name val="Calibri"/>
      <family val="2"/>
    </font>
    <font>
      <b/>
      <i/>
      <sz val="1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DE9D9"/>
        <bgColor rgb="FF000000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5">
    <xf numFmtId="0" fontId="0" fillId="0" borderId="0"/>
    <xf numFmtId="9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17">
      <alignment horizontal="center" vertical="center"/>
    </xf>
    <xf numFmtId="0" fontId="20" fillId="0" borderId="0">
      <alignment vertical="top"/>
    </xf>
    <xf numFmtId="0" fontId="17" fillId="0" borderId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</cellStyleXfs>
  <cellXfs count="34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22" fillId="8" borderId="7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10" fontId="0" fillId="0" borderId="0" xfId="0" applyNumberFormat="1"/>
    <xf numFmtId="43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22" fillId="8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26" fillId="0" borderId="0" xfId="18" applyFont="1" applyBorder="1" applyAlignment="1">
      <alignment vertical="center"/>
    </xf>
    <xf numFmtId="43" fontId="30" fillId="0" borderId="0" xfId="18" applyFont="1" applyBorder="1" applyAlignment="1">
      <alignment vertical="center"/>
    </xf>
    <xf numFmtId="0" fontId="1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43" fontId="27" fillId="0" borderId="28" xfId="18" applyFont="1" applyBorder="1" applyAlignment="1">
      <alignment vertical="center"/>
    </xf>
    <xf numFmtId="166" fontId="24" fillId="0" borderId="28" xfId="18" applyNumberFormat="1" applyFont="1" applyBorder="1" applyAlignment="1">
      <alignment horizontal="center" vertical="center"/>
    </xf>
    <xf numFmtId="166" fontId="14" fillId="0" borderId="29" xfId="18" applyNumberFormat="1" applyFont="1" applyBorder="1" applyAlignment="1">
      <alignment horizontal="center" vertical="center"/>
    </xf>
    <xf numFmtId="43" fontId="27" fillId="0" borderId="31" xfId="18" applyFont="1" applyBorder="1" applyAlignment="1">
      <alignment vertical="center"/>
    </xf>
    <xf numFmtId="166" fontId="24" fillId="0" borderId="31" xfId="18" applyNumberFormat="1" applyFont="1" applyBorder="1" applyAlignment="1">
      <alignment horizontal="center" vertical="center"/>
    </xf>
    <xf numFmtId="166" fontId="14" fillId="0" borderId="32" xfId="18" applyNumberFormat="1" applyFont="1" applyBorder="1" applyAlignment="1">
      <alignment horizontal="center" vertical="center"/>
    </xf>
    <xf numFmtId="43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43" fontId="27" fillId="0" borderId="34" xfId="18" applyFont="1" applyBorder="1" applyAlignment="1">
      <alignment horizontal="center" vertical="center"/>
    </xf>
    <xf numFmtId="166" fontId="27" fillId="0" borderId="35" xfId="18" applyNumberFormat="1" applyFont="1" applyBorder="1" applyAlignment="1">
      <alignment horizontal="center" vertical="center"/>
    </xf>
    <xf numFmtId="43" fontId="27" fillId="0" borderId="32" xfId="18" applyFont="1" applyBorder="1" applyAlignment="1">
      <alignment vertical="center"/>
    </xf>
    <xf numFmtId="43" fontId="27" fillId="0" borderId="29" xfId="18" applyFont="1" applyBorder="1" applyAlignment="1">
      <alignment vertical="center"/>
    </xf>
    <xf numFmtId="43" fontId="27" fillId="0" borderId="35" xfId="18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43" fontId="23" fillId="0" borderId="29" xfId="18" applyFont="1" applyBorder="1" applyAlignment="1">
      <alignment horizontal="center" vertical="center"/>
    </xf>
    <xf numFmtId="43" fontId="23" fillId="0" borderId="32" xfId="18" applyFont="1" applyBorder="1" applyAlignment="1">
      <alignment horizontal="center" vertical="center"/>
    </xf>
    <xf numFmtId="43" fontId="23" fillId="0" borderId="35" xfId="18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165" fontId="27" fillId="0" borderId="29" xfId="18" applyNumberFormat="1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165" fontId="27" fillId="0" borderId="32" xfId="18" applyNumberFormat="1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43" fontId="27" fillId="0" borderId="0" xfId="18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43" fontId="27" fillId="0" borderId="0" xfId="18" applyFont="1" applyBorder="1" applyAlignment="1">
      <alignment horizontal="center"/>
    </xf>
    <xf numFmtId="166" fontId="27" fillId="0" borderId="0" xfId="18" applyNumberFormat="1" applyFont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43" fontId="35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/>
    </xf>
    <xf numFmtId="3" fontId="35" fillId="0" borderId="0" xfId="0" applyNumberFormat="1" applyFont="1"/>
    <xf numFmtId="0" fontId="38" fillId="0" borderId="0" xfId="0" applyFont="1"/>
    <xf numFmtId="167" fontId="37" fillId="0" borderId="0" xfId="0" applyNumberFormat="1" applyFont="1" applyAlignment="1">
      <alignment horizontal="center"/>
    </xf>
    <xf numFmtId="43" fontId="37" fillId="0" borderId="0" xfId="0" applyNumberFormat="1" applyFont="1" applyAlignment="1">
      <alignment horizontal="center"/>
    </xf>
    <xf numFmtId="10" fontId="35" fillId="0" borderId="0" xfId="0" applyNumberFormat="1" applyFont="1" applyAlignment="1">
      <alignment horizontal="right"/>
    </xf>
    <xf numFmtId="43" fontId="35" fillId="0" borderId="0" xfId="0" applyNumberFormat="1" applyFont="1"/>
    <xf numFmtId="0" fontId="0" fillId="0" borderId="37" xfId="0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5" fillId="6" borderId="31" xfId="0" applyNumberFormat="1" applyFont="1" applyFill="1" applyBorder="1" applyAlignment="1">
      <alignment horizontal="center" vertical="center"/>
    </xf>
    <xf numFmtId="1" fontId="3" fillId="6" borderId="31" xfId="0" applyNumberFormat="1" applyFont="1" applyFill="1" applyBorder="1" applyAlignment="1">
      <alignment horizontal="center" vertical="center"/>
    </xf>
    <xf numFmtId="3" fontId="3" fillId="6" borderId="31" xfId="0" applyNumberFormat="1" applyFont="1" applyFill="1" applyBorder="1" applyAlignment="1">
      <alignment horizontal="center" vertical="center"/>
    </xf>
    <xf numFmtId="3" fontId="4" fillId="0" borderId="45" xfId="0" applyNumberFormat="1" applyFont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0" fontId="4" fillId="0" borderId="44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3" fontId="4" fillId="0" borderId="44" xfId="0" applyNumberFormat="1" applyFont="1" applyBorder="1" applyAlignment="1">
      <alignment horizontal="center" vertical="center"/>
    </xf>
    <xf numFmtId="3" fontId="5" fillId="0" borderId="46" xfId="0" applyNumberFormat="1" applyFont="1" applyBorder="1" applyAlignment="1">
      <alignment horizontal="center" vertical="center"/>
    </xf>
    <xf numFmtId="0" fontId="12" fillId="6" borderId="39" xfId="0" applyFont="1" applyFill="1" applyBorder="1" applyAlignment="1">
      <alignment vertical="center"/>
    </xf>
    <xf numFmtId="4" fontId="12" fillId="6" borderId="31" xfId="18" applyNumberFormat="1" applyFont="1" applyFill="1" applyBorder="1" applyAlignment="1">
      <alignment horizontal="center" vertical="center"/>
    </xf>
    <xf numFmtId="0" fontId="12" fillId="6" borderId="41" xfId="0" applyFont="1" applyFill="1" applyBorder="1" applyAlignment="1">
      <alignment vertical="center"/>
    </xf>
    <xf numFmtId="0" fontId="29" fillId="7" borderId="44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4" fillId="0" borderId="0" xfId="18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168" fontId="23" fillId="0" borderId="32" xfId="18" applyNumberFormat="1" applyFont="1" applyBorder="1" applyAlignment="1">
      <alignment horizontal="center" vertical="center"/>
    </xf>
    <xf numFmtId="168" fontId="23" fillId="0" borderId="35" xfId="18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3" fontId="14" fillId="0" borderId="0" xfId="18" applyFont="1" applyBorder="1" applyAlignment="1">
      <alignment horizontal="center" vertical="center"/>
    </xf>
    <xf numFmtId="37" fontId="27" fillId="0" borderId="29" xfId="18" applyNumberFormat="1" applyFont="1" applyBorder="1" applyAlignment="1">
      <alignment vertical="center"/>
    </xf>
    <xf numFmtId="37" fontId="27" fillId="0" borderId="32" xfId="18" applyNumberFormat="1" applyFont="1" applyBorder="1" applyAlignment="1">
      <alignment vertical="center"/>
    </xf>
    <xf numFmtId="37" fontId="27" fillId="0" borderId="35" xfId="18" applyNumberFormat="1" applyFont="1" applyBorder="1" applyAlignment="1">
      <alignment vertical="center"/>
    </xf>
    <xf numFmtId="169" fontId="39" fillId="0" borderId="26" xfId="0" applyNumberFormat="1" applyFont="1" applyBorder="1" applyAlignment="1">
      <alignment horizontal="right" vertic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9" fontId="0" fillId="0" borderId="36" xfId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34" fillId="0" borderId="34" xfId="18" applyNumberFormat="1" applyFont="1" applyBorder="1" applyAlignment="1">
      <alignment horizontal="center" vertical="center"/>
    </xf>
    <xf numFmtId="4" fontId="12" fillId="0" borderId="0" xfId="0" applyNumberFormat="1" applyFont="1"/>
    <xf numFmtId="14" fontId="0" fillId="0" borderId="52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3" fontId="0" fillId="0" borderId="31" xfId="0" applyNumberFormat="1" applyBorder="1" applyAlignment="1">
      <alignment horizontal="center" vertical="center"/>
    </xf>
    <xf numFmtId="0" fontId="40" fillId="10" borderId="48" xfId="0" applyFont="1" applyFill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1" fontId="0" fillId="0" borderId="0" xfId="0" applyNumberFormat="1"/>
    <xf numFmtId="4" fontId="14" fillId="0" borderId="31" xfId="0" applyNumberFormat="1" applyFont="1" applyBorder="1" applyAlignment="1">
      <alignment horizontal="center" vertical="center"/>
    </xf>
    <xf numFmtId="4" fontId="12" fillId="6" borderId="40" xfId="0" applyNumberFormat="1" applyFont="1" applyFill="1" applyBorder="1" applyAlignment="1">
      <alignment horizontal="center" vertical="center"/>
    </xf>
    <xf numFmtId="4" fontId="14" fillId="6" borderId="37" xfId="0" applyNumberFormat="1" applyFont="1" applyFill="1" applyBorder="1" applyAlignment="1">
      <alignment horizontal="center" vertical="center"/>
    </xf>
    <xf numFmtId="4" fontId="12" fillId="6" borderId="43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3" fontId="3" fillId="0" borderId="38" xfId="0" applyNumberFormat="1" applyFont="1" applyBorder="1" applyAlignment="1">
      <alignment horizontal="center" vertical="center"/>
    </xf>
    <xf numFmtId="3" fontId="3" fillId="0" borderId="40" xfId="0" applyNumberFormat="1" applyFont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6" borderId="40" xfId="0" applyNumberFormat="1" applyFont="1" applyFill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45" xfId="18" applyNumberFormat="1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70" fontId="42" fillId="0" borderId="48" xfId="0" applyNumberFormat="1" applyFont="1" applyBorder="1" applyAlignment="1" applyProtection="1">
      <alignment horizontal="center" vertical="center"/>
      <protection hidden="1"/>
    </xf>
    <xf numFmtId="3" fontId="0" fillId="9" borderId="48" xfId="0" applyNumberFormat="1" applyFill="1" applyBorder="1" applyAlignment="1" applyProtection="1">
      <alignment horizontal="center" vertical="center"/>
      <protection hidden="1"/>
    </xf>
    <xf numFmtId="3" fontId="0" fillId="6" borderId="48" xfId="0" applyNumberFormat="1" applyFill="1" applyBorder="1" applyAlignment="1" applyProtection="1">
      <alignment horizontal="center" vertical="center"/>
      <protection hidden="1"/>
    </xf>
    <xf numFmtId="4" fontId="2" fillId="0" borderId="45" xfId="0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0" fontId="4" fillId="0" borderId="55" xfId="0" applyFont="1" applyBorder="1" applyAlignment="1">
      <alignment vertical="center"/>
    </xf>
    <xf numFmtId="0" fontId="33" fillId="0" borderId="0" xfId="0" applyFont="1" applyAlignment="1">
      <alignment vertical="center"/>
    </xf>
    <xf numFmtId="43" fontId="36" fillId="0" borderId="32" xfId="18" applyFont="1" applyBorder="1" applyAlignment="1">
      <alignment horizontal="center" vertical="center"/>
    </xf>
    <xf numFmtId="167" fontId="36" fillId="0" borderId="32" xfId="24" applyNumberFormat="1" applyFont="1" applyBorder="1" applyAlignment="1">
      <alignment horizontal="center" vertical="center"/>
    </xf>
    <xf numFmtId="167" fontId="36" fillId="0" borderId="35" xfId="24" applyNumberFormat="1" applyFont="1" applyBorder="1" applyAlignment="1">
      <alignment horizontal="center" vertical="center"/>
    </xf>
    <xf numFmtId="0" fontId="33" fillId="0" borderId="30" xfId="0" applyFont="1" applyBorder="1" applyAlignment="1">
      <alignment vertical="center"/>
    </xf>
    <xf numFmtId="165" fontId="34" fillId="0" borderId="32" xfId="18" applyNumberFormat="1" applyFont="1" applyBorder="1" applyAlignment="1">
      <alignment vertical="center"/>
    </xf>
    <xf numFmtId="0" fontId="33" fillId="0" borderId="33" xfId="0" applyFont="1" applyBorder="1" applyAlignment="1">
      <alignment vertical="center"/>
    </xf>
    <xf numFmtId="43" fontId="34" fillId="0" borderId="35" xfId="18" applyFont="1" applyBorder="1" applyAlignment="1">
      <alignment vertical="center"/>
    </xf>
    <xf numFmtId="0" fontId="0" fillId="0" borderId="55" xfId="0" applyBorder="1" applyAlignment="1">
      <alignment horizontal="center" vertical="center"/>
    </xf>
    <xf numFmtId="4" fontId="8" fillId="6" borderId="31" xfId="0" applyNumberFormat="1" applyFont="1" applyFill="1" applyBorder="1" applyAlignment="1">
      <alignment horizontal="center" vertical="center"/>
    </xf>
    <xf numFmtId="4" fontId="8" fillId="6" borderId="42" xfId="18" applyNumberFormat="1" applyFont="1" applyFill="1" applyBorder="1" applyAlignment="1">
      <alignment horizontal="center" vertical="center"/>
    </xf>
    <xf numFmtId="4" fontId="13" fillId="0" borderId="0" xfId="0" applyNumberFormat="1" applyFont="1"/>
    <xf numFmtId="0" fontId="0" fillId="0" borderId="60" xfId="0" applyBorder="1" applyAlignment="1">
      <alignment horizontal="center" vertical="center"/>
    </xf>
    <xf numFmtId="3" fontId="5" fillId="0" borderId="6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43" fontId="27" fillId="0" borderId="35" xfId="18" applyFont="1" applyBorder="1" applyAlignment="1">
      <alignment vertical="center"/>
    </xf>
    <xf numFmtId="1" fontId="0" fillId="0" borderId="39" xfId="0" applyNumberFormat="1" applyBorder="1" applyAlignment="1">
      <alignment horizontal="center" vertical="center"/>
    </xf>
    <xf numFmtId="43" fontId="36" fillId="0" borderId="35" xfId="18" applyFont="1" applyBorder="1" applyAlignment="1">
      <alignment horizontal="center" vertical="center"/>
    </xf>
    <xf numFmtId="43" fontId="34" fillId="0" borderId="32" xfId="18" applyFont="1" applyBorder="1" applyAlignment="1">
      <alignment vertical="center"/>
    </xf>
    <xf numFmtId="169" fontId="34" fillId="0" borderId="32" xfId="18" applyNumberFormat="1" applyFont="1" applyBorder="1" applyAlignment="1">
      <alignment vertical="center"/>
    </xf>
    <xf numFmtId="169" fontId="34" fillId="0" borderId="35" xfId="18" applyNumberFormat="1" applyFont="1" applyBorder="1" applyAlignment="1">
      <alignment vertical="center"/>
    </xf>
    <xf numFmtId="9" fontId="0" fillId="0" borderId="39" xfId="1" applyFont="1" applyBorder="1" applyAlignment="1">
      <alignment horizontal="center" vertical="center"/>
    </xf>
    <xf numFmtId="4" fontId="12" fillId="6" borderId="65" xfId="0" applyNumberFormat="1" applyFont="1" applyFill="1" applyBorder="1" applyAlignment="1">
      <alignment horizontal="center" vertical="center"/>
    </xf>
    <xf numFmtId="4" fontId="12" fillId="6" borderId="66" xfId="0" applyNumberFormat="1" applyFont="1" applyFill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4" fontId="35" fillId="0" borderId="69" xfId="0" applyNumberFormat="1" applyFont="1" applyBorder="1" applyAlignment="1">
      <alignment horizontal="center" vertical="center"/>
    </xf>
    <xf numFmtId="4" fontId="35" fillId="0" borderId="7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9" fontId="39" fillId="0" borderId="0" xfId="18" applyNumberFormat="1" applyFont="1" applyBorder="1" applyAlignment="1">
      <alignment vertical="center"/>
    </xf>
    <xf numFmtId="169" fontId="39" fillId="0" borderId="0" xfId="0" applyNumberFormat="1" applyFont="1" applyAlignment="1">
      <alignment vertical="center"/>
    </xf>
    <xf numFmtId="168" fontId="23" fillId="0" borderId="29" xfId="18" applyNumberFormat="1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2" fontId="0" fillId="0" borderId="73" xfId="0" applyNumberFormat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/>
    </xf>
    <xf numFmtId="1" fontId="5" fillId="0" borderId="66" xfId="0" applyNumberFormat="1" applyFont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 wrapText="1"/>
    </xf>
    <xf numFmtId="0" fontId="22" fillId="8" borderId="50" xfId="0" applyFont="1" applyFill="1" applyBorder="1" applyAlignment="1">
      <alignment horizontal="center" vertical="center" wrapText="1"/>
    </xf>
    <xf numFmtId="3" fontId="3" fillId="0" borderId="63" xfId="0" applyNumberFormat="1" applyFont="1" applyBorder="1" applyAlignment="1">
      <alignment horizontal="center" vertical="center"/>
    </xf>
    <xf numFmtId="3" fontId="3" fillId="0" borderId="64" xfId="0" applyNumberFormat="1" applyFont="1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3" fontId="3" fillId="0" borderId="42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7" borderId="10" xfId="0" applyFont="1" applyFill="1" applyBorder="1" applyAlignment="1">
      <alignment horizontal="center" vertical="center"/>
    </xf>
    <xf numFmtId="0" fontId="43" fillId="7" borderId="4" xfId="0" applyFont="1" applyFill="1" applyBorder="1" applyAlignment="1">
      <alignment horizontal="center" vertical="center"/>
    </xf>
    <xf numFmtId="0" fontId="43" fillId="7" borderId="1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center" vertical="center" wrapText="1"/>
    </xf>
    <xf numFmtId="3" fontId="12" fillId="6" borderId="31" xfId="0" applyNumberFormat="1" applyFont="1" applyFill="1" applyBorder="1" applyAlignment="1">
      <alignment horizontal="center" vertical="center"/>
    </xf>
    <xf numFmtId="3" fontId="12" fillId="6" borderId="40" xfId="0" applyNumberFormat="1" applyFont="1" applyFill="1" applyBorder="1" applyAlignment="1">
      <alignment horizontal="center" vertical="center"/>
    </xf>
    <xf numFmtId="0" fontId="24" fillId="0" borderId="27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24" fillId="0" borderId="30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3" fontId="12" fillId="0" borderId="31" xfId="0" applyNumberFormat="1" applyFont="1" applyBorder="1" applyAlignment="1">
      <alignment horizontal="center" vertical="center"/>
    </xf>
    <xf numFmtId="3" fontId="12" fillId="0" borderId="40" xfId="0" applyNumberFormat="1" applyFont="1" applyBorder="1" applyAlignment="1">
      <alignment horizontal="center" vertical="center"/>
    </xf>
    <xf numFmtId="3" fontId="12" fillId="6" borderId="42" xfId="0" applyNumberFormat="1" applyFont="1" applyFill="1" applyBorder="1" applyAlignment="1">
      <alignment horizontal="center" vertical="center"/>
    </xf>
    <xf numFmtId="3" fontId="12" fillId="6" borderId="4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6" borderId="39" xfId="0" applyFont="1" applyFill="1" applyBorder="1" applyAlignment="1">
      <alignment horizontal="left" vertical="center"/>
    </xf>
    <xf numFmtId="0" fontId="12" fillId="6" borderId="31" xfId="0" applyFont="1" applyFill="1" applyBorder="1" applyAlignment="1">
      <alignment horizontal="left" vertical="center"/>
    </xf>
    <xf numFmtId="4" fontId="8" fillId="6" borderId="31" xfId="0" applyNumberFormat="1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/>
    </xf>
    <xf numFmtId="4" fontId="14" fillId="0" borderId="31" xfId="0" applyNumberFormat="1" applyFont="1" applyBorder="1" applyAlignment="1">
      <alignment horizontal="center" vertical="center"/>
    </xf>
    <xf numFmtId="4" fontId="12" fillId="6" borderId="31" xfId="0" applyNumberFormat="1" applyFont="1" applyFill="1" applyBorder="1" applyAlignment="1">
      <alignment horizontal="center" vertical="center"/>
    </xf>
    <xf numFmtId="4" fontId="12" fillId="6" borderId="40" xfId="0" applyNumberFormat="1" applyFont="1" applyFill="1" applyBorder="1" applyAlignment="1">
      <alignment horizontal="center" vertical="center"/>
    </xf>
    <xf numFmtId="4" fontId="12" fillId="0" borderId="31" xfId="0" applyNumberFormat="1" applyFont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4" fontId="12" fillId="6" borderId="37" xfId="0" applyNumberFormat="1" applyFont="1" applyFill="1" applyBorder="1" applyAlignment="1">
      <alignment horizontal="center" vertical="center"/>
    </xf>
    <xf numFmtId="4" fontId="12" fillId="6" borderId="38" xfId="0" applyNumberFormat="1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left" vertical="center"/>
    </xf>
    <xf numFmtId="0" fontId="12" fillId="6" borderId="37" xfId="0" applyFont="1" applyFill="1" applyBorder="1" applyAlignment="1">
      <alignment horizontal="left" vertical="center"/>
    </xf>
    <xf numFmtId="0" fontId="29" fillId="2" borderId="44" xfId="0" applyFont="1" applyFill="1" applyBorder="1" applyAlignment="1">
      <alignment horizontal="center" vertical="center"/>
    </xf>
    <xf numFmtId="0" fontId="29" fillId="2" borderId="45" xfId="0" applyFont="1" applyFill="1" applyBorder="1" applyAlignment="1">
      <alignment horizontal="center" vertical="center"/>
    </xf>
    <xf numFmtId="3" fontId="12" fillId="6" borderId="37" xfId="0" applyNumberFormat="1" applyFont="1" applyFill="1" applyBorder="1" applyAlignment="1">
      <alignment horizontal="center" vertical="center"/>
    </xf>
    <xf numFmtId="3" fontId="12" fillId="6" borderId="38" xfId="0" applyNumberFormat="1" applyFont="1" applyFill="1" applyBorder="1" applyAlignment="1">
      <alignment horizontal="center" vertical="center"/>
    </xf>
    <xf numFmtId="4" fontId="14" fillId="6" borderId="37" xfId="0" applyNumberFormat="1" applyFont="1" applyFill="1" applyBorder="1" applyAlignment="1">
      <alignment horizontal="center" vertical="center"/>
    </xf>
    <xf numFmtId="0" fontId="41" fillId="6" borderId="20" xfId="0" applyFont="1" applyFill="1" applyBorder="1" applyAlignment="1">
      <alignment horizontal="center"/>
    </xf>
    <xf numFmtId="0" fontId="41" fillId="6" borderId="18" xfId="0" applyFont="1" applyFill="1" applyBorder="1" applyAlignment="1">
      <alignment horizontal="center"/>
    </xf>
    <xf numFmtId="0" fontId="41" fillId="6" borderId="0" xfId="0" applyFont="1" applyFill="1" applyAlignment="1">
      <alignment horizontal="center"/>
    </xf>
    <xf numFmtId="0" fontId="29" fillId="3" borderId="44" xfId="0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43" fillId="4" borderId="10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" vertical="center"/>
    </xf>
    <xf numFmtId="0" fontId="43" fillId="4" borderId="1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5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23" xfId="0" applyFont="1" applyFill="1" applyBorder="1" applyAlignment="1">
      <alignment horizontal="center" vertical="top" wrapText="1"/>
    </xf>
    <xf numFmtId="0" fontId="2" fillId="4" borderId="22" xfId="0" applyFont="1" applyFill="1" applyBorder="1" applyAlignment="1">
      <alignment horizontal="center" vertical="top" wrapText="1"/>
    </xf>
    <xf numFmtId="0" fontId="9" fillId="4" borderId="45" xfId="0" applyFont="1" applyFill="1" applyBorder="1" applyAlignment="1">
      <alignment horizontal="center" vertical="center"/>
    </xf>
    <xf numFmtId="0" fontId="29" fillId="4" borderId="44" xfId="0" applyFont="1" applyFill="1" applyBorder="1" applyAlignment="1">
      <alignment horizontal="center" vertical="center"/>
    </xf>
    <xf numFmtId="0" fontId="29" fillId="4" borderId="4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9" fillId="4" borderId="46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4" fontId="25" fillId="0" borderId="0" xfId="0" applyNumberFormat="1" applyFont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33" fillId="0" borderId="30" xfId="0" applyFont="1" applyBorder="1" applyAlignment="1">
      <alignment horizontal="left" vertical="center"/>
    </xf>
    <xf numFmtId="0" fontId="33" fillId="0" borderId="31" xfId="0" applyFont="1" applyBorder="1" applyAlignment="1">
      <alignment horizontal="left" vertical="center"/>
    </xf>
    <xf numFmtId="43" fontId="36" fillId="0" borderId="31" xfId="18" applyFont="1" applyBorder="1" applyAlignment="1">
      <alignment horizontal="center" vertical="center"/>
    </xf>
    <xf numFmtId="43" fontId="36" fillId="0" borderId="32" xfId="18" applyFont="1" applyBorder="1" applyAlignment="1">
      <alignment horizontal="center" vertical="center"/>
    </xf>
    <xf numFmtId="43" fontId="36" fillId="0" borderId="61" xfId="18" applyFont="1" applyBorder="1" applyAlignment="1">
      <alignment horizontal="center" vertical="center"/>
    </xf>
    <xf numFmtId="43" fontId="36" fillId="0" borderId="58" xfId="18" applyFont="1" applyBorder="1" applyAlignment="1">
      <alignment horizontal="center" vertical="center"/>
    </xf>
    <xf numFmtId="0" fontId="33" fillId="0" borderId="33" xfId="0" applyFont="1" applyBorder="1" applyAlignment="1">
      <alignment horizontal="left" vertical="center"/>
    </xf>
    <xf numFmtId="0" fontId="33" fillId="0" borderId="34" xfId="0" applyFont="1" applyBorder="1" applyAlignment="1">
      <alignment horizontal="left" vertical="center"/>
    </xf>
    <xf numFmtId="43" fontId="36" fillId="0" borderId="34" xfId="18" applyFont="1" applyBorder="1" applyAlignment="1">
      <alignment horizontal="center" vertical="center"/>
    </xf>
    <xf numFmtId="43" fontId="36" fillId="0" borderId="35" xfId="18" applyFont="1" applyBorder="1" applyAlignment="1">
      <alignment horizontal="center" vertical="center"/>
    </xf>
    <xf numFmtId="3" fontId="35" fillId="0" borderId="0" xfId="0" applyNumberFormat="1" applyFont="1" applyAlignment="1">
      <alignment horizontal="right"/>
    </xf>
    <xf numFmtId="0" fontId="12" fillId="6" borderId="41" xfId="0" applyFont="1" applyFill="1" applyBorder="1" applyAlignment="1">
      <alignment horizontal="left" vertical="center"/>
    </xf>
    <xf numFmtId="0" fontId="12" fillId="6" borderId="42" xfId="0" applyFont="1" applyFill="1" applyBorder="1" applyAlignment="1">
      <alignment horizontal="left" vertical="center"/>
    </xf>
    <xf numFmtId="4" fontId="8" fillId="6" borderId="42" xfId="0" applyNumberFormat="1" applyFont="1" applyFill="1" applyBorder="1" applyAlignment="1">
      <alignment horizontal="center" vertical="center"/>
    </xf>
    <xf numFmtId="4" fontId="12" fillId="6" borderId="42" xfId="0" applyNumberFormat="1" applyFont="1" applyFill="1" applyBorder="1" applyAlignment="1">
      <alignment horizontal="center" vertical="center"/>
    </xf>
    <xf numFmtId="4" fontId="12" fillId="6" borderId="43" xfId="0" applyNumberFormat="1" applyFont="1" applyFill="1" applyBorder="1" applyAlignment="1">
      <alignment horizontal="center" vertical="center"/>
    </xf>
    <xf numFmtId="0" fontId="12" fillId="6" borderId="41" xfId="0" applyFont="1" applyFill="1" applyBorder="1" applyAlignment="1">
      <alignment horizontal="center" vertical="center"/>
    </xf>
    <xf numFmtId="0" fontId="12" fillId="6" borderId="42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7" fillId="0" borderId="56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14" fontId="27" fillId="0" borderId="27" xfId="0" applyNumberFormat="1" applyFont="1" applyBorder="1" applyAlignment="1">
      <alignment horizontal="center" vertical="center"/>
    </xf>
    <xf numFmtId="14" fontId="27" fillId="0" borderId="28" xfId="0" applyNumberFormat="1" applyFont="1" applyBorder="1" applyAlignment="1">
      <alignment horizontal="center" vertical="center"/>
    </xf>
    <xf numFmtId="14" fontId="27" fillId="0" borderId="29" xfId="0" applyNumberFormat="1" applyFon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177" fontId="0" fillId="0" borderId="3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3" fillId="6" borderId="42" xfId="0" applyNumberFormat="1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</cellXfs>
  <cellStyles count="35">
    <cellStyle name="Comma" xfId="18" builtinId="3"/>
    <cellStyle name="Comma [0]" xfId="24" builtinId="6"/>
    <cellStyle name="Comma [0] 2" xfId="34" xr:uid="{A899D049-DA93-4FD0-8D4E-5DFBF3D97A51}"/>
    <cellStyle name="Comma 2" xfId="2" xr:uid="{00000000-0005-0000-0000-000001000000}"/>
    <cellStyle name="Comma 2 2" xfId="3" xr:uid="{00000000-0005-0000-0000-000002000000}"/>
    <cellStyle name="Comma 2 2 2" xfId="20" xr:uid="{C6E974CF-3359-4F35-91C2-E1E8F67060F3}"/>
    <cellStyle name="Comma 2 2 2 2" xfId="30" xr:uid="{58DA782F-BEA2-4431-B98A-CC06F2626CA3}"/>
    <cellStyle name="Comma 2 2 3" xfId="26" xr:uid="{BB1CF9EA-7FED-46AA-87D6-07DC6CE5CAF6}"/>
    <cellStyle name="Comma 2 3" xfId="4" xr:uid="{00000000-0005-0000-0000-000003000000}"/>
    <cellStyle name="Comma 2 3 2" xfId="21" xr:uid="{F0B83743-C316-4501-A9D4-F449AF7E66A9}"/>
    <cellStyle name="Comma 2 3 2 2" xfId="31" xr:uid="{898D5B54-5344-4BEF-8F2B-D205F91A569E}"/>
    <cellStyle name="Comma 2 3 3" xfId="27" xr:uid="{B822C519-8E16-4D8C-A647-C3C50867D1E3}"/>
    <cellStyle name="Comma 2 4" xfId="19" xr:uid="{89BF41D9-676D-4C12-B87E-4425C90039D3}"/>
    <cellStyle name="Comma 2 4 2" xfId="29" xr:uid="{B8B6EDFC-9F16-45DD-965D-213E2C4BFB9E}"/>
    <cellStyle name="Comma 2 5" xfId="25" xr:uid="{6B6C28E0-3F00-4BC0-822B-1F3C75558B4E}"/>
    <cellStyle name="Comma 3" xfId="5" xr:uid="{00000000-0005-0000-0000-000004000000}"/>
    <cellStyle name="Comma 3 2" xfId="22" xr:uid="{35074402-1867-4358-8538-26217DD821A1}"/>
    <cellStyle name="Comma 3 2 2" xfId="32" xr:uid="{8A562F1C-FD57-4CEC-AAA1-679731C847E0}"/>
    <cellStyle name="Comma 4" xfId="23" xr:uid="{CD9BEABD-AE55-41CC-9005-D13BC78D18E3}"/>
    <cellStyle name="Comma 4 2" xfId="33" xr:uid="{3BE59BE0-E37D-4246-8305-AEA0B4344FFC}"/>
    <cellStyle name="Comma 5" xfId="28" xr:uid="{C1C53BC0-A380-421F-8747-1D7AFE02FBD1}"/>
    <cellStyle name="Normal" xfId="0" builtinId="0"/>
    <cellStyle name="Normal 2" xfId="6" xr:uid="{00000000-0005-0000-0000-000007000000}"/>
    <cellStyle name="Normal 2 2" xfId="17" xr:uid="{00000000-0005-0000-0000-000008000000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J75"/>
  <sheetViews>
    <sheetView showGridLines="0" tabSelected="1" zoomScale="75" zoomScaleNormal="75" zoomScaleSheetLayoutView="80" workbookViewId="0">
      <selection activeCell="W16" sqref="W16"/>
    </sheetView>
  </sheetViews>
  <sheetFormatPr defaultColWidth="9.140625" defaultRowHeight="15" x14ac:dyDescent="0.25"/>
  <cols>
    <col min="1" max="1" width="14.42578125" customWidth="1"/>
    <col min="2" max="2" width="15.7109375" customWidth="1"/>
    <col min="3" max="3" width="9.140625" customWidth="1"/>
    <col min="4" max="4" width="11" customWidth="1"/>
    <col min="5" max="5" width="8.5703125" customWidth="1"/>
    <col min="6" max="6" width="11" customWidth="1"/>
    <col min="7" max="7" width="13.42578125" style="1" customWidth="1"/>
    <col min="8" max="8" width="9" style="1" customWidth="1"/>
    <col min="9" max="9" width="11.5703125" style="1" customWidth="1"/>
    <col min="10" max="10" width="11.42578125" style="1" customWidth="1"/>
    <col min="11" max="11" width="8.85546875" style="1" customWidth="1"/>
    <col min="12" max="12" width="15.42578125" style="1" customWidth="1"/>
    <col min="13" max="13" width="5.85546875" style="1" customWidth="1"/>
    <col min="14" max="14" width="6.7109375" style="1" customWidth="1"/>
    <col min="15" max="15" width="8.140625" style="1" customWidth="1"/>
    <col min="16" max="16" width="5.85546875" style="1" customWidth="1"/>
    <col min="17" max="17" width="11.140625" style="1" customWidth="1"/>
    <col min="18" max="18" width="11" style="1" customWidth="1"/>
    <col min="19" max="19" width="12.42578125" style="1" customWidth="1"/>
    <col min="20" max="20" width="13.5703125" style="2" customWidth="1"/>
    <col min="21" max="21" width="10.7109375" style="2" customWidth="1"/>
    <col min="22" max="22" width="16.7109375" style="2" customWidth="1"/>
    <col min="23" max="23" width="13.28515625" style="2" customWidth="1"/>
    <col min="24" max="24" width="12.7109375" style="2" customWidth="1"/>
    <col min="25" max="25" width="13.140625" style="2" customWidth="1"/>
    <col min="26" max="26" width="24" style="2" customWidth="1"/>
    <col min="27" max="27" width="16.28515625" style="2" customWidth="1"/>
    <col min="28" max="29" width="13.7109375" customWidth="1"/>
    <col min="30" max="30" width="12.42578125" customWidth="1"/>
    <col min="31" max="31" width="14.85546875" customWidth="1"/>
    <col min="32" max="32" width="15.85546875" customWidth="1"/>
    <col min="33" max="33" width="16.42578125" customWidth="1"/>
    <col min="34" max="34" width="16.28515625" customWidth="1"/>
    <col min="35" max="35" width="12.28515625" customWidth="1"/>
    <col min="36" max="38" width="13.42578125" customWidth="1"/>
    <col min="39" max="39" width="12.7109375" customWidth="1"/>
    <col min="40" max="40" width="12.5703125" customWidth="1"/>
    <col min="41" max="41" width="9.140625" customWidth="1"/>
    <col min="42" max="42" width="15.5703125" customWidth="1"/>
    <col min="43" max="43" width="47.140625" bestFit="1" customWidth="1"/>
    <col min="44" max="140" width="9.140625" customWidth="1"/>
  </cols>
  <sheetData>
    <row r="1" spans="1:43" s="4" customFormat="1" ht="24.75" customHeight="1" thickBot="1" x14ac:dyDescent="0.4">
      <c r="A1" s="258" t="s">
        <v>80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60"/>
      <c r="AL1" s="260"/>
      <c r="AM1" s="260"/>
      <c r="AN1" s="260"/>
    </row>
    <row r="2" spans="1:43" s="7" customFormat="1" ht="24.75" customHeight="1" thickBot="1" x14ac:dyDescent="0.35">
      <c r="A2" s="292" t="s">
        <v>0</v>
      </c>
      <c r="B2" s="265" t="s">
        <v>3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7"/>
      <c r="T2" s="268" t="s">
        <v>4</v>
      </c>
      <c r="U2" s="269"/>
      <c r="V2" s="269"/>
      <c r="W2" s="269"/>
      <c r="X2" s="269"/>
      <c r="Y2" s="270"/>
      <c r="Z2" s="212" t="s">
        <v>44</v>
      </c>
      <c r="AA2" s="213"/>
      <c r="AB2" s="213"/>
      <c r="AC2" s="214"/>
      <c r="AD2" s="209" t="s">
        <v>2</v>
      </c>
      <c r="AE2" s="210"/>
      <c r="AF2" s="210"/>
      <c r="AG2" s="210"/>
      <c r="AH2" s="210"/>
      <c r="AI2" s="210"/>
      <c r="AJ2" s="210"/>
      <c r="AK2" s="210"/>
      <c r="AL2" s="211"/>
      <c r="AM2" s="279" t="s">
        <v>18</v>
      </c>
      <c r="AN2" s="280"/>
    </row>
    <row r="3" spans="1:43" s="5" customFormat="1" ht="36.75" customHeight="1" x14ac:dyDescent="0.25">
      <c r="A3" s="293"/>
      <c r="B3" s="301" t="s">
        <v>47</v>
      </c>
      <c r="C3" s="300"/>
      <c r="D3" s="294" t="s">
        <v>48</v>
      </c>
      <c r="E3" s="295"/>
      <c r="F3" s="296"/>
      <c r="G3" s="294" t="s">
        <v>49</v>
      </c>
      <c r="H3" s="295"/>
      <c r="I3" s="296"/>
      <c r="J3" s="300" t="s">
        <v>50</v>
      </c>
      <c r="K3" s="300"/>
      <c r="L3" s="294" t="s">
        <v>51</v>
      </c>
      <c r="M3" s="295"/>
      <c r="N3" s="296"/>
      <c r="O3" s="294" t="s">
        <v>52</v>
      </c>
      <c r="P3" s="295"/>
      <c r="Q3" s="296"/>
      <c r="R3" s="273" t="s">
        <v>30</v>
      </c>
      <c r="S3" s="285" t="s">
        <v>7</v>
      </c>
      <c r="T3" s="275" t="s">
        <v>27</v>
      </c>
      <c r="U3" s="287" t="s">
        <v>21</v>
      </c>
      <c r="V3" s="11" t="s">
        <v>28</v>
      </c>
      <c r="W3" s="287" t="s">
        <v>21</v>
      </c>
      <c r="X3" s="287" t="s">
        <v>22</v>
      </c>
      <c r="Y3" s="226" t="s">
        <v>6</v>
      </c>
      <c r="Z3" s="228" t="s">
        <v>32</v>
      </c>
      <c r="AA3" s="229"/>
      <c r="AB3" s="277" t="s">
        <v>33</v>
      </c>
      <c r="AC3" s="215" t="s">
        <v>66</v>
      </c>
      <c r="AD3" s="271" t="s">
        <v>31</v>
      </c>
      <c r="AE3" s="205" t="s">
        <v>8</v>
      </c>
      <c r="AF3" s="205" t="s">
        <v>9</v>
      </c>
      <c r="AG3" s="205" t="s">
        <v>10</v>
      </c>
      <c r="AH3" s="205" t="s">
        <v>11</v>
      </c>
      <c r="AI3" s="205" t="s">
        <v>12</v>
      </c>
      <c r="AJ3" s="205" t="s">
        <v>70</v>
      </c>
      <c r="AK3" s="205" t="s">
        <v>71</v>
      </c>
      <c r="AL3" s="207" t="s">
        <v>72</v>
      </c>
      <c r="AM3" s="290" t="s">
        <v>19</v>
      </c>
      <c r="AN3" s="289" t="s">
        <v>20</v>
      </c>
    </row>
    <row r="4" spans="1:43" s="5" customFormat="1" ht="36.75" customHeight="1" thickBot="1" x14ac:dyDescent="0.3">
      <c r="A4" s="293"/>
      <c r="B4" s="198" t="s">
        <v>1</v>
      </c>
      <c r="C4" s="199" t="s">
        <v>5</v>
      </c>
      <c r="D4" s="199" t="s">
        <v>1</v>
      </c>
      <c r="E4" s="199" t="s">
        <v>5</v>
      </c>
      <c r="F4" s="200" t="s">
        <v>53</v>
      </c>
      <c r="G4" s="199" t="s">
        <v>1</v>
      </c>
      <c r="H4" s="199" t="s">
        <v>5</v>
      </c>
      <c r="I4" s="200" t="s">
        <v>54</v>
      </c>
      <c r="J4" s="199" t="s">
        <v>1</v>
      </c>
      <c r="K4" s="199" t="s">
        <v>5</v>
      </c>
      <c r="L4" s="199" t="s">
        <v>1</v>
      </c>
      <c r="M4" s="199" t="s">
        <v>5</v>
      </c>
      <c r="N4" s="200" t="s">
        <v>55</v>
      </c>
      <c r="O4" s="199" t="s">
        <v>1</v>
      </c>
      <c r="P4" s="199" t="s">
        <v>5</v>
      </c>
      <c r="Q4" s="200" t="s">
        <v>55</v>
      </c>
      <c r="R4" s="274"/>
      <c r="S4" s="286"/>
      <c r="T4" s="276"/>
      <c r="U4" s="288"/>
      <c r="V4" s="22" t="s">
        <v>29</v>
      </c>
      <c r="W4" s="288"/>
      <c r="X4" s="288"/>
      <c r="Y4" s="227"/>
      <c r="Z4" s="130" t="s">
        <v>23</v>
      </c>
      <c r="AA4" s="131" t="s">
        <v>24</v>
      </c>
      <c r="AB4" s="278"/>
      <c r="AC4" s="216"/>
      <c r="AD4" s="272"/>
      <c r="AE4" s="206"/>
      <c r="AF4" s="206"/>
      <c r="AG4" s="206"/>
      <c r="AH4" s="206"/>
      <c r="AI4" s="206"/>
      <c r="AJ4" s="206"/>
      <c r="AK4" s="206"/>
      <c r="AL4" s="208"/>
      <c r="AM4" s="291"/>
      <c r="AN4" s="289"/>
    </row>
    <row r="5" spans="1:43" s="3" customFormat="1" ht="27.95" customHeight="1" x14ac:dyDescent="0.25">
      <c r="A5" s="116">
        <v>45778</v>
      </c>
      <c r="B5" s="192">
        <v>10002567</v>
      </c>
      <c r="C5" s="193">
        <v>2470</v>
      </c>
      <c r="D5" s="194">
        <v>24343877</v>
      </c>
      <c r="E5" s="194">
        <v>5694</v>
      </c>
      <c r="F5" s="195">
        <f>E5*0.9438</f>
        <v>5373.9971999999998</v>
      </c>
      <c r="G5" s="194">
        <v>15761758</v>
      </c>
      <c r="H5" s="194">
        <v>3661</v>
      </c>
      <c r="I5" s="195">
        <f>H5*0.6536</f>
        <v>2392.8296</v>
      </c>
      <c r="J5" s="194">
        <v>3819110</v>
      </c>
      <c r="K5" s="194">
        <v>764</v>
      </c>
      <c r="L5" s="194">
        <v>1734</v>
      </c>
      <c r="M5" s="194">
        <v>0</v>
      </c>
      <c r="N5" s="194">
        <f>M5*0.5</f>
        <v>0</v>
      </c>
      <c r="O5" s="194">
        <v>1010</v>
      </c>
      <c r="P5" s="194">
        <v>0</v>
      </c>
      <c r="Q5" s="194">
        <f>P5*0.5</f>
        <v>0</v>
      </c>
      <c r="R5" s="196">
        <f>C5+F5+I5+K5+N5+Q5</f>
        <v>11000.826799999999</v>
      </c>
      <c r="S5" s="197">
        <f t="shared" ref="S5:S32" si="0">R5*0.2</f>
        <v>2200.16536</v>
      </c>
      <c r="T5" s="87">
        <v>87679</v>
      </c>
      <c r="U5" s="163">
        <v>83</v>
      </c>
      <c r="V5" s="68">
        <v>37836</v>
      </c>
      <c r="W5" s="68">
        <v>13</v>
      </c>
      <c r="X5" s="69">
        <f>U5-W5</f>
        <v>70</v>
      </c>
      <c r="Y5" s="134">
        <f>X5*7.84</f>
        <v>548.79999999999995</v>
      </c>
      <c r="Z5" s="87">
        <v>1</v>
      </c>
      <c r="AA5" s="137">
        <f>Z5*22.6796*1.96</f>
        <v>44.452016</v>
      </c>
      <c r="AB5" s="201">
        <f>AA5*2.7659</f>
        <v>122.94983105439999</v>
      </c>
      <c r="AC5" s="132">
        <v>0</v>
      </c>
      <c r="AD5" s="87">
        <v>83299</v>
      </c>
      <c r="AE5" s="339">
        <f>AL5*0.66</f>
        <v>23.08589917178076</v>
      </c>
      <c r="AF5" s="137">
        <f t="shared" ref="AF5:AF8" si="1">IF(ISBLANK(AD5),"0 ",AE5*284.345)</f>
        <v>6564.3600000000006</v>
      </c>
      <c r="AG5" s="181">
        <f>AF5*0.3449</f>
        <v>2264.0477639999999</v>
      </c>
      <c r="AH5" s="181">
        <f>IF(ISBLANK(AD5),"0",1754*1608.73/12/31*0.66)</f>
        <v>5006.2639709677424</v>
      </c>
      <c r="AI5" s="138">
        <f>AG5+AH5</f>
        <v>7270.3117349677423</v>
      </c>
      <c r="AJ5" s="68">
        <v>2991124</v>
      </c>
      <c r="AK5" s="68">
        <v>9946</v>
      </c>
      <c r="AL5" s="340">
        <f t="shared" ref="AL5:AL32" si="2">IF(ISBLANK(AK5),"0 ",AK5/284.345)</f>
        <v>34.978635108758724</v>
      </c>
      <c r="AM5" s="112">
        <v>0.99229999999999996</v>
      </c>
      <c r="AN5" s="70">
        <v>316</v>
      </c>
    </row>
    <row r="6" spans="1:43" s="3" customFormat="1" ht="27.95" customHeight="1" x14ac:dyDescent="0.25">
      <c r="A6" s="116">
        <v>45779</v>
      </c>
      <c r="B6" s="88">
        <v>10005062</v>
      </c>
      <c r="C6" s="71">
        <f>IF(ISBLANK(B6),"0",B6-B5)</f>
        <v>2495</v>
      </c>
      <c r="D6" s="71">
        <v>24349679</v>
      </c>
      <c r="E6" s="71">
        <f t="shared" ref="E6:E32" si="3">IF(ISBLANK(D6),"0",D6-D5)</f>
        <v>5802</v>
      </c>
      <c r="F6" s="72">
        <f>E6*0.9438</f>
        <v>5475.9276</v>
      </c>
      <c r="G6" s="73">
        <v>15765347</v>
      </c>
      <c r="H6" s="71">
        <f>IF(ISBLANK(G6),"0",G6-G5)</f>
        <v>3589</v>
      </c>
      <c r="I6" s="72">
        <f>H6*0.6536</f>
        <v>2345.7703999999999</v>
      </c>
      <c r="J6" s="73">
        <v>3819908</v>
      </c>
      <c r="K6" s="71">
        <f>IF(ISBLANK(J6),"0",J6-J5)</f>
        <v>798</v>
      </c>
      <c r="L6" s="71">
        <v>1734</v>
      </c>
      <c r="M6" s="71">
        <f>IF(ISBLANK(L6),"0",L6-L5)</f>
        <v>0</v>
      </c>
      <c r="N6" s="71">
        <f>M6*0.5</f>
        <v>0</v>
      </c>
      <c r="O6" s="71">
        <v>1010</v>
      </c>
      <c r="P6" s="71">
        <f>IF(ISBLANK(O6),"0",O6-O5)</f>
        <v>0</v>
      </c>
      <c r="Q6" s="71">
        <f>P6*0.5</f>
        <v>0</v>
      </c>
      <c r="R6" s="74">
        <f>C6+F6+I6+K6+N6+Q6</f>
        <v>11114.698</v>
      </c>
      <c r="S6" s="139">
        <f t="shared" si="0"/>
        <v>2222.9396000000002</v>
      </c>
      <c r="T6" s="88">
        <v>87749</v>
      </c>
      <c r="U6" s="71">
        <f t="shared" ref="U6:U24" si="4">IF(ISBLANK(T6),"0",T6-T5)</f>
        <v>70</v>
      </c>
      <c r="V6" s="71">
        <v>37853</v>
      </c>
      <c r="W6" s="71">
        <f t="shared" ref="W6:W32" si="5">IF(ISBLANK(V6),"0",V6-V5)</f>
        <v>17</v>
      </c>
      <c r="X6" s="75">
        <f>U6-W6</f>
        <v>53</v>
      </c>
      <c r="Y6" s="135">
        <f>X6*7.84</f>
        <v>415.52</v>
      </c>
      <c r="Z6" s="88">
        <v>1</v>
      </c>
      <c r="AA6" s="76">
        <f>Z6*22.6796*1.96</f>
        <v>44.452016</v>
      </c>
      <c r="AB6" s="202">
        <f>AA6*2.7659</f>
        <v>122.94983105439999</v>
      </c>
      <c r="AC6" s="133">
        <v>0</v>
      </c>
      <c r="AD6" s="88">
        <v>83311</v>
      </c>
      <c r="AE6" s="341">
        <f t="shared" ref="AE6:AE35" si="6">AL6*0.66</f>
        <v>22.909493748791078</v>
      </c>
      <c r="AF6" s="76">
        <f t="shared" si="1"/>
        <v>6514.2</v>
      </c>
      <c r="AG6" s="119">
        <f>AF6*0.3449</f>
        <v>2246.7475799999997</v>
      </c>
      <c r="AH6" s="119">
        <f>IF(ISBLANK(AD6),"0",1754*1608.73/12/31*0.66)</f>
        <v>5006.2639709677424</v>
      </c>
      <c r="AI6" s="77">
        <f t="shared" ref="AI6:AI32" si="7">AG6+AH6</f>
        <v>7253.0115509677416</v>
      </c>
      <c r="AJ6" s="73">
        <v>3000994</v>
      </c>
      <c r="AK6" s="73">
        <f>IF(ISBLANK(AJ6),"0",AJ6-AJ5)</f>
        <v>9870</v>
      </c>
      <c r="AL6" s="183">
        <f t="shared" si="2"/>
        <v>34.711354164834965</v>
      </c>
      <c r="AM6" s="85">
        <v>0.9768</v>
      </c>
      <c r="AN6" s="78">
        <v>316</v>
      </c>
      <c r="AQ6" s="113"/>
    </row>
    <row r="7" spans="1:43" s="3" customFormat="1" ht="27.95" customHeight="1" x14ac:dyDescent="0.25">
      <c r="A7" s="116">
        <v>45780</v>
      </c>
      <c r="B7" s="88">
        <v>10007561</v>
      </c>
      <c r="C7" s="71">
        <f t="shared" ref="C7:C32" si="8">IF(ISBLANK(B7),"0",B7-B6)</f>
        <v>2499</v>
      </c>
      <c r="D7" s="71">
        <v>24355168</v>
      </c>
      <c r="E7" s="71">
        <f t="shared" si="3"/>
        <v>5489</v>
      </c>
      <c r="F7" s="72">
        <f t="shared" ref="F7:F32" si="9">E7*0.9438</f>
        <v>5180.5181999999995</v>
      </c>
      <c r="G7" s="71">
        <v>15768851</v>
      </c>
      <c r="H7" s="71">
        <f t="shared" ref="H7:H32" si="10">IF(ISBLANK(G7),"0",G7-G6)</f>
        <v>3504</v>
      </c>
      <c r="I7" s="72">
        <f t="shared" ref="I7:I32" si="11">H7*0.6536</f>
        <v>2290.2143999999998</v>
      </c>
      <c r="J7" s="71">
        <v>3820752</v>
      </c>
      <c r="K7" s="71">
        <f t="shared" ref="K7:K32" si="12">IF(ISBLANK(J7),"0",J7-J6)</f>
        <v>844</v>
      </c>
      <c r="L7" s="71">
        <v>1749</v>
      </c>
      <c r="M7" s="71">
        <f t="shared" ref="M7:M32" si="13">IF(ISBLANK(L7),"0",L7-L6)</f>
        <v>15</v>
      </c>
      <c r="N7" s="71">
        <f t="shared" ref="N7:N32" si="14">M7*0.5</f>
        <v>7.5</v>
      </c>
      <c r="O7" s="71">
        <v>1018</v>
      </c>
      <c r="P7" s="71">
        <f t="shared" ref="P7:P32" si="15">IF(ISBLANK(O7),"0",O7-O6)</f>
        <v>8</v>
      </c>
      <c r="Q7" s="71">
        <f t="shared" ref="Q7:Q32" si="16">P7*0.5</f>
        <v>4</v>
      </c>
      <c r="R7" s="74">
        <f t="shared" ref="R7:R32" si="17">C7+F7+I7+K7+N7+Q7</f>
        <v>10825.232599999999</v>
      </c>
      <c r="S7" s="139">
        <f t="shared" si="0"/>
        <v>2165.0465199999999</v>
      </c>
      <c r="T7" s="88">
        <v>87838</v>
      </c>
      <c r="U7" s="71">
        <f t="shared" si="4"/>
        <v>89</v>
      </c>
      <c r="V7" s="71">
        <v>37866</v>
      </c>
      <c r="W7" s="71">
        <f t="shared" si="5"/>
        <v>13</v>
      </c>
      <c r="X7" s="75">
        <f t="shared" ref="X7:X32" si="18">U7-W7</f>
        <v>76</v>
      </c>
      <c r="Y7" s="135">
        <f t="shared" ref="Y7:Y32" si="19">X7*7.84</f>
        <v>595.84</v>
      </c>
      <c r="Z7" s="88">
        <v>1</v>
      </c>
      <c r="AA7" s="76">
        <f t="shared" ref="AA7:AA35" si="20">Z7*22.6796*1.96</f>
        <v>44.452016</v>
      </c>
      <c r="AB7" s="202">
        <f t="shared" ref="AB7:AB35" si="21">AA7*2.7659</f>
        <v>122.94983105439999</v>
      </c>
      <c r="AC7" s="133">
        <v>5</v>
      </c>
      <c r="AD7" s="88">
        <v>83323</v>
      </c>
      <c r="AE7" s="341">
        <f t="shared" si="6"/>
        <v>21.3288083138441</v>
      </c>
      <c r="AF7" s="76">
        <f t="shared" si="1"/>
        <v>6064.7400000000007</v>
      </c>
      <c r="AG7" s="119">
        <f t="shared" ref="AG7:AG32" si="22">AF7*0.3449</f>
        <v>2091.728826</v>
      </c>
      <c r="AH7" s="119">
        <f t="shared" ref="AH7:AH35" si="23">IF(ISBLANK(AD7),"0",1754*1608.73/12/31*0.66)</f>
        <v>5006.2639709677424</v>
      </c>
      <c r="AI7" s="77">
        <f t="shared" si="7"/>
        <v>7097.9927969677428</v>
      </c>
      <c r="AJ7" s="73">
        <v>3010183</v>
      </c>
      <c r="AK7" s="73">
        <f t="shared" ref="AK7:AK32" si="24">IF(ISBLANK(AJ7),"0",AJ7-AJ6)</f>
        <v>9189</v>
      </c>
      <c r="AL7" s="183">
        <f t="shared" si="2"/>
        <v>32.316376233097117</v>
      </c>
      <c r="AM7" s="85">
        <v>0.96140000000000003</v>
      </c>
      <c r="AN7" s="78">
        <v>303</v>
      </c>
    </row>
    <row r="8" spans="1:43" s="3" customFormat="1" ht="27.95" customHeight="1" x14ac:dyDescent="0.25">
      <c r="A8" s="116">
        <v>45781</v>
      </c>
      <c r="B8" s="88">
        <v>10010080</v>
      </c>
      <c r="C8" s="71">
        <f t="shared" si="8"/>
        <v>2519</v>
      </c>
      <c r="D8" s="71">
        <v>24360957</v>
      </c>
      <c r="E8" s="71">
        <f t="shared" si="3"/>
        <v>5789</v>
      </c>
      <c r="F8" s="72">
        <f t="shared" si="9"/>
        <v>5463.6581999999999</v>
      </c>
      <c r="G8" s="71">
        <v>15772436</v>
      </c>
      <c r="H8" s="71">
        <f t="shared" si="10"/>
        <v>3585</v>
      </c>
      <c r="I8" s="72">
        <f t="shared" si="11"/>
        <v>2343.1559999999999</v>
      </c>
      <c r="J8" s="71">
        <v>3821591</v>
      </c>
      <c r="K8" s="71">
        <f t="shared" si="12"/>
        <v>839</v>
      </c>
      <c r="L8" s="71">
        <v>1749</v>
      </c>
      <c r="M8" s="71">
        <f t="shared" si="13"/>
        <v>0</v>
      </c>
      <c r="N8" s="71">
        <f t="shared" si="14"/>
        <v>0</v>
      </c>
      <c r="O8" s="71">
        <v>1018</v>
      </c>
      <c r="P8" s="71">
        <f t="shared" si="15"/>
        <v>0</v>
      </c>
      <c r="Q8" s="71">
        <f t="shared" si="16"/>
        <v>0</v>
      </c>
      <c r="R8" s="74">
        <f>C8+F8+I8+K8+N8+Q8</f>
        <v>11164.814200000001</v>
      </c>
      <c r="S8" s="139">
        <f t="shared" si="0"/>
        <v>2232.9628400000001</v>
      </c>
      <c r="T8" s="88">
        <v>87924</v>
      </c>
      <c r="U8" s="71">
        <f>IF(ISBLANK(T8),"0",T8-T7)</f>
        <v>86</v>
      </c>
      <c r="V8" s="71">
        <v>37882</v>
      </c>
      <c r="W8" s="71">
        <f t="shared" si="5"/>
        <v>16</v>
      </c>
      <c r="X8" s="75">
        <f t="shared" si="18"/>
        <v>70</v>
      </c>
      <c r="Y8" s="135">
        <f t="shared" si="19"/>
        <v>548.79999999999995</v>
      </c>
      <c r="Z8" s="88">
        <v>1</v>
      </c>
      <c r="AA8" s="76">
        <f t="shared" si="20"/>
        <v>44.452016</v>
      </c>
      <c r="AB8" s="202">
        <f t="shared" si="21"/>
        <v>122.94983105439999</v>
      </c>
      <c r="AC8" s="133">
        <v>0</v>
      </c>
      <c r="AD8" s="88">
        <v>83335</v>
      </c>
      <c r="AE8" s="341">
        <f t="shared" si="6"/>
        <v>22.187624188925426</v>
      </c>
      <c r="AF8" s="76">
        <f t="shared" si="1"/>
        <v>6308.9400000000005</v>
      </c>
      <c r="AG8" s="119">
        <f t="shared" si="22"/>
        <v>2175.9534060000001</v>
      </c>
      <c r="AH8" s="119">
        <f t="shared" si="23"/>
        <v>5006.2639709677424</v>
      </c>
      <c r="AI8" s="77">
        <f t="shared" si="7"/>
        <v>7182.2173769677429</v>
      </c>
      <c r="AJ8" s="73">
        <v>3019742</v>
      </c>
      <c r="AK8" s="73">
        <f t="shared" si="24"/>
        <v>9559</v>
      </c>
      <c r="AL8" s="183">
        <f t="shared" si="2"/>
        <v>33.617612407462765</v>
      </c>
      <c r="AM8" s="85">
        <v>0.9768</v>
      </c>
      <c r="AN8" s="78">
        <v>288</v>
      </c>
    </row>
    <row r="9" spans="1:43" s="3" customFormat="1" ht="27.95" customHeight="1" x14ac:dyDescent="0.25">
      <c r="A9" s="116">
        <v>45782</v>
      </c>
      <c r="B9" s="88">
        <v>10012453</v>
      </c>
      <c r="C9" s="71">
        <f t="shared" si="8"/>
        <v>2373</v>
      </c>
      <c r="D9" s="71">
        <v>24366655</v>
      </c>
      <c r="E9" s="71">
        <f t="shared" si="3"/>
        <v>5698</v>
      </c>
      <c r="F9" s="72">
        <f t="shared" si="9"/>
        <v>5377.7723999999998</v>
      </c>
      <c r="G9" s="71">
        <v>15776065</v>
      </c>
      <c r="H9" s="71">
        <f t="shared" si="10"/>
        <v>3629</v>
      </c>
      <c r="I9" s="72">
        <f t="shared" si="11"/>
        <v>2371.9143999999997</v>
      </c>
      <c r="J9" s="71">
        <v>3822432</v>
      </c>
      <c r="K9" s="71">
        <f t="shared" si="12"/>
        <v>841</v>
      </c>
      <c r="L9" s="71">
        <v>1749</v>
      </c>
      <c r="M9" s="71">
        <f t="shared" si="13"/>
        <v>0</v>
      </c>
      <c r="N9" s="71">
        <f t="shared" si="14"/>
        <v>0</v>
      </c>
      <c r="O9" s="71">
        <v>1018</v>
      </c>
      <c r="P9" s="71">
        <f t="shared" si="15"/>
        <v>0</v>
      </c>
      <c r="Q9" s="71">
        <f t="shared" si="16"/>
        <v>0</v>
      </c>
      <c r="R9" s="74">
        <f t="shared" si="17"/>
        <v>10963.686799999999</v>
      </c>
      <c r="S9" s="139">
        <f t="shared" si="0"/>
        <v>2192.7373600000001</v>
      </c>
      <c r="T9" s="88">
        <v>87989</v>
      </c>
      <c r="U9" s="71">
        <f t="shared" si="4"/>
        <v>65</v>
      </c>
      <c r="V9" s="71">
        <v>37894</v>
      </c>
      <c r="W9" s="71">
        <f t="shared" si="5"/>
        <v>12</v>
      </c>
      <c r="X9" s="75">
        <f t="shared" si="18"/>
        <v>53</v>
      </c>
      <c r="Y9" s="135">
        <f t="shared" si="19"/>
        <v>415.52</v>
      </c>
      <c r="Z9" s="88">
        <v>1</v>
      </c>
      <c r="AA9" s="76">
        <f t="shared" si="20"/>
        <v>44.452016</v>
      </c>
      <c r="AB9" s="202">
        <f t="shared" si="21"/>
        <v>122.94983105439999</v>
      </c>
      <c r="AC9" s="133">
        <v>0</v>
      </c>
      <c r="AD9" s="88">
        <v>83347</v>
      </c>
      <c r="AE9" s="341">
        <f t="shared" si="6"/>
        <v>23.081256923807345</v>
      </c>
      <c r="AF9" s="76">
        <f t="shared" ref="AF9:AF32" si="25">IF(ISBLANK(AD9),"0 ",AE9*284.345)</f>
        <v>6563.04</v>
      </c>
      <c r="AG9" s="119">
        <f t="shared" si="22"/>
        <v>2263.5924959999998</v>
      </c>
      <c r="AH9" s="119">
        <f t="shared" si="23"/>
        <v>5006.2639709677424</v>
      </c>
      <c r="AI9" s="77">
        <f t="shared" si="7"/>
        <v>7269.8564669677417</v>
      </c>
      <c r="AJ9" s="73">
        <v>3029686</v>
      </c>
      <c r="AK9" s="73">
        <f t="shared" si="24"/>
        <v>9944</v>
      </c>
      <c r="AL9" s="183">
        <f t="shared" si="2"/>
        <v>34.971601399708099</v>
      </c>
      <c r="AM9" s="85">
        <v>0.9768</v>
      </c>
      <c r="AN9" s="78">
        <v>292</v>
      </c>
    </row>
    <row r="10" spans="1:43" s="3" customFormat="1" ht="27.95" customHeight="1" x14ac:dyDescent="0.25">
      <c r="A10" s="116">
        <v>45783</v>
      </c>
      <c r="B10" s="88">
        <v>10014789</v>
      </c>
      <c r="C10" s="71">
        <f>IF(ISBLANK(B10),"0",B10-B9)</f>
        <v>2336</v>
      </c>
      <c r="D10" s="71">
        <v>24372190</v>
      </c>
      <c r="E10" s="71">
        <f t="shared" si="3"/>
        <v>5535</v>
      </c>
      <c r="F10" s="72">
        <f t="shared" si="9"/>
        <v>5223.933</v>
      </c>
      <c r="G10" s="71">
        <v>15779695</v>
      </c>
      <c r="H10" s="71">
        <f t="shared" si="10"/>
        <v>3630</v>
      </c>
      <c r="I10" s="72">
        <f t="shared" si="11"/>
        <v>2372.5679999999998</v>
      </c>
      <c r="J10" s="71">
        <v>3823279</v>
      </c>
      <c r="K10" s="71">
        <f t="shared" si="12"/>
        <v>847</v>
      </c>
      <c r="L10" s="71">
        <v>1749</v>
      </c>
      <c r="M10" s="71">
        <f t="shared" si="13"/>
        <v>0</v>
      </c>
      <c r="N10" s="71">
        <f t="shared" si="14"/>
        <v>0</v>
      </c>
      <c r="O10" s="71">
        <v>1018</v>
      </c>
      <c r="P10" s="71">
        <f t="shared" si="15"/>
        <v>0</v>
      </c>
      <c r="Q10" s="71">
        <f t="shared" si="16"/>
        <v>0</v>
      </c>
      <c r="R10" s="74">
        <f t="shared" si="17"/>
        <v>10779.501</v>
      </c>
      <c r="S10" s="139">
        <f t="shared" si="0"/>
        <v>2155.9002</v>
      </c>
      <c r="T10" s="88">
        <v>88068</v>
      </c>
      <c r="U10" s="71">
        <f t="shared" si="4"/>
        <v>79</v>
      </c>
      <c r="V10" s="71">
        <v>37916</v>
      </c>
      <c r="W10" s="71">
        <f t="shared" si="5"/>
        <v>22</v>
      </c>
      <c r="X10" s="75">
        <f t="shared" si="18"/>
        <v>57</v>
      </c>
      <c r="Y10" s="135">
        <f t="shared" si="19"/>
        <v>446.88</v>
      </c>
      <c r="Z10" s="88">
        <v>1</v>
      </c>
      <c r="AA10" s="76">
        <f t="shared" si="20"/>
        <v>44.452016</v>
      </c>
      <c r="AB10" s="202">
        <f t="shared" si="21"/>
        <v>122.94983105439999</v>
      </c>
      <c r="AC10" s="133">
        <v>0</v>
      </c>
      <c r="AD10" s="88">
        <v>83359</v>
      </c>
      <c r="AE10" s="341">
        <f t="shared" si="6"/>
        <v>24.740860574302342</v>
      </c>
      <c r="AF10" s="76">
        <f t="shared" si="25"/>
        <v>7034.9400000000005</v>
      </c>
      <c r="AG10" s="119">
        <f t="shared" si="22"/>
        <v>2426.3508059999999</v>
      </c>
      <c r="AH10" s="119">
        <f t="shared" si="23"/>
        <v>5006.2639709677424</v>
      </c>
      <c r="AI10" s="77">
        <f t="shared" si="7"/>
        <v>7432.6147769677427</v>
      </c>
      <c r="AJ10" s="73">
        <v>3040345</v>
      </c>
      <c r="AK10" s="73">
        <f t="shared" si="24"/>
        <v>10659</v>
      </c>
      <c r="AL10" s="183">
        <f t="shared" si="2"/>
        <v>37.486152385306575</v>
      </c>
      <c r="AM10" s="85">
        <v>0.98070000000000002</v>
      </c>
      <c r="AN10" s="78">
        <v>296</v>
      </c>
    </row>
    <row r="11" spans="1:43" s="3" customFormat="1" ht="27.95" customHeight="1" x14ac:dyDescent="0.25">
      <c r="A11" s="116">
        <v>45784</v>
      </c>
      <c r="B11" s="88">
        <v>10017152</v>
      </c>
      <c r="C11" s="71">
        <f t="shared" si="8"/>
        <v>2363</v>
      </c>
      <c r="D11" s="71">
        <v>24378110</v>
      </c>
      <c r="E11" s="71">
        <f t="shared" si="3"/>
        <v>5920</v>
      </c>
      <c r="F11" s="72">
        <f t="shared" si="9"/>
        <v>5587.2960000000003</v>
      </c>
      <c r="G11" s="71">
        <v>15783305</v>
      </c>
      <c r="H11" s="71">
        <f t="shared" si="10"/>
        <v>3610</v>
      </c>
      <c r="I11" s="72">
        <f t="shared" si="11"/>
        <v>2359.4959999999996</v>
      </c>
      <c r="J11" s="71">
        <v>3824097</v>
      </c>
      <c r="K11" s="71">
        <f t="shared" si="12"/>
        <v>818</v>
      </c>
      <c r="L11" s="71">
        <v>1749</v>
      </c>
      <c r="M11" s="71">
        <f t="shared" si="13"/>
        <v>0</v>
      </c>
      <c r="N11" s="71">
        <f t="shared" si="14"/>
        <v>0</v>
      </c>
      <c r="O11" s="71">
        <v>1018</v>
      </c>
      <c r="P11" s="71">
        <f t="shared" si="15"/>
        <v>0</v>
      </c>
      <c r="Q11" s="71">
        <f t="shared" si="16"/>
        <v>0</v>
      </c>
      <c r="R11" s="74">
        <f t="shared" si="17"/>
        <v>11127.791999999999</v>
      </c>
      <c r="S11" s="139">
        <f t="shared" si="0"/>
        <v>2225.5583999999999</v>
      </c>
      <c r="T11" s="88">
        <v>88121</v>
      </c>
      <c r="U11" s="71">
        <f t="shared" si="4"/>
        <v>53</v>
      </c>
      <c r="V11" s="71">
        <v>37929</v>
      </c>
      <c r="W11" s="71">
        <f t="shared" si="5"/>
        <v>13</v>
      </c>
      <c r="X11" s="75">
        <f t="shared" si="18"/>
        <v>40</v>
      </c>
      <c r="Y11" s="135">
        <f t="shared" si="19"/>
        <v>313.60000000000002</v>
      </c>
      <c r="Z11" s="88">
        <v>1</v>
      </c>
      <c r="AA11" s="76">
        <f t="shared" si="20"/>
        <v>44.452016</v>
      </c>
      <c r="AB11" s="202">
        <f t="shared" si="21"/>
        <v>122.94983105439999</v>
      </c>
      <c r="AC11" s="133">
        <v>5</v>
      </c>
      <c r="AD11" s="88">
        <v>83371</v>
      </c>
      <c r="AE11" s="341">
        <f t="shared" si="6"/>
        <v>20.576764142151259</v>
      </c>
      <c r="AF11" s="76">
        <f t="shared" si="25"/>
        <v>5850.9000000000005</v>
      </c>
      <c r="AG11" s="119">
        <f t="shared" si="22"/>
        <v>2017.97541</v>
      </c>
      <c r="AH11" s="119">
        <f t="shared" si="23"/>
        <v>5006.2639709677424</v>
      </c>
      <c r="AI11" s="77">
        <f t="shared" si="7"/>
        <v>7024.2393809677424</v>
      </c>
      <c r="AJ11" s="73">
        <v>3049210</v>
      </c>
      <c r="AK11" s="73">
        <f t="shared" si="24"/>
        <v>8865</v>
      </c>
      <c r="AL11" s="183">
        <f t="shared" si="2"/>
        <v>31.176915366895845</v>
      </c>
      <c r="AM11" s="85">
        <v>0.96140000000000003</v>
      </c>
      <c r="AN11" s="78">
        <v>296</v>
      </c>
    </row>
    <row r="12" spans="1:43" s="3" customFormat="1" ht="27.95" customHeight="1" x14ac:dyDescent="0.25">
      <c r="A12" s="116">
        <v>45785</v>
      </c>
      <c r="B12" s="88">
        <v>10019454</v>
      </c>
      <c r="C12" s="71">
        <f t="shared" si="8"/>
        <v>2302</v>
      </c>
      <c r="D12" s="71">
        <v>24384391</v>
      </c>
      <c r="E12" s="71">
        <f t="shared" si="3"/>
        <v>6281</v>
      </c>
      <c r="F12" s="72">
        <f t="shared" si="9"/>
        <v>5928.0077999999994</v>
      </c>
      <c r="G12" s="71">
        <v>15786684</v>
      </c>
      <c r="H12" s="71">
        <f t="shared" si="10"/>
        <v>3379</v>
      </c>
      <c r="I12" s="72">
        <f t="shared" si="11"/>
        <v>2208.5144</v>
      </c>
      <c r="J12" s="71">
        <v>3824983</v>
      </c>
      <c r="K12" s="71">
        <f t="shared" si="12"/>
        <v>886</v>
      </c>
      <c r="L12" s="71">
        <v>1749</v>
      </c>
      <c r="M12" s="71">
        <f t="shared" si="13"/>
        <v>0</v>
      </c>
      <c r="N12" s="71">
        <f t="shared" si="14"/>
        <v>0</v>
      </c>
      <c r="O12" s="71">
        <v>1018</v>
      </c>
      <c r="P12" s="71">
        <f t="shared" si="15"/>
        <v>0</v>
      </c>
      <c r="Q12" s="71">
        <f t="shared" si="16"/>
        <v>0</v>
      </c>
      <c r="R12" s="74">
        <f t="shared" si="17"/>
        <v>11324.522199999999</v>
      </c>
      <c r="S12" s="139">
        <f>R12*0.2</f>
        <v>2264.9044399999998</v>
      </c>
      <c r="T12" s="88">
        <v>88194</v>
      </c>
      <c r="U12" s="71">
        <f t="shared" si="4"/>
        <v>73</v>
      </c>
      <c r="V12" s="71">
        <v>37942</v>
      </c>
      <c r="W12" s="71">
        <f t="shared" si="5"/>
        <v>13</v>
      </c>
      <c r="X12" s="75">
        <f>U12-W12</f>
        <v>60</v>
      </c>
      <c r="Y12" s="135">
        <f t="shared" si="19"/>
        <v>470.4</v>
      </c>
      <c r="Z12" s="88">
        <v>1</v>
      </c>
      <c r="AA12" s="76">
        <f t="shared" si="20"/>
        <v>44.452016</v>
      </c>
      <c r="AB12" s="202">
        <f t="shared" si="21"/>
        <v>122.94983105439999</v>
      </c>
      <c r="AC12" s="133">
        <v>0</v>
      </c>
      <c r="AD12" s="88">
        <v>83383</v>
      </c>
      <c r="AE12" s="341">
        <f t="shared" si="6"/>
        <v>19.490478116372714</v>
      </c>
      <c r="AF12" s="76">
        <f t="shared" si="25"/>
        <v>5542.0199999999995</v>
      </c>
      <c r="AG12" s="119">
        <f t="shared" si="22"/>
        <v>1911.4426979999998</v>
      </c>
      <c r="AH12" s="119">
        <f t="shared" si="23"/>
        <v>5006.2639709677424</v>
      </c>
      <c r="AI12" s="77">
        <f t="shared" si="7"/>
        <v>6917.7066689677422</v>
      </c>
      <c r="AJ12" s="73">
        <v>3057607</v>
      </c>
      <c r="AK12" s="73">
        <f t="shared" si="24"/>
        <v>8397</v>
      </c>
      <c r="AL12" s="183">
        <f t="shared" si="2"/>
        <v>29.531027449049567</v>
      </c>
      <c r="AM12" s="85">
        <v>0.83779999999999999</v>
      </c>
      <c r="AN12" s="78">
        <v>259</v>
      </c>
    </row>
    <row r="13" spans="1:43" s="3" customFormat="1" ht="27.95" customHeight="1" x14ac:dyDescent="0.25">
      <c r="A13" s="116">
        <v>45786</v>
      </c>
      <c r="B13" s="88">
        <v>10021738</v>
      </c>
      <c r="C13" s="71">
        <f t="shared" si="8"/>
        <v>2284</v>
      </c>
      <c r="D13" s="71">
        <v>24390759</v>
      </c>
      <c r="E13" s="71">
        <f t="shared" si="3"/>
        <v>6368</v>
      </c>
      <c r="F13" s="72">
        <f t="shared" si="9"/>
        <v>6010.1183999999994</v>
      </c>
      <c r="G13" s="71">
        <v>15789707</v>
      </c>
      <c r="H13" s="71">
        <f t="shared" si="10"/>
        <v>3023</v>
      </c>
      <c r="I13" s="72">
        <f t="shared" si="11"/>
        <v>1975.8327999999999</v>
      </c>
      <c r="J13" s="71">
        <v>3825827</v>
      </c>
      <c r="K13" s="71">
        <f t="shared" si="12"/>
        <v>844</v>
      </c>
      <c r="L13" s="71">
        <v>1749</v>
      </c>
      <c r="M13" s="71">
        <f t="shared" si="13"/>
        <v>0</v>
      </c>
      <c r="N13" s="71">
        <f t="shared" si="14"/>
        <v>0</v>
      </c>
      <c r="O13" s="71">
        <v>1018</v>
      </c>
      <c r="P13" s="71">
        <f t="shared" si="15"/>
        <v>0</v>
      </c>
      <c r="Q13" s="71">
        <f t="shared" si="16"/>
        <v>0</v>
      </c>
      <c r="R13" s="74">
        <f t="shared" si="17"/>
        <v>11113.9512</v>
      </c>
      <c r="S13" s="139">
        <f>R13*0.2</f>
        <v>2222.7902399999998</v>
      </c>
      <c r="T13" s="88">
        <v>88267</v>
      </c>
      <c r="U13" s="71">
        <f t="shared" si="4"/>
        <v>73</v>
      </c>
      <c r="V13" s="71">
        <v>37963</v>
      </c>
      <c r="W13" s="71">
        <f t="shared" si="5"/>
        <v>21</v>
      </c>
      <c r="X13" s="75">
        <f t="shared" ref="X13:X14" si="26">U13-W13</f>
        <v>52</v>
      </c>
      <c r="Y13" s="135">
        <f t="shared" si="19"/>
        <v>407.68</v>
      </c>
      <c r="Z13" s="88">
        <v>1</v>
      </c>
      <c r="AA13" s="76">
        <f t="shared" si="20"/>
        <v>44.452016</v>
      </c>
      <c r="AB13" s="202">
        <f t="shared" si="21"/>
        <v>122.94983105439999</v>
      </c>
      <c r="AC13" s="133">
        <v>0</v>
      </c>
      <c r="AD13" s="88">
        <v>83395</v>
      </c>
      <c r="AE13" s="341">
        <f t="shared" si="6"/>
        <v>20.105575972849881</v>
      </c>
      <c r="AF13" s="76">
        <f t="shared" si="25"/>
        <v>5716.92</v>
      </c>
      <c r="AG13" s="119">
        <f t="shared" si="22"/>
        <v>1971.7657079999999</v>
      </c>
      <c r="AH13" s="119">
        <f t="shared" si="23"/>
        <v>5006.2639709677424</v>
      </c>
      <c r="AI13" s="77">
        <f t="shared" si="7"/>
        <v>6978.0296789677423</v>
      </c>
      <c r="AJ13" s="73">
        <v>3066269</v>
      </c>
      <c r="AK13" s="73">
        <f t="shared" si="24"/>
        <v>8662</v>
      </c>
      <c r="AL13" s="183">
        <f t="shared" si="2"/>
        <v>30.462993898257395</v>
      </c>
      <c r="AM13" s="85">
        <v>0.81</v>
      </c>
      <c r="AN13" s="78">
        <v>254</v>
      </c>
    </row>
    <row r="14" spans="1:43" s="3" customFormat="1" ht="27.75" customHeight="1" x14ac:dyDescent="0.25">
      <c r="A14" s="116">
        <v>45787</v>
      </c>
      <c r="B14" s="88">
        <v>10024121</v>
      </c>
      <c r="C14" s="71">
        <f t="shared" si="8"/>
        <v>2383</v>
      </c>
      <c r="D14" s="71">
        <v>24396717</v>
      </c>
      <c r="E14" s="71">
        <f t="shared" si="3"/>
        <v>5958</v>
      </c>
      <c r="F14" s="72">
        <f t="shared" si="9"/>
        <v>5623.1603999999998</v>
      </c>
      <c r="G14" s="71">
        <v>15792599</v>
      </c>
      <c r="H14" s="71">
        <f t="shared" si="10"/>
        <v>2892</v>
      </c>
      <c r="I14" s="72">
        <f t="shared" si="11"/>
        <v>1890.2112</v>
      </c>
      <c r="J14" s="71">
        <v>3826696</v>
      </c>
      <c r="K14" s="71">
        <f t="shared" si="12"/>
        <v>869</v>
      </c>
      <c r="L14" s="71">
        <v>1762</v>
      </c>
      <c r="M14" s="71">
        <f t="shared" si="13"/>
        <v>13</v>
      </c>
      <c r="N14" s="71">
        <f t="shared" si="14"/>
        <v>6.5</v>
      </c>
      <c r="O14" s="71">
        <v>1028</v>
      </c>
      <c r="P14" s="71">
        <f t="shared" si="15"/>
        <v>10</v>
      </c>
      <c r="Q14" s="71">
        <f>P14*0.5</f>
        <v>5</v>
      </c>
      <c r="R14" s="74">
        <f t="shared" si="17"/>
        <v>10776.8716</v>
      </c>
      <c r="S14" s="139">
        <f t="shared" ref="S14" si="27">R14*0.2</f>
        <v>2155.3743200000004</v>
      </c>
      <c r="T14" s="88">
        <v>88339</v>
      </c>
      <c r="U14" s="71">
        <f t="shared" si="4"/>
        <v>72</v>
      </c>
      <c r="V14" s="71">
        <v>37976</v>
      </c>
      <c r="W14" s="71">
        <f t="shared" si="5"/>
        <v>13</v>
      </c>
      <c r="X14" s="75">
        <f t="shared" si="26"/>
        <v>59</v>
      </c>
      <c r="Y14" s="135">
        <f t="shared" si="19"/>
        <v>462.56</v>
      </c>
      <c r="Z14" s="88">
        <v>2</v>
      </c>
      <c r="AA14" s="76">
        <f t="shared" si="20"/>
        <v>88.904032000000001</v>
      </c>
      <c r="AB14" s="202">
        <f t="shared" si="21"/>
        <v>245.89966210879999</v>
      </c>
      <c r="AC14" s="133">
        <v>0</v>
      </c>
      <c r="AD14" s="88">
        <v>83407</v>
      </c>
      <c r="AE14" s="341">
        <f t="shared" si="6"/>
        <v>20.711389333380225</v>
      </c>
      <c r="AF14" s="76">
        <f t="shared" si="25"/>
        <v>5889.18</v>
      </c>
      <c r="AG14" s="119">
        <f t="shared" si="22"/>
        <v>2031.1781820000001</v>
      </c>
      <c r="AH14" s="119">
        <f t="shared" si="23"/>
        <v>5006.2639709677424</v>
      </c>
      <c r="AI14" s="77">
        <f t="shared" si="7"/>
        <v>7037.442152967742</v>
      </c>
      <c r="AJ14" s="73">
        <v>3075192</v>
      </c>
      <c r="AK14" s="73">
        <f t="shared" si="24"/>
        <v>8923</v>
      </c>
      <c r="AL14" s="183">
        <f t="shared" si="2"/>
        <v>31.380892929363974</v>
      </c>
      <c r="AM14" s="178">
        <v>0.81</v>
      </c>
      <c r="AN14" s="78">
        <v>212</v>
      </c>
    </row>
    <row r="15" spans="1:43" s="3" customFormat="1" ht="27.95" customHeight="1" x14ac:dyDescent="0.25">
      <c r="A15" s="116">
        <v>45788</v>
      </c>
      <c r="B15" s="88">
        <v>10026533</v>
      </c>
      <c r="C15" s="71">
        <f t="shared" si="8"/>
        <v>2412</v>
      </c>
      <c r="D15" s="71">
        <v>24402674</v>
      </c>
      <c r="E15" s="71">
        <f t="shared" si="3"/>
        <v>5957</v>
      </c>
      <c r="F15" s="72">
        <f t="shared" si="9"/>
        <v>5622.2165999999997</v>
      </c>
      <c r="G15" s="71">
        <v>15795473</v>
      </c>
      <c r="H15" s="71">
        <f t="shared" si="10"/>
        <v>2874</v>
      </c>
      <c r="I15" s="72">
        <f t="shared" si="11"/>
        <v>1878.4463999999998</v>
      </c>
      <c r="J15" s="71">
        <v>3827549</v>
      </c>
      <c r="K15" s="71">
        <f t="shared" si="12"/>
        <v>853</v>
      </c>
      <c r="L15" s="71">
        <v>1762</v>
      </c>
      <c r="M15" s="71">
        <f t="shared" si="13"/>
        <v>0</v>
      </c>
      <c r="N15" s="71">
        <f t="shared" si="14"/>
        <v>0</v>
      </c>
      <c r="O15" s="71">
        <v>1028</v>
      </c>
      <c r="P15" s="71">
        <f t="shared" si="15"/>
        <v>0</v>
      </c>
      <c r="Q15" s="71">
        <f t="shared" si="16"/>
        <v>0</v>
      </c>
      <c r="R15" s="74">
        <f t="shared" si="17"/>
        <v>10765.663</v>
      </c>
      <c r="S15" s="139">
        <f t="shared" si="0"/>
        <v>2153.1326000000004</v>
      </c>
      <c r="T15" s="88">
        <v>88408</v>
      </c>
      <c r="U15" s="71">
        <f t="shared" si="4"/>
        <v>69</v>
      </c>
      <c r="V15" s="71">
        <v>37990</v>
      </c>
      <c r="W15" s="71">
        <f t="shared" si="5"/>
        <v>14</v>
      </c>
      <c r="X15" s="75">
        <f t="shared" si="18"/>
        <v>55</v>
      </c>
      <c r="Y15" s="135">
        <f t="shared" si="19"/>
        <v>431.2</v>
      </c>
      <c r="Z15" s="88">
        <v>1</v>
      </c>
      <c r="AA15" s="76">
        <f t="shared" si="20"/>
        <v>44.452016</v>
      </c>
      <c r="AB15" s="202">
        <f t="shared" si="21"/>
        <v>122.94983105439999</v>
      </c>
      <c r="AC15" s="133">
        <v>0</v>
      </c>
      <c r="AD15" s="173">
        <v>83419</v>
      </c>
      <c r="AE15" s="341">
        <f t="shared" si="6"/>
        <v>22.187624188925426</v>
      </c>
      <c r="AF15" s="76">
        <f t="shared" si="25"/>
        <v>6308.9400000000005</v>
      </c>
      <c r="AG15" s="119">
        <f t="shared" si="22"/>
        <v>2175.9534060000001</v>
      </c>
      <c r="AH15" s="119">
        <f t="shared" si="23"/>
        <v>5006.2639709677424</v>
      </c>
      <c r="AI15" s="77">
        <f t="shared" si="7"/>
        <v>7182.2173769677429</v>
      </c>
      <c r="AJ15" s="73">
        <v>3084751</v>
      </c>
      <c r="AK15" s="73">
        <f t="shared" si="24"/>
        <v>9559</v>
      </c>
      <c r="AL15" s="183">
        <f t="shared" si="2"/>
        <v>33.617612407462765</v>
      </c>
      <c r="AM15" s="85">
        <v>0.80689999999999995</v>
      </c>
      <c r="AN15" s="78">
        <v>238</v>
      </c>
    </row>
    <row r="16" spans="1:43" s="3" customFormat="1" ht="27.95" customHeight="1" x14ac:dyDescent="0.25">
      <c r="A16" s="116">
        <v>45789</v>
      </c>
      <c r="B16" s="88">
        <v>10028897</v>
      </c>
      <c r="C16" s="71">
        <f t="shared" si="8"/>
        <v>2364</v>
      </c>
      <c r="D16" s="71">
        <v>24408717</v>
      </c>
      <c r="E16" s="71">
        <f t="shared" si="3"/>
        <v>6043</v>
      </c>
      <c r="F16" s="72">
        <f t="shared" si="9"/>
        <v>5703.3833999999997</v>
      </c>
      <c r="G16" s="71">
        <v>15798211</v>
      </c>
      <c r="H16" s="71">
        <f t="shared" si="10"/>
        <v>2738</v>
      </c>
      <c r="I16" s="72">
        <f t="shared" si="11"/>
        <v>1789.5567999999998</v>
      </c>
      <c r="J16" s="71">
        <v>3828375</v>
      </c>
      <c r="K16" s="71">
        <f t="shared" si="12"/>
        <v>826</v>
      </c>
      <c r="L16" s="71">
        <v>1762</v>
      </c>
      <c r="M16" s="71">
        <f t="shared" si="13"/>
        <v>0</v>
      </c>
      <c r="N16" s="71">
        <f t="shared" si="14"/>
        <v>0</v>
      </c>
      <c r="O16" s="71">
        <v>1028</v>
      </c>
      <c r="P16" s="71">
        <f t="shared" si="15"/>
        <v>0</v>
      </c>
      <c r="Q16" s="71">
        <f t="shared" si="16"/>
        <v>0</v>
      </c>
      <c r="R16" s="74">
        <f t="shared" si="17"/>
        <v>10682.940199999999</v>
      </c>
      <c r="S16" s="139">
        <f t="shared" si="0"/>
        <v>2136.5880400000001</v>
      </c>
      <c r="T16" s="88">
        <v>88476</v>
      </c>
      <c r="U16" s="71">
        <f t="shared" si="4"/>
        <v>68</v>
      </c>
      <c r="V16" s="71">
        <v>38003</v>
      </c>
      <c r="W16" s="71">
        <f t="shared" si="5"/>
        <v>13</v>
      </c>
      <c r="X16" s="75">
        <f t="shared" si="18"/>
        <v>55</v>
      </c>
      <c r="Y16" s="135">
        <f t="shared" si="19"/>
        <v>431.2</v>
      </c>
      <c r="Z16" s="88">
        <v>1</v>
      </c>
      <c r="AA16" s="76">
        <f t="shared" si="20"/>
        <v>44.452016</v>
      </c>
      <c r="AB16" s="202">
        <f t="shared" si="21"/>
        <v>122.94983105439999</v>
      </c>
      <c r="AC16" s="133">
        <v>5</v>
      </c>
      <c r="AD16" s="88">
        <v>83431</v>
      </c>
      <c r="AE16" s="341">
        <f t="shared" si="6"/>
        <v>21.477360248993303</v>
      </c>
      <c r="AF16" s="76">
        <f t="shared" si="25"/>
        <v>6106.9800000000014</v>
      </c>
      <c r="AG16" s="119">
        <f t="shared" si="22"/>
        <v>2106.2974020000006</v>
      </c>
      <c r="AH16" s="119">
        <f t="shared" si="23"/>
        <v>5006.2639709677424</v>
      </c>
      <c r="AI16" s="77">
        <f t="shared" si="7"/>
        <v>7112.5613729677425</v>
      </c>
      <c r="AJ16" s="73">
        <v>3094004</v>
      </c>
      <c r="AK16" s="73">
        <f t="shared" si="24"/>
        <v>9253</v>
      </c>
      <c r="AL16" s="183">
        <f t="shared" si="2"/>
        <v>32.541454922717122</v>
      </c>
      <c r="AM16" s="85">
        <v>0.89</v>
      </c>
      <c r="AN16" s="78">
        <v>233</v>
      </c>
    </row>
    <row r="17" spans="1:40" s="3" customFormat="1" ht="27.95" customHeight="1" x14ac:dyDescent="0.25">
      <c r="A17" s="116">
        <v>45790</v>
      </c>
      <c r="B17" s="88">
        <v>10031163</v>
      </c>
      <c r="C17" s="71">
        <f t="shared" si="8"/>
        <v>2266</v>
      </c>
      <c r="D17" s="71">
        <v>24414365</v>
      </c>
      <c r="E17" s="71">
        <f t="shared" si="3"/>
        <v>5648</v>
      </c>
      <c r="F17" s="72">
        <f t="shared" si="9"/>
        <v>5330.5824000000002</v>
      </c>
      <c r="G17" s="71">
        <v>15800906</v>
      </c>
      <c r="H17" s="71">
        <f t="shared" si="10"/>
        <v>2695</v>
      </c>
      <c r="I17" s="72">
        <f t="shared" si="11"/>
        <v>1761.452</v>
      </c>
      <c r="J17" s="71">
        <v>3829147</v>
      </c>
      <c r="K17" s="71">
        <f t="shared" si="12"/>
        <v>772</v>
      </c>
      <c r="L17" s="71">
        <v>1762</v>
      </c>
      <c r="M17" s="71">
        <f t="shared" si="13"/>
        <v>0</v>
      </c>
      <c r="N17" s="71">
        <f t="shared" si="14"/>
        <v>0</v>
      </c>
      <c r="O17" s="71">
        <v>1028</v>
      </c>
      <c r="P17" s="71">
        <f t="shared" si="15"/>
        <v>0</v>
      </c>
      <c r="Q17" s="71">
        <f t="shared" si="16"/>
        <v>0</v>
      </c>
      <c r="R17" s="74">
        <f t="shared" si="17"/>
        <v>10130.0344</v>
      </c>
      <c r="S17" s="139">
        <f t="shared" si="0"/>
        <v>2026.0068800000001</v>
      </c>
      <c r="T17" s="88">
        <v>88518</v>
      </c>
      <c r="U17" s="71">
        <f t="shared" si="4"/>
        <v>42</v>
      </c>
      <c r="V17" s="71">
        <v>38018</v>
      </c>
      <c r="W17" s="71">
        <f t="shared" si="5"/>
        <v>15</v>
      </c>
      <c r="X17" s="75">
        <f t="shared" si="18"/>
        <v>27</v>
      </c>
      <c r="Y17" s="135">
        <f t="shared" si="19"/>
        <v>211.68</v>
      </c>
      <c r="Z17" s="88">
        <v>1</v>
      </c>
      <c r="AA17" s="76">
        <f t="shared" si="20"/>
        <v>44.452016</v>
      </c>
      <c r="AB17" s="77">
        <f t="shared" si="21"/>
        <v>122.94983105439999</v>
      </c>
      <c r="AC17" s="133">
        <v>0</v>
      </c>
      <c r="AD17" s="88">
        <v>83443</v>
      </c>
      <c r="AE17" s="341">
        <f t="shared" si="6"/>
        <v>20.576764142151259</v>
      </c>
      <c r="AF17" s="76">
        <f t="shared" si="25"/>
        <v>5850.9000000000005</v>
      </c>
      <c r="AG17" s="119">
        <f t="shared" si="22"/>
        <v>2017.97541</v>
      </c>
      <c r="AH17" s="119">
        <f t="shared" si="23"/>
        <v>5006.2639709677424</v>
      </c>
      <c r="AI17" s="77">
        <f t="shared" si="7"/>
        <v>7024.2393809677424</v>
      </c>
      <c r="AJ17" s="73">
        <v>3102869</v>
      </c>
      <c r="AK17" s="73">
        <f t="shared" si="24"/>
        <v>8865</v>
      </c>
      <c r="AL17" s="183">
        <f t="shared" si="2"/>
        <v>31.176915366895845</v>
      </c>
      <c r="AM17" s="85">
        <v>0.94589999999999996</v>
      </c>
      <c r="AN17" s="78">
        <v>273</v>
      </c>
    </row>
    <row r="18" spans="1:40" s="3" customFormat="1" ht="27.95" customHeight="1" x14ac:dyDescent="0.25">
      <c r="A18" s="116">
        <v>45791</v>
      </c>
      <c r="B18" s="88">
        <v>10033565</v>
      </c>
      <c r="C18" s="71">
        <f t="shared" si="8"/>
        <v>2402</v>
      </c>
      <c r="D18" s="71">
        <v>24419916</v>
      </c>
      <c r="E18" s="71">
        <f t="shared" si="3"/>
        <v>5551</v>
      </c>
      <c r="F18" s="72">
        <f t="shared" si="9"/>
        <v>5239.0338000000002</v>
      </c>
      <c r="G18" s="71">
        <v>15803747</v>
      </c>
      <c r="H18" s="71">
        <f t="shared" si="10"/>
        <v>2841</v>
      </c>
      <c r="I18" s="72">
        <f t="shared" si="11"/>
        <v>1856.8775999999998</v>
      </c>
      <c r="J18" s="71">
        <v>3830009</v>
      </c>
      <c r="K18" s="71">
        <f t="shared" si="12"/>
        <v>862</v>
      </c>
      <c r="L18" s="71">
        <v>1762</v>
      </c>
      <c r="M18" s="71">
        <f t="shared" si="13"/>
        <v>0</v>
      </c>
      <c r="N18" s="71">
        <f t="shared" si="14"/>
        <v>0</v>
      </c>
      <c r="O18" s="71">
        <v>1028</v>
      </c>
      <c r="P18" s="71">
        <f t="shared" si="15"/>
        <v>0</v>
      </c>
      <c r="Q18" s="71">
        <f t="shared" si="16"/>
        <v>0</v>
      </c>
      <c r="R18" s="74">
        <f t="shared" si="17"/>
        <v>10359.911400000001</v>
      </c>
      <c r="S18" s="139">
        <f t="shared" si="0"/>
        <v>2071.9822800000002</v>
      </c>
      <c r="T18" s="88">
        <v>88613</v>
      </c>
      <c r="U18" s="71">
        <f t="shared" si="4"/>
        <v>95</v>
      </c>
      <c r="V18" s="71">
        <v>38030</v>
      </c>
      <c r="W18" s="71">
        <f t="shared" si="5"/>
        <v>12</v>
      </c>
      <c r="X18" s="75">
        <f t="shared" si="18"/>
        <v>83</v>
      </c>
      <c r="Y18" s="135">
        <f t="shared" si="19"/>
        <v>650.72</v>
      </c>
      <c r="Z18" s="88">
        <v>1</v>
      </c>
      <c r="AA18" s="76">
        <f t="shared" si="20"/>
        <v>44.452016</v>
      </c>
      <c r="AB18" s="202">
        <f t="shared" si="21"/>
        <v>122.94983105439999</v>
      </c>
      <c r="AC18" s="133">
        <v>0</v>
      </c>
      <c r="AD18" s="88">
        <v>83455</v>
      </c>
      <c r="AE18" s="341">
        <f t="shared" si="6"/>
        <v>21.681619159823455</v>
      </c>
      <c r="AF18" s="76">
        <f t="shared" si="25"/>
        <v>6165.0600000000013</v>
      </c>
      <c r="AG18" s="119">
        <f t="shared" si="22"/>
        <v>2126.3291940000004</v>
      </c>
      <c r="AH18" s="119">
        <f t="shared" si="23"/>
        <v>5006.2639709677424</v>
      </c>
      <c r="AI18" s="77">
        <f t="shared" si="7"/>
        <v>7132.5931649677423</v>
      </c>
      <c r="AJ18" s="73">
        <v>3112210</v>
      </c>
      <c r="AK18" s="73">
        <f t="shared" si="24"/>
        <v>9341</v>
      </c>
      <c r="AL18" s="183">
        <f t="shared" si="2"/>
        <v>32.850938120944626</v>
      </c>
      <c r="AM18" s="85">
        <v>0.93440000000000001</v>
      </c>
      <c r="AN18" s="159">
        <v>272</v>
      </c>
    </row>
    <row r="19" spans="1:40" s="3" customFormat="1" ht="27.95" customHeight="1" x14ac:dyDescent="0.25">
      <c r="A19" s="116">
        <v>45792</v>
      </c>
      <c r="B19" s="88">
        <v>10035974</v>
      </c>
      <c r="C19" s="71">
        <f t="shared" si="8"/>
        <v>2409</v>
      </c>
      <c r="D19" s="71">
        <v>24425641</v>
      </c>
      <c r="E19" s="71">
        <f t="shared" si="3"/>
        <v>5725</v>
      </c>
      <c r="F19" s="72">
        <f t="shared" si="9"/>
        <v>5403.2550000000001</v>
      </c>
      <c r="G19" s="71">
        <v>15806512</v>
      </c>
      <c r="H19" s="71">
        <f t="shared" si="10"/>
        <v>2765</v>
      </c>
      <c r="I19" s="72">
        <f t="shared" si="11"/>
        <v>1807.204</v>
      </c>
      <c r="J19" s="71">
        <v>3830892</v>
      </c>
      <c r="K19" s="71">
        <f t="shared" si="12"/>
        <v>883</v>
      </c>
      <c r="L19" s="71">
        <v>1762</v>
      </c>
      <c r="M19" s="71">
        <f t="shared" si="13"/>
        <v>0</v>
      </c>
      <c r="N19" s="71">
        <f t="shared" si="14"/>
        <v>0</v>
      </c>
      <c r="O19" s="71">
        <v>1028</v>
      </c>
      <c r="P19" s="71">
        <f t="shared" si="15"/>
        <v>0</v>
      </c>
      <c r="Q19" s="71">
        <f t="shared" si="16"/>
        <v>0</v>
      </c>
      <c r="R19" s="74">
        <f t="shared" si="17"/>
        <v>10502.459000000001</v>
      </c>
      <c r="S19" s="139">
        <f t="shared" si="0"/>
        <v>2100.4918000000002</v>
      </c>
      <c r="T19" s="88">
        <v>88663</v>
      </c>
      <c r="U19" s="71">
        <f t="shared" si="4"/>
        <v>50</v>
      </c>
      <c r="V19" s="71">
        <v>38043</v>
      </c>
      <c r="W19" s="71">
        <f t="shared" si="5"/>
        <v>13</v>
      </c>
      <c r="X19" s="75">
        <f t="shared" si="18"/>
        <v>37</v>
      </c>
      <c r="Y19" s="135">
        <f t="shared" si="19"/>
        <v>290.08</v>
      </c>
      <c r="Z19" s="88">
        <v>1</v>
      </c>
      <c r="AA19" s="76">
        <f t="shared" si="20"/>
        <v>44.452016</v>
      </c>
      <c r="AB19" s="202">
        <f t="shared" si="21"/>
        <v>122.94983105439999</v>
      </c>
      <c r="AC19" s="133">
        <v>4</v>
      </c>
      <c r="AD19" s="88">
        <v>83467</v>
      </c>
      <c r="AE19" s="341">
        <f t="shared" si="6"/>
        <v>22.213156552779193</v>
      </c>
      <c r="AF19" s="76">
        <f t="shared" si="25"/>
        <v>6316.2</v>
      </c>
      <c r="AG19" s="119">
        <f t="shared" si="22"/>
        <v>2178.4573799999998</v>
      </c>
      <c r="AH19" s="119">
        <f t="shared" si="23"/>
        <v>5006.2639709677424</v>
      </c>
      <c r="AI19" s="77">
        <f t="shared" si="7"/>
        <v>7184.7213509677422</v>
      </c>
      <c r="AJ19" s="73">
        <v>3121780</v>
      </c>
      <c r="AK19" s="73">
        <f t="shared" si="24"/>
        <v>9570</v>
      </c>
      <c r="AL19" s="183">
        <f t="shared" si="2"/>
        <v>33.656297807241202</v>
      </c>
      <c r="AM19" s="85">
        <v>0.99229999999999996</v>
      </c>
      <c r="AN19" s="78">
        <v>292</v>
      </c>
    </row>
    <row r="20" spans="1:40" s="3" customFormat="1" ht="27.95" customHeight="1" x14ac:dyDescent="0.25">
      <c r="A20" s="116">
        <v>45793</v>
      </c>
      <c r="B20" s="88">
        <v>10038406</v>
      </c>
      <c r="C20" s="71">
        <f t="shared" si="8"/>
        <v>2432</v>
      </c>
      <c r="D20" s="71">
        <v>24431424</v>
      </c>
      <c r="E20" s="71">
        <f t="shared" si="3"/>
        <v>5783</v>
      </c>
      <c r="F20" s="72">
        <f t="shared" si="9"/>
        <v>5457.9953999999998</v>
      </c>
      <c r="G20" s="71">
        <v>15809440</v>
      </c>
      <c r="H20" s="71">
        <f t="shared" si="10"/>
        <v>2928</v>
      </c>
      <c r="I20" s="72">
        <f t="shared" si="11"/>
        <v>1913.7407999999998</v>
      </c>
      <c r="J20" s="71">
        <v>3831733</v>
      </c>
      <c r="K20" s="71">
        <f t="shared" si="12"/>
        <v>841</v>
      </c>
      <c r="L20" s="71">
        <v>1762</v>
      </c>
      <c r="M20" s="71">
        <f t="shared" si="13"/>
        <v>0</v>
      </c>
      <c r="N20" s="71">
        <f t="shared" si="14"/>
        <v>0</v>
      </c>
      <c r="O20" s="71">
        <v>1028</v>
      </c>
      <c r="P20" s="71">
        <f t="shared" si="15"/>
        <v>0</v>
      </c>
      <c r="Q20" s="71">
        <f t="shared" si="16"/>
        <v>0</v>
      </c>
      <c r="R20" s="74">
        <f t="shared" si="17"/>
        <v>10644.736199999999</v>
      </c>
      <c r="S20" s="139">
        <f t="shared" si="0"/>
        <v>2128.94724</v>
      </c>
      <c r="T20" s="88">
        <v>88781</v>
      </c>
      <c r="U20" s="71">
        <f t="shared" si="4"/>
        <v>118</v>
      </c>
      <c r="V20" s="71">
        <v>38056</v>
      </c>
      <c r="W20" s="71">
        <f t="shared" si="5"/>
        <v>13</v>
      </c>
      <c r="X20" s="75">
        <f t="shared" si="18"/>
        <v>105</v>
      </c>
      <c r="Y20" s="135">
        <f t="shared" si="19"/>
        <v>823.19999999999993</v>
      </c>
      <c r="Z20" s="88">
        <v>1</v>
      </c>
      <c r="AA20" s="76">
        <f t="shared" si="20"/>
        <v>44.452016</v>
      </c>
      <c r="AB20" s="77">
        <f t="shared" si="21"/>
        <v>122.94983105439999</v>
      </c>
      <c r="AC20" s="133">
        <v>0</v>
      </c>
      <c r="AD20" s="88">
        <v>83479</v>
      </c>
      <c r="AE20" s="341">
        <f t="shared" si="6"/>
        <v>21.988007526068682</v>
      </c>
      <c r="AF20" s="76">
        <f t="shared" si="25"/>
        <v>6252.18</v>
      </c>
      <c r="AG20" s="119">
        <f t="shared" si="22"/>
        <v>2156.376882</v>
      </c>
      <c r="AH20" s="119">
        <f t="shared" si="23"/>
        <v>5006.2639709677424</v>
      </c>
      <c r="AI20" s="77">
        <f t="shared" si="7"/>
        <v>7162.6408529677428</v>
      </c>
      <c r="AJ20" s="73">
        <v>3131253</v>
      </c>
      <c r="AK20" s="73">
        <f t="shared" si="24"/>
        <v>9473</v>
      </c>
      <c r="AL20" s="183">
        <f t="shared" si="2"/>
        <v>33.315162918285878</v>
      </c>
      <c r="AM20" s="85">
        <v>0.93</v>
      </c>
      <c r="AN20" s="78">
        <v>269</v>
      </c>
    </row>
    <row r="21" spans="1:40" s="3" customFormat="1" ht="27.95" customHeight="1" x14ac:dyDescent="0.25">
      <c r="A21" s="116">
        <v>45794</v>
      </c>
      <c r="B21" s="88">
        <v>10040887</v>
      </c>
      <c r="C21" s="71">
        <f>IF(ISBLANK(B21),"0",B21-B20)</f>
        <v>2481</v>
      </c>
      <c r="D21" s="71">
        <v>24436951</v>
      </c>
      <c r="E21" s="71">
        <f>IF(ISBLANK(D21),"0",D21-D20)</f>
        <v>5527</v>
      </c>
      <c r="F21" s="72">
        <f t="shared" si="9"/>
        <v>5216.3825999999999</v>
      </c>
      <c r="G21" s="71">
        <v>15812326</v>
      </c>
      <c r="H21" s="71">
        <f>IF(ISBLANK(G21),"0",G21-G20)</f>
        <v>2886</v>
      </c>
      <c r="I21" s="72">
        <f>H21*0.6536</f>
        <v>1886.2895999999998</v>
      </c>
      <c r="J21" s="71">
        <v>3832580</v>
      </c>
      <c r="K21" s="71">
        <f>IF(ISBLANK(J21),"0",J21-J20)</f>
        <v>847</v>
      </c>
      <c r="L21" s="71">
        <v>1784</v>
      </c>
      <c r="M21" s="71">
        <f t="shared" si="13"/>
        <v>22</v>
      </c>
      <c r="N21" s="71">
        <f t="shared" si="14"/>
        <v>11</v>
      </c>
      <c r="O21" s="71">
        <v>1042</v>
      </c>
      <c r="P21" s="71">
        <f t="shared" si="15"/>
        <v>14</v>
      </c>
      <c r="Q21" s="71">
        <f t="shared" si="16"/>
        <v>7</v>
      </c>
      <c r="R21" s="74">
        <f>C21+F21+I21+K21+N21+Q21</f>
        <v>10448.672199999999</v>
      </c>
      <c r="S21" s="139">
        <f>R21*0.2</f>
        <v>2089.7344399999997</v>
      </c>
      <c r="T21" s="88">
        <v>88858</v>
      </c>
      <c r="U21" s="71">
        <f t="shared" si="4"/>
        <v>77</v>
      </c>
      <c r="V21" s="71">
        <v>38070</v>
      </c>
      <c r="W21" s="71">
        <f>IF(ISBLANK(V21),"0",V21-V20)</f>
        <v>14</v>
      </c>
      <c r="X21" s="75">
        <f>U21-W21</f>
        <v>63</v>
      </c>
      <c r="Y21" s="135">
        <f>X21*7.84</f>
        <v>493.92</v>
      </c>
      <c r="Z21" s="88">
        <v>1</v>
      </c>
      <c r="AA21" s="76">
        <f t="shared" si="20"/>
        <v>44.452016</v>
      </c>
      <c r="AB21" s="77">
        <f t="shared" si="21"/>
        <v>122.94983105439999</v>
      </c>
      <c r="AC21" s="133">
        <v>0</v>
      </c>
      <c r="AD21" s="88">
        <v>83491</v>
      </c>
      <c r="AE21" s="341">
        <f t="shared" si="6"/>
        <v>21.786069739225237</v>
      </c>
      <c r="AF21" s="76">
        <f t="shared" si="25"/>
        <v>6194.76</v>
      </c>
      <c r="AG21" s="119">
        <f t="shared" si="22"/>
        <v>2136.5727240000001</v>
      </c>
      <c r="AH21" s="119">
        <f t="shared" si="23"/>
        <v>5006.2639709677424</v>
      </c>
      <c r="AI21" s="77">
        <f>AG21+AH21</f>
        <v>7142.836694967742</v>
      </c>
      <c r="AJ21" s="73">
        <v>3140639</v>
      </c>
      <c r="AK21" s="73">
        <f t="shared" si="24"/>
        <v>9386</v>
      </c>
      <c r="AL21" s="183">
        <f t="shared" si="2"/>
        <v>33.00919657458369</v>
      </c>
      <c r="AM21" s="85">
        <v>0.91</v>
      </c>
      <c r="AN21" s="78">
        <v>263</v>
      </c>
    </row>
    <row r="22" spans="1:40" s="3" customFormat="1" ht="27.95" customHeight="1" x14ac:dyDescent="0.25">
      <c r="A22" s="116">
        <v>45795</v>
      </c>
      <c r="B22" s="88">
        <v>10043388</v>
      </c>
      <c r="C22" s="71">
        <f t="shared" ref="C22" si="28">IF(ISBLANK(B22),"0",B22-B21)</f>
        <v>2501</v>
      </c>
      <c r="D22" s="71">
        <v>24442885</v>
      </c>
      <c r="E22" s="71">
        <f t="shared" ref="E22" si="29">IF(ISBLANK(D22),"0",D22-D21)</f>
        <v>5934</v>
      </c>
      <c r="F22" s="72">
        <f t="shared" si="9"/>
        <v>5600.5091999999995</v>
      </c>
      <c r="G22" s="71">
        <v>15815256</v>
      </c>
      <c r="H22" s="71">
        <f t="shared" ref="H22" si="30">IF(ISBLANK(G22),"0",G22-G21)</f>
        <v>2930</v>
      </c>
      <c r="I22" s="72">
        <f t="shared" ref="I22:I24" si="31">H22*0.6536</f>
        <v>1915.0479999999998</v>
      </c>
      <c r="J22" s="71">
        <v>3833437</v>
      </c>
      <c r="K22" s="71">
        <f t="shared" ref="K22:K24" si="32">IF(ISBLANK(J22),"0",J22-J21)</f>
        <v>857</v>
      </c>
      <c r="L22" s="71">
        <v>1784</v>
      </c>
      <c r="M22" s="71">
        <f t="shared" si="13"/>
        <v>0</v>
      </c>
      <c r="N22" s="71">
        <f t="shared" si="14"/>
        <v>0</v>
      </c>
      <c r="O22" s="71">
        <v>1042</v>
      </c>
      <c r="P22" s="71">
        <f t="shared" si="15"/>
        <v>0</v>
      </c>
      <c r="Q22" s="71">
        <f t="shared" si="16"/>
        <v>0</v>
      </c>
      <c r="R22" s="74">
        <f t="shared" ref="R22" si="33">C22+F22+I22+K22+N22+Q22</f>
        <v>10873.557199999999</v>
      </c>
      <c r="S22" s="139">
        <f t="shared" ref="S22:S24" si="34">R22*0.2</f>
        <v>2174.71144</v>
      </c>
      <c r="T22" s="88">
        <v>88927</v>
      </c>
      <c r="U22" s="71">
        <f t="shared" si="4"/>
        <v>69</v>
      </c>
      <c r="V22" s="71">
        <v>38085</v>
      </c>
      <c r="W22" s="71">
        <f t="shared" ref="W22:W24" si="35">IF(ISBLANK(V22),"0",V22-V21)</f>
        <v>15</v>
      </c>
      <c r="X22" s="75">
        <f t="shared" ref="X22" si="36">U22-W22</f>
        <v>54</v>
      </c>
      <c r="Y22" s="135">
        <f t="shared" ref="Y22:Y24" si="37">X22*7.84</f>
        <v>423.36</v>
      </c>
      <c r="Z22" s="88">
        <v>1</v>
      </c>
      <c r="AA22" s="76">
        <f t="shared" si="20"/>
        <v>44.452016</v>
      </c>
      <c r="AB22" s="202">
        <f t="shared" si="21"/>
        <v>122.94983105439999</v>
      </c>
      <c r="AC22" s="133">
        <v>5</v>
      </c>
      <c r="AD22" s="88">
        <v>83503</v>
      </c>
      <c r="AE22" s="341">
        <f t="shared" si="6"/>
        <v>21.410047653378815</v>
      </c>
      <c r="AF22" s="76">
        <f t="shared" si="25"/>
        <v>6087.8399999999992</v>
      </c>
      <c r="AG22" s="119">
        <f t="shared" si="22"/>
        <v>2099.6960159999994</v>
      </c>
      <c r="AH22" s="119">
        <f t="shared" si="23"/>
        <v>5006.2639709677424</v>
      </c>
      <c r="AI22" s="77">
        <f t="shared" ref="AI22:AI24" si="38">AG22+AH22</f>
        <v>7105.9599869677422</v>
      </c>
      <c r="AJ22" s="73">
        <v>3149863</v>
      </c>
      <c r="AK22" s="73">
        <f t="shared" si="24"/>
        <v>9224</v>
      </c>
      <c r="AL22" s="183">
        <f t="shared" si="2"/>
        <v>32.439466141483052</v>
      </c>
      <c r="AM22" s="85">
        <v>0.98460000000000003</v>
      </c>
      <c r="AN22" s="78">
        <v>287</v>
      </c>
    </row>
    <row r="23" spans="1:40" s="3" customFormat="1" ht="27.95" customHeight="1" x14ac:dyDescent="0.25">
      <c r="A23" s="116">
        <v>45796</v>
      </c>
      <c r="B23" s="88">
        <v>10045873</v>
      </c>
      <c r="C23" s="71">
        <f>IF(ISBLANK(B23),"0",B23-B22)</f>
        <v>2485</v>
      </c>
      <c r="D23" s="71">
        <v>24448638</v>
      </c>
      <c r="E23" s="71">
        <f>IF(ISBLANK(D23),"0",D23-D22)</f>
        <v>5753</v>
      </c>
      <c r="F23" s="72">
        <f t="shared" si="9"/>
        <v>5429.6813999999995</v>
      </c>
      <c r="G23" s="71">
        <v>15818292</v>
      </c>
      <c r="H23" s="71">
        <f>IF(ISBLANK(G23),"0",G23-G22)</f>
        <v>3036</v>
      </c>
      <c r="I23" s="72">
        <f t="shared" si="31"/>
        <v>1984.3295999999998</v>
      </c>
      <c r="J23" s="71">
        <v>3834346</v>
      </c>
      <c r="K23" s="71">
        <f t="shared" si="32"/>
        <v>909</v>
      </c>
      <c r="L23" s="71">
        <v>1784</v>
      </c>
      <c r="M23" s="71">
        <f t="shared" si="13"/>
        <v>0</v>
      </c>
      <c r="N23" s="71">
        <f t="shared" si="14"/>
        <v>0</v>
      </c>
      <c r="O23" s="71">
        <v>1042</v>
      </c>
      <c r="P23" s="71">
        <f t="shared" si="15"/>
        <v>0</v>
      </c>
      <c r="Q23" s="71">
        <f t="shared" si="16"/>
        <v>0</v>
      </c>
      <c r="R23" s="74">
        <f>C23+F23+I23+K23+N23+Q23</f>
        <v>10808.010999999999</v>
      </c>
      <c r="S23" s="139">
        <f t="shared" si="34"/>
        <v>2161.6021999999998</v>
      </c>
      <c r="T23" s="88">
        <v>89005</v>
      </c>
      <c r="U23" s="71">
        <f t="shared" si="4"/>
        <v>78</v>
      </c>
      <c r="V23" s="71">
        <v>38098</v>
      </c>
      <c r="W23" s="71">
        <f t="shared" si="35"/>
        <v>13</v>
      </c>
      <c r="X23" s="75">
        <f>U23-W23</f>
        <v>65</v>
      </c>
      <c r="Y23" s="135">
        <f t="shared" si="37"/>
        <v>509.59999999999997</v>
      </c>
      <c r="Z23" s="88">
        <v>1</v>
      </c>
      <c r="AA23" s="76">
        <f t="shared" si="20"/>
        <v>44.452016</v>
      </c>
      <c r="AB23" s="77">
        <f t="shared" si="21"/>
        <v>122.94983105439999</v>
      </c>
      <c r="AC23" s="133">
        <v>0</v>
      </c>
      <c r="AD23" s="88">
        <v>83515</v>
      </c>
      <c r="AE23" s="341">
        <f t="shared" si="6"/>
        <v>23.601188696829553</v>
      </c>
      <c r="AF23" s="76">
        <f t="shared" si="25"/>
        <v>6710.88</v>
      </c>
      <c r="AG23" s="119">
        <f t="shared" si="22"/>
        <v>2314.582512</v>
      </c>
      <c r="AH23" s="119">
        <f t="shared" si="23"/>
        <v>5006.2639709677424</v>
      </c>
      <c r="AI23" s="77">
        <f t="shared" si="38"/>
        <v>7320.8464829677423</v>
      </c>
      <c r="AJ23" s="73">
        <v>3160031</v>
      </c>
      <c r="AK23" s="73">
        <f t="shared" si="24"/>
        <v>10168</v>
      </c>
      <c r="AL23" s="183">
        <f t="shared" si="2"/>
        <v>35.759376813378111</v>
      </c>
      <c r="AM23" s="85">
        <v>0.99</v>
      </c>
      <c r="AN23" s="78">
        <v>294</v>
      </c>
    </row>
    <row r="24" spans="1:40" s="3" customFormat="1" ht="27.95" customHeight="1" x14ac:dyDescent="0.25">
      <c r="A24" s="116">
        <v>45797</v>
      </c>
      <c r="B24" s="88">
        <v>10048330</v>
      </c>
      <c r="C24" s="71">
        <f t="shared" ref="C24" si="39">IF(ISBLANK(B24),"0",B24-B23)</f>
        <v>2457</v>
      </c>
      <c r="D24" s="71">
        <v>24454161</v>
      </c>
      <c r="E24" s="71">
        <f t="shared" ref="E24" si="40">IF(ISBLANK(D24),"0",D24-D23)</f>
        <v>5523</v>
      </c>
      <c r="F24" s="72">
        <f t="shared" si="9"/>
        <v>5212.6073999999999</v>
      </c>
      <c r="G24" s="71">
        <v>15821359</v>
      </c>
      <c r="H24" s="71">
        <f t="shared" ref="H24" si="41">IF(ISBLANK(G24),"0",G24-G23)</f>
        <v>3067</v>
      </c>
      <c r="I24" s="72">
        <f t="shared" si="31"/>
        <v>2004.5911999999998</v>
      </c>
      <c r="J24" s="71">
        <v>3835218</v>
      </c>
      <c r="K24" s="71">
        <f t="shared" si="32"/>
        <v>872</v>
      </c>
      <c r="L24" s="71">
        <v>1784</v>
      </c>
      <c r="M24" s="71">
        <f t="shared" si="13"/>
        <v>0</v>
      </c>
      <c r="N24" s="71">
        <f t="shared" si="14"/>
        <v>0</v>
      </c>
      <c r="O24" s="71">
        <v>1042</v>
      </c>
      <c r="P24" s="71">
        <f t="shared" si="15"/>
        <v>0</v>
      </c>
      <c r="Q24" s="71">
        <f t="shared" si="16"/>
        <v>0</v>
      </c>
      <c r="R24" s="74">
        <f t="shared" ref="R24" si="42">C24+F24+I24+K24+N24+Q24</f>
        <v>10546.1986</v>
      </c>
      <c r="S24" s="139">
        <f t="shared" si="34"/>
        <v>2109.23972</v>
      </c>
      <c r="T24" s="88">
        <v>89068</v>
      </c>
      <c r="U24" s="71">
        <f t="shared" si="4"/>
        <v>63</v>
      </c>
      <c r="V24" s="71">
        <v>38116</v>
      </c>
      <c r="W24" s="71">
        <f t="shared" si="35"/>
        <v>18</v>
      </c>
      <c r="X24" s="75">
        <f t="shared" ref="X24" si="43">U24-W24</f>
        <v>45</v>
      </c>
      <c r="Y24" s="135">
        <f t="shared" si="37"/>
        <v>352.8</v>
      </c>
      <c r="Z24" s="88">
        <v>1</v>
      </c>
      <c r="AA24" s="76">
        <f t="shared" si="20"/>
        <v>44.452016</v>
      </c>
      <c r="AB24" s="77">
        <f t="shared" si="21"/>
        <v>122.94983105439999</v>
      </c>
      <c r="AC24" s="133">
        <v>0</v>
      </c>
      <c r="AD24" s="88">
        <v>83527</v>
      </c>
      <c r="AE24" s="341">
        <f t="shared" si="6"/>
        <v>24.160579577625771</v>
      </c>
      <c r="AF24" s="76">
        <f t="shared" si="25"/>
        <v>6869.9400000000005</v>
      </c>
      <c r="AG24" s="119">
        <f t="shared" si="22"/>
        <v>2369.4423059999999</v>
      </c>
      <c r="AH24" s="119">
        <f t="shared" si="23"/>
        <v>5006.2639709677424</v>
      </c>
      <c r="AI24" s="77">
        <f t="shared" si="38"/>
        <v>7375.7062769677423</v>
      </c>
      <c r="AJ24" s="73">
        <v>3170440</v>
      </c>
      <c r="AK24" s="73">
        <f t="shared" si="24"/>
        <v>10409</v>
      </c>
      <c r="AL24" s="183">
        <f t="shared" si="2"/>
        <v>36.60693875397844</v>
      </c>
      <c r="AM24" s="85">
        <v>0.98070000000000002</v>
      </c>
      <c r="AN24" s="78">
        <v>290</v>
      </c>
    </row>
    <row r="25" spans="1:40" s="16" customFormat="1" ht="27.95" customHeight="1" x14ac:dyDescent="0.25">
      <c r="A25" s="116">
        <v>45798</v>
      </c>
      <c r="B25" s="89">
        <v>10050709</v>
      </c>
      <c r="C25" s="71">
        <f t="shared" si="8"/>
        <v>2379</v>
      </c>
      <c r="D25" s="79">
        <v>24459441</v>
      </c>
      <c r="E25" s="71">
        <f t="shared" si="3"/>
        <v>5280</v>
      </c>
      <c r="F25" s="72">
        <f t="shared" si="9"/>
        <v>4983.2640000000001</v>
      </c>
      <c r="G25" s="79">
        <v>15824348</v>
      </c>
      <c r="H25" s="71">
        <f t="shared" si="10"/>
        <v>2989</v>
      </c>
      <c r="I25" s="72">
        <f t="shared" si="11"/>
        <v>1953.6103999999998</v>
      </c>
      <c r="J25" s="79">
        <v>3836040</v>
      </c>
      <c r="K25" s="71">
        <f t="shared" si="12"/>
        <v>822</v>
      </c>
      <c r="L25" s="79">
        <v>1784</v>
      </c>
      <c r="M25" s="71">
        <f t="shared" si="13"/>
        <v>0</v>
      </c>
      <c r="N25" s="71">
        <f t="shared" si="14"/>
        <v>0</v>
      </c>
      <c r="O25" s="79">
        <v>1042</v>
      </c>
      <c r="P25" s="71">
        <f t="shared" si="15"/>
        <v>0</v>
      </c>
      <c r="Q25" s="71">
        <f t="shared" si="16"/>
        <v>0</v>
      </c>
      <c r="R25" s="80">
        <f t="shared" si="17"/>
        <v>10137.874400000001</v>
      </c>
      <c r="S25" s="139">
        <f t="shared" si="0"/>
        <v>2027.5748800000001</v>
      </c>
      <c r="T25" s="89">
        <v>89155</v>
      </c>
      <c r="U25" s="71">
        <f t="shared" ref="U25:U32" si="44">IF(ISBLANK(T25),"0",T25-T24)</f>
        <v>87</v>
      </c>
      <c r="V25" s="79">
        <v>38129</v>
      </c>
      <c r="W25" s="71">
        <f t="shared" si="5"/>
        <v>13</v>
      </c>
      <c r="X25" s="81">
        <f t="shared" si="18"/>
        <v>74</v>
      </c>
      <c r="Y25" s="136">
        <f t="shared" si="19"/>
        <v>580.16</v>
      </c>
      <c r="Z25" s="89">
        <v>1</v>
      </c>
      <c r="AA25" s="76">
        <f t="shared" si="20"/>
        <v>44.452016</v>
      </c>
      <c r="AB25" s="202">
        <f t="shared" si="21"/>
        <v>122.94983105439999</v>
      </c>
      <c r="AC25" s="133">
        <v>4</v>
      </c>
      <c r="AD25" s="88">
        <v>83539</v>
      </c>
      <c r="AE25" s="341">
        <f t="shared" si="6"/>
        <v>23.951678418822201</v>
      </c>
      <c r="AF25" s="76">
        <f t="shared" si="25"/>
        <v>6810.5399999999991</v>
      </c>
      <c r="AG25" s="119">
        <f t="shared" si="22"/>
        <v>2348.9552459999995</v>
      </c>
      <c r="AH25" s="119">
        <f t="shared" si="23"/>
        <v>5006.2639709677424</v>
      </c>
      <c r="AI25" s="82">
        <f t="shared" si="7"/>
        <v>7355.2192169677419</v>
      </c>
      <c r="AJ25" s="182">
        <v>3180759</v>
      </c>
      <c r="AK25" s="73">
        <f t="shared" si="24"/>
        <v>10319</v>
      </c>
      <c r="AL25" s="183">
        <f t="shared" si="2"/>
        <v>36.290421846700305</v>
      </c>
      <c r="AM25" s="85">
        <v>0.9768</v>
      </c>
      <c r="AN25" s="78">
        <v>253</v>
      </c>
    </row>
    <row r="26" spans="1:40" s="3" customFormat="1" ht="27.95" customHeight="1" x14ac:dyDescent="0.25">
      <c r="A26" s="116">
        <v>45799</v>
      </c>
      <c r="B26" s="88">
        <v>10053258</v>
      </c>
      <c r="C26" s="71">
        <f t="shared" si="8"/>
        <v>2549</v>
      </c>
      <c r="D26" s="71">
        <v>24465172</v>
      </c>
      <c r="E26" s="71">
        <f t="shared" si="3"/>
        <v>5731</v>
      </c>
      <c r="F26" s="72">
        <f t="shared" si="9"/>
        <v>5408.9178000000002</v>
      </c>
      <c r="G26" s="71">
        <v>15827575</v>
      </c>
      <c r="H26" s="71">
        <f t="shared" si="10"/>
        <v>3227</v>
      </c>
      <c r="I26" s="72">
        <f t="shared" si="11"/>
        <v>2109.1671999999999</v>
      </c>
      <c r="J26" s="71">
        <v>3836938</v>
      </c>
      <c r="K26" s="71">
        <f t="shared" si="12"/>
        <v>898</v>
      </c>
      <c r="L26" s="71">
        <v>1784</v>
      </c>
      <c r="M26" s="71">
        <f t="shared" si="13"/>
        <v>0</v>
      </c>
      <c r="N26" s="71">
        <f t="shared" si="14"/>
        <v>0</v>
      </c>
      <c r="O26" s="71">
        <v>1042</v>
      </c>
      <c r="P26" s="71">
        <f t="shared" si="15"/>
        <v>0</v>
      </c>
      <c r="Q26" s="71">
        <f t="shared" si="16"/>
        <v>0</v>
      </c>
      <c r="R26" s="74">
        <f t="shared" si="17"/>
        <v>10965.084999999999</v>
      </c>
      <c r="S26" s="139">
        <f t="shared" si="0"/>
        <v>2193.0169999999998</v>
      </c>
      <c r="T26" s="88">
        <v>89224</v>
      </c>
      <c r="U26" s="71">
        <f t="shared" si="44"/>
        <v>69</v>
      </c>
      <c r="V26" s="71">
        <v>38142</v>
      </c>
      <c r="W26" s="71">
        <f t="shared" si="5"/>
        <v>13</v>
      </c>
      <c r="X26" s="75">
        <f t="shared" si="18"/>
        <v>56</v>
      </c>
      <c r="Y26" s="135">
        <f t="shared" si="19"/>
        <v>439.03999999999996</v>
      </c>
      <c r="Z26" s="88">
        <v>1</v>
      </c>
      <c r="AA26" s="76">
        <f t="shared" si="20"/>
        <v>44.452016</v>
      </c>
      <c r="AB26" s="202">
        <f t="shared" si="21"/>
        <v>122.94983105439999</v>
      </c>
      <c r="AC26" s="133">
        <v>0</v>
      </c>
      <c r="AD26" s="88">
        <v>83551</v>
      </c>
      <c r="AE26" s="341">
        <f t="shared" si="6"/>
        <v>24.952082857092613</v>
      </c>
      <c r="AF26" s="76">
        <f t="shared" si="25"/>
        <v>7095</v>
      </c>
      <c r="AG26" s="119">
        <f t="shared" si="22"/>
        <v>2447.0654999999997</v>
      </c>
      <c r="AH26" s="119">
        <f t="shared" si="23"/>
        <v>5006.2639709677424</v>
      </c>
      <c r="AI26" s="77">
        <f t="shared" si="7"/>
        <v>7453.3294709677421</v>
      </c>
      <c r="AJ26" s="73">
        <v>3191509</v>
      </c>
      <c r="AK26" s="73">
        <f>IF(ISBLANK(AJ26),"0",AJ26-AJ25)</f>
        <v>10750</v>
      </c>
      <c r="AL26" s="183">
        <f t="shared" si="2"/>
        <v>37.806186147110019</v>
      </c>
      <c r="AM26" s="85">
        <v>0.84560000000000002</v>
      </c>
      <c r="AN26" s="78">
        <v>237</v>
      </c>
    </row>
    <row r="27" spans="1:40" s="3" customFormat="1" ht="27.95" customHeight="1" x14ac:dyDescent="0.25">
      <c r="A27" s="116">
        <v>45800</v>
      </c>
      <c r="B27" s="88">
        <v>10055680</v>
      </c>
      <c r="C27" s="71">
        <f t="shared" si="8"/>
        <v>2422</v>
      </c>
      <c r="D27" s="71">
        <v>24471141</v>
      </c>
      <c r="E27" s="71">
        <f t="shared" si="3"/>
        <v>5969</v>
      </c>
      <c r="F27" s="72">
        <f t="shared" si="9"/>
        <v>5633.5421999999999</v>
      </c>
      <c r="G27" s="71">
        <v>15830580</v>
      </c>
      <c r="H27" s="71">
        <f t="shared" si="10"/>
        <v>3005</v>
      </c>
      <c r="I27" s="72">
        <f t="shared" si="11"/>
        <v>1964.068</v>
      </c>
      <c r="J27" s="71">
        <v>3837797</v>
      </c>
      <c r="K27" s="71">
        <f t="shared" si="12"/>
        <v>859</v>
      </c>
      <c r="L27" s="71">
        <v>1784</v>
      </c>
      <c r="M27" s="71">
        <f t="shared" si="13"/>
        <v>0</v>
      </c>
      <c r="N27" s="71">
        <f t="shared" si="14"/>
        <v>0</v>
      </c>
      <c r="O27" s="71">
        <v>1042</v>
      </c>
      <c r="P27" s="71">
        <f t="shared" si="15"/>
        <v>0</v>
      </c>
      <c r="Q27" s="71">
        <f t="shared" si="16"/>
        <v>0</v>
      </c>
      <c r="R27" s="80">
        <f t="shared" si="17"/>
        <v>10878.610199999999</v>
      </c>
      <c r="S27" s="139">
        <f t="shared" si="0"/>
        <v>2175.7220400000001</v>
      </c>
      <c r="T27" s="88">
        <v>89308</v>
      </c>
      <c r="U27" s="71">
        <f t="shared" si="44"/>
        <v>84</v>
      </c>
      <c r="V27" s="71">
        <v>38163</v>
      </c>
      <c r="W27" s="71">
        <f t="shared" si="5"/>
        <v>21</v>
      </c>
      <c r="X27" s="81">
        <f t="shared" si="18"/>
        <v>63</v>
      </c>
      <c r="Y27" s="136">
        <f t="shared" si="19"/>
        <v>493.92</v>
      </c>
      <c r="Z27" s="88">
        <v>2</v>
      </c>
      <c r="AA27" s="76">
        <f t="shared" si="20"/>
        <v>88.904032000000001</v>
      </c>
      <c r="AB27" s="77">
        <f t="shared" si="21"/>
        <v>245.89966210879999</v>
      </c>
      <c r="AC27" s="133">
        <v>0</v>
      </c>
      <c r="AD27" s="88">
        <v>83563</v>
      </c>
      <c r="AE27" s="341">
        <f t="shared" si="6"/>
        <v>24.689795846594805</v>
      </c>
      <c r="AF27" s="76">
        <f t="shared" si="25"/>
        <v>7020.42</v>
      </c>
      <c r="AG27" s="119">
        <f t="shared" si="22"/>
        <v>2421.342858</v>
      </c>
      <c r="AH27" s="119">
        <f t="shared" si="23"/>
        <v>5006.2639709677424</v>
      </c>
      <c r="AI27" s="82">
        <f t="shared" si="7"/>
        <v>7427.6068289677423</v>
      </c>
      <c r="AJ27" s="73">
        <v>3202146</v>
      </c>
      <c r="AK27" s="73">
        <f t="shared" si="24"/>
        <v>10637</v>
      </c>
      <c r="AL27" s="183">
        <f t="shared" si="2"/>
        <v>37.408781585749701</v>
      </c>
      <c r="AM27" s="85">
        <v>0.89</v>
      </c>
      <c r="AN27" s="78">
        <v>231</v>
      </c>
    </row>
    <row r="28" spans="1:40" s="3" customFormat="1" ht="27.95" customHeight="1" x14ac:dyDescent="0.25">
      <c r="A28" s="116">
        <v>45801</v>
      </c>
      <c r="B28" s="88">
        <v>10058173</v>
      </c>
      <c r="C28" s="71">
        <f t="shared" si="8"/>
        <v>2493</v>
      </c>
      <c r="D28" s="71">
        <v>24476979</v>
      </c>
      <c r="E28" s="71">
        <f t="shared" si="3"/>
        <v>5838</v>
      </c>
      <c r="F28" s="72">
        <f t="shared" si="9"/>
        <v>5509.9043999999994</v>
      </c>
      <c r="G28" s="71">
        <v>15833494</v>
      </c>
      <c r="H28" s="71">
        <f t="shared" si="10"/>
        <v>2914</v>
      </c>
      <c r="I28" s="72">
        <f t="shared" si="11"/>
        <v>1904.5903999999998</v>
      </c>
      <c r="J28" s="71">
        <v>3838635</v>
      </c>
      <c r="K28" s="71">
        <f t="shared" si="12"/>
        <v>838</v>
      </c>
      <c r="L28" s="71">
        <v>1809</v>
      </c>
      <c r="M28" s="71">
        <v>0</v>
      </c>
      <c r="N28" s="71">
        <f t="shared" si="14"/>
        <v>0</v>
      </c>
      <c r="O28" s="71">
        <v>1054</v>
      </c>
      <c r="P28" s="71">
        <f t="shared" si="15"/>
        <v>12</v>
      </c>
      <c r="Q28" s="71">
        <f t="shared" si="16"/>
        <v>6</v>
      </c>
      <c r="R28" s="74">
        <f t="shared" si="17"/>
        <v>10751.494799999999</v>
      </c>
      <c r="S28" s="139">
        <f t="shared" si="0"/>
        <v>2150.2989599999996</v>
      </c>
      <c r="T28" s="88">
        <v>89367</v>
      </c>
      <c r="U28" s="71">
        <f t="shared" si="44"/>
        <v>59</v>
      </c>
      <c r="V28" s="71">
        <v>38176</v>
      </c>
      <c r="W28" s="71">
        <f t="shared" si="5"/>
        <v>13</v>
      </c>
      <c r="X28" s="75">
        <f t="shared" si="18"/>
        <v>46</v>
      </c>
      <c r="Y28" s="135">
        <f t="shared" si="19"/>
        <v>360.64</v>
      </c>
      <c r="Z28" s="88">
        <v>1</v>
      </c>
      <c r="AA28" s="76">
        <f t="shared" si="20"/>
        <v>44.452016</v>
      </c>
      <c r="AB28" s="77">
        <f t="shared" si="21"/>
        <v>122.94983105439999</v>
      </c>
      <c r="AC28" s="133">
        <v>0</v>
      </c>
      <c r="AD28" s="88">
        <v>83575</v>
      </c>
      <c r="AE28" s="341">
        <f t="shared" si="6"/>
        <v>22.795758673442471</v>
      </c>
      <c r="AF28" s="76">
        <f t="shared" si="25"/>
        <v>6481.86</v>
      </c>
      <c r="AG28" s="119">
        <f t="shared" si="22"/>
        <v>2235.5935139999997</v>
      </c>
      <c r="AH28" s="119">
        <f t="shared" si="23"/>
        <v>5006.2639709677424</v>
      </c>
      <c r="AI28" s="77">
        <f t="shared" si="7"/>
        <v>7241.8574849677425</v>
      </c>
      <c r="AJ28" s="73">
        <v>3211967</v>
      </c>
      <c r="AK28" s="73">
        <f t="shared" si="24"/>
        <v>9821</v>
      </c>
      <c r="AL28" s="183">
        <f t="shared" si="2"/>
        <v>34.539028293094653</v>
      </c>
      <c r="AM28" s="85">
        <v>0.96</v>
      </c>
      <c r="AN28" s="78">
        <v>250</v>
      </c>
    </row>
    <row r="29" spans="1:40" s="3" customFormat="1" ht="27.95" customHeight="1" x14ac:dyDescent="0.25">
      <c r="A29" s="116">
        <v>45802</v>
      </c>
      <c r="B29" s="88">
        <v>10060676</v>
      </c>
      <c r="C29" s="71">
        <f t="shared" si="8"/>
        <v>2503</v>
      </c>
      <c r="D29" s="71">
        <v>24482753</v>
      </c>
      <c r="E29" s="71">
        <f t="shared" si="3"/>
        <v>5774</v>
      </c>
      <c r="F29" s="72">
        <f t="shared" si="9"/>
        <v>5449.5011999999997</v>
      </c>
      <c r="G29" s="71">
        <v>15836448</v>
      </c>
      <c r="H29" s="71">
        <f t="shared" si="10"/>
        <v>2954</v>
      </c>
      <c r="I29" s="72">
        <f t="shared" si="11"/>
        <v>1930.7343999999998</v>
      </c>
      <c r="J29" s="71">
        <v>3839435</v>
      </c>
      <c r="K29" s="71">
        <f t="shared" si="12"/>
        <v>800</v>
      </c>
      <c r="L29" s="71">
        <v>1809</v>
      </c>
      <c r="M29" s="71">
        <f t="shared" si="13"/>
        <v>0</v>
      </c>
      <c r="N29" s="71">
        <f t="shared" si="14"/>
        <v>0</v>
      </c>
      <c r="O29" s="71">
        <v>1054</v>
      </c>
      <c r="P29" s="71">
        <f t="shared" si="15"/>
        <v>0</v>
      </c>
      <c r="Q29" s="71">
        <f t="shared" si="16"/>
        <v>0</v>
      </c>
      <c r="R29" s="80">
        <f t="shared" si="17"/>
        <v>10683.2356</v>
      </c>
      <c r="S29" s="139">
        <f t="shared" si="0"/>
        <v>2136.6471200000001</v>
      </c>
      <c r="T29" s="88">
        <v>89488</v>
      </c>
      <c r="U29" s="71">
        <f t="shared" si="44"/>
        <v>121</v>
      </c>
      <c r="V29" s="71">
        <v>38198</v>
      </c>
      <c r="W29" s="71">
        <f t="shared" si="5"/>
        <v>22</v>
      </c>
      <c r="X29" s="81">
        <f t="shared" si="18"/>
        <v>99</v>
      </c>
      <c r="Y29" s="136">
        <f t="shared" si="19"/>
        <v>776.16</v>
      </c>
      <c r="Z29" s="88">
        <v>1</v>
      </c>
      <c r="AA29" s="76">
        <f t="shared" si="20"/>
        <v>44.452016</v>
      </c>
      <c r="AB29" s="77">
        <f t="shared" si="21"/>
        <v>122.94983105439999</v>
      </c>
      <c r="AC29" s="133">
        <v>4</v>
      </c>
      <c r="AD29" s="88">
        <v>83587</v>
      </c>
      <c r="AE29" s="341">
        <f t="shared" si="6"/>
        <v>22.705234837960926</v>
      </c>
      <c r="AF29" s="76">
        <f t="shared" si="25"/>
        <v>6456.12</v>
      </c>
      <c r="AG29" s="119">
        <f t="shared" si="22"/>
        <v>2226.715788</v>
      </c>
      <c r="AH29" s="119">
        <f t="shared" si="23"/>
        <v>5006.2639709677424</v>
      </c>
      <c r="AI29" s="82">
        <f t="shared" si="7"/>
        <v>7232.9797589677419</v>
      </c>
      <c r="AJ29" s="73">
        <v>3221749</v>
      </c>
      <c r="AK29" s="73">
        <f t="shared" si="24"/>
        <v>9782</v>
      </c>
      <c r="AL29" s="183">
        <f t="shared" si="2"/>
        <v>34.401870966607461</v>
      </c>
      <c r="AM29" s="85">
        <v>0.91</v>
      </c>
      <c r="AN29" s="78">
        <v>238</v>
      </c>
    </row>
    <row r="30" spans="1:40" s="3" customFormat="1" ht="27.95" customHeight="1" x14ac:dyDescent="0.25">
      <c r="A30" s="116">
        <v>45803</v>
      </c>
      <c r="B30" s="88">
        <v>10063173</v>
      </c>
      <c r="C30" s="71">
        <f t="shared" si="8"/>
        <v>2497</v>
      </c>
      <c r="D30" s="71">
        <v>24488329</v>
      </c>
      <c r="E30" s="71">
        <f t="shared" si="3"/>
        <v>5576</v>
      </c>
      <c r="F30" s="72">
        <f t="shared" si="9"/>
        <v>5262.6287999999995</v>
      </c>
      <c r="G30" s="71">
        <v>15839514</v>
      </c>
      <c r="H30" s="71">
        <f t="shared" si="10"/>
        <v>3066</v>
      </c>
      <c r="I30" s="72">
        <f t="shared" si="11"/>
        <v>2003.9376</v>
      </c>
      <c r="J30" s="71">
        <v>3840299</v>
      </c>
      <c r="K30" s="71">
        <f t="shared" si="12"/>
        <v>864</v>
      </c>
      <c r="L30" s="71">
        <v>1809</v>
      </c>
      <c r="M30" s="71">
        <f t="shared" si="13"/>
        <v>0</v>
      </c>
      <c r="N30" s="71">
        <f t="shared" si="14"/>
        <v>0</v>
      </c>
      <c r="O30" s="71">
        <v>1054</v>
      </c>
      <c r="P30" s="71">
        <f t="shared" si="15"/>
        <v>0</v>
      </c>
      <c r="Q30" s="71">
        <f t="shared" si="16"/>
        <v>0</v>
      </c>
      <c r="R30" s="80">
        <f t="shared" si="17"/>
        <v>10627.5664</v>
      </c>
      <c r="S30" s="139">
        <f t="shared" si="0"/>
        <v>2125.5132800000001</v>
      </c>
      <c r="T30" s="88">
        <v>89540</v>
      </c>
      <c r="U30" s="71">
        <f t="shared" si="44"/>
        <v>52</v>
      </c>
      <c r="V30" s="71">
        <v>38211</v>
      </c>
      <c r="W30" s="71">
        <f t="shared" si="5"/>
        <v>13</v>
      </c>
      <c r="X30" s="81">
        <f t="shared" si="18"/>
        <v>39</v>
      </c>
      <c r="Y30" s="136">
        <f t="shared" si="19"/>
        <v>305.76</v>
      </c>
      <c r="Z30" s="88">
        <v>2</v>
      </c>
      <c r="AA30" s="76">
        <f t="shared" si="20"/>
        <v>88.904032000000001</v>
      </c>
      <c r="AB30" s="77">
        <f t="shared" si="21"/>
        <v>245.89966210879999</v>
      </c>
      <c r="AC30" s="133">
        <v>0</v>
      </c>
      <c r="AD30" s="88">
        <v>83059</v>
      </c>
      <c r="AE30" s="341">
        <f t="shared" si="6"/>
        <v>25.348995058819391</v>
      </c>
      <c r="AF30" s="76">
        <f t="shared" si="25"/>
        <v>7207.8600000000006</v>
      </c>
      <c r="AG30" s="119">
        <f t="shared" si="22"/>
        <v>2485.990914</v>
      </c>
      <c r="AH30" s="119">
        <f t="shared" si="23"/>
        <v>5006.2639709677424</v>
      </c>
      <c r="AI30" s="82">
        <f t="shared" si="7"/>
        <v>7492.2548849677423</v>
      </c>
      <c r="AJ30" s="73">
        <v>3232670</v>
      </c>
      <c r="AK30" s="73">
        <f t="shared" si="24"/>
        <v>10921</v>
      </c>
      <c r="AL30" s="183">
        <f t="shared" si="2"/>
        <v>38.407568270938469</v>
      </c>
      <c r="AM30" s="85">
        <v>0.88</v>
      </c>
      <c r="AN30" s="78">
        <v>254</v>
      </c>
    </row>
    <row r="31" spans="1:40" s="3" customFormat="1" ht="27.95" customHeight="1" x14ac:dyDescent="0.25">
      <c r="A31" s="116">
        <v>45804</v>
      </c>
      <c r="B31" s="88">
        <v>10065533</v>
      </c>
      <c r="C31" s="71">
        <f t="shared" si="8"/>
        <v>2360</v>
      </c>
      <c r="D31" s="71">
        <v>24493952</v>
      </c>
      <c r="E31" s="71">
        <f t="shared" si="3"/>
        <v>5623</v>
      </c>
      <c r="F31" s="72">
        <f t="shared" si="9"/>
        <v>5306.9874</v>
      </c>
      <c r="G31" s="71">
        <v>15842494</v>
      </c>
      <c r="H31" s="71">
        <f t="shared" si="10"/>
        <v>2980</v>
      </c>
      <c r="I31" s="72">
        <f t="shared" si="11"/>
        <v>1947.7279999999998</v>
      </c>
      <c r="J31" s="71">
        <v>3841162</v>
      </c>
      <c r="K31" s="71">
        <f t="shared" si="12"/>
        <v>863</v>
      </c>
      <c r="L31" s="71">
        <v>1809</v>
      </c>
      <c r="M31" s="71">
        <f t="shared" si="13"/>
        <v>0</v>
      </c>
      <c r="N31" s="71">
        <f t="shared" si="14"/>
        <v>0</v>
      </c>
      <c r="O31" s="71">
        <v>1054</v>
      </c>
      <c r="P31" s="71">
        <f t="shared" si="15"/>
        <v>0</v>
      </c>
      <c r="Q31" s="71">
        <f t="shared" si="16"/>
        <v>0</v>
      </c>
      <c r="R31" s="80">
        <f t="shared" si="17"/>
        <v>10477.715399999999</v>
      </c>
      <c r="S31" s="139">
        <f t="shared" si="0"/>
        <v>2095.5430799999999</v>
      </c>
      <c r="T31" s="88">
        <v>89612</v>
      </c>
      <c r="U31" s="71">
        <f t="shared" si="44"/>
        <v>72</v>
      </c>
      <c r="V31" s="71">
        <v>38223</v>
      </c>
      <c r="W31" s="71">
        <f t="shared" si="5"/>
        <v>12</v>
      </c>
      <c r="X31" s="81">
        <f t="shared" si="18"/>
        <v>60</v>
      </c>
      <c r="Y31" s="136">
        <f t="shared" si="19"/>
        <v>470.4</v>
      </c>
      <c r="Z31" s="88">
        <v>1</v>
      </c>
      <c r="AA31" s="76">
        <f t="shared" si="20"/>
        <v>44.452016</v>
      </c>
      <c r="AB31" s="77">
        <f t="shared" si="21"/>
        <v>122.94983105439999</v>
      </c>
      <c r="AC31" s="133">
        <v>0</v>
      </c>
      <c r="AD31" s="88">
        <v>83080</v>
      </c>
      <c r="AE31" s="341">
        <f t="shared" si="6"/>
        <v>23.009302080219449</v>
      </c>
      <c r="AF31" s="76">
        <f t="shared" si="25"/>
        <v>6542.58</v>
      </c>
      <c r="AG31" s="119">
        <f t="shared" si="22"/>
        <v>2256.5358419999998</v>
      </c>
      <c r="AH31" s="119">
        <f t="shared" si="23"/>
        <v>5006.2639709677424</v>
      </c>
      <c r="AI31" s="82">
        <f t="shared" si="7"/>
        <v>7262.7998129677417</v>
      </c>
      <c r="AJ31" s="73">
        <v>3242583</v>
      </c>
      <c r="AK31" s="73">
        <f t="shared" si="24"/>
        <v>9913</v>
      </c>
      <c r="AL31" s="183">
        <f t="shared" si="2"/>
        <v>34.862578909423405</v>
      </c>
      <c r="AM31" s="85">
        <v>0.89</v>
      </c>
      <c r="AN31" s="78">
        <v>256</v>
      </c>
    </row>
    <row r="32" spans="1:40" s="3" customFormat="1" ht="27.95" customHeight="1" x14ac:dyDescent="0.25">
      <c r="A32" s="116">
        <v>45805</v>
      </c>
      <c r="B32" s="88">
        <v>10067944</v>
      </c>
      <c r="C32" s="71">
        <f t="shared" si="8"/>
        <v>2411</v>
      </c>
      <c r="D32" s="71">
        <v>24499449</v>
      </c>
      <c r="E32" s="71">
        <f t="shared" si="3"/>
        <v>5497</v>
      </c>
      <c r="F32" s="72">
        <f t="shared" si="9"/>
        <v>5188.0685999999996</v>
      </c>
      <c r="G32" s="71">
        <v>15845472</v>
      </c>
      <c r="H32" s="71">
        <f t="shared" si="10"/>
        <v>2978</v>
      </c>
      <c r="I32" s="72">
        <f t="shared" si="11"/>
        <v>1946.4207999999999</v>
      </c>
      <c r="J32" s="71">
        <v>3842013</v>
      </c>
      <c r="K32" s="71">
        <f t="shared" si="12"/>
        <v>851</v>
      </c>
      <c r="L32" s="71">
        <v>1809</v>
      </c>
      <c r="M32" s="71">
        <f t="shared" si="13"/>
        <v>0</v>
      </c>
      <c r="N32" s="71">
        <f t="shared" si="14"/>
        <v>0</v>
      </c>
      <c r="O32" s="71">
        <v>1054</v>
      </c>
      <c r="P32" s="71">
        <f t="shared" si="15"/>
        <v>0</v>
      </c>
      <c r="Q32" s="71">
        <f t="shared" si="16"/>
        <v>0</v>
      </c>
      <c r="R32" s="80">
        <f t="shared" si="17"/>
        <v>10396.489399999999</v>
      </c>
      <c r="S32" s="139">
        <f t="shared" si="0"/>
        <v>2079.2978799999996</v>
      </c>
      <c r="T32" s="88">
        <v>89697</v>
      </c>
      <c r="U32" s="71">
        <f t="shared" si="44"/>
        <v>85</v>
      </c>
      <c r="V32" s="71">
        <v>38241</v>
      </c>
      <c r="W32" s="71">
        <f t="shared" si="5"/>
        <v>18</v>
      </c>
      <c r="X32" s="81">
        <f t="shared" si="18"/>
        <v>67</v>
      </c>
      <c r="Y32" s="136">
        <f t="shared" si="19"/>
        <v>525.28</v>
      </c>
      <c r="Z32" s="88">
        <v>1</v>
      </c>
      <c r="AA32" s="76">
        <f t="shared" si="20"/>
        <v>44.452016</v>
      </c>
      <c r="AB32" s="77">
        <f t="shared" si="21"/>
        <v>122.94983105439999</v>
      </c>
      <c r="AC32" s="133">
        <v>0</v>
      </c>
      <c r="AD32" s="88">
        <v>83103</v>
      </c>
      <c r="AE32" s="341">
        <f t="shared" si="6"/>
        <v>24.392691976296401</v>
      </c>
      <c r="AF32" s="76">
        <f t="shared" si="25"/>
        <v>6935.9400000000005</v>
      </c>
      <c r="AG32" s="119">
        <f t="shared" si="22"/>
        <v>2392.2057060000002</v>
      </c>
      <c r="AH32" s="119">
        <f t="shared" si="23"/>
        <v>5006.2639709677424</v>
      </c>
      <c r="AI32" s="82">
        <f t="shared" si="7"/>
        <v>7398.469676967743</v>
      </c>
      <c r="AJ32" s="73">
        <v>3253092</v>
      </c>
      <c r="AK32" s="73">
        <f t="shared" si="24"/>
        <v>10509</v>
      </c>
      <c r="AL32" s="183">
        <f t="shared" si="2"/>
        <v>36.958624206509697</v>
      </c>
      <c r="AM32" s="85">
        <v>0.88880000000000003</v>
      </c>
      <c r="AN32" s="78">
        <v>230</v>
      </c>
    </row>
    <row r="33" spans="1:140" s="3" customFormat="1" ht="27.95" customHeight="1" x14ac:dyDescent="0.25">
      <c r="A33" s="116">
        <v>45806</v>
      </c>
      <c r="B33" s="88">
        <v>10070295</v>
      </c>
      <c r="C33" s="71">
        <f t="shared" ref="C33:C35" si="45">IF(ISBLANK(B33),"0",B33-B32)</f>
        <v>2351</v>
      </c>
      <c r="D33" s="71">
        <v>24504826</v>
      </c>
      <c r="E33" s="71">
        <f t="shared" ref="E33:E35" si="46">IF(ISBLANK(D33),"0",D33-D32)</f>
        <v>5377</v>
      </c>
      <c r="F33" s="72">
        <f t="shared" ref="F33:F35" si="47">E33*0.9438</f>
        <v>5074.8126000000002</v>
      </c>
      <c r="G33" s="71">
        <v>15848373</v>
      </c>
      <c r="H33" s="71">
        <f t="shared" ref="H33:H35" si="48">IF(ISBLANK(G33),"0",G33-G32)</f>
        <v>2901</v>
      </c>
      <c r="I33" s="72">
        <f t="shared" ref="I33:I35" si="49">H33*0.6536</f>
        <v>1896.0935999999999</v>
      </c>
      <c r="J33" s="71">
        <v>3842833</v>
      </c>
      <c r="K33" s="71">
        <f t="shared" ref="K33:K35" si="50">IF(ISBLANK(J33),"0",J33-J32)</f>
        <v>820</v>
      </c>
      <c r="L33" s="71">
        <v>1809</v>
      </c>
      <c r="M33" s="71">
        <f t="shared" ref="M33:M35" si="51">IF(ISBLANK(L33),"0",L33-L32)</f>
        <v>0</v>
      </c>
      <c r="N33" s="71">
        <f t="shared" ref="N33:N35" si="52">M33*0.5</f>
        <v>0</v>
      </c>
      <c r="O33" s="71">
        <v>1054</v>
      </c>
      <c r="P33" s="71">
        <f t="shared" ref="P33:P35" si="53">IF(ISBLANK(O33),"0",O33-O32)</f>
        <v>0</v>
      </c>
      <c r="Q33" s="71">
        <f t="shared" ref="Q33:Q35" si="54">P33*0.5</f>
        <v>0</v>
      </c>
      <c r="R33" s="80">
        <f t="shared" ref="R33:R35" si="55">C33+F33+I33+K33+N33+Q33</f>
        <v>10141.906199999999</v>
      </c>
      <c r="S33" s="139">
        <f t="shared" ref="S33:S35" si="56">R33*0.2</f>
        <v>2028.3812399999999</v>
      </c>
      <c r="T33" s="88">
        <v>89759</v>
      </c>
      <c r="U33" s="71">
        <f t="shared" ref="U33:U35" si="57">IF(ISBLANK(T33),"0",T33-T32)</f>
        <v>62</v>
      </c>
      <c r="V33" s="71">
        <v>38254</v>
      </c>
      <c r="W33" s="71">
        <f t="shared" ref="W33:W35" si="58">IF(ISBLANK(V33),"0",V33-V32)</f>
        <v>13</v>
      </c>
      <c r="X33" s="81">
        <f t="shared" ref="X33:X35" si="59">U33-W33</f>
        <v>49</v>
      </c>
      <c r="Y33" s="136">
        <f t="shared" ref="Y33:Y35" si="60">X33*7.84</f>
        <v>384.15999999999997</v>
      </c>
      <c r="Z33" s="88">
        <v>1</v>
      </c>
      <c r="AA33" s="76">
        <f t="shared" si="20"/>
        <v>44.452016</v>
      </c>
      <c r="AB33" s="202">
        <f t="shared" si="21"/>
        <v>122.94983105439999</v>
      </c>
      <c r="AC33" s="133">
        <v>4</v>
      </c>
      <c r="AD33" s="88">
        <v>83126</v>
      </c>
      <c r="AE33" s="341">
        <f t="shared" si="6"/>
        <v>24.420545464136872</v>
      </c>
      <c r="AF33" s="76">
        <f t="shared" ref="AF33:AF35" si="61">IF(ISBLANK(AD33),"0 ",AE33*284.345)</f>
        <v>6943.86</v>
      </c>
      <c r="AG33" s="119">
        <f t="shared" ref="AG33:AG35" si="62">AF33*0.3449</f>
        <v>2394.9373139999998</v>
      </c>
      <c r="AH33" s="119">
        <f t="shared" si="23"/>
        <v>5006.2639709677424</v>
      </c>
      <c r="AI33" s="82">
        <f t="shared" ref="AI33:AI35" si="63">AG33+AH33</f>
        <v>7401.2012849677421</v>
      </c>
      <c r="AJ33" s="73">
        <v>3263613</v>
      </c>
      <c r="AK33" s="73">
        <f t="shared" ref="AK33:AK35" si="64">IF(ISBLANK(AJ33),"0",AJ33-AJ32)</f>
        <v>10521</v>
      </c>
      <c r="AL33" s="183">
        <f t="shared" ref="AL33:AL35" si="65">IF(ISBLANK(AK33),"0 ",AK33/284.345)</f>
        <v>37.000826460813443</v>
      </c>
      <c r="AM33" s="85">
        <v>0.7954</v>
      </c>
      <c r="AN33" s="78">
        <v>236</v>
      </c>
    </row>
    <row r="34" spans="1:140" s="3" customFormat="1" ht="27.95" customHeight="1" x14ac:dyDescent="0.25">
      <c r="A34" s="116">
        <v>45807</v>
      </c>
      <c r="B34" s="88">
        <v>10072673</v>
      </c>
      <c r="C34" s="71">
        <f t="shared" si="45"/>
        <v>2378</v>
      </c>
      <c r="D34" s="71">
        <v>24510290</v>
      </c>
      <c r="E34" s="71">
        <f t="shared" si="46"/>
        <v>5464</v>
      </c>
      <c r="F34" s="72">
        <f t="shared" si="47"/>
        <v>5156.9232000000002</v>
      </c>
      <c r="G34" s="71">
        <v>15851447</v>
      </c>
      <c r="H34" s="71">
        <f t="shared" si="48"/>
        <v>3074</v>
      </c>
      <c r="I34" s="72">
        <f t="shared" si="49"/>
        <v>2009.1663999999998</v>
      </c>
      <c r="J34" s="71">
        <v>3843626</v>
      </c>
      <c r="K34" s="71">
        <f t="shared" si="50"/>
        <v>793</v>
      </c>
      <c r="L34" s="71">
        <v>1809</v>
      </c>
      <c r="M34" s="71">
        <f t="shared" si="51"/>
        <v>0</v>
      </c>
      <c r="N34" s="71">
        <f t="shared" si="52"/>
        <v>0</v>
      </c>
      <c r="O34" s="71">
        <v>1054</v>
      </c>
      <c r="P34" s="71">
        <f t="shared" si="53"/>
        <v>0</v>
      </c>
      <c r="Q34" s="71">
        <f t="shared" si="54"/>
        <v>0</v>
      </c>
      <c r="R34" s="80">
        <f t="shared" si="55"/>
        <v>10337.089599999999</v>
      </c>
      <c r="S34" s="139">
        <f t="shared" si="56"/>
        <v>2067.4179199999999</v>
      </c>
      <c r="T34" s="88">
        <v>89835</v>
      </c>
      <c r="U34" s="71">
        <f t="shared" si="57"/>
        <v>76</v>
      </c>
      <c r="V34" s="71">
        <v>38271</v>
      </c>
      <c r="W34" s="71">
        <f t="shared" si="58"/>
        <v>17</v>
      </c>
      <c r="X34" s="81">
        <f t="shared" si="59"/>
        <v>59</v>
      </c>
      <c r="Y34" s="136">
        <f t="shared" si="60"/>
        <v>462.56</v>
      </c>
      <c r="Z34" s="88">
        <v>1</v>
      </c>
      <c r="AA34" s="76">
        <f t="shared" si="20"/>
        <v>44.452016</v>
      </c>
      <c r="AB34" s="77">
        <f t="shared" si="21"/>
        <v>122.94983105439999</v>
      </c>
      <c r="AC34" s="133">
        <v>0</v>
      </c>
      <c r="AD34" s="88">
        <v>83148</v>
      </c>
      <c r="AE34" s="341">
        <f t="shared" si="6"/>
        <v>23.842585591447008</v>
      </c>
      <c r="AF34" s="76">
        <f t="shared" si="61"/>
        <v>6779.52</v>
      </c>
      <c r="AG34" s="119">
        <f t="shared" si="62"/>
        <v>2338.2564480000001</v>
      </c>
      <c r="AH34" s="119">
        <f t="shared" si="23"/>
        <v>5006.2639709677424</v>
      </c>
      <c r="AI34" s="82">
        <f t="shared" si="63"/>
        <v>7344.5204189677424</v>
      </c>
      <c r="AJ34" s="73">
        <v>3273885</v>
      </c>
      <c r="AK34" s="73">
        <f t="shared" si="64"/>
        <v>10272</v>
      </c>
      <c r="AL34" s="183">
        <f t="shared" si="65"/>
        <v>36.125129684010616</v>
      </c>
      <c r="AM34" s="85">
        <v>0.79920000000000002</v>
      </c>
      <c r="AN34" s="78">
        <v>207</v>
      </c>
    </row>
    <row r="35" spans="1:140" s="3" customFormat="1" ht="27.95" customHeight="1" thickBot="1" x14ac:dyDescent="0.3">
      <c r="A35" s="116">
        <v>45808</v>
      </c>
      <c r="B35" s="88">
        <v>10075080</v>
      </c>
      <c r="C35" s="71">
        <f t="shared" si="45"/>
        <v>2407</v>
      </c>
      <c r="D35" s="71">
        <v>24515606</v>
      </c>
      <c r="E35" s="71">
        <f t="shared" si="46"/>
        <v>5316</v>
      </c>
      <c r="F35" s="72">
        <f t="shared" si="47"/>
        <v>5017.2407999999996</v>
      </c>
      <c r="G35" s="71">
        <v>15854348</v>
      </c>
      <c r="H35" s="71">
        <f t="shared" si="48"/>
        <v>2901</v>
      </c>
      <c r="I35" s="72">
        <f t="shared" si="49"/>
        <v>1896.0935999999999</v>
      </c>
      <c r="J35" s="71">
        <v>3844401</v>
      </c>
      <c r="K35" s="71">
        <f t="shared" si="50"/>
        <v>775</v>
      </c>
      <c r="L35" s="71">
        <v>1834</v>
      </c>
      <c r="M35" s="71">
        <f t="shared" si="51"/>
        <v>25</v>
      </c>
      <c r="N35" s="71">
        <f t="shared" si="52"/>
        <v>12.5</v>
      </c>
      <c r="O35" s="71">
        <v>1063</v>
      </c>
      <c r="P35" s="71">
        <f t="shared" si="53"/>
        <v>9</v>
      </c>
      <c r="Q35" s="71">
        <f t="shared" si="54"/>
        <v>4.5</v>
      </c>
      <c r="R35" s="80">
        <f t="shared" si="55"/>
        <v>10112.3344</v>
      </c>
      <c r="S35" s="139">
        <f t="shared" si="56"/>
        <v>2022.4668799999999</v>
      </c>
      <c r="T35" s="88">
        <v>89894</v>
      </c>
      <c r="U35" s="71">
        <f t="shared" si="57"/>
        <v>59</v>
      </c>
      <c r="V35" s="71">
        <v>38284</v>
      </c>
      <c r="W35" s="71">
        <f t="shared" si="58"/>
        <v>13</v>
      </c>
      <c r="X35" s="81">
        <f t="shared" si="59"/>
        <v>46</v>
      </c>
      <c r="Y35" s="136">
        <f t="shared" si="60"/>
        <v>360.64</v>
      </c>
      <c r="Z35" s="88">
        <v>2</v>
      </c>
      <c r="AA35" s="203">
        <f t="shared" si="20"/>
        <v>88.904032000000001</v>
      </c>
      <c r="AB35" s="204">
        <f t="shared" si="21"/>
        <v>245.89966210879999</v>
      </c>
      <c r="AC35" s="133">
        <v>0</v>
      </c>
      <c r="AD35" s="342">
        <v>83171</v>
      </c>
      <c r="AE35" s="343">
        <f t="shared" si="6"/>
        <v>23.571014085002375</v>
      </c>
      <c r="AF35" s="203">
        <f t="shared" si="61"/>
        <v>6702.3000000000011</v>
      </c>
      <c r="AG35" s="344">
        <f t="shared" si="62"/>
        <v>2311.62327</v>
      </c>
      <c r="AH35" s="344">
        <f t="shared" si="23"/>
        <v>5006.2639709677424</v>
      </c>
      <c r="AI35" s="345">
        <f t="shared" si="63"/>
        <v>7317.8872409677424</v>
      </c>
      <c r="AJ35" s="346">
        <v>3284040</v>
      </c>
      <c r="AK35" s="346">
        <f t="shared" si="64"/>
        <v>10155</v>
      </c>
      <c r="AL35" s="347">
        <f t="shared" si="65"/>
        <v>35.71365770454905</v>
      </c>
      <c r="AM35" s="85">
        <v>0.86099999999999999</v>
      </c>
      <c r="AN35" s="78">
        <v>223</v>
      </c>
    </row>
    <row r="36" spans="1:140" s="6" customFormat="1" ht="39.950000000000003" customHeight="1" thickBot="1" x14ac:dyDescent="0.3">
      <c r="A36" s="148"/>
      <c r="B36" s="90"/>
      <c r="C36" s="83">
        <f>SUM(C5:C35)</f>
        <v>74983</v>
      </c>
      <c r="D36" s="83"/>
      <c r="E36" s="83"/>
      <c r="F36" s="83">
        <f>SUM(F5:F35)</f>
        <v>167451.82740000001</v>
      </c>
      <c r="G36" s="140"/>
      <c r="H36" s="140"/>
      <c r="I36" s="83">
        <f>SUM(I5:I35)</f>
        <v>62909.653600000005</v>
      </c>
      <c r="J36" s="140"/>
      <c r="K36" s="83">
        <f>SUM(K5:K35)</f>
        <v>26055</v>
      </c>
      <c r="L36" s="83"/>
      <c r="M36" s="83"/>
      <c r="N36" s="83">
        <f>SUM(N5:N35)</f>
        <v>37.5</v>
      </c>
      <c r="O36" s="83"/>
      <c r="P36" s="83"/>
      <c r="Q36" s="83">
        <f>SUM(Q5:Q35)</f>
        <v>26.5</v>
      </c>
      <c r="R36" s="141">
        <f>SUM(R5:R35)</f>
        <v>331463.48100000009</v>
      </c>
      <c r="S36" s="91">
        <f>R36*0.2</f>
        <v>66292.69620000002</v>
      </c>
      <c r="T36" s="142"/>
      <c r="U36" s="83">
        <f>SUM(U5:U35)</f>
        <v>2298</v>
      </c>
      <c r="V36" s="143"/>
      <c r="W36" s="83">
        <f t="shared" ref="W36:AC36" si="66">SUM(W5:W35)</f>
        <v>461</v>
      </c>
      <c r="X36" s="140">
        <f t="shared" si="66"/>
        <v>1837</v>
      </c>
      <c r="Y36" s="91">
        <f t="shared" si="66"/>
        <v>14402.08</v>
      </c>
      <c r="Z36" s="83">
        <f t="shared" si="66"/>
        <v>35</v>
      </c>
      <c r="AA36" s="83">
        <f t="shared" si="66"/>
        <v>1555.8205599999992</v>
      </c>
      <c r="AB36" s="164">
        <f t="shared" si="66"/>
        <v>4303.2440869039992</v>
      </c>
      <c r="AC36" s="91">
        <f t="shared" si="66"/>
        <v>36</v>
      </c>
      <c r="AD36" s="90"/>
      <c r="AE36" s="83">
        <f>SUM(AE5:AE35)</f>
        <v>702.98025286184031</v>
      </c>
      <c r="AF36" s="83">
        <f>SUM(AF5:AF35)</f>
        <v>199888.91999999993</v>
      </c>
      <c r="AG36" s="83">
        <f>SUM(AG5:AG35)</f>
        <v>68941.688507999992</v>
      </c>
      <c r="AH36" s="147">
        <f>SUM(AH5:AH35)</f>
        <v>155194.18310000002</v>
      </c>
      <c r="AI36" s="83">
        <f>SUM(AI5:AI35)</f>
        <v>224135.87160799999</v>
      </c>
      <c r="AJ36" s="184"/>
      <c r="AK36" s="83">
        <f>SUM(AK5:AK35)</f>
        <v>302862</v>
      </c>
      <c r="AL36" s="83">
        <f>SUM(AL5:AL35)</f>
        <v>1065.1215952452126</v>
      </c>
      <c r="AM36" s="86">
        <f>AVERAGE(AM5:AM35)</f>
        <v>0.91437419354838712</v>
      </c>
      <c r="AN36" s="84">
        <f>SUM(AN5:AN35)</f>
        <v>8158</v>
      </c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</row>
    <row r="37" spans="1:140" s="8" customFormat="1" ht="24.95" customHeight="1" thickBot="1" x14ac:dyDescent="0.3">
      <c r="A37" s="149"/>
      <c r="B37" s="165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7"/>
      <c r="T37" s="168"/>
      <c r="U37" s="169"/>
      <c r="V37" s="169"/>
      <c r="W37" s="169"/>
      <c r="X37" s="169"/>
      <c r="Y37" s="170"/>
      <c r="Z37" s="171"/>
      <c r="AA37" s="171"/>
      <c r="AB37" s="171"/>
      <c r="AC37" s="127"/>
      <c r="AD37" s="223" t="s">
        <v>34</v>
      </c>
      <c r="AE37" s="224"/>
      <c r="AF37" s="224"/>
      <c r="AG37" s="224"/>
      <c r="AH37" s="224"/>
      <c r="AI37" s="225"/>
      <c r="AJ37" s="281"/>
      <c r="AK37" s="282"/>
      <c r="AL37" s="282"/>
      <c r="AM37" s="283"/>
      <c r="AN37" s="284"/>
    </row>
    <row r="38" spans="1:140" s="9" customFormat="1" ht="39.950000000000003" customHeight="1" thickBot="1" x14ac:dyDescent="0.3">
      <c r="A38" s="150"/>
      <c r="B38" s="298" t="s">
        <v>3</v>
      </c>
      <c r="C38" s="299"/>
      <c r="D38" s="299"/>
      <c r="E38" s="299"/>
      <c r="F38" s="299"/>
      <c r="G38" s="297" t="s">
        <v>13</v>
      </c>
      <c r="H38" s="297"/>
      <c r="I38" s="297"/>
      <c r="J38" s="297"/>
      <c r="K38" s="297" t="s">
        <v>14</v>
      </c>
      <c r="L38" s="297"/>
      <c r="M38" s="297"/>
      <c r="N38" s="297"/>
      <c r="O38" s="297"/>
      <c r="P38" s="297"/>
      <c r="Q38" s="297"/>
      <c r="R38" s="297"/>
      <c r="S38" s="302"/>
      <c r="T38" s="261" t="s">
        <v>4</v>
      </c>
      <c r="U38" s="262"/>
      <c r="V38" s="263" t="s">
        <v>13</v>
      </c>
      <c r="W38" s="263"/>
      <c r="X38" s="263" t="s">
        <v>15</v>
      </c>
      <c r="Y38" s="264"/>
      <c r="Z38" s="95" t="s">
        <v>25</v>
      </c>
      <c r="AA38" s="96" t="s">
        <v>13</v>
      </c>
      <c r="AB38" s="97" t="s">
        <v>26</v>
      </c>
      <c r="AC38" s="128"/>
      <c r="AD38" s="253" t="s">
        <v>2</v>
      </c>
      <c r="AE38" s="254"/>
      <c r="AF38" s="230" t="s">
        <v>13</v>
      </c>
      <c r="AG38" s="230"/>
      <c r="AH38" s="230" t="s">
        <v>17</v>
      </c>
      <c r="AI38" s="231"/>
      <c r="AQ38" s="162"/>
    </row>
    <row r="39" spans="1:140" s="10" customFormat="1" ht="39.950000000000003" customHeight="1" x14ac:dyDescent="0.25">
      <c r="A39" s="104"/>
      <c r="B39" s="251" t="s">
        <v>83</v>
      </c>
      <c r="C39" s="252"/>
      <c r="D39" s="252"/>
      <c r="E39" s="252"/>
      <c r="F39" s="252"/>
      <c r="G39" s="257">
        <f>S36</f>
        <v>66292.69620000002</v>
      </c>
      <c r="H39" s="257"/>
      <c r="I39" s="257"/>
      <c r="J39" s="257"/>
      <c r="K39" s="249">
        <f t="shared" ref="K39:K44" si="67">G39/0.2</f>
        <v>331463.48100000009</v>
      </c>
      <c r="L39" s="249"/>
      <c r="M39" s="249"/>
      <c r="N39" s="249"/>
      <c r="O39" s="249"/>
      <c r="P39" s="249"/>
      <c r="Q39" s="249"/>
      <c r="R39" s="249"/>
      <c r="S39" s="250"/>
      <c r="T39" s="247" t="str">
        <f>B39</f>
        <v>Actual May 2025</v>
      </c>
      <c r="U39" s="248"/>
      <c r="V39" s="257">
        <f>Y36</f>
        <v>14402.08</v>
      </c>
      <c r="W39" s="257"/>
      <c r="X39" s="249">
        <f>X36</f>
        <v>1837</v>
      </c>
      <c r="Y39" s="250"/>
      <c r="Z39" s="98" t="str">
        <f>T39</f>
        <v>Actual May 2025</v>
      </c>
      <c r="AA39" s="125">
        <f>AB36</f>
        <v>4303.2440869039992</v>
      </c>
      <c r="AB39" s="179">
        <f>AA39/1.2551</f>
        <v>3428.6065547796979</v>
      </c>
      <c r="AC39" s="129"/>
      <c r="AD39" s="251" t="str">
        <f>T39</f>
        <v>Actual May 2025</v>
      </c>
      <c r="AE39" s="252"/>
      <c r="AF39" s="257">
        <f>AI36</f>
        <v>224135.87160799999</v>
      </c>
      <c r="AG39" s="257"/>
      <c r="AH39" s="255">
        <f>AF36</f>
        <v>199888.91999999993</v>
      </c>
      <c r="AI39" s="256" t="e">
        <f>(AD39-#REF!)/0.3428</f>
        <v>#VALUE!</v>
      </c>
      <c r="AM39" s="115"/>
      <c r="AP39" s="10">
        <v>149225.57999999999</v>
      </c>
      <c r="AQ39" s="128"/>
    </row>
    <row r="40" spans="1:140" s="10" customFormat="1" ht="40.5" customHeight="1" x14ac:dyDescent="0.25">
      <c r="A40" s="104"/>
      <c r="B40" s="237" t="s">
        <v>81</v>
      </c>
      <c r="C40" s="238"/>
      <c r="D40" s="238"/>
      <c r="E40" s="238"/>
      <c r="F40" s="238"/>
      <c r="G40" s="245">
        <v>78253.452000000005</v>
      </c>
      <c r="H40" s="245"/>
      <c r="I40" s="245"/>
      <c r="J40" s="245"/>
      <c r="K40" s="243">
        <f t="shared" si="67"/>
        <v>391267.26</v>
      </c>
      <c r="L40" s="243"/>
      <c r="M40" s="243"/>
      <c r="N40" s="243"/>
      <c r="O40" s="243"/>
      <c r="P40" s="243"/>
      <c r="Q40" s="243"/>
      <c r="R40" s="243"/>
      <c r="S40" s="244"/>
      <c r="T40" s="240" t="str">
        <f>B40</f>
        <v>Budget May 2025</v>
      </c>
      <c r="U40" s="241"/>
      <c r="V40" s="243">
        <v>16955.390345361498</v>
      </c>
      <c r="W40" s="243"/>
      <c r="X40" s="243">
        <f>V40/7.84</f>
        <v>2162.677339969579</v>
      </c>
      <c r="Y40" s="244"/>
      <c r="Z40" s="92" t="str">
        <f>T40</f>
        <v>Budget May 2025</v>
      </c>
      <c r="AA40" s="93">
        <v>5099.2304880071297</v>
      </c>
      <c r="AB40" s="124">
        <f t="shared" ref="AB40:AB42" si="68">AA40/1.2551</f>
        <v>4062.8081332221568</v>
      </c>
      <c r="AC40" s="129"/>
      <c r="AD40" s="237" t="str">
        <f>T40</f>
        <v>Budget May 2025</v>
      </c>
      <c r="AE40" s="238"/>
      <c r="AF40" s="243">
        <v>231114.47434399999</v>
      </c>
      <c r="AG40" s="243"/>
      <c r="AH40" s="217">
        <f>AP40/0.3449</f>
        <v>220122.61885763981</v>
      </c>
      <c r="AI40" s="218" t="e">
        <f t="shared" ref="AI40" si="69">(AD40-AF36)/0.3428</f>
        <v>#VALUE!</v>
      </c>
      <c r="AM40" s="115"/>
      <c r="AP40" s="115">
        <f>AF40-AH36</f>
        <v>75920.291243999964</v>
      </c>
      <c r="AQ40" s="118" t="s">
        <v>76</v>
      </c>
    </row>
    <row r="41" spans="1:140" s="10" customFormat="1" ht="40.5" customHeight="1" x14ac:dyDescent="0.25">
      <c r="A41" s="104"/>
      <c r="B41" s="237" t="s">
        <v>73</v>
      </c>
      <c r="C41" s="238"/>
      <c r="D41" s="238"/>
      <c r="E41" s="238"/>
      <c r="F41" s="238"/>
      <c r="G41" s="242">
        <f>G39+280292.91</f>
        <v>346585.60619999998</v>
      </c>
      <c r="H41" s="242"/>
      <c r="I41" s="242"/>
      <c r="J41" s="242"/>
      <c r="K41" s="245">
        <f t="shared" si="67"/>
        <v>1732928.0309999997</v>
      </c>
      <c r="L41" s="245"/>
      <c r="M41" s="245"/>
      <c r="N41" s="245"/>
      <c r="O41" s="245"/>
      <c r="P41" s="245"/>
      <c r="Q41" s="245"/>
      <c r="R41" s="245"/>
      <c r="S41" s="246"/>
      <c r="T41" s="240" t="str">
        <f t="shared" ref="T41:T44" si="70">B41</f>
        <v>Actual YTD 2025</v>
      </c>
      <c r="U41" s="241"/>
      <c r="V41" s="242">
        <f>V39+55624.8</f>
        <v>70026.880000000005</v>
      </c>
      <c r="W41" s="242"/>
      <c r="X41" s="245">
        <f>V41/7.84</f>
        <v>8932</v>
      </c>
      <c r="Y41" s="246"/>
      <c r="Z41" s="92" t="str">
        <f t="shared" ref="Z41:Z44" si="71">T41</f>
        <v>Actual YTD 2025</v>
      </c>
      <c r="AA41" s="123">
        <f>AA39+17588.97</f>
        <v>21892.214086904001</v>
      </c>
      <c r="AB41" s="124">
        <f t="shared" si="68"/>
        <v>17442.605439330731</v>
      </c>
      <c r="AC41" s="129"/>
      <c r="AD41" s="237" t="str">
        <f t="shared" ref="AD41:AD44" si="72">T41</f>
        <v>Actual YTD 2025</v>
      </c>
      <c r="AE41" s="238"/>
      <c r="AF41" s="242">
        <f>AF39+755427.67</f>
        <v>979563.54160800006</v>
      </c>
      <c r="AG41" s="242"/>
      <c r="AH41" s="232">
        <f>AP41/0.3449</f>
        <v>2390169.2131284433</v>
      </c>
      <c r="AI41" s="233"/>
      <c r="AM41" s="117"/>
      <c r="AP41" s="115">
        <f>AF41-AP46</f>
        <v>824369.36160800001</v>
      </c>
      <c r="AQ41" s="118" t="s">
        <v>77</v>
      </c>
    </row>
    <row r="42" spans="1:140" s="10" customFormat="1" ht="40.5" customHeight="1" x14ac:dyDescent="0.25">
      <c r="A42" s="109"/>
      <c r="B42" s="237" t="s">
        <v>74</v>
      </c>
      <c r="C42" s="238"/>
      <c r="D42" s="238"/>
      <c r="E42" s="238"/>
      <c r="F42" s="238"/>
      <c r="G42" s="243">
        <f>295196.16+G40</f>
        <v>373449.61199999996</v>
      </c>
      <c r="H42" s="243"/>
      <c r="I42" s="243"/>
      <c r="J42" s="243"/>
      <c r="K42" s="243">
        <f t="shared" si="67"/>
        <v>1867248.0599999998</v>
      </c>
      <c r="L42" s="243"/>
      <c r="M42" s="243"/>
      <c r="N42" s="243"/>
      <c r="O42" s="243"/>
      <c r="P42" s="243"/>
      <c r="Q42" s="243"/>
      <c r="R42" s="243"/>
      <c r="S42" s="244"/>
      <c r="T42" s="240" t="str">
        <f t="shared" si="70"/>
        <v>Budget YTD 2025</v>
      </c>
      <c r="U42" s="241"/>
      <c r="V42" s="243">
        <f>58693.57+V40</f>
        <v>75648.960345361498</v>
      </c>
      <c r="W42" s="243"/>
      <c r="X42" s="243">
        <f>V42/7.84</f>
        <v>9649.102084867538</v>
      </c>
      <c r="Y42" s="244"/>
      <c r="Z42" s="92" t="str">
        <f t="shared" si="71"/>
        <v>Budget YTD 2025</v>
      </c>
      <c r="AA42" s="93">
        <f>18132.72+AA40</f>
        <v>23231.950488007133</v>
      </c>
      <c r="AB42" s="180">
        <f t="shared" si="68"/>
        <v>18510.039429533208</v>
      </c>
      <c r="AC42" s="129"/>
      <c r="AD42" s="237" t="str">
        <f t="shared" si="72"/>
        <v>Budget YTD 2025</v>
      </c>
      <c r="AE42" s="238"/>
      <c r="AF42" s="243">
        <f>778108.83+AF40</f>
        <v>1009223.3043439999</v>
      </c>
      <c r="AG42" s="243"/>
      <c r="AH42" s="217">
        <f>AP42/0.3449</f>
        <v>2476164.4660597271</v>
      </c>
      <c r="AI42" s="218" t="e">
        <f t="shared" ref="AI42" si="73">(AD42-AF38)/0.3428</f>
        <v>#VALUE!</v>
      </c>
      <c r="AM42" s="117"/>
      <c r="AP42" s="115">
        <f>AF42-AP46</f>
        <v>854029.12434399989</v>
      </c>
      <c r="AQ42" s="118" t="s">
        <v>78</v>
      </c>
    </row>
    <row r="43" spans="1:140" s="10" customFormat="1" ht="40.5" customHeight="1" x14ac:dyDescent="0.25">
      <c r="A43" s="8"/>
      <c r="B43" s="237" t="s">
        <v>82</v>
      </c>
      <c r="C43" s="238"/>
      <c r="D43" s="238"/>
      <c r="E43" s="238"/>
      <c r="F43" s="238"/>
      <c r="G43" s="239">
        <v>72456.899999999994</v>
      </c>
      <c r="H43" s="239"/>
      <c r="I43" s="239"/>
      <c r="J43" s="239"/>
      <c r="K43" s="243">
        <f t="shared" si="67"/>
        <v>362284.49999999994</v>
      </c>
      <c r="L43" s="243"/>
      <c r="M43" s="243"/>
      <c r="N43" s="243"/>
      <c r="O43" s="243"/>
      <c r="P43" s="243"/>
      <c r="Q43" s="243"/>
      <c r="R43" s="243"/>
      <c r="S43" s="244"/>
      <c r="T43" s="240" t="str">
        <f t="shared" si="70"/>
        <v>Actual May 2024</v>
      </c>
      <c r="U43" s="241"/>
      <c r="V43" s="239">
        <v>15860.32</v>
      </c>
      <c r="W43" s="239"/>
      <c r="X43" s="243">
        <f t="shared" ref="X43:X44" si="74">V43/7.84</f>
        <v>2023</v>
      </c>
      <c r="Y43" s="244"/>
      <c r="Z43" s="92" t="str">
        <f t="shared" si="71"/>
        <v>Actual May 2024</v>
      </c>
      <c r="AA43" s="160">
        <v>3023.96</v>
      </c>
      <c r="AB43" s="124">
        <f t="shared" ref="AB43:AB44" si="75">AA43/0.8571</f>
        <v>3528.1297398203246</v>
      </c>
      <c r="AC43" s="129"/>
      <c r="AD43" s="237" t="str">
        <f t="shared" si="72"/>
        <v>Actual May 2024</v>
      </c>
      <c r="AE43" s="238"/>
      <c r="AF43" s="239">
        <v>215752.87</v>
      </c>
      <c r="AG43" s="239"/>
      <c r="AH43" s="217">
        <f>AP43/0.3442</f>
        <v>209957.17606043001</v>
      </c>
      <c r="AI43" s="218" t="e">
        <f t="shared" ref="AI43" si="76">(AD43-AF39)/0.3428</f>
        <v>#VALUE!</v>
      </c>
      <c r="AM43" s="117"/>
      <c r="AP43" s="115">
        <f>AF43-AP48</f>
        <v>72267.260000000009</v>
      </c>
      <c r="AQ43" s="118" t="s">
        <v>79</v>
      </c>
    </row>
    <row r="44" spans="1:140" s="10" customFormat="1" ht="40.5" customHeight="1" thickBot="1" x14ac:dyDescent="0.3">
      <c r="A44" s="8"/>
      <c r="B44" s="322" t="s">
        <v>67</v>
      </c>
      <c r="C44" s="323"/>
      <c r="D44" s="323"/>
      <c r="E44" s="323"/>
      <c r="F44" s="323"/>
      <c r="G44" s="324">
        <v>361897.74</v>
      </c>
      <c r="H44" s="324"/>
      <c r="I44" s="324"/>
      <c r="J44" s="324"/>
      <c r="K44" s="325">
        <f t="shared" si="67"/>
        <v>1809488.7</v>
      </c>
      <c r="L44" s="325"/>
      <c r="M44" s="325"/>
      <c r="N44" s="325"/>
      <c r="O44" s="325"/>
      <c r="P44" s="325"/>
      <c r="Q44" s="325"/>
      <c r="R44" s="325"/>
      <c r="S44" s="326"/>
      <c r="T44" s="327" t="str">
        <f t="shared" si="70"/>
        <v>Actual YTD 2024</v>
      </c>
      <c r="U44" s="328"/>
      <c r="V44" s="324">
        <v>69195.839999999997</v>
      </c>
      <c r="W44" s="324"/>
      <c r="X44" s="325">
        <f t="shared" si="74"/>
        <v>8826</v>
      </c>
      <c r="Y44" s="326"/>
      <c r="Z44" s="94" t="str">
        <f t="shared" si="71"/>
        <v>Actual YTD 2024</v>
      </c>
      <c r="AA44" s="161">
        <v>16443.03</v>
      </c>
      <c r="AB44" s="126">
        <f t="shared" si="75"/>
        <v>19184.494224711234</v>
      </c>
      <c r="AC44" s="129"/>
      <c r="AD44" s="322" t="str">
        <f t="shared" si="72"/>
        <v>Actual YTD 2024</v>
      </c>
      <c r="AE44" s="323"/>
      <c r="AF44" s="324">
        <v>954652.99</v>
      </c>
      <c r="AG44" s="324"/>
      <c r="AH44" s="234">
        <f>AP44/0.3442</f>
        <v>2339998.2858803021</v>
      </c>
      <c r="AI44" s="235" t="e">
        <f t="shared" ref="AI44" si="77">(AD44-AF40)/0.3428</f>
        <v>#VALUE!</v>
      </c>
      <c r="AM44" s="117"/>
      <c r="AP44" s="115">
        <f>AF44-AP47</f>
        <v>805427.41</v>
      </c>
      <c r="AQ44" s="118" t="s">
        <v>68</v>
      </c>
    </row>
    <row r="45" spans="1:140" ht="24" customHeight="1" x14ac:dyDescent="0.25">
      <c r="G45" s="310">
        <v>45778</v>
      </c>
      <c r="H45" s="310"/>
      <c r="I45" s="12">
        <f ca="1">TODAY()</f>
        <v>45811</v>
      </c>
      <c r="J45" s="23">
        <v>31</v>
      </c>
      <c r="V45" s="242"/>
      <c r="W45" s="242"/>
      <c r="Z45" s="111"/>
      <c r="AA45" s="123"/>
      <c r="AE45" s="110"/>
      <c r="AF45" s="242"/>
      <c r="AG45" s="242"/>
    </row>
    <row r="46" spans="1:140" ht="36" customHeight="1" x14ac:dyDescent="0.25">
      <c r="A46" s="333" t="s">
        <v>39</v>
      </c>
      <c r="B46" s="333"/>
      <c r="D46" s="236" t="s">
        <v>35</v>
      </c>
      <c r="E46" s="236"/>
      <c r="F46" s="236"/>
      <c r="G46" s="236"/>
      <c r="H46" s="14"/>
      <c r="I46" s="307" t="s">
        <v>36</v>
      </c>
      <c r="J46" s="307"/>
      <c r="K46" s="307"/>
      <c r="L46" s="307"/>
      <c r="M46" s="15"/>
      <c r="N46" s="236" t="s">
        <v>37</v>
      </c>
      <c r="O46" s="236"/>
      <c r="P46" s="236"/>
      <c r="Q46" s="236"/>
      <c r="R46" s="236"/>
      <c r="S46" s="236"/>
      <c r="U46" s="236" t="s">
        <v>38</v>
      </c>
      <c r="V46" s="236"/>
      <c r="W46" s="236"/>
      <c r="X46" s="17"/>
      <c r="Y46" s="236" t="s">
        <v>40</v>
      </c>
      <c r="Z46" s="236"/>
      <c r="AA46" s="236"/>
      <c r="AD46" s="236" t="s">
        <v>41</v>
      </c>
      <c r="AE46" s="236"/>
      <c r="AF46" s="236"/>
      <c r="AG46" s="27" t="s">
        <v>45</v>
      </c>
      <c r="AH46" s="27" t="s">
        <v>46</v>
      </c>
      <c r="AI46" s="18"/>
      <c r="AP46" s="9">
        <f>155194.18</f>
        <v>155194.18</v>
      </c>
      <c r="AQ46" s="9" t="s">
        <v>75</v>
      </c>
      <c r="AR46" s="9"/>
      <c r="AS46" s="9"/>
    </row>
    <row r="47" spans="1:140" ht="30" customHeight="1" x14ac:dyDescent="0.25">
      <c r="A47" s="45" t="s">
        <v>3</v>
      </c>
      <c r="B47" s="46">
        <f>G40</f>
        <v>78253.452000000005</v>
      </c>
      <c r="D47" s="219" t="s">
        <v>3</v>
      </c>
      <c r="E47" s="220"/>
      <c r="F47" s="220"/>
      <c r="G47" s="42">
        <f>B47/31</f>
        <v>2524.3049032258068</v>
      </c>
      <c r="H47" s="13"/>
      <c r="I47" s="219" t="s">
        <v>3</v>
      </c>
      <c r="J47" s="220"/>
      <c r="K47" s="220"/>
      <c r="L47" s="42">
        <f>S36/J45</f>
        <v>2138.4740709677426</v>
      </c>
      <c r="M47" s="13"/>
      <c r="N47" s="219" t="s">
        <v>3</v>
      </c>
      <c r="O47" s="220"/>
      <c r="P47" s="220"/>
      <c r="Q47" s="220"/>
      <c r="R47" s="220"/>
      <c r="S47" s="191">
        <f>G47*J45</f>
        <v>78253.452000000005</v>
      </c>
      <c r="U47" s="219" t="s">
        <v>3</v>
      </c>
      <c r="V47" s="220"/>
      <c r="W47" s="106">
        <f>S36</f>
        <v>66292.69620000002</v>
      </c>
      <c r="X47" s="25">
        <f>S47-W47</f>
        <v>11960.755799999984</v>
      </c>
      <c r="Y47" s="219" t="s">
        <v>3</v>
      </c>
      <c r="Z47" s="220"/>
      <c r="AA47" s="39">
        <f>S47+G42</f>
        <v>451703.06399999995</v>
      </c>
      <c r="AD47" s="219" t="s">
        <v>3</v>
      </c>
      <c r="AE47" s="220"/>
      <c r="AF47" s="28">
        <f>W47+G41</f>
        <v>412878.30239999999</v>
      </c>
      <c r="AG47" s="29">
        <f>AA47-AF47</f>
        <v>38824.761599999969</v>
      </c>
      <c r="AH47" s="30">
        <f>AF47-AA47</f>
        <v>-38824.761599999969</v>
      </c>
      <c r="AI47" s="19"/>
      <c r="AJ47" s="10"/>
      <c r="AK47" s="10"/>
      <c r="AL47" s="10"/>
      <c r="AP47" s="9">
        <f>149225.58</f>
        <v>149225.57999999999</v>
      </c>
      <c r="AQ47" s="10" t="s">
        <v>69</v>
      </c>
      <c r="AR47" s="9"/>
      <c r="AS47" s="9"/>
    </row>
    <row r="48" spans="1:140" ht="30" customHeight="1" x14ac:dyDescent="0.25">
      <c r="A48" s="47" t="s">
        <v>4</v>
      </c>
      <c r="B48" s="48">
        <f>V40</f>
        <v>16955.390345361498</v>
      </c>
      <c r="D48" s="221" t="s">
        <v>4</v>
      </c>
      <c r="E48" s="222"/>
      <c r="F48" s="222"/>
      <c r="G48" s="43">
        <f>B48/30</f>
        <v>565.17967817871659</v>
      </c>
      <c r="H48" s="13"/>
      <c r="I48" s="221" t="s">
        <v>4</v>
      </c>
      <c r="J48" s="222"/>
      <c r="K48" s="222"/>
      <c r="L48" s="43">
        <f>Y36/J45</f>
        <v>464.58322580645159</v>
      </c>
      <c r="M48" s="13"/>
      <c r="N48" s="221" t="s">
        <v>4</v>
      </c>
      <c r="O48" s="222"/>
      <c r="P48" s="222"/>
      <c r="Q48" s="222"/>
      <c r="R48" s="222"/>
      <c r="S48" s="102">
        <f>G48*J45</f>
        <v>17520.570023540215</v>
      </c>
      <c r="U48" s="221" t="s">
        <v>4</v>
      </c>
      <c r="V48" s="222"/>
      <c r="W48" s="107">
        <f>Y36</f>
        <v>14402.08</v>
      </c>
      <c r="X48" s="25">
        <f>S48-W48</f>
        <v>3118.4900235402147</v>
      </c>
      <c r="Y48" s="221" t="s">
        <v>4</v>
      </c>
      <c r="Z48" s="222"/>
      <c r="AA48" s="38">
        <f>S48+V42</f>
        <v>93169.530368901716</v>
      </c>
      <c r="AD48" s="221" t="s">
        <v>4</v>
      </c>
      <c r="AE48" s="222"/>
      <c r="AF48" s="31">
        <f>W48+V41</f>
        <v>84428.96</v>
      </c>
      <c r="AG48" s="32">
        <f>AA48-AF48</f>
        <v>8740.57036890171</v>
      </c>
      <c r="AH48" s="33">
        <f t="shared" ref="AH48:AH50" si="78">AF48-AA48</f>
        <v>-8740.57036890171</v>
      </c>
      <c r="AI48" s="19"/>
      <c r="AP48" s="9">
        <f>143485.61</f>
        <v>143485.60999999999</v>
      </c>
      <c r="AQ48" s="9"/>
      <c r="AR48" s="9"/>
      <c r="AS48" s="9"/>
    </row>
    <row r="49" spans="1:39" ht="30" customHeight="1" x14ac:dyDescent="0.25">
      <c r="A49" s="47" t="s">
        <v>25</v>
      </c>
      <c r="B49" s="48">
        <f>AA40</f>
        <v>5099.2304880071297</v>
      </c>
      <c r="D49" s="221" t="s">
        <v>25</v>
      </c>
      <c r="E49" s="222"/>
      <c r="F49" s="222"/>
      <c r="G49" s="43">
        <f>B49/31</f>
        <v>164.49130606474611</v>
      </c>
      <c r="H49" s="13"/>
      <c r="I49" s="221" t="s">
        <v>25</v>
      </c>
      <c r="J49" s="222"/>
      <c r="K49" s="222"/>
      <c r="L49" s="43">
        <f>AB36/J45</f>
        <v>138.81432538399997</v>
      </c>
      <c r="M49" s="13"/>
      <c r="N49" s="221" t="s">
        <v>25</v>
      </c>
      <c r="O49" s="222"/>
      <c r="P49" s="222"/>
      <c r="Q49" s="222"/>
      <c r="R49" s="222"/>
      <c r="S49" s="102">
        <f>G49*J45</f>
        <v>5099.2304880071297</v>
      </c>
      <c r="U49" s="221" t="s">
        <v>25</v>
      </c>
      <c r="V49" s="222"/>
      <c r="W49" s="107">
        <f>AB36</f>
        <v>4303.2440869039992</v>
      </c>
      <c r="X49" s="25">
        <f>S49-W49</f>
        <v>795.98640110313045</v>
      </c>
      <c r="Y49" s="221" t="s">
        <v>25</v>
      </c>
      <c r="Z49" s="222"/>
      <c r="AA49" s="38">
        <f>S49+AA42</f>
        <v>28331.180976014264</v>
      </c>
      <c r="AD49" s="221" t="s">
        <v>25</v>
      </c>
      <c r="AE49" s="222"/>
      <c r="AF49" s="31">
        <f>W49+AA41</f>
        <v>26195.458173808001</v>
      </c>
      <c r="AG49" s="32">
        <f t="shared" ref="AG49" si="79">AA49-AF49</f>
        <v>2135.7228022062627</v>
      </c>
      <c r="AH49" s="33">
        <f t="shared" si="78"/>
        <v>-2135.7228022062627</v>
      </c>
      <c r="AI49" s="19"/>
    </row>
    <row r="50" spans="1:39" ht="30" customHeight="1" x14ac:dyDescent="0.25">
      <c r="A50" s="49" t="s">
        <v>16</v>
      </c>
      <c r="B50" s="172">
        <f>AF40</f>
        <v>231114.47434399999</v>
      </c>
      <c r="C50" s="41"/>
      <c r="D50" s="308" t="s">
        <v>16</v>
      </c>
      <c r="E50" s="309"/>
      <c r="F50" s="309"/>
      <c r="G50" s="44">
        <f>B50/31</f>
        <v>7455.3056239999996</v>
      </c>
      <c r="I50" s="308" t="s">
        <v>16</v>
      </c>
      <c r="J50" s="309"/>
      <c r="K50" s="309"/>
      <c r="L50" s="44">
        <f>AI36/J45</f>
        <v>7230.1894067096773</v>
      </c>
      <c r="N50" s="308" t="s">
        <v>16</v>
      </c>
      <c r="O50" s="309"/>
      <c r="P50" s="309"/>
      <c r="Q50" s="309"/>
      <c r="R50" s="309"/>
      <c r="S50" s="103">
        <f>G50*J45</f>
        <v>231114.47434399999</v>
      </c>
      <c r="U50" s="308" t="s">
        <v>16</v>
      </c>
      <c r="V50" s="309"/>
      <c r="W50" s="108">
        <f>AI36</f>
        <v>224135.87160799999</v>
      </c>
      <c r="X50" s="25">
        <f>S50-W50</f>
        <v>6978.6027360000007</v>
      </c>
      <c r="Y50" s="221" t="s">
        <v>16</v>
      </c>
      <c r="Z50" s="222"/>
      <c r="AA50" s="38">
        <f>S50+AF42</f>
        <v>1240337.778688</v>
      </c>
      <c r="AD50" s="221" t="s">
        <v>16</v>
      </c>
      <c r="AE50" s="222"/>
      <c r="AF50" s="31">
        <f>W50+AF41</f>
        <v>1203699.413216</v>
      </c>
      <c r="AG50" s="32">
        <f>AA50-AF50</f>
        <v>36638.365472000092</v>
      </c>
      <c r="AH50" s="33">
        <f t="shared" si="78"/>
        <v>-36638.365472000092</v>
      </c>
      <c r="AI50" s="19"/>
    </row>
    <row r="51" spans="1:39" ht="15.75" x14ac:dyDescent="0.25">
      <c r="F51" s="306"/>
      <c r="G51" s="306"/>
      <c r="H51" s="306"/>
      <c r="I51" s="306"/>
      <c r="J51" s="306"/>
      <c r="K51" s="306"/>
      <c r="S51" s="20">
        <f>SUM(S47:S50)</f>
        <v>331987.72685554734</v>
      </c>
      <c r="T51" s="20"/>
      <c r="U51" s="20"/>
      <c r="V51" s="20"/>
      <c r="W51" s="20">
        <f t="shared" ref="W51" si="80">SUM(W47:W50)</f>
        <v>309133.89189490402</v>
      </c>
      <c r="X51" s="25">
        <f t="shared" ref="X51" si="81">S51-W51</f>
        <v>22853.834960643318</v>
      </c>
      <c r="Y51" s="308" t="s">
        <v>43</v>
      </c>
      <c r="Z51" s="309" t="s">
        <v>42</v>
      </c>
      <c r="AA51" s="40">
        <f>SUM(AA47:AA50)</f>
        <v>1813541.554032916</v>
      </c>
      <c r="AB51" s="2"/>
      <c r="AC51" s="2"/>
      <c r="AD51" s="34"/>
      <c r="AE51" s="35"/>
      <c r="AF51" s="36">
        <f>SUM(AF47:AF50)</f>
        <v>1727202.133789808</v>
      </c>
      <c r="AG51" s="114">
        <f>AA51-AF51</f>
        <v>86339.420243107947</v>
      </c>
      <c r="AH51" s="37"/>
      <c r="AI51" s="19"/>
    </row>
    <row r="52" spans="1:39" ht="18.75" x14ac:dyDescent="0.25">
      <c r="F52" s="26"/>
      <c r="G52" s="26"/>
      <c r="H52" s="26"/>
      <c r="I52" s="26"/>
      <c r="J52" s="26"/>
      <c r="K52" s="26"/>
      <c r="S52" s="20"/>
      <c r="T52" s="20"/>
      <c r="U52" s="20"/>
      <c r="V52" s="20"/>
      <c r="W52" s="20"/>
      <c r="X52" s="25"/>
      <c r="Y52" s="50"/>
      <c r="Z52" s="50"/>
      <c r="AA52" s="51"/>
      <c r="AB52" s="2"/>
      <c r="AC52" s="2"/>
      <c r="AD52" s="52"/>
      <c r="AE52" s="2"/>
      <c r="AF52" s="105"/>
      <c r="AG52" s="53"/>
      <c r="AH52" s="54"/>
      <c r="AI52" s="19"/>
    </row>
    <row r="53" spans="1:39" ht="36" customHeight="1" x14ac:dyDescent="0.25">
      <c r="A53" s="334" t="s">
        <v>56</v>
      </c>
      <c r="B53" s="335"/>
      <c r="D53" s="303" t="s">
        <v>57</v>
      </c>
      <c r="E53" s="304"/>
      <c r="F53" s="304"/>
      <c r="G53" s="305"/>
      <c r="H53" s="55"/>
      <c r="I53" s="336" t="s">
        <v>58</v>
      </c>
      <c r="J53" s="337"/>
      <c r="K53" s="337"/>
      <c r="L53" s="338"/>
      <c r="M53" s="56"/>
      <c r="N53" s="303" t="s">
        <v>38</v>
      </c>
      <c r="O53" s="304"/>
      <c r="P53" s="304"/>
      <c r="Q53" s="304"/>
      <c r="R53" s="304"/>
      <c r="S53" s="305"/>
      <c r="U53" s="330" t="s">
        <v>59</v>
      </c>
      <c r="V53" s="331"/>
      <c r="W53" s="332"/>
      <c r="X53" s="99"/>
      <c r="Y53" s="330" t="s">
        <v>60</v>
      </c>
      <c r="Z53" s="331"/>
      <c r="AA53" s="332"/>
      <c r="AD53" s="185" t="s">
        <v>64</v>
      </c>
      <c r="AE53" s="185" t="s">
        <v>65</v>
      </c>
      <c r="AG53" s="185" t="s">
        <v>61</v>
      </c>
      <c r="AH53" s="185" t="s">
        <v>62</v>
      </c>
      <c r="AK53" s="188"/>
      <c r="AL53" s="188"/>
      <c r="AM53" s="188"/>
    </row>
    <row r="54" spans="1:39" s="57" customFormat="1" ht="30" customHeight="1" x14ac:dyDescent="0.2">
      <c r="A54" s="155" t="s">
        <v>3</v>
      </c>
      <c r="B54" s="156">
        <f>G43</f>
        <v>72456.899999999994</v>
      </c>
      <c r="D54" s="311" t="s">
        <v>3</v>
      </c>
      <c r="E54" s="312"/>
      <c r="F54" s="312"/>
      <c r="G54" s="152">
        <f>B54/31</f>
        <v>2337.3193548387094</v>
      </c>
      <c r="H54" s="58"/>
      <c r="I54" s="311" t="s">
        <v>3</v>
      </c>
      <c r="J54" s="312"/>
      <c r="K54" s="312"/>
      <c r="L54" s="153">
        <f>G54*J45</f>
        <v>72456.899999999994</v>
      </c>
      <c r="M54" s="58"/>
      <c r="N54" s="311" t="s">
        <v>3</v>
      </c>
      <c r="O54" s="312"/>
      <c r="P54" s="312"/>
      <c r="Q54" s="312"/>
      <c r="R54" s="313">
        <f>S36</f>
        <v>66292.69620000002</v>
      </c>
      <c r="S54" s="314"/>
      <c r="T54" s="59"/>
      <c r="U54" s="311" t="s">
        <v>3</v>
      </c>
      <c r="V54" s="312"/>
      <c r="W54" s="176">
        <f>L54-R54</f>
        <v>6164.2037999999739</v>
      </c>
      <c r="X54" s="100"/>
      <c r="Y54" s="311" t="s">
        <v>3</v>
      </c>
      <c r="Z54" s="312"/>
      <c r="AA54" s="175">
        <f>G44-G41</f>
        <v>15312.133800000011</v>
      </c>
      <c r="AD54" s="186">
        <f>L47*31</f>
        <v>66292.69620000002</v>
      </c>
      <c r="AE54" s="186">
        <f>AD54+301630.76</f>
        <v>367923.45620000002</v>
      </c>
      <c r="AF54" s="101"/>
      <c r="AG54" s="186">
        <f>G43-AD54</f>
        <v>6164.2037999999739</v>
      </c>
      <c r="AH54" s="186">
        <f>G44-AE54</f>
        <v>-6025.7162000000244</v>
      </c>
      <c r="AK54" s="189"/>
      <c r="AL54" s="189"/>
      <c r="AM54" s="189"/>
    </row>
    <row r="55" spans="1:39" s="57" customFormat="1" ht="30" customHeight="1" x14ac:dyDescent="0.2">
      <c r="A55" s="155" t="s">
        <v>4</v>
      </c>
      <c r="B55" s="156">
        <f>V43</f>
        <v>15860.32</v>
      </c>
      <c r="D55" s="311" t="s">
        <v>4</v>
      </c>
      <c r="E55" s="312"/>
      <c r="F55" s="312"/>
      <c r="G55" s="152">
        <f>B55/31</f>
        <v>511.62322580645161</v>
      </c>
      <c r="H55" s="58"/>
      <c r="I55" s="311" t="s">
        <v>4</v>
      </c>
      <c r="J55" s="312"/>
      <c r="K55" s="312"/>
      <c r="L55" s="153">
        <f>G55*J45</f>
        <v>15860.32</v>
      </c>
      <c r="M55" s="58"/>
      <c r="N55" s="311" t="s">
        <v>4</v>
      </c>
      <c r="O55" s="312"/>
      <c r="P55" s="312"/>
      <c r="Q55" s="312"/>
      <c r="R55" s="315">
        <f>Y36</f>
        <v>14402.08</v>
      </c>
      <c r="S55" s="316"/>
      <c r="T55" s="59"/>
      <c r="U55" s="311" t="s">
        <v>4</v>
      </c>
      <c r="V55" s="312"/>
      <c r="W55" s="176">
        <f>L55-R55</f>
        <v>1458.2399999999998</v>
      </c>
      <c r="X55" s="100"/>
      <c r="Y55" s="311" t="s">
        <v>4</v>
      </c>
      <c r="Z55" s="312"/>
      <c r="AA55" s="175">
        <f>V44-V41</f>
        <v>-831.04000000000815</v>
      </c>
      <c r="AD55" s="186">
        <f>L48*31</f>
        <v>14402.08</v>
      </c>
      <c r="AE55" s="186">
        <f>AD55+60399.36</f>
        <v>74801.440000000002</v>
      </c>
      <c r="AF55" s="101"/>
      <c r="AG55" s="186">
        <f>V43-AD55</f>
        <v>1458.2399999999998</v>
      </c>
      <c r="AH55" s="186">
        <f>V44-AE55</f>
        <v>-5605.6000000000058</v>
      </c>
      <c r="AK55" s="189"/>
      <c r="AL55" s="189"/>
      <c r="AM55" s="189"/>
    </row>
    <row r="56" spans="1:39" s="57" customFormat="1" ht="30" customHeight="1" x14ac:dyDescent="0.2">
      <c r="A56" s="155" t="s">
        <v>25</v>
      </c>
      <c r="B56" s="156">
        <f>AA43</f>
        <v>3023.96</v>
      </c>
      <c r="D56" s="311" t="s">
        <v>25</v>
      </c>
      <c r="E56" s="312"/>
      <c r="F56" s="312"/>
      <c r="G56" s="152">
        <f>B56/31</f>
        <v>97.547096774193548</v>
      </c>
      <c r="H56" s="58"/>
      <c r="I56" s="311" t="s">
        <v>25</v>
      </c>
      <c r="J56" s="312"/>
      <c r="K56" s="312"/>
      <c r="L56" s="153">
        <f>G56*J45</f>
        <v>3023.96</v>
      </c>
      <c r="M56" s="58"/>
      <c r="N56" s="311" t="s">
        <v>25</v>
      </c>
      <c r="O56" s="312"/>
      <c r="P56" s="312"/>
      <c r="Q56" s="312"/>
      <c r="R56" s="313">
        <f>AB36</f>
        <v>4303.2440869039992</v>
      </c>
      <c r="S56" s="314"/>
      <c r="T56" s="59"/>
      <c r="U56" s="311" t="s">
        <v>25</v>
      </c>
      <c r="V56" s="312"/>
      <c r="W56" s="176">
        <f>L56-R56</f>
        <v>-1279.2840869039992</v>
      </c>
      <c r="X56" s="100"/>
      <c r="Y56" s="311" t="s">
        <v>25</v>
      </c>
      <c r="Z56" s="312"/>
      <c r="AA56" s="175">
        <f>AA44-AA41</f>
        <v>-5449.1840869040025</v>
      </c>
      <c r="AD56" s="186">
        <f>L49*31</f>
        <v>4303.2440869039992</v>
      </c>
      <c r="AE56" s="186">
        <f>AD56+15239.92</f>
        <v>19543.164086903998</v>
      </c>
      <c r="AF56" s="101"/>
      <c r="AG56" s="186">
        <f>AA43-AD56</f>
        <v>-1279.2840869039992</v>
      </c>
      <c r="AH56" s="186">
        <f>AA44-AE56</f>
        <v>-3100.1340869039996</v>
      </c>
      <c r="AK56" s="189"/>
      <c r="AL56" s="189"/>
      <c r="AM56" s="189"/>
    </row>
    <row r="57" spans="1:39" s="57" customFormat="1" ht="30" customHeight="1" x14ac:dyDescent="0.2">
      <c r="A57" s="157" t="s">
        <v>16</v>
      </c>
      <c r="B57" s="158">
        <f>AF43</f>
        <v>215752.87</v>
      </c>
      <c r="C57" s="151"/>
      <c r="D57" s="317" t="s">
        <v>16</v>
      </c>
      <c r="E57" s="318"/>
      <c r="F57" s="318"/>
      <c r="G57" s="174">
        <f>B57/31</f>
        <v>6959.7699999999995</v>
      </c>
      <c r="H57" s="61"/>
      <c r="I57" s="317" t="s">
        <v>16</v>
      </c>
      <c r="J57" s="318"/>
      <c r="K57" s="318"/>
      <c r="L57" s="154">
        <f>G57*J45</f>
        <v>215752.87</v>
      </c>
      <c r="M57" s="61"/>
      <c r="N57" s="317" t="s">
        <v>16</v>
      </c>
      <c r="O57" s="318"/>
      <c r="P57" s="318"/>
      <c r="Q57" s="318"/>
      <c r="R57" s="319">
        <f>AI36</f>
        <v>224135.87160799999</v>
      </c>
      <c r="S57" s="320"/>
      <c r="T57" s="59"/>
      <c r="U57" s="317" t="s">
        <v>16</v>
      </c>
      <c r="V57" s="318"/>
      <c r="W57" s="177">
        <f>L57-R57</f>
        <v>-8383.0016079999914</v>
      </c>
      <c r="X57" s="100"/>
      <c r="Y57" s="317" t="s">
        <v>16</v>
      </c>
      <c r="Z57" s="318"/>
      <c r="AA57" s="158">
        <f>AF44-AF41</f>
        <v>-24910.551608000067</v>
      </c>
      <c r="AD57" s="186">
        <f>L50*31</f>
        <v>224135.87160799999</v>
      </c>
      <c r="AE57" s="186">
        <f>AD57+720892.09</f>
        <v>945027.96160799998</v>
      </c>
      <c r="AF57" s="101"/>
      <c r="AG57" s="186">
        <f>AF43-AD57</f>
        <v>-8383.0016079999914</v>
      </c>
      <c r="AH57" s="186">
        <f>AF44-AE57</f>
        <v>9625.0283920000074</v>
      </c>
      <c r="AK57" s="189"/>
      <c r="AL57" s="189"/>
      <c r="AM57" s="189"/>
    </row>
    <row r="58" spans="1:39" s="57" customFormat="1" ht="30" customHeight="1" x14ac:dyDescent="0.2">
      <c r="B58" s="62">
        <f>SUM(B54:B57)</f>
        <v>307094.05</v>
      </c>
      <c r="F58" s="63"/>
      <c r="G58" s="63"/>
      <c r="H58" s="63"/>
      <c r="I58" s="63"/>
      <c r="J58" s="63"/>
      <c r="K58" s="63"/>
      <c r="L58" s="64">
        <f>SUM(L54:L57)</f>
        <v>307094.05</v>
      </c>
      <c r="M58" s="61"/>
      <c r="N58" s="61"/>
      <c r="O58" s="61"/>
      <c r="P58" s="61"/>
      <c r="Q58" s="61"/>
      <c r="R58" s="321">
        <f>SUM(R54:S57)</f>
        <v>309133.89189490402</v>
      </c>
      <c r="S58" s="321"/>
      <c r="T58" s="65"/>
      <c r="U58" s="65"/>
      <c r="V58" s="65"/>
      <c r="W58" s="62">
        <f>SUM(W54:W57)</f>
        <v>-2039.841894904017</v>
      </c>
      <c r="X58" s="62"/>
      <c r="Y58" s="60"/>
      <c r="AA58" s="67">
        <f>SUM(AA54:AA57)</f>
        <v>-15878.641894904067</v>
      </c>
      <c r="AD58" s="187">
        <f>SUM(AD54:AD57)</f>
        <v>309133.89189490402</v>
      </c>
      <c r="AE58" s="187">
        <f>SUM(AE54:AE57)</f>
        <v>1407296.0218949039</v>
      </c>
      <c r="AF58" s="101"/>
      <c r="AG58" s="187">
        <f>SUM(AG54:AG57)</f>
        <v>-2039.841894904017</v>
      </c>
      <c r="AH58" s="187">
        <f>SUM(AH54:AH57)</f>
        <v>-5106.4218949040223</v>
      </c>
      <c r="AK58" s="190"/>
      <c r="AL58" s="190"/>
      <c r="AM58" s="190"/>
    </row>
    <row r="59" spans="1:39" s="57" customFormat="1" ht="12.75" x14ac:dyDescent="0.2">
      <c r="B59" s="62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59"/>
      <c r="U59" s="59"/>
      <c r="V59" s="59"/>
      <c r="W59" s="66">
        <f>1-(R58/L58)</f>
        <v>-6.6424012282362277E-3</v>
      </c>
      <c r="Y59" s="67"/>
    </row>
    <row r="60" spans="1:39" ht="15.75" x14ac:dyDescent="0.25">
      <c r="W60" s="21"/>
      <c r="X60" s="24"/>
      <c r="AF60" s="21"/>
      <c r="AG60" s="19"/>
      <c r="AI60" s="19"/>
    </row>
    <row r="61" spans="1:39" ht="18.75" x14ac:dyDescent="0.25">
      <c r="S61" s="20"/>
      <c r="T61" s="20"/>
      <c r="U61" s="20"/>
      <c r="V61" s="20"/>
      <c r="W61" s="20"/>
      <c r="X61" s="25"/>
      <c r="Y61" s="329"/>
      <c r="Z61" s="329"/>
      <c r="AA61" s="51"/>
      <c r="AB61" s="2"/>
      <c r="AC61" s="2"/>
      <c r="AD61" s="52"/>
      <c r="AE61" s="2"/>
      <c r="AF61" s="51"/>
      <c r="AG61" s="53"/>
      <c r="AH61" s="54"/>
      <c r="AI61" s="19"/>
    </row>
    <row r="63" spans="1:39" ht="15.75" x14ac:dyDescent="0.25">
      <c r="F63" s="306"/>
      <c r="G63" s="306"/>
      <c r="H63" s="306"/>
      <c r="I63" s="306"/>
      <c r="J63" s="306"/>
      <c r="K63" s="306"/>
      <c r="Y63"/>
      <c r="Z63"/>
      <c r="AA63"/>
    </row>
    <row r="64" spans="1:39" x14ac:dyDescent="0.25">
      <c r="Y64"/>
      <c r="Z64"/>
      <c r="AA64"/>
    </row>
    <row r="65" spans="25:27" x14ac:dyDescent="0.25">
      <c r="Y65"/>
      <c r="Z65"/>
      <c r="AA65"/>
    </row>
    <row r="66" spans="25:27" x14ac:dyDescent="0.25">
      <c r="Y66"/>
      <c r="Z66"/>
      <c r="AA66"/>
    </row>
    <row r="67" spans="25:27" x14ac:dyDescent="0.25">
      <c r="Y67"/>
      <c r="Z67"/>
      <c r="AA67"/>
    </row>
    <row r="68" spans="25:27" x14ac:dyDescent="0.25">
      <c r="Y68"/>
      <c r="Z68"/>
      <c r="AA68"/>
    </row>
    <row r="69" spans="25:27" x14ac:dyDescent="0.25">
      <c r="Y69"/>
      <c r="Z69"/>
      <c r="AA69"/>
    </row>
    <row r="70" spans="25:27" x14ac:dyDescent="0.25">
      <c r="Y70"/>
      <c r="Z70"/>
      <c r="AA70"/>
    </row>
    <row r="71" spans="25:27" x14ac:dyDescent="0.25">
      <c r="Y71"/>
      <c r="Z71"/>
      <c r="AA71"/>
    </row>
    <row r="72" spans="25:27" x14ac:dyDescent="0.25">
      <c r="Y72"/>
      <c r="Z72"/>
      <c r="AA72"/>
    </row>
    <row r="73" spans="25:27" x14ac:dyDescent="0.25">
      <c r="Y73"/>
      <c r="Z73"/>
      <c r="AA73"/>
    </row>
    <row r="74" spans="25:27" x14ac:dyDescent="0.25">
      <c r="Y74"/>
      <c r="Z74"/>
      <c r="AA74"/>
    </row>
    <row r="75" spans="25:27" x14ac:dyDescent="0.25">
      <c r="Y75"/>
      <c r="Z75"/>
      <c r="AA75"/>
    </row>
  </sheetData>
  <sheetProtection selectLockedCells="1"/>
  <mergeCells count="168">
    <mergeCell ref="Y61:Z61"/>
    <mergeCell ref="U53:W53"/>
    <mergeCell ref="Y53:AA53"/>
    <mergeCell ref="Y54:Z54"/>
    <mergeCell ref="Y55:Z55"/>
    <mergeCell ref="Y56:Z56"/>
    <mergeCell ref="Y57:Z57"/>
    <mergeCell ref="Y51:Z51"/>
    <mergeCell ref="B43:F43"/>
    <mergeCell ref="G43:J43"/>
    <mergeCell ref="K43:S43"/>
    <mergeCell ref="T43:U43"/>
    <mergeCell ref="V43:W43"/>
    <mergeCell ref="X43:Y43"/>
    <mergeCell ref="D54:F54"/>
    <mergeCell ref="V45:W45"/>
    <mergeCell ref="A46:B46"/>
    <mergeCell ref="U48:V48"/>
    <mergeCell ref="U49:V49"/>
    <mergeCell ref="U50:V50"/>
    <mergeCell ref="U46:W46"/>
    <mergeCell ref="A53:B53"/>
    <mergeCell ref="D53:G53"/>
    <mergeCell ref="I53:L53"/>
    <mergeCell ref="U47:V47"/>
    <mergeCell ref="AF45:AG45"/>
    <mergeCell ref="B44:F44"/>
    <mergeCell ref="G44:J44"/>
    <mergeCell ref="K44:S44"/>
    <mergeCell ref="T44:U44"/>
    <mergeCell ref="V44:W44"/>
    <mergeCell ref="X44:Y44"/>
    <mergeCell ref="AD44:AE44"/>
    <mergeCell ref="AF44:AG44"/>
    <mergeCell ref="I54:K54"/>
    <mergeCell ref="N54:Q54"/>
    <mergeCell ref="R54:S54"/>
    <mergeCell ref="U54:V54"/>
    <mergeCell ref="F63:K63"/>
    <mergeCell ref="D55:F55"/>
    <mergeCell ref="I55:K55"/>
    <mergeCell ref="N55:Q55"/>
    <mergeCell ref="R55:S55"/>
    <mergeCell ref="U55:V55"/>
    <mergeCell ref="D56:F56"/>
    <mergeCell ref="I56:K56"/>
    <mergeCell ref="N56:Q56"/>
    <mergeCell ref="R56:S56"/>
    <mergeCell ref="U56:V56"/>
    <mergeCell ref="D57:F57"/>
    <mergeCell ref="I57:K57"/>
    <mergeCell ref="N57:Q57"/>
    <mergeCell ref="R57:S57"/>
    <mergeCell ref="U57:V57"/>
    <mergeCell ref="R58:S58"/>
    <mergeCell ref="K41:S41"/>
    <mergeCell ref="K42:S42"/>
    <mergeCell ref="K38:S38"/>
    <mergeCell ref="G41:J41"/>
    <mergeCell ref="N53:S53"/>
    <mergeCell ref="F51:K51"/>
    <mergeCell ref="I48:K48"/>
    <mergeCell ref="I49:K49"/>
    <mergeCell ref="I46:L46"/>
    <mergeCell ref="D50:F50"/>
    <mergeCell ref="I50:K50"/>
    <mergeCell ref="N50:R50"/>
    <mergeCell ref="D47:F47"/>
    <mergeCell ref="D48:F48"/>
    <mergeCell ref="D49:F49"/>
    <mergeCell ref="D46:G46"/>
    <mergeCell ref="N48:R48"/>
    <mergeCell ref="N47:R47"/>
    <mergeCell ref="N49:R49"/>
    <mergeCell ref="N46:S46"/>
    <mergeCell ref="I47:K47"/>
    <mergeCell ref="G45:H45"/>
    <mergeCell ref="S3:S4"/>
    <mergeCell ref="X3:X4"/>
    <mergeCell ref="AN3:AN4"/>
    <mergeCell ref="W3:W4"/>
    <mergeCell ref="AM3:AM4"/>
    <mergeCell ref="U3:U4"/>
    <mergeCell ref="A2:A4"/>
    <mergeCell ref="B42:F42"/>
    <mergeCell ref="G42:J42"/>
    <mergeCell ref="D3:F3"/>
    <mergeCell ref="G3:I3"/>
    <mergeCell ref="B39:F39"/>
    <mergeCell ref="B40:F40"/>
    <mergeCell ref="G38:J38"/>
    <mergeCell ref="G39:J39"/>
    <mergeCell ref="G40:J40"/>
    <mergeCell ref="B38:F38"/>
    <mergeCell ref="J3:K3"/>
    <mergeCell ref="B3:C3"/>
    <mergeCell ref="B41:F41"/>
    <mergeCell ref="K39:S39"/>
    <mergeCell ref="L3:N3"/>
    <mergeCell ref="O3:Q3"/>
    <mergeCell ref="K40:S40"/>
    <mergeCell ref="T39:U39"/>
    <mergeCell ref="X39:Y39"/>
    <mergeCell ref="AD39:AE39"/>
    <mergeCell ref="AD38:AE38"/>
    <mergeCell ref="AH39:AI39"/>
    <mergeCell ref="AF39:AG39"/>
    <mergeCell ref="AF38:AG38"/>
    <mergeCell ref="V39:W39"/>
    <mergeCell ref="A1:AN1"/>
    <mergeCell ref="AI3:AI4"/>
    <mergeCell ref="T38:U38"/>
    <mergeCell ref="X38:Y38"/>
    <mergeCell ref="B2:S2"/>
    <mergeCell ref="T2:Y2"/>
    <mergeCell ref="AD3:AD4"/>
    <mergeCell ref="AE3:AE4"/>
    <mergeCell ref="R3:R4"/>
    <mergeCell ref="T3:T4"/>
    <mergeCell ref="AJ3:AJ4"/>
    <mergeCell ref="AB3:AB4"/>
    <mergeCell ref="AM2:AN2"/>
    <mergeCell ref="V38:W38"/>
    <mergeCell ref="AJ37:AN37"/>
    <mergeCell ref="AG3:AG4"/>
    <mergeCell ref="T40:U40"/>
    <mergeCell ref="T41:U41"/>
    <mergeCell ref="T42:U42"/>
    <mergeCell ref="AD41:AE41"/>
    <mergeCell ref="AF41:AG41"/>
    <mergeCell ref="AD40:AE40"/>
    <mergeCell ref="AF40:AG40"/>
    <mergeCell ref="V40:W40"/>
    <mergeCell ref="V41:W41"/>
    <mergeCell ref="V42:W42"/>
    <mergeCell ref="AD42:AE42"/>
    <mergeCell ref="AF42:AG42"/>
    <mergeCell ref="X40:Y40"/>
    <mergeCell ref="X41:Y41"/>
    <mergeCell ref="X42:Y42"/>
    <mergeCell ref="Y50:Z50"/>
    <mergeCell ref="Y46:AA46"/>
    <mergeCell ref="AD46:AF46"/>
    <mergeCell ref="AD47:AE47"/>
    <mergeCell ref="AD48:AE48"/>
    <mergeCell ref="AD49:AE49"/>
    <mergeCell ref="AD50:AE50"/>
    <mergeCell ref="AD43:AE43"/>
    <mergeCell ref="AF43:AG43"/>
    <mergeCell ref="AK3:AK4"/>
    <mergeCell ref="AL3:AL4"/>
    <mergeCell ref="AD2:AL2"/>
    <mergeCell ref="Z2:AC2"/>
    <mergeCell ref="AC3:AC4"/>
    <mergeCell ref="AH40:AI40"/>
    <mergeCell ref="Y47:Z47"/>
    <mergeCell ref="Y48:Z48"/>
    <mergeCell ref="Y49:Z49"/>
    <mergeCell ref="AH43:AI43"/>
    <mergeCell ref="AH3:AH4"/>
    <mergeCell ref="AD37:AI37"/>
    <mergeCell ref="AF3:AF4"/>
    <mergeCell ref="Y3:Y4"/>
    <mergeCell ref="Z3:AA3"/>
    <mergeCell ref="AH38:AI38"/>
    <mergeCell ref="AH42:AI42"/>
    <mergeCell ref="AH41:AI41"/>
    <mergeCell ref="AH44:AI44"/>
  </mergeCells>
  <conditionalFormatting sqref="L47">
    <cfRule type="cellIs" dxfId="55" priority="94" operator="greaterThan">
      <formula>$G$47</formula>
    </cfRule>
    <cfRule type="cellIs" dxfId="54" priority="81" operator="lessThan">
      <formula>$G$47</formula>
    </cfRule>
  </conditionalFormatting>
  <conditionalFormatting sqref="L48">
    <cfRule type="cellIs" dxfId="53" priority="80" operator="lessThan">
      <formula>$G$48</formula>
    </cfRule>
    <cfRule type="cellIs" dxfId="52" priority="93" operator="greaterThan">
      <formula>$G$48</formula>
    </cfRule>
  </conditionalFormatting>
  <conditionalFormatting sqref="L49">
    <cfRule type="cellIs" dxfId="51" priority="92" operator="greaterThan">
      <formula>$G$49</formula>
    </cfRule>
    <cfRule type="cellIs" dxfId="50" priority="79" operator="lessThan">
      <formula>$G$49</formula>
    </cfRule>
  </conditionalFormatting>
  <conditionalFormatting sqref="L50">
    <cfRule type="cellIs" dxfId="49" priority="91" operator="greaterThan">
      <formula>$G$50</formula>
    </cfRule>
    <cfRule type="cellIs" dxfId="48" priority="78" operator="lessThan">
      <formula>$G$50</formula>
    </cfRule>
  </conditionalFormatting>
  <conditionalFormatting sqref="L54">
    <cfRule type="cellIs" dxfId="47" priority="29" operator="lessThan">
      <formula>$G$47</formula>
    </cfRule>
    <cfRule type="cellIs" dxfId="46" priority="33" operator="greaterThan">
      <formula>$G$47</formula>
    </cfRule>
    <cfRule type="cellIs" dxfId="45" priority="9" operator="lessThan">
      <formula>$R$54</formula>
    </cfRule>
    <cfRule type="cellIs" dxfId="44" priority="10" operator="greaterThan">
      <formula>$R$54</formula>
    </cfRule>
  </conditionalFormatting>
  <conditionalFormatting sqref="L55">
    <cfRule type="cellIs" dxfId="43" priority="32" operator="greaterThan">
      <formula>$G$48</formula>
    </cfRule>
    <cfRule type="cellIs" dxfId="42" priority="7" operator="lessThan">
      <formula>$R$55</formula>
    </cfRule>
    <cfRule type="cellIs" dxfId="41" priority="28" operator="lessThan">
      <formula>$G$48</formula>
    </cfRule>
    <cfRule type="cellIs" dxfId="40" priority="8" operator="greaterThan">
      <formula>$R$55</formula>
    </cfRule>
  </conditionalFormatting>
  <conditionalFormatting sqref="L56">
    <cfRule type="cellIs" dxfId="39" priority="5" operator="lessThan">
      <formula>$R$56</formula>
    </cfRule>
    <cfRule type="cellIs" dxfId="38" priority="6" operator="greaterThan">
      <formula>$R$56</formula>
    </cfRule>
    <cfRule type="cellIs" dxfId="37" priority="31" operator="greaterThan">
      <formula>$G$49</formula>
    </cfRule>
    <cfRule type="cellIs" dxfId="36" priority="27" operator="lessThan">
      <formula>$G$49</formula>
    </cfRule>
  </conditionalFormatting>
  <conditionalFormatting sqref="L57">
    <cfRule type="cellIs" dxfId="35" priority="3" operator="lessThan">
      <formula>$R$57</formula>
    </cfRule>
    <cfRule type="cellIs" dxfId="34" priority="4" operator="greaterThan">
      <formula>$R$57</formula>
    </cfRule>
    <cfRule type="cellIs" dxfId="33" priority="30" operator="greaterThan">
      <formula>$G$50</formula>
    </cfRule>
    <cfRule type="cellIs" dxfId="32" priority="26" operator="lessThan">
      <formula>$G$50</formula>
    </cfRule>
  </conditionalFormatting>
  <conditionalFormatting sqref="W47">
    <cfRule type="cellIs" dxfId="31" priority="86" operator="lessThan">
      <formula>$S$47</formula>
    </cfRule>
    <cfRule type="cellIs" dxfId="30" priority="90" operator="greaterThan">
      <formula>$S$47</formula>
    </cfRule>
  </conditionalFormatting>
  <conditionalFormatting sqref="W48">
    <cfRule type="cellIs" dxfId="29" priority="84" operator="lessThan">
      <formula>$S$48</formula>
    </cfRule>
    <cfRule type="cellIs" dxfId="28" priority="85" operator="lessThan">
      <formula>$S$48</formula>
    </cfRule>
    <cfRule type="cellIs" dxfId="27" priority="89" operator="greaterThan">
      <formula>$S$48</formula>
    </cfRule>
  </conditionalFormatting>
  <conditionalFormatting sqref="W49">
    <cfRule type="cellIs" dxfId="26" priority="83" operator="lessThan">
      <formula>$S$49</formula>
    </cfRule>
    <cfRule type="cellIs" dxfId="25" priority="88" operator="greaterThan">
      <formula>$S$49</formula>
    </cfRule>
  </conditionalFormatting>
  <conditionalFormatting sqref="W50">
    <cfRule type="cellIs" dxfId="24" priority="82" operator="lessThan">
      <formula>$S$50</formula>
    </cfRule>
    <cfRule type="cellIs" dxfId="23" priority="87" operator="greaterThan">
      <formula>$S$50</formula>
    </cfRule>
  </conditionalFormatting>
  <conditionalFormatting sqref="W54:W57">
    <cfRule type="cellIs" dxfId="22" priority="36" operator="lessThan">
      <formula>#REF!</formula>
    </cfRule>
    <cfRule type="cellIs" dxfId="21" priority="41" operator="greaterThan">
      <formula>#REF!</formula>
    </cfRule>
  </conditionalFormatting>
  <conditionalFormatting sqref="W55 W57">
    <cfRule type="cellIs" dxfId="20" priority="37" operator="lessThan">
      <formula>#REF!</formula>
    </cfRule>
  </conditionalFormatting>
  <conditionalFormatting sqref="AA54:AA57">
    <cfRule type="cellIs" dxfId="19" priority="24" operator="greaterThan">
      <formula>#REF!</formula>
    </cfRule>
    <cfRule type="cellIs" dxfId="18" priority="21" operator="lessThan">
      <formula>#REF!</formula>
    </cfRule>
  </conditionalFormatting>
  <conditionalFormatting sqref="AA55 AA57">
    <cfRule type="cellIs" dxfId="17" priority="22" operator="lessThan">
      <formula>#REF!</formula>
    </cfRule>
  </conditionalFormatting>
  <conditionalFormatting sqref="AF47">
    <cfRule type="cellIs" dxfId="16" priority="54" operator="lessThan">
      <formula>$AA$47</formula>
    </cfRule>
    <cfRule type="cellIs" dxfId="15" priority="58" operator="greaterThan">
      <formula>$AA$47</formula>
    </cfRule>
  </conditionalFormatting>
  <conditionalFormatting sqref="AF48">
    <cfRule type="cellIs" dxfId="14" priority="53" operator="lessThan">
      <formula>$AA$48</formula>
    </cfRule>
    <cfRule type="cellIs" dxfId="13" priority="57" operator="greaterThan">
      <formula>$AA$48</formula>
    </cfRule>
  </conditionalFormatting>
  <conditionalFormatting sqref="AF49">
    <cfRule type="cellIs" dxfId="12" priority="45" operator="lessThan">
      <formula>$AA$49</formula>
    </cfRule>
    <cfRule type="cellIs" dxfId="11" priority="47" operator="lessThan">
      <formula>$AA$49</formula>
    </cfRule>
    <cfRule type="cellIs" dxfId="10" priority="48" operator="lessThan">
      <formula>$AA$49</formula>
    </cfRule>
    <cfRule type="cellIs" dxfId="9" priority="49" operator="greaterThan">
      <formula>$AA$49</formula>
    </cfRule>
    <cfRule type="cellIs" dxfId="8" priority="46" operator="greaterThan">
      <formula>$AA$49</formula>
    </cfRule>
    <cfRule type="cellIs" dxfId="7" priority="56" operator="greaterThan">
      <formula>$AA$49</formula>
    </cfRule>
  </conditionalFormatting>
  <conditionalFormatting sqref="AF50">
    <cfRule type="cellIs" dxfId="6" priority="52" operator="lessThan">
      <formula>$AA$50</formula>
    </cfRule>
    <cfRule type="cellIs" dxfId="5" priority="55" operator="greaterThan">
      <formula>$AA$50</formula>
    </cfRule>
  </conditionalFormatting>
  <conditionalFormatting sqref="AG51">
    <cfRule type="cellIs" dxfId="4" priority="1" operator="lessThan">
      <formula>#REF!</formula>
    </cfRule>
    <cfRule type="cellIs" dxfId="3" priority="2" operator="greaterThan">
      <formula>#REF!</formula>
    </cfRule>
  </conditionalFormatting>
  <conditionalFormatting sqref="AK54:AL57">
    <cfRule type="cellIs" dxfId="2" priority="19" operator="greaterThan">
      <formula>#REF!</formula>
    </cfRule>
    <cfRule type="cellIs" dxfId="1" priority="16" operator="lessThan">
      <formula>#REF!</formula>
    </cfRule>
  </conditionalFormatting>
  <conditionalFormatting sqref="AK55:AL55 AK57:AL57">
    <cfRule type="cellIs" dxfId="0" priority="17" operator="lessThan">
      <formula>#REF!</formula>
    </cfRule>
  </conditionalFormatting>
  <dataValidations count="3">
    <dataValidation type="textLength" errorStyle="information" allowBlank="1" showInputMessage="1" showErrorMessage="1" error="XLBVal:5=0_x000d__x000a_" sqref="AA40" xr:uid="{36C0C326-1F63-47F7-98D6-E2B924B7813C}">
      <formula1>0</formula1>
      <formula2>300</formula2>
    </dataValidation>
    <dataValidation type="textLength" errorStyle="information" allowBlank="1" showInputMessage="1" showErrorMessage="1" error="XLBVal:5=320133_x000d__x000a_" sqref="G40" xr:uid="{7A0AF7B3-A665-4F93-84FB-AA4666AEFC93}">
      <formula1>0</formula1>
      <formula2>300</formula2>
    </dataValidation>
    <dataValidation type="textLength" errorStyle="information" allowBlank="1" showInputMessage="1" showErrorMessage="1" error="XLBVal:5=31291.78_x000d__x000a_" sqref="V40" xr:uid="{116821DF-6460-4A29-8E3F-B439F420D132}">
      <formula1>0</formula1>
      <formula2>300</formula2>
    </dataValidation>
  </dataValidations>
  <pageMargins left="0.39370078740157483" right="0.19685039370078741" top="0.31496062992125984" bottom="0.23622047244094491" header="0.31496062992125984" footer="0.31496062992125984"/>
  <pageSetup paperSize="9" scale="28" fitToHeight="0" orientation="landscape" r:id="rId1"/>
  <headerFooter>
    <oddHeader>&amp;C&amp;"-,Bold"UTILITY CONSUMPTION DAILY REPORT JANUARY 2015</oddHeader>
  </headerFooter>
  <ignoredErrors>
    <ignoredError sqref="AP42 G48" formula="1"/>
    <ignoredError sqref="L47:L50" evalError="1"/>
    <ignoredError sqref="AM36" evalError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702-5928-4616-BC3A-EF2F0590FF32}">
  <dimension ref="A1:AP36"/>
  <sheetViews>
    <sheetView workbookViewId="0">
      <selection activeCell="P3" sqref="P3"/>
    </sheetView>
  </sheetViews>
  <sheetFormatPr defaultColWidth="0" defaultRowHeight="15" zeroHeight="1" x14ac:dyDescent="0.25"/>
  <cols>
    <col min="1" max="1" width="10.5703125" customWidth="1"/>
    <col min="2" max="2" width="7.42578125" customWidth="1"/>
    <col min="3" max="10" width="6" bestFit="1" customWidth="1"/>
    <col min="11" max="25" width="7" bestFit="1" customWidth="1"/>
    <col min="26" max="29" width="7" customWidth="1"/>
    <col min="30" max="30" width="7" bestFit="1" customWidth="1"/>
    <col min="31" max="31" width="7" customWidth="1"/>
    <col min="32" max="32" width="7" bestFit="1" customWidth="1"/>
    <col min="33" max="42" width="0" hidden="1" customWidth="1"/>
    <col min="43" max="16384" width="9.140625" hidden="1"/>
  </cols>
  <sheetData>
    <row r="1" spans="1:32" ht="24.95" customHeight="1" x14ac:dyDescent="0.25">
      <c r="A1" s="120" t="s">
        <v>0</v>
      </c>
      <c r="B1" s="144">
        <f>'May 2025'!A5</f>
        <v>45778</v>
      </c>
      <c r="C1" s="144">
        <f>'May 2025'!A6</f>
        <v>45779</v>
      </c>
      <c r="D1" s="144">
        <f>'May 2025'!A7</f>
        <v>45780</v>
      </c>
      <c r="E1" s="144">
        <f>'May 2025'!$A8</f>
        <v>45781</v>
      </c>
      <c r="F1" s="144">
        <f>'May 2025'!$A9</f>
        <v>45782</v>
      </c>
      <c r="G1" s="144">
        <f>'May 2025'!$A10</f>
        <v>45783</v>
      </c>
      <c r="H1" s="144">
        <f>'May 2025'!$A11</f>
        <v>45784</v>
      </c>
      <c r="I1" s="144">
        <f>'May 2025'!$A12</f>
        <v>45785</v>
      </c>
      <c r="J1" s="144">
        <f>'May 2025'!$A13</f>
        <v>45786</v>
      </c>
      <c r="K1" s="144">
        <f>'May 2025'!$A14</f>
        <v>45787</v>
      </c>
      <c r="L1" s="144">
        <f>'May 2025'!$A15</f>
        <v>45788</v>
      </c>
      <c r="M1" s="144">
        <f>'May 2025'!$A16</f>
        <v>45789</v>
      </c>
      <c r="N1" s="144">
        <f>'May 2025'!$A17</f>
        <v>45790</v>
      </c>
      <c r="O1" s="144">
        <f>'May 2025'!$A18</f>
        <v>45791</v>
      </c>
      <c r="P1" s="144">
        <f>'May 2025'!$A19</f>
        <v>45792</v>
      </c>
      <c r="Q1" s="144">
        <f>'May 2025'!$A20</f>
        <v>45793</v>
      </c>
      <c r="R1" s="144">
        <f>'May 2025'!$A21</f>
        <v>45794</v>
      </c>
      <c r="S1" s="144">
        <f>'May 2025'!$A22</f>
        <v>45795</v>
      </c>
      <c r="T1" s="144">
        <f>'May 2025'!$A23</f>
        <v>45796</v>
      </c>
      <c r="U1" s="144">
        <f>'May 2025'!$A24</f>
        <v>45797</v>
      </c>
      <c r="V1" s="144">
        <f>'May 2025'!$A25</f>
        <v>45798</v>
      </c>
      <c r="W1" s="144">
        <f>'May 2025'!$A26</f>
        <v>45799</v>
      </c>
      <c r="X1" s="144">
        <f>'May 2025'!$A27</f>
        <v>45800</v>
      </c>
      <c r="Y1" s="144">
        <f>'May 2025'!$A28</f>
        <v>45801</v>
      </c>
      <c r="Z1" s="144">
        <f>'May 2025'!$A29</f>
        <v>45802</v>
      </c>
      <c r="AA1" s="144">
        <f>'May 2025'!$A30</f>
        <v>45803</v>
      </c>
      <c r="AB1" s="144">
        <f>'May 2025'!$A31</f>
        <v>45804</v>
      </c>
      <c r="AC1" s="144">
        <f>'May 2025'!$A32</f>
        <v>45805</v>
      </c>
      <c r="AD1" s="144">
        <f>'May 2025'!$A33</f>
        <v>45806</v>
      </c>
      <c r="AE1" s="144">
        <f>'May 2025'!$A34</f>
        <v>45807</v>
      </c>
      <c r="AF1" s="144">
        <f>'May 2025'!$A35</f>
        <v>45808</v>
      </c>
    </row>
    <row r="2" spans="1:32" ht="24.95" customHeight="1" x14ac:dyDescent="0.25">
      <c r="A2" s="121" t="s">
        <v>3</v>
      </c>
      <c r="B2" s="145">
        <f>VLOOKUP(B1,'May 2025'!A5:AJ35,19,FALSE)</f>
        <v>2200.16536</v>
      </c>
      <c r="C2" s="146">
        <f>VLOOKUP(C1,'May 2025'!$A$5:$AM$35,19,FALSE)</f>
        <v>2222.9396000000002</v>
      </c>
      <c r="D2" s="146">
        <f>VLOOKUP(D1,'May 2025'!$A$5:$AM$35,19,FALSE)</f>
        <v>2165.0465199999999</v>
      </c>
      <c r="E2" s="146">
        <f>VLOOKUP(E1,'May 2025'!$A$5:$AM$35,19,FALSE)</f>
        <v>2232.9628400000001</v>
      </c>
      <c r="F2" s="146">
        <f>VLOOKUP(F1,'May 2025'!$A$5:$AM$35,19,FALSE)</f>
        <v>2192.7373600000001</v>
      </c>
      <c r="G2" s="146">
        <f>VLOOKUP(G1,'May 2025'!$A$5:$AM$35,19,FALSE)</f>
        <v>2155.9002</v>
      </c>
      <c r="H2" s="146">
        <f>VLOOKUP(H1,'May 2025'!$A$5:$AM$35,19,FALSE)</f>
        <v>2225.5583999999999</v>
      </c>
      <c r="I2" s="146">
        <f>VLOOKUP(I1,'May 2025'!$A$5:$AM$35,19,FALSE)</f>
        <v>2264.9044399999998</v>
      </c>
      <c r="J2" s="146">
        <f>VLOOKUP(J1,'May 2025'!$A$5:$AM$35,19,FALSE)</f>
        <v>2222.7902399999998</v>
      </c>
      <c r="K2" s="146">
        <f>VLOOKUP(K1,'May 2025'!$A$5:$AM$35,19,FALSE)</f>
        <v>2155.3743200000004</v>
      </c>
      <c r="L2" s="146">
        <f>VLOOKUP(L1,'May 2025'!$A$5:$AM$35,19,FALSE)</f>
        <v>2153.1326000000004</v>
      </c>
      <c r="M2" s="146">
        <f>VLOOKUP(M1,'May 2025'!$A$5:$AM$35,19,FALSE)</f>
        <v>2136.5880400000001</v>
      </c>
      <c r="N2" s="146">
        <f>VLOOKUP(N1,'May 2025'!$A$5:$AM$35,19,FALSE)</f>
        <v>2026.0068800000001</v>
      </c>
      <c r="O2" s="146">
        <f>VLOOKUP(O1,'May 2025'!$A$5:$AM$35,19,FALSE)</f>
        <v>2071.9822800000002</v>
      </c>
      <c r="P2" s="146">
        <f>VLOOKUP(P1,'May 2025'!$A$5:$AM$35,19,FALSE)</f>
        <v>2100.4918000000002</v>
      </c>
      <c r="Q2" s="146">
        <f>VLOOKUP(Q1,'May 2025'!$A$5:$AM$35,19,FALSE)</f>
        <v>2128.94724</v>
      </c>
      <c r="R2" s="146">
        <f>VLOOKUP(R1,'May 2025'!$A$5:$AM$35,19,FALSE)</f>
        <v>2089.7344399999997</v>
      </c>
      <c r="S2" s="146">
        <f>VLOOKUP(S1,'May 2025'!$A$5:$AM$35,19,FALSE)</f>
        <v>2174.71144</v>
      </c>
      <c r="T2" s="146">
        <f>VLOOKUP(T1,'May 2025'!$A$5:$AM$35,19,FALSE)</f>
        <v>2161.6021999999998</v>
      </c>
      <c r="U2" s="146">
        <f>VLOOKUP(U1,'May 2025'!$A$5:$AM$35,19,FALSE)</f>
        <v>2109.23972</v>
      </c>
      <c r="V2" s="146">
        <f>VLOOKUP(V1,'May 2025'!$A$5:$AM$35,19,FALSE)</f>
        <v>2027.5748800000001</v>
      </c>
      <c r="W2" s="146">
        <f>VLOOKUP(W1,'May 2025'!$A$5:$AM$35,19,FALSE)</f>
        <v>2193.0169999999998</v>
      </c>
      <c r="X2" s="146">
        <f>VLOOKUP(X1,'May 2025'!$A$5:$AM$35,19,FALSE)</f>
        <v>2175.7220400000001</v>
      </c>
      <c r="Y2" s="146">
        <f>VLOOKUP(Z1,'May 2025'!$A$5:$AM$35,19,FALSE)</f>
        <v>2136.6471200000001</v>
      </c>
      <c r="Z2" s="146">
        <f>VLOOKUP(AA1,'May 2025'!$A$5:$AM$35,19,FALSE)</f>
        <v>2125.5132800000001</v>
      </c>
      <c r="AA2" s="146">
        <f>VLOOKUP(AA1,'May 2025'!$A$5:$AM$35,19,FALSE)</f>
        <v>2125.5132800000001</v>
      </c>
      <c r="AB2" s="146">
        <f>VLOOKUP(AB1,'May 2025'!$A$5:$AM$35,19,FALSE)</f>
        <v>2095.5430799999999</v>
      </c>
      <c r="AC2" s="146">
        <f>VLOOKUP(AC1,'May 2025'!$A$5:$AM$35,19,FALSE)</f>
        <v>2079.2978799999996</v>
      </c>
      <c r="AD2" s="146">
        <f>VLOOKUP(AD1,'May 2025'!$A$5:$AM$35,19,FALSE)</f>
        <v>2028.3812399999999</v>
      </c>
      <c r="AE2" s="146">
        <f>VLOOKUP(AE1,'May 2025'!$A$5:$AM$35,19,FALSE)</f>
        <v>2067.4179199999999</v>
      </c>
      <c r="AF2" s="146">
        <f>VLOOKUP(AF1,'May 2025'!$A$5:$AM$35,19,FALSE)</f>
        <v>2022.4668799999999</v>
      </c>
    </row>
    <row r="3" spans="1:32" ht="24.95" customHeight="1" x14ac:dyDescent="0.25">
      <c r="A3" s="121" t="s">
        <v>4</v>
      </c>
      <c r="B3" s="145">
        <f>VLOOKUP(B1,'May 2025'!$A$5:$AJ$36,25,FALSE)</f>
        <v>548.79999999999995</v>
      </c>
      <c r="C3" s="146">
        <f>VLOOKUP(C1,'May 2025'!$A$5:$AJ$36,25,FALSE)</f>
        <v>415.52</v>
      </c>
      <c r="D3" s="146">
        <f>VLOOKUP(D1,'May 2025'!$A$5:$AJ$36,25,FALSE)</f>
        <v>595.84</v>
      </c>
      <c r="E3" s="146">
        <f>VLOOKUP(E1,'May 2025'!$A$5:$AJ$36,25,FALSE)</f>
        <v>548.79999999999995</v>
      </c>
      <c r="F3" s="146">
        <f>VLOOKUP(F1,'May 2025'!$A$5:$AJ$36,25,FALSE)</f>
        <v>415.52</v>
      </c>
      <c r="G3" s="146">
        <f>VLOOKUP(G1,'May 2025'!$A$5:$AJ$36,25,FALSE)</f>
        <v>446.88</v>
      </c>
      <c r="H3" s="146">
        <f>VLOOKUP(H1,'May 2025'!$A$5:$AJ$36,25,FALSE)</f>
        <v>313.60000000000002</v>
      </c>
      <c r="I3" s="146">
        <f>VLOOKUP(I1,'May 2025'!$A$5:$AJ$36,25,FALSE)</f>
        <v>470.4</v>
      </c>
      <c r="J3" s="146">
        <f>VLOOKUP(J1,'May 2025'!$A$5:$AJ$36,25,FALSE)</f>
        <v>407.68</v>
      </c>
      <c r="K3" s="146">
        <f>VLOOKUP(K1,'May 2025'!$A$5:$AJ$36,25,FALSE)</f>
        <v>462.56</v>
      </c>
      <c r="L3" s="146">
        <f>VLOOKUP(L1,'May 2025'!$A$5:$AJ$36,25,FALSE)</f>
        <v>431.2</v>
      </c>
      <c r="M3" s="146">
        <f>VLOOKUP(M1,'May 2025'!$A$5:$AJ$36,25,FALSE)</f>
        <v>431.2</v>
      </c>
      <c r="N3" s="146">
        <f>VLOOKUP(N1,'May 2025'!$A$5:$AJ$36,25,FALSE)</f>
        <v>211.68</v>
      </c>
      <c r="O3" s="146">
        <f>VLOOKUP(O1,'May 2025'!$A$5:$AJ$36,25,FALSE)</f>
        <v>650.72</v>
      </c>
      <c r="P3" s="146">
        <f>VLOOKUP(P1,'May 2025'!$A$5:$AJ$36,25,FALSE)</f>
        <v>290.08</v>
      </c>
      <c r="Q3" s="146">
        <f>VLOOKUP(Q1,'May 2025'!$A$5:$AJ$36,25,FALSE)</f>
        <v>823.19999999999993</v>
      </c>
      <c r="R3" s="146">
        <f>VLOOKUP(R1,'May 2025'!$A$5:$AJ$36,25,FALSE)</f>
        <v>493.92</v>
      </c>
      <c r="S3" s="146">
        <f>VLOOKUP(S1,'May 2025'!$A$5:$AJ$36,25,FALSE)</f>
        <v>423.36</v>
      </c>
      <c r="T3" s="146">
        <f>VLOOKUP(T1,'May 2025'!$A$5:$AJ$36,25,FALSE)</f>
        <v>509.59999999999997</v>
      </c>
      <c r="U3" s="146">
        <f>VLOOKUP(U1,'May 2025'!$A$5:$AJ$36,25,FALSE)</f>
        <v>352.8</v>
      </c>
      <c r="V3" s="146">
        <f>VLOOKUP(V1,'May 2025'!$A$5:$AJ$36,25,FALSE)</f>
        <v>580.16</v>
      </c>
      <c r="W3" s="146">
        <f>VLOOKUP(W1,'May 2025'!$A$5:$AJ$36,25,FALSE)</f>
        <v>439.03999999999996</v>
      </c>
      <c r="X3" s="146">
        <f>VLOOKUP(X1,'May 2025'!$A$5:$AJ$36,25,FALSE)</f>
        <v>493.92</v>
      </c>
      <c r="Y3" s="146">
        <f>VLOOKUP(Z1,'May 2025'!$A$5:$AJ$36,25,FALSE)</f>
        <v>776.16</v>
      </c>
      <c r="Z3" s="146">
        <f>VLOOKUP(AA1,'May 2025'!$A$5:$AJ$36,25,FALSE)</f>
        <v>305.76</v>
      </c>
      <c r="AA3" s="146">
        <f>VLOOKUP(AA1,'May 2025'!$A$5:$AJ$36,25,FALSE)</f>
        <v>305.76</v>
      </c>
      <c r="AB3" s="146">
        <f>VLOOKUP(AB1,'May 2025'!$A$5:$AJ$36,25,FALSE)</f>
        <v>470.4</v>
      </c>
      <c r="AC3" s="146">
        <f>VLOOKUP(AC1,'May 2025'!$A$5:$AJ$36,25,FALSE)</f>
        <v>525.28</v>
      </c>
      <c r="AD3" s="146">
        <f>VLOOKUP(AD1,'May 2025'!$A$5:$AJ$36,25,FALSE)</f>
        <v>384.15999999999997</v>
      </c>
      <c r="AE3" s="146">
        <f>VLOOKUP(AE1,'May 2025'!$A$5:$AJ$36,25,FALSE)</f>
        <v>462.56</v>
      </c>
      <c r="AF3" s="146">
        <f>VLOOKUP(AF1,'May 2025'!$A$5:$AJ$36,25,FALSE)</f>
        <v>360.64</v>
      </c>
    </row>
    <row r="4" spans="1:32" ht="24.95" customHeight="1" x14ac:dyDescent="0.25">
      <c r="A4" s="121" t="s">
        <v>25</v>
      </c>
      <c r="B4" s="145">
        <f>VLOOKUP(B1,'May 2025'!$A$5:$AJ$36,28,FALSE)</f>
        <v>122.94983105439999</v>
      </c>
      <c r="C4" s="146">
        <f>VLOOKUP(C1,'May 2025'!$A$5:$AJ$36,28,FALSE)</f>
        <v>122.94983105439999</v>
      </c>
      <c r="D4" s="146">
        <f>VLOOKUP(D1,'May 2025'!$A$5:$AJ$36,28,FALSE)</f>
        <v>122.94983105439999</v>
      </c>
      <c r="E4" s="146">
        <f>VLOOKUP(E1,'May 2025'!$A$5:$AJ$36,28,FALSE)</f>
        <v>122.94983105439999</v>
      </c>
      <c r="F4" s="146">
        <f>VLOOKUP(F1,'May 2025'!$A$5:$AJ$36,28,FALSE)</f>
        <v>122.94983105439999</v>
      </c>
      <c r="G4" s="146">
        <f>VLOOKUP(G1,'May 2025'!$A$5:$AJ$36,28,FALSE)</f>
        <v>122.94983105439999</v>
      </c>
      <c r="H4" s="146">
        <f>VLOOKUP(H1,'May 2025'!$A$5:$AJ$36,28,FALSE)</f>
        <v>122.94983105439999</v>
      </c>
      <c r="I4" s="146">
        <f>VLOOKUP(I1,'May 2025'!$A$5:$AJ$36,28,FALSE)</f>
        <v>122.94983105439999</v>
      </c>
      <c r="J4" s="146">
        <f>VLOOKUP(J1,'May 2025'!$A$5:$AJ$36,28,FALSE)</f>
        <v>122.94983105439999</v>
      </c>
      <c r="K4" s="146">
        <f>VLOOKUP(K1,'May 2025'!$A$5:$AJ$36,28,FALSE)</f>
        <v>245.89966210879999</v>
      </c>
      <c r="L4" s="146">
        <f>VLOOKUP(L1,'May 2025'!$A$5:$AJ$36,28,FALSE)</f>
        <v>122.94983105439999</v>
      </c>
      <c r="M4" s="146">
        <f>VLOOKUP(M1,'May 2025'!$A$5:$AJ$36,28,FALSE)</f>
        <v>122.94983105439999</v>
      </c>
      <c r="N4" s="146">
        <f>VLOOKUP(N1,'May 2025'!$A$5:$AJ$36,28,FALSE)</f>
        <v>122.94983105439999</v>
      </c>
      <c r="O4" s="146">
        <f>VLOOKUP(O1,'May 2025'!$A$5:$AJ$36,28,FALSE)</f>
        <v>122.94983105439999</v>
      </c>
      <c r="P4" s="146">
        <f>VLOOKUP(P1,'May 2025'!$A$5:$AJ$36,28,FALSE)</f>
        <v>122.94983105439999</v>
      </c>
      <c r="Q4" s="146">
        <f>VLOOKUP(Q1,'May 2025'!$A$5:$AJ$36,28,FALSE)</f>
        <v>122.94983105439999</v>
      </c>
      <c r="R4" s="146">
        <f>VLOOKUP(R1,'May 2025'!$A$5:$AJ$36,28,FALSE)</f>
        <v>122.94983105439999</v>
      </c>
      <c r="S4" s="146">
        <f>VLOOKUP(S1,'May 2025'!$A$5:$AJ$36,28,FALSE)</f>
        <v>122.94983105439999</v>
      </c>
      <c r="T4" s="146">
        <f>VLOOKUP(T1,'May 2025'!$A$5:$AJ$36,28,FALSE)</f>
        <v>122.94983105439999</v>
      </c>
      <c r="U4" s="146">
        <f>VLOOKUP(U1,'May 2025'!$A$5:$AJ$36,28,FALSE)</f>
        <v>122.94983105439999</v>
      </c>
      <c r="V4" s="146">
        <f>VLOOKUP(V1,'May 2025'!$A$5:$AJ$36,28,FALSE)</f>
        <v>122.94983105439999</v>
      </c>
      <c r="W4" s="146">
        <f>VLOOKUP(W1,'May 2025'!$A$5:$AJ$36,28,FALSE)</f>
        <v>122.94983105439999</v>
      </c>
      <c r="X4" s="146">
        <f>VLOOKUP(X1,'May 2025'!$A$5:$AJ$36,28,FALSE)</f>
        <v>245.89966210879999</v>
      </c>
      <c r="Y4" s="146">
        <f>VLOOKUP(Z1,'May 2025'!$A$5:$AJ$36,28,FALSE)</f>
        <v>122.94983105439999</v>
      </c>
      <c r="Z4" s="146">
        <f>VLOOKUP(AA1,'May 2025'!$A$5:$AJ$36,28,FALSE)</f>
        <v>245.89966210879999</v>
      </c>
      <c r="AA4" s="146">
        <f>VLOOKUP(AA1,'May 2025'!$A$5:$AJ$36,28,FALSE)</f>
        <v>245.89966210879999</v>
      </c>
      <c r="AB4" s="146">
        <f>VLOOKUP(AB1,'May 2025'!$A$5:$AJ$36,28,FALSE)</f>
        <v>122.94983105439999</v>
      </c>
      <c r="AC4" s="146">
        <f>VLOOKUP(AC1,'May 2025'!$A$5:$AJ$36,28,FALSE)</f>
        <v>122.94983105439999</v>
      </c>
      <c r="AD4" s="146">
        <f>VLOOKUP(AD1,'May 2025'!$A$5:$AJ$36,28,FALSE)</f>
        <v>122.94983105439999</v>
      </c>
      <c r="AE4" s="146">
        <f>VLOOKUP(AE1,'May 2025'!$A$5:$AJ$36,28,FALSE)</f>
        <v>122.94983105439999</v>
      </c>
      <c r="AF4" s="146">
        <f>VLOOKUP(AF1,'May 2025'!$A$5:$AJ$36,28,FALSE)</f>
        <v>245.89966210879999</v>
      </c>
    </row>
    <row r="5" spans="1:32" ht="24.95" customHeight="1" x14ac:dyDescent="0.25">
      <c r="A5" s="121" t="s">
        <v>63</v>
      </c>
      <c r="B5" s="145">
        <f>VLOOKUP(B1,'May 2025'!$A$5:$AJ$36,35,FALSE)</f>
        <v>7270.3117349677423</v>
      </c>
      <c r="C5" s="146">
        <f>VLOOKUP(C1,'May 2025'!$A$5:$AJ$36,35,FALSE)</f>
        <v>7253.0115509677416</v>
      </c>
      <c r="D5" s="146">
        <f>VLOOKUP(D1,'May 2025'!$A$5:$AJ$36,35,FALSE)</f>
        <v>7097.9927969677428</v>
      </c>
      <c r="E5" s="146">
        <f>VLOOKUP(E1,'May 2025'!$A$5:$AJ$36,35,FALSE)</f>
        <v>7182.2173769677429</v>
      </c>
      <c r="F5" s="146">
        <f>VLOOKUP(F1,'May 2025'!$A$5:$AJ$36,35,FALSE)</f>
        <v>7269.8564669677417</v>
      </c>
      <c r="G5" s="146">
        <f>VLOOKUP(G1,'May 2025'!$A$5:$AJ$36,35,FALSE)</f>
        <v>7432.6147769677427</v>
      </c>
      <c r="H5" s="146">
        <f>VLOOKUP(H1,'May 2025'!$A$5:$AJ$36,35,FALSE)</f>
        <v>7024.2393809677424</v>
      </c>
      <c r="I5" s="146">
        <f>VLOOKUP(I1,'May 2025'!$A$5:$AJ$36,35,FALSE)</f>
        <v>6917.7066689677422</v>
      </c>
      <c r="J5" s="146">
        <f>VLOOKUP(J1,'May 2025'!$A$5:$AJ$36,35,FALSE)</f>
        <v>6978.0296789677423</v>
      </c>
      <c r="K5" s="146">
        <f>VLOOKUP(K1,'May 2025'!$A$5:$AJ$36,35,FALSE)</f>
        <v>7037.442152967742</v>
      </c>
      <c r="L5" s="146">
        <f>VLOOKUP(L1,'May 2025'!$A$5:$AJ$36,35,FALSE)</f>
        <v>7182.2173769677429</v>
      </c>
      <c r="M5" s="146">
        <f>VLOOKUP(M1,'May 2025'!$A$5:$AJ$36,35,FALSE)</f>
        <v>7112.5613729677425</v>
      </c>
      <c r="N5" s="146">
        <f>VLOOKUP(N1,'May 2025'!$A$5:$AJ$36,35,FALSE)</f>
        <v>7024.2393809677424</v>
      </c>
      <c r="O5" s="146">
        <f>VLOOKUP(O1,'May 2025'!$A$5:$AJ$36,35,FALSE)</f>
        <v>7132.5931649677423</v>
      </c>
      <c r="P5" s="146">
        <f>VLOOKUP(P1,'May 2025'!$A$5:$AJ$36,35,FALSE)</f>
        <v>7184.7213509677422</v>
      </c>
      <c r="Q5" s="146">
        <f>VLOOKUP(Q1,'May 2025'!$A$5:$AJ$36,35,FALSE)</f>
        <v>7162.6408529677428</v>
      </c>
      <c r="R5" s="146">
        <f>VLOOKUP(R1,'May 2025'!$A$5:$AJ$36,35,FALSE)</f>
        <v>7142.836694967742</v>
      </c>
      <c r="S5" s="146">
        <f>VLOOKUP(S1,'May 2025'!$A$5:$AJ$36,35,FALSE)</f>
        <v>7105.9599869677422</v>
      </c>
      <c r="T5" s="146">
        <f>VLOOKUP(T1,'May 2025'!$A$5:$AJ$36,35,FALSE)</f>
        <v>7320.8464829677423</v>
      </c>
      <c r="U5" s="146">
        <f>VLOOKUP(U1,'May 2025'!$A$5:$AJ$36,35,FALSE)</f>
        <v>7375.7062769677423</v>
      </c>
      <c r="V5" s="146">
        <f>VLOOKUP(V1,'May 2025'!$A$5:$AJ$36,35,FALSE)</f>
        <v>7355.2192169677419</v>
      </c>
      <c r="W5" s="146">
        <f>VLOOKUP(W1,'May 2025'!$A$5:$AJ$36,35,FALSE)</f>
        <v>7453.3294709677421</v>
      </c>
      <c r="X5" s="146">
        <f>VLOOKUP(X1,'May 2025'!$A$5:$AJ$36,35,FALSE)</f>
        <v>7427.6068289677423</v>
      </c>
      <c r="Y5" s="146">
        <f>VLOOKUP(Z1,'May 2025'!$A$5:$AJ$36,35,FALSE)</f>
        <v>7232.9797589677419</v>
      </c>
      <c r="Z5" s="146">
        <f>VLOOKUP(AA1,'May 2025'!$A$5:$AJ$36,35,FALSE)</f>
        <v>7492.2548849677423</v>
      </c>
      <c r="AA5" s="146">
        <f>VLOOKUP(AA1,'May 2025'!$A$5:$AJ$36,35,FALSE)</f>
        <v>7492.2548849677423</v>
      </c>
      <c r="AB5" s="146">
        <f>VLOOKUP(AB1,'May 2025'!$A$5:$AJ$36,35,FALSE)</f>
        <v>7262.7998129677417</v>
      </c>
      <c r="AC5" s="146">
        <f>VLOOKUP(AC1,'May 2025'!$A$5:$AJ$36,35,FALSE)</f>
        <v>7398.469676967743</v>
      </c>
      <c r="AD5" s="146">
        <f>VLOOKUP(AD1,'May 2025'!$A$5:$AJ$36,35,FALSE)</f>
        <v>7401.2012849677421</v>
      </c>
      <c r="AE5" s="146">
        <f>VLOOKUP(AE1,'May 2025'!$A$5:$AJ$36,35,FALSE)</f>
        <v>7344.5204189677424</v>
      </c>
      <c r="AF5" s="146">
        <f>VLOOKUP(AF1,'May 2025'!$A$5:$AJ$36,35,FALSE)</f>
        <v>7317.8872409677424</v>
      </c>
    </row>
    <row r="6" spans="1:32" x14ac:dyDescent="0.25"/>
    <row r="7" spans="1:32" x14ac:dyDescent="0.25"/>
    <row r="9" spans="1:32" hidden="1" x14ac:dyDescent="0.25">
      <c r="B9" s="122"/>
      <c r="C9" s="122"/>
    </row>
    <row r="10" spans="1:32" hidden="1" x14ac:dyDescent="0.25">
      <c r="B10" s="122"/>
      <c r="C10" s="122"/>
    </row>
    <row r="11" spans="1:32" hidden="1" x14ac:dyDescent="0.25">
      <c r="B11" s="122"/>
      <c r="C11" s="122"/>
    </row>
    <row r="12" spans="1:32" hidden="1" x14ac:dyDescent="0.25">
      <c r="B12" s="122"/>
      <c r="C12" s="122"/>
    </row>
    <row r="13" spans="1:32" hidden="1" x14ac:dyDescent="0.25">
      <c r="B13" s="122"/>
      <c r="C13" s="122"/>
    </row>
    <row r="14" spans="1:32" hidden="1" x14ac:dyDescent="0.25">
      <c r="B14" s="122"/>
      <c r="C14" s="122"/>
    </row>
    <row r="15" spans="1:32" hidden="1" x14ac:dyDescent="0.25">
      <c r="B15" s="122"/>
      <c r="C15" s="122"/>
    </row>
    <row r="16" spans="1:32" hidden="1" x14ac:dyDescent="0.25">
      <c r="B16" s="122"/>
      <c r="C16" s="122"/>
    </row>
    <row r="17" spans="2:3" hidden="1" x14ac:dyDescent="0.25">
      <c r="B17" s="122"/>
      <c r="C17" s="122"/>
    </row>
    <row r="18" spans="2:3" hidden="1" x14ac:dyDescent="0.25">
      <c r="B18" s="122"/>
      <c r="C18" s="122"/>
    </row>
    <row r="19" spans="2:3" hidden="1" x14ac:dyDescent="0.25">
      <c r="B19" s="122"/>
      <c r="C19" s="122"/>
    </row>
    <row r="20" spans="2:3" hidden="1" x14ac:dyDescent="0.25">
      <c r="B20" s="122"/>
      <c r="C20" s="122"/>
    </row>
    <row r="21" spans="2:3" hidden="1" x14ac:dyDescent="0.25">
      <c r="B21" s="122"/>
      <c r="C21" s="122"/>
    </row>
    <row r="22" spans="2:3" hidden="1" x14ac:dyDescent="0.25">
      <c r="B22" s="122"/>
      <c r="C22" s="122"/>
    </row>
    <row r="23" spans="2:3" hidden="1" x14ac:dyDescent="0.25">
      <c r="B23" s="122"/>
      <c r="C23" s="122"/>
    </row>
    <row r="24" spans="2:3" hidden="1" x14ac:dyDescent="0.25">
      <c r="B24" s="122"/>
      <c r="C24" s="122"/>
    </row>
    <row r="25" spans="2:3" hidden="1" x14ac:dyDescent="0.25">
      <c r="B25" s="122"/>
      <c r="C25" s="122"/>
    </row>
    <row r="26" spans="2:3" hidden="1" x14ac:dyDescent="0.25">
      <c r="B26" s="122"/>
      <c r="C26" s="122"/>
    </row>
    <row r="27" spans="2:3" hidden="1" x14ac:dyDescent="0.25">
      <c r="B27" s="122"/>
      <c r="C27" s="122"/>
    </row>
    <row r="28" spans="2:3" hidden="1" x14ac:dyDescent="0.25">
      <c r="B28" s="122"/>
      <c r="C28" s="122"/>
    </row>
    <row r="29" spans="2:3" hidden="1" x14ac:dyDescent="0.25">
      <c r="B29" s="122"/>
      <c r="C29" s="122"/>
    </row>
    <row r="30" spans="2:3" hidden="1" x14ac:dyDescent="0.25">
      <c r="B30" s="122"/>
      <c r="C30" s="122"/>
    </row>
    <row r="31" spans="2:3" hidden="1" x14ac:dyDescent="0.25">
      <c r="B31" s="122"/>
      <c r="C31" s="122"/>
    </row>
    <row r="32" spans="2:3" hidden="1" x14ac:dyDescent="0.25">
      <c r="B32" s="122"/>
      <c r="C32" s="122"/>
    </row>
    <row r="33" spans="2:3" hidden="1" x14ac:dyDescent="0.25">
      <c r="B33" s="122"/>
      <c r="C33" s="122"/>
    </row>
    <row r="34" spans="2:3" hidden="1" x14ac:dyDescent="0.25">
      <c r="B34" s="122"/>
      <c r="C34" s="122"/>
    </row>
    <row r="35" spans="2:3" hidden="1" x14ac:dyDescent="0.25">
      <c r="B35" s="122"/>
      <c r="C35" s="122"/>
    </row>
    <row r="36" spans="2:3" hidden="1" x14ac:dyDescent="0.25">
      <c r="B36" s="122"/>
      <c r="C36" s="1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May 2025</vt:lpstr>
      <vt:lpstr>Daily Consumption</vt:lpstr>
      <vt:lpstr>'May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2025-06-03T07:15:13Z</dcterms:modified>
</cp:coreProperties>
</file>