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0/"/>
    </mc:Choice>
  </mc:AlternateContent>
  <xr:revisionPtr revIDLastSave="953" documentId="8_{8847650D-614C-4264-8C87-30D8B5EB4252}" xr6:coauthVersionLast="47" xr6:coauthVersionMax="47" xr10:uidLastSave="{2F4804B2-7C60-450D-A87A-6ED33D4DDF03}"/>
  <bookViews>
    <workbookView xWindow="-108" yWindow="-108" windowWidth="23256" windowHeight="12456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F8" i="5"/>
  <c r="G8" i="5"/>
  <c r="H8" i="5"/>
  <c r="I8" i="5"/>
  <c r="X8" i="5"/>
  <c r="Y8" i="5"/>
  <c r="Y15" i="5" s="1"/>
  <c r="Z8" i="5"/>
  <c r="AA8" i="5"/>
  <c r="AB8" i="5"/>
  <c r="W8" i="5"/>
  <c r="AI14" i="5"/>
  <c r="AH14" i="5"/>
  <c r="AG14" i="5"/>
  <c r="AG15" i="5" s="1"/>
  <c r="AF14" i="5"/>
  <c r="AE14" i="5"/>
  <c r="AD14" i="5"/>
  <c r="AC14" i="5"/>
  <c r="AB14" i="5"/>
  <c r="AA14" i="5"/>
  <c r="Z14" i="5"/>
  <c r="Y14" i="5"/>
  <c r="X14" i="5"/>
  <c r="W14" i="5"/>
  <c r="V14" i="5"/>
  <c r="U14" i="5"/>
  <c r="U15" i="5" s="1"/>
  <c r="T14" i="5"/>
  <c r="S14" i="5"/>
  <c r="R14" i="5"/>
  <c r="Q14" i="5"/>
  <c r="Q15" i="5" s="1"/>
  <c r="P14" i="5"/>
  <c r="O14" i="5"/>
  <c r="N14" i="5"/>
  <c r="M14" i="5"/>
  <c r="L14" i="5"/>
  <c r="K14" i="5"/>
  <c r="J14" i="5"/>
  <c r="I14" i="5"/>
  <c r="H14" i="5"/>
  <c r="G14" i="5"/>
  <c r="F14" i="5"/>
  <c r="E14" i="5"/>
  <c r="E15" i="5" s="1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I15" i="5" s="1"/>
  <c r="AH10" i="5"/>
  <c r="AH15" i="5" s="1"/>
  <c r="AG10" i="5"/>
  <c r="AF10" i="5"/>
  <c r="AE10" i="5"/>
  <c r="AE15" i="5" s="1"/>
  <c r="AD10" i="5"/>
  <c r="AC10" i="5"/>
  <c r="AB10" i="5"/>
  <c r="AA10" i="5"/>
  <c r="Z10" i="5"/>
  <c r="Z15" i="5" s="1"/>
  <c r="Y10" i="5"/>
  <c r="X10" i="5"/>
  <c r="W10" i="5"/>
  <c r="V10" i="5"/>
  <c r="V15" i="5" s="1"/>
  <c r="U10" i="5"/>
  <c r="T10" i="5"/>
  <c r="S10" i="5"/>
  <c r="R10" i="5"/>
  <c r="R15" i="5" s="1"/>
  <c r="Q10" i="5"/>
  <c r="P10" i="5"/>
  <c r="O10" i="5"/>
  <c r="O15" i="5" s="1"/>
  <c r="N10" i="5"/>
  <c r="M10" i="5"/>
  <c r="L10" i="5"/>
  <c r="K10" i="5"/>
  <c r="J10" i="5"/>
  <c r="J15" i="5" s="1"/>
  <c r="I10" i="5"/>
  <c r="H10" i="5"/>
  <c r="G10" i="5"/>
  <c r="F10" i="5"/>
  <c r="F15" i="5" s="1"/>
  <c r="E10" i="5"/>
  <c r="AD15" i="5"/>
  <c r="N15" i="5"/>
  <c r="AI8" i="5"/>
  <c r="AH8" i="5"/>
  <c r="AG8" i="5"/>
  <c r="AF8" i="5"/>
  <c r="AE8" i="5"/>
  <c r="AD8" i="5"/>
  <c r="AC8" i="5"/>
  <c r="V8" i="5"/>
  <c r="U8" i="5"/>
  <c r="T8" i="5"/>
  <c r="S8" i="5"/>
  <c r="R8" i="5"/>
  <c r="Q8" i="5"/>
  <c r="P8" i="5"/>
  <c r="O8" i="5"/>
  <c r="N8" i="5"/>
  <c r="M8" i="5"/>
  <c r="L8" i="5"/>
  <c r="K8" i="5"/>
  <c r="J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M15" i="5"/>
  <c r="AC15" i="5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4" i="6"/>
  <c r="G2" i="2" s="1"/>
  <c r="I15" i="5" l="1"/>
  <c r="H15" i="5"/>
  <c r="L15" i="5"/>
  <c r="P15" i="5"/>
  <c r="T15" i="5"/>
  <c r="X15" i="5"/>
  <c r="AB15" i="5"/>
  <c r="AF15" i="5"/>
  <c r="G15" i="5"/>
  <c r="K15" i="5"/>
  <c r="S15" i="5"/>
  <c r="W15" i="5"/>
  <c r="AA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E16" i="5" l="1"/>
  <c r="AF21" i="3"/>
  <c r="AG21" i="3"/>
  <c r="AH21" i="3"/>
  <c r="C35" i="6" l="1"/>
  <c r="AI21" i="3" l="1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  <author>HP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J7" authorId="0" shapeId="0" xr:uid="{CADE8F11-6CBD-4924-8CAD-B130EF62D4DB}">
      <text>
        <r>
          <rPr>
            <b/>
            <sz val="9"/>
            <color indexed="81"/>
            <rFont val="Tahoma"/>
            <family val="2"/>
          </rPr>
          <t>As of December 6, 2020, Readings back to normal</t>
        </r>
      </text>
    </comment>
    <comment ref="W7" authorId="1" shapeId="0" xr:uid="{DCC72910-5AC9-465B-A5D9-058267155CE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Once Again Reading is showing 4.9 only as of Dec 20. 2020 at 12:30AM</t>
        </r>
      </text>
    </comment>
    <comment ref="X7" authorId="1" shapeId="0" xr:uid="{B9E44724-8783-4BF8-B7C7-7827069CC6BC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Once Again Reading is showing 6.37 only as of Dec 21. 2020 at 12:30AM</t>
        </r>
      </text>
    </comment>
    <comment ref="Y7" authorId="1" shapeId="0" xr:uid="{EB46D053-E6A6-47D3-B7EA-A92FE9813E10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Once Again Reading is showing 6.37 only as of Dec 21. 2020 at 12:30AM</t>
        </r>
      </text>
    </comment>
    <comment ref="Z7" authorId="1" shapeId="0" xr:uid="{DDE6724D-0CAC-4E66-A73D-EF1A57213503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Once Again Reading is showing 6.37 only as of Dec 21. 2020 at 12:30AM</t>
        </r>
      </text>
    </comment>
    <comment ref="AA7" authorId="1" shapeId="0" xr:uid="{E6E51996-AC83-4309-B272-078A7B189438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Once Again Reading is showing 6.37 only as of Dec 21. 2020 at 12:30AM</t>
        </r>
      </text>
    </comment>
    <comment ref="AB7" authorId="1" shapeId="0" xr:uid="{36D61347-2437-4CDE-90E5-5293DE5C4100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Meter readings back to  normal</t>
        </r>
      </text>
    </comment>
    <comment ref="D8" authorId="0" shapeId="0" xr:uid="{7A8FF3A9-994C-443F-ABFA-19F546B8865B}">
      <text>
        <r>
          <rPr>
            <b/>
            <sz val="9"/>
            <color indexed="81"/>
            <rFont val="Tahoma"/>
            <family val="2"/>
          </rPr>
          <t>As of Nov. 30, 2020 Meter is showing 4.40
.42 only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 shapeId="0" xr:uid="{49F834D4-DE14-49F9-803A-5536EEBF1D17}">
      <text>
        <r>
          <rPr>
            <b/>
            <sz val="9"/>
            <color indexed="81"/>
            <rFont val="Tahoma"/>
            <family val="2"/>
          </rPr>
          <t>No Display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<sst xmlns="http://schemas.openxmlformats.org/spreadsheetml/2006/main" count="123" uniqueCount="88">
  <si>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</si>
  <si>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</si>
  <si>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</si>
  <si>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</si>
  <si>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</si>
  <si>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</si>
  <si>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</si>
  <si>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</si>
  <si>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</si>
  <si>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</si>
  <si>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</si>
  <si>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</si>
  <si>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</si>
  <si>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</si>
  <si>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</si>
  <si>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</si>
  <si>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</si>
  <si>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</si>
  <si>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</si>
  <si>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</si>
  <si>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</si>
  <si>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</si>
  <si>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</si>
  <si>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</si>
  <si>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</si>
  <si>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</si>
  <si>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</si>
  <si>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</si>
  <si>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</si>
  <si>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</si>
  <si>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</si>
  <si>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</si>
  <si>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</si>
  <si>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</si>
  <si>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</si>
  <si>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</si>
  <si>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</si>
  <si>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</si>
  <si>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</si>
  <si>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</si>
  <si>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</si>
  <si>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</si>
  <si>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</si>
  <si>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</si>
  <si>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</si>
  <si>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</si>
  <si>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</si>
  <si>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</si>
  <si>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</si>
  <si>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</si>
  <si>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</si>
  <si>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</si>
  <si>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</si>
  <si>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</si>
  <si>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</si>
  <si>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</si>
  <si>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</si>
  <si>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</si>
  <si>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</si>
  <si>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</si>
  <si>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</si>
  <si>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</si>
  <si>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</si>
  <si>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</si>
  <si>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</si>
  <si>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</si>
  <si>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</si>
  <si>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</si>
  <si>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</si>
  <si>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</si>
  <si>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</si>
  <si>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</si>
  <si>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</si>
  <si>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</si>
  <si>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</si>
  <si>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</si>
  <si>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</si>
  <si>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</si>
  <si>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 xml:space="preserve">                                       </t>
  </si>
  <si>
    <t>TOTAL Consumption</t>
  </si>
  <si>
    <t>Date</t>
  </si>
  <si>
    <t>Occupied</t>
  </si>
  <si>
    <t># Guest</t>
  </si>
  <si>
    <t>TOTAL MTD</t>
  </si>
  <si>
    <t>DAILY ELECTRICITY METER READINGS &amp; CONSUMPTION DECEMBER 2020</t>
  </si>
  <si>
    <r>
      <t>DAILY WATER METER READINGS &amp; CONSUMPTION (m</t>
    </r>
    <r>
      <rPr>
        <b/>
        <vertAlign val="superscript"/>
        <sz val="20"/>
        <color rgb="FF000000"/>
        <rFont val="Calibri"/>
      </rPr>
      <t>3</t>
    </r>
    <r>
      <rPr>
        <b/>
        <sz val="20"/>
        <color rgb="FF000000"/>
        <rFont val="Calibri"/>
      </rPr>
      <t>) DECEMBER  2020</t>
    </r>
  </si>
  <si>
    <t>DAILY GAS METER READINGS &amp; CONSUMPTION (Liters) DEEMBER 2020</t>
  </si>
  <si>
    <t>Occupied Room &amp; Number of Guest
December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</si>
</sst>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  <numFmt numFmtId="168" formatCode="_-* #,##0_-;\-* #,##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8"/>
      <name val="Tahoma"/>
      <family val="2"/>
    </font>
    <font>
      <b/>
      <sz val="20"/>
      <color rgb="FF000000"/>
      <name val="Calibri"/>
    </font>
    <font>
      <b/>
      <vertAlign val="superscript"/>
      <sz val="20"/>
      <color rgb="FF000000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0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0" fontId="0" fillId="6" borderId="0" xfId="0" applyFill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3" fontId="2" fillId="0" borderId="0" xfId="0" applyNumberFormat="1" applyFont="1"/>
    <xf numFmtId="168" fontId="27" fillId="0" borderId="21" xfId="1" applyNumberFormat="1" applyFont="1" applyFill="1" applyBorder="1"/>
    <xf numFmtId="166" fontId="16" fillId="5" borderId="2" xfId="0" applyNumberFormat="1" applyFont="1" applyFill="1" applyBorder="1" applyAlignment="1">
      <alignment horizontal="center" vertical="center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165" fontId="15" fillId="5" borderId="2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workbookViewId="0">
      <selection activeCell="H2" sqref="H2:H32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3">
      <c r="A2" s="9" t="s">
        <v>12</v>
      </c>
      <c r="B2" s="10">
        <v>1</v>
      </c>
      <c r="C2" s="10">
        <v>12</v>
      </c>
      <c r="D2" s="10">
        <v>2020</v>
      </c>
      <c r="E2" s="4" cm="1">
        <f t="array" ref="E2:E32">TRANSPOSE(Electricity!E21:AI21)</f>
        <v>30003</v>
      </c>
      <c r="F2" s="11">
        <v>0.2</v>
      </c>
      <c r="G2" s="4">
        <f>LPG!C4</f>
        <v>2343.0193548387097</v>
      </c>
      <c r="H2" s="11">
        <v>1.2500061954797779</v>
      </c>
      <c r="I2" s="4" cm="1">
        <f t="array" ref="I2:I32">TRANSPOSE(Water!E15:AI15)</f>
        <v>1676.7849999999987</v>
      </c>
      <c r="J2" s="11">
        <v>7.84</v>
      </c>
      <c r="K2" s="4">
        <f>'Occupied &amp; No. of Guest'!B3</f>
        <v>429</v>
      </c>
      <c r="L2" s="4">
        <f>'Occupied &amp; No. of Guest'!C3</f>
        <v>505</v>
      </c>
    </row>
    <row r="3" spans="1:12" x14ac:dyDescent="0.3">
      <c r="A3" s="9" t="s">
        <v>12</v>
      </c>
      <c r="B3" s="10">
        <f>B2+1</f>
        <v>2</v>
      </c>
      <c r="C3" s="10">
        <v>12</v>
      </c>
      <c r="D3" s="10">
        <v>2020</v>
      </c>
      <c r="E3" s="4">
        <v>31208</v>
      </c>
      <c r="F3" s="11">
        <v>0.2</v>
      </c>
      <c r="G3" s="4">
        <f>LPG!C5</f>
        <v>2343.0193548387097</v>
      </c>
      <c r="H3" s="11">
        <v>1.2500061954797779</v>
      </c>
      <c r="I3" s="4">
        <v>232.04500000001704</v>
      </c>
      <c r="J3" s="11">
        <v>7.84</v>
      </c>
      <c r="K3" s="4">
        <f>'Occupied &amp; No. of Guest'!B4</f>
        <v>405</v>
      </c>
      <c r="L3" s="4">
        <f>'Occupied &amp; No. of Guest'!C4</f>
        <v>469</v>
      </c>
    </row>
    <row r="4" spans="1:12" x14ac:dyDescent="0.3">
      <c r="A4" s="9" t="s">
        <v>12</v>
      </c>
      <c r="B4" s="10">
        <f t="shared" ref="B4:B32" si="0">B3+1</f>
        <v>3</v>
      </c>
      <c r="C4" s="10">
        <v>12</v>
      </c>
      <c r="D4" s="10">
        <v>2020</v>
      </c>
      <c r="E4" s="4">
        <v>34825</v>
      </c>
      <c r="F4" s="11">
        <v>0.2</v>
      </c>
      <c r="G4" s="4">
        <f>LPG!C6</f>
        <v>2343.0193548387097</v>
      </c>
      <c r="H4" s="11">
        <v>1.2500061954797779</v>
      </c>
      <c r="I4" s="4">
        <v>271.3839999999941</v>
      </c>
      <c r="J4" s="11">
        <v>7.84</v>
      </c>
      <c r="K4" s="4">
        <f>'Occupied &amp; No. of Guest'!B5</f>
        <v>319</v>
      </c>
      <c r="L4" s="4">
        <f>'Occupied &amp; No. of Guest'!C5</f>
        <v>397</v>
      </c>
    </row>
    <row r="5" spans="1:12" x14ac:dyDescent="0.3">
      <c r="A5" s="9" t="s">
        <v>12</v>
      </c>
      <c r="B5" s="10">
        <f t="shared" si="0"/>
        <v>4</v>
      </c>
      <c r="C5" s="10">
        <v>12</v>
      </c>
      <c r="D5" s="10">
        <v>2020</v>
      </c>
      <c r="E5" s="4">
        <v>33016</v>
      </c>
      <c r="F5" s="11">
        <v>0.2</v>
      </c>
      <c r="G5" s="4">
        <f>LPG!C7</f>
        <v>2343.0193548387097</v>
      </c>
      <c r="H5" s="11">
        <v>1.2500061954797779</v>
      </c>
      <c r="I5" s="4">
        <v>247.09200000000604</v>
      </c>
      <c r="J5" s="11">
        <v>7.84</v>
      </c>
      <c r="K5" s="4">
        <f>'Occupied &amp; No. of Guest'!B6</f>
        <v>273</v>
      </c>
      <c r="L5" s="4">
        <f>'Occupied &amp; No. of Guest'!C6</f>
        <v>337</v>
      </c>
    </row>
    <row r="6" spans="1:12" x14ac:dyDescent="0.3">
      <c r="A6" s="9" t="s">
        <v>12</v>
      </c>
      <c r="B6" s="10">
        <f t="shared" si="0"/>
        <v>5</v>
      </c>
      <c r="C6" s="10">
        <v>12</v>
      </c>
      <c r="D6" s="10">
        <v>2020</v>
      </c>
      <c r="E6" s="4">
        <v>33240</v>
      </c>
      <c r="F6" s="11">
        <v>0.2</v>
      </c>
      <c r="G6" s="4">
        <f>LPG!C8</f>
        <v>2343.0193548387097</v>
      </c>
      <c r="H6" s="11">
        <v>1.2500061954797779</v>
      </c>
      <c r="I6" s="4">
        <v>168.03300000000021</v>
      </c>
      <c r="J6" s="11">
        <v>7.84</v>
      </c>
      <c r="K6" s="4">
        <f>'Occupied &amp; No. of Guest'!B7</f>
        <v>272</v>
      </c>
      <c r="L6" s="4">
        <f>'Occupied &amp; No. of Guest'!C7</f>
        <v>338</v>
      </c>
    </row>
    <row r="7" spans="1:12" x14ac:dyDescent="0.3">
      <c r="A7" s="9" t="s">
        <v>12</v>
      </c>
      <c r="B7" s="10">
        <f t="shared" si="0"/>
        <v>6</v>
      </c>
      <c r="C7" s="10">
        <v>12</v>
      </c>
      <c r="D7" s="10">
        <v>2020</v>
      </c>
      <c r="E7" s="4">
        <v>34607</v>
      </c>
      <c r="F7" s="11">
        <v>0.2</v>
      </c>
      <c r="G7" s="4">
        <f>LPG!C9</f>
        <v>2343.0193548387097</v>
      </c>
      <c r="H7" s="11">
        <v>1.2500061954797779</v>
      </c>
      <c r="I7" s="4">
        <v>245.89299999998846</v>
      </c>
      <c r="J7" s="11">
        <v>7.84</v>
      </c>
      <c r="K7" s="4">
        <f>'Occupied &amp; No. of Guest'!B8</f>
        <v>271</v>
      </c>
      <c r="L7" s="4">
        <f>'Occupied &amp; No. of Guest'!C8</f>
        <v>325</v>
      </c>
    </row>
    <row r="8" spans="1:12" x14ac:dyDescent="0.3">
      <c r="A8" s="9" t="s">
        <v>12</v>
      </c>
      <c r="B8" s="10">
        <f t="shared" si="0"/>
        <v>7</v>
      </c>
      <c r="C8" s="10">
        <v>12</v>
      </c>
      <c r="D8" s="10">
        <v>2020</v>
      </c>
      <c r="E8" s="4">
        <v>31208</v>
      </c>
      <c r="F8" s="11">
        <v>0.2</v>
      </c>
      <c r="G8" s="4">
        <f>LPG!C10</f>
        <v>2343.0193548387097</v>
      </c>
      <c r="H8" s="11">
        <v>1.2500061954797779</v>
      </c>
      <c r="I8" s="4">
        <v>330.70500000001419</v>
      </c>
      <c r="J8" s="11">
        <v>7.84</v>
      </c>
      <c r="K8" s="4">
        <f>'Occupied &amp; No. of Guest'!B9</f>
        <v>268</v>
      </c>
      <c r="L8" s="4">
        <f>'Occupied &amp; No. of Guest'!C9</f>
        <v>320</v>
      </c>
    </row>
    <row r="9" spans="1:12" x14ac:dyDescent="0.3">
      <c r="A9" s="9" t="s">
        <v>12</v>
      </c>
      <c r="B9" s="10">
        <f t="shared" si="0"/>
        <v>8</v>
      </c>
      <c r="C9" s="10">
        <v>12</v>
      </c>
      <c r="D9" s="10">
        <v>2020</v>
      </c>
      <c r="E9" s="4">
        <v>29799</v>
      </c>
      <c r="F9" s="11">
        <v>0.2</v>
      </c>
      <c r="G9" s="4">
        <f>LPG!C11</f>
        <v>2343.0193548387097</v>
      </c>
      <c r="H9" s="11">
        <v>1.2500061954797779</v>
      </c>
      <c r="I9" s="4">
        <v>238.8789999999988</v>
      </c>
      <c r="J9" s="11">
        <v>7.84</v>
      </c>
      <c r="K9" s="4">
        <f>'Occupied &amp; No. of Guest'!B10</f>
        <v>256</v>
      </c>
      <c r="L9" s="4">
        <f>'Occupied &amp; No. of Guest'!C10</f>
        <v>308</v>
      </c>
    </row>
    <row r="10" spans="1:12" x14ac:dyDescent="0.3">
      <c r="A10" s="9" t="s">
        <v>12</v>
      </c>
      <c r="B10" s="10">
        <f t="shared" si="0"/>
        <v>9</v>
      </c>
      <c r="C10" s="10">
        <v>12</v>
      </c>
      <c r="D10" s="10">
        <v>2020</v>
      </c>
      <c r="E10" s="4">
        <v>31218</v>
      </c>
      <c r="F10" s="11">
        <v>0.2</v>
      </c>
      <c r="G10" s="4">
        <f>LPG!C12</f>
        <v>2343.0193548387097</v>
      </c>
      <c r="H10" s="11">
        <v>1.2500061954797779</v>
      </c>
      <c r="I10" s="4">
        <v>311.09899999999254</v>
      </c>
      <c r="J10" s="11">
        <v>7.84</v>
      </c>
      <c r="K10" s="4">
        <f>'Occupied &amp; No. of Guest'!B11</f>
        <v>269</v>
      </c>
      <c r="L10" s="4">
        <f>'Occupied &amp; No. of Guest'!C11</f>
        <v>331</v>
      </c>
    </row>
    <row r="11" spans="1:12" x14ac:dyDescent="0.3">
      <c r="A11" s="9" t="s">
        <v>12</v>
      </c>
      <c r="B11" s="10">
        <f t="shared" si="0"/>
        <v>10</v>
      </c>
      <c r="C11" s="10">
        <v>12</v>
      </c>
      <c r="D11" s="10">
        <v>2020</v>
      </c>
      <c r="E11" s="4">
        <v>30805</v>
      </c>
      <c r="F11" s="11">
        <v>0.2</v>
      </c>
      <c r="G11" s="4">
        <f>LPG!C13</f>
        <v>2343.0193548387097</v>
      </c>
      <c r="H11" s="11">
        <v>1.2500061954797779</v>
      </c>
      <c r="I11" s="4">
        <v>240.15799999999075</v>
      </c>
      <c r="J11" s="11">
        <v>7.84</v>
      </c>
      <c r="K11" s="4">
        <f>'Occupied &amp; No. of Guest'!B12</f>
        <v>279</v>
      </c>
      <c r="L11" s="4">
        <f>'Occupied &amp; No. of Guest'!C12</f>
        <v>338</v>
      </c>
    </row>
    <row r="12" spans="1:12" x14ac:dyDescent="0.3">
      <c r="A12" s="9" t="s">
        <v>12</v>
      </c>
      <c r="B12" s="10">
        <f t="shared" si="0"/>
        <v>11</v>
      </c>
      <c r="C12" s="10">
        <v>12</v>
      </c>
      <c r="D12" s="10">
        <v>2020</v>
      </c>
      <c r="E12" s="4">
        <v>29809</v>
      </c>
      <c r="F12" s="11">
        <v>0.2</v>
      </c>
      <c r="G12" s="4">
        <f>LPG!C14</f>
        <v>2343.0193548387097</v>
      </c>
      <c r="H12" s="11">
        <v>1.2500061954797779</v>
      </c>
      <c r="I12" s="4">
        <v>235.68000000000097</v>
      </c>
      <c r="J12" s="11">
        <v>7.84</v>
      </c>
      <c r="K12" s="4">
        <f>'Occupied &amp; No. of Guest'!B13</f>
        <v>253</v>
      </c>
      <c r="L12" s="4">
        <f>'Occupied &amp; No. of Guest'!C13</f>
        <v>313</v>
      </c>
    </row>
    <row r="13" spans="1:12" x14ac:dyDescent="0.3">
      <c r="A13" s="9" t="s">
        <v>12</v>
      </c>
      <c r="B13" s="10">
        <f t="shared" si="0"/>
        <v>12</v>
      </c>
      <c r="C13" s="10">
        <v>12</v>
      </c>
      <c r="D13" s="10">
        <v>2020</v>
      </c>
      <c r="E13" s="4">
        <v>29402</v>
      </c>
      <c r="F13" s="11">
        <v>0.2</v>
      </c>
      <c r="G13" s="4">
        <f>LPG!C15</f>
        <v>2343.0193548387097</v>
      </c>
      <c r="H13" s="11">
        <v>1.2500061954797779</v>
      </c>
      <c r="I13" s="4">
        <v>288.182000000004</v>
      </c>
      <c r="J13" s="11">
        <v>7.84</v>
      </c>
      <c r="K13" s="4">
        <f>'Occupied &amp; No. of Guest'!B14</f>
        <v>256</v>
      </c>
      <c r="L13" s="4">
        <f>'Occupied &amp; No. of Guest'!C14</f>
        <v>309</v>
      </c>
    </row>
    <row r="14" spans="1:12" x14ac:dyDescent="0.3">
      <c r="A14" s="9" t="s">
        <v>12</v>
      </c>
      <c r="B14" s="10">
        <f t="shared" si="0"/>
        <v>13</v>
      </c>
      <c r="C14" s="10">
        <v>12</v>
      </c>
      <c r="D14" s="10">
        <v>2020</v>
      </c>
      <c r="E14" s="4">
        <v>28812</v>
      </c>
      <c r="F14" s="11">
        <v>0.2</v>
      </c>
      <c r="G14" s="4">
        <f>LPG!C16</f>
        <v>2343.0193548387097</v>
      </c>
      <c r="H14" s="11">
        <v>1.2500061954797779</v>
      </c>
      <c r="I14" s="4">
        <v>222.50700000000666</v>
      </c>
      <c r="J14" s="11">
        <v>7.84</v>
      </c>
      <c r="K14" s="4">
        <f>'Occupied &amp; No. of Guest'!B15</f>
        <v>269</v>
      </c>
      <c r="L14" s="4">
        <f>'Occupied &amp; No. of Guest'!C15</f>
        <v>336</v>
      </c>
    </row>
    <row r="15" spans="1:12" x14ac:dyDescent="0.3">
      <c r="A15" s="9" t="s">
        <v>12</v>
      </c>
      <c r="B15" s="10">
        <f t="shared" si="0"/>
        <v>14</v>
      </c>
      <c r="C15" s="10">
        <v>12</v>
      </c>
      <c r="D15" s="10">
        <v>2020</v>
      </c>
      <c r="E15" s="4">
        <v>29811</v>
      </c>
      <c r="F15" s="11">
        <v>0.2</v>
      </c>
      <c r="G15" s="4">
        <f>LPG!C17</f>
        <v>2343.0193548387097</v>
      </c>
      <c r="H15" s="11">
        <v>1.2500061954797779</v>
      </c>
      <c r="I15" s="4">
        <v>234.7419999999828</v>
      </c>
      <c r="J15" s="11">
        <v>7.84</v>
      </c>
      <c r="K15" s="4">
        <f>'Occupied &amp; No. of Guest'!B16</f>
        <v>256</v>
      </c>
      <c r="L15" s="4">
        <f>'Occupied &amp; No. of Guest'!C16</f>
        <v>319</v>
      </c>
    </row>
    <row r="16" spans="1:12" x14ac:dyDescent="0.3">
      <c r="A16" s="9" t="s">
        <v>12</v>
      </c>
      <c r="B16" s="10">
        <f t="shared" si="0"/>
        <v>15</v>
      </c>
      <c r="C16" s="10">
        <v>12</v>
      </c>
      <c r="D16" s="10">
        <v>2020</v>
      </c>
      <c r="E16" s="4">
        <v>28801</v>
      </c>
      <c r="F16" s="11">
        <v>0.2</v>
      </c>
      <c r="G16" s="4">
        <f>LPG!C18</f>
        <v>2343.0193548387097</v>
      </c>
      <c r="H16" s="11">
        <v>1.2500061954797779</v>
      </c>
      <c r="I16" s="4">
        <v>306.76900000001154</v>
      </c>
      <c r="J16" s="11">
        <v>7.84</v>
      </c>
      <c r="K16" s="4">
        <f>'Occupied &amp; No. of Guest'!B17</f>
        <v>258</v>
      </c>
      <c r="L16" s="4">
        <f>'Occupied &amp; No. of Guest'!C17</f>
        <v>323</v>
      </c>
    </row>
    <row r="17" spans="1:12" x14ac:dyDescent="0.3">
      <c r="A17" s="9" t="s">
        <v>12</v>
      </c>
      <c r="B17" s="10">
        <f t="shared" si="0"/>
        <v>16</v>
      </c>
      <c r="C17" s="10">
        <v>12</v>
      </c>
      <c r="D17" s="10">
        <v>2020</v>
      </c>
      <c r="E17" s="4">
        <v>29810</v>
      </c>
      <c r="F17" s="11">
        <v>0.2</v>
      </c>
      <c r="G17" s="4">
        <f>LPG!C19</f>
        <v>2343.0193548387097</v>
      </c>
      <c r="H17" s="11">
        <v>1.2500061954797779</v>
      </c>
      <c r="I17" s="4">
        <v>214.63900000000018</v>
      </c>
      <c r="J17" s="11">
        <v>7.84</v>
      </c>
      <c r="K17" s="4">
        <f>'Occupied &amp; No. of Guest'!B18</f>
        <v>204</v>
      </c>
      <c r="L17" s="4">
        <f>'Occupied &amp; No. of Guest'!C18</f>
        <v>260</v>
      </c>
    </row>
    <row r="18" spans="1:12" x14ac:dyDescent="0.3">
      <c r="A18" s="9" t="s">
        <v>12</v>
      </c>
      <c r="B18" s="10">
        <f t="shared" si="0"/>
        <v>17</v>
      </c>
      <c r="C18" s="10">
        <v>12</v>
      </c>
      <c r="D18" s="10">
        <v>2020</v>
      </c>
      <c r="E18" s="4">
        <v>30197</v>
      </c>
      <c r="F18" s="11">
        <v>0.2</v>
      </c>
      <c r="G18" s="4">
        <f>LPG!C20</f>
        <v>2343.0193548387097</v>
      </c>
      <c r="H18" s="11">
        <v>1.2500061954797779</v>
      </c>
      <c r="I18" s="4">
        <v>298.28499999999713</v>
      </c>
      <c r="J18" s="11">
        <v>7.84</v>
      </c>
      <c r="K18" s="4">
        <f>'Occupied &amp; No. of Guest'!B19</f>
        <v>165</v>
      </c>
      <c r="L18" s="4">
        <f>'Occupied &amp; No. of Guest'!C19</f>
        <v>210</v>
      </c>
    </row>
    <row r="19" spans="1:12" x14ac:dyDescent="0.3">
      <c r="A19" s="9" t="s">
        <v>12</v>
      </c>
      <c r="B19" s="10">
        <f t="shared" si="0"/>
        <v>18</v>
      </c>
      <c r="C19" s="10">
        <v>12</v>
      </c>
      <c r="D19" s="10">
        <v>2020</v>
      </c>
      <c r="E19" s="4">
        <v>28401</v>
      </c>
      <c r="F19" s="11">
        <v>0.2</v>
      </c>
      <c r="G19" s="4">
        <f>LPG!C21</f>
        <v>2343.0193548387097</v>
      </c>
      <c r="H19" s="11">
        <v>1.2500061954797779</v>
      </c>
      <c r="I19" s="4">
        <v>210.1680000000145</v>
      </c>
      <c r="J19" s="11">
        <v>7.84</v>
      </c>
      <c r="K19" s="4">
        <f>'Occupied &amp; No. of Guest'!B20</f>
        <v>177</v>
      </c>
      <c r="L19" s="4">
        <f>'Occupied &amp; No. of Guest'!C20</f>
        <v>235</v>
      </c>
    </row>
    <row r="20" spans="1:12" x14ac:dyDescent="0.3">
      <c r="A20" s="9" t="s">
        <v>12</v>
      </c>
      <c r="B20" s="10">
        <f t="shared" si="0"/>
        <v>19</v>
      </c>
      <c r="C20" s="10">
        <v>12</v>
      </c>
      <c r="D20" s="10">
        <v>2020</v>
      </c>
      <c r="E20" s="4">
        <v>30198</v>
      </c>
      <c r="F20" s="11">
        <v>0.2</v>
      </c>
      <c r="G20" s="4">
        <f>LPG!C22</f>
        <v>2343.0193548387097</v>
      </c>
      <c r="H20" s="11">
        <v>1.2500061954797779</v>
      </c>
      <c r="I20" s="4">
        <v>209.00799999998804</v>
      </c>
      <c r="J20" s="11">
        <v>7.84</v>
      </c>
      <c r="K20" s="4">
        <f>'Occupied &amp; No. of Guest'!B21</f>
        <v>159</v>
      </c>
      <c r="L20" s="4">
        <f>'Occupied &amp; No. of Guest'!C21</f>
        <v>201</v>
      </c>
    </row>
    <row r="21" spans="1:12" x14ac:dyDescent="0.3">
      <c r="A21" s="9" t="s">
        <v>12</v>
      </c>
      <c r="B21" s="10">
        <f t="shared" si="0"/>
        <v>20</v>
      </c>
      <c r="C21" s="10">
        <v>12</v>
      </c>
      <c r="D21" s="10">
        <v>2020</v>
      </c>
      <c r="E21" s="4">
        <v>29792</v>
      </c>
      <c r="F21" s="11">
        <v>0.2</v>
      </c>
      <c r="G21" s="4">
        <f>LPG!C23</f>
        <v>2343.0193548387097</v>
      </c>
      <c r="H21" s="11">
        <v>1.2500061954797779</v>
      </c>
      <c r="I21" s="4">
        <v>162.54999999998847</v>
      </c>
      <c r="J21" s="11">
        <v>7.84</v>
      </c>
      <c r="K21" s="4">
        <f>'Occupied &amp; No. of Guest'!B22</f>
        <v>167</v>
      </c>
      <c r="L21" s="4">
        <f>'Occupied &amp; No. of Guest'!C22</f>
        <v>211</v>
      </c>
    </row>
    <row r="22" spans="1:12" x14ac:dyDescent="0.3">
      <c r="A22" s="9" t="s">
        <v>12</v>
      </c>
      <c r="B22" s="10">
        <f t="shared" si="0"/>
        <v>21</v>
      </c>
      <c r="C22" s="10">
        <v>12</v>
      </c>
      <c r="D22" s="10">
        <v>2020</v>
      </c>
      <c r="E22" s="4">
        <v>27790</v>
      </c>
      <c r="F22" s="11">
        <v>0.2</v>
      </c>
      <c r="G22" s="4">
        <f>LPG!C24</f>
        <v>2343.0193548387097</v>
      </c>
      <c r="H22" s="11">
        <v>1.2500061954797779</v>
      </c>
      <c r="I22" s="4">
        <v>153.30200000000042</v>
      </c>
      <c r="J22" s="11">
        <v>7.84</v>
      </c>
      <c r="K22" s="4">
        <f>'Occupied &amp; No. of Guest'!B23</f>
        <v>175</v>
      </c>
      <c r="L22" s="4">
        <f>'Occupied &amp; No. of Guest'!C23</f>
        <v>232</v>
      </c>
    </row>
    <row r="23" spans="1:12" x14ac:dyDescent="0.3">
      <c r="A23" s="9" t="s">
        <v>12</v>
      </c>
      <c r="B23" s="10">
        <f t="shared" si="0"/>
        <v>22</v>
      </c>
      <c r="C23" s="10">
        <v>12</v>
      </c>
      <c r="D23" s="10">
        <v>2020</v>
      </c>
      <c r="E23" s="4">
        <v>29192</v>
      </c>
      <c r="F23" s="11">
        <v>0.2</v>
      </c>
      <c r="G23" s="4">
        <f>LPG!C25</f>
        <v>2343.0193548387097</v>
      </c>
      <c r="H23" s="11">
        <v>1.2500061954797779</v>
      </c>
      <c r="I23" s="4">
        <v>210.88099999999991</v>
      </c>
      <c r="J23" s="11">
        <v>7.84</v>
      </c>
      <c r="K23" s="4">
        <f>'Occupied &amp; No. of Guest'!B24</f>
        <v>183</v>
      </c>
      <c r="L23" s="4">
        <f>'Occupied &amp; No. of Guest'!C24</f>
        <v>242</v>
      </c>
    </row>
    <row r="24" spans="1:12" x14ac:dyDescent="0.3">
      <c r="A24" s="9" t="s">
        <v>12</v>
      </c>
      <c r="B24" s="10">
        <f t="shared" si="0"/>
        <v>23</v>
      </c>
      <c r="C24" s="10">
        <v>12</v>
      </c>
      <c r="D24" s="10">
        <v>2020</v>
      </c>
      <c r="E24" s="4">
        <v>28399</v>
      </c>
      <c r="F24" s="11">
        <v>0.2</v>
      </c>
      <c r="G24" s="4">
        <f>LPG!C26</f>
        <v>2343.0193548387097</v>
      </c>
      <c r="H24" s="11">
        <v>1.2500061954797779</v>
      </c>
      <c r="I24" s="4">
        <v>164.43300000001761</v>
      </c>
      <c r="J24" s="11">
        <v>7.84</v>
      </c>
      <c r="K24" s="4">
        <f>'Occupied &amp; No. of Guest'!B25</f>
        <v>173</v>
      </c>
      <c r="L24" s="4">
        <f>'Occupied &amp; No. of Guest'!C25</f>
        <v>239</v>
      </c>
    </row>
    <row r="25" spans="1:12" x14ac:dyDescent="0.3">
      <c r="A25" s="9" t="s">
        <v>12</v>
      </c>
      <c r="B25" s="10">
        <f t="shared" si="0"/>
        <v>24</v>
      </c>
      <c r="C25" s="10">
        <v>12</v>
      </c>
      <c r="D25" s="10">
        <v>2020</v>
      </c>
      <c r="E25" s="4">
        <v>29398</v>
      </c>
      <c r="F25" s="11">
        <v>0.2</v>
      </c>
      <c r="G25" s="4">
        <f>LPG!C27</f>
        <v>2343.0193548387097</v>
      </c>
      <c r="H25" s="11">
        <v>1.2500061954797779</v>
      </c>
      <c r="I25" s="4">
        <v>619.01499999997714</v>
      </c>
      <c r="J25" s="11">
        <v>7.84</v>
      </c>
      <c r="K25" s="4">
        <f>'Occupied &amp; No. of Guest'!B26</f>
        <v>172</v>
      </c>
      <c r="L25" s="4">
        <f>'Occupied &amp; No. of Guest'!C26</f>
        <v>258</v>
      </c>
    </row>
    <row r="26" spans="1:12" x14ac:dyDescent="0.3">
      <c r="A26" s="9" t="s">
        <v>12</v>
      </c>
      <c r="B26" s="10">
        <f>B25+1</f>
        <v>25</v>
      </c>
      <c r="C26" s="10">
        <v>12</v>
      </c>
      <c r="D26" s="10">
        <v>2020</v>
      </c>
      <c r="E26" s="4">
        <v>28396</v>
      </c>
      <c r="F26" s="11">
        <v>0.2</v>
      </c>
      <c r="G26" s="4">
        <f>LPG!C28</f>
        <v>2343.0193548387097</v>
      </c>
      <c r="H26" s="11">
        <v>1.2500061954797779</v>
      </c>
      <c r="I26" s="4">
        <v>216.67300000001131</v>
      </c>
      <c r="J26" s="11">
        <v>7.84</v>
      </c>
      <c r="K26" s="4">
        <f>'Occupied &amp; No. of Guest'!B27</f>
        <v>184</v>
      </c>
      <c r="L26" s="4">
        <f>'Occupied &amp; No. of Guest'!C27</f>
        <v>253</v>
      </c>
    </row>
    <row r="27" spans="1:12" x14ac:dyDescent="0.3">
      <c r="A27" s="9" t="s">
        <v>12</v>
      </c>
      <c r="B27" s="10">
        <f t="shared" si="0"/>
        <v>26</v>
      </c>
      <c r="C27" s="10">
        <v>12</v>
      </c>
      <c r="D27" s="10">
        <v>2020</v>
      </c>
      <c r="E27" s="4">
        <v>29396</v>
      </c>
      <c r="F27" s="11">
        <v>0.2</v>
      </c>
      <c r="G27" s="4">
        <f>LPG!C29</f>
        <v>2343.0193548387097</v>
      </c>
      <c r="H27" s="11">
        <v>1.2500061954797779</v>
      </c>
      <c r="I27" s="4">
        <v>274.01199999999989</v>
      </c>
      <c r="J27" s="11">
        <v>7.84</v>
      </c>
      <c r="K27" s="4">
        <f>'Occupied &amp; No. of Guest'!B28</f>
        <v>165</v>
      </c>
      <c r="L27" s="4">
        <f>'Occupied &amp; No. of Guest'!C28</f>
        <v>235</v>
      </c>
    </row>
    <row r="28" spans="1:12" x14ac:dyDescent="0.3">
      <c r="A28" s="9" t="s">
        <v>12</v>
      </c>
      <c r="B28" s="10">
        <f t="shared" si="0"/>
        <v>27</v>
      </c>
      <c r="C28" s="10">
        <v>12</v>
      </c>
      <c r="D28" s="10">
        <v>2020</v>
      </c>
      <c r="E28" s="4">
        <v>27993</v>
      </c>
      <c r="F28" s="11">
        <v>0.2</v>
      </c>
      <c r="G28" s="4">
        <f>LPG!C30</f>
        <v>2343.0193548387097</v>
      </c>
      <c r="H28" s="11">
        <v>1.2500061954797779</v>
      </c>
      <c r="I28" s="4">
        <v>218.97000000001165</v>
      </c>
      <c r="J28" s="11">
        <v>7.84</v>
      </c>
      <c r="K28" s="4">
        <f>'Occupied &amp; No. of Guest'!B29</f>
        <v>176</v>
      </c>
      <c r="L28" s="4">
        <f>'Occupied &amp; No. of Guest'!C29</f>
        <v>243</v>
      </c>
    </row>
    <row r="29" spans="1:12" x14ac:dyDescent="0.3">
      <c r="A29" s="9" t="s">
        <v>12</v>
      </c>
      <c r="B29" s="10">
        <f t="shared" si="0"/>
        <v>28</v>
      </c>
      <c r="C29" s="10">
        <v>12</v>
      </c>
      <c r="D29" s="10">
        <v>2020</v>
      </c>
      <c r="E29" s="4">
        <v>27988</v>
      </c>
      <c r="F29" s="11">
        <v>0.2</v>
      </c>
      <c r="G29" s="4">
        <f>LPG!C31</f>
        <v>2343.0193548387097</v>
      </c>
      <c r="H29" s="11">
        <v>1.2500061954797779</v>
      </c>
      <c r="I29" s="4">
        <v>173.51899999998875</v>
      </c>
      <c r="J29" s="11">
        <v>7.84</v>
      </c>
      <c r="K29" s="4">
        <f>'Occupied &amp; No. of Guest'!B30</f>
        <v>190</v>
      </c>
      <c r="L29" s="4">
        <f>'Occupied &amp; No. of Guest'!C30</f>
        <v>263</v>
      </c>
    </row>
    <row r="30" spans="1:12" x14ac:dyDescent="0.3">
      <c r="A30" s="9" t="s">
        <v>12</v>
      </c>
      <c r="B30" s="10">
        <f t="shared" si="0"/>
        <v>29</v>
      </c>
      <c r="C30" s="10">
        <v>12</v>
      </c>
      <c r="D30" s="10">
        <v>2020</v>
      </c>
      <c r="E30" s="4">
        <v>26597</v>
      </c>
      <c r="F30" s="11">
        <v>0.2</v>
      </c>
      <c r="G30" s="4">
        <f>LPG!C32</f>
        <v>2343.0193548387097</v>
      </c>
      <c r="H30" s="11">
        <v>1.2500061954797779</v>
      </c>
      <c r="I30" s="4">
        <v>261.9249999999912</v>
      </c>
      <c r="J30" s="11">
        <v>7.84</v>
      </c>
      <c r="K30" s="4">
        <f>'Occupied &amp; No. of Guest'!B31</f>
        <v>192</v>
      </c>
      <c r="L30" s="4">
        <f>'Occupied &amp; No. of Guest'!C31</f>
        <v>269</v>
      </c>
    </row>
    <row r="31" spans="1:12" x14ac:dyDescent="0.3">
      <c r="A31" s="9" t="s">
        <v>12</v>
      </c>
      <c r="B31" s="10">
        <f t="shared" si="0"/>
        <v>30</v>
      </c>
      <c r="C31" s="10">
        <v>12</v>
      </c>
      <c r="D31" s="10">
        <v>2020</v>
      </c>
      <c r="E31" s="4">
        <v>28392</v>
      </c>
      <c r="F31" s="11">
        <v>0.2</v>
      </c>
      <c r="G31" s="4">
        <f>LPG!C33</f>
        <v>2343.0193548387097</v>
      </c>
      <c r="H31" s="11">
        <v>1.2500061954797779</v>
      </c>
      <c r="I31" s="4">
        <v>244.25300000001334</v>
      </c>
      <c r="J31" s="11">
        <v>7.84</v>
      </c>
      <c r="K31" s="4">
        <f>'Occupied &amp; No. of Guest'!B32</f>
        <v>183</v>
      </c>
      <c r="L31" s="4">
        <f>'Occupied &amp; No. of Guest'!C32</f>
        <v>247</v>
      </c>
    </row>
    <row r="32" spans="1:12" x14ac:dyDescent="0.3">
      <c r="A32" s="9" t="s">
        <v>12</v>
      </c>
      <c r="B32" s="10">
        <f t="shared" si="0"/>
        <v>31</v>
      </c>
      <c r="C32" s="10">
        <v>12</v>
      </c>
      <c r="D32" s="10">
        <v>2020</v>
      </c>
      <c r="E32" s="4">
        <v>29813</v>
      </c>
      <c r="F32" s="11">
        <v>0.2</v>
      </c>
      <c r="G32" s="4">
        <f>LPG!C34</f>
        <v>2343.0193548387097</v>
      </c>
      <c r="H32" s="11">
        <v>1.2500061954797779</v>
      </c>
      <c r="I32" s="4">
        <v>329.01399999999512</v>
      </c>
      <c r="J32" s="11">
        <v>7.84</v>
      </c>
      <c r="K32" s="4">
        <f>'Occupied &amp; No. of Guest'!B33</f>
        <v>189</v>
      </c>
      <c r="L32" s="4">
        <f>'Occupied &amp; No. of Guest'!C33</f>
        <v>286</v>
      </c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topLeftCell="A10" zoomScale="115" zoomScaleNormal="115" zoomScaleSheetLayoutView="85" workbookViewId="0">
      <selection activeCell="D17" sqref="D17:AI20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5" width="15" style="13" customWidth="1"/>
    <col min="36" max="16384" width="9.109375" style="13"/>
  </cols>
  <sheetData>
    <row r="1" spans="1:67" ht="29.25" customHeight="1" x14ac:dyDescent="0.3">
      <c r="B1" s="13"/>
      <c r="C1" s="14"/>
      <c r="D1" s="14"/>
      <c r="G1" s="14"/>
    </row>
    <row r="2" spans="1:67" s="14" customFormat="1" ht="29.25" customHeight="1" x14ac:dyDescent="0.3">
      <c r="A2" s="78" t="s">
        <v>84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67" s="14" customFormat="1" ht="29.25" customHeight="1" thickBot="1" x14ac:dyDescent="0.35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67" ht="42" thickBot="1" x14ac:dyDescent="0.35">
      <c r="A4" s="15" t="s">
        <v>13</v>
      </c>
      <c r="B4" s="16" t="s">
        <v>14</v>
      </c>
      <c r="C4" s="17" t="s">
        <v>15</v>
      </c>
      <c r="D4" s="18" t="s">
        <v>16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3">
      <c r="A5" s="80">
        <v>1</v>
      </c>
      <c r="B5" s="20" t="s">
        <v>17</v>
      </c>
      <c r="C5" s="82" t="s">
        <v>18</v>
      </c>
      <c r="D5" s="21">
        <v>75936</v>
      </c>
      <c r="E5" s="21">
        <v>75957</v>
      </c>
      <c r="F5" s="21">
        <v>75978</v>
      </c>
      <c r="G5" s="21">
        <v>76001</v>
      </c>
      <c r="H5" s="21">
        <v>76023</v>
      </c>
      <c r="I5" s="21">
        <v>76044</v>
      </c>
      <c r="J5" s="21">
        <v>76066</v>
      </c>
      <c r="K5" s="21">
        <v>76087</v>
      </c>
      <c r="L5" s="21">
        <v>76109</v>
      </c>
      <c r="M5" s="21">
        <v>76132</v>
      </c>
      <c r="N5" s="21">
        <v>76155</v>
      </c>
      <c r="O5" s="21">
        <v>76177</v>
      </c>
      <c r="P5" s="21">
        <v>76199</v>
      </c>
      <c r="Q5" s="21">
        <v>76220</v>
      </c>
      <c r="R5" s="21">
        <v>76242</v>
      </c>
      <c r="S5" s="21">
        <v>76263</v>
      </c>
      <c r="T5" s="21">
        <v>76285</v>
      </c>
      <c r="U5" s="21">
        <v>76307</v>
      </c>
      <c r="V5" s="21">
        <v>76328</v>
      </c>
      <c r="W5" s="21">
        <v>76350</v>
      </c>
      <c r="X5" s="21">
        <v>76372</v>
      </c>
      <c r="Y5" s="21">
        <v>76392</v>
      </c>
      <c r="Z5" s="21">
        <v>76413</v>
      </c>
      <c r="AA5" s="21">
        <v>76434</v>
      </c>
      <c r="AB5" s="21">
        <v>76456</v>
      </c>
      <c r="AC5" s="21">
        <v>76477</v>
      </c>
      <c r="AD5" s="21">
        <v>76499</v>
      </c>
      <c r="AE5" s="21">
        <v>76520</v>
      </c>
      <c r="AF5" s="21">
        <v>76541</v>
      </c>
      <c r="AG5" s="21">
        <v>76561</v>
      </c>
      <c r="AH5" s="21">
        <v>76582</v>
      </c>
      <c r="AI5" s="21">
        <v>76604</v>
      </c>
    </row>
    <row r="6" spans="1:67" s="24" customFormat="1" ht="21.75" customHeight="1" x14ac:dyDescent="0.3">
      <c r="A6" s="81"/>
      <c r="B6" s="22"/>
      <c r="C6" s="83"/>
      <c r="D6" s="23"/>
      <c r="E6" s="23">
        <f>(E5-D5)*1000</f>
        <v>21000</v>
      </c>
      <c r="F6" s="23">
        <f t="shared" ref="F6:AI6" si="0">(F5-E5)*1000</f>
        <v>21000</v>
      </c>
      <c r="G6" s="23">
        <f t="shared" si="0"/>
        <v>23000</v>
      </c>
      <c r="H6" s="23">
        <f t="shared" si="0"/>
        <v>22000</v>
      </c>
      <c r="I6" s="23">
        <f t="shared" si="0"/>
        <v>21000</v>
      </c>
      <c r="J6" s="23">
        <f t="shared" si="0"/>
        <v>22000</v>
      </c>
      <c r="K6" s="23">
        <f t="shared" si="0"/>
        <v>21000</v>
      </c>
      <c r="L6" s="23">
        <f t="shared" si="0"/>
        <v>22000</v>
      </c>
      <c r="M6" s="23">
        <f t="shared" si="0"/>
        <v>23000</v>
      </c>
      <c r="N6" s="23">
        <f t="shared" si="0"/>
        <v>23000</v>
      </c>
      <c r="O6" s="23">
        <f t="shared" si="0"/>
        <v>22000</v>
      </c>
      <c r="P6" s="23">
        <f t="shared" si="0"/>
        <v>22000</v>
      </c>
      <c r="Q6" s="23">
        <f t="shared" si="0"/>
        <v>21000</v>
      </c>
      <c r="R6" s="23">
        <f t="shared" si="0"/>
        <v>22000</v>
      </c>
      <c r="S6" s="23">
        <f t="shared" si="0"/>
        <v>21000</v>
      </c>
      <c r="T6" s="23">
        <f t="shared" si="0"/>
        <v>22000</v>
      </c>
      <c r="U6" s="23">
        <f t="shared" si="0"/>
        <v>22000</v>
      </c>
      <c r="V6" s="23">
        <f t="shared" si="0"/>
        <v>21000</v>
      </c>
      <c r="W6" s="23">
        <f t="shared" si="0"/>
        <v>22000</v>
      </c>
      <c r="X6" s="23">
        <f t="shared" si="0"/>
        <v>22000</v>
      </c>
      <c r="Y6" s="23">
        <f t="shared" si="0"/>
        <v>20000</v>
      </c>
      <c r="Z6" s="23">
        <f t="shared" si="0"/>
        <v>21000</v>
      </c>
      <c r="AA6" s="23">
        <f t="shared" si="0"/>
        <v>21000</v>
      </c>
      <c r="AB6" s="23">
        <f t="shared" si="0"/>
        <v>22000</v>
      </c>
      <c r="AC6" s="23">
        <f t="shared" si="0"/>
        <v>21000</v>
      </c>
      <c r="AD6" s="23">
        <f t="shared" si="0"/>
        <v>22000</v>
      </c>
      <c r="AE6" s="23">
        <f t="shared" si="0"/>
        <v>21000</v>
      </c>
      <c r="AF6" s="23">
        <f t="shared" si="0"/>
        <v>21000</v>
      </c>
      <c r="AG6" s="23">
        <f t="shared" si="0"/>
        <v>20000</v>
      </c>
      <c r="AH6" s="23">
        <f t="shared" si="0"/>
        <v>21000</v>
      </c>
      <c r="AI6" s="23">
        <f t="shared" si="0"/>
        <v>22000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3">
      <c r="A7" s="84">
        <v>2</v>
      </c>
      <c r="B7" s="25" t="s">
        <v>19</v>
      </c>
      <c r="C7" s="86" t="s">
        <v>20</v>
      </c>
      <c r="D7" s="21">
        <v>29383</v>
      </c>
      <c r="E7" s="21">
        <v>29383</v>
      </c>
      <c r="F7" s="21">
        <v>29383</v>
      </c>
      <c r="G7" s="21">
        <v>29383</v>
      </c>
      <c r="H7" s="21">
        <v>29383</v>
      </c>
      <c r="I7" s="21">
        <v>29383</v>
      </c>
      <c r="J7" s="21">
        <v>29383</v>
      </c>
      <c r="K7" s="21">
        <v>29383</v>
      </c>
      <c r="L7" s="21">
        <v>29383</v>
      </c>
      <c r="M7" s="21">
        <v>29383</v>
      </c>
      <c r="N7" s="21">
        <v>29383</v>
      </c>
      <c r="O7" s="21">
        <v>29383</v>
      </c>
      <c r="P7" s="21">
        <v>29383</v>
      </c>
      <c r="Q7" s="21">
        <v>29383</v>
      </c>
      <c r="R7" s="21">
        <v>29383</v>
      </c>
      <c r="S7" s="21">
        <v>29383</v>
      </c>
      <c r="T7" s="21">
        <v>29383</v>
      </c>
      <c r="U7" s="21">
        <v>29383</v>
      </c>
      <c r="V7" s="21">
        <v>29383</v>
      </c>
      <c r="W7" s="21">
        <v>29383</v>
      </c>
      <c r="X7" s="21">
        <v>29383</v>
      </c>
      <c r="Y7" s="21">
        <v>29383</v>
      </c>
      <c r="Z7" s="21">
        <v>29383</v>
      </c>
      <c r="AA7" s="21">
        <v>29383</v>
      </c>
      <c r="AB7" s="21">
        <v>29383</v>
      </c>
      <c r="AC7" s="21">
        <v>29383</v>
      </c>
      <c r="AD7" s="21">
        <v>29383</v>
      </c>
      <c r="AE7" s="21">
        <v>29383</v>
      </c>
      <c r="AF7" s="21">
        <v>29383</v>
      </c>
      <c r="AG7" s="21">
        <v>29383</v>
      </c>
      <c r="AH7" s="21">
        <v>29383</v>
      </c>
      <c r="AI7" s="21">
        <v>29383</v>
      </c>
    </row>
    <row r="8" spans="1:67" s="24" customFormat="1" ht="21.75" customHeight="1" x14ac:dyDescent="0.3">
      <c r="A8" s="85"/>
      <c r="B8" s="22"/>
      <c r="C8" s="83"/>
      <c r="D8" s="23"/>
      <c r="E8" s="23">
        <f>(E7-D7)*1000</f>
        <v>0</v>
      </c>
      <c r="F8" s="23">
        <f t="shared" ref="F8" si="1">(F7-E7)*1000</f>
        <v>0</v>
      </c>
      <c r="G8" s="23">
        <f t="shared" ref="G8" si="2">(G7-F7)*1000</f>
        <v>0</v>
      </c>
      <c r="H8" s="23">
        <f t="shared" ref="H8" si="3">(H7-G7)*1000</f>
        <v>0</v>
      </c>
      <c r="I8" s="23">
        <f t="shared" ref="I8" si="4">(I7-H7)*1000</f>
        <v>0</v>
      </c>
      <c r="J8" s="23">
        <f t="shared" ref="J8" si="5">(J7-I7)*1000</f>
        <v>0</v>
      </c>
      <c r="K8" s="23">
        <f t="shared" ref="K8" si="6">(K7-J7)*1000</f>
        <v>0</v>
      </c>
      <c r="L8" s="23">
        <f t="shared" ref="L8" si="7">(L7-K7)*1000</f>
        <v>0</v>
      </c>
      <c r="M8" s="23">
        <f t="shared" ref="M8" si="8">(M7-L7)*1000</f>
        <v>0</v>
      </c>
      <c r="N8" s="23">
        <f t="shared" ref="N8" si="9">(N7-M7)*1000</f>
        <v>0</v>
      </c>
      <c r="O8" s="23">
        <f t="shared" ref="O8" si="10">(O7-N7)*1000</f>
        <v>0</v>
      </c>
      <c r="P8" s="23">
        <f t="shared" ref="P8" si="11">(P7-O7)*1000</f>
        <v>0</v>
      </c>
      <c r="Q8" s="23">
        <f t="shared" ref="Q8" si="12">(Q7-P7)*1000</f>
        <v>0</v>
      </c>
      <c r="R8" s="23">
        <f t="shared" ref="R8" si="13">(R7-Q7)*1000</f>
        <v>0</v>
      </c>
      <c r="S8" s="23">
        <f t="shared" ref="S8" si="14">(S7-R7)*1000</f>
        <v>0</v>
      </c>
      <c r="T8" s="23">
        <f t="shared" ref="T8" si="15">(T7-S7)*1000</f>
        <v>0</v>
      </c>
      <c r="U8" s="23">
        <f t="shared" ref="U8" si="16">(U7-T7)*1000</f>
        <v>0</v>
      </c>
      <c r="V8" s="23">
        <f t="shared" ref="V8" si="17">(V7-U7)*1000</f>
        <v>0</v>
      </c>
      <c r="W8" s="23">
        <f t="shared" ref="W8" si="18">(W7-V7)*1000</f>
        <v>0</v>
      </c>
      <c r="X8" s="23">
        <f t="shared" ref="X8" si="19">(X7-W7)*1000</f>
        <v>0</v>
      </c>
      <c r="Y8" s="23">
        <f t="shared" ref="Y8" si="20">(Y7-X7)*1000</f>
        <v>0</v>
      </c>
      <c r="Z8" s="23">
        <f t="shared" ref="Z8" si="21">(Z7-Y7)*1000</f>
        <v>0</v>
      </c>
      <c r="AA8" s="23">
        <f t="shared" ref="AA8" si="22">(AA7-Z7)*1000</f>
        <v>0</v>
      </c>
      <c r="AB8" s="23">
        <f t="shared" ref="AB8" si="23">(AB7-AA7)*1000</f>
        <v>0</v>
      </c>
      <c r="AC8" s="23">
        <f t="shared" ref="AC8" si="24">(AC7-AB7)*1000</f>
        <v>0</v>
      </c>
      <c r="AD8" s="23">
        <f t="shared" ref="AD8" si="25">(AD7-AC7)*1000</f>
        <v>0</v>
      </c>
      <c r="AE8" s="23">
        <f t="shared" ref="AE8" si="26">(AE7-AD7)*1000</f>
        <v>0</v>
      </c>
      <c r="AF8" s="23">
        <f t="shared" ref="AF8" si="27">(AF7-AE7)*1000</f>
        <v>0</v>
      </c>
      <c r="AG8" s="23">
        <f t="shared" ref="AG8" si="28">(AG7-AF7)*1000</f>
        <v>0</v>
      </c>
      <c r="AH8" s="23">
        <f t="shared" ref="AH8" si="29">(AH7-AG7)*1000</f>
        <v>0</v>
      </c>
      <c r="AI8" s="23">
        <f t="shared" ref="AI8" si="30">(AI7-AH7)*1000</f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3">
      <c r="A9" s="76">
        <v>3</v>
      </c>
      <c r="B9" s="36" t="s">
        <v>21</v>
      </c>
      <c r="C9" s="77" t="s">
        <v>22</v>
      </c>
      <c r="D9" s="21">
        <v>90135</v>
      </c>
      <c r="E9" s="21">
        <v>90153</v>
      </c>
      <c r="F9" s="21">
        <v>90172</v>
      </c>
      <c r="G9" s="21">
        <v>90191</v>
      </c>
      <c r="H9" s="21">
        <v>90215</v>
      </c>
      <c r="I9" s="21">
        <v>90234</v>
      </c>
      <c r="J9" s="21">
        <v>90261</v>
      </c>
      <c r="K9" s="21">
        <v>90274</v>
      </c>
      <c r="L9" s="21">
        <v>90276</v>
      </c>
      <c r="M9" s="21">
        <v>90278</v>
      </c>
      <c r="N9" s="21">
        <v>90279</v>
      </c>
      <c r="O9" s="21">
        <v>90281</v>
      </c>
      <c r="P9" s="21">
        <v>90282</v>
      </c>
      <c r="Q9" s="21">
        <v>90288</v>
      </c>
      <c r="R9" s="21">
        <v>90304</v>
      </c>
      <c r="S9" s="21">
        <v>90320</v>
      </c>
      <c r="T9" s="21">
        <v>90336</v>
      </c>
      <c r="U9" s="21">
        <v>90353</v>
      </c>
      <c r="V9" s="21">
        <v>90368</v>
      </c>
      <c r="W9" s="21">
        <v>90384</v>
      </c>
      <c r="X9" s="21">
        <v>90399</v>
      </c>
      <c r="Y9" s="21">
        <v>90409</v>
      </c>
      <c r="Z9" s="21">
        <v>90410</v>
      </c>
      <c r="AA9" s="21">
        <v>90411</v>
      </c>
      <c r="AB9" s="21">
        <v>90411</v>
      </c>
      <c r="AC9" s="21">
        <v>90412</v>
      </c>
      <c r="AD9" s="21">
        <v>90416</v>
      </c>
      <c r="AE9" s="21">
        <v>90430</v>
      </c>
      <c r="AF9" s="21">
        <v>90444</v>
      </c>
      <c r="AG9" s="21">
        <v>90458</v>
      </c>
      <c r="AH9" s="21">
        <v>90473</v>
      </c>
      <c r="AI9" s="21">
        <v>90489</v>
      </c>
    </row>
    <row r="10" spans="1:67" s="24" customFormat="1" ht="21.75" customHeight="1" x14ac:dyDescent="0.3">
      <c r="A10" s="72"/>
      <c r="B10" s="37"/>
      <c r="C10" s="75"/>
      <c r="D10" s="23"/>
      <c r="E10" s="23">
        <f>(E9-D9)*1000</f>
        <v>18000</v>
      </c>
      <c r="F10" s="23">
        <f t="shared" ref="F10" si="31">(F9-E9)*1000</f>
        <v>19000</v>
      </c>
      <c r="G10" s="23">
        <f t="shared" ref="G10" si="32">(G9-F9)*1000</f>
        <v>19000</v>
      </c>
      <c r="H10" s="23">
        <f t="shared" ref="H10" si="33">(H9-G9)*1000</f>
        <v>24000</v>
      </c>
      <c r="I10" s="23">
        <f t="shared" ref="I10" si="34">(I9-H9)*1000</f>
        <v>19000</v>
      </c>
      <c r="J10" s="23">
        <f t="shared" ref="J10" si="35">(J9-I9)*1000</f>
        <v>27000</v>
      </c>
      <c r="K10" s="23">
        <f t="shared" ref="K10" si="36">(K9-J9)*1000</f>
        <v>13000</v>
      </c>
      <c r="L10" s="23">
        <f t="shared" ref="L10" si="37">(L9-K9)*1000</f>
        <v>2000</v>
      </c>
      <c r="M10" s="23">
        <f t="shared" ref="M10" si="38">(M9-L9)*1000</f>
        <v>2000</v>
      </c>
      <c r="N10" s="23">
        <f t="shared" ref="N10" si="39">(N9-M9)*1000</f>
        <v>1000</v>
      </c>
      <c r="O10" s="23">
        <f t="shared" ref="O10" si="40">(O9-N9)*1000</f>
        <v>2000</v>
      </c>
      <c r="P10" s="23">
        <f t="shared" ref="P10" si="41">(P9-O9)*1000</f>
        <v>1000</v>
      </c>
      <c r="Q10" s="23">
        <f t="shared" ref="Q10" si="42">(Q9-P9)*1000</f>
        <v>6000</v>
      </c>
      <c r="R10" s="23">
        <f t="shared" ref="R10" si="43">(R9-Q9)*1000</f>
        <v>16000</v>
      </c>
      <c r="S10" s="23">
        <f t="shared" ref="S10" si="44">(S9-R9)*1000</f>
        <v>16000</v>
      </c>
      <c r="T10" s="23">
        <f t="shared" ref="T10" si="45">(T9-S9)*1000</f>
        <v>16000</v>
      </c>
      <c r="U10" s="23">
        <f t="shared" ref="U10" si="46">(U9-T9)*1000</f>
        <v>17000</v>
      </c>
      <c r="V10" s="23">
        <f t="shared" ref="V10" si="47">(V9-U9)*1000</f>
        <v>15000</v>
      </c>
      <c r="W10" s="23">
        <f t="shared" ref="W10" si="48">(W9-V9)*1000</f>
        <v>16000</v>
      </c>
      <c r="X10" s="23">
        <f t="shared" ref="X10" si="49">(X9-W9)*1000</f>
        <v>15000</v>
      </c>
      <c r="Y10" s="23">
        <f t="shared" ref="Y10" si="50">(Y9-X9)*1000</f>
        <v>10000</v>
      </c>
      <c r="Z10" s="23">
        <f t="shared" ref="Z10" si="51">(Z9-Y9)*1000</f>
        <v>1000</v>
      </c>
      <c r="AA10" s="23">
        <f t="shared" ref="AA10" si="52">(AA9-Z9)*1000</f>
        <v>1000</v>
      </c>
      <c r="AB10" s="23">
        <f t="shared" ref="AB10" si="53">(AB9-AA9)*1000</f>
        <v>0</v>
      </c>
      <c r="AC10" s="23">
        <f t="shared" ref="AC10" si="54">(AC9-AB9)*1000</f>
        <v>1000</v>
      </c>
      <c r="AD10" s="23">
        <f t="shared" ref="AD10" si="55">(AD9-AC9)*1000</f>
        <v>4000</v>
      </c>
      <c r="AE10" s="23">
        <f t="shared" ref="AE10" si="56">(AE9-AD9)*1000</f>
        <v>14000</v>
      </c>
      <c r="AF10" s="23">
        <f t="shared" ref="AF10" si="57">(AF9-AE9)*1000</f>
        <v>14000</v>
      </c>
      <c r="AG10" s="23">
        <f t="shared" ref="AG10" si="58">(AG9-AF9)*1000</f>
        <v>14000</v>
      </c>
      <c r="AH10" s="23">
        <f t="shared" ref="AH10" si="59">(AH9-AG9)*1000</f>
        <v>15000</v>
      </c>
      <c r="AI10" s="23">
        <f t="shared" ref="AI10" si="60">(AI9-AH9)*1000</f>
        <v>16000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3">
      <c r="A11" s="67">
        <v>4</v>
      </c>
      <c r="B11" s="36" t="s">
        <v>23</v>
      </c>
      <c r="C11" s="77" t="s">
        <v>24</v>
      </c>
      <c r="D11" s="21">
        <v>77064</v>
      </c>
      <c r="E11" s="21">
        <v>77068</v>
      </c>
      <c r="F11" s="21">
        <v>77074</v>
      </c>
      <c r="G11" s="21">
        <v>77084</v>
      </c>
      <c r="H11" s="21">
        <v>77087</v>
      </c>
      <c r="I11" s="21">
        <v>77098</v>
      </c>
      <c r="J11" s="21">
        <v>77102</v>
      </c>
      <c r="K11" s="21">
        <v>77114</v>
      </c>
      <c r="L11" s="21">
        <v>77131</v>
      </c>
      <c r="M11" s="21">
        <v>77149</v>
      </c>
      <c r="N11" s="21">
        <v>77167</v>
      </c>
      <c r="O11" s="21">
        <v>77184</v>
      </c>
      <c r="P11" s="21">
        <v>77201</v>
      </c>
      <c r="Q11" s="21">
        <v>77214</v>
      </c>
      <c r="R11" s="21">
        <v>77217</v>
      </c>
      <c r="S11" s="21">
        <v>77220</v>
      </c>
      <c r="T11" s="21">
        <v>77223</v>
      </c>
      <c r="U11" s="21">
        <v>77226</v>
      </c>
      <c r="V11" s="21">
        <v>77229</v>
      </c>
      <c r="W11" s="21">
        <v>77233</v>
      </c>
      <c r="X11" s="21">
        <v>77237</v>
      </c>
      <c r="Y11" s="21">
        <v>77246</v>
      </c>
      <c r="Z11" s="21">
        <v>77265</v>
      </c>
      <c r="AA11" s="21">
        <v>77282</v>
      </c>
      <c r="AB11" s="21">
        <v>77300</v>
      </c>
      <c r="AC11" s="21">
        <v>77317</v>
      </c>
      <c r="AD11" s="21">
        <v>77331</v>
      </c>
      <c r="AE11" s="21">
        <v>77334</v>
      </c>
      <c r="AF11" s="21">
        <v>77337</v>
      </c>
      <c r="AG11" s="21">
        <v>77339</v>
      </c>
      <c r="AH11" s="21">
        <v>77342</v>
      </c>
      <c r="AI11" s="21">
        <v>77345</v>
      </c>
    </row>
    <row r="12" spans="1:67" s="38" customFormat="1" ht="21.75" customHeight="1" x14ac:dyDescent="0.3">
      <c r="A12" s="74"/>
      <c r="B12" s="37"/>
      <c r="C12" s="75"/>
      <c r="D12" s="23"/>
      <c r="E12" s="23">
        <f>(E11-D11)*1000</f>
        <v>4000</v>
      </c>
      <c r="F12" s="23">
        <f t="shared" ref="F12" si="61">(F11-E11)*1000</f>
        <v>6000</v>
      </c>
      <c r="G12" s="23">
        <f t="shared" ref="G12" si="62">(G11-F11)*1000</f>
        <v>10000</v>
      </c>
      <c r="H12" s="23">
        <f t="shared" ref="H12" si="63">(H11-G11)*1000</f>
        <v>3000</v>
      </c>
      <c r="I12" s="23">
        <f t="shared" ref="I12" si="64">(I11-H11)*1000</f>
        <v>11000</v>
      </c>
      <c r="J12" s="23">
        <f t="shared" ref="J12" si="65">(J11-I11)*1000</f>
        <v>4000</v>
      </c>
      <c r="K12" s="23">
        <f t="shared" ref="K12" si="66">(K11-J11)*1000</f>
        <v>12000</v>
      </c>
      <c r="L12" s="23">
        <f t="shared" ref="L12" si="67">(L11-K11)*1000</f>
        <v>17000</v>
      </c>
      <c r="M12" s="23">
        <f t="shared" ref="M12" si="68">(M11-L11)*1000</f>
        <v>18000</v>
      </c>
      <c r="N12" s="23">
        <f t="shared" ref="N12" si="69">(N11-M11)*1000</f>
        <v>18000</v>
      </c>
      <c r="O12" s="23">
        <f t="shared" ref="O12" si="70">(O11-N11)*1000</f>
        <v>17000</v>
      </c>
      <c r="P12" s="23">
        <f t="shared" ref="P12" si="71">(P11-O11)*1000</f>
        <v>17000</v>
      </c>
      <c r="Q12" s="23">
        <f t="shared" ref="Q12" si="72">(Q11-P11)*1000</f>
        <v>13000</v>
      </c>
      <c r="R12" s="23">
        <f t="shared" ref="R12" si="73">(R11-Q11)*1000</f>
        <v>3000</v>
      </c>
      <c r="S12" s="23">
        <f t="shared" ref="S12" si="74">(S11-R11)*1000</f>
        <v>3000</v>
      </c>
      <c r="T12" s="23">
        <f t="shared" ref="T12" si="75">(T11-S11)*1000</f>
        <v>3000</v>
      </c>
      <c r="U12" s="23">
        <f t="shared" ref="U12" si="76">(U11-T11)*1000</f>
        <v>3000</v>
      </c>
      <c r="V12" s="23">
        <f t="shared" ref="V12" si="77">(V11-U11)*1000</f>
        <v>3000</v>
      </c>
      <c r="W12" s="23">
        <f t="shared" ref="W12" si="78">(W11-V11)*1000</f>
        <v>4000</v>
      </c>
      <c r="X12" s="23">
        <f t="shared" ref="X12" si="79">(X11-W11)*1000</f>
        <v>4000</v>
      </c>
      <c r="Y12" s="23">
        <f t="shared" ref="Y12" si="80">(Y11-X11)*1000</f>
        <v>9000</v>
      </c>
      <c r="Z12" s="23">
        <f t="shared" ref="Z12" si="81">(Z11-Y11)*1000</f>
        <v>19000</v>
      </c>
      <c r="AA12" s="23">
        <f t="shared" ref="AA12" si="82">(AA11-Z11)*1000</f>
        <v>17000</v>
      </c>
      <c r="AB12" s="23">
        <f t="shared" ref="AB12" si="83">(AB11-AA11)*1000</f>
        <v>18000</v>
      </c>
      <c r="AC12" s="23">
        <f t="shared" ref="AC12" si="84">(AC11-AB11)*1000</f>
        <v>17000</v>
      </c>
      <c r="AD12" s="23">
        <f t="shared" ref="AD12" si="85">(AD11-AC11)*1000</f>
        <v>14000</v>
      </c>
      <c r="AE12" s="23">
        <f t="shared" ref="AE12" si="86">(AE11-AD11)*1000</f>
        <v>3000</v>
      </c>
      <c r="AF12" s="23">
        <f t="shared" ref="AF12" si="87">(AF11-AE11)*1000</f>
        <v>3000</v>
      </c>
      <c r="AG12" s="23">
        <f t="shared" ref="AG12" si="88">(AG11-AF11)*1000</f>
        <v>2000</v>
      </c>
      <c r="AH12" s="23">
        <f t="shared" ref="AH12" si="89">(AH11-AG11)*1000</f>
        <v>3000</v>
      </c>
      <c r="AI12" s="23">
        <f t="shared" ref="AI12" si="90">(AI11-AH11)*1000</f>
        <v>3000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3">
      <c r="A13" s="76">
        <v>7</v>
      </c>
      <c r="B13" s="39" t="s">
        <v>25</v>
      </c>
      <c r="C13" s="69" t="s">
        <v>26</v>
      </c>
      <c r="D13" s="40">
        <v>2999</v>
      </c>
      <c r="E13" s="40">
        <v>2999</v>
      </c>
      <c r="F13" s="40">
        <v>2999</v>
      </c>
      <c r="G13" s="40">
        <v>2999</v>
      </c>
      <c r="H13" s="40">
        <v>2999</v>
      </c>
      <c r="I13" s="40">
        <v>2999</v>
      </c>
      <c r="J13" s="40">
        <v>2999</v>
      </c>
      <c r="K13" s="40">
        <v>2999</v>
      </c>
      <c r="L13" s="40">
        <v>2999</v>
      </c>
      <c r="M13" s="40">
        <v>2999</v>
      </c>
      <c r="N13" s="40">
        <v>2999</v>
      </c>
      <c r="O13" s="40">
        <v>2999</v>
      </c>
      <c r="P13" s="40">
        <v>2999</v>
      </c>
      <c r="Q13" s="40">
        <v>2999</v>
      </c>
      <c r="R13" s="40">
        <v>2999</v>
      </c>
      <c r="S13" s="40">
        <v>2999</v>
      </c>
      <c r="T13" s="40">
        <v>2999</v>
      </c>
      <c r="U13" s="40">
        <v>2999</v>
      </c>
      <c r="V13" s="40">
        <v>2999</v>
      </c>
      <c r="W13" s="40">
        <v>2999</v>
      </c>
      <c r="X13" s="40">
        <v>2999</v>
      </c>
      <c r="Y13" s="40">
        <v>2999</v>
      </c>
      <c r="Z13" s="40">
        <v>2999</v>
      </c>
      <c r="AA13" s="40">
        <v>2999</v>
      </c>
      <c r="AB13" s="40">
        <v>2999</v>
      </c>
      <c r="AC13" s="40">
        <v>2999</v>
      </c>
      <c r="AD13" s="40">
        <v>2999</v>
      </c>
      <c r="AE13" s="40">
        <v>2999</v>
      </c>
      <c r="AF13" s="40">
        <v>2999</v>
      </c>
      <c r="AG13" s="40">
        <v>2999</v>
      </c>
      <c r="AH13" s="40">
        <v>2999</v>
      </c>
      <c r="AI13" s="40">
        <v>2999</v>
      </c>
    </row>
    <row r="14" spans="1:67" s="24" customFormat="1" ht="21.75" customHeight="1" x14ac:dyDescent="0.3">
      <c r="A14" s="72"/>
      <c r="B14" s="41"/>
      <c r="C14" s="75"/>
      <c r="D14" s="42"/>
      <c r="E14" s="42">
        <f t="shared" ref="E14:AI14" si="91">E13-D13</f>
        <v>0</v>
      </c>
      <c r="F14" s="42">
        <f t="shared" si="91"/>
        <v>0</v>
      </c>
      <c r="G14" s="42">
        <f t="shared" si="91"/>
        <v>0</v>
      </c>
      <c r="H14" s="42">
        <f t="shared" si="91"/>
        <v>0</v>
      </c>
      <c r="I14" s="42">
        <f t="shared" si="91"/>
        <v>0</v>
      </c>
      <c r="J14" s="42">
        <f t="shared" si="91"/>
        <v>0</v>
      </c>
      <c r="K14" s="42">
        <f t="shared" si="91"/>
        <v>0</v>
      </c>
      <c r="L14" s="42">
        <f t="shared" si="91"/>
        <v>0</v>
      </c>
      <c r="M14" s="42">
        <f t="shared" si="91"/>
        <v>0</v>
      </c>
      <c r="N14" s="42">
        <f t="shared" si="91"/>
        <v>0</v>
      </c>
      <c r="O14" s="42">
        <f t="shared" si="91"/>
        <v>0</v>
      </c>
      <c r="P14" s="42">
        <f t="shared" si="91"/>
        <v>0</v>
      </c>
      <c r="Q14" s="42">
        <f t="shared" si="91"/>
        <v>0</v>
      </c>
      <c r="R14" s="42">
        <f t="shared" si="91"/>
        <v>0</v>
      </c>
      <c r="S14" s="42">
        <f t="shared" si="91"/>
        <v>0</v>
      </c>
      <c r="T14" s="42">
        <f t="shared" si="91"/>
        <v>0</v>
      </c>
      <c r="U14" s="42">
        <f t="shared" si="91"/>
        <v>0</v>
      </c>
      <c r="V14" s="42">
        <f t="shared" si="91"/>
        <v>0</v>
      </c>
      <c r="W14" s="42">
        <f t="shared" si="91"/>
        <v>0</v>
      </c>
      <c r="X14" s="42">
        <f t="shared" si="91"/>
        <v>0</v>
      </c>
      <c r="Y14" s="42">
        <f t="shared" si="91"/>
        <v>0</v>
      </c>
      <c r="Z14" s="42">
        <f t="shared" si="91"/>
        <v>0</v>
      </c>
      <c r="AA14" s="42">
        <f t="shared" si="91"/>
        <v>0</v>
      </c>
      <c r="AB14" s="42">
        <f t="shared" si="91"/>
        <v>0</v>
      </c>
      <c r="AC14" s="42">
        <f t="shared" si="91"/>
        <v>0</v>
      </c>
      <c r="AD14" s="42">
        <f t="shared" si="91"/>
        <v>0</v>
      </c>
      <c r="AE14" s="42">
        <f t="shared" si="91"/>
        <v>0</v>
      </c>
      <c r="AF14" s="42">
        <f t="shared" si="91"/>
        <v>0</v>
      </c>
      <c r="AG14" s="42">
        <f t="shared" si="91"/>
        <v>0</v>
      </c>
      <c r="AH14" s="42">
        <f t="shared" si="91"/>
        <v>0</v>
      </c>
      <c r="AI14" s="42">
        <f t="shared" si="91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3">
      <c r="A15" s="67">
        <v>8</v>
      </c>
      <c r="B15" s="39" t="s">
        <v>27</v>
      </c>
      <c r="C15" s="69" t="s">
        <v>28</v>
      </c>
      <c r="D15" s="40">
        <v>322</v>
      </c>
      <c r="E15" s="40">
        <v>322</v>
      </c>
      <c r="F15" s="40">
        <v>322</v>
      </c>
      <c r="G15" s="40">
        <v>322</v>
      </c>
      <c r="H15" s="40">
        <v>322</v>
      </c>
      <c r="I15" s="40">
        <v>322</v>
      </c>
      <c r="J15" s="40">
        <v>322</v>
      </c>
      <c r="K15" s="40">
        <v>322</v>
      </c>
      <c r="L15" s="40">
        <v>322</v>
      </c>
      <c r="M15" s="40">
        <v>322</v>
      </c>
      <c r="N15" s="40">
        <v>322</v>
      </c>
      <c r="O15" s="40">
        <v>322</v>
      </c>
      <c r="P15" s="40">
        <v>322</v>
      </c>
      <c r="Q15" s="40">
        <v>322</v>
      </c>
      <c r="R15" s="40">
        <v>322</v>
      </c>
      <c r="S15" s="40">
        <v>322</v>
      </c>
      <c r="T15" s="40">
        <v>322</v>
      </c>
      <c r="U15" s="40">
        <v>323</v>
      </c>
      <c r="V15" s="40">
        <v>323</v>
      </c>
      <c r="W15" s="40">
        <v>323</v>
      </c>
      <c r="X15" s="40">
        <v>323</v>
      </c>
      <c r="Y15" s="40">
        <v>323</v>
      </c>
      <c r="Z15" s="40">
        <v>323</v>
      </c>
      <c r="AA15" s="40">
        <v>323</v>
      </c>
      <c r="AB15" s="40">
        <v>323</v>
      </c>
      <c r="AC15" s="40">
        <v>323</v>
      </c>
      <c r="AD15" s="40">
        <v>323</v>
      </c>
      <c r="AE15" s="40">
        <v>323</v>
      </c>
      <c r="AF15" s="40">
        <v>323</v>
      </c>
      <c r="AG15" s="40">
        <v>323</v>
      </c>
      <c r="AH15" s="40">
        <v>323</v>
      </c>
      <c r="AI15" s="40">
        <v>323</v>
      </c>
    </row>
    <row r="16" spans="1:67" s="24" customFormat="1" ht="21.75" customHeight="1" x14ac:dyDescent="0.3">
      <c r="A16" s="74"/>
      <c r="B16" s="41"/>
      <c r="C16" s="75"/>
      <c r="D16" s="42"/>
      <c r="E16" s="42">
        <f t="shared" ref="E16:AI16" si="92">E15-D15</f>
        <v>0</v>
      </c>
      <c r="F16" s="42">
        <f t="shared" si="92"/>
        <v>0</v>
      </c>
      <c r="G16" s="42">
        <f t="shared" si="92"/>
        <v>0</v>
      </c>
      <c r="H16" s="42">
        <f t="shared" si="92"/>
        <v>0</v>
      </c>
      <c r="I16" s="42">
        <f t="shared" si="92"/>
        <v>0</v>
      </c>
      <c r="J16" s="42">
        <f t="shared" si="92"/>
        <v>0</v>
      </c>
      <c r="K16" s="42">
        <f t="shared" si="92"/>
        <v>0</v>
      </c>
      <c r="L16" s="42">
        <f t="shared" si="92"/>
        <v>0</v>
      </c>
      <c r="M16" s="42">
        <f t="shared" si="92"/>
        <v>0</v>
      </c>
      <c r="N16" s="42">
        <f t="shared" si="92"/>
        <v>0</v>
      </c>
      <c r="O16" s="42">
        <f t="shared" si="92"/>
        <v>0</v>
      </c>
      <c r="P16" s="42">
        <f t="shared" si="92"/>
        <v>0</v>
      </c>
      <c r="Q16" s="42">
        <f t="shared" si="92"/>
        <v>0</v>
      </c>
      <c r="R16" s="42">
        <f t="shared" si="92"/>
        <v>0</v>
      </c>
      <c r="S16" s="42">
        <f t="shared" si="92"/>
        <v>0</v>
      </c>
      <c r="T16" s="42">
        <f t="shared" si="92"/>
        <v>0</v>
      </c>
      <c r="U16" s="42">
        <f t="shared" si="92"/>
        <v>1</v>
      </c>
      <c r="V16" s="42">
        <f t="shared" si="92"/>
        <v>0</v>
      </c>
      <c r="W16" s="42">
        <f t="shared" si="92"/>
        <v>0</v>
      </c>
      <c r="X16" s="42">
        <f t="shared" si="92"/>
        <v>0</v>
      </c>
      <c r="Y16" s="42">
        <f t="shared" si="92"/>
        <v>0</v>
      </c>
      <c r="Z16" s="42">
        <f t="shared" si="92"/>
        <v>0</v>
      </c>
      <c r="AA16" s="42">
        <f t="shared" si="92"/>
        <v>0</v>
      </c>
      <c r="AB16" s="42">
        <f t="shared" si="92"/>
        <v>0</v>
      </c>
      <c r="AC16" s="42">
        <f t="shared" si="92"/>
        <v>0</v>
      </c>
      <c r="AD16" s="42">
        <f t="shared" si="92"/>
        <v>0</v>
      </c>
      <c r="AE16" s="42">
        <f t="shared" si="92"/>
        <v>0</v>
      </c>
      <c r="AF16" s="42">
        <f t="shared" si="92"/>
        <v>0</v>
      </c>
      <c r="AG16" s="42">
        <f t="shared" si="92"/>
        <v>0</v>
      </c>
      <c r="AH16" s="42">
        <f t="shared" si="92"/>
        <v>0</v>
      </c>
      <c r="AI16" s="42">
        <f t="shared" si="92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3">
      <c r="A17" s="67">
        <v>13</v>
      </c>
      <c r="B17" s="39" t="s">
        <v>29</v>
      </c>
      <c r="C17" s="69" t="s">
        <v>30</v>
      </c>
      <c r="D17" s="40">
        <v>1099446</v>
      </c>
      <c r="E17" s="40">
        <v>1099615</v>
      </c>
      <c r="F17" s="40">
        <v>1099787</v>
      </c>
      <c r="G17" s="40">
        <v>1099977</v>
      </c>
      <c r="H17" s="40">
        <v>1100158</v>
      </c>
      <c r="I17" s="40">
        <v>1100364</v>
      </c>
      <c r="J17" s="40">
        <v>1100534</v>
      </c>
      <c r="K17" s="40">
        <v>1100707</v>
      </c>
      <c r="L17" s="40">
        <v>1100872</v>
      </c>
      <c r="M17" s="40">
        <v>1101055</v>
      </c>
      <c r="N17" s="40">
        <v>1101225</v>
      </c>
      <c r="O17" s="40">
        <v>1101400</v>
      </c>
      <c r="P17" s="40">
        <v>1101568</v>
      </c>
      <c r="Q17" s="40">
        <v>1101747</v>
      </c>
      <c r="R17" s="40">
        <v>1101923</v>
      </c>
      <c r="S17" s="40">
        <v>1102091</v>
      </c>
      <c r="T17" s="40">
        <v>1102266</v>
      </c>
      <c r="U17" s="40">
        <v>1102429</v>
      </c>
      <c r="V17" s="40">
        <v>1102596</v>
      </c>
      <c r="W17" s="40">
        <v>1102761</v>
      </c>
      <c r="X17" s="40">
        <v>1102916</v>
      </c>
      <c r="Y17" s="40">
        <v>1103068</v>
      </c>
      <c r="Z17" s="40">
        <v>1103223</v>
      </c>
      <c r="AA17" s="40">
        <v>1103387</v>
      </c>
      <c r="AB17" s="40">
        <v>1103548</v>
      </c>
      <c r="AC17" s="40">
        <v>1103707</v>
      </c>
      <c r="AD17" s="40">
        <v>1103867</v>
      </c>
      <c r="AE17" s="40">
        <v>1104018</v>
      </c>
      <c r="AF17" s="40">
        <v>1104167</v>
      </c>
      <c r="AG17" s="40">
        <v>1104327</v>
      </c>
      <c r="AH17" s="40">
        <v>1104483</v>
      </c>
      <c r="AI17" s="40">
        <v>1104658</v>
      </c>
    </row>
    <row r="18" spans="1:35" ht="21.75" customHeight="1" x14ac:dyDescent="0.3">
      <c r="A18" s="68"/>
      <c r="B18" s="43"/>
      <c r="C18" s="70"/>
      <c r="D18" s="42"/>
      <c r="E18" s="42">
        <f t="shared" ref="E18:AI18" si="93">E17-D17</f>
        <v>169</v>
      </c>
      <c r="F18" s="42">
        <f t="shared" si="93"/>
        <v>172</v>
      </c>
      <c r="G18" s="42">
        <f t="shared" si="93"/>
        <v>190</v>
      </c>
      <c r="H18" s="42">
        <f t="shared" si="93"/>
        <v>181</v>
      </c>
      <c r="I18" s="42">
        <f t="shared" si="93"/>
        <v>206</v>
      </c>
      <c r="J18" s="42">
        <f t="shared" si="93"/>
        <v>170</v>
      </c>
      <c r="K18" s="42">
        <f t="shared" si="93"/>
        <v>173</v>
      </c>
      <c r="L18" s="42">
        <f t="shared" si="93"/>
        <v>165</v>
      </c>
      <c r="M18" s="42">
        <f t="shared" si="93"/>
        <v>183</v>
      </c>
      <c r="N18" s="42">
        <f t="shared" si="93"/>
        <v>170</v>
      </c>
      <c r="O18" s="42">
        <f t="shared" si="93"/>
        <v>175</v>
      </c>
      <c r="P18" s="42">
        <f t="shared" si="93"/>
        <v>168</v>
      </c>
      <c r="Q18" s="42">
        <f t="shared" si="93"/>
        <v>179</v>
      </c>
      <c r="R18" s="42">
        <f t="shared" si="93"/>
        <v>176</v>
      </c>
      <c r="S18" s="42">
        <f t="shared" si="93"/>
        <v>168</v>
      </c>
      <c r="T18" s="42">
        <f t="shared" si="93"/>
        <v>175</v>
      </c>
      <c r="U18" s="42">
        <f t="shared" si="93"/>
        <v>163</v>
      </c>
      <c r="V18" s="42">
        <f t="shared" si="93"/>
        <v>167</v>
      </c>
      <c r="W18" s="42">
        <f t="shared" si="93"/>
        <v>165</v>
      </c>
      <c r="X18" s="42">
        <f t="shared" si="93"/>
        <v>155</v>
      </c>
      <c r="Y18" s="42">
        <f t="shared" si="93"/>
        <v>152</v>
      </c>
      <c r="Z18" s="42">
        <f t="shared" si="93"/>
        <v>155</v>
      </c>
      <c r="AA18" s="42">
        <f t="shared" si="93"/>
        <v>164</v>
      </c>
      <c r="AB18" s="42">
        <f t="shared" si="93"/>
        <v>161</v>
      </c>
      <c r="AC18" s="42">
        <f t="shared" si="93"/>
        <v>159</v>
      </c>
      <c r="AD18" s="42">
        <f t="shared" si="93"/>
        <v>160</v>
      </c>
      <c r="AE18" s="42">
        <f t="shared" si="93"/>
        <v>151</v>
      </c>
      <c r="AF18" s="42">
        <f t="shared" si="93"/>
        <v>149</v>
      </c>
      <c r="AG18" s="42">
        <f t="shared" si="93"/>
        <v>160</v>
      </c>
      <c r="AH18" s="42">
        <f t="shared" si="93"/>
        <v>156</v>
      </c>
      <c r="AI18" s="42">
        <f t="shared" si="93"/>
        <v>175</v>
      </c>
    </row>
    <row r="19" spans="1:35" ht="21.75" customHeight="1" x14ac:dyDescent="0.3">
      <c r="A19" s="71">
        <v>14</v>
      </c>
      <c r="B19" s="39" t="s">
        <v>31</v>
      </c>
      <c r="C19" s="69" t="s">
        <v>32</v>
      </c>
      <c r="D19" s="40">
        <v>323224</v>
      </c>
      <c r="E19" s="40">
        <v>323258</v>
      </c>
      <c r="F19" s="40">
        <v>323294</v>
      </c>
      <c r="G19" s="40">
        <v>323329</v>
      </c>
      <c r="H19" s="40">
        <v>323364</v>
      </c>
      <c r="I19" s="40">
        <v>323398</v>
      </c>
      <c r="J19" s="40">
        <v>323435</v>
      </c>
      <c r="K19" s="40">
        <v>323470</v>
      </c>
      <c r="L19" s="40">
        <v>323504</v>
      </c>
      <c r="M19" s="40">
        <v>323539</v>
      </c>
      <c r="N19" s="40">
        <v>323574</v>
      </c>
      <c r="O19" s="40">
        <v>323608</v>
      </c>
      <c r="P19" s="40">
        <v>323642</v>
      </c>
      <c r="Q19" s="40">
        <v>323675</v>
      </c>
      <c r="R19" s="40">
        <v>323710</v>
      </c>
      <c r="S19" s="40">
        <v>323743</v>
      </c>
      <c r="T19" s="40">
        <v>323778</v>
      </c>
      <c r="U19" s="40">
        <v>323811</v>
      </c>
      <c r="V19" s="40">
        <v>323845</v>
      </c>
      <c r="W19" s="40">
        <v>323878</v>
      </c>
      <c r="X19" s="40">
        <v>323915</v>
      </c>
      <c r="Y19" s="40">
        <v>323953</v>
      </c>
      <c r="Z19" s="40">
        <v>323990</v>
      </c>
      <c r="AA19" s="40">
        <v>324025</v>
      </c>
      <c r="AB19" s="40">
        <v>324062</v>
      </c>
      <c r="AC19" s="40">
        <v>324099</v>
      </c>
      <c r="AD19" s="40">
        <v>324135</v>
      </c>
      <c r="AE19" s="40">
        <v>324177</v>
      </c>
      <c r="AF19" s="40">
        <v>324216</v>
      </c>
      <c r="AG19" s="40">
        <v>324253</v>
      </c>
      <c r="AH19" s="40">
        <v>324289</v>
      </c>
      <c r="AI19" s="40">
        <v>324327</v>
      </c>
    </row>
    <row r="20" spans="1:35" ht="21.75" customHeight="1" x14ac:dyDescent="0.3">
      <c r="A20" s="72"/>
      <c r="B20" s="43"/>
      <c r="C20" s="70"/>
      <c r="D20" s="42"/>
      <c r="E20" s="42">
        <f t="shared" ref="E20:AI20" si="94">E19-D19</f>
        <v>34</v>
      </c>
      <c r="F20" s="42">
        <f t="shared" si="94"/>
        <v>36</v>
      </c>
      <c r="G20" s="42">
        <f t="shared" si="94"/>
        <v>35</v>
      </c>
      <c r="H20" s="42">
        <f t="shared" si="94"/>
        <v>35</v>
      </c>
      <c r="I20" s="42">
        <f t="shared" si="94"/>
        <v>34</v>
      </c>
      <c r="J20" s="42">
        <f t="shared" si="94"/>
        <v>37</v>
      </c>
      <c r="K20" s="42">
        <f t="shared" si="94"/>
        <v>35</v>
      </c>
      <c r="L20" s="42">
        <f t="shared" si="94"/>
        <v>34</v>
      </c>
      <c r="M20" s="42">
        <f t="shared" si="94"/>
        <v>35</v>
      </c>
      <c r="N20" s="42">
        <f t="shared" si="94"/>
        <v>35</v>
      </c>
      <c r="O20" s="42">
        <f t="shared" si="94"/>
        <v>34</v>
      </c>
      <c r="P20" s="42">
        <f t="shared" si="94"/>
        <v>34</v>
      </c>
      <c r="Q20" s="42">
        <f t="shared" si="94"/>
        <v>33</v>
      </c>
      <c r="R20" s="42">
        <f t="shared" si="94"/>
        <v>35</v>
      </c>
      <c r="S20" s="42">
        <f t="shared" si="94"/>
        <v>33</v>
      </c>
      <c r="T20" s="42">
        <f t="shared" si="94"/>
        <v>35</v>
      </c>
      <c r="U20" s="42">
        <f t="shared" si="94"/>
        <v>33</v>
      </c>
      <c r="V20" s="42">
        <f t="shared" si="94"/>
        <v>34</v>
      </c>
      <c r="W20" s="42">
        <f t="shared" si="94"/>
        <v>33</v>
      </c>
      <c r="X20" s="42">
        <f t="shared" si="94"/>
        <v>37</v>
      </c>
      <c r="Y20" s="42">
        <f t="shared" si="94"/>
        <v>38</v>
      </c>
      <c r="Z20" s="42">
        <f t="shared" si="94"/>
        <v>37</v>
      </c>
      <c r="AA20" s="42">
        <f t="shared" si="94"/>
        <v>35</v>
      </c>
      <c r="AB20" s="42">
        <f t="shared" si="94"/>
        <v>37</v>
      </c>
      <c r="AC20" s="42">
        <f t="shared" si="94"/>
        <v>37</v>
      </c>
      <c r="AD20" s="42">
        <f t="shared" si="94"/>
        <v>36</v>
      </c>
      <c r="AE20" s="42">
        <f t="shared" si="94"/>
        <v>42</v>
      </c>
      <c r="AF20" s="42">
        <f t="shared" si="94"/>
        <v>39</v>
      </c>
      <c r="AG20" s="42">
        <f t="shared" si="94"/>
        <v>37</v>
      </c>
      <c r="AH20" s="42">
        <f t="shared" si="94"/>
        <v>36</v>
      </c>
      <c r="AI20" s="42">
        <f t="shared" si="94"/>
        <v>38</v>
      </c>
    </row>
    <row r="21" spans="1:35" ht="27" customHeight="1" x14ac:dyDescent="0.3">
      <c r="B21" s="73" t="s">
        <v>33</v>
      </c>
      <c r="C21" s="73"/>
      <c r="D21" s="44"/>
      <c r="E21" s="58">
        <f>((E6+E8)+((E10+E12)*40%)+(E14+E16+E18+E20))</f>
        <v>30003</v>
      </c>
      <c r="F21" s="58">
        <f t="shared" ref="F21:AI21" si="95">((F6+F8)+((F10+F12)*40%)+(F14+F16+F18+F20))</f>
        <v>31208</v>
      </c>
      <c r="G21" s="58">
        <f t="shared" si="95"/>
        <v>34825</v>
      </c>
      <c r="H21" s="58">
        <f t="shared" si="95"/>
        <v>33016</v>
      </c>
      <c r="I21" s="58">
        <f t="shared" si="95"/>
        <v>33240</v>
      </c>
      <c r="J21" s="58">
        <f t="shared" si="95"/>
        <v>34607</v>
      </c>
      <c r="K21" s="58">
        <f t="shared" si="95"/>
        <v>31208</v>
      </c>
      <c r="L21" s="58">
        <f t="shared" si="95"/>
        <v>29799</v>
      </c>
      <c r="M21" s="58">
        <f t="shared" si="95"/>
        <v>31218</v>
      </c>
      <c r="N21" s="58">
        <f t="shared" si="95"/>
        <v>30805</v>
      </c>
      <c r="O21" s="58">
        <f t="shared" si="95"/>
        <v>29809</v>
      </c>
      <c r="P21" s="58">
        <f t="shared" si="95"/>
        <v>29402</v>
      </c>
      <c r="Q21" s="58">
        <f t="shared" si="95"/>
        <v>28812</v>
      </c>
      <c r="R21" s="58">
        <f t="shared" si="95"/>
        <v>29811</v>
      </c>
      <c r="S21" s="58">
        <f t="shared" si="95"/>
        <v>28801</v>
      </c>
      <c r="T21" s="58">
        <f t="shared" si="95"/>
        <v>29810</v>
      </c>
      <c r="U21" s="58">
        <f t="shared" si="95"/>
        <v>30197</v>
      </c>
      <c r="V21" s="58">
        <f t="shared" si="95"/>
        <v>28401</v>
      </c>
      <c r="W21" s="58">
        <f t="shared" si="95"/>
        <v>30198</v>
      </c>
      <c r="X21" s="58">
        <f t="shared" si="95"/>
        <v>29792</v>
      </c>
      <c r="Y21" s="58">
        <f t="shared" si="95"/>
        <v>27790</v>
      </c>
      <c r="Z21" s="58">
        <f t="shared" si="95"/>
        <v>29192</v>
      </c>
      <c r="AA21" s="58">
        <f t="shared" si="95"/>
        <v>28399</v>
      </c>
      <c r="AB21" s="58">
        <f t="shared" si="95"/>
        <v>29398</v>
      </c>
      <c r="AC21" s="58">
        <f t="shared" si="95"/>
        <v>28396</v>
      </c>
      <c r="AD21" s="58">
        <f t="shared" si="95"/>
        <v>29396</v>
      </c>
      <c r="AE21" s="58">
        <f t="shared" si="95"/>
        <v>27993</v>
      </c>
      <c r="AF21" s="58">
        <f t="shared" si="95"/>
        <v>27988</v>
      </c>
      <c r="AG21" s="58">
        <f t="shared" si="95"/>
        <v>26597</v>
      </c>
      <c r="AH21" s="58">
        <f t="shared" si="95"/>
        <v>28392</v>
      </c>
      <c r="AI21" s="58">
        <f t="shared" si="95"/>
        <v>29813</v>
      </c>
    </row>
    <row r="22" spans="1:35" ht="27" customHeight="1" x14ac:dyDescent="0.3">
      <c r="B22" s="66" t="s">
        <v>34</v>
      </c>
      <c r="C22" s="66"/>
      <c r="D22" s="44"/>
      <c r="E22" s="58">
        <f>SUM(E21:AI21)</f>
        <v>928316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topLeftCell="B5" zoomScale="115" zoomScaleNormal="115" workbookViewId="0">
      <selection activeCell="E16" sqref="E16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35" customWidth="1"/>
    <col min="4" max="6" width="10.109375" style="8" customWidth="1"/>
    <col min="7" max="35" width="10.109375" style="2" customWidth="1"/>
    <col min="36" max="16384" width="9.109375" style="2"/>
  </cols>
  <sheetData>
    <row r="2" spans="1:42" s="8" customFormat="1" ht="25.65" customHeight="1" x14ac:dyDescent="0.5">
      <c r="B2" s="89" t="s">
        <v>85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5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5">
      <c r="A4" s="15" t="s">
        <v>13</v>
      </c>
      <c r="B4" s="27" t="s">
        <v>35</v>
      </c>
      <c r="C4" s="27" t="s">
        <v>15</v>
      </c>
      <c r="D4" s="28" t="s">
        <v>36</v>
      </c>
      <c r="E4" s="29" t="s">
        <v>37</v>
      </c>
      <c r="F4" s="29" t="s">
        <v>38</v>
      </c>
      <c r="G4" s="29" t="s">
        <v>39</v>
      </c>
      <c r="H4" s="29" t="s">
        <v>40</v>
      </c>
      <c r="I4" s="29" t="s">
        <v>41</v>
      </c>
      <c r="J4" s="29" t="s">
        <v>42</v>
      </c>
      <c r="K4" s="29" t="s">
        <v>43</v>
      </c>
      <c r="L4" s="29" t="s">
        <v>44</v>
      </c>
      <c r="M4" s="29" t="s">
        <v>45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54</v>
      </c>
      <c r="W4" s="29" t="s">
        <v>55</v>
      </c>
      <c r="X4" s="29" t="s">
        <v>56</v>
      </c>
      <c r="Y4" s="29" t="s">
        <v>57</v>
      </c>
      <c r="Z4" s="29" t="s">
        <v>58</v>
      </c>
      <c r="AA4" s="29" t="s">
        <v>59</v>
      </c>
      <c r="AB4" s="29" t="s">
        <v>60</v>
      </c>
      <c r="AC4" s="29" t="s">
        <v>61</v>
      </c>
      <c r="AD4" s="29" t="s">
        <v>62</v>
      </c>
      <c r="AE4" s="29" t="s">
        <v>63</v>
      </c>
      <c r="AF4" s="29" t="s">
        <v>64</v>
      </c>
      <c r="AG4" s="29" t="s">
        <v>65</v>
      </c>
      <c r="AH4" s="29" t="s">
        <v>66</v>
      </c>
      <c r="AI4" s="29" t="s">
        <v>67</v>
      </c>
    </row>
    <row r="5" spans="1:42" s="8" customFormat="1" ht="40.5" customHeight="1" thickBot="1" x14ac:dyDescent="0.35">
      <c r="A5" s="92" t="s">
        <v>37</v>
      </c>
      <c r="B5" s="27" t="s">
        <v>68</v>
      </c>
      <c r="C5" s="94" t="s">
        <v>69</v>
      </c>
      <c r="D5" s="31">
        <v>186905.8</v>
      </c>
      <c r="E5" s="31">
        <v>187077.4</v>
      </c>
      <c r="F5" s="31">
        <v>187307.7</v>
      </c>
      <c r="G5" s="31">
        <v>187542.1</v>
      </c>
      <c r="H5" s="31">
        <v>187744.2</v>
      </c>
      <c r="I5" s="31">
        <v>187907.20000000001</v>
      </c>
      <c r="J5" s="31">
        <v>188128</v>
      </c>
      <c r="K5" s="31">
        <v>188317.7</v>
      </c>
      <c r="L5" s="31">
        <v>188501.6</v>
      </c>
      <c r="M5" s="31">
        <v>188683.6</v>
      </c>
      <c r="N5" s="31">
        <v>188851.3</v>
      </c>
      <c r="O5" s="31">
        <v>189028</v>
      </c>
      <c r="P5" s="31">
        <v>189209.4</v>
      </c>
      <c r="Q5" s="31">
        <v>189366.5</v>
      </c>
      <c r="R5" s="31">
        <v>189555.3</v>
      </c>
      <c r="S5" s="31">
        <v>189728.5</v>
      </c>
      <c r="T5" s="31">
        <v>189893.5</v>
      </c>
      <c r="U5" s="31">
        <v>190051</v>
      </c>
      <c r="V5" s="31">
        <v>190214.7</v>
      </c>
      <c r="W5" s="31">
        <v>190387.5</v>
      </c>
      <c r="X5" s="31">
        <v>190544.8</v>
      </c>
      <c r="Y5" s="31">
        <v>190695.8</v>
      </c>
      <c r="Z5" s="31">
        <v>190863.8</v>
      </c>
      <c r="AA5" s="31">
        <v>191022.6</v>
      </c>
      <c r="AB5" s="31">
        <v>191191.3</v>
      </c>
      <c r="AC5" s="31">
        <v>191356.4</v>
      </c>
      <c r="AD5" s="31">
        <v>191512.5</v>
      </c>
      <c r="AE5" s="31">
        <v>191683.6</v>
      </c>
      <c r="AF5" s="31">
        <v>191838</v>
      </c>
      <c r="AG5" s="31">
        <v>191998.3</v>
      </c>
      <c r="AH5" s="31">
        <v>192164.4</v>
      </c>
      <c r="AI5" s="31">
        <v>192349.5</v>
      </c>
    </row>
    <row r="6" spans="1:42" s="34" customFormat="1" ht="25.65" customHeight="1" thickBot="1" x14ac:dyDescent="0.35">
      <c r="A6" s="93"/>
      <c r="B6" s="32"/>
      <c r="C6" s="94"/>
      <c r="D6" s="33"/>
      <c r="E6" s="33">
        <f t="shared" ref="E6:AI6" si="0">E5-D5</f>
        <v>171.60000000000582</v>
      </c>
      <c r="F6" s="33">
        <f t="shared" si="0"/>
        <v>230.30000000001746</v>
      </c>
      <c r="G6" s="33">
        <f>G5-F5</f>
        <v>234.39999999999418</v>
      </c>
      <c r="H6" s="33">
        <f t="shared" si="0"/>
        <v>202.10000000000582</v>
      </c>
      <c r="I6" s="33">
        <f t="shared" si="0"/>
        <v>163</v>
      </c>
      <c r="J6" s="33">
        <f t="shared" si="0"/>
        <v>220.79999999998836</v>
      </c>
      <c r="K6" s="33">
        <f t="shared" si="0"/>
        <v>189.70000000001164</v>
      </c>
      <c r="L6" s="33">
        <f t="shared" si="0"/>
        <v>183.89999999999418</v>
      </c>
      <c r="M6" s="33">
        <f t="shared" si="0"/>
        <v>182</v>
      </c>
      <c r="N6" s="33">
        <f t="shared" si="0"/>
        <v>167.69999999998254</v>
      </c>
      <c r="O6" s="33">
        <f t="shared" si="0"/>
        <v>176.70000000001164</v>
      </c>
      <c r="P6" s="33">
        <f t="shared" si="0"/>
        <v>181.39999999999418</v>
      </c>
      <c r="Q6" s="33">
        <f t="shared" si="0"/>
        <v>157.10000000000582</v>
      </c>
      <c r="R6" s="33">
        <f t="shared" si="0"/>
        <v>188.79999999998836</v>
      </c>
      <c r="S6" s="33">
        <f t="shared" si="0"/>
        <v>173.20000000001164</v>
      </c>
      <c r="T6" s="33">
        <f t="shared" si="0"/>
        <v>165</v>
      </c>
      <c r="U6" s="33">
        <f t="shared" si="0"/>
        <v>157.5</v>
      </c>
      <c r="V6" s="33">
        <f t="shared" si="0"/>
        <v>163.70000000001164</v>
      </c>
      <c r="W6" s="33">
        <f t="shared" si="0"/>
        <v>172.79999999998836</v>
      </c>
      <c r="X6" s="33">
        <f t="shared" si="0"/>
        <v>157.29999999998836</v>
      </c>
      <c r="Y6" s="33">
        <f t="shared" si="0"/>
        <v>151</v>
      </c>
      <c r="Z6" s="33">
        <f t="shared" si="0"/>
        <v>168</v>
      </c>
      <c r="AA6" s="33">
        <f t="shared" si="0"/>
        <v>158.80000000001746</v>
      </c>
      <c r="AB6" s="33">
        <f t="shared" si="0"/>
        <v>168.69999999998254</v>
      </c>
      <c r="AC6" s="33">
        <f t="shared" si="0"/>
        <v>165.10000000000582</v>
      </c>
      <c r="AD6" s="33">
        <f t="shared" si="0"/>
        <v>156.10000000000582</v>
      </c>
      <c r="AE6" s="33">
        <f t="shared" si="0"/>
        <v>171.10000000000582</v>
      </c>
      <c r="AF6" s="33">
        <f t="shared" si="0"/>
        <v>154.39999999999418</v>
      </c>
      <c r="AG6" s="33">
        <f>AG5-AF5</f>
        <v>160.29999999998836</v>
      </c>
      <c r="AH6" s="33">
        <f t="shared" si="0"/>
        <v>166.10000000000582</v>
      </c>
      <c r="AI6" s="33">
        <f t="shared" si="0"/>
        <v>185.10000000000582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3">
      <c r="A7" s="92" t="s">
        <v>39</v>
      </c>
      <c r="B7" s="49" t="s">
        <v>70</v>
      </c>
      <c r="C7" s="94" t="s">
        <v>71</v>
      </c>
      <c r="D7" s="31">
        <v>248741.2</v>
      </c>
      <c r="E7" s="31">
        <v>252080.9</v>
      </c>
      <c r="F7" s="31">
        <v>252080.9</v>
      </c>
      <c r="G7" s="31">
        <v>252080.9</v>
      </c>
      <c r="H7" s="31">
        <v>252080.9</v>
      </c>
      <c r="I7" s="31">
        <v>252080.9</v>
      </c>
      <c r="J7" s="31">
        <v>252080.9</v>
      </c>
      <c r="K7" s="31">
        <v>252302.5</v>
      </c>
      <c r="L7" s="31">
        <v>252418.2</v>
      </c>
      <c r="M7" s="31">
        <v>252611.9</v>
      </c>
      <c r="N7" s="31">
        <v>252737.7</v>
      </c>
      <c r="O7" s="31">
        <v>252861.3</v>
      </c>
      <c r="P7" s="31">
        <v>253026.2</v>
      </c>
      <c r="Q7" s="31">
        <v>253146.2</v>
      </c>
      <c r="R7" s="31">
        <v>253245</v>
      </c>
      <c r="S7" s="31">
        <v>253445</v>
      </c>
      <c r="T7" s="31">
        <v>253543.5</v>
      </c>
      <c r="U7" s="31">
        <v>253744.4</v>
      </c>
      <c r="V7" s="31">
        <v>253842.5</v>
      </c>
      <c r="W7" s="99">
        <v>253842.5</v>
      </c>
      <c r="X7" s="99">
        <v>253842.5</v>
      </c>
      <c r="Y7" s="99">
        <v>253842.5</v>
      </c>
      <c r="Z7" s="99">
        <v>253842.5</v>
      </c>
      <c r="AA7" s="99">
        <v>253842.5</v>
      </c>
      <c r="AB7" s="99">
        <v>254739.8</v>
      </c>
      <c r="AC7" s="31">
        <v>254849.5</v>
      </c>
      <c r="AD7" s="31">
        <v>255023.8</v>
      </c>
      <c r="AE7" s="31">
        <v>255125</v>
      </c>
      <c r="AF7" s="31">
        <v>255163.3</v>
      </c>
      <c r="AG7" s="31">
        <v>255313.9</v>
      </c>
      <c r="AH7" s="31">
        <v>255448.2</v>
      </c>
      <c r="AI7" s="31">
        <v>255643.8</v>
      </c>
    </row>
    <row r="8" spans="1:42" s="34" customFormat="1" ht="25.65" customHeight="1" x14ac:dyDescent="0.3">
      <c r="A8" s="93"/>
      <c r="B8" s="47"/>
      <c r="C8" s="94"/>
      <c r="D8" s="65">
        <v>0</v>
      </c>
      <c r="E8" s="33">
        <f t="shared" ref="E8" si="1">E7-D7</f>
        <v>3339.6999999999825</v>
      </c>
      <c r="F8" s="33">
        <f t="shared" ref="F8" si="2">F7-E7</f>
        <v>0</v>
      </c>
      <c r="G8" s="33">
        <f t="shared" ref="G8" si="3">G7-F7</f>
        <v>0</v>
      </c>
      <c r="H8" s="33">
        <f t="shared" ref="H8" si="4">H7-G7</f>
        <v>0</v>
      </c>
      <c r="I8" s="33">
        <f t="shared" ref="G8:AA8" si="5">I7-H7</f>
        <v>0</v>
      </c>
      <c r="J8" s="33">
        <f t="shared" si="5"/>
        <v>0</v>
      </c>
      <c r="K8" s="33">
        <f t="shared" si="5"/>
        <v>221.60000000000582</v>
      </c>
      <c r="L8" s="33">
        <f t="shared" si="5"/>
        <v>115.70000000001164</v>
      </c>
      <c r="M8" s="33">
        <f t="shared" si="5"/>
        <v>193.69999999998254</v>
      </c>
      <c r="N8" s="33">
        <f t="shared" si="5"/>
        <v>125.80000000001746</v>
      </c>
      <c r="O8" s="33">
        <f t="shared" si="5"/>
        <v>123.59999999997672</v>
      </c>
      <c r="P8" s="33">
        <f t="shared" si="5"/>
        <v>164.90000000002328</v>
      </c>
      <c r="Q8" s="33">
        <f t="shared" si="5"/>
        <v>120</v>
      </c>
      <c r="R8" s="33">
        <f t="shared" si="5"/>
        <v>98.799999999988358</v>
      </c>
      <c r="S8" s="33">
        <f t="shared" si="5"/>
        <v>200</v>
      </c>
      <c r="T8" s="33">
        <f t="shared" si="5"/>
        <v>98.5</v>
      </c>
      <c r="U8" s="33">
        <f t="shared" si="5"/>
        <v>200.89999999999418</v>
      </c>
      <c r="V8" s="33">
        <f t="shared" si="5"/>
        <v>98.100000000005821</v>
      </c>
      <c r="W8" s="33">
        <f t="shared" si="5"/>
        <v>0</v>
      </c>
      <c r="X8" s="33">
        <f t="shared" ref="X8" si="6">X7-W7</f>
        <v>0</v>
      </c>
      <c r="Y8" s="33">
        <f t="shared" ref="Y8" si="7">Y7-X7</f>
        <v>0</v>
      </c>
      <c r="Z8" s="33">
        <f t="shared" ref="Z8" si="8">Z7-Y7</f>
        <v>0</v>
      </c>
      <c r="AA8" s="33">
        <f t="shared" ref="AA8" si="9">AA7-Z7</f>
        <v>0</v>
      </c>
      <c r="AB8" s="33">
        <f t="shared" ref="AB8" si="10">AB7-AA7</f>
        <v>897.29999999998836</v>
      </c>
      <c r="AC8" s="33">
        <f t="shared" ref="AC8:AI8" si="11">AC7-AB7</f>
        <v>109.70000000001164</v>
      </c>
      <c r="AD8" s="33">
        <f t="shared" si="11"/>
        <v>174.29999999998836</v>
      </c>
      <c r="AE8" s="33">
        <f t="shared" si="11"/>
        <v>101.20000000001164</v>
      </c>
      <c r="AF8" s="33">
        <f t="shared" si="11"/>
        <v>38.299999999988358</v>
      </c>
      <c r="AG8" s="33">
        <f t="shared" si="11"/>
        <v>150.60000000000582</v>
      </c>
      <c r="AH8" s="33">
        <f t="shared" si="11"/>
        <v>134.30000000001746</v>
      </c>
      <c r="AI8" s="33">
        <f t="shared" si="11"/>
        <v>195.59999999997672</v>
      </c>
      <c r="AJ8" s="8"/>
      <c r="AK8" s="8"/>
      <c r="AL8" s="8"/>
      <c r="AM8" s="8"/>
      <c r="AN8" s="8"/>
      <c r="AO8" s="8"/>
      <c r="AP8" s="8"/>
    </row>
    <row r="9" spans="1:42" s="8" customFormat="1" ht="25.65" customHeight="1" x14ac:dyDescent="0.3">
      <c r="A9" s="92">
        <v>4</v>
      </c>
      <c r="B9" s="46" t="s">
        <v>72</v>
      </c>
      <c r="C9" s="94" t="s">
        <v>73</v>
      </c>
      <c r="D9" s="31">
        <v>71270</v>
      </c>
      <c r="E9" s="31">
        <v>71271</v>
      </c>
      <c r="F9" s="31">
        <v>71271</v>
      </c>
      <c r="G9" s="31">
        <v>71345</v>
      </c>
      <c r="H9" s="31">
        <v>71436</v>
      </c>
      <c r="I9" s="31">
        <v>71436</v>
      </c>
      <c r="J9" s="31">
        <v>71468</v>
      </c>
      <c r="K9" s="31">
        <v>71557</v>
      </c>
      <c r="L9" s="31">
        <v>71561</v>
      </c>
      <c r="M9" s="31">
        <v>71645</v>
      </c>
      <c r="N9" s="31">
        <v>71668</v>
      </c>
      <c r="O9" s="31">
        <v>71669</v>
      </c>
      <c r="P9" s="31">
        <v>71736</v>
      </c>
      <c r="Q9" s="31">
        <v>71757</v>
      </c>
      <c r="R9" s="31">
        <v>71758</v>
      </c>
      <c r="S9" s="31">
        <v>71850</v>
      </c>
      <c r="T9" s="31">
        <v>71855</v>
      </c>
      <c r="U9" s="31">
        <v>71963</v>
      </c>
      <c r="V9" s="31">
        <v>71966</v>
      </c>
      <c r="W9" s="31">
        <v>72041</v>
      </c>
      <c r="X9" s="31">
        <v>72049</v>
      </c>
      <c r="Y9" s="31">
        <v>72052</v>
      </c>
      <c r="Z9" s="31">
        <v>72145</v>
      </c>
      <c r="AA9" s="31">
        <v>72154</v>
      </c>
      <c r="AB9" s="31">
        <v>72253</v>
      </c>
      <c r="AC9" s="31">
        <v>72255</v>
      </c>
      <c r="AD9" s="31">
        <v>72340</v>
      </c>
      <c r="AE9" s="31">
        <v>72342</v>
      </c>
      <c r="AF9" s="31">
        <v>72342</v>
      </c>
      <c r="AG9" s="31">
        <v>72415</v>
      </c>
      <c r="AH9" s="31">
        <v>72453</v>
      </c>
      <c r="AI9" s="31">
        <v>72572</v>
      </c>
    </row>
    <row r="10" spans="1:42" s="34" customFormat="1" ht="25.65" customHeight="1" x14ac:dyDescent="0.3">
      <c r="A10" s="93"/>
      <c r="B10" s="47"/>
      <c r="C10" s="94"/>
      <c r="D10" s="33"/>
      <c r="E10" s="33">
        <f t="shared" ref="E10:AI10" si="12">E9-D9</f>
        <v>1</v>
      </c>
      <c r="F10" s="33">
        <f t="shared" si="12"/>
        <v>0</v>
      </c>
      <c r="G10" s="33">
        <f t="shared" si="12"/>
        <v>74</v>
      </c>
      <c r="H10" s="33">
        <f t="shared" si="12"/>
        <v>91</v>
      </c>
      <c r="I10" s="33">
        <f t="shared" si="12"/>
        <v>0</v>
      </c>
      <c r="J10" s="33">
        <f t="shared" si="12"/>
        <v>32</v>
      </c>
      <c r="K10" s="33">
        <f t="shared" si="12"/>
        <v>89</v>
      </c>
      <c r="L10" s="33">
        <f t="shared" si="12"/>
        <v>4</v>
      </c>
      <c r="M10" s="33">
        <f t="shared" si="12"/>
        <v>84</v>
      </c>
      <c r="N10" s="33">
        <f t="shared" si="12"/>
        <v>23</v>
      </c>
      <c r="O10" s="33">
        <f t="shared" si="12"/>
        <v>1</v>
      </c>
      <c r="P10" s="33">
        <f t="shared" si="12"/>
        <v>67</v>
      </c>
      <c r="Q10" s="33">
        <f t="shared" si="12"/>
        <v>21</v>
      </c>
      <c r="R10" s="33">
        <f t="shared" si="12"/>
        <v>1</v>
      </c>
      <c r="S10" s="33">
        <f t="shared" si="12"/>
        <v>92</v>
      </c>
      <c r="T10" s="33">
        <f t="shared" si="12"/>
        <v>5</v>
      </c>
      <c r="U10" s="33">
        <f t="shared" si="12"/>
        <v>108</v>
      </c>
      <c r="V10" s="33">
        <f t="shared" si="12"/>
        <v>3</v>
      </c>
      <c r="W10" s="33">
        <f t="shared" si="12"/>
        <v>75</v>
      </c>
      <c r="X10" s="33">
        <f t="shared" si="12"/>
        <v>8</v>
      </c>
      <c r="Y10" s="33">
        <f t="shared" si="12"/>
        <v>3</v>
      </c>
      <c r="Z10" s="33">
        <f t="shared" si="12"/>
        <v>93</v>
      </c>
      <c r="AA10" s="33">
        <f t="shared" si="12"/>
        <v>9</v>
      </c>
      <c r="AB10" s="33">
        <f t="shared" si="12"/>
        <v>99</v>
      </c>
      <c r="AC10" s="33">
        <f t="shared" si="12"/>
        <v>2</v>
      </c>
      <c r="AD10" s="33">
        <f t="shared" si="12"/>
        <v>85</v>
      </c>
      <c r="AE10" s="33">
        <f t="shared" si="12"/>
        <v>2</v>
      </c>
      <c r="AF10" s="33">
        <f t="shared" si="12"/>
        <v>0</v>
      </c>
      <c r="AG10" s="33">
        <f t="shared" si="12"/>
        <v>73</v>
      </c>
      <c r="AH10" s="33">
        <f t="shared" si="12"/>
        <v>38</v>
      </c>
      <c r="AI10" s="33">
        <f t="shared" si="12"/>
        <v>119</v>
      </c>
      <c r="AJ10" s="8"/>
      <c r="AK10" s="8"/>
      <c r="AL10" s="8"/>
      <c r="AM10" s="8"/>
      <c r="AN10" s="8"/>
      <c r="AO10" s="8"/>
      <c r="AP10" s="8"/>
    </row>
    <row r="11" spans="1:42" s="8" customFormat="1" ht="25.65" customHeight="1" x14ac:dyDescent="0.3">
      <c r="A11" s="95">
        <v>5</v>
      </c>
      <c r="B11" s="27">
        <v>68864837</v>
      </c>
      <c r="C11" s="94" t="s">
        <v>74</v>
      </c>
      <c r="D11" s="31">
        <v>46.357999999999997</v>
      </c>
      <c r="E11" s="31">
        <v>47.64</v>
      </c>
      <c r="F11" s="31">
        <v>48.213000000000001</v>
      </c>
      <c r="G11" s="31">
        <v>49.085000000000001</v>
      </c>
      <c r="H11" s="31">
        <v>50.366999999999997</v>
      </c>
      <c r="I11" s="31">
        <v>51.899000000000001</v>
      </c>
      <c r="J11" s="31">
        <v>52.779000000000003</v>
      </c>
      <c r="K11" s="31">
        <v>53.232999999999997</v>
      </c>
      <c r="L11" s="31">
        <v>53.792000000000002</v>
      </c>
      <c r="M11" s="31">
        <v>54.548999999999999</v>
      </c>
      <c r="N11" s="31">
        <v>56.023000000000003</v>
      </c>
      <c r="O11" s="31">
        <v>56.616999999999997</v>
      </c>
      <c r="P11" s="31">
        <v>57.198999999999998</v>
      </c>
      <c r="Q11" s="31">
        <v>57.902000000000001</v>
      </c>
      <c r="R11" s="31">
        <v>58.506999999999998</v>
      </c>
      <c r="S11" s="31">
        <v>59.305999999999997</v>
      </c>
      <c r="T11" s="31">
        <v>60.146000000000001</v>
      </c>
      <c r="U11" s="31">
        <v>61.231000000000002</v>
      </c>
      <c r="V11" s="31">
        <v>61.685000000000002</v>
      </c>
      <c r="W11" s="31">
        <v>62.265000000000001</v>
      </c>
      <c r="X11" s="31">
        <v>63.218000000000004</v>
      </c>
      <c r="Y11" s="31">
        <v>63.466999999999999</v>
      </c>
      <c r="Z11" s="31">
        <v>63.984999999999999</v>
      </c>
      <c r="AA11" s="31">
        <v>64.468999999999994</v>
      </c>
      <c r="AB11" s="31">
        <v>65.311999999999998</v>
      </c>
      <c r="AC11" s="31">
        <v>66.034000000000006</v>
      </c>
      <c r="AD11" s="31">
        <v>66.617000000000004</v>
      </c>
      <c r="AE11" s="31">
        <v>67.245000000000005</v>
      </c>
      <c r="AF11" s="31">
        <v>68.245999999999995</v>
      </c>
      <c r="AG11" s="31">
        <v>68.856999999999999</v>
      </c>
      <c r="AH11" s="31">
        <v>69.132999999999996</v>
      </c>
      <c r="AI11" s="31">
        <v>70.727999999999994</v>
      </c>
    </row>
    <row r="12" spans="1:42" s="8" customFormat="1" ht="25.65" customHeight="1" x14ac:dyDescent="0.3">
      <c r="A12" s="96"/>
      <c r="B12" s="48"/>
      <c r="C12" s="94"/>
      <c r="D12" s="33"/>
      <c r="E12" s="33">
        <f t="shared" ref="E12:AI12" si="13">E11-D11</f>
        <v>1.2820000000000036</v>
      </c>
      <c r="F12" s="33">
        <f t="shared" si="13"/>
        <v>0.5730000000000004</v>
      </c>
      <c r="G12" s="33">
        <f t="shared" si="13"/>
        <v>0.87199999999999989</v>
      </c>
      <c r="H12" s="33">
        <f t="shared" si="13"/>
        <v>1.2819999999999965</v>
      </c>
      <c r="I12" s="33">
        <f t="shared" si="13"/>
        <v>1.5320000000000036</v>
      </c>
      <c r="J12" s="33">
        <f t="shared" si="13"/>
        <v>0.88000000000000256</v>
      </c>
      <c r="K12" s="33">
        <f t="shared" si="13"/>
        <v>0.45399999999999352</v>
      </c>
      <c r="L12" s="33">
        <f t="shared" si="13"/>
        <v>0.5590000000000046</v>
      </c>
      <c r="M12" s="33">
        <f t="shared" si="13"/>
        <v>0.7569999999999979</v>
      </c>
      <c r="N12" s="33">
        <f t="shared" si="13"/>
        <v>1.4740000000000038</v>
      </c>
      <c r="O12" s="33">
        <f t="shared" si="13"/>
        <v>0.59399999999999409</v>
      </c>
      <c r="P12" s="33">
        <f t="shared" si="13"/>
        <v>0.58200000000000074</v>
      </c>
      <c r="Q12" s="33">
        <f t="shared" si="13"/>
        <v>0.70300000000000296</v>
      </c>
      <c r="R12" s="33">
        <f t="shared" si="13"/>
        <v>0.60499999999999687</v>
      </c>
      <c r="S12" s="33">
        <f t="shared" si="13"/>
        <v>0.79899999999999949</v>
      </c>
      <c r="T12" s="33">
        <f t="shared" si="13"/>
        <v>0.84000000000000341</v>
      </c>
      <c r="U12" s="33">
        <f t="shared" si="13"/>
        <v>1.0850000000000009</v>
      </c>
      <c r="V12" s="33">
        <f t="shared" si="13"/>
        <v>0.45400000000000063</v>
      </c>
      <c r="W12" s="33">
        <f t="shared" si="13"/>
        <v>0.57999999999999829</v>
      </c>
      <c r="X12" s="33">
        <f t="shared" si="13"/>
        <v>0.95300000000000296</v>
      </c>
      <c r="Y12" s="33">
        <f t="shared" si="13"/>
        <v>0.24899999999999523</v>
      </c>
      <c r="Z12" s="33">
        <f t="shared" si="13"/>
        <v>0.51800000000000068</v>
      </c>
      <c r="AA12" s="33">
        <f t="shared" si="13"/>
        <v>0.48399999999999466</v>
      </c>
      <c r="AB12" s="33">
        <f t="shared" si="13"/>
        <v>0.84300000000000352</v>
      </c>
      <c r="AC12" s="33">
        <f t="shared" si="13"/>
        <v>0.72200000000000841</v>
      </c>
      <c r="AD12" s="33">
        <f t="shared" si="13"/>
        <v>0.58299999999999841</v>
      </c>
      <c r="AE12" s="33">
        <f t="shared" si="13"/>
        <v>0.62800000000000011</v>
      </c>
      <c r="AF12" s="33">
        <f t="shared" si="13"/>
        <v>1.0009999999999906</v>
      </c>
      <c r="AG12" s="33">
        <f t="shared" si="13"/>
        <v>0.61100000000000421</v>
      </c>
      <c r="AH12" s="33">
        <f t="shared" si="13"/>
        <v>0.27599999999999625</v>
      </c>
      <c r="AI12" s="33">
        <f t="shared" si="13"/>
        <v>1.5949999999999989</v>
      </c>
    </row>
    <row r="13" spans="1:42" s="8" customFormat="1" ht="25.65" customHeight="1" x14ac:dyDescent="0.3">
      <c r="A13" s="95">
        <v>6</v>
      </c>
      <c r="B13" s="27">
        <v>65296485</v>
      </c>
      <c r="C13" s="94" t="s">
        <v>75</v>
      </c>
      <c r="D13" s="31">
        <v>8039.8109999999997</v>
      </c>
      <c r="E13" s="31">
        <v>8040.3990000000003</v>
      </c>
      <c r="F13" s="31">
        <v>8041.5709999999999</v>
      </c>
      <c r="G13" s="31">
        <v>8044.3829999999998</v>
      </c>
      <c r="H13" s="31">
        <v>8047.143</v>
      </c>
      <c r="I13" s="31">
        <v>8050.6440000000002</v>
      </c>
      <c r="J13" s="31">
        <v>8060.4570000000003</v>
      </c>
      <c r="K13" s="31">
        <v>8061.2380000000003</v>
      </c>
      <c r="L13" s="31">
        <v>8061.7929999999997</v>
      </c>
      <c r="M13" s="31">
        <v>8065.17</v>
      </c>
      <c r="N13" s="31">
        <v>8069.1940000000004</v>
      </c>
      <c r="O13" s="31">
        <v>8071.51</v>
      </c>
      <c r="P13" s="31">
        <v>8073.3549999999996</v>
      </c>
      <c r="Q13" s="31">
        <v>8074.6090000000004</v>
      </c>
      <c r="R13" s="31">
        <v>8075.0360000000001</v>
      </c>
      <c r="S13" s="31">
        <v>8076.4059999999999</v>
      </c>
      <c r="T13" s="31">
        <v>8078.63</v>
      </c>
      <c r="U13" s="31">
        <v>8079.3249999999998</v>
      </c>
      <c r="V13" s="31">
        <v>8079.8440000000001</v>
      </c>
      <c r="W13" s="31">
        <v>8081.7219999999998</v>
      </c>
      <c r="X13" s="31">
        <v>8082.4189999999999</v>
      </c>
      <c r="Y13" s="31">
        <v>8083.1220000000003</v>
      </c>
      <c r="Z13" s="31">
        <v>8083.6350000000002</v>
      </c>
      <c r="AA13" s="31">
        <v>8084.7340000000004</v>
      </c>
      <c r="AB13" s="31">
        <v>8085.8710000000001</v>
      </c>
      <c r="AC13" s="31">
        <v>8086.4570000000003</v>
      </c>
      <c r="AD13" s="31">
        <v>8087.1009999999997</v>
      </c>
      <c r="AE13" s="31">
        <v>8087.9030000000002</v>
      </c>
      <c r="AF13" s="31">
        <v>8088.7860000000001</v>
      </c>
      <c r="AG13" s="31">
        <v>8089.18</v>
      </c>
      <c r="AH13" s="31">
        <v>8089.5219999999999</v>
      </c>
      <c r="AI13" s="31">
        <v>8090.2709999999997</v>
      </c>
    </row>
    <row r="14" spans="1:42" s="8" customFormat="1" ht="25.65" customHeight="1" x14ac:dyDescent="0.3">
      <c r="A14" s="96"/>
      <c r="B14" s="48"/>
      <c r="C14" s="94"/>
      <c r="D14" s="33"/>
      <c r="E14" s="33">
        <f t="shared" ref="E14:AI14" si="14">E13-D13</f>
        <v>0.58800000000064756</v>
      </c>
      <c r="F14" s="33">
        <f t="shared" si="14"/>
        <v>1.1719999999995707</v>
      </c>
      <c r="G14" s="33">
        <f t="shared" si="14"/>
        <v>2.8119999999998981</v>
      </c>
      <c r="H14" s="33">
        <f t="shared" si="14"/>
        <v>2.7600000000002183</v>
      </c>
      <c r="I14" s="33">
        <f t="shared" si="14"/>
        <v>3.5010000000002037</v>
      </c>
      <c r="J14" s="33">
        <f t="shared" si="14"/>
        <v>9.8130000000001019</v>
      </c>
      <c r="K14" s="33">
        <f>K13-J13</f>
        <v>0.78099999999994907</v>
      </c>
      <c r="L14" s="33">
        <f t="shared" si="14"/>
        <v>0.55499999999938154</v>
      </c>
      <c r="M14" s="33">
        <f t="shared" si="14"/>
        <v>3.3770000000004075</v>
      </c>
      <c r="N14" s="33">
        <f t="shared" si="14"/>
        <v>4.024000000000342</v>
      </c>
      <c r="O14" s="33">
        <f t="shared" si="14"/>
        <v>2.3159999999998035</v>
      </c>
      <c r="P14" s="33">
        <f t="shared" si="14"/>
        <v>1.8449999999993452</v>
      </c>
      <c r="Q14" s="33">
        <f t="shared" si="14"/>
        <v>1.2540000000008149</v>
      </c>
      <c r="R14" s="33">
        <f t="shared" si="14"/>
        <v>0.42699999999967986</v>
      </c>
      <c r="S14" s="33">
        <f t="shared" si="14"/>
        <v>1.3699999999998909</v>
      </c>
      <c r="T14" s="33">
        <f t="shared" si="14"/>
        <v>2.2240000000001601</v>
      </c>
      <c r="U14" s="33">
        <f t="shared" si="14"/>
        <v>0.69499999999970896</v>
      </c>
      <c r="V14" s="33">
        <f t="shared" si="14"/>
        <v>0.51900000000023283</v>
      </c>
      <c r="W14" s="33">
        <f t="shared" si="14"/>
        <v>1.8779999999997017</v>
      </c>
      <c r="X14" s="33">
        <f t="shared" si="14"/>
        <v>0.69700000000011642</v>
      </c>
      <c r="Y14" s="33">
        <f t="shared" si="14"/>
        <v>0.70300000000042928</v>
      </c>
      <c r="Z14" s="33">
        <f t="shared" si="14"/>
        <v>0.51299999999991996</v>
      </c>
      <c r="AA14" s="33">
        <f t="shared" si="14"/>
        <v>1.0990000000001601</v>
      </c>
      <c r="AB14" s="33">
        <f t="shared" si="14"/>
        <v>1.1369999999997162</v>
      </c>
      <c r="AC14" s="33">
        <f t="shared" si="14"/>
        <v>0.58600000000024011</v>
      </c>
      <c r="AD14" s="33">
        <f t="shared" si="14"/>
        <v>0.64399999999932334</v>
      </c>
      <c r="AE14" s="33">
        <f t="shared" si="14"/>
        <v>0.80200000000058935</v>
      </c>
      <c r="AF14" s="33">
        <f t="shared" si="14"/>
        <v>0.88299999999981083</v>
      </c>
      <c r="AG14" s="33">
        <f t="shared" si="14"/>
        <v>0.39400000000023283</v>
      </c>
      <c r="AH14" s="33">
        <f t="shared" si="14"/>
        <v>0.34199999999964348</v>
      </c>
      <c r="AI14" s="33">
        <f t="shared" si="14"/>
        <v>0.74899999999979627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3">
      <c r="B15" s="88" t="s">
        <v>76</v>
      </c>
      <c r="C15" s="88"/>
      <c r="D15" s="50"/>
      <c r="E15" s="57">
        <f>E6+((E8*45%)+(E10*45%)+(E12+E14))</f>
        <v>1676.7849999999987</v>
      </c>
      <c r="F15" s="57">
        <f t="shared" ref="F15:AI15" si="15">F6+((F8*45%)+(F10*45%)+(F12+F14))</f>
        <v>232.04500000001704</v>
      </c>
      <c r="G15" s="57">
        <f t="shared" si="15"/>
        <v>271.3839999999941</v>
      </c>
      <c r="H15" s="57">
        <f t="shared" si="15"/>
        <v>247.09200000000604</v>
      </c>
      <c r="I15" s="57">
        <f t="shared" si="15"/>
        <v>168.03300000000021</v>
      </c>
      <c r="J15" s="57">
        <f t="shared" si="15"/>
        <v>245.89299999998846</v>
      </c>
      <c r="K15" s="57">
        <f t="shared" si="15"/>
        <v>330.70500000001419</v>
      </c>
      <c r="L15" s="57">
        <f t="shared" si="15"/>
        <v>238.8789999999988</v>
      </c>
      <c r="M15" s="57">
        <f t="shared" si="15"/>
        <v>311.09899999999254</v>
      </c>
      <c r="N15" s="57">
        <f t="shared" si="15"/>
        <v>240.15799999999075</v>
      </c>
      <c r="O15" s="57">
        <f t="shared" si="15"/>
        <v>235.68000000000097</v>
      </c>
      <c r="P15" s="57">
        <f t="shared" si="15"/>
        <v>288.182000000004</v>
      </c>
      <c r="Q15" s="57">
        <f t="shared" si="15"/>
        <v>222.50700000000666</v>
      </c>
      <c r="R15" s="57">
        <f t="shared" si="15"/>
        <v>234.7419999999828</v>
      </c>
      <c r="S15" s="57">
        <f t="shared" si="15"/>
        <v>306.76900000001154</v>
      </c>
      <c r="T15" s="57">
        <f t="shared" si="15"/>
        <v>214.63900000000018</v>
      </c>
      <c r="U15" s="57">
        <f t="shared" si="15"/>
        <v>298.28499999999713</v>
      </c>
      <c r="V15" s="57">
        <f t="shared" si="15"/>
        <v>210.1680000000145</v>
      </c>
      <c r="W15" s="57">
        <f t="shared" si="15"/>
        <v>209.00799999998804</v>
      </c>
      <c r="X15" s="57">
        <f t="shared" si="15"/>
        <v>162.54999999998847</v>
      </c>
      <c r="Y15" s="57">
        <f t="shared" si="15"/>
        <v>153.30200000000042</v>
      </c>
      <c r="Z15" s="57">
        <f t="shared" si="15"/>
        <v>210.88099999999991</v>
      </c>
      <c r="AA15" s="57">
        <f t="shared" si="15"/>
        <v>164.43300000001761</v>
      </c>
      <c r="AB15" s="57">
        <f t="shared" si="15"/>
        <v>619.01499999997714</v>
      </c>
      <c r="AC15" s="57">
        <f t="shared" si="15"/>
        <v>216.67300000001131</v>
      </c>
      <c r="AD15" s="57">
        <f t="shared" si="15"/>
        <v>274.01199999999989</v>
      </c>
      <c r="AE15" s="57">
        <f t="shared" si="15"/>
        <v>218.97000000001165</v>
      </c>
      <c r="AF15" s="57">
        <f t="shared" si="15"/>
        <v>173.51899999998875</v>
      </c>
      <c r="AG15" s="57">
        <f t="shared" si="15"/>
        <v>261.9249999999912</v>
      </c>
      <c r="AH15" s="57">
        <f t="shared" si="15"/>
        <v>244.25300000001334</v>
      </c>
      <c r="AI15" s="57">
        <f t="shared" si="15"/>
        <v>329.01399999999512</v>
      </c>
    </row>
    <row r="16" spans="1:42" ht="33" customHeight="1" x14ac:dyDescent="0.3">
      <c r="B16" s="87" t="s">
        <v>77</v>
      </c>
      <c r="C16" s="87"/>
      <c r="D16" s="50"/>
      <c r="E16" s="57">
        <f>SUM(E15:AI15)</f>
        <v>9210.600000000004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3"/>
    <row r="22" s="2" customFormat="1" ht="70.5" customHeight="1" x14ac:dyDescent="0.3"/>
    <row r="23" s="2" customFormat="1" ht="70.5" customHeight="1" x14ac:dyDescent="0.3"/>
    <row r="24" s="2" customFormat="1" ht="70.5" customHeight="1" x14ac:dyDescent="0.3"/>
    <row r="25" s="2" customFormat="1" ht="70.5" customHeight="1" x14ac:dyDescent="0.3"/>
    <row r="26" s="2" customFormat="1" ht="70.5" customHeight="1" x14ac:dyDescent="0.3"/>
    <row r="27" s="2" customFormat="1" ht="70.5" customHeight="1" x14ac:dyDescent="0.3"/>
    <row r="28" s="2" customFormat="1" ht="70.5" customHeight="1" x14ac:dyDescent="0.3"/>
    <row r="29" s="2" customFormat="1" ht="70.5" customHeight="1" x14ac:dyDescent="0.3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7" activePane="bottomLeft" state="frozen"/>
      <selection pane="bottomLeft" activeCell="C5" sqref="C5:C34"/>
    </sheetView>
  </sheetViews>
  <sheetFormatPr defaultRowHeight="14.4" x14ac:dyDescent="0.3"/>
  <cols>
    <col min="1" max="1" width="9.6640625" customWidth="1"/>
    <col min="2" max="2" width="10.6640625" customWidth="1"/>
    <col min="3" max="3" width="12.33203125" bestFit="1" customWidth="1"/>
  </cols>
  <sheetData>
    <row r="1" spans="1:7" ht="75" customHeight="1" x14ac:dyDescent="0.3">
      <c r="A1" s="98" t="s">
        <v>86</v>
      </c>
      <c r="B1" s="98"/>
      <c r="C1" s="98"/>
    </row>
    <row r="3" spans="1:7" ht="48" x14ac:dyDescent="0.3">
      <c r="A3" s="51" t="s">
        <v>36</v>
      </c>
      <c r="B3" s="52">
        <v>72633.600000000006</v>
      </c>
      <c r="C3" s="53"/>
    </row>
    <row r="4" spans="1:7" ht="28.5" customHeight="1" x14ac:dyDescent="0.3">
      <c r="A4" s="54">
        <v>1</v>
      </c>
      <c r="B4" s="52"/>
      <c r="C4" s="53">
        <f>B3/31</f>
        <v>2343.0193548387097</v>
      </c>
    </row>
    <row r="5" spans="1:7" ht="28.5" customHeight="1" x14ac:dyDescent="0.3">
      <c r="A5" s="54">
        <v>2</v>
      </c>
      <c r="B5" s="52"/>
      <c r="C5" s="53">
        <v>2343.0193548387097</v>
      </c>
    </row>
    <row r="6" spans="1:7" ht="28.5" customHeight="1" x14ac:dyDescent="0.3">
      <c r="A6" s="55">
        <v>3</v>
      </c>
      <c r="B6" s="52"/>
      <c r="C6" s="53">
        <v>2343.0193548387097</v>
      </c>
    </row>
    <row r="7" spans="1:7" ht="28.5" customHeight="1" x14ac:dyDescent="0.3">
      <c r="A7" s="54">
        <v>4</v>
      </c>
      <c r="B7" s="52"/>
      <c r="C7" s="53">
        <v>2343.0193548387097</v>
      </c>
    </row>
    <row r="8" spans="1:7" ht="28.5" customHeight="1" x14ac:dyDescent="0.3">
      <c r="A8" s="54">
        <v>5</v>
      </c>
      <c r="B8" s="52"/>
      <c r="C8" s="53">
        <v>2343.0193548387097</v>
      </c>
    </row>
    <row r="9" spans="1:7" ht="28.5" customHeight="1" x14ac:dyDescent="0.3">
      <c r="A9" s="54">
        <v>6</v>
      </c>
      <c r="B9" s="52"/>
      <c r="C9" s="53">
        <v>2343.0193548387097</v>
      </c>
      <c r="G9" t="s">
        <v>78</v>
      </c>
    </row>
    <row r="10" spans="1:7" ht="28.5" customHeight="1" x14ac:dyDescent="0.3">
      <c r="A10" s="54">
        <v>7</v>
      </c>
      <c r="B10" s="62"/>
      <c r="C10" s="53">
        <v>2343.0193548387097</v>
      </c>
    </row>
    <row r="11" spans="1:7" ht="28.5" customHeight="1" x14ac:dyDescent="0.3">
      <c r="A11" s="54">
        <v>8</v>
      </c>
      <c r="B11" s="52"/>
      <c r="C11" s="53">
        <v>2343.0193548387097</v>
      </c>
    </row>
    <row r="12" spans="1:7" ht="28.5" customHeight="1" x14ac:dyDescent="0.3">
      <c r="A12" s="54">
        <v>9</v>
      </c>
      <c r="B12" s="52"/>
      <c r="C12" s="53">
        <v>2343.0193548387097</v>
      </c>
    </row>
    <row r="13" spans="1:7" ht="28.5" customHeight="1" x14ac:dyDescent="0.3">
      <c r="A13" s="54">
        <v>10</v>
      </c>
      <c r="B13" s="52"/>
      <c r="C13" s="53">
        <v>2343.0193548387097</v>
      </c>
    </row>
    <row r="14" spans="1:7" ht="28.5" customHeight="1" x14ac:dyDescent="0.3">
      <c r="A14" s="54">
        <v>11</v>
      </c>
      <c r="B14" s="52"/>
      <c r="C14" s="53">
        <v>2343.0193548387097</v>
      </c>
    </row>
    <row r="15" spans="1:7" ht="28.5" customHeight="1" x14ac:dyDescent="0.3">
      <c r="A15" s="54">
        <v>12</v>
      </c>
      <c r="B15" s="52"/>
      <c r="C15" s="53">
        <v>2343.0193548387097</v>
      </c>
    </row>
    <row r="16" spans="1:7" ht="28.5" customHeight="1" x14ac:dyDescent="0.3">
      <c r="A16" s="54">
        <v>13</v>
      </c>
      <c r="B16" s="52"/>
      <c r="C16" s="53">
        <v>2343.0193548387097</v>
      </c>
    </row>
    <row r="17" spans="1:4" ht="28.5" customHeight="1" x14ac:dyDescent="0.3">
      <c r="A17" s="54">
        <v>14</v>
      </c>
      <c r="B17" s="62"/>
      <c r="C17" s="53">
        <v>2343.0193548387097</v>
      </c>
    </row>
    <row r="18" spans="1:4" ht="28.5" customHeight="1" x14ac:dyDescent="0.3">
      <c r="A18" s="54">
        <v>15</v>
      </c>
      <c r="B18" s="52"/>
      <c r="C18" s="53">
        <v>2343.0193548387097</v>
      </c>
    </row>
    <row r="19" spans="1:4" ht="28.5" customHeight="1" x14ac:dyDescent="0.3">
      <c r="A19" s="54">
        <v>16</v>
      </c>
      <c r="B19" s="52"/>
      <c r="C19" s="53">
        <v>2343.0193548387097</v>
      </c>
    </row>
    <row r="20" spans="1:4" ht="28.5" customHeight="1" x14ac:dyDescent="0.3">
      <c r="A20" s="54">
        <v>17</v>
      </c>
      <c r="B20" s="52"/>
      <c r="C20" s="53">
        <v>2343.0193548387097</v>
      </c>
    </row>
    <row r="21" spans="1:4" ht="28.5" customHeight="1" x14ac:dyDescent="0.3">
      <c r="A21" s="54">
        <v>18</v>
      </c>
      <c r="B21" s="52"/>
      <c r="C21" s="53">
        <v>2343.0193548387097</v>
      </c>
    </row>
    <row r="22" spans="1:4" ht="28.5" customHeight="1" x14ac:dyDescent="0.3">
      <c r="A22" s="54">
        <v>19</v>
      </c>
      <c r="B22" s="52"/>
      <c r="C22" s="53">
        <v>2343.0193548387097</v>
      </c>
    </row>
    <row r="23" spans="1:4" ht="28.5" customHeight="1" x14ac:dyDescent="0.3">
      <c r="A23" s="54">
        <v>20</v>
      </c>
      <c r="B23" s="52"/>
      <c r="C23" s="53">
        <v>2343.0193548387097</v>
      </c>
    </row>
    <row r="24" spans="1:4" ht="28.5" customHeight="1" x14ac:dyDescent="0.3">
      <c r="A24" s="54">
        <v>21</v>
      </c>
      <c r="B24" s="62"/>
      <c r="C24" s="53">
        <v>2343.0193548387097</v>
      </c>
    </row>
    <row r="25" spans="1:4" ht="28.5" customHeight="1" x14ac:dyDescent="0.3">
      <c r="A25" s="54">
        <v>22</v>
      </c>
      <c r="B25" s="52"/>
      <c r="C25" s="53">
        <v>2343.0193548387097</v>
      </c>
    </row>
    <row r="26" spans="1:4" ht="28.5" customHeight="1" x14ac:dyDescent="0.3">
      <c r="A26" s="54">
        <v>23</v>
      </c>
      <c r="B26" s="52"/>
      <c r="C26" s="53">
        <v>2343.0193548387097</v>
      </c>
    </row>
    <row r="27" spans="1:4" ht="28.5" customHeight="1" x14ac:dyDescent="0.3">
      <c r="A27" s="54">
        <v>24</v>
      </c>
      <c r="B27" s="52"/>
      <c r="C27" s="53">
        <v>2343.0193548387097</v>
      </c>
    </row>
    <row r="28" spans="1:4" ht="28.5" customHeight="1" x14ac:dyDescent="0.3">
      <c r="A28" s="54">
        <v>25</v>
      </c>
      <c r="B28" s="52"/>
      <c r="C28" s="53">
        <v>2343.0193548387097</v>
      </c>
      <c r="D28" s="56"/>
    </row>
    <row r="29" spans="1:4" ht="28.5" customHeight="1" x14ac:dyDescent="0.3">
      <c r="A29" s="54">
        <v>26</v>
      </c>
      <c r="B29" s="52"/>
      <c r="C29" s="53">
        <v>2343.0193548387097</v>
      </c>
      <c r="D29" s="56"/>
    </row>
    <row r="30" spans="1:4" ht="28.5" customHeight="1" x14ac:dyDescent="0.3">
      <c r="A30" s="54">
        <v>27</v>
      </c>
      <c r="B30" s="52"/>
      <c r="C30" s="53">
        <v>2343.0193548387097</v>
      </c>
    </row>
    <row r="31" spans="1:4" ht="28.5" customHeight="1" x14ac:dyDescent="0.3">
      <c r="A31" s="54">
        <v>28</v>
      </c>
      <c r="B31" s="52"/>
      <c r="C31" s="53">
        <v>2343.0193548387097</v>
      </c>
    </row>
    <row r="32" spans="1:4" ht="28.5" customHeight="1" x14ac:dyDescent="0.3">
      <c r="A32" s="54">
        <v>29</v>
      </c>
      <c r="B32" s="62"/>
      <c r="C32" s="53">
        <v>2343.0193548387097</v>
      </c>
    </row>
    <row r="33" spans="1:3" ht="28.5" customHeight="1" x14ac:dyDescent="0.3">
      <c r="A33" s="54">
        <v>30</v>
      </c>
      <c r="B33" s="52"/>
      <c r="C33" s="53">
        <v>2343.0193548387097</v>
      </c>
    </row>
    <row r="34" spans="1:3" ht="28.5" customHeight="1" x14ac:dyDescent="0.3">
      <c r="A34" s="54">
        <v>31</v>
      </c>
      <c r="B34" s="52"/>
      <c r="C34" s="53">
        <v>2343.0193548387097</v>
      </c>
    </row>
    <row r="35" spans="1:3" x14ac:dyDescent="0.3">
      <c r="A35" s="97" t="s">
        <v>79</v>
      </c>
      <c r="B35" s="97"/>
      <c r="C35" s="63">
        <f>SUM(C4:C34)</f>
        <v>72633.599999999991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zoomScaleNormal="100" workbookViewId="0">
      <selection activeCell="D33" sqref="D33"/>
    </sheetView>
  </sheetViews>
  <sheetFormatPr defaultRowHeight="14.4" x14ac:dyDescent="0.3"/>
  <cols>
    <col min="1" max="1" width="12.6640625" customWidth="1"/>
    <col min="2" max="2" width="17.44140625" customWidth="1"/>
    <col min="3" max="3" width="18" customWidth="1"/>
  </cols>
  <sheetData>
    <row r="1" spans="1:3" ht="35.25" customHeight="1" x14ac:dyDescent="0.3">
      <c r="A1" s="98" t="s">
        <v>87</v>
      </c>
      <c r="B1" s="98"/>
      <c r="C1" s="98"/>
    </row>
    <row r="2" spans="1:3" ht="24.9" customHeight="1" x14ac:dyDescent="0.3">
      <c r="A2" s="59" t="s">
        <v>80</v>
      </c>
      <c r="B2" s="59" t="s">
        <v>81</v>
      </c>
      <c r="C2" s="59" t="s">
        <v>82</v>
      </c>
    </row>
    <row r="3" spans="1:3" ht="24.9" customHeight="1" x14ac:dyDescent="0.3">
      <c r="A3" s="60">
        <v>44166</v>
      </c>
      <c r="B3" s="64">
        <v>429</v>
      </c>
      <c r="C3" s="64">
        <v>505</v>
      </c>
    </row>
    <row r="4" spans="1:3" ht="24.9" customHeight="1" x14ac:dyDescent="0.3">
      <c r="A4" s="60">
        <v>44167</v>
      </c>
      <c r="B4" s="64">
        <v>405</v>
      </c>
      <c r="C4" s="64">
        <v>469</v>
      </c>
    </row>
    <row r="5" spans="1:3" ht="24.9" customHeight="1" x14ac:dyDescent="0.3">
      <c r="A5" s="60">
        <v>44168</v>
      </c>
      <c r="B5" s="64">
        <v>319</v>
      </c>
      <c r="C5" s="64">
        <v>397</v>
      </c>
    </row>
    <row r="6" spans="1:3" ht="24.9" customHeight="1" x14ac:dyDescent="0.3">
      <c r="A6" s="60">
        <v>44169</v>
      </c>
      <c r="B6" s="64">
        <v>273</v>
      </c>
      <c r="C6" s="64">
        <v>337</v>
      </c>
    </row>
    <row r="7" spans="1:3" ht="24.9" customHeight="1" x14ac:dyDescent="0.3">
      <c r="A7" s="60">
        <v>44170</v>
      </c>
      <c r="B7" s="64">
        <v>272</v>
      </c>
      <c r="C7" s="64">
        <v>338</v>
      </c>
    </row>
    <row r="8" spans="1:3" ht="24.9" customHeight="1" x14ac:dyDescent="0.3">
      <c r="A8" s="60">
        <v>44171</v>
      </c>
      <c r="B8" s="64">
        <v>271</v>
      </c>
      <c r="C8" s="64">
        <v>325</v>
      </c>
    </row>
    <row r="9" spans="1:3" ht="24.9" customHeight="1" x14ac:dyDescent="0.3">
      <c r="A9" s="60">
        <v>44172</v>
      </c>
      <c r="B9" s="64">
        <v>268</v>
      </c>
      <c r="C9" s="64">
        <v>320</v>
      </c>
    </row>
    <row r="10" spans="1:3" ht="24.9" customHeight="1" x14ac:dyDescent="0.3">
      <c r="A10" s="60">
        <v>44173</v>
      </c>
      <c r="B10" s="64">
        <v>256</v>
      </c>
      <c r="C10" s="64">
        <v>308</v>
      </c>
    </row>
    <row r="11" spans="1:3" ht="24.9" customHeight="1" x14ac:dyDescent="0.3">
      <c r="A11" s="60">
        <v>44174</v>
      </c>
      <c r="B11" s="64">
        <v>269</v>
      </c>
      <c r="C11" s="64">
        <v>331</v>
      </c>
    </row>
    <row r="12" spans="1:3" ht="24.9" customHeight="1" x14ac:dyDescent="0.3">
      <c r="A12" s="60">
        <v>44175</v>
      </c>
      <c r="B12" s="64">
        <v>279</v>
      </c>
      <c r="C12" s="64">
        <v>338</v>
      </c>
    </row>
    <row r="13" spans="1:3" ht="24.9" customHeight="1" x14ac:dyDescent="0.3">
      <c r="A13" s="60">
        <v>44176</v>
      </c>
      <c r="B13" s="64">
        <v>253</v>
      </c>
      <c r="C13" s="64">
        <v>313</v>
      </c>
    </row>
    <row r="14" spans="1:3" ht="24.9" customHeight="1" x14ac:dyDescent="0.3">
      <c r="A14" s="60">
        <v>44177</v>
      </c>
      <c r="B14" s="64">
        <v>256</v>
      </c>
      <c r="C14" s="64">
        <v>309</v>
      </c>
    </row>
    <row r="15" spans="1:3" ht="24.9" customHeight="1" x14ac:dyDescent="0.3">
      <c r="A15" s="60">
        <v>44178</v>
      </c>
      <c r="B15" s="64">
        <v>269</v>
      </c>
      <c r="C15" s="64">
        <v>336</v>
      </c>
    </row>
    <row r="16" spans="1:3" ht="24.9" customHeight="1" x14ac:dyDescent="0.3">
      <c r="A16" s="60">
        <v>44179</v>
      </c>
      <c r="B16" s="64">
        <v>256</v>
      </c>
      <c r="C16" s="64">
        <v>319</v>
      </c>
    </row>
    <row r="17" spans="1:3" ht="24.9" customHeight="1" x14ac:dyDescent="0.3">
      <c r="A17" s="60">
        <v>44180</v>
      </c>
      <c r="B17" s="64">
        <v>258</v>
      </c>
      <c r="C17" s="64">
        <v>323</v>
      </c>
    </row>
    <row r="18" spans="1:3" ht="24.9" customHeight="1" x14ac:dyDescent="0.3">
      <c r="A18" s="60">
        <v>44181</v>
      </c>
      <c r="B18" s="64">
        <v>204</v>
      </c>
      <c r="C18" s="64">
        <v>260</v>
      </c>
    </row>
    <row r="19" spans="1:3" ht="24.9" customHeight="1" x14ac:dyDescent="0.3">
      <c r="A19" s="60">
        <v>44182</v>
      </c>
      <c r="B19" s="64">
        <v>165</v>
      </c>
      <c r="C19" s="64">
        <v>210</v>
      </c>
    </row>
    <row r="20" spans="1:3" ht="24.9" customHeight="1" x14ac:dyDescent="0.3">
      <c r="A20" s="60">
        <v>44183</v>
      </c>
      <c r="B20" s="64">
        <v>177</v>
      </c>
      <c r="C20" s="64">
        <v>235</v>
      </c>
    </row>
    <row r="21" spans="1:3" ht="24.9" customHeight="1" x14ac:dyDescent="0.3">
      <c r="A21" s="60">
        <v>44184</v>
      </c>
      <c r="B21" s="64">
        <v>159</v>
      </c>
      <c r="C21" s="64">
        <v>201</v>
      </c>
    </row>
    <row r="22" spans="1:3" ht="24.9" customHeight="1" x14ac:dyDescent="0.3">
      <c r="A22" s="60">
        <v>44185</v>
      </c>
      <c r="B22" s="64">
        <v>167</v>
      </c>
      <c r="C22" s="64">
        <v>211</v>
      </c>
    </row>
    <row r="23" spans="1:3" ht="24.9" customHeight="1" x14ac:dyDescent="0.3">
      <c r="A23" s="60">
        <v>44186</v>
      </c>
      <c r="B23" s="64">
        <v>175</v>
      </c>
      <c r="C23" s="64">
        <v>232</v>
      </c>
    </row>
    <row r="24" spans="1:3" ht="24.9" customHeight="1" x14ac:dyDescent="0.3">
      <c r="A24" s="60">
        <v>44187</v>
      </c>
      <c r="B24" s="64">
        <v>183</v>
      </c>
      <c r="C24" s="64">
        <v>242</v>
      </c>
    </row>
    <row r="25" spans="1:3" ht="24.9" customHeight="1" x14ac:dyDescent="0.3">
      <c r="A25" s="60">
        <v>44188</v>
      </c>
      <c r="B25" s="64">
        <v>173</v>
      </c>
      <c r="C25" s="64">
        <v>239</v>
      </c>
    </row>
    <row r="26" spans="1:3" ht="24.9" customHeight="1" x14ac:dyDescent="0.3">
      <c r="A26" s="60">
        <v>44189</v>
      </c>
      <c r="B26" s="64">
        <v>172</v>
      </c>
      <c r="C26" s="64">
        <v>258</v>
      </c>
    </row>
    <row r="27" spans="1:3" ht="24.9" customHeight="1" x14ac:dyDescent="0.3">
      <c r="A27" s="60">
        <v>44190</v>
      </c>
      <c r="B27" s="64">
        <v>184</v>
      </c>
      <c r="C27" s="64">
        <v>253</v>
      </c>
    </row>
    <row r="28" spans="1:3" ht="24.9" customHeight="1" x14ac:dyDescent="0.3">
      <c r="A28" s="60">
        <v>44191</v>
      </c>
      <c r="B28" s="64">
        <v>165</v>
      </c>
      <c r="C28" s="64">
        <v>235</v>
      </c>
    </row>
    <row r="29" spans="1:3" ht="24.9" customHeight="1" x14ac:dyDescent="0.3">
      <c r="A29" s="60">
        <v>44192</v>
      </c>
      <c r="B29" s="64">
        <v>176</v>
      </c>
      <c r="C29" s="64">
        <v>243</v>
      </c>
    </row>
    <row r="30" spans="1:3" ht="24.9" customHeight="1" x14ac:dyDescent="0.3">
      <c r="A30" s="60">
        <v>44193</v>
      </c>
      <c r="B30" s="64">
        <v>190</v>
      </c>
      <c r="C30" s="64">
        <v>263</v>
      </c>
    </row>
    <row r="31" spans="1:3" ht="24.9" customHeight="1" x14ac:dyDescent="0.3">
      <c r="A31" s="60">
        <v>44194</v>
      </c>
      <c r="B31" s="64">
        <v>192</v>
      </c>
      <c r="C31" s="64">
        <v>269</v>
      </c>
    </row>
    <row r="32" spans="1:3" ht="24.9" customHeight="1" x14ac:dyDescent="0.3">
      <c r="A32" s="60">
        <v>44195</v>
      </c>
      <c r="B32" s="64">
        <v>183</v>
      </c>
      <c r="C32" s="64">
        <v>247</v>
      </c>
    </row>
    <row r="33" spans="1:3" ht="24.9" customHeight="1" x14ac:dyDescent="0.3">
      <c r="A33" s="60">
        <v>44196</v>
      </c>
      <c r="B33" s="64">
        <v>189</v>
      </c>
      <c r="C33" s="64">
        <v>286</v>
      </c>
    </row>
    <row r="34" spans="1:3" ht="30.75" customHeight="1" x14ac:dyDescent="0.3">
      <c r="A34" s="59" t="s">
        <v>83</v>
      </c>
      <c r="B34" s="61">
        <f>SUM(B3:B33)</f>
        <v>7187</v>
      </c>
      <c r="C34" s="61">
        <f>SUM(C3:C33)</f>
        <v>9152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2025-03-20T19:24:27Z</dcterms:modified>
  <cp:category/>
  <cp:contentStatus/>
</cp:coreProperties>
</file>