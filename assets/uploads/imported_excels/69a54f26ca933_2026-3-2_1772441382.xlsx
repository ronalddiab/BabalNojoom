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muhammad_waseem_babalnojoum_com/Documents/Desktop/HEP 2025 - Liwa &amp; Mugheria/Mugheria/"/>
    </mc:Choice>
  </mc:AlternateContent>
  <xr:revisionPtr revIDLastSave="121" documentId="8_{893989EB-C1BA-4100-8D31-50CE0237AF41}" xr6:coauthVersionLast="47" xr6:coauthVersionMax="47" xr10:uidLastSave="{435246B0-22E1-4FF0-A184-04F913222F14}"/>
  <bookViews>
    <workbookView xWindow="-120" yWindow="-120" windowWidth="29040" windowHeight="15720" xr2:uid="{00000000-000D-0000-FFFF-FFFF00000000}"/>
  </bookViews>
  <sheets>
    <sheet name="Monthly Data" sheetId="1" r:id="rId1"/>
  </sheets>
  <externalReferences>
    <externalReference r:id="rId2"/>
  </externalReferences>
  <definedNames>
    <definedName name="K">[1]ReportMaster!$C$16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<sst xmlns="http://schemas.openxmlformats.org/spreadsheetml/2006/main" count="47" uniqueCount="24">
  <si>
    <t>Site Name</t>
  </si>
  <si>
    <t>Month</t>
  </si>
  <si>
    <t>Year</t>
  </si>
  <si>
    <t>Purchased Electricity KWh</t>
  </si>
  <si>
    <t>Purchased Electricity Tariff ($/KWh)</t>
  </si>
  <si>
    <t>Total Electricity Cost</t>
  </si>
  <si>
    <t>Electricity Total Budgeted</t>
  </si>
  <si>
    <t>Electricity Total Budgeted Cost ($)</t>
  </si>
  <si>
    <t>Water Utility Supply (m3) m3</t>
  </si>
  <si>
    <t>Water Utility Supply (m3) $/m3</t>
  </si>
  <si>
    <t>Total Water Cost</t>
  </si>
  <si>
    <t>Water Total Budgeted</t>
  </si>
  <si>
    <t>Water Total Budgeted Cost ($)</t>
  </si>
  <si>
    <t>Room Nights</t>
  </si>
  <si>
    <t>Total Guests</t>
  </si>
  <si>
    <t>Total electricity consumption</t>
  </si>
  <si>
    <t>Average cost/KWh excluding demand</t>
  </si>
  <si>
    <t>Total Cost in local currency</t>
  </si>
  <si>
    <t>Your monthly budgeted electricity consumption in KWh</t>
  </si>
  <si>
    <t>Your monthly electricity cost budgeted (in local currency)</t>
  </si>
  <si>
    <t>Total Water Consumption
(in unit  )</t>
  </si>
  <si>
    <t>Cost of Water per Unit  in local currency</t>
  </si>
  <si>
    <t>Total Cost of Water purchase in local currency</t>
  </si>
  <si>
    <t xml:space="preserve">Al Mugheirah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</si>
</sst>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Calibri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b/>
      <sz val="9"/>
      <color rgb="FF7030A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Fill="0" applyProtection="0"/>
  </cellStyleXfs>
  <cellXfs count="30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0" fillId="0" borderId="0" xfId="0" applyFill="1" applyAlignment="1" applyProtection="1">
      <alignment horizontal="center"/>
    </xf>
    <xf numFmtId="0" fontId="4" fillId="0" borderId="0" xfId="0" applyFont="1" applyFill="1" applyAlignment="1" applyProtection="1">
      <alignment horizontal="center"/>
    </xf>
    <xf numFmtId="0" fontId="5" fillId="0" borderId="0" xfId="0" applyFont="1" applyFill="1" applyAlignment="1" applyProtection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0" fontId="8" fillId="0" borderId="0" xfId="0" applyFont="1" applyFill="1" applyAlignment="1" applyProtection="1">
      <alignment horizontal="center" vertical="center" wrapText="1"/>
    </xf>
    <xf numFmtId="0" fontId="9" fillId="0" borderId="0" xfId="0" applyFont="1" applyFill="1" applyProtection="1"/>
    <xf numFmtId="0" fontId="3" fillId="0" borderId="0" xfId="0" applyFont="1" applyFill="1" applyAlignment="1" applyProtection="1">
      <alignment horizontal="center"/>
    </xf>
    <xf numFmtId="0" fontId="6" fillId="0" borderId="0" xfId="0" applyFont="1" applyFill="1" applyAlignment="1" applyProtection="1">
      <alignment horizontal="center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9" fillId="0" borderId="0" xfId="0" applyNumberFormat="1" applyFont="1" applyFill="1" applyAlignment="1" applyProtection="1">
      <alignment horizontal="center"/>
    </xf>
    <xf numFmtId="0" fontId="9" fillId="0" borderId="0" xfId="0" applyFont="1" applyFill="1" applyAlignment="1" applyProtection="1">
      <alignment horizontal="center"/>
    </xf>
    <xf numFmtId="1" fontId="6" fillId="0" borderId="0" xfId="0" applyNumberFormat="1" applyFont="1" applyFill="1" applyAlignment="1" applyProtection="1">
      <alignment horizontal="center"/>
    </xf>
    <xf numFmtId="1" fontId="3" fillId="0" borderId="0" xfId="0" applyNumberFormat="1" applyFont="1" applyFill="1" applyAlignment="1" applyProtection="1">
      <alignment horizontal="center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 wrapText="1"/>
    </xf>
    <xf numFmtId="0" fontId="3" fillId="6" borderId="0" xfId="0" applyFont="1" applyFill="1" applyAlignment="1" applyProtection="1">
      <alignment horizontal="center"/>
    </xf>
    <xf numFmtId="0" fontId="0" fillId="6" borderId="0" xfId="0" applyFill="1" applyAlignment="1" applyProtection="1">
      <alignment horizontal="center"/>
    </xf>
    <xf numFmtId="1" fontId="9" fillId="6" borderId="0" xfId="0" applyNumberFormat="1" applyFont="1" applyFill="1" applyAlignment="1" applyProtection="1">
      <alignment horizontal="center"/>
    </xf>
    <xf numFmtId="0" fontId="9" fillId="6" borderId="0" xfId="0" applyFont="1" applyFill="1" applyAlignment="1" applyProtection="1">
      <alignment horizontal="center"/>
    </xf>
    <xf numFmtId="1" fontId="3" fillId="6" borderId="0" xfId="0" applyNumberFormat="1" applyFont="1" applyFill="1" applyAlignment="1" applyProtection="1">
      <alignment horizontal="center"/>
    </xf>
    <xf numFmtId="1" fontId="6" fillId="6" borderId="0" xfId="0" applyNumberFormat="1" applyFont="1" applyFill="1" applyAlignment="1" applyProtection="1">
      <alignment horizontal="center"/>
    </xf>
    <xf numFmtId="0" fontId="10" fillId="6" borderId="0" xfId="0" applyFont="1" applyFill="1" applyAlignment="1" applyProtection="1">
      <alignment horizontal="center"/>
    </xf>
    <xf numFmtId="0" fontId="1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IN_HOD_Personal/PRCC,CCC%20&amp;%20CCA/Budget%202023/FINAL%20P&amp;L/Submission%2006-10-22/Pearl%20Rotana_Budget%20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Master"/>
      <sheetName val="Index Owners"/>
      <sheetName val="Index"/>
      <sheetName val="Sum Oper Stat (Act-Fcst)"/>
      <sheetName val="fst"/>
      <sheetName val="Trend FY"/>
      <sheetName val="Trend Qtr"/>
      <sheetName val="YTD EX"/>
      <sheetName val="AMC"/>
      <sheetName val="Sum Oper Stat"/>
      <sheetName val="Rooms"/>
      <sheetName val="RoomsMix"/>
      <sheetName val="B.Mix"/>
      <sheetName val="Ls_AgXLB_WorkbookFile"/>
      <sheetName val="Ls_Alert"/>
      <sheetName val="F&amp;B"/>
      <sheetName val="F&amp;BMix"/>
      <sheetName val="Licence"/>
      <sheetName val="FCT F&amp;B"/>
      <sheetName val="YTD F&amp;B"/>
      <sheetName val="Sheet2"/>
      <sheetName val="F&amp;BSummary"/>
      <sheetName val="Misc"/>
      <sheetName val="Minor"/>
      <sheetName val="OOD"/>
      <sheetName val="HC"/>
      <sheetName val="SPA"/>
      <sheetName val="Laundry"/>
      <sheetName val="BC"/>
      <sheetName val="Golf"/>
      <sheetName val="OODGeneric"/>
      <sheetName val="A&amp;G"/>
      <sheetName val="HR"/>
      <sheetName val="IT"/>
      <sheetName val="IT Varience Details"/>
      <sheetName val="IT Opex 2020"/>
      <sheetName val="Ls_XLB_WorkbookFile"/>
      <sheetName val="S&amp;M"/>
      <sheetName val="Flow Through"/>
      <sheetName val="POM"/>
      <sheetName val="Engineering AMC 2023"/>
      <sheetName val="ENG AMC 2021"/>
      <sheetName val="Utilities"/>
      <sheetName val="MgtFees"/>
      <sheetName val="NOIE"/>
      <sheetName val="RENT 2023"/>
      <sheetName val="RENT"/>
      <sheetName val="Owner"/>
      <sheetName val="Payroll"/>
      <sheetName val="Payroll Breakdown"/>
      <sheetName val="Payroll Benefits"/>
      <sheetName val="Housing"/>
      <sheetName val="Manning"/>
      <sheetName val="Manning 1"/>
      <sheetName val="FFE Summary"/>
      <sheetName val="FFE Summary "/>
      <sheetName val="Bud Analysis AD &amp; AA 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S31"/>
  <sheetViews>
    <sheetView showGridLines="0" tabSelected="1" showRuler="0" zoomScaleNormal="100" workbookViewId="0">
      <pane ySplit="2" topLeftCell="A3" activePane="bottomLeft" state="frozen"/>
      <selection pane="bottomLeft" activeCell="G18" sqref="G18"/>
    </sheetView>
  </sheetViews>
  <sheetFormatPr defaultRowHeight="15"/>
  <cols>
    <col min="1" max="1" width="22.7109375" style="2" bestFit="1" customWidth="1"/>
    <col min="2" max="2" width="9.7109375" style="2" customWidth="1"/>
    <col min="3" max="3" width="7.28515625" style="2" customWidth="1"/>
    <col min="4" max="6" width="15" style="2" customWidth="1"/>
    <col min="7" max="8" width="15" style="8" customWidth="1"/>
    <col min="9" max="13" width="15" style="2" customWidth="1"/>
    <col min="14" max="15" width="15" style="9" customWidth="1"/>
    <col min="18" max="18" width="9" style="7"/>
    <col min="19" max="19" width="12.7109375" customWidth="1"/>
  </cols>
  <sheetData>
    <row r="1" spans="1:18" s="1" customFormat="1" ht="70.150000000000006" customHeight="1" thickBot="1">
      <c r="A1" s="19" t="s">
        <v>0</v>
      </c>
      <c r="B1" s="19" t="s">
        <v>1</v>
      </c>
      <c r="C1" s="20" t="s">
        <v>2</v>
      </c>
      <c r="D1" s="10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3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21" t="s">
        <v>13</v>
      </c>
      <c r="O1" s="21" t="s">
        <v>14</v>
      </c>
      <c r="R1" s="6"/>
    </row>
    <row r="2" spans="1:18" s="1" customFormat="1" ht="70.150000000000006" customHeight="1"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/>
      <c r="M2" s="5"/>
      <c r="N2" s="4"/>
      <c r="O2" s="4"/>
      <c r="R2" s="6"/>
    </row>
    <row r="3" spans="1:18">
      <c r="A3" s="3" t="s">
        <v>23</v>
      </c>
      <c r="B3" s="2">
        <v>1</v>
      </c>
      <c r="C3" s="2">
        <v>2025</v>
      </c>
      <c r="D3" s="15">
        <v>155686</v>
      </c>
      <c r="E3" s="16">
        <v>0.2</v>
      </c>
      <c r="F3" s="15">
        <v>31137.200000000001</v>
      </c>
      <c r="G3" s="18">
        <v>157469</v>
      </c>
      <c r="H3" s="18">
        <v>31494</v>
      </c>
      <c r="I3" s="15">
        <v>3528</v>
      </c>
      <c r="J3" s="16">
        <v>7.84</v>
      </c>
      <c r="K3" s="15">
        <v>27659.52</v>
      </c>
      <c r="L3" s="18">
        <v>3641.3265306122448</v>
      </c>
      <c r="M3" s="18">
        <v>28548</v>
      </c>
      <c r="N3" s="17">
        <v>775</v>
      </c>
      <c r="O3" s="17">
        <v>1181</v>
      </c>
    </row>
    <row r="4" spans="1:18">
      <c r="A4" s="3" t="s">
        <v>23</v>
      </c>
      <c r="B4" s="2">
        <v>2</v>
      </c>
      <c r="C4" s="2">
        <v>2025</v>
      </c>
      <c r="D4" s="15">
        <v>153611</v>
      </c>
      <c r="E4" s="16">
        <v>0.2</v>
      </c>
      <c r="F4" s="15">
        <v>30722.2</v>
      </c>
      <c r="G4" s="18">
        <v>153375</v>
      </c>
      <c r="H4" s="18">
        <v>30675</v>
      </c>
      <c r="I4" s="15">
        <v>3744</v>
      </c>
      <c r="J4" s="16">
        <v>7.84</v>
      </c>
      <c r="K4" s="15">
        <v>29352.959999999999</v>
      </c>
      <c r="L4" s="18">
        <v>4290.9438775510207</v>
      </c>
      <c r="M4" s="18">
        <v>33641</v>
      </c>
      <c r="N4" s="17">
        <v>899</v>
      </c>
      <c r="O4" s="17">
        <v>1363</v>
      </c>
    </row>
    <row r="5" spans="1:18">
      <c r="A5" s="3" t="s">
        <v>23</v>
      </c>
      <c r="B5" s="2">
        <v>3</v>
      </c>
      <c r="C5" s="2">
        <v>2025</v>
      </c>
      <c r="D5" s="15">
        <v>129595</v>
      </c>
      <c r="E5" s="16">
        <v>0.2</v>
      </c>
      <c r="F5" s="15">
        <v>25919</v>
      </c>
      <c r="G5" s="18">
        <v>176420</v>
      </c>
      <c r="H5" s="18">
        <v>35284</v>
      </c>
      <c r="I5" s="15">
        <v>2782</v>
      </c>
      <c r="J5" s="16">
        <v>7.84</v>
      </c>
      <c r="K5" s="15">
        <v>21810.880000000001</v>
      </c>
      <c r="L5" s="18">
        <v>3205.9948979591836</v>
      </c>
      <c r="M5" s="18">
        <v>25135</v>
      </c>
      <c r="N5" s="17">
        <v>794</v>
      </c>
      <c r="O5" s="17">
        <v>1104</v>
      </c>
    </row>
    <row r="6" spans="1:18">
      <c r="A6" s="3" t="s">
        <v>23</v>
      </c>
      <c r="B6" s="2">
        <v>4</v>
      </c>
      <c r="C6" s="2">
        <v>2025</v>
      </c>
      <c r="D6" s="15">
        <v>176180</v>
      </c>
      <c r="E6" s="16">
        <v>0.2</v>
      </c>
      <c r="F6" s="15">
        <v>35236</v>
      </c>
      <c r="G6" s="18">
        <v>170270</v>
      </c>
      <c r="H6" s="18">
        <v>34054</v>
      </c>
      <c r="I6" s="15">
        <v>3866</v>
      </c>
      <c r="J6" s="16">
        <v>7.84</v>
      </c>
      <c r="K6" s="15">
        <v>30309.439999999999</v>
      </c>
      <c r="L6" s="18">
        <v>3544.8979591836737</v>
      </c>
      <c r="M6" s="18">
        <v>27792</v>
      </c>
      <c r="N6" s="17">
        <v>967</v>
      </c>
      <c r="O6" s="17">
        <v>1332</v>
      </c>
    </row>
    <row r="7" spans="1:18">
      <c r="A7" s="3" t="s">
        <v>23</v>
      </c>
      <c r="B7" s="2">
        <v>5</v>
      </c>
      <c r="C7" s="2">
        <v>2025</v>
      </c>
      <c r="D7" s="15">
        <v>190858</v>
      </c>
      <c r="E7" s="16">
        <v>0.2</v>
      </c>
      <c r="F7" s="15">
        <v>38171.599999999999</v>
      </c>
      <c r="G7" s="18">
        <v>195480</v>
      </c>
      <c r="H7" s="18">
        <v>39096</v>
      </c>
      <c r="I7" s="15">
        <v>4377</v>
      </c>
      <c r="J7" s="16">
        <v>7.84</v>
      </c>
      <c r="K7" s="15">
        <v>34315.68</v>
      </c>
      <c r="L7" s="18">
        <v>3366.9642857142858</v>
      </c>
      <c r="M7" s="18">
        <v>26397</v>
      </c>
      <c r="N7" s="17">
        <v>457</v>
      </c>
      <c r="O7" s="17">
        <v>662</v>
      </c>
    </row>
    <row r="8" spans="1:18">
      <c r="A8" s="3" t="s">
        <v>23</v>
      </c>
      <c r="B8" s="2">
        <v>6</v>
      </c>
      <c r="C8" s="2">
        <v>2025</v>
      </c>
      <c r="D8" s="15">
        <v>179574</v>
      </c>
      <c r="E8" s="16">
        <v>0.2</v>
      </c>
      <c r="F8" s="15">
        <v>35914.800000000003</v>
      </c>
      <c r="G8" s="18">
        <v>231696</v>
      </c>
      <c r="H8" s="18">
        <v>46339</v>
      </c>
      <c r="I8" s="15">
        <v>3204</v>
      </c>
      <c r="J8" s="16">
        <v>7.84</v>
      </c>
      <c r="K8" s="15">
        <v>25119.360000000001</v>
      </c>
      <c r="L8" s="18">
        <v>2743.1632653061229</v>
      </c>
      <c r="M8" s="18">
        <v>21506.400000000001</v>
      </c>
      <c r="N8" s="17">
        <v>607</v>
      </c>
      <c r="O8" s="17">
        <v>841</v>
      </c>
    </row>
    <row r="9" spans="1:18">
      <c r="A9" s="3" t="s">
        <v>23</v>
      </c>
      <c r="B9" s="2">
        <v>7</v>
      </c>
      <c r="C9" s="2">
        <v>2025</v>
      </c>
      <c r="D9" s="15">
        <v>190302</v>
      </c>
      <c r="E9" s="16">
        <v>0.2</v>
      </c>
      <c r="F9" s="15">
        <v>38060.400000000001</v>
      </c>
      <c r="G9" s="18">
        <v>279984</v>
      </c>
      <c r="H9" s="18">
        <v>55997</v>
      </c>
      <c r="I9" s="15">
        <v>2617</v>
      </c>
      <c r="J9" s="16">
        <v>7.84</v>
      </c>
      <c r="K9" s="15">
        <v>20517.28</v>
      </c>
      <c r="L9" s="18">
        <v>3900.6951530612241</v>
      </c>
      <c r="M9" s="18">
        <v>30581.449999999997</v>
      </c>
      <c r="N9" s="17">
        <v>489</v>
      </c>
      <c r="O9" s="17">
        <v>636</v>
      </c>
    </row>
    <row r="10" spans="1:18">
      <c r="A10" s="3" t="s">
        <v>23</v>
      </c>
      <c r="B10" s="2">
        <v>8</v>
      </c>
      <c r="C10" s="2">
        <v>2025</v>
      </c>
      <c r="D10" s="15">
        <v>239545</v>
      </c>
      <c r="E10" s="16">
        <v>0.2</v>
      </c>
      <c r="F10" s="15">
        <v>47909</v>
      </c>
      <c r="G10" s="18">
        <v>288107</v>
      </c>
      <c r="H10" s="18">
        <v>57621</v>
      </c>
      <c r="I10" s="15">
        <v>3817</v>
      </c>
      <c r="J10" s="16">
        <v>7.84</v>
      </c>
      <c r="K10" s="15">
        <v>29925.279999999999</v>
      </c>
      <c r="L10" s="18">
        <v>4019.8086734693879</v>
      </c>
      <c r="M10" s="18">
        <v>31515.3</v>
      </c>
      <c r="N10" s="17">
        <v>753</v>
      </c>
      <c r="O10" s="17">
        <v>586</v>
      </c>
    </row>
    <row r="11" spans="1:18">
      <c r="A11" s="3" t="s">
        <v>23</v>
      </c>
      <c r="B11" s="23">
        <v>9</v>
      </c>
      <c r="C11" s="23">
        <v>2025</v>
      </c>
      <c r="D11" s="24">
        <v>252519</v>
      </c>
      <c r="E11" s="25">
        <v>0.2</v>
      </c>
      <c r="F11" s="24">
        <v>50503.8</v>
      </c>
      <c r="G11" s="26">
        <v>281380</v>
      </c>
      <c r="H11" s="26">
        <v>56276</v>
      </c>
      <c r="I11" s="24">
        <v>2774</v>
      </c>
      <c r="J11" s="25">
        <v>7.84</v>
      </c>
      <c r="K11" s="24">
        <v>21748.16</v>
      </c>
      <c r="L11" s="26">
        <v>3225.26</v>
      </c>
      <c r="M11" s="26">
        <v>25286</v>
      </c>
      <c r="N11" s="27">
        <v>316</v>
      </c>
      <c r="O11" s="27">
        <v>642</v>
      </c>
    </row>
    <row r="12" spans="1:18">
      <c r="A12" s="3" t="s">
        <v>23</v>
      </c>
      <c r="B12" s="2">
        <v>10</v>
      </c>
      <c r="C12" s="2">
        <v>2025</v>
      </c>
      <c r="D12" s="15">
        <v>242861</v>
      </c>
      <c r="E12" s="16">
        <v>0.2</v>
      </c>
      <c r="F12" s="15">
        <v>48572.2</v>
      </c>
      <c r="G12" s="18">
        <v>251470</v>
      </c>
      <c r="H12" s="18">
        <v>50294</v>
      </c>
      <c r="I12" s="15">
        <v>2527</v>
      </c>
      <c r="J12" s="16">
        <v>7.84</v>
      </c>
      <c r="K12" s="15">
        <v>19811.68</v>
      </c>
      <c r="L12" s="18">
        <v>3814</v>
      </c>
      <c r="M12" s="18">
        <v>29903</v>
      </c>
      <c r="N12" s="17">
        <v>717</v>
      </c>
      <c r="O12" s="17">
        <v>1138</v>
      </c>
    </row>
    <row r="13" spans="1:18">
      <c r="A13" s="3" t="s">
        <v>23</v>
      </c>
      <c r="B13" s="2">
        <v>11</v>
      </c>
      <c r="C13" s="2">
        <v>2025</v>
      </c>
      <c r="D13" s="24">
        <v>167737</v>
      </c>
      <c r="E13" s="25">
        <v>0.2</v>
      </c>
      <c r="F13" s="24">
        <v>33547</v>
      </c>
      <c r="G13" s="26">
        <v>187640</v>
      </c>
      <c r="H13" s="26">
        <v>37528</v>
      </c>
      <c r="I13" s="24">
        <v>4279</v>
      </c>
      <c r="J13" s="25">
        <v>7.84</v>
      </c>
      <c r="K13" s="24">
        <v>33547</v>
      </c>
      <c r="L13" s="26">
        <v>3818</v>
      </c>
      <c r="M13" s="26">
        <v>29933</v>
      </c>
      <c r="N13" s="27">
        <v>641</v>
      </c>
      <c r="O13" s="17">
        <v>1236</v>
      </c>
    </row>
    <row r="14" spans="1:18">
      <c r="A14" s="3" t="s">
        <v>23</v>
      </c>
      <c r="B14" s="23">
        <v>12</v>
      </c>
      <c r="C14" s="23">
        <v>2025</v>
      </c>
      <c r="D14" s="24">
        <v>154459</v>
      </c>
      <c r="E14" s="25">
        <v>0.2</v>
      </c>
      <c r="F14" s="24">
        <v>30892</v>
      </c>
      <c r="G14" s="26">
        <v>174475</v>
      </c>
      <c r="H14" s="26">
        <v>34895</v>
      </c>
      <c r="I14" s="24">
        <v>3236</v>
      </c>
      <c r="J14" s="25">
        <v>7.84</v>
      </c>
      <c r="K14" s="24">
        <v>25370</v>
      </c>
      <c r="L14" s="26">
        <v>2988</v>
      </c>
      <c r="M14" s="26">
        <v>23425</v>
      </c>
      <c r="N14" s="27">
        <v>837</v>
      </c>
      <c r="O14" s="27">
        <v>1736</v>
      </c>
    </row>
    <row r="15" spans="1:18">
      <c r="A15" s="3" t="s">
        <v>23</v>
      </c>
      <c r="B15" s="23">
        <v>1</v>
      </c>
      <c r="C15" s="23">
        <v>2026</v>
      </c>
      <c r="D15" s="24">
        <v>145763</v>
      </c>
      <c r="E15" s="25">
        <v>0.2</v>
      </c>
      <c r="F15" s="24">
        <v>29152</v>
      </c>
      <c r="G15" s="26">
        <v>153860</v>
      </c>
      <c r="H15" s="26">
        <v>30772</v>
      </c>
      <c r="I15" s="24">
        <v>2650</v>
      </c>
      <c r="J15" s="25">
        <v>7.84</v>
      </c>
      <c r="K15" s="24">
        <v>20776</v>
      </c>
      <c r="L15" s="26">
        <v>3744</v>
      </c>
      <c r="M15" s="26">
        <v>29353</v>
      </c>
      <c r="N15" s="27">
        <v>836</v>
      </c>
      <c r="O15" s="27">
        <v>1745</v>
      </c>
    </row>
    <row r="16" spans="1:18">
      <c r="A16" s="3" t="s">
        <v>23</v>
      </c>
      <c r="B16" s="2">
        <v>2</v>
      </c>
      <c r="C16" s="2">
        <v>2026</v>
      </c>
      <c r="G16" s="22">
        <v>153380</v>
      </c>
      <c r="H16" s="22">
        <v>30676</v>
      </c>
      <c r="I16" s="23"/>
      <c r="J16" s="23"/>
      <c r="K16" s="23"/>
      <c r="L16" s="28">
        <v>3206</v>
      </c>
      <c r="M16" s="28">
        <v>25135</v>
      </c>
      <c r="N16" s="29">
        <v>676</v>
      </c>
      <c r="O16" s="29">
        <v>1324</v>
      </c>
    </row>
    <row r="17" spans="1:19">
      <c r="A17" s="3" t="s">
        <v>23</v>
      </c>
      <c r="B17" s="2">
        <v>3</v>
      </c>
      <c r="C17" s="2">
        <v>2026</v>
      </c>
      <c r="G17" s="22"/>
      <c r="H17" s="24"/>
      <c r="I17" s="25"/>
      <c r="J17" s="24"/>
      <c r="K17" s="26"/>
      <c r="L17" s="26"/>
      <c r="M17" s="24"/>
      <c r="N17" s="25"/>
      <c r="O17" s="24"/>
      <c r="P17" s="26"/>
      <c r="Q17" s="26"/>
      <c r="R17" s="27"/>
      <c r="S17" s="27"/>
    </row>
    <row r="18" spans="1:19">
      <c r="A18" s="3" t="s">
        <v>23</v>
      </c>
      <c r="B18" s="2">
        <v>4</v>
      </c>
      <c r="C18" s="2">
        <v>2026</v>
      </c>
      <c r="G18" s="22"/>
      <c r="H18" s="22"/>
      <c r="I18" s="23"/>
      <c r="J18" s="23"/>
      <c r="K18" s="23"/>
      <c r="L18" s="23"/>
      <c r="M18" s="23"/>
    </row>
    <row r="19" spans="1:19">
      <c r="A19" s="3" t="s">
        <v>23</v>
      </c>
      <c r="B19" s="2">
        <v>5</v>
      </c>
      <c r="C19" s="2">
        <v>2026</v>
      </c>
      <c r="G19" s="22"/>
      <c r="H19" s="22"/>
      <c r="I19" s="23"/>
      <c r="J19" s="23"/>
      <c r="K19" s="23"/>
      <c r="L19" s="23"/>
      <c r="M19" s="23"/>
    </row>
    <row r="20" spans="1:19">
      <c r="A20" s="3" t="s">
        <v>23</v>
      </c>
      <c r="B20" s="2">
        <v>6</v>
      </c>
      <c r="C20" s="2">
        <v>2026</v>
      </c>
      <c r="G20" s="22"/>
      <c r="H20" s="22"/>
      <c r="I20" s="23"/>
      <c r="J20" s="23"/>
      <c r="K20" s="23"/>
      <c r="L20" s="23"/>
      <c r="M20" s="23"/>
    </row>
    <row r="21" spans="1:19">
      <c r="A21" s="3" t="s">
        <v>23</v>
      </c>
      <c r="B21" s="2">
        <v>7</v>
      </c>
      <c r="C21" s="2">
        <v>2026</v>
      </c>
      <c r="G21" s="22"/>
      <c r="H21" s="22"/>
      <c r="I21" s="23"/>
      <c r="J21" s="23"/>
      <c r="K21" s="23"/>
      <c r="L21" s="23"/>
      <c r="M21" s="23"/>
    </row>
    <row r="22" spans="1:19">
      <c r="A22" s="3" t="s">
        <v>23</v>
      </c>
      <c r="B22" s="2">
        <v>8</v>
      </c>
      <c r="C22" s="2">
        <v>2026</v>
      </c>
      <c r="G22" s="22"/>
      <c r="H22" s="22"/>
      <c r="I22" s="23"/>
      <c r="J22" s="23"/>
      <c r="K22" s="23"/>
      <c r="L22" s="23"/>
      <c r="M22" s="23"/>
    </row>
    <row r="23" spans="1:19">
      <c r="A23" s="3" t="s">
        <v>23</v>
      </c>
      <c r="B23" s="2">
        <v>9</v>
      </c>
      <c r="C23" s="2">
        <v>2026</v>
      </c>
      <c r="G23" s="22"/>
      <c r="H23" s="22"/>
      <c r="I23" s="23"/>
      <c r="J23" s="23"/>
      <c r="K23" s="23"/>
      <c r="L23" s="23"/>
      <c r="M23" s="23"/>
    </row>
    <row r="24" spans="1:19">
      <c r="A24" s="3" t="s">
        <v>23</v>
      </c>
      <c r="B24" s="2">
        <v>10</v>
      </c>
      <c r="C24" s="2">
        <v>2026</v>
      </c>
      <c r="G24" s="22"/>
      <c r="H24" s="22"/>
      <c r="I24" s="23"/>
      <c r="J24" s="23"/>
      <c r="K24" s="23"/>
      <c r="L24" s="23"/>
      <c r="M24" s="23"/>
    </row>
    <row r="25" spans="1:19">
      <c r="A25" s="3" t="s">
        <v>23</v>
      </c>
      <c r="B25" s="2">
        <v>11</v>
      </c>
      <c r="C25" s="2">
        <v>2026</v>
      </c>
      <c r="G25" s="22"/>
      <c r="H25" s="22"/>
      <c r="I25" s="23"/>
      <c r="J25" s="23"/>
      <c r="K25" s="23"/>
      <c r="L25" s="23"/>
      <c r="M25" s="23"/>
    </row>
    <row r="26" spans="1:19">
      <c r="A26" s="3" t="s">
        <v>23</v>
      </c>
      <c r="B26" s="2">
        <v>12</v>
      </c>
      <c r="C26" s="2">
        <v>2026</v>
      </c>
      <c r="G26" s="22"/>
      <c r="H26" s="22"/>
      <c r="I26" s="23"/>
      <c r="J26" s="23"/>
      <c r="K26" s="23"/>
      <c r="L26" s="23"/>
      <c r="M26" s="23"/>
    </row>
    <row r="27" spans="1:19">
      <c r="G27" s="22"/>
      <c r="H27" s="22"/>
      <c r="I27" s="23"/>
      <c r="J27" s="23"/>
      <c r="K27" s="23"/>
      <c r="L27" s="23"/>
      <c r="M27" s="23"/>
    </row>
    <row r="28" spans="1:19">
      <c r="G28" s="22"/>
      <c r="H28" s="22"/>
      <c r="I28" s="23"/>
      <c r="J28" s="23"/>
      <c r="K28" s="23"/>
      <c r="L28" s="23"/>
      <c r="M28" s="23"/>
    </row>
    <row r="29" spans="1:19">
      <c r="G29" s="22"/>
      <c r="H29" s="22"/>
      <c r="I29" s="23"/>
      <c r="J29" s="23"/>
      <c r="K29" s="23"/>
      <c r="L29" s="23"/>
      <c r="M29" s="23"/>
    </row>
    <row r="30" spans="1:19">
      <c r="G30" s="22"/>
      <c r="H30" s="22"/>
      <c r="I30" s="23"/>
      <c r="J30" s="23"/>
      <c r="K30" s="23"/>
      <c r="L30" s="23"/>
      <c r="M30" s="23"/>
    </row>
    <row r="31" spans="1:19">
      <c r="G31" s="22"/>
      <c r="H31" s="22"/>
      <c r="I31" s="23"/>
      <c r="J31" s="23"/>
      <c r="K31" s="23"/>
      <c r="L31" s="23"/>
      <c r="M31" s="23"/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textLength" errorStyle="information" allowBlank="1" showInputMessage="1" showErrorMessage="1" error="XLBVal:5=203721_x000d__x000a_" sqref="H3" xr:uid="{F6DAE73B-E740-4802-82C5-C4BC4F7E3E2F}">
      <formula1>0</formula1>
      <formula2>300</formula2>
    </dataValidation>
    <dataValidation type="textLength" errorStyle="information" allowBlank="1" showInputMessage="1" showErrorMessage="1" error="XLBVal:6=1710670_x000d__x000a_" sqref="G3" xr:uid="{BC77AD3E-D5D8-4AF2-BF07-795ABD609102}">
      <formula1>0</formula1>
      <formula2>300</formula2>
    </dataValidation>
  </dataValidations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09C72182CAC544B2C4ADDE16EBE5F1" ma:contentTypeVersion="7" ma:contentTypeDescription="Create a new document." ma:contentTypeScope="" ma:versionID="1a6f95feb66f292779fb7eb15b33cff6">
  <xsd:schema xmlns:xsd="http://www.w3.org/2001/XMLSchema" xmlns:xs="http://www.w3.org/2001/XMLSchema" xmlns:p="http://schemas.microsoft.com/office/2006/metadata/properties" xmlns:ns2="81912c4c-af67-4ddc-9961-b980021db1ae" targetNamespace="http://schemas.microsoft.com/office/2006/metadata/properties" ma:root="true" ma:fieldsID="4ff18ddf6f0cc6216082261f8ff05ea7" ns2:_="">
    <xsd:import namespace="81912c4c-af67-4ddc-9961-b980021db1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12c4c-af67-4ddc-9961-b980021db1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B5AB4E-5947-459A-8B30-F536081409FA}"/>
</file>

<file path=customXml/itemProps2.xml><?xml version="1.0" encoding="utf-8"?>
<ds:datastoreItem xmlns:ds="http://schemas.openxmlformats.org/officeDocument/2006/customXml" ds:itemID="{8832D275-BE64-46C6-9AD3-DA69B753AC53}"/>
</file>

<file path=customXml/itemProps3.xml><?xml version="1.0" encoding="utf-8"?>
<ds:datastoreItem xmlns:ds="http://schemas.openxmlformats.org/officeDocument/2006/customXml" ds:itemID="{C87ACB08-135B-4E38-BF37-F42E92F634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Tejbir Singh</cp:lastModifiedBy>
  <cp:revision/>
  <dcterms:created xsi:type="dcterms:W3CDTF">2020-11-09T05:02:29Z</dcterms:created>
  <dcterms:modified xsi:type="dcterms:W3CDTF">2026-03-02T07:19:37Z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0x0101008A09C72182CAC544B2C4ADDE16EBE5F1</vt:lpwstr>
  </property>
</Properties>
</file>