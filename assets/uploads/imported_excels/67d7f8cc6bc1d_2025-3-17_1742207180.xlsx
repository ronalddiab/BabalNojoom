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3/"/>
    </mc:Choice>
  </mc:AlternateContent>
  <xr:revisionPtr revIDLastSave="594" documentId="8_{8847650D-614C-4264-8C87-30D8B5EB4252}" xr6:coauthVersionLast="47" xr6:coauthVersionMax="47" xr10:uidLastSave="{6454EA9C-C4E8-403C-A067-ACD0BC88ED80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LPG!$A$3:$C$3</definedName>
    <definedName name="_xlnm.Print_Area" localSheetId="2">LPG!$A$1:$C$36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C4" i="6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P6" i="5"/>
  <c r="O6" i="5"/>
  <c r="N6" i="5"/>
  <c r="M6" i="5"/>
  <c r="L6" i="5"/>
  <c r="K6" i="5"/>
  <c r="J6" i="5"/>
  <c r="I6" i="5"/>
  <c r="H6" i="5"/>
  <c r="G6" i="5"/>
  <c r="F6" i="5"/>
  <c r="E6" i="5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E15" i="5" l="1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  <author>tc={5A4F7C37-7463-4F57-B2F7-3EB8AF51A8B9}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1" shapeId="0" xr:uid="{5A4F7C37-7463-4F57-B2F7-3EB8AF51A8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READING </t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<sst xmlns="http://schemas.openxmlformats.org/spreadsheetml/2006/main" count="122" uniqueCount="87">
  <si>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</si>
  <si>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</si>
  <si>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</si>
  <si>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</si>
  <si>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</si>
  <si>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</si>
  <si>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</si>
  <si>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</si>
  <si>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</si>
  <si>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</si>
  <si>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</si>
  <si>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</si>
  <si>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</si>
  <si>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</si>
  <si>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</si>
  <si>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</si>
  <si>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</si>
  <si>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</si>
  <si>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</si>
  <si>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</si>
  <si>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</si>
  <si>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</si>
  <si>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</si>
  <si>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</si>
  <si>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</si>
  <si>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</si>
  <si>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</si>
  <si>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</si>
  <si>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</si>
  <si>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</si>
  <si>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</si>
  <si>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</si>
  <si>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</si>
  <si>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</si>
  <si>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</si>
  <si>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</si>
  <si>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</si>
  <si>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</si>
  <si>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</si>
  <si>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</si>
  <si>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</si>
  <si>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</si>
  <si>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</si>
  <si>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</si>
  <si>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</si>
  <si>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</si>
  <si>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</si>
  <si>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</si>
  <si>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</si>
  <si>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</si>
  <si>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</si>
  <si>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</si>
  <si>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</si>
  <si>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</si>
  <si>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</si>
  <si>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</si>
  <si>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</si>
  <si>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</si>
  <si>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</si>
  <si>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</si>
  <si>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</si>
  <si>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</si>
  <si>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</si>
  <si>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</si>
  <si>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</si>
  <si>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</si>
  <si>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</si>
  <si>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</si>
  <si>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</si>
  <si>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</si>
  <si>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</si>
  <si>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</si>
  <si>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</si>
  <si>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</si>
  <si>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</si>
  <si>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</si>
  <si>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</si>
  <si>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</si>
  <si>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</si>
  <si>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Occupied</t>
  </si>
  <si>
    <t># Guest</t>
  </si>
  <si>
    <t>Date</t>
  </si>
  <si>
    <t>TOTAL MTD</t>
  </si>
  <si>
    <t>DAILY ELECTRICITY METER READINGS &amp; CONSUMPTION APRIL 2024</t>
  </si>
  <si>
    <t>Occupied Room &amp; Number of Guest
April 2023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</si>
  <si>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APRIL  2023</t>
    </r>
  </si>
  <si>
    <t>DAILY GAS METER READINGS &amp; CONSUMPTION (Liters) APRIL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</si>
</sst>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MS Operator Park Rotana" id="{4D9639A8-D896-47F2-8D5B-4C077973E6A9}" userId="S::bms.park@rotana.com::3c5fb006-525e-436b-b7c7-7f78db1fde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1" dT="2023-04-06T21:31:59.52" personId="{4D9639A8-D896-47F2-8D5B-4C077973E6A9}" id="{5A4F7C37-7463-4F57-B2F7-3EB8AF51A8B9}">
    <text xml:space="preserve">NO READING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G2" sqref="G2:G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4</v>
      </c>
      <c r="D2" s="10">
        <v>2023</v>
      </c>
      <c r="E2" s="4" cm="1">
        <f t="array" ref="E2:E32">TRANSPOSE(Electricity!E21:AI21)</f>
        <v>30473.800000000003</v>
      </c>
      <c r="F2" s="11">
        <v>0.2</v>
      </c>
      <c r="G2" s="4">
        <f>LPG!C4</f>
        <v>2040.2</v>
      </c>
      <c r="H2" s="11">
        <v>1.66</v>
      </c>
      <c r="I2" s="4" cm="1">
        <f t="array" ref="I2:I32">TRANSPOSE(Water!E15:AI15)</f>
        <v>272.87599999998224</v>
      </c>
      <c r="J2" s="11">
        <v>7.84</v>
      </c>
      <c r="K2" s="4">
        <f>'Occupied &amp; No. of Guest'!B3</f>
        <v>214</v>
      </c>
      <c r="L2" s="4">
        <f>'Occupied &amp; No. of Guest'!C3</f>
        <v>308</v>
      </c>
    </row>
    <row r="3" spans="1:12" x14ac:dyDescent="0.25">
      <c r="A3" s="9" t="s">
        <v>52</v>
      </c>
      <c r="B3" s="10">
        <f>B2+1</f>
        <v>2</v>
      </c>
      <c r="C3" s="10">
        <v>4</v>
      </c>
      <c r="D3" s="10">
        <v>2023</v>
      </c>
      <c r="E3" s="4">
        <v>28425.200000000001</v>
      </c>
      <c r="F3" s="11">
        <v>0.2</v>
      </c>
      <c r="G3" s="4">
        <f>LPG!C5</f>
        <v>2040.2</v>
      </c>
      <c r="H3" s="11">
        <v>1.66</v>
      </c>
      <c r="I3" s="4">
        <v>239.18199999999871</v>
      </c>
      <c r="J3" s="11">
        <v>7.84</v>
      </c>
      <c r="K3" s="4">
        <f>'Occupied &amp; No. of Guest'!B4</f>
        <v>200</v>
      </c>
      <c r="L3" s="4">
        <f>'Occupied &amp; No. of Guest'!C4</f>
        <v>272</v>
      </c>
    </row>
    <row r="4" spans="1:12" x14ac:dyDescent="0.25">
      <c r="A4" s="9" t="s">
        <v>52</v>
      </c>
      <c r="B4" s="10">
        <f t="shared" ref="B4:B32" si="0">B3+1</f>
        <v>3</v>
      </c>
      <c r="C4" s="10">
        <v>4</v>
      </c>
      <c r="D4" s="10">
        <v>2023</v>
      </c>
      <c r="E4" s="4">
        <v>29155.200000000001</v>
      </c>
      <c r="F4" s="11">
        <v>0.2</v>
      </c>
      <c r="G4" s="4">
        <f>LPG!C6</f>
        <v>2040.2</v>
      </c>
      <c r="H4" s="11">
        <v>1.66</v>
      </c>
      <c r="I4" s="4">
        <v>257.38700000000642</v>
      </c>
      <c r="J4" s="11">
        <v>7.84</v>
      </c>
      <c r="K4" s="4">
        <f>'Occupied &amp; No. of Guest'!B5</f>
        <v>218</v>
      </c>
      <c r="L4" s="4">
        <f>'Occupied &amp; No. of Guest'!C5</f>
        <v>295</v>
      </c>
    </row>
    <row r="5" spans="1:12" x14ac:dyDescent="0.25">
      <c r="A5" s="9" t="s">
        <v>52</v>
      </c>
      <c r="B5" s="10">
        <f t="shared" si="0"/>
        <v>4</v>
      </c>
      <c r="C5" s="10">
        <v>4</v>
      </c>
      <c r="D5" s="10">
        <v>2023</v>
      </c>
      <c r="E5" s="4">
        <v>28865.4</v>
      </c>
      <c r="F5" s="11">
        <v>0.2</v>
      </c>
      <c r="G5" s="4">
        <f>LPG!C7</f>
        <v>2040.2</v>
      </c>
      <c r="H5" s="11">
        <v>1.66</v>
      </c>
      <c r="I5" s="4">
        <v>289.43299999999465</v>
      </c>
      <c r="J5" s="11">
        <v>7.84</v>
      </c>
      <c r="K5" s="4">
        <f>'Occupied &amp; No. of Guest'!B6</f>
        <v>211</v>
      </c>
      <c r="L5" s="4">
        <f>'Occupied &amp; No. of Guest'!C6</f>
        <v>292</v>
      </c>
    </row>
    <row r="6" spans="1:12" x14ac:dyDescent="0.25">
      <c r="A6" s="9" t="s">
        <v>52</v>
      </c>
      <c r="B6" s="10">
        <f t="shared" si="0"/>
        <v>5</v>
      </c>
      <c r="C6" s="10">
        <v>4</v>
      </c>
      <c r="D6" s="10">
        <v>2023</v>
      </c>
      <c r="E6" s="4">
        <v>31403.599999999999</v>
      </c>
      <c r="F6" s="11">
        <v>0.2</v>
      </c>
      <c r="G6" s="4">
        <f>LPG!C8</f>
        <v>2040.2</v>
      </c>
      <c r="H6" s="11">
        <v>1.66</v>
      </c>
      <c r="I6" s="4">
        <v>282.08200000003905</v>
      </c>
      <c r="J6" s="11">
        <v>7.84</v>
      </c>
      <c r="K6" s="4">
        <f>'Occupied &amp; No. of Guest'!B7</f>
        <v>169</v>
      </c>
      <c r="L6" s="4">
        <f>'Occupied &amp; No. of Guest'!C7</f>
        <v>221</v>
      </c>
    </row>
    <row r="7" spans="1:12" x14ac:dyDescent="0.25">
      <c r="A7" s="9" t="s">
        <v>52</v>
      </c>
      <c r="B7" s="10">
        <f t="shared" si="0"/>
        <v>6</v>
      </c>
      <c r="C7" s="10">
        <v>4</v>
      </c>
      <c r="D7" s="10">
        <v>2023</v>
      </c>
      <c r="E7" s="4">
        <v>29824</v>
      </c>
      <c r="F7" s="11">
        <v>0.2</v>
      </c>
      <c r="G7" s="4">
        <f>LPG!C9</f>
        <v>2040.2</v>
      </c>
      <c r="H7" s="11">
        <v>1.66</v>
      </c>
      <c r="I7" s="4">
        <v>305.28499999997149</v>
      </c>
      <c r="J7" s="11">
        <v>7.84</v>
      </c>
      <c r="K7" s="4">
        <f>'Occupied &amp; No. of Guest'!B8</f>
        <v>236</v>
      </c>
      <c r="L7" s="4">
        <f>'Occupied &amp; No. of Guest'!C8</f>
        <v>333</v>
      </c>
    </row>
    <row r="8" spans="1:12" x14ac:dyDescent="0.25">
      <c r="A8" s="9" t="s">
        <v>52</v>
      </c>
      <c r="B8" s="10">
        <f t="shared" si="0"/>
        <v>7</v>
      </c>
      <c r="C8" s="10">
        <v>4</v>
      </c>
      <c r="D8" s="10">
        <v>2023</v>
      </c>
      <c r="E8" s="4">
        <v>30804.799999999999</v>
      </c>
      <c r="F8" s="11">
        <v>0.2</v>
      </c>
      <c r="G8" s="4">
        <f>LPG!C10</f>
        <v>2040.2</v>
      </c>
      <c r="H8" s="11">
        <v>1.66</v>
      </c>
      <c r="I8" s="4">
        <v>223.28799999996627</v>
      </c>
      <c r="J8" s="11">
        <v>7.84</v>
      </c>
      <c r="K8" s="4">
        <f>'Occupied &amp; No. of Guest'!B9</f>
        <v>198</v>
      </c>
      <c r="L8" s="4">
        <f>'Occupied &amp; No. of Guest'!C9</f>
        <v>307</v>
      </c>
    </row>
    <row r="9" spans="1:12" x14ac:dyDescent="0.25">
      <c r="A9" s="9" t="s">
        <v>52</v>
      </c>
      <c r="B9" s="10">
        <f t="shared" si="0"/>
        <v>8</v>
      </c>
      <c r="C9" s="10">
        <v>4</v>
      </c>
      <c r="D9" s="10">
        <v>2023</v>
      </c>
      <c r="E9" s="4">
        <v>30414.6</v>
      </c>
      <c r="F9" s="11">
        <v>0.2</v>
      </c>
      <c r="G9" s="4">
        <f>LPG!C11</f>
        <v>2040.2</v>
      </c>
      <c r="H9" s="11">
        <v>1.66</v>
      </c>
      <c r="I9" s="4">
        <v>295.58100000004532</v>
      </c>
      <c r="J9" s="11">
        <v>7.84</v>
      </c>
      <c r="K9" s="4">
        <f>'Occupied &amp; No. of Guest'!B10</f>
        <v>308</v>
      </c>
      <c r="L9" s="4">
        <f>'Occupied &amp; No. of Guest'!C10</f>
        <v>507</v>
      </c>
    </row>
    <row r="10" spans="1:12" x14ac:dyDescent="0.25">
      <c r="A10" s="9" t="s">
        <v>52</v>
      </c>
      <c r="B10" s="10">
        <f t="shared" si="0"/>
        <v>9</v>
      </c>
      <c r="C10" s="10">
        <v>4</v>
      </c>
      <c r="D10" s="10">
        <v>2023</v>
      </c>
      <c r="E10" s="4">
        <v>31149.599999999999</v>
      </c>
      <c r="F10" s="11">
        <v>0.2</v>
      </c>
      <c r="G10" s="4">
        <f>LPG!C12</f>
        <v>2040.2</v>
      </c>
      <c r="H10" s="11">
        <v>1.66</v>
      </c>
      <c r="I10" s="4">
        <v>294.05099999997145</v>
      </c>
      <c r="J10" s="11">
        <v>7.84</v>
      </c>
      <c r="K10" s="4">
        <f>'Occupied &amp; No. of Guest'!B11</f>
        <v>305</v>
      </c>
      <c r="L10" s="4">
        <f>'Occupied &amp; No. of Guest'!C11</f>
        <v>428</v>
      </c>
    </row>
    <row r="11" spans="1:12" x14ac:dyDescent="0.25">
      <c r="A11" s="9" t="s">
        <v>52</v>
      </c>
      <c r="B11" s="10">
        <f t="shared" si="0"/>
        <v>10</v>
      </c>
      <c r="C11" s="10">
        <v>4</v>
      </c>
      <c r="D11" s="10">
        <v>2023</v>
      </c>
      <c r="E11" s="4">
        <v>32564</v>
      </c>
      <c r="F11" s="11">
        <v>0.2</v>
      </c>
      <c r="G11" s="4">
        <f>LPG!C13</f>
        <v>2040.2</v>
      </c>
      <c r="H11" s="11">
        <v>1.66</v>
      </c>
      <c r="I11" s="4">
        <v>321.67500000001291</v>
      </c>
      <c r="J11" s="11">
        <v>7.84</v>
      </c>
      <c r="K11" s="4">
        <f>'Occupied &amp; No. of Guest'!B12</f>
        <v>290</v>
      </c>
      <c r="L11" s="4">
        <f>'Occupied &amp; No. of Guest'!C12</f>
        <v>411</v>
      </c>
    </row>
    <row r="12" spans="1:12" x14ac:dyDescent="0.25">
      <c r="A12" s="9" t="s">
        <v>52</v>
      </c>
      <c r="B12" s="10">
        <f t="shared" si="0"/>
        <v>11</v>
      </c>
      <c r="C12" s="10">
        <v>4</v>
      </c>
      <c r="D12" s="10">
        <v>2023</v>
      </c>
      <c r="E12" s="4">
        <v>33505.599999999999</v>
      </c>
      <c r="F12" s="11">
        <v>0.2</v>
      </c>
      <c r="G12" s="4">
        <f>LPG!C14</f>
        <v>2040.2</v>
      </c>
      <c r="H12" s="11">
        <v>1.66</v>
      </c>
      <c r="I12" s="4">
        <v>272.44199999999245</v>
      </c>
      <c r="J12" s="11">
        <v>7.84</v>
      </c>
      <c r="K12" s="4">
        <f>'Occupied &amp; No. of Guest'!B13</f>
        <v>258</v>
      </c>
      <c r="L12" s="4">
        <f>'Occupied &amp; No. of Guest'!C13</f>
        <v>346</v>
      </c>
    </row>
    <row r="13" spans="1:12" x14ac:dyDescent="0.25">
      <c r="A13" s="9" t="s">
        <v>52</v>
      </c>
      <c r="B13" s="10">
        <f t="shared" si="0"/>
        <v>12</v>
      </c>
      <c r="C13" s="10">
        <v>4</v>
      </c>
      <c r="D13" s="10">
        <v>2023</v>
      </c>
      <c r="E13" s="4">
        <v>34521.599999999999</v>
      </c>
      <c r="F13" s="11">
        <v>0.2</v>
      </c>
      <c r="G13" s="4">
        <f>LPG!C15</f>
        <v>2040.2</v>
      </c>
      <c r="H13" s="11">
        <v>1.66</v>
      </c>
      <c r="I13" s="4">
        <v>336.78600000001273</v>
      </c>
      <c r="J13" s="11">
        <v>7.84</v>
      </c>
      <c r="K13" s="4">
        <f>'Occupied &amp; No. of Guest'!B14</f>
        <v>213</v>
      </c>
      <c r="L13" s="4">
        <f>'Occupied &amp; No. of Guest'!C14</f>
        <v>282</v>
      </c>
    </row>
    <row r="14" spans="1:12" x14ac:dyDescent="0.25">
      <c r="A14" s="9" t="s">
        <v>52</v>
      </c>
      <c r="B14" s="10">
        <f t="shared" si="0"/>
        <v>13</v>
      </c>
      <c r="C14" s="10">
        <v>4</v>
      </c>
      <c r="D14" s="10">
        <v>2023</v>
      </c>
      <c r="E14" s="4">
        <v>35576.400000000001</v>
      </c>
      <c r="F14" s="11">
        <v>0.2</v>
      </c>
      <c r="G14" s="4">
        <f>LPG!C16</f>
        <v>2040.2</v>
      </c>
      <c r="H14" s="11">
        <v>1.66</v>
      </c>
      <c r="I14" s="4">
        <v>104.81300000000006</v>
      </c>
      <c r="J14" s="11">
        <v>7.84</v>
      </c>
      <c r="K14" s="4">
        <f>'Occupied &amp; No. of Guest'!B15</f>
        <v>213</v>
      </c>
      <c r="L14" s="4">
        <f>'Occupied &amp; No. of Guest'!C15</f>
        <v>300</v>
      </c>
    </row>
    <row r="15" spans="1:12" x14ac:dyDescent="0.25">
      <c r="A15" s="9" t="s">
        <v>52</v>
      </c>
      <c r="B15" s="10">
        <f t="shared" si="0"/>
        <v>14</v>
      </c>
      <c r="C15" s="10">
        <v>4</v>
      </c>
      <c r="D15" s="10">
        <v>2023</v>
      </c>
      <c r="E15" s="4">
        <v>33703.599999999999</v>
      </c>
      <c r="F15" s="11">
        <v>0.2</v>
      </c>
      <c r="G15" s="4">
        <f>LPG!C17</f>
        <v>2040.2</v>
      </c>
      <c r="H15" s="11">
        <v>1.66</v>
      </c>
      <c r="I15" s="4">
        <v>151.25500000001048</v>
      </c>
      <c r="J15" s="11">
        <v>7.84</v>
      </c>
      <c r="K15" s="4">
        <f>'Occupied &amp; No. of Guest'!B16</f>
        <v>223</v>
      </c>
      <c r="L15" s="4">
        <f>'Occupied &amp; No. of Guest'!C16</f>
        <v>312</v>
      </c>
    </row>
    <row r="16" spans="1:12" x14ac:dyDescent="0.25">
      <c r="A16" s="9" t="s">
        <v>52</v>
      </c>
      <c r="B16" s="10">
        <f t="shared" si="0"/>
        <v>15</v>
      </c>
      <c r="C16" s="10">
        <v>4</v>
      </c>
      <c r="D16" s="10">
        <v>2023</v>
      </c>
      <c r="E16" s="4">
        <v>34382.6</v>
      </c>
      <c r="F16" s="11">
        <v>0.2</v>
      </c>
      <c r="G16" s="4">
        <f>LPG!C18</f>
        <v>2040.2</v>
      </c>
      <c r="H16" s="11">
        <v>1.66</v>
      </c>
      <c r="I16" s="4">
        <v>302.42099999998953</v>
      </c>
      <c r="J16" s="11">
        <v>7.84</v>
      </c>
      <c r="K16" s="4">
        <f>'Occupied &amp; No. of Guest'!B17</f>
        <v>234</v>
      </c>
      <c r="L16" s="4">
        <f>'Occupied &amp; No. of Guest'!C17</f>
        <v>318</v>
      </c>
    </row>
    <row r="17" spans="1:12" x14ac:dyDescent="0.25">
      <c r="A17" s="9" t="s">
        <v>52</v>
      </c>
      <c r="B17" s="10">
        <f t="shared" si="0"/>
        <v>16</v>
      </c>
      <c r="C17" s="10">
        <v>4</v>
      </c>
      <c r="D17" s="10">
        <v>2023</v>
      </c>
      <c r="E17" s="4">
        <v>32366.400000000001</v>
      </c>
      <c r="F17" s="11">
        <v>0.2</v>
      </c>
      <c r="G17" s="4">
        <f>LPG!C19</f>
        <v>2040.2</v>
      </c>
      <c r="H17" s="11">
        <v>1.66</v>
      </c>
      <c r="I17" s="4">
        <v>250.16399999999476</v>
      </c>
      <c r="J17" s="11">
        <v>7.84</v>
      </c>
      <c r="K17" s="4">
        <f>'Occupied &amp; No. of Guest'!B18</f>
        <v>271</v>
      </c>
      <c r="L17" s="4">
        <f>'Occupied &amp; No. of Guest'!C18</f>
        <v>384</v>
      </c>
    </row>
    <row r="18" spans="1:12" x14ac:dyDescent="0.25">
      <c r="A18" s="9" t="s">
        <v>52</v>
      </c>
      <c r="B18" s="10">
        <f t="shared" si="0"/>
        <v>17</v>
      </c>
      <c r="C18" s="10">
        <v>4</v>
      </c>
      <c r="D18" s="10">
        <v>2023</v>
      </c>
      <c r="E18" s="4">
        <v>31270</v>
      </c>
      <c r="F18" s="11">
        <v>0.2</v>
      </c>
      <c r="G18" s="4">
        <f>LPG!C20</f>
        <v>2040.2</v>
      </c>
      <c r="H18" s="11">
        <v>1.66</v>
      </c>
      <c r="I18" s="4">
        <v>201.13700000000003</v>
      </c>
      <c r="J18" s="11">
        <v>7.84</v>
      </c>
      <c r="K18" s="4">
        <f>'Occupied &amp; No. of Guest'!B19</f>
        <v>283</v>
      </c>
      <c r="L18" s="4">
        <f>'Occupied &amp; No. of Guest'!C19</f>
        <v>395</v>
      </c>
    </row>
    <row r="19" spans="1:12" x14ac:dyDescent="0.25">
      <c r="A19" s="9" t="s">
        <v>52</v>
      </c>
      <c r="B19" s="10">
        <f t="shared" si="0"/>
        <v>18</v>
      </c>
      <c r="C19" s="10">
        <v>4</v>
      </c>
      <c r="D19" s="10">
        <v>2023</v>
      </c>
      <c r="E19" s="4">
        <v>32129.200000000001</v>
      </c>
      <c r="F19" s="11">
        <v>0.2</v>
      </c>
      <c r="G19" s="4">
        <f>LPG!C21</f>
        <v>2040.2</v>
      </c>
      <c r="H19" s="11">
        <v>1.66</v>
      </c>
      <c r="I19" s="4">
        <v>260.60500000002105</v>
      </c>
      <c r="J19" s="11">
        <v>7.84</v>
      </c>
      <c r="K19" s="4">
        <f>'Occupied &amp; No. of Guest'!B20</f>
        <v>210</v>
      </c>
      <c r="L19" s="4">
        <f>'Occupied &amp; No. of Guest'!C20</f>
        <v>309</v>
      </c>
    </row>
    <row r="20" spans="1:12" x14ac:dyDescent="0.25">
      <c r="A20" s="9" t="s">
        <v>52</v>
      </c>
      <c r="B20" s="10">
        <f t="shared" si="0"/>
        <v>19</v>
      </c>
      <c r="C20" s="10">
        <v>4</v>
      </c>
      <c r="D20" s="10">
        <v>2023</v>
      </c>
      <c r="E20" s="4">
        <v>32782.6</v>
      </c>
      <c r="F20" s="11">
        <v>0.2</v>
      </c>
      <c r="G20" s="4">
        <f>LPG!C22</f>
        <v>2040.2</v>
      </c>
      <c r="H20" s="11">
        <v>1.66</v>
      </c>
      <c r="I20" s="4">
        <v>228.37299999998396</v>
      </c>
      <c r="J20" s="11">
        <v>7.84</v>
      </c>
      <c r="K20" s="4">
        <f>'Occupied &amp; No. of Guest'!B21</f>
        <v>164</v>
      </c>
      <c r="L20" s="4">
        <f>'Occupied &amp; No. of Guest'!C21</f>
        <v>249</v>
      </c>
    </row>
    <row r="21" spans="1:12" x14ac:dyDescent="0.25">
      <c r="A21" s="9" t="s">
        <v>52</v>
      </c>
      <c r="B21" s="10">
        <f t="shared" si="0"/>
        <v>20</v>
      </c>
      <c r="C21" s="10">
        <v>4</v>
      </c>
      <c r="D21" s="10">
        <v>2023</v>
      </c>
      <c r="E21" s="4">
        <v>32114.2</v>
      </c>
      <c r="F21" s="11">
        <v>0.2</v>
      </c>
      <c r="G21" s="4">
        <f>LPG!C23</f>
        <v>2040.2</v>
      </c>
      <c r="H21" s="11">
        <v>1.66</v>
      </c>
      <c r="I21" s="4">
        <v>226.07600000000537</v>
      </c>
      <c r="J21" s="11">
        <v>7.84</v>
      </c>
      <c r="K21" s="4">
        <f>'Occupied &amp; No. of Guest'!B22</f>
        <v>196</v>
      </c>
      <c r="L21" s="4">
        <f>'Occupied &amp; No. of Guest'!C22</f>
        <v>335</v>
      </c>
    </row>
    <row r="22" spans="1:12" x14ac:dyDescent="0.25">
      <c r="A22" s="9" t="s">
        <v>52</v>
      </c>
      <c r="B22" s="10">
        <f t="shared" si="0"/>
        <v>21</v>
      </c>
      <c r="C22" s="10">
        <v>4</v>
      </c>
      <c r="D22" s="10">
        <v>2023</v>
      </c>
      <c r="E22" s="4">
        <v>29263.599999999999</v>
      </c>
      <c r="F22" s="11">
        <v>0.2</v>
      </c>
      <c r="G22" s="4">
        <f>LPG!C24</f>
        <v>2040.2</v>
      </c>
      <c r="H22" s="11">
        <v>1.66</v>
      </c>
      <c r="I22" s="4">
        <v>164.47800000001038</v>
      </c>
      <c r="J22" s="11">
        <v>7.84</v>
      </c>
      <c r="K22" s="4">
        <f>'Occupied &amp; No. of Guest'!B23</f>
        <v>297</v>
      </c>
      <c r="L22" s="4">
        <f>'Occupied &amp; No. of Guest'!C23</f>
        <v>563</v>
      </c>
    </row>
    <row r="23" spans="1:12" x14ac:dyDescent="0.25">
      <c r="A23" s="9" t="s">
        <v>52</v>
      </c>
      <c r="B23" s="10">
        <f t="shared" si="0"/>
        <v>22</v>
      </c>
      <c r="C23" s="10">
        <v>4</v>
      </c>
      <c r="D23" s="10">
        <v>2023</v>
      </c>
      <c r="E23" s="4">
        <v>32291.599999999999</v>
      </c>
      <c r="F23" s="11">
        <v>0.2</v>
      </c>
      <c r="G23" s="4">
        <f>LPG!C25</f>
        <v>2040.2</v>
      </c>
      <c r="H23" s="11">
        <v>1.66</v>
      </c>
      <c r="I23" s="4">
        <v>309.44300000000021</v>
      </c>
      <c r="J23" s="11">
        <v>7.84</v>
      </c>
      <c r="K23" s="4">
        <f>'Occupied &amp; No. of Guest'!B24</f>
        <v>417</v>
      </c>
      <c r="L23" s="4">
        <f>'Occupied &amp; No. of Guest'!C24</f>
        <v>791</v>
      </c>
    </row>
    <row r="24" spans="1:12" x14ac:dyDescent="0.25">
      <c r="A24" s="9" t="s">
        <v>52</v>
      </c>
      <c r="B24" s="10">
        <f t="shared" si="0"/>
        <v>23</v>
      </c>
      <c r="C24" s="10">
        <v>4</v>
      </c>
      <c r="D24" s="10">
        <v>2023</v>
      </c>
      <c r="E24" s="4">
        <v>33790</v>
      </c>
      <c r="F24" s="11">
        <v>0.2</v>
      </c>
      <c r="G24" s="4">
        <f>LPG!C26</f>
        <v>2040.2</v>
      </c>
      <c r="H24" s="11">
        <v>1.66</v>
      </c>
      <c r="I24" s="4">
        <v>266.32199999998431</v>
      </c>
      <c r="J24" s="11">
        <v>7.84</v>
      </c>
      <c r="K24" s="4">
        <f>'Occupied &amp; No. of Guest'!B25</f>
        <v>342</v>
      </c>
      <c r="L24" s="4">
        <f>'Occupied &amp; No. of Guest'!C25</f>
        <v>559</v>
      </c>
    </row>
    <row r="25" spans="1:12" x14ac:dyDescent="0.25">
      <c r="A25" s="9" t="s">
        <v>52</v>
      </c>
      <c r="B25" s="10">
        <f t="shared" si="0"/>
        <v>24</v>
      </c>
      <c r="C25" s="10">
        <v>4</v>
      </c>
      <c r="D25" s="10">
        <v>2023</v>
      </c>
      <c r="E25" s="4">
        <v>33272.199999999997</v>
      </c>
      <c r="F25" s="11">
        <v>0.2</v>
      </c>
      <c r="G25" s="4">
        <f>LPG!C27</f>
        <v>2040.2</v>
      </c>
      <c r="H25" s="11">
        <v>1.66</v>
      </c>
      <c r="I25" s="4">
        <v>331.05299999999477</v>
      </c>
      <c r="J25" s="11">
        <v>7.84</v>
      </c>
      <c r="K25" s="4">
        <f>'Occupied &amp; No. of Guest'!B26</f>
        <v>337</v>
      </c>
      <c r="L25" s="4">
        <f>'Occupied &amp; No. of Guest'!C26</f>
        <v>545</v>
      </c>
    </row>
    <row r="26" spans="1:12" x14ac:dyDescent="0.25">
      <c r="A26" s="9" t="s">
        <v>52</v>
      </c>
      <c r="B26" s="10">
        <f>B25+1</f>
        <v>25</v>
      </c>
      <c r="C26" s="10">
        <v>4</v>
      </c>
      <c r="D26" s="10">
        <v>2023</v>
      </c>
      <c r="E26" s="4">
        <v>34316.6</v>
      </c>
      <c r="F26" s="11">
        <v>0.2</v>
      </c>
      <c r="G26" s="4">
        <f>LPG!C28</f>
        <v>2040.2</v>
      </c>
      <c r="H26" s="11">
        <v>1.66</v>
      </c>
      <c r="I26" s="4">
        <v>323.63100000001049</v>
      </c>
      <c r="J26" s="11">
        <v>7.84</v>
      </c>
      <c r="K26" s="4">
        <f>'Occupied &amp; No. of Guest'!B27</f>
        <v>314</v>
      </c>
      <c r="L26" s="4">
        <f>'Occupied &amp; No. of Guest'!C27</f>
        <v>485</v>
      </c>
    </row>
    <row r="27" spans="1:12" x14ac:dyDescent="0.25">
      <c r="A27" s="9" t="s">
        <v>52</v>
      </c>
      <c r="B27" s="10">
        <f t="shared" si="0"/>
        <v>26</v>
      </c>
      <c r="C27" s="10">
        <v>4</v>
      </c>
      <c r="D27" s="10">
        <v>2023</v>
      </c>
      <c r="E27" s="4">
        <v>36467.4</v>
      </c>
      <c r="F27" s="11">
        <v>0.2</v>
      </c>
      <c r="G27" s="4">
        <f>LPG!C29</f>
        <v>2040.2</v>
      </c>
      <c r="H27" s="11">
        <v>1.66</v>
      </c>
      <c r="I27" s="4">
        <v>309.23600000001045</v>
      </c>
      <c r="J27" s="11">
        <v>7.84</v>
      </c>
      <c r="K27" s="4">
        <f>'Occupied &amp; No. of Guest'!B28</f>
        <v>340</v>
      </c>
      <c r="L27" s="4">
        <f>'Occupied &amp; No. of Guest'!C28</f>
        <v>533</v>
      </c>
    </row>
    <row r="28" spans="1:12" x14ac:dyDescent="0.25">
      <c r="A28" s="9" t="s">
        <v>52</v>
      </c>
      <c r="B28" s="10">
        <f t="shared" si="0"/>
        <v>27</v>
      </c>
      <c r="C28" s="10">
        <v>4</v>
      </c>
      <c r="D28" s="10">
        <v>2023</v>
      </c>
      <c r="E28" s="4">
        <v>34332.400000000001</v>
      </c>
      <c r="F28" s="11">
        <v>0.2</v>
      </c>
      <c r="G28" s="4">
        <f>LPG!C30</f>
        <v>2040.2</v>
      </c>
      <c r="H28" s="11">
        <v>1.66</v>
      </c>
      <c r="I28" s="4">
        <v>321.08699999997879</v>
      </c>
      <c r="J28" s="11">
        <v>7.84</v>
      </c>
      <c r="K28" s="4">
        <f>'Occupied &amp; No. of Guest'!B29</f>
        <v>360</v>
      </c>
      <c r="L28" s="4">
        <f>'Occupied &amp; No. of Guest'!C29</f>
        <v>556</v>
      </c>
    </row>
    <row r="29" spans="1:12" x14ac:dyDescent="0.25">
      <c r="A29" s="9" t="s">
        <v>52</v>
      </c>
      <c r="B29" s="10">
        <f t="shared" si="0"/>
        <v>28</v>
      </c>
      <c r="C29" s="10">
        <v>4</v>
      </c>
      <c r="D29" s="10">
        <v>2023</v>
      </c>
      <c r="E29" s="4">
        <v>33999.800000000003</v>
      </c>
      <c r="F29" s="11">
        <v>0.2</v>
      </c>
      <c r="G29" s="4">
        <f>LPG!C31</f>
        <v>2040.2</v>
      </c>
      <c r="H29" s="11">
        <v>1.66</v>
      </c>
      <c r="I29" s="4">
        <v>245.17900000000009</v>
      </c>
      <c r="J29" s="11">
        <v>7.84</v>
      </c>
      <c r="K29" s="4">
        <f>'Occupied &amp; No. of Guest'!B30</f>
        <v>370</v>
      </c>
      <c r="L29" s="4">
        <f>'Occupied &amp; No. of Guest'!C30</f>
        <v>596</v>
      </c>
    </row>
    <row r="30" spans="1:12" x14ac:dyDescent="0.25">
      <c r="A30" s="9" t="s">
        <v>52</v>
      </c>
      <c r="B30" s="10">
        <f t="shared" si="0"/>
        <v>29</v>
      </c>
      <c r="C30" s="10">
        <v>4</v>
      </c>
      <c r="D30" s="10">
        <v>2023</v>
      </c>
      <c r="E30" s="4">
        <v>34634.800000000003</v>
      </c>
      <c r="F30" s="11">
        <v>0.2</v>
      </c>
      <c r="G30" s="4">
        <f>LPG!C32</f>
        <v>2040.2</v>
      </c>
      <c r="H30" s="11">
        <v>1.66</v>
      </c>
      <c r="I30" s="4">
        <v>337.23100000000539</v>
      </c>
      <c r="J30" s="11">
        <v>7.84</v>
      </c>
      <c r="K30" s="4">
        <f>'Occupied &amp; No. of Guest'!B31</f>
        <v>358</v>
      </c>
      <c r="L30" s="4">
        <f>'Occupied &amp; No. of Guest'!C31</f>
        <v>585</v>
      </c>
    </row>
    <row r="31" spans="1:12" x14ac:dyDescent="0.25">
      <c r="A31" s="9" t="s">
        <v>52</v>
      </c>
      <c r="B31" s="10">
        <f t="shared" si="0"/>
        <v>30</v>
      </c>
      <c r="C31" s="10">
        <v>4</v>
      </c>
      <c r="D31" s="10">
        <v>2023</v>
      </c>
      <c r="E31" s="4">
        <v>33876.400000000001</v>
      </c>
      <c r="F31" s="11">
        <v>0.2</v>
      </c>
      <c r="G31" s="4">
        <f>LPG!C33</f>
        <v>2040.2</v>
      </c>
      <c r="H31" s="11">
        <v>1.66</v>
      </c>
      <c r="I31" s="4">
        <v>320.13200000000506</v>
      </c>
      <c r="J31" s="11">
        <v>7.84</v>
      </c>
      <c r="K31" s="4">
        <f>'Occupied &amp; No. of Guest'!B32</f>
        <v>228</v>
      </c>
      <c r="L31" s="4">
        <f>'Occupied &amp; No. of Guest'!C32</f>
        <v>314</v>
      </c>
    </row>
    <row r="32" spans="1:12" x14ac:dyDescent="0.25">
      <c r="A32" s="9" t="s">
        <v>52</v>
      </c>
      <c r="B32" s="10">
        <f t="shared" si="0"/>
        <v>31</v>
      </c>
      <c r="C32" s="10">
        <v>4</v>
      </c>
      <c r="D32" s="10">
        <v>2023</v>
      </c>
      <c r="E32" s="4">
        <v>0</v>
      </c>
      <c r="F32" s="11">
        <v>0.2</v>
      </c>
      <c r="G32" s="4">
        <f>LPG!C34</f>
        <v>0</v>
      </c>
      <c r="H32" s="11">
        <v>1.66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7" t="s">
        <v>83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1:67" s="14" customFormat="1" ht="29.25" customHeight="1" thickBot="1" x14ac:dyDescent="0.3"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2">
      <c r="A5" s="79">
        <v>1</v>
      </c>
      <c r="B5" s="20" t="s">
        <v>14</v>
      </c>
      <c r="C5" s="81" t="s">
        <v>15</v>
      </c>
      <c r="D5" s="21">
        <v>694196</v>
      </c>
      <c r="E5" s="21">
        <v>715665</v>
      </c>
      <c r="F5" s="21">
        <v>736603</v>
      </c>
      <c r="G5" s="21">
        <v>758302</v>
      </c>
      <c r="H5" s="21">
        <v>779442</v>
      </c>
      <c r="I5" s="21">
        <v>801787</v>
      </c>
      <c r="J5" s="21">
        <v>824430</v>
      </c>
      <c r="K5" s="21">
        <v>846879</v>
      </c>
      <c r="L5" s="21">
        <v>868833</v>
      </c>
      <c r="M5" s="21">
        <v>891139</v>
      </c>
      <c r="N5" s="21">
        <v>913706</v>
      </c>
      <c r="O5" s="21">
        <v>936206</v>
      </c>
      <c r="P5" s="21">
        <v>959331</v>
      </c>
      <c r="Q5" s="21">
        <v>982280</v>
      </c>
      <c r="R5" s="21">
        <v>1004682</v>
      </c>
      <c r="S5" s="21">
        <v>1027931</v>
      </c>
      <c r="T5" s="21">
        <v>1050492</v>
      </c>
      <c r="U5" s="21">
        <v>1072809</v>
      </c>
      <c r="V5" s="21">
        <v>1095243</v>
      </c>
      <c r="W5" s="21">
        <v>1117819</v>
      </c>
      <c r="X5" s="21">
        <v>1139699</v>
      </c>
      <c r="Y5" s="21">
        <v>1159455</v>
      </c>
      <c r="Z5" s="21">
        <v>1180851</v>
      </c>
      <c r="AA5" s="21">
        <v>1202940</v>
      </c>
      <c r="AB5" s="21">
        <v>1224657</v>
      </c>
      <c r="AC5" s="21">
        <v>1246488</v>
      </c>
      <c r="AD5" s="21">
        <v>1269592</v>
      </c>
      <c r="AE5" s="21">
        <v>1291761</v>
      </c>
      <c r="AF5" s="21">
        <v>1313884</v>
      </c>
      <c r="AG5" s="21">
        <v>1336762</v>
      </c>
      <c r="AH5" s="21">
        <v>1358906</v>
      </c>
      <c r="AI5" s="21"/>
    </row>
    <row r="6" spans="1:67" s="24" customFormat="1" ht="21.75" customHeight="1" thickBot="1" x14ac:dyDescent="0.25">
      <c r="A6" s="80"/>
      <c r="B6" s="22"/>
      <c r="C6" s="82"/>
      <c r="D6" s="23"/>
      <c r="E6" s="23">
        <f t="shared" ref="E6:AH6" si="0">E5-D5</f>
        <v>21469</v>
      </c>
      <c r="F6" s="23">
        <f t="shared" si="0"/>
        <v>20938</v>
      </c>
      <c r="G6" s="23">
        <f t="shared" si="0"/>
        <v>21699</v>
      </c>
      <c r="H6" s="23">
        <f t="shared" si="0"/>
        <v>21140</v>
      </c>
      <c r="I6" s="23">
        <f t="shared" si="0"/>
        <v>22345</v>
      </c>
      <c r="J6" s="23">
        <f t="shared" si="0"/>
        <v>22643</v>
      </c>
      <c r="K6" s="23">
        <f t="shared" si="0"/>
        <v>22449</v>
      </c>
      <c r="L6" s="23">
        <f t="shared" si="0"/>
        <v>21954</v>
      </c>
      <c r="M6" s="23">
        <f t="shared" si="0"/>
        <v>22306</v>
      </c>
      <c r="N6" s="23">
        <f t="shared" si="0"/>
        <v>22567</v>
      </c>
      <c r="O6" s="23">
        <f t="shared" si="0"/>
        <v>22500</v>
      </c>
      <c r="P6" s="23">
        <f t="shared" si="0"/>
        <v>23125</v>
      </c>
      <c r="Q6" s="23">
        <f t="shared" si="0"/>
        <v>22949</v>
      </c>
      <c r="R6" s="23">
        <f t="shared" si="0"/>
        <v>22402</v>
      </c>
      <c r="S6" s="23">
        <f t="shared" si="0"/>
        <v>23249</v>
      </c>
      <c r="T6" s="23">
        <f t="shared" si="0"/>
        <v>22561</v>
      </c>
      <c r="U6" s="23">
        <f t="shared" si="0"/>
        <v>22317</v>
      </c>
      <c r="V6" s="23">
        <f t="shared" si="0"/>
        <v>22434</v>
      </c>
      <c r="W6" s="23">
        <f t="shared" si="0"/>
        <v>22576</v>
      </c>
      <c r="X6" s="23">
        <f t="shared" si="0"/>
        <v>21880</v>
      </c>
      <c r="Y6" s="23">
        <f t="shared" si="0"/>
        <v>19756</v>
      </c>
      <c r="Z6" s="23">
        <f t="shared" si="0"/>
        <v>21396</v>
      </c>
      <c r="AA6" s="23">
        <f t="shared" si="0"/>
        <v>22089</v>
      </c>
      <c r="AB6" s="23">
        <f t="shared" si="0"/>
        <v>21717</v>
      </c>
      <c r="AC6" s="23">
        <f t="shared" si="0"/>
        <v>21831</v>
      </c>
      <c r="AD6" s="23">
        <f t="shared" si="0"/>
        <v>23104</v>
      </c>
      <c r="AE6" s="23">
        <f t="shared" si="0"/>
        <v>22169</v>
      </c>
      <c r="AF6" s="23">
        <f t="shared" si="0"/>
        <v>22123</v>
      </c>
      <c r="AG6" s="23">
        <f t="shared" si="0"/>
        <v>22878</v>
      </c>
      <c r="AH6" s="23">
        <f t="shared" si="0"/>
        <v>22144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3">
        <v>2</v>
      </c>
      <c r="B7" s="25" t="s">
        <v>16</v>
      </c>
      <c r="C7" s="85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25">
      <c r="A8" s="84"/>
      <c r="B8" s="22"/>
      <c r="C8" s="82"/>
      <c r="D8" s="23"/>
      <c r="E8" s="23">
        <f t="shared" ref="E8:AH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5">
        <v>3</v>
      </c>
      <c r="B9" s="36" t="s">
        <v>53</v>
      </c>
      <c r="C9" s="76" t="s">
        <v>54</v>
      </c>
      <c r="D9" s="21">
        <v>431759</v>
      </c>
      <c r="E9" s="21">
        <v>440909</v>
      </c>
      <c r="F9" s="21">
        <v>457461</v>
      </c>
      <c r="G9" s="21">
        <v>473957</v>
      </c>
      <c r="H9" s="21">
        <v>482860</v>
      </c>
      <c r="I9" s="21">
        <v>494185</v>
      </c>
      <c r="J9" s="21">
        <v>509967</v>
      </c>
      <c r="K9" s="21">
        <v>528642</v>
      </c>
      <c r="L9" s="21">
        <v>547653</v>
      </c>
      <c r="M9" s="21">
        <v>567511</v>
      </c>
      <c r="N9" s="21">
        <v>584421</v>
      </c>
      <c r="O9" s="21">
        <v>595650</v>
      </c>
      <c r="P9" s="21">
        <v>613308</v>
      </c>
      <c r="Q9" s="21">
        <v>626248</v>
      </c>
      <c r="R9" s="21">
        <v>637789</v>
      </c>
      <c r="S9" s="21">
        <v>647221</v>
      </c>
      <c r="T9" s="21">
        <v>659364</v>
      </c>
      <c r="U9" s="21">
        <v>679823</v>
      </c>
      <c r="V9" s="21">
        <v>694994</v>
      </c>
      <c r="W9" s="21">
        <v>703369</v>
      </c>
      <c r="X9" s="21">
        <v>710949</v>
      </c>
      <c r="Y9" s="21">
        <v>721054</v>
      </c>
      <c r="Z9" s="21">
        <v>738830</v>
      </c>
      <c r="AA9" s="21">
        <v>753446</v>
      </c>
      <c r="AB9" s="21">
        <v>771470</v>
      </c>
      <c r="AC9" s="21">
        <v>789690</v>
      </c>
      <c r="AD9" s="21">
        <v>808914</v>
      </c>
      <c r="AE9" s="21">
        <v>820866</v>
      </c>
      <c r="AF9" s="21">
        <v>832339</v>
      </c>
      <c r="AG9" s="21">
        <v>851562</v>
      </c>
      <c r="AH9" s="21">
        <v>870735</v>
      </c>
      <c r="AI9" s="21"/>
    </row>
    <row r="10" spans="1:67" s="24" customFormat="1" ht="21.75" customHeight="1" thickBot="1" x14ac:dyDescent="0.25">
      <c r="A10" s="71"/>
      <c r="B10" s="37"/>
      <c r="C10" s="74"/>
      <c r="D10" s="23"/>
      <c r="E10" s="23">
        <f t="shared" ref="E10:AH10" si="2">E9-D9</f>
        <v>9150</v>
      </c>
      <c r="F10" s="23">
        <f t="shared" si="2"/>
        <v>16552</v>
      </c>
      <c r="G10" s="23">
        <f t="shared" si="2"/>
        <v>16496</v>
      </c>
      <c r="H10" s="23">
        <f t="shared" si="2"/>
        <v>8903</v>
      </c>
      <c r="I10" s="23">
        <f t="shared" si="2"/>
        <v>11325</v>
      </c>
      <c r="J10" s="23">
        <f t="shared" si="2"/>
        <v>15782</v>
      </c>
      <c r="K10" s="23">
        <f t="shared" si="2"/>
        <v>18675</v>
      </c>
      <c r="L10" s="23">
        <f t="shared" si="2"/>
        <v>19011</v>
      </c>
      <c r="M10" s="23">
        <f t="shared" si="2"/>
        <v>19858</v>
      </c>
      <c r="N10" s="23">
        <f t="shared" si="2"/>
        <v>16910</v>
      </c>
      <c r="O10" s="23">
        <f t="shared" si="2"/>
        <v>11229</v>
      </c>
      <c r="P10" s="23">
        <f t="shared" si="2"/>
        <v>17658</v>
      </c>
      <c r="Q10" s="23">
        <f t="shared" si="2"/>
        <v>12940</v>
      </c>
      <c r="R10" s="23">
        <f t="shared" si="2"/>
        <v>11541</v>
      </c>
      <c r="S10" s="23">
        <f t="shared" si="2"/>
        <v>9432</v>
      </c>
      <c r="T10" s="23">
        <f t="shared" si="2"/>
        <v>12143</v>
      </c>
      <c r="U10" s="23">
        <f t="shared" si="2"/>
        <v>20459</v>
      </c>
      <c r="V10" s="23">
        <f t="shared" si="2"/>
        <v>15171</v>
      </c>
      <c r="W10" s="23">
        <f t="shared" si="2"/>
        <v>8375</v>
      </c>
      <c r="X10" s="23">
        <f t="shared" si="2"/>
        <v>7580</v>
      </c>
      <c r="Y10" s="23">
        <f t="shared" si="2"/>
        <v>10105</v>
      </c>
      <c r="Z10" s="23">
        <f t="shared" si="2"/>
        <v>17776</v>
      </c>
      <c r="AA10" s="23">
        <f t="shared" si="2"/>
        <v>14616</v>
      </c>
      <c r="AB10" s="23">
        <f t="shared" si="2"/>
        <v>18024</v>
      </c>
      <c r="AC10" s="23">
        <f t="shared" si="2"/>
        <v>18220</v>
      </c>
      <c r="AD10" s="23">
        <f t="shared" si="2"/>
        <v>19224</v>
      </c>
      <c r="AE10" s="23">
        <f t="shared" si="2"/>
        <v>11952</v>
      </c>
      <c r="AF10" s="23">
        <f t="shared" si="2"/>
        <v>11473</v>
      </c>
      <c r="AG10" s="23">
        <f t="shared" si="2"/>
        <v>19223</v>
      </c>
      <c r="AH10" s="23">
        <f t="shared" si="2"/>
        <v>19173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6">
        <v>4</v>
      </c>
      <c r="B11" s="36" t="s">
        <v>55</v>
      </c>
      <c r="C11" s="76" t="s">
        <v>56</v>
      </c>
      <c r="D11" s="21">
        <v>290573</v>
      </c>
      <c r="E11" s="21">
        <v>303240</v>
      </c>
      <c r="F11" s="21">
        <v>304746</v>
      </c>
      <c r="G11" s="21">
        <v>306223</v>
      </c>
      <c r="H11" s="21">
        <v>315996</v>
      </c>
      <c r="I11" s="21">
        <v>326615</v>
      </c>
      <c r="J11" s="21">
        <v>328098</v>
      </c>
      <c r="K11" s="21">
        <v>329600</v>
      </c>
      <c r="L11" s="21">
        <v>331098</v>
      </c>
      <c r="M11" s="21">
        <v>332659</v>
      </c>
      <c r="N11" s="21">
        <v>340049</v>
      </c>
      <c r="O11" s="21">
        <v>355659</v>
      </c>
      <c r="P11" s="21">
        <v>365850</v>
      </c>
      <c r="Q11" s="21">
        <v>383771</v>
      </c>
      <c r="R11" s="21">
        <v>399834</v>
      </c>
      <c r="S11" s="21">
        <v>417521</v>
      </c>
      <c r="T11" s="21">
        <v>429234</v>
      </c>
      <c r="U11" s="21">
        <v>430495</v>
      </c>
      <c r="V11" s="21">
        <v>438887</v>
      </c>
      <c r="W11" s="21">
        <v>455376</v>
      </c>
      <c r="X11" s="21">
        <v>472739</v>
      </c>
      <c r="Y11" s="21">
        <v>485678</v>
      </c>
      <c r="Z11" s="21">
        <v>494416</v>
      </c>
      <c r="AA11" s="21">
        <v>508310</v>
      </c>
      <c r="AB11" s="21">
        <v>518454</v>
      </c>
      <c r="AC11" s="21">
        <v>530683</v>
      </c>
      <c r="AD11" s="21">
        <v>544095</v>
      </c>
      <c r="AE11" s="21">
        <v>561784</v>
      </c>
      <c r="AF11" s="21">
        <v>579238</v>
      </c>
      <c r="AG11" s="21">
        <v>588702</v>
      </c>
      <c r="AH11" s="21">
        <v>598070</v>
      </c>
      <c r="AI11" s="21"/>
    </row>
    <row r="12" spans="1:67" s="38" customFormat="1" ht="21.75" customHeight="1" thickBot="1" x14ac:dyDescent="0.25">
      <c r="A12" s="73"/>
      <c r="B12" s="37"/>
      <c r="C12" s="74"/>
      <c r="D12" s="23"/>
      <c r="E12" s="23">
        <f t="shared" ref="E12:AH12" si="3">E11-D11</f>
        <v>12667</v>
      </c>
      <c r="F12" s="23">
        <f t="shared" si="3"/>
        <v>1506</v>
      </c>
      <c r="G12" s="23">
        <f t="shared" si="3"/>
        <v>1477</v>
      </c>
      <c r="H12" s="23">
        <f t="shared" si="3"/>
        <v>9773</v>
      </c>
      <c r="I12" s="23">
        <f t="shared" si="3"/>
        <v>10619</v>
      </c>
      <c r="J12" s="23">
        <f t="shared" si="3"/>
        <v>1483</v>
      </c>
      <c r="K12" s="23">
        <f t="shared" si="3"/>
        <v>1502</v>
      </c>
      <c r="L12" s="23">
        <f t="shared" si="3"/>
        <v>1498</v>
      </c>
      <c r="M12" s="23">
        <f t="shared" si="3"/>
        <v>1561</v>
      </c>
      <c r="N12" s="23">
        <f t="shared" si="3"/>
        <v>7390</v>
      </c>
      <c r="O12" s="23">
        <f t="shared" si="3"/>
        <v>15610</v>
      </c>
      <c r="P12" s="23">
        <f t="shared" si="3"/>
        <v>10191</v>
      </c>
      <c r="Q12" s="23">
        <f t="shared" si="3"/>
        <v>17921</v>
      </c>
      <c r="R12" s="23">
        <f t="shared" si="3"/>
        <v>16063</v>
      </c>
      <c r="S12" s="23">
        <f t="shared" si="3"/>
        <v>17687</v>
      </c>
      <c r="T12" s="23">
        <f t="shared" si="3"/>
        <v>11713</v>
      </c>
      <c r="U12" s="23">
        <f t="shared" si="3"/>
        <v>1261</v>
      </c>
      <c r="V12" s="23">
        <f t="shared" si="3"/>
        <v>8392</v>
      </c>
      <c r="W12" s="23">
        <f t="shared" si="3"/>
        <v>16489</v>
      </c>
      <c r="X12" s="23">
        <f t="shared" si="3"/>
        <v>17363</v>
      </c>
      <c r="Y12" s="23">
        <f t="shared" si="3"/>
        <v>12939</v>
      </c>
      <c r="Z12" s="23">
        <f t="shared" si="3"/>
        <v>8738</v>
      </c>
      <c r="AA12" s="23">
        <f t="shared" si="3"/>
        <v>13894</v>
      </c>
      <c r="AB12" s="23">
        <f t="shared" si="3"/>
        <v>10144</v>
      </c>
      <c r="AC12" s="23">
        <f t="shared" si="3"/>
        <v>12229</v>
      </c>
      <c r="AD12" s="23">
        <f t="shared" si="3"/>
        <v>13412</v>
      </c>
      <c r="AE12" s="23">
        <f t="shared" si="3"/>
        <v>17689</v>
      </c>
      <c r="AF12" s="23">
        <f t="shared" si="3"/>
        <v>17454</v>
      </c>
      <c r="AG12" s="23">
        <f t="shared" si="3"/>
        <v>9464</v>
      </c>
      <c r="AH12" s="23">
        <f t="shared" si="3"/>
        <v>9368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5">
        <v>7</v>
      </c>
      <c r="B13" s="39" t="s">
        <v>57</v>
      </c>
      <c r="C13" s="68" t="s">
        <v>58</v>
      </c>
      <c r="D13" s="40">
        <v>3144</v>
      </c>
      <c r="E13" s="40">
        <v>3144</v>
      </c>
      <c r="F13" s="40">
        <v>3144</v>
      </c>
      <c r="G13" s="40">
        <v>3144</v>
      </c>
      <c r="H13" s="40">
        <v>3144</v>
      </c>
      <c r="I13" s="40">
        <v>3144</v>
      </c>
      <c r="J13" s="40">
        <v>3144</v>
      </c>
      <c r="K13" s="40">
        <v>3144</v>
      </c>
      <c r="L13" s="40">
        <v>3144</v>
      </c>
      <c r="M13" s="40">
        <v>3144</v>
      </c>
      <c r="N13" s="40">
        <v>3144</v>
      </c>
      <c r="O13" s="40">
        <v>3144</v>
      </c>
      <c r="P13" s="40">
        <v>3144</v>
      </c>
      <c r="Q13" s="40">
        <v>3144</v>
      </c>
      <c r="R13" s="40">
        <v>3144</v>
      </c>
      <c r="S13" s="40">
        <v>3144</v>
      </c>
      <c r="T13" s="40">
        <v>3144</v>
      </c>
      <c r="U13" s="40">
        <v>3144</v>
      </c>
      <c r="V13" s="40">
        <v>3144</v>
      </c>
      <c r="W13" s="40">
        <v>3144</v>
      </c>
      <c r="X13" s="40">
        <v>3144</v>
      </c>
      <c r="Y13" s="40">
        <v>3144</v>
      </c>
      <c r="Z13" s="40">
        <v>3144</v>
      </c>
      <c r="AA13" s="40">
        <v>3144</v>
      </c>
      <c r="AB13" s="40">
        <v>3144</v>
      </c>
      <c r="AC13" s="40">
        <v>3144</v>
      </c>
      <c r="AD13" s="40">
        <v>3144</v>
      </c>
      <c r="AE13" s="40">
        <v>3144</v>
      </c>
      <c r="AF13" s="40">
        <v>3144</v>
      </c>
      <c r="AG13" s="40">
        <v>3151</v>
      </c>
      <c r="AH13" s="40">
        <v>3151</v>
      </c>
      <c r="AI13" s="40"/>
    </row>
    <row r="14" spans="1:67" s="24" customFormat="1" ht="21.75" customHeight="1" thickBot="1" x14ac:dyDescent="0.25">
      <c r="A14" s="71"/>
      <c r="B14" s="41"/>
      <c r="C14" s="74"/>
      <c r="D14" s="42"/>
      <c r="E14" s="42">
        <f t="shared" ref="E14:AH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0</v>
      </c>
      <c r="AD14" s="42">
        <f t="shared" si="4"/>
        <v>0</v>
      </c>
      <c r="AE14" s="42">
        <f t="shared" si="4"/>
        <v>0</v>
      </c>
      <c r="AF14" s="42">
        <f t="shared" si="4"/>
        <v>0</v>
      </c>
      <c r="AG14" s="42">
        <f t="shared" si="4"/>
        <v>7</v>
      </c>
      <c r="AH14" s="42">
        <f t="shared" si="4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6">
        <v>8</v>
      </c>
      <c r="B15" s="39" t="s">
        <v>59</v>
      </c>
      <c r="C15" s="68" t="s">
        <v>60</v>
      </c>
      <c r="D15" s="40">
        <v>397</v>
      </c>
      <c r="E15" s="40">
        <v>397</v>
      </c>
      <c r="F15" s="40">
        <v>397</v>
      </c>
      <c r="G15" s="40">
        <v>397</v>
      </c>
      <c r="H15" s="40">
        <v>397</v>
      </c>
      <c r="I15" s="40">
        <v>397</v>
      </c>
      <c r="J15" s="40">
        <v>397</v>
      </c>
      <c r="K15" s="40">
        <v>397</v>
      </c>
      <c r="L15" s="40">
        <v>397</v>
      </c>
      <c r="M15" s="40">
        <v>397</v>
      </c>
      <c r="N15" s="40">
        <v>397</v>
      </c>
      <c r="O15" s="40">
        <v>397</v>
      </c>
      <c r="P15" s="40">
        <v>397</v>
      </c>
      <c r="Q15" s="40">
        <v>398</v>
      </c>
      <c r="R15" s="40">
        <v>398</v>
      </c>
      <c r="S15" s="40">
        <v>398</v>
      </c>
      <c r="T15" s="40">
        <v>398</v>
      </c>
      <c r="U15" s="40">
        <v>398</v>
      </c>
      <c r="V15" s="40">
        <v>398</v>
      </c>
      <c r="W15" s="40">
        <v>398</v>
      </c>
      <c r="X15" s="40">
        <v>398</v>
      </c>
      <c r="Y15" s="40">
        <v>398</v>
      </c>
      <c r="Z15" s="40">
        <v>398</v>
      </c>
      <c r="AA15" s="40">
        <v>398</v>
      </c>
      <c r="AB15" s="40">
        <v>398</v>
      </c>
      <c r="AC15" s="40">
        <v>398</v>
      </c>
      <c r="AD15" s="40">
        <v>398</v>
      </c>
      <c r="AE15" s="40">
        <v>398</v>
      </c>
      <c r="AF15" s="40">
        <v>398</v>
      </c>
      <c r="AG15" s="40">
        <v>401</v>
      </c>
      <c r="AH15" s="40">
        <v>401</v>
      </c>
      <c r="AI15" s="40"/>
    </row>
    <row r="16" spans="1:67" s="24" customFormat="1" ht="21.75" customHeight="1" thickBot="1" x14ac:dyDescent="0.25">
      <c r="A16" s="73"/>
      <c r="B16" s="41"/>
      <c r="C16" s="74"/>
      <c r="D16" s="42"/>
      <c r="E16" s="42">
        <f t="shared" ref="E16:AH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42">
        <f t="shared" si="5"/>
        <v>0</v>
      </c>
      <c r="Q16" s="42">
        <f t="shared" si="5"/>
        <v>1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0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3</v>
      </c>
      <c r="AH16" s="42">
        <f t="shared" si="5"/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6">
        <v>13</v>
      </c>
      <c r="B17" s="39" t="s">
        <v>61</v>
      </c>
      <c r="C17" s="68" t="s">
        <v>62</v>
      </c>
      <c r="D17" s="40">
        <v>1292148</v>
      </c>
      <c r="E17" s="40">
        <v>1292383</v>
      </c>
      <c r="F17" s="40">
        <v>1292606</v>
      </c>
      <c r="G17" s="40">
        <v>1292829</v>
      </c>
      <c r="H17" s="40">
        <v>1293040</v>
      </c>
      <c r="I17" s="40">
        <v>1293276</v>
      </c>
      <c r="J17" s="40">
        <v>1293507</v>
      </c>
      <c r="K17" s="40">
        <v>1293750</v>
      </c>
      <c r="L17" s="40">
        <v>1293964</v>
      </c>
      <c r="M17" s="40">
        <v>1294196</v>
      </c>
      <c r="N17" s="40">
        <v>1294428</v>
      </c>
      <c r="O17" s="40">
        <v>1294654</v>
      </c>
      <c r="P17" s="40">
        <v>1294867</v>
      </c>
      <c r="Q17" s="40">
        <v>1295102</v>
      </c>
      <c r="R17" s="40">
        <v>1295318</v>
      </c>
      <c r="S17" s="40">
        <v>1295560</v>
      </c>
      <c r="T17" s="40">
        <v>1295779</v>
      </c>
      <c r="U17" s="40">
        <v>1296001</v>
      </c>
      <c r="V17" s="40">
        <v>1296224</v>
      </c>
      <c r="W17" s="40">
        <v>1296441</v>
      </c>
      <c r="X17" s="40">
        <v>1296656</v>
      </c>
      <c r="Y17" s="40">
        <v>1296901</v>
      </c>
      <c r="Z17" s="40">
        <v>1297143</v>
      </c>
      <c r="AA17" s="40">
        <v>1297393</v>
      </c>
      <c r="AB17" s="40">
        <v>1297634</v>
      </c>
      <c r="AC17" s="40">
        <v>1297891</v>
      </c>
      <c r="AD17" s="40">
        <v>1298155</v>
      </c>
      <c r="AE17" s="40">
        <v>1298420</v>
      </c>
      <c r="AF17" s="40">
        <v>1298684</v>
      </c>
      <c r="AG17" s="40">
        <v>1298913</v>
      </c>
      <c r="AH17" s="40">
        <v>1299186</v>
      </c>
      <c r="AI17" s="40"/>
    </row>
    <row r="18" spans="1:35" ht="21.75" customHeight="1" thickBot="1" x14ac:dyDescent="0.25">
      <c r="A18" s="67"/>
      <c r="B18" s="43"/>
      <c r="C18" s="69"/>
      <c r="D18" s="42"/>
      <c r="E18" s="42">
        <f t="shared" ref="E18:AH18" si="6">E17-D17</f>
        <v>235</v>
      </c>
      <c r="F18" s="42">
        <f t="shared" si="6"/>
        <v>223</v>
      </c>
      <c r="G18" s="42">
        <f t="shared" si="6"/>
        <v>223</v>
      </c>
      <c r="H18" s="42">
        <f t="shared" si="6"/>
        <v>211</v>
      </c>
      <c r="I18" s="42">
        <f t="shared" si="6"/>
        <v>236</v>
      </c>
      <c r="J18" s="42">
        <f t="shared" si="6"/>
        <v>231</v>
      </c>
      <c r="K18" s="42">
        <f t="shared" si="6"/>
        <v>243</v>
      </c>
      <c r="L18" s="42">
        <f t="shared" si="6"/>
        <v>214</v>
      </c>
      <c r="M18" s="42">
        <f t="shared" si="6"/>
        <v>232</v>
      </c>
      <c r="N18" s="42">
        <f t="shared" si="6"/>
        <v>232</v>
      </c>
      <c r="O18" s="42">
        <f t="shared" si="6"/>
        <v>226</v>
      </c>
      <c r="P18" s="42">
        <f t="shared" si="6"/>
        <v>213</v>
      </c>
      <c r="Q18" s="42">
        <f t="shared" si="6"/>
        <v>235</v>
      </c>
      <c r="R18" s="42">
        <f t="shared" si="6"/>
        <v>216</v>
      </c>
      <c r="S18" s="42">
        <f t="shared" si="6"/>
        <v>242</v>
      </c>
      <c r="T18" s="42">
        <f t="shared" si="6"/>
        <v>219</v>
      </c>
      <c r="U18" s="42">
        <f t="shared" si="6"/>
        <v>222</v>
      </c>
      <c r="V18" s="42">
        <f t="shared" si="6"/>
        <v>223</v>
      </c>
      <c r="W18" s="42">
        <f t="shared" si="6"/>
        <v>217</v>
      </c>
      <c r="X18" s="42">
        <f t="shared" si="6"/>
        <v>215</v>
      </c>
      <c r="Y18" s="42">
        <f t="shared" si="6"/>
        <v>245</v>
      </c>
      <c r="Z18" s="42">
        <f t="shared" si="6"/>
        <v>242</v>
      </c>
      <c r="AA18" s="42">
        <f t="shared" si="6"/>
        <v>250</v>
      </c>
      <c r="AB18" s="42">
        <f t="shared" si="6"/>
        <v>241</v>
      </c>
      <c r="AC18" s="42">
        <f t="shared" si="6"/>
        <v>257</v>
      </c>
      <c r="AD18" s="42">
        <f t="shared" si="6"/>
        <v>264</v>
      </c>
      <c r="AE18" s="42">
        <f t="shared" si="6"/>
        <v>265</v>
      </c>
      <c r="AF18" s="42">
        <f t="shared" si="6"/>
        <v>264</v>
      </c>
      <c r="AG18" s="42">
        <f t="shared" si="6"/>
        <v>229</v>
      </c>
      <c r="AH18" s="42">
        <f t="shared" si="6"/>
        <v>273</v>
      </c>
      <c r="AI18" s="42"/>
    </row>
    <row r="19" spans="1:35" ht="21.75" customHeight="1" x14ac:dyDescent="0.2">
      <c r="A19" s="70">
        <v>14</v>
      </c>
      <c r="B19" s="39" t="s">
        <v>63</v>
      </c>
      <c r="C19" s="68" t="s">
        <v>64</v>
      </c>
      <c r="D19" s="40">
        <v>357386</v>
      </c>
      <c r="E19" s="40">
        <v>357429</v>
      </c>
      <c r="F19" s="40">
        <v>357470</v>
      </c>
      <c r="G19" s="40">
        <v>357514</v>
      </c>
      <c r="H19" s="40">
        <v>357558</v>
      </c>
      <c r="I19" s="40">
        <v>357603</v>
      </c>
      <c r="J19" s="40">
        <v>357647</v>
      </c>
      <c r="K19" s="40">
        <v>357689</v>
      </c>
      <c r="L19" s="40">
        <v>357732</v>
      </c>
      <c r="M19" s="40">
        <v>357776</v>
      </c>
      <c r="N19" s="40">
        <v>357821</v>
      </c>
      <c r="O19" s="40">
        <v>357865</v>
      </c>
      <c r="P19" s="40">
        <v>357909</v>
      </c>
      <c r="Q19" s="40">
        <v>357956</v>
      </c>
      <c r="R19" s="40">
        <v>358000</v>
      </c>
      <c r="S19" s="40">
        <v>358044</v>
      </c>
      <c r="T19" s="40">
        <v>358088</v>
      </c>
      <c r="U19" s="40">
        <v>358131</v>
      </c>
      <c r="V19" s="40">
        <v>358178</v>
      </c>
      <c r="W19" s="40">
        <v>358222</v>
      </c>
      <c r="X19" s="40">
        <v>358264</v>
      </c>
      <c r="Y19" s="40">
        <v>358309</v>
      </c>
      <c r="Z19" s="40">
        <v>358357</v>
      </c>
      <c r="AA19" s="40">
        <v>358404</v>
      </c>
      <c r="AB19" s="40">
        <v>358451</v>
      </c>
      <c r="AC19" s="40">
        <v>358500</v>
      </c>
      <c r="AD19" s="40">
        <v>358545</v>
      </c>
      <c r="AE19" s="40">
        <v>358587</v>
      </c>
      <c r="AF19" s="40">
        <v>358629</v>
      </c>
      <c r="AG19" s="40">
        <v>358672</v>
      </c>
      <c r="AH19" s="40">
        <v>358715</v>
      </c>
      <c r="AI19" s="40"/>
    </row>
    <row r="20" spans="1:35" ht="21.75" customHeight="1" thickBot="1" x14ac:dyDescent="0.25">
      <c r="A20" s="71"/>
      <c r="B20" s="43"/>
      <c r="C20" s="69"/>
      <c r="D20" s="42"/>
      <c r="E20" s="42">
        <f t="shared" ref="E20:AH20" si="7">E19-D19</f>
        <v>43</v>
      </c>
      <c r="F20" s="42">
        <f t="shared" si="7"/>
        <v>41</v>
      </c>
      <c r="G20" s="42">
        <f t="shared" si="7"/>
        <v>44</v>
      </c>
      <c r="H20" s="42">
        <f t="shared" si="7"/>
        <v>44</v>
      </c>
      <c r="I20" s="42">
        <f t="shared" si="7"/>
        <v>45</v>
      </c>
      <c r="J20" s="42">
        <f t="shared" si="7"/>
        <v>44</v>
      </c>
      <c r="K20" s="42">
        <f t="shared" si="7"/>
        <v>42</v>
      </c>
      <c r="L20" s="42">
        <f t="shared" si="7"/>
        <v>43</v>
      </c>
      <c r="M20" s="42">
        <f t="shared" si="7"/>
        <v>44</v>
      </c>
      <c r="N20" s="42">
        <f t="shared" si="7"/>
        <v>45</v>
      </c>
      <c r="O20" s="42">
        <f t="shared" si="7"/>
        <v>44</v>
      </c>
      <c r="P20" s="42">
        <f t="shared" si="7"/>
        <v>44</v>
      </c>
      <c r="Q20" s="42">
        <f t="shared" si="7"/>
        <v>47</v>
      </c>
      <c r="R20" s="42">
        <f t="shared" si="7"/>
        <v>44</v>
      </c>
      <c r="S20" s="42">
        <f t="shared" si="7"/>
        <v>44</v>
      </c>
      <c r="T20" s="42">
        <f t="shared" si="7"/>
        <v>44</v>
      </c>
      <c r="U20" s="42">
        <f t="shared" si="7"/>
        <v>43</v>
      </c>
      <c r="V20" s="42">
        <f t="shared" si="7"/>
        <v>47</v>
      </c>
      <c r="W20" s="42">
        <f t="shared" si="7"/>
        <v>44</v>
      </c>
      <c r="X20" s="42">
        <f t="shared" si="7"/>
        <v>42</v>
      </c>
      <c r="Y20" s="42">
        <f t="shared" si="7"/>
        <v>45</v>
      </c>
      <c r="Z20" s="42">
        <f t="shared" si="7"/>
        <v>48</v>
      </c>
      <c r="AA20" s="42">
        <f t="shared" si="7"/>
        <v>47</v>
      </c>
      <c r="AB20" s="42">
        <f t="shared" si="7"/>
        <v>47</v>
      </c>
      <c r="AC20" s="42">
        <f t="shared" si="7"/>
        <v>49</v>
      </c>
      <c r="AD20" s="42">
        <f t="shared" si="7"/>
        <v>45</v>
      </c>
      <c r="AE20" s="42">
        <f t="shared" si="7"/>
        <v>42</v>
      </c>
      <c r="AF20" s="42">
        <f t="shared" si="7"/>
        <v>42</v>
      </c>
      <c r="AG20" s="42">
        <f t="shared" si="7"/>
        <v>43</v>
      </c>
      <c r="AH20" s="42">
        <f t="shared" si="7"/>
        <v>43</v>
      </c>
      <c r="AI20" s="42"/>
    </row>
    <row r="21" spans="1:35" ht="27" customHeight="1" x14ac:dyDescent="0.3">
      <c r="B21" s="72" t="s">
        <v>65</v>
      </c>
      <c r="C21" s="72"/>
      <c r="D21" s="44"/>
      <c r="E21" s="59">
        <f>((E6+E8)+((E10+E12)*40%)+(E14+E16+E18+E20))</f>
        <v>30473.800000000003</v>
      </c>
      <c r="F21" s="59">
        <f t="shared" ref="F21:AH21" si="8">((F6+F8)+((F10+F12)*40%)+(F14+F16+F18+F20))</f>
        <v>28425.200000000001</v>
      </c>
      <c r="G21" s="59">
        <f t="shared" si="8"/>
        <v>29155.200000000001</v>
      </c>
      <c r="H21" s="59">
        <f t="shared" si="8"/>
        <v>28865.4</v>
      </c>
      <c r="I21" s="59">
        <f t="shared" si="8"/>
        <v>31403.599999999999</v>
      </c>
      <c r="J21" s="59">
        <f t="shared" si="8"/>
        <v>29824</v>
      </c>
      <c r="K21" s="59">
        <f t="shared" si="8"/>
        <v>30804.799999999999</v>
      </c>
      <c r="L21" s="59">
        <f t="shared" si="8"/>
        <v>30414.6</v>
      </c>
      <c r="M21" s="59">
        <f t="shared" si="8"/>
        <v>31149.599999999999</v>
      </c>
      <c r="N21" s="59">
        <f t="shared" si="8"/>
        <v>32564</v>
      </c>
      <c r="O21" s="59">
        <f t="shared" si="8"/>
        <v>33505.599999999999</v>
      </c>
      <c r="P21" s="59">
        <f t="shared" si="8"/>
        <v>34521.599999999999</v>
      </c>
      <c r="Q21" s="59">
        <f t="shared" si="8"/>
        <v>35576.400000000001</v>
      </c>
      <c r="R21" s="59">
        <f t="shared" si="8"/>
        <v>33703.599999999999</v>
      </c>
      <c r="S21" s="59">
        <f t="shared" si="8"/>
        <v>34382.6</v>
      </c>
      <c r="T21" s="59">
        <f t="shared" si="8"/>
        <v>32366.400000000001</v>
      </c>
      <c r="U21" s="59">
        <f t="shared" si="8"/>
        <v>31270</v>
      </c>
      <c r="V21" s="59">
        <f t="shared" si="8"/>
        <v>32129.200000000001</v>
      </c>
      <c r="W21" s="59">
        <f t="shared" si="8"/>
        <v>32782.6</v>
      </c>
      <c r="X21" s="59">
        <f t="shared" si="8"/>
        <v>32114.2</v>
      </c>
      <c r="Y21" s="59">
        <f t="shared" si="8"/>
        <v>29263.599999999999</v>
      </c>
      <c r="Z21" s="59">
        <f t="shared" si="8"/>
        <v>32291.599999999999</v>
      </c>
      <c r="AA21" s="59">
        <f t="shared" si="8"/>
        <v>33790</v>
      </c>
      <c r="AB21" s="59">
        <f t="shared" si="8"/>
        <v>33272.199999999997</v>
      </c>
      <c r="AC21" s="59">
        <f t="shared" si="8"/>
        <v>34316.6</v>
      </c>
      <c r="AD21" s="59">
        <f t="shared" si="8"/>
        <v>36467.4</v>
      </c>
      <c r="AE21" s="59">
        <f t="shared" si="8"/>
        <v>34332.400000000001</v>
      </c>
      <c r="AF21" s="59">
        <f t="shared" si="8"/>
        <v>33999.800000000003</v>
      </c>
      <c r="AG21" s="59">
        <f t="shared" si="8"/>
        <v>34634.800000000003</v>
      </c>
      <c r="AH21" s="59">
        <f t="shared" si="8"/>
        <v>33876.400000000001</v>
      </c>
      <c r="AI21" s="59"/>
    </row>
    <row r="22" spans="1:35" ht="27" customHeight="1" x14ac:dyDescent="0.3">
      <c r="B22" s="65" t="s">
        <v>66</v>
      </c>
      <c r="C22" s="65"/>
      <c r="D22" s="44"/>
      <c r="E22" s="59">
        <f>SUM(E21:AI21)</f>
        <v>971677.19999999984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4" activePane="bottomLeft" state="frozen"/>
      <selection pane="bottomLeft" activeCell="B28" sqref="B28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68.25" customHeight="1" x14ac:dyDescent="0.25">
      <c r="A1" s="97" t="s">
        <v>86</v>
      </c>
      <c r="B1" s="97"/>
      <c r="C1" s="97"/>
    </row>
    <row r="3" spans="1:7" ht="48" x14ac:dyDescent="0.25">
      <c r="A3" s="51" t="s">
        <v>19</v>
      </c>
      <c r="B3" s="52">
        <v>61206</v>
      </c>
      <c r="C3" s="53"/>
    </row>
    <row r="4" spans="1:7" ht="28.5" customHeight="1" x14ac:dyDescent="0.25">
      <c r="A4" s="54">
        <v>1</v>
      </c>
      <c r="B4" s="52"/>
      <c r="C4" s="53">
        <f>B3/30</f>
        <v>2040.2</v>
      </c>
    </row>
    <row r="5" spans="1:7" ht="28.5" customHeight="1" x14ac:dyDescent="0.25">
      <c r="A5" s="54">
        <v>2</v>
      </c>
      <c r="B5" s="52"/>
      <c r="C5" s="53">
        <v>2040.2</v>
      </c>
    </row>
    <row r="6" spans="1:7" ht="28.5" customHeight="1" x14ac:dyDescent="0.25">
      <c r="A6" s="55">
        <v>3</v>
      </c>
      <c r="B6" s="52"/>
      <c r="C6" s="53">
        <v>2040.2</v>
      </c>
    </row>
    <row r="7" spans="1:7" ht="28.5" customHeight="1" x14ac:dyDescent="0.25">
      <c r="A7" s="54">
        <v>4</v>
      </c>
      <c r="B7" s="52"/>
      <c r="C7" s="53">
        <v>2040.2</v>
      </c>
    </row>
    <row r="8" spans="1:7" ht="28.5" customHeight="1" x14ac:dyDescent="0.25">
      <c r="A8" s="54">
        <v>5</v>
      </c>
      <c r="B8" s="52"/>
      <c r="C8" s="53">
        <v>2040.2</v>
      </c>
    </row>
    <row r="9" spans="1:7" ht="28.5" customHeight="1" x14ac:dyDescent="0.25">
      <c r="A9" s="54">
        <v>6</v>
      </c>
      <c r="B9" s="52"/>
      <c r="C9" s="53">
        <v>2040.2</v>
      </c>
      <c r="G9" t="s">
        <v>75</v>
      </c>
    </row>
    <row r="10" spans="1:7" ht="28.5" customHeight="1" x14ac:dyDescent="0.25">
      <c r="A10" s="54">
        <v>7</v>
      </c>
      <c r="B10" s="52"/>
      <c r="C10" s="53">
        <v>2040.2</v>
      </c>
    </row>
    <row r="11" spans="1:7" ht="28.5" customHeight="1" x14ac:dyDescent="0.25">
      <c r="A11" s="54">
        <v>8</v>
      </c>
      <c r="B11" s="52"/>
      <c r="C11" s="53">
        <v>2040.2</v>
      </c>
    </row>
    <row r="12" spans="1:7" ht="28.5" customHeight="1" x14ac:dyDescent="0.25">
      <c r="A12" s="54">
        <v>9</v>
      </c>
      <c r="B12" s="52"/>
      <c r="C12" s="53">
        <v>2040.2</v>
      </c>
    </row>
    <row r="13" spans="1:7" ht="28.5" customHeight="1" x14ac:dyDescent="0.25">
      <c r="A13" s="54">
        <v>10</v>
      </c>
      <c r="B13" s="52"/>
      <c r="C13" s="53">
        <v>2040.2</v>
      </c>
    </row>
    <row r="14" spans="1:7" ht="28.5" customHeight="1" x14ac:dyDescent="0.25">
      <c r="A14" s="54">
        <v>11</v>
      </c>
      <c r="B14" s="52"/>
      <c r="C14" s="53">
        <v>2040.2</v>
      </c>
    </row>
    <row r="15" spans="1:7" ht="28.5" customHeight="1" x14ac:dyDescent="0.25">
      <c r="A15" s="54">
        <v>12</v>
      </c>
      <c r="B15" s="52"/>
      <c r="C15" s="53">
        <v>2040.2</v>
      </c>
    </row>
    <row r="16" spans="1:7" ht="28.5" customHeight="1" x14ac:dyDescent="0.25">
      <c r="A16" s="54">
        <v>13</v>
      </c>
      <c r="B16" s="52"/>
      <c r="C16" s="53">
        <v>2040.2</v>
      </c>
    </row>
    <row r="17" spans="1:4" ht="28.5" customHeight="1" x14ac:dyDescent="0.25">
      <c r="A17" s="54">
        <v>14</v>
      </c>
      <c r="B17" s="52"/>
      <c r="C17" s="53">
        <v>2040.2</v>
      </c>
    </row>
    <row r="18" spans="1:4" ht="28.5" customHeight="1" x14ac:dyDescent="0.25">
      <c r="A18" s="54">
        <v>15</v>
      </c>
      <c r="B18" s="52"/>
      <c r="C18" s="53">
        <v>2040.2</v>
      </c>
    </row>
    <row r="19" spans="1:4" ht="28.5" customHeight="1" x14ac:dyDescent="0.25">
      <c r="A19" s="54">
        <v>16</v>
      </c>
      <c r="B19" s="52"/>
      <c r="C19" s="53">
        <v>2040.2</v>
      </c>
    </row>
    <row r="20" spans="1:4" ht="28.5" customHeight="1" x14ac:dyDescent="0.25">
      <c r="A20" s="54">
        <v>17</v>
      </c>
      <c r="B20" s="52"/>
      <c r="C20" s="53">
        <v>2040.2</v>
      </c>
    </row>
    <row r="21" spans="1:4" ht="28.5" customHeight="1" x14ac:dyDescent="0.25">
      <c r="A21" s="54">
        <v>18</v>
      </c>
      <c r="B21" s="52"/>
      <c r="C21" s="53">
        <v>2040.2</v>
      </c>
    </row>
    <row r="22" spans="1:4" ht="28.5" customHeight="1" x14ac:dyDescent="0.25">
      <c r="A22" s="54">
        <v>19</v>
      </c>
      <c r="B22" s="52"/>
      <c r="C22" s="53">
        <v>2040.2</v>
      </c>
    </row>
    <row r="23" spans="1:4" ht="28.5" customHeight="1" x14ac:dyDescent="0.25">
      <c r="A23" s="54">
        <v>20</v>
      </c>
      <c r="B23" s="52"/>
      <c r="C23" s="53">
        <v>2040.2</v>
      </c>
    </row>
    <row r="24" spans="1:4" ht="28.5" customHeight="1" x14ac:dyDescent="0.25">
      <c r="A24" s="54">
        <v>21</v>
      </c>
      <c r="B24" s="52"/>
      <c r="C24" s="53">
        <v>2040.2</v>
      </c>
    </row>
    <row r="25" spans="1:4" ht="28.5" customHeight="1" x14ac:dyDescent="0.25">
      <c r="A25" s="54">
        <v>22</v>
      </c>
      <c r="B25" s="52"/>
      <c r="C25" s="53">
        <v>2040.2</v>
      </c>
    </row>
    <row r="26" spans="1:4" ht="28.5" customHeight="1" x14ac:dyDescent="0.25">
      <c r="A26" s="54">
        <v>23</v>
      </c>
      <c r="B26" s="52"/>
      <c r="C26" s="53">
        <v>2040.2</v>
      </c>
    </row>
    <row r="27" spans="1:4" ht="28.5" customHeight="1" x14ac:dyDescent="0.25">
      <c r="A27" s="54">
        <v>24</v>
      </c>
      <c r="B27" s="52"/>
      <c r="C27" s="53">
        <v>2040.2</v>
      </c>
    </row>
    <row r="28" spans="1:4" ht="28.5" customHeight="1" x14ac:dyDescent="0.25">
      <c r="A28" s="54">
        <v>25</v>
      </c>
      <c r="B28" s="52"/>
      <c r="C28" s="53">
        <v>2040.2</v>
      </c>
      <c r="D28" s="56"/>
    </row>
    <row r="29" spans="1:4" ht="28.5" customHeight="1" x14ac:dyDescent="0.25">
      <c r="A29" s="54">
        <v>26</v>
      </c>
      <c r="B29" s="52"/>
      <c r="C29" s="53">
        <v>2040.2</v>
      </c>
      <c r="D29" s="56"/>
    </row>
    <row r="30" spans="1:4" ht="28.5" customHeight="1" x14ac:dyDescent="0.25">
      <c r="A30" s="54">
        <v>27</v>
      </c>
      <c r="B30" s="52"/>
      <c r="C30" s="53">
        <v>2040.2</v>
      </c>
    </row>
    <row r="31" spans="1:4" ht="28.5" customHeight="1" x14ac:dyDescent="0.25">
      <c r="A31" s="54">
        <v>28</v>
      </c>
      <c r="B31" s="52"/>
      <c r="C31" s="53">
        <v>2040.2</v>
      </c>
    </row>
    <row r="32" spans="1:4" ht="28.5" customHeight="1" x14ac:dyDescent="0.25">
      <c r="A32" s="54">
        <v>29</v>
      </c>
      <c r="B32" s="52"/>
      <c r="C32" s="53">
        <v>2040.2</v>
      </c>
    </row>
    <row r="33" spans="1:3" ht="28.5" customHeight="1" x14ac:dyDescent="0.25">
      <c r="A33" s="54">
        <v>30</v>
      </c>
      <c r="B33" s="52"/>
      <c r="C33" s="53">
        <v>2040.2</v>
      </c>
    </row>
    <row r="34" spans="1:3" ht="28.5" customHeight="1" x14ac:dyDescent="0.25">
      <c r="A34" s="54">
        <v>31</v>
      </c>
      <c r="B34" s="52"/>
      <c r="C34" s="53"/>
    </row>
    <row r="35" spans="1:3" x14ac:dyDescent="0.25">
      <c r="A35" s="86" t="s">
        <v>76</v>
      </c>
      <c r="B35" s="86"/>
      <c r="C35" s="57">
        <f>SUM(C4:C34)</f>
        <v>61205.999999999971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I4" sqref="AI4:AI15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9" t="s">
        <v>85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/>
    </row>
    <row r="5" spans="1:42" s="8" customFormat="1" ht="40.5" customHeight="1" thickBot="1" x14ac:dyDescent="0.3">
      <c r="A5" s="92" t="s">
        <v>20</v>
      </c>
      <c r="B5" s="27" t="s">
        <v>48</v>
      </c>
      <c r="C5" s="94" t="s">
        <v>49</v>
      </c>
      <c r="D5" s="31">
        <v>381026.4</v>
      </c>
      <c r="E5" s="31">
        <v>381195</v>
      </c>
      <c r="F5" s="31">
        <v>381353.3</v>
      </c>
      <c r="G5" s="31">
        <v>381522</v>
      </c>
      <c r="H5" s="31">
        <v>381720</v>
      </c>
      <c r="I5" s="31">
        <v>381906.4</v>
      </c>
      <c r="J5" s="31">
        <v>382117.5</v>
      </c>
      <c r="K5" s="31">
        <v>382316.6</v>
      </c>
      <c r="L5" s="31">
        <v>382524.2</v>
      </c>
      <c r="M5" s="31">
        <v>382761.3</v>
      </c>
      <c r="N5" s="31">
        <v>382985.2</v>
      </c>
      <c r="O5" s="31">
        <v>383186.3</v>
      </c>
      <c r="P5" s="31">
        <v>383431.2</v>
      </c>
      <c r="Q5" s="31">
        <v>131</v>
      </c>
      <c r="R5" s="31">
        <v>258</v>
      </c>
      <c r="S5" s="31">
        <v>432</v>
      </c>
      <c r="T5" s="31">
        <v>578</v>
      </c>
      <c r="U5" s="31">
        <v>721</v>
      </c>
      <c r="V5" s="31">
        <v>876</v>
      </c>
      <c r="W5" s="31">
        <v>1036</v>
      </c>
      <c r="X5" s="31">
        <v>1167</v>
      </c>
      <c r="Y5" s="31">
        <v>1311</v>
      </c>
      <c r="Z5" s="31">
        <v>1524</v>
      </c>
      <c r="AA5" s="31">
        <v>1763</v>
      </c>
      <c r="AB5" s="31">
        <v>1976</v>
      </c>
      <c r="AC5" s="31">
        <v>2186</v>
      </c>
      <c r="AD5" s="31">
        <v>2391</v>
      </c>
      <c r="AE5" s="31">
        <v>2594</v>
      </c>
      <c r="AF5" s="31">
        <v>2813</v>
      </c>
      <c r="AG5" s="31">
        <v>3035</v>
      </c>
      <c r="AH5" s="31">
        <v>3239</v>
      </c>
      <c r="AI5" s="31"/>
    </row>
    <row r="6" spans="1:42" s="34" customFormat="1" ht="25.7" customHeight="1" thickBot="1" x14ac:dyDescent="0.3">
      <c r="A6" s="93"/>
      <c r="B6" s="32"/>
      <c r="C6" s="94"/>
      <c r="D6" s="33"/>
      <c r="E6" s="33">
        <f t="shared" ref="E6:AG6" si="0">E5-D5</f>
        <v>168.59999999997672</v>
      </c>
      <c r="F6" s="33">
        <f t="shared" si="0"/>
        <v>158.29999999998836</v>
      </c>
      <c r="G6" s="33">
        <f t="shared" si="0"/>
        <v>168.70000000001164</v>
      </c>
      <c r="H6" s="33">
        <f t="shared" si="0"/>
        <v>198</v>
      </c>
      <c r="I6" s="33">
        <f t="shared" si="0"/>
        <v>186.40000000002328</v>
      </c>
      <c r="J6" s="33">
        <f t="shared" si="0"/>
        <v>211.09999999997672</v>
      </c>
      <c r="K6" s="33">
        <f t="shared" si="0"/>
        <v>199.09999999997672</v>
      </c>
      <c r="L6" s="33">
        <f t="shared" si="0"/>
        <v>207.60000000003492</v>
      </c>
      <c r="M6" s="33">
        <f t="shared" si="0"/>
        <v>237.09999999997672</v>
      </c>
      <c r="N6" s="33">
        <f t="shared" si="0"/>
        <v>223.90000000002328</v>
      </c>
      <c r="O6" s="33">
        <f t="shared" si="0"/>
        <v>201.09999999997672</v>
      </c>
      <c r="P6" s="33">
        <f t="shared" si="0"/>
        <v>244.90000000002328</v>
      </c>
      <c r="Q6" s="33">
        <v>0</v>
      </c>
      <c r="R6" s="33">
        <f t="shared" si="0"/>
        <v>127</v>
      </c>
      <c r="S6" s="33">
        <f t="shared" si="0"/>
        <v>174</v>
      </c>
      <c r="T6" s="33">
        <f t="shared" si="0"/>
        <v>146</v>
      </c>
      <c r="U6" s="33">
        <f t="shared" si="0"/>
        <v>143</v>
      </c>
      <c r="V6" s="33">
        <f t="shared" si="0"/>
        <v>155</v>
      </c>
      <c r="W6" s="33">
        <f t="shared" si="0"/>
        <v>160</v>
      </c>
      <c r="X6" s="33">
        <f t="shared" si="0"/>
        <v>131</v>
      </c>
      <c r="Y6" s="33">
        <f t="shared" si="0"/>
        <v>144</v>
      </c>
      <c r="Z6" s="33">
        <f t="shared" si="0"/>
        <v>213</v>
      </c>
      <c r="AA6" s="33">
        <f t="shared" si="0"/>
        <v>239</v>
      </c>
      <c r="AB6" s="33">
        <f t="shared" si="0"/>
        <v>213</v>
      </c>
      <c r="AC6" s="33">
        <f t="shared" si="0"/>
        <v>210</v>
      </c>
      <c r="AD6" s="33">
        <f t="shared" si="0"/>
        <v>205</v>
      </c>
      <c r="AE6" s="33">
        <f t="shared" si="0"/>
        <v>203</v>
      </c>
      <c r="AF6" s="33">
        <f t="shared" si="0"/>
        <v>219</v>
      </c>
      <c r="AG6" s="33">
        <f t="shared" si="0"/>
        <v>222</v>
      </c>
      <c r="AH6" s="33">
        <f>AH5-AG5</f>
        <v>204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2" t="s">
        <v>22</v>
      </c>
      <c r="B7" s="49" t="s">
        <v>69</v>
      </c>
      <c r="C7" s="94" t="s">
        <v>70</v>
      </c>
      <c r="D7" s="31">
        <v>380719.1</v>
      </c>
      <c r="E7" s="31">
        <v>380801.8</v>
      </c>
      <c r="F7" s="31">
        <v>380867.2</v>
      </c>
      <c r="G7" s="31">
        <v>380939</v>
      </c>
      <c r="H7" s="31">
        <v>381011.3</v>
      </c>
      <c r="I7" s="31">
        <v>381082.9</v>
      </c>
      <c r="J7" s="31">
        <v>381161.2</v>
      </c>
      <c r="K7" s="31">
        <v>381193.8</v>
      </c>
      <c r="L7" s="31">
        <v>381267.7</v>
      </c>
      <c r="M7" s="31">
        <v>381321.5</v>
      </c>
      <c r="N7" s="31">
        <v>381400.1</v>
      </c>
      <c r="O7" s="31">
        <v>381466.2</v>
      </c>
      <c r="P7" s="31">
        <v>381545.3</v>
      </c>
      <c r="Q7" s="31">
        <v>381642.3</v>
      </c>
      <c r="R7" s="31">
        <v>381696.2</v>
      </c>
      <c r="S7" s="31">
        <v>381811.8</v>
      </c>
      <c r="T7" s="31">
        <v>381901.1</v>
      </c>
      <c r="U7" s="31">
        <v>381961.6</v>
      </c>
      <c r="V7" s="31">
        <v>382045.9</v>
      </c>
      <c r="W7" s="31">
        <v>382109.8</v>
      </c>
      <c r="X7" s="31">
        <v>382188.5</v>
      </c>
      <c r="Y7" s="31">
        <v>382223.4</v>
      </c>
      <c r="Z7" s="31">
        <v>382307.9</v>
      </c>
      <c r="AA7" s="31">
        <v>382351.8</v>
      </c>
      <c r="AB7" s="31">
        <v>382451.6</v>
      </c>
      <c r="AC7" s="31">
        <v>382553</v>
      </c>
      <c r="AD7" s="31">
        <v>382651.4</v>
      </c>
      <c r="AE7" s="31">
        <v>382768.6</v>
      </c>
      <c r="AF7" s="31">
        <v>382818.6</v>
      </c>
      <c r="AG7" s="31">
        <v>382924.79999999999</v>
      </c>
      <c r="AH7" s="31">
        <v>383022</v>
      </c>
      <c r="AI7" s="31"/>
    </row>
    <row r="8" spans="1:42" s="34" customFormat="1" ht="25.7" customHeight="1" thickBot="1" x14ac:dyDescent="0.3">
      <c r="A8" s="93"/>
      <c r="B8" s="47"/>
      <c r="C8" s="94"/>
      <c r="D8" s="33"/>
      <c r="E8" s="33">
        <f t="shared" ref="E8:AH8" si="1">E7-D7</f>
        <v>82.700000000011642</v>
      </c>
      <c r="F8" s="33">
        <f t="shared" si="1"/>
        <v>65.400000000023283</v>
      </c>
      <c r="G8" s="33">
        <f t="shared" si="1"/>
        <v>71.799999999988358</v>
      </c>
      <c r="H8" s="33">
        <f t="shared" si="1"/>
        <v>72.299999999988358</v>
      </c>
      <c r="I8" s="33">
        <f t="shared" si="1"/>
        <v>71.600000000034925</v>
      </c>
      <c r="J8" s="33">
        <f t="shared" si="1"/>
        <v>78.299999999988358</v>
      </c>
      <c r="K8" s="33">
        <f t="shared" si="1"/>
        <v>32.599999999976717</v>
      </c>
      <c r="L8" s="33">
        <f t="shared" si="1"/>
        <v>73.900000000023283</v>
      </c>
      <c r="M8" s="33">
        <f t="shared" si="1"/>
        <v>53.799999999988358</v>
      </c>
      <c r="N8" s="33">
        <f t="shared" si="1"/>
        <v>78.599999999976717</v>
      </c>
      <c r="O8" s="33">
        <f t="shared" si="1"/>
        <v>66.100000000034925</v>
      </c>
      <c r="P8" s="33">
        <f t="shared" si="1"/>
        <v>79.099999999976717</v>
      </c>
      <c r="Q8" s="33">
        <f t="shared" si="1"/>
        <v>97</v>
      </c>
      <c r="R8" s="33">
        <f t="shared" si="1"/>
        <v>53.900000000023283</v>
      </c>
      <c r="S8" s="33">
        <f t="shared" si="1"/>
        <v>115.59999999997672</v>
      </c>
      <c r="T8" s="33">
        <f t="shared" si="1"/>
        <v>89.299999999988358</v>
      </c>
      <c r="U8" s="33">
        <f t="shared" si="1"/>
        <v>60.5</v>
      </c>
      <c r="V8" s="33">
        <f t="shared" si="1"/>
        <v>84.300000000046566</v>
      </c>
      <c r="W8" s="33">
        <f t="shared" si="1"/>
        <v>63.899999999965075</v>
      </c>
      <c r="X8" s="33">
        <f t="shared" si="1"/>
        <v>78.700000000011642</v>
      </c>
      <c r="Y8" s="33">
        <f t="shared" si="1"/>
        <v>34.900000000023283</v>
      </c>
      <c r="Z8" s="33">
        <f t="shared" si="1"/>
        <v>84.5</v>
      </c>
      <c r="AA8" s="33">
        <f t="shared" si="1"/>
        <v>43.899999999965075</v>
      </c>
      <c r="AB8" s="33">
        <f t="shared" si="1"/>
        <v>99.799999999988358</v>
      </c>
      <c r="AC8" s="33">
        <f t="shared" si="1"/>
        <v>101.40000000002328</v>
      </c>
      <c r="AD8" s="33">
        <f t="shared" si="1"/>
        <v>98.400000000023283</v>
      </c>
      <c r="AE8" s="33">
        <f t="shared" si="1"/>
        <v>117.19999999995343</v>
      </c>
      <c r="AF8" s="33">
        <f t="shared" si="1"/>
        <v>50</v>
      </c>
      <c r="AG8" s="33">
        <f t="shared" si="1"/>
        <v>106.20000000001164</v>
      </c>
      <c r="AH8" s="33">
        <f t="shared" si="1"/>
        <v>97.200000000011642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2">
        <v>4</v>
      </c>
      <c r="B9" s="46" t="s">
        <v>67</v>
      </c>
      <c r="C9" s="94" t="s">
        <v>68</v>
      </c>
      <c r="D9" s="31">
        <v>43634</v>
      </c>
      <c r="E9" s="31">
        <v>43777</v>
      </c>
      <c r="F9" s="31">
        <v>43885</v>
      </c>
      <c r="G9" s="31">
        <v>44003</v>
      </c>
      <c r="H9" s="31">
        <v>44128</v>
      </c>
      <c r="I9" s="31">
        <v>44247</v>
      </c>
      <c r="J9" s="31">
        <v>44378</v>
      </c>
      <c r="K9" s="31">
        <v>44378</v>
      </c>
      <c r="L9" s="31">
        <v>44492</v>
      </c>
      <c r="M9" s="31">
        <v>44557</v>
      </c>
      <c r="N9" s="31">
        <v>44689</v>
      </c>
      <c r="O9" s="31">
        <v>44773</v>
      </c>
      <c r="P9" s="31">
        <v>44893</v>
      </c>
      <c r="Q9" s="31">
        <v>45022</v>
      </c>
      <c r="R9" s="31">
        <v>45022</v>
      </c>
      <c r="S9" s="31">
        <v>45178</v>
      </c>
      <c r="T9" s="31">
        <v>45314</v>
      </c>
      <c r="U9" s="31">
        <v>45374</v>
      </c>
      <c r="V9" s="31">
        <v>45508</v>
      </c>
      <c r="W9" s="31">
        <v>45589</v>
      </c>
      <c r="X9" s="31">
        <v>45713</v>
      </c>
      <c r="Y9" s="31">
        <v>45713</v>
      </c>
      <c r="Z9" s="31">
        <v>45831</v>
      </c>
      <c r="AA9" s="31">
        <v>45831</v>
      </c>
      <c r="AB9" s="31">
        <v>45982</v>
      </c>
      <c r="AC9" s="31">
        <v>46121</v>
      </c>
      <c r="AD9" s="31">
        <v>46245</v>
      </c>
      <c r="AE9" s="31">
        <v>46380</v>
      </c>
      <c r="AF9" s="31">
        <v>46380</v>
      </c>
      <c r="AG9" s="31">
        <v>46522</v>
      </c>
      <c r="AH9" s="31">
        <v>46677</v>
      </c>
      <c r="AI9" s="31"/>
    </row>
    <row r="10" spans="1:42" s="34" customFormat="1" ht="25.7" customHeight="1" thickBot="1" x14ac:dyDescent="0.3">
      <c r="A10" s="93"/>
      <c r="B10" s="47"/>
      <c r="C10" s="94"/>
      <c r="D10" s="33"/>
      <c r="E10" s="33">
        <f t="shared" ref="E10:AH10" si="2">E9-D9</f>
        <v>143</v>
      </c>
      <c r="F10" s="33">
        <f t="shared" si="2"/>
        <v>108</v>
      </c>
      <c r="G10" s="33">
        <f t="shared" si="2"/>
        <v>118</v>
      </c>
      <c r="H10" s="33">
        <f t="shared" si="2"/>
        <v>125</v>
      </c>
      <c r="I10" s="33">
        <f t="shared" si="2"/>
        <v>119</v>
      </c>
      <c r="J10" s="33">
        <f t="shared" si="2"/>
        <v>131</v>
      </c>
      <c r="K10" s="33">
        <f t="shared" si="2"/>
        <v>0</v>
      </c>
      <c r="L10" s="33">
        <f t="shared" si="2"/>
        <v>114</v>
      </c>
      <c r="M10" s="33">
        <f t="shared" si="2"/>
        <v>65</v>
      </c>
      <c r="N10" s="33">
        <f t="shared" si="2"/>
        <v>132</v>
      </c>
      <c r="O10" s="33">
        <f t="shared" si="2"/>
        <v>84</v>
      </c>
      <c r="P10" s="33">
        <f t="shared" si="2"/>
        <v>120</v>
      </c>
      <c r="Q10" s="33">
        <f t="shared" si="2"/>
        <v>129</v>
      </c>
      <c r="R10" s="33">
        <f t="shared" si="2"/>
        <v>0</v>
      </c>
      <c r="S10" s="33">
        <f t="shared" si="2"/>
        <v>156</v>
      </c>
      <c r="T10" s="33">
        <f t="shared" si="2"/>
        <v>136</v>
      </c>
      <c r="U10" s="33">
        <f t="shared" si="2"/>
        <v>60</v>
      </c>
      <c r="V10" s="33">
        <f t="shared" si="2"/>
        <v>134</v>
      </c>
      <c r="W10" s="33">
        <f t="shared" si="2"/>
        <v>81</v>
      </c>
      <c r="X10" s="33">
        <f t="shared" si="2"/>
        <v>124</v>
      </c>
      <c r="Y10" s="33">
        <f t="shared" si="2"/>
        <v>0</v>
      </c>
      <c r="Z10" s="33">
        <f t="shared" si="2"/>
        <v>118</v>
      </c>
      <c r="AA10" s="33">
        <f t="shared" si="2"/>
        <v>0</v>
      </c>
      <c r="AB10" s="33">
        <f t="shared" si="2"/>
        <v>151</v>
      </c>
      <c r="AC10" s="33">
        <f t="shared" si="2"/>
        <v>139</v>
      </c>
      <c r="AD10" s="33">
        <f t="shared" si="2"/>
        <v>124</v>
      </c>
      <c r="AE10" s="33">
        <f t="shared" si="2"/>
        <v>135</v>
      </c>
      <c r="AF10" s="33">
        <f t="shared" si="2"/>
        <v>0</v>
      </c>
      <c r="AG10" s="33">
        <f t="shared" si="2"/>
        <v>142</v>
      </c>
      <c r="AH10" s="33">
        <f t="shared" si="2"/>
        <v>155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5">
        <v>5</v>
      </c>
      <c r="B11" s="27">
        <v>68864837</v>
      </c>
      <c r="C11" s="94" t="s">
        <v>74</v>
      </c>
      <c r="D11" s="31">
        <v>1253.0999999999999</v>
      </c>
      <c r="E11" s="31">
        <v>1255.066</v>
      </c>
      <c r="F11" s="31">
        <v>1256.963</v>
      </c>
      <c r="G11" s="31">
        <v>1258.6769999999999</v>
      </c>
      <c r="H11" s="31">
        <v>1260.33</v>
      </c>
      <c r="I11" s="31">
        <v>1269.269</v>
      </c>
      <c r="J11" s="64">
        <v>1269.269</v>
      </c>
      <c r="K11" s="31">
        <v>1276.848</v>
      </c>
      <c r="L11" s="31">
        <v>1278.9649999999999</v>
      </c>
      <c r="M11" s="31">
        <v>1280.597</v>
      </c>
      <c r="N11" s="31">
        <v>1282.4960000000001</v>
      </c>
      <c r="O11" s="31">
        <v>1284.3900000000001</v>
      </c>
      <c r="P11" s="31">
        <v>1286.0170000000001</v>
      </c>
      <c r="Q11" s="31">
        <v>1287.4880000000001</v>
      </c>
      <c r="R11" s="64">
        <v>1287.4880000000001</v>
      </c>
      <c r="S11" s="31">
        <v>1291.3330000000001</v>
      </c>
      <c r="T11" s="31">
        <v>1293.2329999999999</v>
      </c>
      <c r="U11" s="31">
        <v>1294.979</v>
      </c>
      <c r="V11" s="31">
        <v>1296.5150000000001</v>
      </c>
      <c r="W11" s="31">
        <v>1298.4269999999999</v>
      </c>
      <c r="X11" s="31">
        <v>1300.0519999999999</v>
      </c>
      <c r="Y11" s="31">
        <v>1302.0999999999999</v>
      </c>
      <c r="Z11" s="31">
        <v>1305.1420000000001</v>
      </c>
      <c r="AA11" s="31">
        <v>1308.6110000000001</v>
      </c>
      <c r="AB11" s="31">
        <v>1310.7860000000001</v>
      </c>
      <c r="AC11" s="31">
        <v>1313.249</v>
      </c>
      <c r="AD11" s="31">
        <v>1315.7080000000001</v>
      </c>
      <c r="AE11" s="31">
        <v>1317.9559999999999</v>
      </c>
      <c r="AF11" s="31">
        <v>1320.7739999999999</v>
      </c>
      <c r="AG11" s="31">
        <v>1323.28</v>
      </c>
      <c r="AH11" s="31">
        <v>1324.338</v>
      </c>
      <c r="AI11" s="31"/>
    </row>
    <row r="12" spans="1:42" s="8" customFormat="1" ht="25.7" customHeight="1" thickBot="1" x14ac:dyDescent="0.3">
      <c r="A12" s="96"/>
      <c r="B12" s="48"/>
      <c r="C12" s="94"/>
      <c r="D12" s="33"/>
      <c r="E12" s="33">
        <f t="shared" ref="E12:AH12" si="3">E11-D11</f>
        <v>1.9660000000001219</v>
      </c>
      <c r="F12" s="33">
        <f t="shared" si="3"/>
        <v>1.8969999999999345</v>
      </c>
      <c r="G12" s="33">
        <f t="shared" si="3"/>
        <v>1.7139999999999418</v>
      </c>
      <c r="H12" s="33">
        <f t="shared" si="3"/>
        <v>1.65300000000002</v>
      </c>
      <c r="I12" s="33">
        <f t="shared" si="3"/>
        <v>8.9390000000000782</v>
      </c>
      <c r="J12" s="33">
        <f t="shared" si="3"/>
        <v>0</v>
      </c>
      <c r="K12" s="33">
        <f t="shared" si="3"/>
        <v>7.5789999999999509</v>
      </c>
      <c r="L12" s="33">
        <f t="shared" si="3"/>
        <v>2.1169999999999618</v>
      </c>
      <c r="M12" s="33">
        <f t="shared" si="3"/>
        <v>1.6320000000000618</v>
      </c>
      <c r="N12" s="33">
        <f t="shared" si="3"/>
        <v>1.8990000000001146</v>
      </c>
      <c r="O12" s="33">
        <f t="shared" si="3"/>
        <v>1.8940000000000055</v>
      </c>
      <c r="P12" s="33">
        <f t="shared" si="3"/>
        <v>1.6269999999999527</v>
      </c>
      <c r="Q12" s="33">
        <f t="shared" si="3"/>
        <v>1.4710000000000036</v>
      </c>
      <c r="R12" s="33">
        <f t="shared" si="3"/>
        <v>0</v>
      </c>
      <c r="S12" s="33">
        <f t="shared" si="3"/>
        <v>3.8450000000000273</v>
      </c>
      <c r="T12" s="33">
        <f t="shared" si="3"/>
        <v>1.8999999999998636</v>
      </c>
      <c r="U12" s="33">
        <f t="shared" si="3"/>
        <v>1.7460000000000946</v>
      </c>
      <c r="V12" s="33">
        <f t="shared" si="3"/>
        <v>1.5360000000000582</v>
      </c>
      <c r="W12" s="33">
        <f t="shared" si="3"/>
        <v>1.9119999999998072</v>
      </c>
      <c r="X12" s="33">
        <f t="shared" si="3"/>
        <v>1.625</v>
      </c>
      <c r="Y12" s="33">
        <f t="shared" si="3"/>
        <v>2.0480000000000018</v>
      </c>
      <c r="Z12" s="33">
        <f t="shared" si="3"/>
        <v>3.0420000000001437</v>
      </c>
      <c r="AA12" s="33">
        <f t="shared" si="3"/>
        <v>3.4690000000000509</v>
      </c>
      <c r="AB12" s="33">
        <f t="shared" si="3"/>
        <v>2.1749999999999545</v>
      </c>
      <c r="AC12" s="33">
        <f t="shared" si="3"/>
        <v>2.4629999999999654</v>
      </c>
      <c r="AD12" s="33">
        <f t="shared" si="3"/>
        <v>2.45900000000006</v>
      </c>
      <c r="AE12" s="33">
        <f t="shared" si="3"/>
        <v>2.2479999999998199</v>
      </c>
      <c r="AF12" s="33">
        <f t="shared" si="3"/>
        <v>2.8179999999999836</v>
      </c>
      <c r="AG12" s="33">
        <f t="shared" si="3"/>
        <v>2.5060000000000855</v>
      </c>
      <c r="AH12" s="33">
        <f t="shared" si="3"/>
        <v>1.0579999999999927</v>
      </c>
      <c r="AI12" s="33"/>
    </row>
    <row r="13" spans="1:42" s="8" customFormat="1" ht="25.7" customHeight="1" thickBot="1" x14ac:dyDescent="0.3">
      <c r="A13" s="95">
        <v>6</v>
      </c>
      <c r="B13" s="27">
        <v>65296485</v>
      </c>
      <c r="C13" s="94" t="s">
        <v>73</v>
      </c>
      <c r="D13" s="31">
        <v>1456.415</v>
      </c>
      <c r="E13" s="31">
        <v>1457.16</v>
      </c>
      <c r="F13" s="31">
        <v>1458.115</v>
      </c>
      <c r="G13" s="31">
        <v>1459.6780000000001</v>
      </c>
      <c r="H13" s="31">
        <v>1460.673</v>
      </c>
      <c r="I13" s="31">
        <v>1461.646</v>
      </c>
      <c r="J13" s="64">
        <v>1461.646</v>
      </c>
      <c r="K13" s="31">
        <v>1463.585</v>
      </c>
      <c r="L13" s="31">
        <v>1464.894</v>
      </c>
      <c r="M13" s="31">
        <v>1466.7529999999999</v>
      </c>
      <c r="N13" s="31">
        <v>1467.8589999999999</v>
      </c>
      <c r="O13" s="31">
        <v>1469.7619999999999</v>
      </c>
      <c r="P13" s="31">
        <v>1470.4259999999999</v>
      </c>
      <c r="Q13" s="31">
        <v>1472.068</v>
      </c>
      <c r="R13" s="64">
        <v>1472.068</v>
      </c>
      <c r="S13" s="31">
        <v>1474.424</v>
      </c>
      <c r="T13" s="31">
        <v>1475.3030000000001</v>
      </c>
      <c r="U13" s="31">
        <v>1477.4690000000001</v>
      </c>
      <c r="V13" s="31">
        <v>1483.3030000000001</v>
      </c>
      <c r="W13" s="31">
        <v>1484.559</v>
      </c>
      <c r="X13" s="31">
        <v>1486.7950000000001</v>
      </c>
      <c r="Y13" s="31">
        <v>1489.52</v>
      </c>
      <c r="Z13" s="31">
        <v>1491.796</v>
      </c>
      <c r="AA13" s="31">
        <v>1495.894</v>
      </c>
      <c r="AB13" s="31">
        <v>1498.912</v>
      </c>
      <c r="AC13" s="31">
        <v>1501.9</v>
      </c>
      <c r="AD13" s="31">
        <v>1503.597</v>
      </c>
      <c r="AE13" s="31">
        <v>1505.9459999999999</v>
      </c>
      <c r="AF13" s="31">
        <v>1506.807</v>
      </c>
      <c r="AG13" s="31">
        <v>1507.8420000000001</v>
      </c>
      <c r="AH13" s="31">
        <v>1509.4259999999999</v>
      </c>
      <c r="AI13" s="31"/>
    </row>
    <row r="14" spans="1:42" s="8" customFormat="1" ht="25.7" customHeight="1" thickBot="1" x14ac:dyDescent="0.3">
      <c r="A14" s="96"/>
      <c r="B14" s="48"/>
      <c r="C14" s="94"/>
      <c r="D14" s="33"/>
      <c r="E14" s="33">
        <f t="shared" ref="E14:AH14" si="4">E13-D13</f>
        <v>0.74500000000011823</v>
      </c>
      <c r="F14" s="33">
        <f t="shared" si="4"/>
        <v>0.95499999999992724</v>
      </c>
      <c r="G14" s="33">
        <f t="shared" si="4"/>
        <v>1.5630000000001019</v>
      </c>
      <c r="H14" s="33">
        <f t="shared" si="4"/>
        <v>0.99499999999989086</v>
      </c>
      <c r="I14" s="33">
        <f t="shared" si="4"/>
        <v>0.97299999999995634</v>
      </c>
      <c r="J14" s="33">
        <f t="shared" si="4"/>
        <v>0</v>
      </c>
      <c r="K14" s="33">
        <f t="shared" si="4"/>
        <v>1.9390000000000782</v>
      </c>
      <c r="L14" s="33">
        <f t="shared" si="4"/>
        <v>1.3089999999999691</v>
      </c>
      <c r="M14" s="33">
        <f t="shared" si="4"/>
        <v>1.8589999999999236</v>
      </c>
      <c r="N14" s="33">
        <f t="shared" si="4"/>
        <v>1.1059999999999945</v>
      </c>
      <c r="O14" s="33">
        <f t="shared" si="4"/>
        <v>1.90300000000002</v>
      </c>
      <c r="P14" s="33">
        <f t="shared" si="4"/>
        <v>0.66399999999998727</v>
      </c>
      <c r="Q14" s="33">
        <f t="shared" si="4"/>
        <v>1.6420000000000528</v>
      </c>
      <c r="R14" s="33">
        <f t="shared" si="4"/>
        <v>0</v>
      </c>
      <c r="S14" s="33">
        <f t="shared" si="4"/>
        <v>2.3559999999999945</v>
      </c>
      <c r="T14" s="33">
        <f t="shared" si="4"/>
        <v>0.87900000000013279</v>
      </c>
      <c r="U14" s="33">
        <f t="shared" si="4"/>
        <v>2.16599999999994</v>
      </c>
      <c r="V14" s="33">
        <f t="shared" si="4"/>
        <v>5.83400000000006</v>
      </c>
      <c r="W14" s="33">
        <f t="shared" si="4"/>
        <v>1.2559999999998581</v>
      </c>
      <c r="X14" s="33">
        <f t="shared" si="4"/>
        <v>2.2360000000001037</v>
      </c>
      <c r="Y14" s="33">
        <f t="shared" si="4"/>
        <v>2.7249999999999091</v>
      </c>
      <c r="Z14" s="33">
        <f t="shared" si="4"/>
        <v>2.2760000000000673</v>
      </c>
      <c r="AA14" s="33">
        <f t="shared" si="4"/>
        <v>4.0979999999999563</v>
      </c>
      <c r="AB14" s="33">
        <f t="shared" si="4"/>
        <v>3.0180000000000291</v>
      </c>
      <c r="AC14" s="33">
        <f t="shared" si="4"/>
        <v>2.9880000000000564</v>
      </c>
      <c r="AD14" s="33">
        <f t="shared" si="4"/>
        <v>1.696999999999889</v>
      </c>
      <c r="AE14" s="33">
        <f t="shared" si="4"/>
        <v>2.3489999999999327</v>
      </c>
      <c r="AF14" s="33">
        <f t="shared" si="4"/>
        <v>0.86100000000010368</v>
      </c>
      <c r="AG14" s="33">
        <f t="shared" si="4"/>
        <v>1.0350000000000819</v>
      </c>
      <c r="AH14" s="33">
        <f t="shared" si="4"/>
        <v>1.5839999999998327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8" t="s">
        <v>71</v>
      </c>
      <c r="C15" s="88"/>
      <c r="D15" s="50"/>
      <c r="E15" s="58">
        <f>E6+((E8*45%)+(E10*45%)+(E12+E14))</f>
        <v>272.87599999998224</v>
      </c>
      <c r="F15" s="58">
        <f t="shared" ref="F15:AH15" si="5">F6+((F8*45%)+(F10*45%)+(F12+F14))</f>
        <v>239.18199999999871</v>
      </c>
      <c r="G15" s="58">
        <f t="shared" si="5"/>
        <v>257.38700000000642</v>
      </c>
      <c r="H15" s="58">
        <f t="shared" si="5"/>
        <v>289.43299999999465</v>
      </c>
      <c r="I15" s="58">
        <f t="shared" si="5"/>
        <v>282.08200000003905</v>
      </c>
      <c r="J15" s="58">
        <f t="shared" si="5"/>
        <v>305.28499999997149</v>
      </c>
      <c r="K15" s="58">
        <f t="shared" si="5"/>
        <v>223.28799999996627</v>
      </c>
      <c r="L15" s="58">
        <f t="shared" si="5"/>
        <v>295.58100000004532</v>
      </c>
      <c r="M15" s="58">
        <f t="shared" si="5"/>
        <v>294.05099999997145</v>
      </c>
      <c r="N15" s="58">
        <f t="shared" si="5"/>
        <v>321.67500000001291</v>
      </c>
      <c r="O15" s="58">
        <f t="shared" si="5"/>
        <v>272.44199999999245</v>
      </c>
      <c r="P15" s="58">
        <f t="shared" si="5"/>
        <v>336.78600000001273</v>
      </c>
      <c r="Q15" s="58">
        <f t="shared" si="5"/>
        <v>104.81300000000006</v>
      </c>
      <c r="R15" s="58">
        <f t="shared" si="5"/>
        <v>151.25500000001048</v>
      </c>
      <c r="S15" s="58">
        <f t="shared" si="5"/>
        <v>302.42099999998953</v>
      </c>
      <c r="T15" s="58">
        <f t="shared" si="5"/>
        <v>250.16399999999476</v>
      </c>
      <c r="U15" s="58">
        <f t="shared" si="5"/>
        <v>201.13700000000003</v>
      </c>
      <c r="V15" s="58">
        <f t="shared" si="5"/>
        <v>260.60500000002105</v>
      </c>
      <c r="W15" s="58">
        <f t="shared" si="5"/>
        <v>228.37299999998396</v>
      </c>
      <c r="X15" s="58">
        <f t="shared" si="5"/>
        <v>226.07600000000537</v>
      </c>
      <c r="Y15" s="58">
        <f t="shared" si="5"/>
        <v>164.47800000001038</v>
      </c>
      <c r="Z15" s="58">
        <f t="shared" si="5"/>
        <v>309.44300000000021</v>
      </c>
      <c r="AA15" s="58">
        <f t="shared" si="5"/>
        <v>266.32199999998431</v>
      </c>
      <c r="AB15" s="58">
        <f t="shared" si="5"/>
        <v>331.05299999999477</v>
      </c>
      <c r="AC15" s="58">
        <f t="shared" si="5"/>
        <v>323.63100000001049</v>
      </c>
      <c r="AD15" s="58">
        <f t="shared" si="5"/>
        <v>309.23600000001045</v>
      </c>
      <c r="AE15" s="58">
        <f t="shared" si="5"/>
        <v>321.08699999997879</v>
      </c>
      <c r="AF15" s="58">
        <f t="shared" si="5"/>
        <v>245.17900000000009</v>
      </c>
      <c r="AG15" s="58">
        <f t="shared" si="5"/>
        <v>337.23100000000539</v>
      </c>
      <c r="AH15" s="58">
        <f t="shared" si="5"/>
        <v>320.13200000000506</v>
      </c>
      <c r="AI15" s="58"/>
    </row>
    <row r="16" spans="1:42" ht="33" customHeight="1" x14ac:dyDescent="0.25">
      <c r="B16" s="87" t="s">
        <v>72</v>
      </c>
      <c r="C16" s="87"/>
      <c r="D16" s="50"/>
      <c r="E16" s="58">
        <f>SUM(E15:AI15)</f>
        <v>8042.7039999999988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9" zoomScaleNormal="100" workbookViewId="0">
      <selection activeCell="C32" sqref="C32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7" t="s">
        <v>84</v>
      </c>
      <c r="B1" s="97"/>
      <c r="C1" s="97"/>
    </row>
    <row r="2" spans="1:3" ht="24.95" customHeight="1" x14ac:dyDescent="0.25">
      <c r="A2" s="60" t="s">
        <v>81</v>
      </c>
      <c r="B2" s="60" t="s">
        <v>79</v>
      </c>
      <c r="C2" s="60" t="s">
        <v>80</v>
      </c>
    </row>
    <row r="3" spans="1:3" ht="24.95" customHeight="1" x14ac:dyDescent="0.25">
      <c r="A3" s="61">
        <v>45017</v>
      </c>
      <c r="B3" s="62">
        <v>214</v>
      </c>
      <c r="C3" s="62">
        <v>308</v>
      </c>
    </row>
    <row r="4" spans="1:3" ht="24.95" customHeight="1" x14ac:dyDescent="0.25">
      <c r="A4" s="61">
        <v>45018</v>
      </c>
      <c r="B4" s="62">
        <v>200</v>
      </c>
      <c r="C4" s="62">
        <v>272</v>
      </c>
    </row>
    <row r="5" spans="1:3" ht="24.95" customHeight="1" x14ac:dyDescent="0.25">
      <c r="A5" s="61">
        <v>45019</v>
      </c>
      <c r="B5" s="62">
        <v>218</v>
      </c>
      <c r="C5" s="62">
        <v>295</v>
      </c>
    </row>
    <row r="6" spans="1:3" ht="24.95" customHeight="1" x14ac:dyDescent="0.25">
      <c r="A6" s="61">
        <v>45020</v>
      </c>
      <c r="B6" s="62">
        <v>211</v>
      </c>
      <c r="C6" s="62">
        <v>292</v>
      </c>
    </row>
    <row r="7" spans="1:3" ht="24.95" customHeight="1" x14ac:dyDescent="0.25">
      <c r="A7" s="61">
        <v>45021</v>
      </c>
      <c r="B7" s="62">
        <v>169</v>
      </c>
      <c r="C7" s="62">
        <v>221</v>
      </c>
    </row>
    <row r="8" spans="1:3" ht="24.95" customHeight="1" x14ac:dyDescent="0.25">
      <c r="A8" s="61">
        <v>45022</v>
      </c>
      <c r="B8" s="62">
        <v>236</v>
      </c>
      <c r="C8" s="62">
        <v>333</v>
      </c>
    </row>
    <row r="9" spans="1:3" ht="24.95" customHeight="1" x14ac:dyDescent="0.25">
      <c r="A9" s="61">
        <v>45023</v>
      </c>
      <c r="B9" s="62">
        <v>198</v>
      </c>
      <c r="C9" s="62">
        <v>307</v>
      </c>
    </row>
    <row r="10" spans="1:3" ht="24.95" customHeight="1" x14ac:dyDescent="0.25">
      <c r="A10" s="61">
        <v>45024</v>
      </c>
      <c r="B10" s="62">
        <v>308</v>
      </c>
      <c r="C10" s="62">
        <v>507</v>
      </c>
    </row>
    <row r="11" spans="1:3" ht="24.95" customHeight="1" x14ac:dyDescent="0.25">
      <c r="A11" s="61">
        <v>45025</v>
      </c>
      <c r="B11" s="62">
        <v>305</v>
      </c>
      <c r="C11" s="62">
        <v>428</v>
      </c>
    </row>
    <row r="12" spans="1:3" ht="24.95" customHeight="1" x14ac:dyDescent="0.25">
      <c r="A12" s="61">
        <v>45026</v>
      </c>
      <c r="B12" s="62">
        <v>290</v>
      </c>
      <c r="C12" s="62">
        <v>411</v>
      </c>
    </row>
    <row r="13" spans="1:3" ht="24.95" customHeight="1" x14ac:dyDescent="0.25">
      <c r="A13" s="61">
        <v>45027</v>
      </c>
      <c r="B13" s="62">
        <v>258</v>
      </c>
      <c r="C13" s="62">
        <v>346</v>
      </c>
    </row>
    <row r="14" spans="1:3" ht="24.95" customHeight="1" x14ac:dyDescent="0.25">
      <c r="A14" s="61">
        <v>45028</v>
      </c>
      <c r="B14" s="62">
        <v>213</v>
      </c>
      <c r="C14" s="62">
        <v>282</v>
      </c>
    </row>
    <row r="15" spans="1:3" ht="24.95" customHeight="1" x14ac:dyDescent="0.25">
      <c r="A15" s="61">
        <v>45029</v>
      </c>
      <c r="B15" s="62">
        <v>213</v>
      </c>
      <c r="C15" s="62">
        <v>300</v>
      </c>
    </row>
    <row r="16" spans="1:3" ht="24.95" customHeight="1" x14ac:dyDescent="0.25">
      <c r="A16" s="61">
        <v>45030</v>
      </c>
      <c r="B16" s="62">
        <v>223</v>
      </c>
      <c r="C16" s="62">
        <v>312</v>
      </c>
    </row>
    <row r="17" spans="1:3" ht="24.95" customHeight="1" x14ac:dyDescent="0.25">
      <c r="A17" s="61">
        <v>45031</v>
      </c>
      <c r="B17" s="62">
        <v>234</v>
      </c>
      <c r="C17" s="62">
        <v>318</v>
      </c>
    </row>
    <row r="18" spans="1:3" ht="24.95" customHeight="1" x14ac:dyDescent="0.25">
      <c r="A18" s="61">
        <v>45032</v>
      </c>
      <c r="B18" s="62">
        <v>271</v>
      </c>
      <c r="C18" s="62">
        <v>384</v>
      </c>
    </row>
    <row r="19" spans="1:3" ht="24.95" customHeight="1" x14ac:dyDescent="0.25">
      <c r="A19" s="61">
        <v>45033</v>
      </c>
      <c r="B19" s="62">
        <v>283</v>
      </c>
      <c r="C19" s="62">
        <v>395</v>
      </c>
    </row>
    <row r="20" spans="1:3" ht="24.95" customHeight="1" x14ac:dyDescent="0.25">
      <c r="A20" s="61">
        <v>45034</v>
      </c>
      <c r="B20" s="62">
        <v>210</v>
      </c>
      <c r="C20" s="62">
        <v>309</v>
      </c>
    </row>
    <row r="21" spans="1:3" ht="24.95" customHeight="1" x14ac:dyDescent="0.25">
      <c r="A21" s="61">
        <v>45035</v>
      </c>
      <c r="B21" s="62">
        <v>164</v>
      </c>
      <c r="C21" s="62">
        <v>249</v>
      </c>
    </row>
    <row r="22" spans="1:3" ht="24.95" customHeight="1" x14ac:dyDescent="0.25">
      <c r="A22" s="61">
        <v>45036</v>
      </c>
      <c r="B22" s="62">
        <v>196</v>
      </c>
      <c r="C22" s="62">
        <v>335</v>
      </c>
    </row>
    <row r="23" spans="1:3" ht="24.95" customHeight="1" x14ac:dyDescent="0.25">
      <c r="A23" s="61">
        <v>45037</v>
      </c>
      <c r="B23" s="62">
        <v>297</v>
      </c>
      <c r="C23" s="62">
        <v>563</v>
      </c>
    </row>
    <row r="24" spans="1:3" ht="24.95" customHeight="1" x14ac:dyDescent="0.25">
      <c r="A24" s="61">
        <v>45038</v>
      </c>
      <c r="B24" s="62">
        <v>417</v>
      </c>
      <c r="C24" s="62">
        <v>791</v>
      </c>
    </row>
    <row r="25" spans="1:3" ht="24.95" customHeight="1" x14ac:dyDescent="0.25">
      <c r="A25" s="61">
        <v>45039</v>
      </c>
      <c r="B25" s="62">
        <v>342</v>
      </c>
      <c r="C25" s="62">
        <v>559</v>
      </c>
    </row>
    <row r="26" spans="1:3" ht="24.95" customHeight="1" x14ac:dyDescent="0.25">
      <c r="A26" s="61">
        <v>45040</v>
      </c>
      <c r="B26" s="62">
        <v>337</v>
      </c>
      <c r="C26" s="62">
        <v>545</v>
      </c>
    </row>
    <row r="27" spans="1:3" ht="24.95" customHeight="1" x14ac:dyDescent="0.25">
      <c r="A27" s="61">
        <v>45041</v>
      </c>
      <c r="B27" s="62">
        <v>314</v>
      </c>
      <c r="C27" s="62">
        <v>485</v>
      </c>
    </row>
    <row r="28" spans="1:3" ht="24.95" customHeight="1" x14ac:dyDescent="0.25">
      <c r="A28" s="61">
        <v>45042</v>
      </c>
      <c r="B28" s="62">
        <v>340</v>
      </c>
      <c r="C28" s="62">
        <v>533</v>
      </c>
    </row>
    <row r="29" spans="1:3" ht="24.95" customHeight="1" x14ac:dyDescent="0.25">
      <c r="A29" s="61">
        <v>45043</v>
      </c>
      <c r="B29" s="62">
        <v>360</v>
      </c>
      <c r="C29" s="62">
        <v>556</v>
      </c>
    </row>
    <row r="30" spans="1:3" ht="24.95" customHeight="1" x14ac:dyDescent="0.25">
      <c r="A30" s="61">
        <v>45044</v>
      </c>
      <c r="B30" s="62">
        <v>370</v>
      </c>
      <c r="C30" s="62">
        <v>596</v>
      </c>
    </row>
    <row r="31" spans="1:3" ht="24.95" customHeight="1" x14ac:dyDescent="0.25">
      <c r="A31" s="61">
        <v>45045</v>
      </c>
      <c r="B31" s="62">
        <v>358</v>
      </c>
      <c r="C31" s="62">
        <v>585</v>
      </c>
    </row>
    <row r="32" spans="1:3" ht="24.95" customHeight="1" x14ac:dyDescent="0.25">
      <c r="A32" s="61">
        <v>45046</v>
      </c>
      <c r="B32" s="62">
        <v>228</v>
      </c>
      <c r="C32" s="62">
        <v>314</v>
      </c>
    </row>
    <row r="33" spans="1:3" ht="24.95" customHeight="1" x14ac:dyDescent="0.25">
      <c r="A33" s="61"/>
      <c r="B33" s="62"/>
      <c r="C33" s="62"/>
    </row>
    <row r="34" spans="1:3" ht="30.75" customHeight="1" x14ac:dyDescent="0.25">
      <c r="A34" s="60" t="s">
        <v>82</v>
      </c>
      <c r="B34" s="63">
        <f>SUM(B3:B33)</f>
        <v>7977</v>
      </c>
      <c r="C34" s="63">
        <f>SUM(C3:C33)</f>
        <v>12131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2025-03-17T08:03:41Z</dcterms:modified>
</cp:coreProperties>
</file>