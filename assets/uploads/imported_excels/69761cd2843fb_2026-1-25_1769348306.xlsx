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Desktop/HEP 2025 - Liwa &amp; Mugheria/Mugheria/"/>
    </mc:Choice>
  </mc:AlternateContent>
  <xr:revisionPtr revIDLastSave="305" documentId="13_ncr:1_{F8A65060-722C-4A64-99D8-EF71068E6823}" xr6:coauthVersionLast="47" xr6:coauthVersionMax="47" xr10:uidLastSave="{34BABD17-98DB-44B7-B88B-73C3164B52D7}"/>
  <bookViews>
    <workbookView xWindow="-120" yWindow="-120" windowWidth="29040" windowHeight="15720" tabRatio="783" xr2:uid="{00000000-000D-0000-FFFF-FFFF00000000}"/>
  </bookViews>
  <sheets>
    <sheet name="Total" sheetId="15" r:id="rId1"/>
    <sheet name="BAN-M Electrical &amp; Water Dec25" sheetId="14" r:id="rId2"/>
  </sheets>
  <definedNames>
    <definedName name="_xlnm.Print_Area" localSheetId="1">'BAN-M Electrical &amp; Water Dec25'!$C$1:$K$35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4" l="1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J33" i="15"/>
  <c r="I33" i="15"/>
  <c r="D37" i="14"/>
  <c r="D38" i="14" s="1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H34" i="14"/>
  <c r="J37" i="14" l="1"/>
  <c r="J38" i="14" s="1"/>
  <c r="H37" i="14"/>
  <c r="F37" i="14"/>
  <c r="J36" i="14"/>
  <c r="H36" i="14"/>
  <c r="G31" i="15" s="1"/>
  <c r="F36" i="14"/>
  <c r="E31" i="15" s="1"/>
  <c r="J35" i="14"/>
  <c r="H35" i="14"/>
  <c r="G30" i="15" s="1"/>
  <c r="F35" i="14"/>
  <c r="E30" i="15" s="1"/>
  <c r="J34" i="14"/>
  <c r="G29" i="15" s="1"/>
  <c r="F34" i="14"/>
  <c r="E29" i="15" s="1"/>
  <c r="J33" i="14"/>
  <c r="H33" i="14"/>
  <c r="F33" i="14"/>
  <c r="E28" i="15" s="1"/>
  <c r="J32" i="14"/>
  <c r="H32" i="14"/>
  <c r="G27" i="15" s="1"/>
  <c r="F32" i="14"/>
  <c r="E27" i="15" s="1"/>
  <c r="J31" i="14"/>
  <c r="H31" i="14"/>
  <c r="G26" i="15" s="1"/>
  <c r="F31" i="14"/>
  <c r="E26" i="15" s="1"/>
  <c r="J30" i="14"/>
  <c r="H30" i="14"/>
  <c r="F30" i="14"/>
  <c r="E25" i="15" s="1"/>
  <c r="J29" i="14"/>
  <c r="H29" i="14"/>
  <c r="F29" i="14"/>
  <c r="E24" i="15" s="1"/>
  <c r="J28" i="14"/>
  <c r="H28" i="14"/>
  <c r="G23" i="15" s="1"/>
  <c r="F28" i="14"/>
  <c r="E23" i="15" s="1"/>
  <c r="J27" i="14"/>
  <c r="H27" i="14"/>
  <c r="G22" i="15" s="1"/>
  <c r="F27" i="14"/>
  <c r="E22" i="15" s="1"/>
  <c r="J26" i="14"/>
  <c r="H26" i="14"/>
  <c r="G21" i="15" s="1"/>
  <c r="F26" i="14"/>
  <c r="E21" i="15" s="1"/>
  <c r="J25" i="14"/>
  <c r="H25" i="14"/>
  <c r="F25" i="14"/>
  <c r="E20" i="15" s="1"/>
  <c r="J24" i="14"/>
  <c r="H24" i="14"/>
  <c r="G19" i="15" s="1"/>
  <c r="F24" i="14"/>
  <c r="E19" i="15" s="1"/>
  <c r="J23" i="14"/>
  <c r="H23" i="14"/>
  <c r="F23" i="14"/>
  <c r="E18" i="15" s="1"/>
  <c r="J22" i="14"/>
  <c r="H22" i="14"/>
  <c r="G17" i="15" s="1"/>
  <c r="F22" i="14"/>
  <c r="E17" i="15" s="1"/>
  <c r="J21" i="14"/>
  <c r="H21" i="14"/>
  <c r="F21" i="14"/>
  <c r="E16" i="15" s="1"/>
  <c r="J20" i="14"/>
  <c r="H20" i="14"/>
  <c r="G15" i="15" s="1"/>
  <c r="F20" i="14"/>
  <c r="E15" i="15" s="1"/>
  <c r="J19" i="14"/>
  <c r="H19" i="14"/>
  <c r="G14" i="15" s="1"/>
  <c r="F19" i="14"/>
  <c r="E14" i="15" s="1"/>
  <c r="J18" i="14"/>
  <c r="H18" i="14"/>
  <c r="G13" i="15" s="1"/>
  <c r="F18" i="14"/>
  <c r="E13" i="15" s="1"/>
  <c r="J17" i="14"/>
  <c r="H17" i="14"/>
  <c r="F17" i="14"/>
  <c r="E12" i="15" s="1"/>
  <c r="J16" i="14"/>
  <c r="H16" i="14"/>
  <c r="F16" i="14"/>
  <c r="E11" i="15" s="1"/>
  <c r="J15" i="14"/>
  <c r="H15" i="14"/>
  <c r="G10" i="15" s="1"/>
  <c r="F15" i="14"/>
  <c r="E10" i="15" s="1"/>
  <c r="J14" i="14"/>
  <c r="H14" i="14"/>
  <c r="G9" i="15" s="1"/>
  <c r="F14" i="14"/>
  <c r="E9" i="15" s="1"/>
  <c r="J13" i="14"/>
  <c r="H13" i="14"/>
  <c r="F13" i="14"/>
  <c r="E8" i="15" s="1"/>
  <c r="J12" i="14"/>
  <c r="H12" i="14"/>
  <c r="G7" i="15" s="1"/>
  <c r="F12" i="14"/>
  <c r="E7" i="15" s="1"/>
  <c r="J11" i="14"/>
  <c r="H11" i="14"/>
  <c r="G6" i="15" s="1"/>
  <c r="F11" i="14"/>
  <c r="E6" i="15" s="1"/>
  <c r="J10" i="14"/>
  <c r="H10" i="14"/>
  <c r="F10" i="14"/>
  <c r="E5" i="15" s="1"/>
  <c r="J9" i="14"/>
  <c r="H9" i="14"/>
  <c r="F9" i="14"/>
  <c r="E4" i="15" s="1"/>
  <c r="J8" i="14"/>
  <c r="H8" i="14"/>
  <c r="G3" i="15" s="1"/>
  <c r="F8" i="14"/>
  <c r="E3" i="15" s="1"/>
  <c r="J7" i="14"/>
  <c r="H7" i="14"/>
  <c r="F7" i="14"/>
  <c r="E2" i="15" s="1"/>
  <c r="G5" i="15" l="1"/>
  <c r="G2" i="15"/>
  <c r="G4" i="15"/>
  <c r="G8" i="15"/>
  <c r="G12" i="15"/>
  <c r="G16" i="15"/>
  <c r="G20" i="15"/>
  <c r="G24" i="15"/>
  <c r="G28" i="15"/>
  <c r="G11" i="15"/>
  <c r="G18" i="15"/>
  <c r="G25" i="15"/>
  <c r="H38" i="14"/>
  <c r="F38" i="14"/>
</calcChain>
</file>

<file path=xl/sharedStrings.xml><?xml version="1.0" encoding="utf-8"?>
<sst xmlns="http://schemas.openxmlformats.org/spreadsheetml/2006/main" count="65" uniqueCount="26">
  <si>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</si>
  <si>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</si>
  <si>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</si>
  <si>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</si>
  <si>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</si>
  <si>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</si>
  <si>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</si>
  <si>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</si>
  <si>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</si>
  <si>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</si>
  <si>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</si>
  <si>
    <t xml:space="preserve">BAN- Mugheirah Utility Readings </t>
  </si>
  <si>
    <t>TYPE</t>
  </si>
  <si>
    <t>Time</t>
  </si>
  <si>
    <t xml:space="preserve">BAN- Mugheirah Utility Readings -ADDC Electrical </t>
  </si>
  <si>
    <t xml:space="preserve">Daily Consumptions </t>
  </si>
  <si>
    <t>BAN- Mugheirah Utility Readings - ADDC Water.                   ( Villas)</t>
  </si>
  <si>
    <t>BAN- Mugheirah Utility Readings - ADDC Water (Irrigations)</t>
  </si>
  <si>
    <t xml:space="preserve">Remarks </t>
  </si>
  <si>
    <t>Meter</t>
  </si>
  <si>
    <t>AC No 0405438373</t>
  </si>
  <si>
    <t>AC N0 33777729225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</si>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</sst>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0" fontId="16" fillId="8" borderId="0" xfId="0" applyFont="1" applyFill="1"/>
    <xf numFmtId="1" fontId="12" fillId="7" borderId="0" xfId="1" applyNumberFormat="1" applyFill="1"/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Dec25'!$D$6:$D$35</c:f>
              <c:numCache>
                <c:formatCode>General</c:formatCode>
                <c:ptCount val="30"/>
                <c:pt idx="0">
                  <c:v>0</c:v>
                </c:pt>
                <c:pt idx="1">
                  <c:v>1825</c:v>
                </c:pt>
                <c:pt idx="2">
                  <c:v>1580</c:v>
                </c:pt>
                <c:pt idx="3">
                  <c:v>1645</c:v>
                </c:pt>
                <c:pt idx="4">
                  <c:v>1600</c:v>
                </c:pt>
                <c:pt idx="5">
                  <c:v>1812</c:v>
                </c:pt>
                <c:pt idx="6">
                  <c:v>1584</c:v>
                </c:pt>
                <c:pt idx="7">
                  <c:v>1632</c:v>
                </c:pt>
                <c:pt idx="8">
                  <c:v>1466</c:v>
                </c:pt>
                <c:pt idx="9">
                  <c:v>1441</c:v>
                </c:pt>
                <c:pt idx="10">
                  <c:v>1306</c:v>
                </c:pt>
                <c:pt idx="11">
                  <c:v>1329</c:v>
                </c:pt>
                <c:pt idx="12">
                  <c:v>1283</c:v>
                </c:pt>
                <c:pt idx="13">
                  <c:v>1379</c:v>
                </c:pt>
                <c:pt idx="14">
                  <c:v>1300</c:v>
                </c:pt>
                <c:pt idx="15">
                  <c:v>1486</c:v>
                </c:pt>
                <c:pt idx="16">
                  <c:v>1334</c:v>
                </c:pt>
                <c:pt idx="17">
                  <c:v>1393</c:v>
                </c:pt>
                <c:pt idx="18">
                  <c:v>1464</c:v>
                </c:pt>
                <c:pt idx="19">
                  <c:v>1661</c:v>
                </c:pt>
                <c:pt idx="20">
                  <c:v>1763</c:v>
                </c:pt>
                <c:pt idx="21">
                  <c:v>1629</c:v>
                </c:pt>
                <c:pt idx="22">
                  <c:v>1711</c:v>
                </c:pt>
                <c:pt idx="23">
                  <c:v>1693</c:v>
                </c:pt>
                <c:pt idx="24">
                  <c:v>1550</c:v>
                </c:pt>
                <c:pt idx="25">
                  <c:v>1573</c:v>
                </c:pt>
                <c:pt idx="26">
                  <c:v>1417</c:v>
                </c:pt>
                <c:pt idx="27">
                  <c:v>1451</c:v>
                </c:pt>
                <c:pt idx="28">
                  <c:v>1471</c:v>
                </c:pt>
                <c:pt idx="29">
                  <c:v>1299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Dec25'!$H$6:$H$35</c:f>
              <c:numCache>
                <c:formatCode>General</c:formatCode>
                <c:ptCount val="30"/>
                <c:pt idx="0">
                  <c:v>0</c:v>
                </c:pt>
                <c:pt idx="1">
                  <c:v>48</c:v>
                </c:pt>
                <c:pt idx="2">
                  <c:v>42</c:v>
                </c:pt>
                <c:pt idx="3">
                  <c:v>37</c:v>
                </c:pt>
                <c:pt idx="4">
                  <c:v>50</c:v>
                </c:pt>
                <c:pt idx="5">
                  <c:v>45</c:v>
                </c:pt>
                <c:pt idx="6">
                  <c:v>41</c:v>
                </c:pt>
                <c:pt idx="7">
                  <c:v>45</c:v>
                </c:pt>
                <c:pt idx="8">
                  <c:v>45</c:v>
                </c:pt>
                <c:pt idx="9">
                  <c:v>43</c:v>
                </c:pt>
                <c:pt idx="10">
                  <c:v>39</c:v>
                </c:pt>
                <c:pt idx="11">
                  <c:v>40</c:v>
                </c:pt>
                <c:pt idx="12">
                  <c:v>42</c:v>
                </c:pt>
                <c:pt idx="13">
                  <c:v>43</c:v>
                </c:pt>
                <c:pt idx="14">
                  <c:v>43</c:v>
                </c:pt>
                <c:pt idx="15">
                  <c:v>35</c:v>
                </c:pt>
                <c:pt idx="16">
                  <c:v>49</c:v>
                </c:pt>
                <c:pt idx="17">
                  <c:v>40</c:v>
                </c:pt>
                <c:pt idx="18">
                  <c:v>39</c:v>
                </c:pt>
                <c:pt idx="19">
                  <c:v>42</c:v>
                </c:pt>
                <c:pt idx="20">
                  <c:v>41</c:v>
                </c:pt>
                <c:pt idx="21">
                  <c:v>43</c:v>
                </c:pt>
                <c:pt idx="22">
                  <c:v>48</c:v>
                </c:pt>
                <c:pt idx="23">
                  <c:v>46</c:v>
                </c:pt>
                <c:pt idx="24">
                  <c:v>45</c:v>
                </c:pt>
                <c:pt idx="25">
                  <c:v>61</c:v>
                </c:pt>
                <c:pt idx="26">
                  <c:v>40</c:v>
                </c:pt>
                <c:pt idx="27">
                  <c:v>46</c:v>
                </c:pt>
                <c:pt idx="28">
                  <c:v>37</c:v>
                </c:pt>
                <c:pt idx="29">
                  <c:v>48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9</xdr:col>
      <xdr:colOff>1394240</xdr:colOff>
      <xdr:row>0</xdr:row>
      <xdr:rowOff>124240</xdr:rowOff>
    </xdr:from>
    <xdr:to>
      <xdr:col>10</xdr:col>
      <xdr:colOff>1808370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tabSelected="1" topLeftCell="A2" workbookViewId="0">
      <selection activeCell="B32" sqref="B32:H32"/>
    </sheetView>
  </sheetViews>
  <sheetFormatPr defaultColWidth="11.5703125" defaultRowHeight="15" x14ac:dyDescent="0.25"/>
  <cols>
    <col min="1" max="1" width="29.140625" style="33" bestFit="1" customWidth="1"/>
    <col min="2" max="3" width="11.5703125" style="28"/>
    <col min="4" max="4" width="13.42578125" style="28" customWidth="1"/>
    <col min="5" max="5" width="12.5703125" style="31" customWidth="1"/>
    <col min="6" max="6" width="12.5703125" style="30" customWidth="1"/>
    <col min="7" max="7" width="11.5703125" style="31"/>
    <col min="8" max="8" width="11.5703125" style="32"/>
    <col min="9" max="22" width="11.5703125" style="31"/>
    <col min="23" max="16384" width="11.5703125" style="34"/>
  </cols>
  <sheetData>
    <row r="1" spans="1:10" s="26" customFormat="1" ht="60" x14ac:dyDescent="0.2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5" t="s">
        <v>7</v>
      </c>
      <c r="I1" s="23" t="s">
        <v>8</v>
      </c>
      <c r="J1" s="23" t="s">
        <v>9</v>
      </c>
    </row>
    <row r="2" spans="1:10" x14ac:dyDescent="0.25">
      <c r="A2" s="27" t="s">
        <v>10</v>
      </c>
      <c r="B2" s="28">
        <v>1</v>
      </c>
      <c r="C2" s="28">
        <v>11</v>
      </c>
      <c r="D2" s="28">
        <v>2025</v>
      </c>
      <c r="E2" s="29">
        <f>IF('BAN-M Electrical &amp; Water Dec25'!F7&gt;0,'BAN-M Electrical &amp; Water Dec25'!F7,0)</f>
        <v>0</v>
      </c>
      <c r="F2" s="30">
        <v>0.2</v>
      </c>
      <c r="G2" s="29">
        <f>IF('BAN-M Electrical &amp; Water Dec25'!H7+'BAN-M Electrical &amp; Water Dec25'!J7&gt;0,'BAN-M Electrical &amp; Water Dec25'!H7+'BAN-M Electrical &amp; Water Dec25'!J7,0)</f>
        <v>3519</v>
      </c>
      <c r="H2" s="30">
        <v>7.84</v>
      </c>
      <c r="I2" s="35">
        <v>34</v>
      </c>
      <c r="J2" s="35">
        <v>74</v>
      </c>
    </row>
    <row r="3" spans="1:10" x14ac:dyDescent="0.25">
      <c r="A3" s="27" t="s">
        <v>10</v>
      </c>
      <c r="B3" s="28">
        <f>B2+1</f>
        <v>2</v>
      </c>
      <c r="C3" s="28">
        <v>11</v>
      </c>
      <c r="D3" s="28">
        <v>2025</v>
      </c>
      <c r="E3" s="29">
        <f>IF('BAN-M Electrical &amp; Water Dec25'!F8&gt;0,'BAN-M Electrical &amp; Water Dec25'!F8,0)</f>
        <v>2100</v>
      </c>
      <c r="F3" s="30">
        <v>0.2</v>
      </c>
      <c r="G3" s="29">
        <f>IF('BAN-M Electrical &amp; Water Dec25'!H8+'BAN-M Electrical &amp; Water Dec25'!J8&gt;0,'BAN-M Electrical &amp; Water Dec25'!H8+'BAN-M Electrical &amp; Water Dec25'!J8,0)</f>
        <v>987</v>
      </c>
      <c r="H3" s="30">
        <v>7.84</v>
      </c>
      <c r="I3" s="35">
        <v>13</v>
      </c>
      <c r="J3" s="35">
        <v>23</v>
      </c>
    </row>
    <row r="4" spans="1:10" x14ac:dyDescent="0.25">
      <c r="A4" s="27" t="s">
        <v>10</v>
      </c>
      <c r="B4" s="28">
        <f t="shared" ref="B4:B31" si="0">B3+1</f>
        <v>3</v>
      </c>
      <c r="C4" s="28">
        <v>11</v>
      </c>
      <c r="D4" s="28">
        <v>2025</v>
      </c>
      <c r="E4" s="29">
        <f>IF('BAN-M Electrical &amp; Water Dec25'!F9&gt;0,'BAN-M Electrical &amp; Water Dec25'!F9,0)</f>
        <v>2424</v>
      </c>
      <c r="F4" s="30">
        <v>0.2</v>
      </c>
      <c r="G4" s="29">
        <f>IF('BAN-M Electrical &amp; Water Dec25'!H9+'BAN-M Electrical &amp; Water Dec25'!J9&gt;0,'BAN-M Electrical &amp; Water Dec25'!H9+'BAN-M Electrical &amp; Water Dec25'!J9,0)</f>
        <v>92</v>
      </c>
      <c r="H4" s="30">
        <v>7.84</v>
      </c>
      <c r="I4" s="35">
        <v>13</v>
      </c>
      <c r="J4" s="35">
        <v>23</v>
      </c>
    </row>
    <row r="5" spans="1:10" x14ac:dyDescent="0.25">
      <c r="A5" s="27" t="s">
        <v>10</v>
      </c>
      <c r="B5" s="28">
        <f t="shared" si="0"/>
        <v>4</v>
      </c>
      <c r="C5" s="28">
        <v>11</v>
      </c>
      <c r="D5" s="28">
        <v>2025</v>
      </c>
      <c r="E5" s="29">
        <f>IF('BAN-M Electrical &amp; Water Dec25'!F10&gt;0,'BAN-M Electrical &amp; Water Dec25'!F10,0)</f>
        <v>2185</v>
      </c>
      <c r="F5" s="30">
        <v>0.2</v>
      </c>
      <c r="G5" s="29">
        <f>IF('BAN-M Electrical &amp; Water Dec25'!H10+'BAN-M Electrical &amp; Water Dec25'!J10&gt;0,'BAN-M Electrical &amp; Water Dec25'!H10+'BAN-M Electrical &amp; Water Dec25'!J10,0)</f>
        <v>115</v>
      </c>
      <c r="H5" s="30">
        <v>7.84</v>
      </c>
      <c r="I5" s="35">
        <v>17</v>
      </c>
      <c r="J5" s="35">
        <v>31</v>
      </c>
    </row>
    <row r="6" spans="1:10" x14ac:dyDescent="0.25">
      <c r="A6" s="27" t="s">
        <v>10</v>
      </c>
      <c r="B6" s="28">
        <f t="shared" si="0"/>
        <v>5</v>
      </c>
      <c r="C6" s="28">
        <v>11</v>
      </c>
      <c r="D6" s="28">
        <v>2025</v>
      </c>
      <c r="E6" s="29">
        <f>IF('BAN-M Electrical &amp; Water Dec25'!F11&gt;0,'BAN-M Electrical &amp; Water Dec25'!F11,0)</f>
        <v>2355</v>
      </c>
      <c r="F6" s="30">
        <v>0.2</v>
      </c>
      <c r="G6" s="29">
        <f>IF('BAN-M Electrical &amp; Water Dec25'!H11+'BAN-M Electrical &amp; Water Dec25'!J11&gt;0,'BAN-M Electrical &amp; Water Dec25'!H11+'BAN-M Electrical &amp; Water Dec25'!J11,0)</f>
        <v>99</v>
      </c>
      <c r="H6" s="30">
        <v>7.84</v>
      </c>
      <c r="I6" s="35">
        <v>16</v>
      </c>
      <c r="J6" s="35">
        <v>27</v>
      </c>
    </row>
    <row r="7" spans="1:10" x14ac:dyDescent="0.25">
      <c r="A7" s="27" t="s">
        <v>10</v>
      </c>
      <c r="B7" s="28">
        <f t="shared" si="0"/>
        <v>6</v>
      </c>
      <c r="C7" s="28">
        <v>11</v>
      </c>
      <c r="D7" s="28">
        <v>2025</v>
      </c>
      <c r="E7" s="29">
        <f>IF('BAN-M Electrical &amp; Water Dec25'!F12&gt;0,'BAN-M Electrical &amp; Water Dec25'!F12,0)</f>
        <v>2225</v>
      </c>
      <c r="F7" s="30">
        <v>0.2</v>
      </c>
      <c r="G7" s="29">
        <f>IF('BAN-M Electrical &amp; Water Dec25'!H12+'BAN-M Electrical &amp; Water Dec25'!J12&gt;0,'BAN-M Electrical &amp; Water Dec25'!H12+'BAN-M Electrical &amp; Water Dec25'!J12,0)</f>
        <v>93</v>
      </c>
      <c r="H7" s="30">
        <v>7.84</v>
      </c>
      <c r="I7" s="35">
        <v>11</v>
      </c>
      <c r="J7" s="35">
        <v>21</v>
      </c>
    </row>
    <row r="8" spans="1:10" x14ac:dyDescent="0.25">
      <c r="A8" s="27" t="s">
        <v>10</v>
      </c>
      <c r="B8" s="28">
        <f t="shared" si="0"/>
        <v>7</v>
      </c>
      <c r="C8" s="28">
        <v>11</v>
      </c>
      <c r="D8" s="28">
        <v>2025</v>
      </c>
      <c r="E8" s="29">
        <f>IF('BAN-M Electrical &amp; Water Dec25'!F13&gt;0,'BAN-M Electrical &amp; Water Dec25'!F13,0)</f>
        <v>2473</v>
      </c>
      <c r="F8" s="30">
        <v>0.2</v>
      </c>
      <c r="G8" s="29">
        <f>IF('BAN-M Electrical &amp; Water Dec25'!H13+'BAN-M Electrical &amp; Water Dec25'!J13&gt;0,'BAN-M Electrical &amp; Water Dec25'!H13+'BAN-M Electrical &amp; Water Dec25'!J13,0)</f>
        <v>51</v>
      </c>
      <c r="H8" s="30">
        <v>7.84</v>
      </c>
      <c r="I8" s="35">
        <v>12</v>
      </c>
      <c r="J8" s="35">
        <v>25</v>
      </c>
    </row>
    <row r="9" spans="1:10" x14ac:dyDescent="0.25">
      <c r="A9" s="27" t="s">
        <v>10</v>
      </c>
      <c r="B9" s="28">
        <f t="shared" si="0"/>
        <v>8</v>
      </c>
      <c r="C9" s="28">
        <v>11</v>
      </c>
      <c r="D9" s="28">
        <v>2025</v>
      </c>
      <c r="E9" s="29">
        <f>IF('BAN-M Electrical &amp; Water Dec25'!F14&gt;0,'BAN-M Electrical &amp; Water Dec25'!F14,0)</f>
        <v>2445</v>
      </c>
      <c r="F9" s="30">
        <v>0.2</v>
      </c>
      <c r="G9" s="29">
        <f>IF('BAN-M Electrical &amp; Water Dec25'!H14+'BAN-M Electrical &amp; Water Dec25'!J14&gt;0,'BAN-M Electrical &amp; Water Dec25'!H14+'BAN-M Electrical &amp; Water Dec25'!J14,0)</f>
        <v>132</v>
      </c>
      <c r="H9" s="30">
        <v>7.84</v>
      </c>
      <c r="I9" s="35">
        <v>33</v>
      </c>
      <c r="J9" s="35">
        <v>72</v>
      </c>
    </row>
    <row r="10" spans="1:10" x14ac:dyDescent="0.25">
      <c r="A10" s="27" t="s">
        <v>10</v>
      </c>
      <c r="B10" s="28">
        <f t="shared" si="0"/>
        <v>9</v>
      </c>
      <c r="C10" s="28">
        <v>11</v>
      </c>
      <c r="D10" s="28">
        <v>2025</v>
      </c>
      <c r="E10" s="29">
        <f>IF('BAN-M Electrical &amp; Water Dec25'!F15&gt;0,'BAN-M Electrical &amp; Water Dec25'!F15,0)</f>
        <v>2378</v>
      </c>
      <c r="F10" s="30">
        <v>0.2</v>
      </c>
      <c r="G10" s="29">
        <f>IF('BAN-M Electrical &amp; Water Dec25'!H15+'BAN-M Electrical &amp; Water Dec25'!J15&gt;0,'BAN-M Electrical &amp; Water Dec25'!H15+'BAN-M Electrical &amp; Water Dec25'!J15,0)</f>
        <v>100</v>
      </c>
      <c r="H10" s="30">
        <v>7.84</v>
      </c>
      <c r="I10" s="35">
        <v>9</v>
      </c>
      <c r="J10" s="35">
        <v>17</v>
      </c>
    </row>
    <row r="11" spans="1:10" x14ac:dyDescent="0.25">
      <c r="A11" s="27" t="s">
        <v>10</v>
      </c>
      <c r="B11" s="28">
        <f t="shared" si="0"/>
        <v>10</v>
      </c>
      <c r="C11" s="28">
        <v>11</v>
      </c>
      <c r="D11" s="28">
        <v>2025</v>
      </c>
      <c r="E11" s="29">
        <f>IF('BAN-M Electrical &amp; Water Dec25'!F16&gt;0,'BAN-M Electrical &amp; Water Dec25'!F16,0)</f>
        <v>2235</v>
      </c>
      <c r="F11" s="30">
        <v>0.2</v>
      </c>
      <c r="G11" s="29">
        <f>IF('BAN-M Electrical &amp; Water Dec25'!H16+'BAN-M Electrical &amp; Water Dec25'!J16&gt;0,'BAN-M Electrical &amp; Water Dec25'!H16+'BAN-M Electrical &amp; Water Dec25'!J16,0)</f>
        <v>101</v>
      </c>
      <c r="H11" s="30">
        <v>7.84</v>
      </c>
      <c r="I11" s="35">
        <v>10</v>
      </c>
      <c r="J11" s="35">
        <v>18</v>
      </c>
    </row>
    <row r="12" spans="1:10" x14ac:dyDescent="0.25">
      <c r="A12" s="27" t="s">
        <v>10</v>
      </c>
      <c r="B12" s="28">
        <f t="shared" si="0"/>
        <v>11</v>
      </c>
      <c r="C12" s="28">
        <v>11</v>
      </c>
      <c r="D12" s="28">
        <v>2025</v>
      </c>
      <c r="E12" s="29">
        <f>IF('BAN-M Electrical &amp; Water Dec25'!F17&gt;0,'BAN-M Electrical &amp; Water Dec25'!F17,0)</f>
        <v>2148</v>
      </c>
      <c r="F12" s="30">
        <v>0.2</v>
      </c>
      <c r="G12" s="29">
        <f>IF('BAN-M Electrical &amp; Water Dec25'!H17+'BAN-M Electrical &amp; Water Dec25'!J17&gt;0,'BAN-M Electrical &amp; Water Dec25'!H17+'BAN-M Electrical &amp; Water Dec25'!J17,0)</f>
        <v>86</v>
      </c>
      <c r="H12" s="30">
        <v>7.84</v>
      </c>
      <c r="I12" s="35">
        <v>12</v>
      </c>
      <c r="J12" s="35">
        <v>19</v>
      </c>
    </row>
    <row r="13" spans="1:10" x14ac:dyDescent="0.25">
      <c r="A13" s="27" t="s">
        <v>10</v>
      </c>
      <c r="B13" s="28">
        <f t="shared" si="0"/>
        <v>12</v>
      </c>
      <c r="C13" s="28">
        <v>11</v>
      </c>
      <c r="D13" s="28">
        <v>2025</v>
      </c>
      <c r="E13" s="29">
        <f>IF('BAN-M Electrical &amp; Water Dec25'!F18&gt;0,'BAN-M Electrical &amp; Water Dec25'!F18,0)</f>
        <v>2011</v>
      </c>
      <c r="F13" s="30">
        <v>0.2</v>
      </c>
      <c r="G13" s="29">
        <f>IF('BAN-M Electrical &amp; Water Dec25'!H18+'BAN-M Electrical &amp; Water Dec25'!J18&gt;0,'BAN-M Electrical &amp; Water Dec25'!H18+'BAN-M Electrical &amp; Water Dec25'!J18,0)</f>
        <v>94</v>
      </c>
      <c r="H13" s="30">
        <v>7.84</v>
      </c>
      <c r="I13" s="35">
        <v>13</v>
      </c>
      <c r="J13" s="35">
        <v>22</v>
      </c>
    </row>
    <row r="14" spans="1:10" x14ac:dyDescent="0.25">
      <c r="A14" s="27" t="s">
        <v>10</v>
      </c>
      <c r="B14" s="28">
        <f t="shared" si="0"/>
        <v>13</v>
      </c>
      <c r="C14" s="28">
        <v>11</v>
      </c>
      <c r="D14" s="28">
        <v>2025</v>
      </c>
      <c r="E14" s="29">
        <f>IF('BAN-M Electrical &amp; Water Dec25'!F19&gt;0,'BAN-M Electrical &amp; Water Dec25'!F19,0)</f>
        <v>1938</v>
      </c>
      <c r="F14" s="30">
        <v>0.2</v>
      </c>
      <c r="G14" s="29">
        <f>IF('BAN-M Electrical &amp; Water Dec25'!H19+'BAN-M Electrical &amp; Water Dec25'!J19&gt;0,'BAN-M Electrical &amp; Water Dec25'!H19+'BAN-M Electrical &amp; Water Dec25'!J19,0)</f>
        <v>114</v>
      </c>
      <c r="H14" s="30">
        <v>7.84</v>
      </c>
      <c r="I14" s="35">
        <v>9</v>
      </c>
      <c r="J14" s="35">
        <v>18</v>
      </c>
    </row>
    <row r="15" spans="1:10" x14ac:dyDescent="0.25">
      <c r="A15" s="27" t="s">
        <v>10</v>
      </c>
      <c r="B15" s="28">
        <f t="shared" si="0"/>
        <v>14</v>
      </c>
      <c r="C15" s="28">
        <v>11</v>
      </c>
      <c r="D15" s="28">
        <v>2025</v>
      </c>
      <c r="E15" s="29">
        <f>IF('BAN-M Electrical &amp; Water Dec25'!F20&gt;0,'BAN-M Electrical &amp; Water Dec25'!F20,0)</f>
        <v>2164</v>
      </c>
      <c r="F15" s="30">
        <v>0.2</v>
      </c>
      <c r="G15" s="29">
        <f>IF('BAN-M Electrical &amp; Water Dec25'!H20+'BAN-M Electrical &amp; Water Dec25'!J20&gt;0,'BAN-M Electrical &amp; Water Dec25'!H20+'BAN-M Electrical &amp; Water Dec25'!J20,0)</f>
        <v>88</v>
      </c>
      <c r="H15" s="30">
        <v>7.84</v>
      </c>
      <c r="I15" s="35">
        <v>21</v>
      </c>
      <c r="J15" s="35">
        <v>42</v>
      </c>
    </row>
    <row r="16" spans="1:10" x14ac:dyDescent="0.25">
      <c r="A16" s="27" t="s">
        <v>10</v>
      </c>
      <c r="B16" s="28">
        <f t="shared" si="0"/>
        <v>15</v>
      </c>
      <c r="C16" s="28">
        <v>11</v>
      </c>
      <c r="D16" s="28">
        <v>2025</v>
      </c>
      <c r="E16" s="29">
        <f>IF('BAN-M Electrical &amp; Water Dec25'!F21&gt;0,'BAN-M Electrical &amp; Water Dec25'!F21,0)</f>
        <v>2193</v>
      </c>
      <c r="F16" s="30">
        <v>0.2</v>
      </c>
      <c r="G16" s="29">
        <f>IF('BAN-M Electrical &amp; Water Dec25'!H21+'BAN-M Electrical &amp; Water Dec25'!J21&gt;0,'BAN-M Electrical &amp; Water Dec25'!H21+'BAN-M Electrical &amp; Water Dec25'!J21,0)</f>
        <v>70</v>
      </c>
      <c r="H16" s="30">
        <v>7.84</v>
      </c>
      <c r="I16" s="35">
        <v>31</v>
      </c>
      <c r="J16" s="35">
        <v>65</v>
      </c>
    </row>
    <row r="17" spans="1:10" x14ac:dyDescent="0.25">
      <c r="A17" s="27" t="s">
        <v>10</v>
      </c>
      <c r="B17" s="28">
        <f t="shared" si="0"/>
        <v>16</v>
      </c>
      <c r="C17" s="28">
        <v>11</v>
      </c>
      <c r="D17" s="28">
        <v>2025</v>
      </c>
      <c r="E17" s="29">
        <f>IF('BAN-M Electrical &amp; Water Dec25'!F22&gt;0,'BAN-M Electrical &amp; Water Dec25'!F22,0)</f>
        <v>2208</v>
      </c>
      <c r="F17" s="30">
        <v>0.2</v>
      </c>
      <c r="G17" s="29">
        <f>IF('BAN-M Electrical &amp; Water Dec25'!H22+'BAN-M Electrical &amp; Water Dec25'!J22&gt;0,'BAN-M Electrical &amp; Water Dec25'!H22+'BAN-M Electrical &amp; Water Dec25'!J22,0)</f>
        <v>98</v>
      </c>
      <c r="H17" s="30">
        <v>7.84</v>
      </c>
      <c r="I17" s="35">
        <v>10</v>
      </c>
      <c r="J17" s="35">
        <v>19</v>
      </c>
    </row>
    <row r="18" spans="1:10" x14ac:dyDescent="0.25">
      <c r="A18" s="27" t="s">
        <v>10</v>
      </c>
      <c r="B18" s="28">
        <f t="shared" si="0"/>
        <v>17</v>
      </c>
      <c r="C18" s="28">
        <v>11</v>
      </c>
      <c r="D18" s="28">
        <v>2025</v>
      </c>
      <c r="E18" s="29">
        <f>IF('BAN-M Electrical &amp; Water Dec25'!F23&gt;0,'BAN-M Electrical &amp; Water Dec25'!F23,0)</f>
        <v>2110</v>
      </c>
      <c r="F18" s="30">
        <v>0.2</v>
      </c>
      <c r="G18" s="29">
        <f>IF('BAN-M Electrical &amp; Water Dec25'!H23+'BAN-M Electrical &amp; Water Dec25'!J23&gt;0,'BAN-M Electrical &amp; Water Dec25'!H23+'BAN-M Electrical &amp; Water Dec25'!J23,0)</f>
        <v>96</v>
      </c>
      <c r="H18" s="30">
        <v>7.84</v>
      </c>
      <c r="I18" s="35">
        <v>20</v>
      </c>
      <c r="J18" s="35">
        <v>29</v>
      </c>
    </row>
    <row r="19" spans="1:10" x14ac:dyDescent="0.25">
      <c r="A19" s="27" t="s">
        <v>10</v>
      </c>
      <c r="B19" s="28">
        <f t="shared" si="0"/>
        <v>18</v>
      </c>
      <c r="C19" s="28">
        <v>11</v>
      </c>
      <c r="D19" s="28">
        <v>2025</v>
      </c>
      <c r="E19" s="29">
        <f>IF('BAN-M Electrical &amp; Water Dec25'!F24&gt;0,'BAN-M Electrical &amp; Water Dec25'!F24,0)</f>
        <v>2038</v>
      </c>
      <c r="F19" s="30">
        <v>0.2</v>
      </c>
      <c r="G19" s="29">
        <f>IF('BAN-M Electrical &amp; Water Dec25'!H24+'BAN-M Electrical &amp; Water Dec25'!J24&gt;0,'BAN-M Electrical &amp; Water Dec25'!H24+'BAN-M Electrical &amp; Water Dec25'!J24,0)</f>
        <v>103</v>
      </c>
      <c r="H19" s="30">
        <v>7.84</v>
      </c>
      <c r="I19" s="35">
        <v>27</v>
      </c>
      <c r="J19" s="35">
        <v>35</v>
      </c>
    </row>
    <row r="20" spans="1:10" x14ac:dyDescent="0.25">
      <c r="A20" s="27" t="s">
        <v>10</v>
      </c>
      <c r="B20" s="28">
        <f t="shared" si="0"/>
        <v>19</v>
      </c>
      <c r="C20" s="28">
        <v>11</v>
      </c>
      <c r="D20" s="28">
        <v>2025</v>
      </c>
      <c r="E20" s="29">
        <f>IF('BAN-M Electrical &amp; Water Dec25'!F25&gt;0,'BAN-M Electrical &amp; Water Dec25'!F25,0)</f>
        <v>2217</v>
      </c>
      <c r="F20" s="30">
        <v>0.2</v>
      </c>
      <c r="G20" s="29">
        <f>IF('BAN-M Electrical &amp; Water Dec25'!H25+'BAN-M Electrical &amp; Water Dec25'!J25&gt;0,'BAN-M Electrical &amp; Water Dec25'!H25+'BAN-M Electrical &amp; Water Dec25'!J25,0)</f>
        <v>97</v>
      </c>
      <c r="H20" s="30">
        <v>7.84</v>
      </c>
      <c r="I20" s="35">
        <v>22</v>
      </c>
      <c r="J20" s="35">
        <v>39</v>
      </c>
    </row>
    <row r="21" spans="1:10" x14ac:dyDescent="0.25">
      <c r="A21" s="27" t="s">
        <v>10</v>
      </c>
      <c r="B21" s="28">
        <f t="shared" si="0"/>
        <v>20</v>
      </c>
      <c r="C21" s="28">
        <v>11</v>
      </c>
      <c r="D21" s="28">
        <v>2025</v>
      </c>
      <c r="E21" s="29">
        <f>IF('BAN-M Electrical &amp; Water Dec25'!F26&gt;0,'BAN-M Electrical &amp; Water Dec25'!F26,0)</f>
        <v>2123</v>
      </c>
      <c r="F21" s="30">
        <v>0.2</v>
      </c>
      <c r="G21" s="29">
        <f>IF('BAN-M Electrical &amp; Water Dec25'!H26+'BAN-M Electrical &amp; Water Dec25'!J26&gt;0,'BAN-M Electrical &amp; Water Dec25'!H26+'BAN-M Electrical &amp; Water Dec25'!J26,0)</f>
        <v>75</v>
      </c>
      <c r="H21" s="30">
        <v>7.84</v>
      </c>
      <c r="I21" s="35">
        <v>24</v>
      </c>
      <c r="J21" s="35">
        <v>51</v>
      </c>
    </row>
    <row r="22" spans="1:10" x14ac:dyDescent="0.25">
      <c r="A22" s="27" t="s">
        <v>10</v>
      </c>
      <c r="B22" s="28">
        <f t="shared" si="0"/>
        <v>21</v>
      </c>
      <c r="C22" s="28">
        <v>11</v>
      </c>
      <c r="D22" s="28">
        <v>2025</v>
      </c>
      <c r="E22" s="29">
        <f>IF('BAN-M Electrical &amp; Water Dec25'!F27&gt;0,'BAN-M Electrical &amp; Water Dec25'!F27,0)</f>
        <v>2309</v>
      </c>
      <c r="F22" s="30">
        <v>0.2</v>
      </c>
      <c r="G22" s="29">
        <f>IF('BAN-M Electrical &amp; Water Dec25'!H27+'BAN-M Electrical &amp; Water Dec25'!J27&gt;0,'BAN-M Electrical &amp; Water Dec25'!H27+'BAN-M Electrical &amp; Water Dec25'!J27,0)</f>
        <v>80</v>
      </c>
      <c r="H22" s="30">
        <v>7.84</v>
      </c>
      <c r="I22" s="35">
        <v>23</v>
      </c>
      <c r="J22" s="35">
        <v>47</v>
      </c>
    </row>
    <row r="23" spans="1:10" x14ac:dyDescent="0.25">
      <c r="A23" s="27" t="s">
        <v>10</v>
      </c>
      <c r="B23" s="28">
        <f t="shared" si="0"/>
        <v>22</v>
      </c>
      <c r="C23" s="28">
        <v>11</v>
      </c>
      <c r="D23" s="28">
        <v>2025</v>
      </c>
      <c r="E23" s="29">
        <f>IF('BAN-M Electrical &amp; Water Dec25'!F28&gt;0,'BAN-M Electrical &amp; Water Dec25'!F28,0)</f>
        <v>2380</v>
      </c>
      <c r="F23" s="30">
        <v>0.2</v>
      </c>
      <c r="G23" s="29">
        <f>IF('BAN-M Electrical &amp; Water Dec25'!H28+'BAN-M Electrical &amp; Water Dec25'!J28&gt;0,'BAN-M Electrical &amp; Water Dec25'!H28+'BAN-M Electrical &amp; Water Dec25'!J28,0)</f>
        <v>85</v>
      </c>
      <c r="H23" s="30">
        <v>7.84</v>
      </c>
      <c r="I23" s="35">
        <v>32</v>
      </c>
      <c r="J23" s="35">
        <v>71</v>
      </c>
    </row>
    <row r="24" spans="1:10" x14ac:dyDescent="0.25">
      <c r="A24" s="27" t="s">
        <v>10</v>
      </c>
      <c r="B24" s="28">
        <f t="shared" si="0"/>
        <v>23</v>
      </c>
      <c r="C24" s="28">
        <v>11</v>
      </c>
      <c r="D24" s="28">
        <v>2025</v>
      </c>
      <c r="E24" s="29">
        <f>IF('BAN-M Electrical &amp; Water Dec25'!F29&gt;0,'BAN-M Electrical &amp; Water Dec25'!F29,0)</f>
        <v>2213</v>
      </c>
      <c r="F24" s="30">
        <v>0.2</v>
      </c>
      <c r="G24" s="29">
        <f>IF('BAN-M Electrical &amp; Water Dec25'!H29+'BAN-M Electrical &amp; Water Dec25'!J29&gt;0,'BAN-M Electrical &amp; Water Dec25'!H29+'BAN-M Electrical &amp; Water Dec25'!J29,0)</f>
        <v>82</v>
      </c>
      <c r="H24" s="30">
        <v>7.84</v>
      </c>
      <c r="I24" s="35">
        <v>13</v>
      </c>
      <c r="J24" s="35">
        <v>28</v>
      </c>
    </row>
    <row r="25" spans="1:10" x14ac:dyDescent="0.25">
      <c r="A25" s="27" t="s">
        <v>10</v>
      </c>
      <c r="B25" s="28">
        <f t="shared" si="0"/>
        <v>24</v>
      </c>
      <c r="C25" s="28">
        <v>11</v>
      </c>
      <c r="D25" s="28">
        <v>2025</v>
      </c>
      <c r="E25" s="29">
        <f>IF('BAN-M Electrical &amp; Water Dec25'!F30&gt;0,'BAN-M Electrical &amp; Water Dec25'!F30,0)</f>
        <v>2466</v>
      </c>
      <c r="F25" s="30">
        <v>0.2</v>
      </c>
      <c r="G25" s="29">
        <f>IF('BAN-M Electrical &amp; Water Dec25'!H30+'BAN-M Electrical &amp; Water Dec25'!J30&gt;0,'BAN-M Electrical &amp; Water Dec25'!H30+'BAN-M Electrical &amp; Water Dec25'!J30,0)</f>
        <v>75</v>
      </c>
      <c r="H25" s="30">
        <v>7.84</v>
      </c>
      <c r="I25" s="35">
        <v>20</v>
      </c>
      <c r="J25" s="35">
        <v>39</v>
      </c>
    </row>
    <row r="26" spans="1:10" x14ac:dyDescent="0.25">
      <c r="A26" s="27" t="s">
        <v>10</v>
      </c>
      <c r="B26" s="28">
        <f>B25+1</f>
        <v>25</v>
      </c>
      <c r="C26" s="28">
        <v>11</v>
      </c>
      <c r="D26" s="28">
        <v>2025</v>
      </c>
      <c r="E26" s="29">
        <f>IF('BAN-M Electrical &amp; Water Dec25'!F31&gt;0,'BAN-M Electrical &amp; Water Dec25'!F31,0)</f>
        <v>2252</v>
      </c>
      <c r="F26" s="30">
        <v>0.2</v>
      </c>
      <c r="G26" s="29">
        <f>IF('BAN-M Electrical &amp; Water Dec25'!H31+'BAN-M Electrical &amp; Water Dec25'!J31&gt;0,'BAN-M Electrical &amp; Water Dec25'!H31+'BAN-M Electrical &amp; Water Dec25'!J31,0)</f>
        <v>0</v>
      </c>
      <c r="H26" s="30">
        <v>7.84</v>
      </c>
      <c r="I26" s="35">
        <v>32</v>
      </c>
      <c r="J26" s="35">
        <v>54</v>
      </c>
    </row>
    <row r="27" spans="1:10" x14ac:dyDescent="0.25">
      <c r="A27" s="27" t="s">
        <v>10</v>
      </c>
      <c r="B27" s="28">
        <f t="shared" si="0"/>
        <v>26</v>
      </c>
      <c r="C27" s="28">
        <v>11</v>
      </c>
      <c r="D27" s="28">
        <v>2025</v>
      </c>
      <c r="E27" s="29">
        <f>IF('BAN-M Electrical &amp; Water Dec25'!F32&gt;0,'BAN-M Electrical &amp; Water Dec25'!F32,0)</f>
        <v>2019</v>
      </c>
      <c r="F27" s="30">
        <v>0.2</v>
      </c>
      <c r="G27" s="29">
        <f>IF('BAN-M Electrical &amp; Water Dec25'!H32+'BAN-M Electrical &amp; Water Dec25'!J32&gt;0,'BAN-M Electrical &amp; Water Dec25'!H32+'BAN-M Electrical &amp; Water Dec25'!J32,0)</f>
        <v>65</v>
      </c>
      <c r="H27" s="30">
        <v>7.84</v>
      </c>
      <c r="I27" s="35">
        <v>34</v>
      </c>
      <c r="J27" s="35">
        <v>63</v>
      </c>
    </row>
    <row r="28" spans="1:10" x14ac:dyDescent="0.25">
      <c r="A28" s="27" t="s">
        <v>10</v>
      </c>
      <c r="B28" s="28">
        <f t="shared" si="0"/>
        <v>27</v>
      </c>
      <c r="C28" s="28">
        <v>11</v>
      </c>
      <c r="D28" s="28">
        <v>2025</v>
      </c>
      <c r="E28" s="29">
        <f>IF('BAN-M Electrical &amp; Water Dec25'!F33&gt;0,'BAN-M Electrical &amp; Water Dec25'!F33,0)</f>
        <v>1962</v>
      </c>
      <c r="F28" s="30">
        <v>0.2</v>
      </c>
      <c r="G28" s="29">
        <f>IF('BAN-M Electrical &amp; Water Dec25'!H33+'BAN-M Electrical &amp; Water Dec25'!J33&gt;0,'BAN-M Electrical &amp; Water Dec25'!H33+'BAN-M Electrical &amp; Water Dec25'!J33,0)</f>
        <v>88</v>
      </c>
      <c r="H28" s="30">
        <v>7.84</v>
      </c>
      <c r="I28" s="35">
        <v>32</v>
      </c>
      <c r="J28" s="35">
        <v>60</v>
      </c>
    </row>
    <row r="29" spans="1:10" x14ac:dyDescent="0.25">
      <c r="A29" s="27" t="s">
        <v>10</v>
      </c>
      <c r="B29" s="28">
        <f t="shared" si="0"/>
        <v>28</v>
      </c>
      <c r="C29" s="28">
        <v>11</v>
      </c>
      <c r="D29" s="28">
        <v>2025</v>
      </c>
      <c r="E29" s="29">
        <f>IF('BAN-M Electrical &amp; Water Dec25'!F34&gt;0,'BAN-M Electrical &amp; Water Dec25'!F34,0)</f>
        <v>2155</v>
      </c>
      <c r="F29" s="30">
        <v>0.2</v>
      </c>
      <c r="G29" s="29">
        <f>IF('BAN-M Electrical &amp; Water Dec25'!H34+'BAN-M Electrical &amp; Water Dec25'!J34&gt;0,'BAN-M Electrical &amp; Water Dec25'!H34+'BAN-M Electrical &amp; Water Dec25'!J34,0)</f>
        <v>82</v>
      </c>
      <c r="H29" s="30">
        <v>7.84</v>
      </c>
      <c r="I29" s="35">
        <v>26</v>
      </c>
      <c r="J29" s="35">
        <v>46</v>
      </c>
    </row>
    <row r="30" spans="1:10" x14ac:dyDescent="0.25">
      <c r="A30" s="27" t="s">
        <v>10</v>
      </c>
      <c r="B30" s="28">
        <f t="shared" si="0"/>
        <v>29</v>
      </c>
      <c r="C30" s="28">
        <v>11</v>
      </c>
      <c r="D30" s="28">
        <v>2025</v>
      </c>
      <c r="E30" s="29">
        <f>IF('BAN-M Electrical &amp; Water Dec25'!F35&gt;0,'BAN-M Electrical &amp; Water Dec25'!F35,0)</f>
        <v>2029</v>
      </c>
      <c r="F30" s="30">
        <v>0.2</v>
      </c>
      <c r="G30" s="29">
        <f>IF('BAN-M Electrical &amp; Water Dec25'!H35+'BAN-M Electrical &amp; Water Dec25'!J35&gt;0,'BAN-M Electrical &amp; Water Dec25'!H35+'BAN-M Electrical &amp; Water Dec25'!J35,0)</f>
        <v>85</v>
      </c>
      <c r="H30" s="30">
        <v>7.84</v>
      </c>
      <c r="I30" s="35">
        <v>36</v>
      </c>
      <c r="J30" s="35">
        <v>78</v>
      </c>
    </row>
    <row r="31" spans="1:10" x14ac:dyDescent="0.25">
      <c r="A31" s="27" t="s">
        <v>10</v>
      </c>
      <c r="B31" s="28">
        <f t="shared" si="0"/>
        <v>30</v>
      </c>
      <c r="C31" s="28">
        <v>11</v>
      </c>
      <c r="D31" s="28">
        <v>2025</v>
      </c>
      <c r="E31" s="29">
        <f>IF('BAN-M Electrical &amp; Water Dec25'!F36&gt;0,'BAN-M Electrical &amp; Water Dec25'!F36,0)</f>
        <v>2289</v>
      </c>
      <c r="F31" s="30">
        <v>0.2</v>
      </c>
      <c r="G31" s="29">
        <f>IF('BAN-M Electrical &amp; Water Dec25'!H36+'BAN-M Electrical &amp; Water Dec25'!J36&gt;0,'BAN-M Electrical &amp; Water Dec25'!H36+'BAN-M Electrical &amp; Water Dec25'!J36,0)</f>
        <v>0</v>
      </c>
      <c r="H31" s="30">
        <v>7.84</v>
      </c>
      <c r="I31" s="35">
        <v>36</v>
      </c>
      <c r="J31" s="35">
        <v>80</v>
      </c>
    </row>
    <row r="32" spans="1:10" x14ac:dyDescent="0.25">
      <c r="A32" s="27" t="s">
        <v>10</v>
      </c>
      <c r="E32" s="29"/>
      <c r="G32" s="29"/>
      <c r="H32" s="30"/>
      <c r="I32" s="36"/>
      <c r="J32" s="36"/>
    </row>
    <row r="33" spans="7:10" x14ac:dyDescent="0.25">
      <c r="G33" s="29"/>
      <c r="I33" s="36">
        <f>SUM(I2:I32)</f>
        <v>641</v>
      </c>
      <c r="J33" s="36">
        <f>SUM(J2:J32)</f>
        <v>1236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8"/>
  <sheetViews>
    <sheetView zoomScale="60" zoomScaleNormal="60" zoomScaleSheetLayoutView="90" zoomScalePageLayoutView="52" workbookViewId="0">
      <selection activeCell="I9" sqref="I9"/>
    </sheetView>
  </sheetViews>
  <sheetFormatPr defaultRowHeight="15" x14ac:dyDescent="0.25"/>
  <cols>
    <col min="1" max="2" width="21.28515625" customWidth="1"/>
    <col min="3" max="3" width="30.28515625" style="1" bestFit="1" customWidth="1"/>
    <col min="4" max="4" width="31.28515625" style="1" customWidth="1"/>
    <col min="5" max="5" width="33.28515625" style="1" customWidth="1"/>
    <col min="6" max="6" width="31.28515625" style="1" customWidth="1"/>
    <col min="7" max="7" width="30.85546875" style="6" customWidth="1"/>
    <col min="8" max="8" width="30.28515625" style="6" customWidth="1"/>
    <col min="9" max="9" width="32.140625" style="6" customWidth="1"/>
    <col min="10" max="10" width="29.42578125" style="6" customWidth="1"/>
    <col min="11" max="11" width="55.7109375" style="1" bestFit="1" customWidth="1"/>
  </cols>
  <sheetData>
    <row r="1" spans="1:14" ht="94.9" customHeight="1" thickBot="1" x14ac:dyDescent="0.3">
      <c r="C1" s="38" t="s">
        <v>11</v>
      </c>
      <c r="D1" s="39"/>
      <c r="E1" s="39"/>
      <c r="F1" s="39"/>
      <c r="G1" s="39"/>
      <c r="H1" s="39"/>
      <c r="I1" s="39"/>
      <c r="J1" s="39"/>
      <c r="K1" s="39"/>
      <c r="N1" s="2"/>
    </row>
    <row r="2" spans="1:14" s="1" customFormat="1" ht="54.75" customHeight="1" thickBot="1" x14ac:dyDescent="0.3">
      <c r="A2" s="10" t="s">
        <v>12</v>
      </c>
      <c r="B2" s="37" t="s">
        <v>13</v>
      </c>
      <c r="C2" s="15" t="s">
        <v>14</v>
      </c>
      <c r="D2" s="40" t="s">
        <v>15</v>
      </c>
      <c r="E2" s="15" t="s">
        <v>14</v>
      </c>
      <c r="F2" s="40" t="s">
        <v>15</v>
      </c>
      <c r="G2" s="41" t="s">
        <v>16</v>
      </c>
      <c r="H2" s="41" t="s">
        <v>15</v>
      </c>
      <c r="I2" s="41" t="s">
        <v>17</v>
      </c>
      <c r="J2" s="41" t="s">
        <v>15</v>
      </c>
      <c r="K2" s="42" t="s">
        <v>18</v>
      </c>
    </row>
    <row r="3" spans="1:14" ht="60" customHeight="1" thickBot="1" x14ac:dyDescent="0.3">
      <c r="A3" s="10" t="s">
        <v>19</v>
      </c>
      <c r="B3" s="37"/>
      <c r="C3" s="18" t="s">
        <v>20</v>
      </c>
      <c r="D3" s="40"/>
      <c r="E3" s="18" t="s">
        <v>21</v>
      </c>
      <c r="F3" s="40"/>
      <c r="G3" s="41"/>
      <c r="H3" s="41"/>
      <c r="I3" s="41"/>
      <c r="J3" s="41"/>
      <c r="K3" s="42"/>
    </row>
    <row r="4" spans="1:14" ht="46.5" customHeight="1" thickBot="1" x14ac:dyDescent="0.3">
      <c r="A4" s="37" t="s">
        <v>22</v>
      </c>
      <c r="B4" s="37"/>
      <c r="C4" s="40" t="s">
        <v>23</v>
      </c>
      <c r="D4" s="40"/>
      <c r="E4" s="40" t="s">
        <v>23</v>
      </c>
      <c r="F4" s="40"/>
      <c r="G4" s="41"/>
      <c r="H4" s="41"/>
      <c r="I4" s="41"/>
      <c r="J4" s="41"/>
      <c r="K4" s="42"/>
    </row>
    <row r="5" spans="1:14" ht="24.95" customHeight="1" thickBot="1" x14ac:dyDescent="0.3">
      <c r="A5" s="37"/>
      <c r="B5" s="37"/>
      <c r="C5" s="40"/>
      <c r="D5" s="16" t="s">
        <v>24</v>
      </c>
      <c r="E5" s="40"/>
      <c r="F5" s="16" t="s">
        <v>24</v>
      </c>
      <c r="G5" s="17" t="s">
        <v>25</v>
      </c>
      <c r="H5" s="17" t="s">
        <v>25</v>
      </c>
      <c r="I5" s="17" t="s">
        <v>25</v>
      </c>
      <c r="J5" s="17" t="s">
        <v>25</v>
      </c>
      <c r="K5" s="42"/>
    </row>
    <row r="6" spans="1:14" ht="39" customHeight="1" x14ac:dyDescent="0.25">
      <c r="A6" s="7">
        <v>45991</v>
      </c>
      <c r="B6" s="20">
        <v>0.21875</v>
      </c>
      <c r="C6" s="4">
        <v>2966104</v>
      </c>
      <c r="D6" s="4">
        <v>0</v>
      </c>
      <c r="E6" s="8">
        <v>2502176</v>
      </c>
      <c r="F6" s="4">
        <v>0</v>
      </c>
      <c r="G6" s="11">
        <v>3372</v>
      </c>
      <c r="H6" s="11">
        <v>0</v>
      </c>
      <c r="I6" s="11"/>
      <c r="J6" s="11">
        <v>0</v>
      </c>
      <c r="K6" s="9"/>
    </row>
    <row r="7" spans="1:14" ht="39" customHeight="1" x14ac:dyDescent="0.25">
      <c r="A7" s="7">
        <v>45992</v>
      </c>
      <c r="B7" s="21">
        <v>0.99930555555555556</v>
      </c>
      <c r="C7" s="4">
        <v>2967929</v>
      </c>
      <c r="D7" s="4">
        <f>C7-C6</f>
        <v>1825</v>
      </c>
      <c r="E7" s="4">
        <v>2438132</v>
      </c>
      <c r="F7" s="4">
        <f>E7-E6</f>
        <v>-64044</v>
      </c>
      <c r="G7" s="12">
        <v>3420</v>
      </c>
      <c r="H7" s="12">
        <f>G7-G6</f>
        <v>48</v>
      </c>
      <c r="I7" s="12">
        <v>3471</v>
      </c>
      <c r="J7" s="12">
        <f>I7-I6</f>
        <v>3471</v>
      </c>
      <c r="K7" s="3"/>
    </row>
    <row r="8" spans="1:14" ht="39" customHeight="1" x14ac:dyDescent="0.25">
      <c r="A8" s="7">
        <v>45993</v>
      </c>
      <c r="B8" s="21">
        <v>0.28472222222222221</v>
      </c>
      <c r="C8" s="4">
        <v>2969509</v>
      </c>
      <c r="D8" s="4">
        <f>C8-C7</f>
        <v>1580</v>
      </c>
      <c r="E8" s="4">
        <v>2440232</v>
      </c>
      <c r="F8" s="4">
        <f t="shared" ref="F8:F35" si="0">E8-E7</f>
        <v>2100</v>
      </c>
      <c r="G8" s="12">
        <v>3462</v>
      </c>
      <c r="H8" s="12">
        <f t="shared" ref="H8:H35" si="1">G8-G7</f>
        <v>42</v>
      </c>
      <c r="I8" s="12">
        <v>4416</v>
      </c>
      <c r="J8" s="12">
        <f t="shared" ref="J8:J35" si="2">I8-I7</f>
        <v>945</v>
      </c>
      <c r="K8" s="3"/>
    </row>
    <row r="9" spans="1:14" ht="39" customHeight="1" x14ac:dyDescent="0.25">
      <c r="A9" s="7">
        <v>45994</v>
      </c>
      <c r="B9" s="21">
        <v>0.20833333333333334</v>
      </c>
      <c r="C9" s="4">
        <v>2971154</v>
      </c>
      <c r="D9" s="4">
        <f t="shared" ref="D9:D35" si="3">C9-C8</f>
        <v>1645</v>
      </c>
      <c r="E9" s="4">
        <v>2442656</v>
      </c>
      <c r="F9" s="4">
        <f t="shared" si="0"/>
        <v>2424</v>
      </c>
      <c r="G9" s="12">
        <v>3499</v>
      </c>
      <c r="H9" s="12">
        <f t="shared" si="1"/>
        <v>37</v>
      </c>
      <c r="I9" s="12">
        <v>4471</v>
      </c>
      <c r="J9" s="12">
        <f t="shared" si="2"/>
        <v>55</v>
      </c>
      <c r="K9" s="3"/>
    </row>
    <row r="10" spans="1:14" ht="39" customHeight="1" x14ac:dyDescent="0.25">
      <c r="A10" s="7">
        <v>45995</v>
      </c>
      <c r="B10" s="21">
        <v>0.21875</v>
      </c>
      <c r="C10" s="4">
        <v>2972754</v>
      </c>
      <c r="D10" s="4">
        <f t="shared" si="3"/>
        <v>1600</v>
      </c>
      <c r="E10" s="4">
        <v>2444841</v>
      </c>
      <c r="F10" s="4">
        <f t="shared" si="0"/>
        <v>2185</v>
      </c>
      <c r="G10" s="12">
        <v>3549</v>
      </c>
      <c r="H10" s="12">
        <f t="shared" si="1"/>
        <v>50</v>
      </c>
      <c r="I10" s="12">
        <v>4536</v>
      </c>
      <c r="J10" s="12">
        <f t="shared" si="2"/>
        <v>65</v>
      </c>
      <c r="K10" s="3"/>
    </row>
    <row r="11" spans="1:14" ht="39" customHeight="1" x14ac:dyDescent="0.25">
      <c r="A11" s="7">
        <v>45996</v>
      </c>
      <c r="B11" s="21">
        <v>0.20833333333333334</v>
      </c>
      <c r="C11" s="4">
        <v>2974566</v>
      </c>
      <c r="D11" s="4">
        <f t="shared" si="3"/>
        <v>1812</v>
      </c>
      <c r="E11" s="4">
        <v>2447196</v>
      </c>
      <c r="F11" s="4">
        <f t="shared" si="0"/>
        <v>2355</v>
      </c>
      <c r="G11" s="12">
        <v>3594</v>
      </c>
      <c r="H11" s="12">
        <f t="shared" si="1"/>
        <v>45</v>
      </c>
      <c r="I11" s="12">
        <v>4590</v>
      </c>
      <c r="J11" s="12">
        <f t="shared" si="2"/>
        <v>54</v>
      </c>
      <c r="K11" s="3"/>
    </row>
    <row r="12" spans="1:14" ht="39" customHeight="1" x14ac:dyDescent="0.25">
      <c r="A12" s="7">
        <v>45997</v>
      </c>
      <c r="B12" s="21">
        <v>0.25</v>
      </c>
      <c r="C12" s="4">
        <v>2976150</v>
      </c>
      <c r="D12" s="4">
        <f t="shared" si="3"/>
        <v>1584</v>
      </c>
      <c r="E12" s="4">
        <v>2449421</v>
      </c>
      <c r="F12" s="4">
        <f t="shared" si="0"/>
        <v>2225</v>
      </c>
      <c r="G12" s="12">
        <v>3635</v>
      </c>
      <c r="H12" s="12">
        <f t="shared" si="1"/>
        <v>41</v>
      </c>
      <c r="I12" s="12">
        <v>4642</v>
      </c>
      <c r="J12" s="12">
        <f t="shared" si="2"/>
        <v>52</v>
      </c>
      <c r="K12" s="3"/>
    </row>
    <row r="13" spans="1:14" ht="39" customHeight="1" x14ac:dyDescent="0.25">
      <c r="A13" s="7">
        <v>45998</v>
      </c>
      <c r="B13" s="21">
        <v>0.21527777777777779</v>
      </c>
      <c r="C13" s="4">
        <v>2977782</v>
      </c>
      <c r="D13" s="4">
        <f t="shared" si="3"/>
        <v>1632</v>
      </c>
      <c r="E13" s="4">
        <v>2451894</v>
      </c>
      <c r="F13" s="4">
        <f t="shared" si="0"/>
        <v>2473</v>
      </c>
      <c r="G13" s="12">
        <v>3680</v>
      </c>
      <c r="H13" s="12">
        <f t="shared" si="1"/>
        <v>45</v>
      </c>
      <c r="I13" s="12">
        <v>4648</v>
      </c>
      <c r="J13" s="12">
        <f t="shared" si="2"/>
        <v>6</v>
      </c>
      <c r="K13" s="3"/>
    </row>
    <row r="14" spans="1:14" ht="39" customHeight="1" x14ac:dyDescent="0.25">
      <c r="A14" s="7">
        <v>45999</v>
      </c>
      <c r="B14" s="21">
        <v>0.22222222222222221</v>
      </c>
      <c r="C14" s="4">
        <v>2979248</v>
      </c>
      <c r="D14" s="4">
        <f t="shared" si="3"/>
        <v>1466</v>
      </c>
      <c r="E14" s="4">
        <v>2454339</v>
      </c>
      <c r="F14" s="4">
        <f t="shared" si="0"/>
        <v>2445</v>
      </c>
      <c r="G14" s="12">
        <v>3725</v>
      </c>
      <c r="H14" s="12">
        <f t="shared" si="1"/>
        <v>45</v>
      </c>
      <c r="I14" s="12">
        <v>4735</v>
      </c>
      <c r="J14" s="12">
        <f t="shared" si="2"/>
        <v>87</v>
      </c>
      <c r="K14" s="3"/>
    </row>
    <row r="15" spans="1:14" ht="39" customHeight="1" x14ac:dyDescent="0.25">
      <c r="A15" s="7">
        <v>46000</v>
      </c>
      <c r="B15" s="21">
        <v>0.20833333333333334</v>
      </c>
      <c r="C15" s="4">
        <v>2980689</v>
      </c>
      <c r="D15" s="4">
        <f t="shared" si="3"/>
        <v>1441</v>
      </c>
      <c r="E15" s="4">
        <v>2456717</v>
      </c>
      <c r="F15" s="4">
        <f t="shared" si="0"/>
        <v>2378</v>
      </c>
      <c r="G15" s="12">
        <v>3768</v>
      </c>
      <c r="H15" s="12">
        <f t="shared" si="1"/>
        <v>43</v>
      </c>
      <c r="I15" s="12">
        <v>4792</v>
      </c>
      <c r="J15" s="12">
        <f t="shared" si="2"/>
        <v>57</v>
      </c>
      <c r="K15" s="3"/>
    </row>
    <row r="16" spans="1:14" ht="39" customHeight="1" x14ac:dyDescent="0.25">
      <c r="A16" s="7">
        <v>46001</v>
      </c>
      <c r="B16" s="21">
        <v>0.22222222222222221</v>
      </c>
      <c r="C16" s="4">
        <v>2981995</v>
      </c>
      <c r="D16" s="4">
        <f t="shared" si="3"/>
        <v>1306</v>
      </c>
      <c r="E16" s="4">
        <v>2458952</v>
      </c>
      <c r="F16" s="4">
        <f t="shared" si="0"/>
        <v>2235</v>
      </c>
      <c r="G16" s="12">
        <v>3807</v>
      </c>
      <c r="H16" s="12">
        <f t="shared" si="1"/>
        <v>39</v>
      </c>
      <c r="I16" s="12">
        <v>4854</v>
      </c>
      <c r="J16" s="12">
        <f t="shared" si="2"/>
        <v>62</v>
      </c>
      <c r="K16" s="3"/>
    </row>
    <row r="17" spans="1:11" ht="39" customHeight="1" x14ac:dyDescent="0.25">
      <c r="A17" s="7">
        <v>46002</v>
      </c>
      <c r="B17" s="21">
        <v>0.21875</v>
      </c>
      <c r="C17" s="4">
        <v>2983324</v>
      </c>
      <c r="D17" s="4">
        <f t="shared" si="3"/>
        <v>1329</v>
      </c>
      <c r="E17" s="4">
        <v>2461100</v>
      </c>
      <c r="F17" s="4">
        <f t="shared" si="0"/>
        <v>2148</v>
      </c>
      <c r="G17" s="12">
        <v>3847</v>
      </c>
      <c r="H17" s="12">
        <f t="shared" si="1"/>
        <v>40</v>
      </c>
      <c r="I17" s="12">
        <v>4900</v>
      </c>
      <c r="J17" s="12">
        <f t="shared" si="2"/>
        <v>46</v>
      </c>
      <c r="K17" s="3"/>
    </row>
    <row r="18" spans="1:11" ht="39" customHeight="1" x14ac:dyDescent="0.25">
      <c r="A18" s="7">
        <v>46003</v>
      </c>
      <c r="B18" s="21">
        <v>0.20833333333333334</v>
      </c>
      <c r="C18" s="4">
        <v>2984607</v>
      </c>
      <c r="D18" s="4">
        <f t="shared" si="3"/>
        <v>1283</v>
      </c>
      <c r="E18" s="4">
        <v>2463111</v>
      </c>
      <c r="F18" s="4">
        <f t="shared" si="0"/>
        <v>2011</v>
      </c>
      <c r="G18" s="12">
        <v>3889</v>
      </c>
      <c r="H18" s="12">
        <f t="shared" si="1"/>
        <v>42</v>
      </c>
      <c r="I18" s="12">
        <v>4952</v>
      </c>
      <c r="J18" s="12">
        <f t="shared" si="2"/>
        <v>52</v>
      </c>
      <c r="K18" s="3"/>
    </row>
    <row r="19" spans="1:11" ht="39" customHeight="1" x14ac:dyDescent="0.25">
      <c r="A19" s="7">
        <v>46004</v>
      </c>
      <c r="B19" s="21">
        <v>0.21527777777777779</v>
      </c>
      <c r="C19" s="4">
        <v>2985986</v>
      </c>
      <c r="D19" s="4">
        <f t="shared" si="3"/>
        <v>1379</v>
      </c>
      <c r="E19" s="4">
        <v>2465049</v>
      </c>
      <c r="F19" s="4">
        <f t="shared" si="0"/>
        <v>1938</v>
      </c>
      <c r="G19" s="12">
        <v>3932</v>
      </c>
      <c r="H19" s="12">
        <f t="shared" si="1"/>
        <v>43</v>
      </c>
      <c r="I19" s="12">
        <v>5023</v>
      </c>
      <c r="J19" s="12">
        <f t="shared" si="2"/>
        <v>71</v>
      </c>
      <c r="K19" s="3"/>
    </row>
    <row r="20" spans="1:11" ht="39" customHeight="1" x14ac:dyDescent="0.25">
      <c r="A20" s="7">
        <v>46005</v>
      </c>
      <c r="B20" s="21">
        <v>0.20833333333333334</v>
      </c>
      <c r="C20" s="4">
        <v>2987286</v>
      </c>
      <c r="D20" s="4">
        <f t="shared" si="3"/>
        <v>1300</v>
      </c>
      <c r="E20" s="4">
        <v>2467213</v>
      </c>
      <c r="F20" s="4">
        <f t="shared" si="0"/>
        <v>2164</v>
      </c>
      <c r="G20" s="12">
        <v>3975</v>
      </c>
      <c r="H20" s="12">
        <f t="shared" si="1"/>
        <v>43</v>
      </c>
      <c r="I20" s="12">
        <v>5068</v>
      </c>
      <c r="J20" s="12">
        <f t="shared" si="2"/>
        <v>45</v>
      </c>
      <c r="K20" s="3"/>
    </row>
    <row r="21" spans="1:11" ht="39" customHeight="1" x14ac:dyDescent="0.25">
      <c r="A21" s="7">
        <v>46006</v>
      </c>
      <c r="B21" s="21">
        <v>0.22222222222222221</v>
      </c>
      <c r="C21" s="4">
        <v>2988772</v>
      </c>
      <c r="D21" s="4">
        <f t="shared" si="3"/>
        <v>1486</v>
      </c>
      <c r="E21" s="4">
        <v>2469406</v>
      </c>
      <c r="F21" s="4">
        <f t="shared" si="0"/>
        <v>2193</v>
      </c>
      <c r="G21" s="12">
        <v>4010</v>
      </c>
      <c r="H21" s="12">
        <f t="shared" si="1"/>
        <v>35</v>
      </c>
      <c r="I21" s="12">
        <v>5103</v>
      </c>
      <c r="J21" s="12">
        <f t="shared" si="2"/>
        <v>35</v>
      </c>
      <c r="K21" s="3"/>
    </row>
    <row r="22" spans="1:11" ht="39" customHeight="1" x14ac:dyDescent="0.25">
      <c r="A22" s="7">
        <v>46007</v>
      </c>
      <c r="B22" s="21">
        <v>0.20833333333333334</v>
      </c>
      <c r="C22" s="4">
        <v>2990106</v>
      </c>
      <c r="D22" s="4">
        <f t="shared" si="3"/>
        <v>1334</v>
      </c>
      <c r="E22" s="4">
        <v>2471614</v>
      </c>
      <c r="F22" s="4">
        <f t="shared" si="0"/>
        <v>2208</v>
      </c>
      <c r="G22" s="12">
        <v>4059</v>
      </c>
      <c r="H22" s="12">
        <f t="shared" si="1"/>
        <v>49</v>
      </c>
      <c r="I22" s="12">
        <v>5152</v>
      </c>
      <c r="J22" s="12">
        <f t="shared" si="2"/>
        <v>49</v>
      </c>
      <c r="K22" s="3"/>
    </row>
    <row r="23" spans="1:11" ht="39" customHeight="1" x14ac:dyDescent="0.25">
      <c r="A23" s="7">
        <v>46008</v>
      </c>
      <c r="B23" s="21">
        <v>0.22222222222222221</v>
      </c>
      <c r="C23" s="4">
        <v>2991499</v>
      </c>
      <c r="D23" s="4">
        <f t="shared" si="3"/>
        <v>1393</v>
      </c>
      <c r="E23" s="4">
        <v>2473724</v>
      </c>
      <c r="F23" s="4">
        <f t="shared" si="0"/>
        <v>2110</v>
      </c>
      <c r="G23" s="12">
        <v>4099</v>
      </c>
      <c r="H23" s="12">
        <f t="shared" si="1"/>
        <v>40</v>
      </c>
      <c r="I23" s="12">
        <v>5208</v>
      </c>
      <c r="J23" s="12">
        <f t="shared" si="2"/>
        <v>56</v>
      </c>
      <c r="K23" s="3"/>
    </row>
    <row r="24" spans="1:11" ht="39" customHeight="1" x14ac:dyDescent="0.25">
      <c r="A24" s="7">
        <v>46009</v>
      </c>
      <c r="B24" s="21">
        <v>0.20833333333333334</v>
      </c>
      <c r="C24" s="4">
        <v>2992963</v>
      </c>
      <c r="D24" s="4">
        <f t="shared" si="3"/>
        <v>1464</v>
      </c>
      <c r="E24" s="4">
        <v>2475762</v>
      </c>
      <c r="F24" s="4">
        <f t="shared" si="0"/>
        <v>2038</v>
      </c>
      <c r="G24" s="12">
        <v>4138</v>
      </c>
      <c r="H24" s="12">
        <f t="shared" si="1"/>
        <v>39</v>
      </c>
      <c r="I24" s="12">
        <v>5272</v>
      </c>
      <c r="J24" s="12">
        <f t="shared" si="2"/>
        <v>64</v>
      </c>
      <c r="K24" s="3"/>
    </row>
    <row r="25" spans="1:11" ht="39" customHeight="1" x14ac:dyDescent="0.25">
      <c r="A25" s="7">
        <v>46010</v>
      </c>
      <c r="B25" s="21">
        <v>0.22222222222222221</v>
      </c>
      <c r="C25" s="4">
        <v>2994624</v>
      </c>
      <c r="D25" s="4">
        <f t="shared" si="3"/>
        <v>1661</v>
      </c>
      <c r="E25" s="4">
        <v>2477979</v>
      </c>
      <c r="F25" s="4">
        <f t="shared" si="0"/>
        <v>2217</v>
      </c>
      <c r="G25" s="12">
        <v>4180</v>
      </c>
      <c r="H25" s="12">
        <f t="shared" si="1"/>
        <v>42</v>
      </c>
      <c r="I25" s="12">
        <v>5327</v>
      </c>
      <c r="J25" s="12">
        <f t="shared" si="2"/>
        <v>55</v>
      </c>
      <c r="K25" s="3"/>
    </row>
    <row r="26" spans="1:11" ht="39" customHeight="1" x14ac:dyDescent="0.25">
      <c r="A26" s="7">
        <v>46011</v>
      </c>
      <c r="B26" s="21">
        <v>0.20833333333333334</v>
      </c>
      <c r="C26" s="4">
        <v>2996387</v>
      </c>
      <c r="D26" s="4">
        <f t="shared" si="3"/>
        <v>1763</v>
      </c>
      <c r="E26" s="4">
        <v>2480102</v>
      </c>
      <c r="F26" s="4">
        <f t="shared" si="0"/>
        <v>2123</v>
      </c>
      <c r="G26" s="12">
        <v>4221</v>
      </c>
      <c r="H26" s="12">
        <f t="shared" si="1"/>
        <v>41</v>
      </c>
      <c r="I26" s="12">
        <v>5361</v>
      </c>
      <c r="J26" s="12">
        <f t="shared" si="2"/>
        <v>34</v>
      </c>
      <c r="K26" s="3"/>
    </row>
    <row r="27" spans="1:11" ht="39" customHeight="1" x14ac:dyDescent="0.35">
      <c r="A27" s="7">
        <v>46012</v>
      </c>
      <c r="B27" s="21">
        <v>0.21875</v>
      </c>
      <c r="C27" s="5">
        <v>2998016</v>
      </c>
      <c r="D27" s="4">
        <f t="shared" si="3"/>
        <v>1629</v>
      </c>
      <c r="E27" s="4">
        <v>2482411</v>
      </c>
      <c r="F27" s="4">
        <f t="shared" si="0"/>
        <v>2309</v>
      </c>
      <c r="G27" s="13">
        <v>4264</v>
      </c>
      <c r="H27" s="12">
        <f t="shared" si="1"/>
        <v>43</v>
      </c>
      <c r="I27" s="12">
        <v>5398</v>
      </c>
      <c r="J27" s="12">
        <f t="shared" si="2"/>
        <v>37</v>
      </c>
      <c r="K27" s="3"/>
    </row>
    <row r="28" spans="1:11" ht="39" customHeight="1" x14ac:dyDescent="0.3">
      <c r="A28" s="7">
        <v>46013</v>
      </c>
      <c r="B28" s="21">
        <v>0.20833333333333334</v>
      </c>
      <c r="C28" s="5">
        <v>2999727</v>
      </c>
      <c r="D28" s="4">
        <f t="shared" si="3"/>
        <v>1711</v>
      </c>
      <c r="E28" s="4">
        <v>2484791</v>
      </c>
      <c r="F28" s="4">
        <f t="shared" si="0"/>
        <v>2380</v>
      </c>
      <c r="G28" s="14">
        <v>4312</v>
      </c>
      <c r="H28" s="12">
        <f t="shared" si="1"/>
        <v>48</v>
      </c>
      <c r="I28" s="12">
        <v>5435</v>
      </c>
      <c r="J28" s="12">
        <f t="shared" si="2"/>
        <v>37</v>
      </c>
      <c r="K28" s="3"/>
    </row>
    <row r="29" spans="1:11" ht="39" customHeight="1" x14ac:dyDescent="0.3">
      <c r="A29" s="7">
        <v>46014</v>
      </c>
      <c r="B29" s="21">
        <v>0.21666666666666667</v>
      </c>
      <c r="C29" s="5">
        <v>3001420</v>
      </c>
      <c r="D29" s="4">
        <f t="shared" si="3"/>
        <v>1693</v>
      </c>
      <c r="E29" s="4">
        <v>2487004</v>
      </c>
      <c r="F29" s="4">
        <f t="shared" si="0"/>
        <v>2213</v>
      </c>
      <c r="G29" s="14">
        <v>4358</v>
      </c>
      <c r="H29" s="12">
        <f t="shared" si="1"/>
        <v>46</v>
      </c>
      <c r="I29" s="12">
        <v>5471</v>
      </c>
      <c r="J29" s="12">
        <f t="shared" si="2"/>
        <v>36</v>
      </c>
      <c r="K29" s="3"/>
    </row>
    <row r="30" spans="1:11" ht="39" customHeight="1" x14ac:dyDescent="0.3">
      <c r="A30" s="7">
        <v>46015</v>
      </c>
      <c r="B30" s="21">
        <v>0.20833333333333334</v>
      </c>
      <c r="C30" s="5">
        <v>3002970</v>
      </c>
      <c r="D30" s="4">
        <f t="shared" si="3"/>
        <v>1550</v>
      </c>
      <c r="E30" s="4">
        <v>2489470</v>
      </c>
      <c r="F30" s="4">
        <f t="shared" si="0"/>
        <v>2466</v>
      </c>
      <c r="G30" s="14">
        <v>4403</v>
      </c>
      <c r="H30" s="12">
        <f t="shared" si="1"/>
        <v>45</v>
      </c>
      <c r="I30" s="12">
        <v>5501</v>
      </c>
      <c r="J30" s="12">
        <f t="shared" si="2"/>
        <v>30</v>
      </c>
      <c r="K30" s="3"/>
    </row>
    <row r="31" spans="1:11" ht="39" customHeight="1" x14ac:dyDescent="0.25">
      <c r="A31" s="7">
        <v>46016</v>
      </c>
      <c r="B31" s="21">
        <v>0.22222222222222221</v>
      </c>
      <c r="C31" s="4">
        <v>3004543</v>
      </c>
      <c r="D31" s="4">
        <f t="shared" si="3"/>
        <v>1573</v>
      </c>
      <c r="E31" s="4">
        <v>2491722</v>
      </c>
      <c r="F31" s="4">
        <f t="shared" si="0"/>
        <v>2252</v>
      </c>
      <c r="G31" s="12">
        <v>4464</v>
      </c>
      <c r="H31" s="12">
        <f t="shared" si="1"/>
        <v>61</v>
      </c>
      <c r="I31" s="12">
        <v>5431</v>
      </c>
      <c r="J31" s="12">
        <f t="shared" si="2"/>
        <v>-70</v>
      </c>
      <c r="K31" s="3"/>
    </row>
    <row r="32" spans="1:11" ht="39" customHeight="1" x14ac:dyDescent="0.25">
      <c r="A32" s="7">
        <v>46017</v>
      </c>
      <c r="B32" s="21">
        <v>0.21527777777777779</v>
      </c>
      <c r="C32" s="4">
        <v>3005960</v>
      </c>
      <c r="D32" s="4">
        <f t="shared" si="3"/>
        <v>1417</v>
      </c>
      <c r="E32" s="4">
        <v>2493741</v>
      </c>
      <c r="F32" s="4">
        <f t="shared" si="0"/>
        <v>2019</v>
      </c>
      <c r="G32" s="12">
        <v>4504</v>
      </c>
      <c r="H32" s="12">
        <f t="shared" si="1"/>
        <v>40</v>
      </c>
      <c r="I32" s="12">
        <v>5456</v>
      </c>
      <c r="J32" s="12">
        <f t="shared" si="2"/>
        <v>25</v>
      </c>
      <c r="K32" s="3"/>
    </row>
    <row r="33" spans="1:11" ht="39" customHeight="1" x14ac:dyDescent="0.25">
      <c r="A33" s="7">
        <v>46018</v>
      </c>
      <c r="B33" s="21">
        <v>0.22916666666666666</v>
      </c>
      <c r="C33" s="4">
        <v>3007411</v>
      </c>
      <c r="D33" s="4">
        <f t="shared" si="3"/>
        <v>1451</v>
      </c>
      <c r="E33" s="4">
        <v>2495703</v>
      </c>
      <c r="F33" s="4">
        <f t="shared" si="0"/>
        <v>1962</v>
      </c>
      <c r="G33" s="12">
        <v>4550</v>
      </c>
      <c r="H33" s="12">
        <f t="shared" si="1"/>
        <v>46</v>
      </c>
      <c r="I33" s="12">
        <v>5498</v>
      </c>
      <c r="J33" s="12">
        <f t="shared" si="2"/>
        <v>42</v>
      </c>
      <c r="K33" s="3"/>
    </row>
    <row r="34" spans="1:11" ht="39" customHeight="1" x14ac:dyDescent="0.25">
      <c r="A34" s="7">
        <v>46019</v>
      </c>
      <c r="B34" s="21">
        <v>0.20833333333333334</v>
      </c>
      <c r="C34" s="4">
        <v>3008882</v>
      </c>
      <c r="D34" s="4">
        <f t="shared" si="3"/>
        <v>1471</v>
      </c>
      <c r="E34" s="4">
        <v>2497858</v>
      </c>
      <c r="F34" s="4">
        <f t="shared" si="0"/>
        <v>2155</v>
      </c>
      <c r="G34" s="12">
        <v>4587</v>
      </c>
      <c r="H34" s="12">
        <f t="shared" si="1"/>
        <v>37</v>
      </c>
      <c r="I34" s="12">
        <v>5543</v>
      </c>
      <c r="J34" s="12">
        <f t="shared" si="2"/>
        <v>45</v>
      </c>
      <c r="K34" s="3"/>
    </row>
    <row r="35" spans="1:11" ht="39" customHeight="1" x14ac:dyDescent="0.25">
      <c r="A35" s="7">
        <v>46020</v>
      </c>
      <c r="B35" s="21">
        <v>0.20833333333333334</v>
      </c>
      <c r="C35" s="4">
        <v>3010181</v>
      </c>
      <c r="D35" s="4">
        <f t="shared" si="3"/>
        <v>1299</v>
      </c>
      <c r="E35" s="4">
        <v>2499887</v>
      </c>
      <c r="F35" s="4">
        <f t="shared" si="0"/>
        <v>2029</v>
      </c>
      <c r="G35" s="12">
        <v>4635</v>
      </c>
      <c r="H35" s="12">
        <f t="shared" si="1"/>
        <v>48</v>
      </c>
      <c r="I35" s="12">
        <v>5580</v>
      </c>
      <c r="J35" s="12">
        <f t="shared" si="2"/>
        <v>37</v>
      </c>
      <c r="K35" s="3"/>
    </row>
    <row r="36" spans="1:11" ht="39" customHeight="1" x14ac:dyDescent="0.25">
      <c r="A36" s="7">
        <v>46021</v>
      </c>
      <c r="B36" s="21">
        <v>0.27083333333333331</v>
      </c>
      <c r="C36" s="4">
        <v>3047516</v>
      </c>
      <c r="D36" s="4">
        <f>C36-C35</f>
        <v>37335</v>
      </c>
      <c r="E36" s="4">
        <v>2502176</v>
      </c>
      <c r="F36" s="4">
        <f>E36-E35</f>
        <v>2289</v>
      </c>
      <c r="G36" s="12"/>
      <c r="H36" s="12">
        <f>G36-G35</f>
        <v>-4635</v>
      </c>
      <c r="I36" s="12">
        <v>5632</v>
      </c>
      <c r="J36" s="12">
        <f>I36-I35</f>
        <v>52</v>
      </c>
      <c r="K36" s="3"/>
    </row>
    <row r="37" spans="1:11" ht="39" customHeight="1" x14ac:dyDescent="0.25">
      <c r="A37" s="7">
        <v>46022</v>
      </c>
      <c r="B37" s="19"/>
      <c r="C37" s="4">
        <v>3048831</v>
      </c>
      <c r="D37" s="4">
        <f>C37-C36</f>
        <v>1315</v>
      </c>
      <c r="E37" s="4">
        <v>2565282</v>
      </c>
      <c r="F37" s="4">
        <f>E37-E36</f>
        <v>63106</v>
      </c>
      <c r="G37" s="12">
        <v>6136</v>
      </c>
      <c r="H37" s="12">
        <f>G37-G36</f>
        <v>6136</v>
      </c>
      <c r="I37" s="12"/>
      <c r="J37" s="12">
        <f>I37-I36</f>
        <v>-5632</v>
      </c>
      <c r="K37" s="3"/>
    </row>
    <row r="38" spans="1:11" x14ac:dyDescent="0.25">
      <c r="D38" s="1">
        <f>D37-D6</f>
        <v>1315</v>
      </c>
      <c r="F38" s="1">
        <f>F37-F6</f>
        <v>63106</v>
      </c>
      <c r="H38" s="1">
        <f>H37-H6</f>
        <v>6136</v>
      </c>
      <c r="J38" s="1">
        <f>J37-J6</f>
        <v>-5632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BAN-M Electrical &amp; Water Dec25</vt:lpstr>
      <vt:lpstr>'BAN-M Electrical &amp; Water Dec25'!Print_Area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Muhammad Waseem</cp:lastModifiedBy>
  <cp:revision/>
  <dcterms:created xsi:type="dcterms:W3CDTF">2018-12-27T05:07:34Z</dcterms:created>
  <dcterms:modified xsi:type="dcterms:W3CDTF">2026-01-25T13:24:43Z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