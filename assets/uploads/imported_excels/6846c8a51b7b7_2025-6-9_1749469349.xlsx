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A176EC5A-9D71-4AF9-81A5-1EE657AF149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<sst xmlns="http://schemas.openxmlformats.org/spreadsheetml/2006/main" count="64" uniqueCount="31">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</sst>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A9" sqref="A9:XFD9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197</v>
      </c>
      <c r="L2" s="13">
        <v>237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14094</v>
      </c>
      <c r="F3" s="14">
        <v>0.2</v>
      </c>
      <c r="G3" s="13"/>
      <c r="I3" s="13">
        <f>'Consum.'!K9</f>
        <v>54</v>
      </c>
      <c r="J3" s="15">
        <v>7.84</v>
      </c>
      <c r="K3" s="13">
        <v>199</v>
      </c>
      <c r="L3" s="13">
        <v>234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13559</v>
      </c>
      <c r="F4" s="14">
        <v>0.2</v>
      </c>
      <c r="G4" s="13"/>
      <c r="I4" s="13">
        <f>'Consum.'!K10</f>
        <v>52</v>
      </c>
      <c r="J4" s="15">
        <v>7.84</v>
      </c>
      <c r="K4" s="13">
        <v>207</v>
      </c>
      <c r="L4" s="13">
        <v>244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12420</v>
      </c>
      <c r="F5" s="14">
        <v>0.2</v>
      </c>
      <c r="G5" s="13"/>
      <c r="I5" s="13">
        <f>'Consum.'!K11</f>
        <v>31</v>
      </c>
      <c r="J5" s="15">
        <v>7.84</v>
      </c>
      <c r="K5" s="13">
        <v>194</v>
      </c>
      <c r="L5" s="13">
        <v>254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12575</v>
      </c>
      <c r="F6" s="14">
        <v>0.2</v>
      </c>
      <c r="G6" s="13"/>
      <c r="I6" s="13">
        <f>'Consum.'!K12</f>
        <v>33</v>
      </c>
      <c r="J6" s="15">
        <v>7.84</v>
      </c>
      <c r="K6" s="13">
        <v>215</v>
      </c>
      <c r="L6" s="13">
        <v>306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12947</v>
      </c>
      <c r="F7" s="14">
        <v>0.2</v>
      </c>
      <c r="G7" s="13"/>
      <c r="I7" s="13">
        <f>'Consum.'!K13</f>
        <v>76</v>
      </c>
      <c r="J7" s="15">
        <v>7.84</v>
      </c>
      <c r="K7" s="13">
        <v>229</v>
      </c>
      <c r="L7" s="13">
        <v>333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12957</v>
      </c>
      <c r="F8" s="14">
        <v>0.2</v>
      </c>
      <c r="G8" s="13"/>
      <c r="I8" s="13">
        <f>'Consum.'!K14</f>
        <v>96</v>
      </c>
      <c r="J8" s="15">
        <v>7.84</v>
      </c>
      <c r="K8" s="13">
        <v>229</v>
      </c>
      <c r="L8" s="13">
        <v>323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12858</v>
      </c>
      <c r="F9" s="14">
        <v>0.2</v>
      </c>
      <c r="G9" s="13"/>
      <c r="I9" s="13">
        <f>'Consum.'!K15</f>
        <v>75</v>
      </c>
      <c r="J9" s="15">
        <v>7.84</v>
      </c>
      <c r="K9" s="13">
        <v>197</v>
      </c>
      <c r="L9" s="13">
        <v>258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-28789162</v>
      </c>
      <c r="F10" s="14">
        <v>0.2</v>
      </c>
      <c r="G10" s="13"/>
      <c r="I10" s="13">
        <f>'Consum.'!K16</f>
        <v>-75708</v>
      </c>
      <c r="J10" s="15">
        <v>7.84</v>
      </c>
      <c r="K10" s="13"/>
      <c r="L10" s="13"/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/>
      <c r="L11" s="13"/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G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0" zoomScaleNormal="70" zoomScaleSheetLayoutView="100" workbookViewId="0">
      <selection activeCell="I15" sqref="I15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>
        <v>47</v>
      </c>
      <c r="M7" s="32">
        <v>85</v>
      </c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22607104</v>
      </c>
      <c r="E9" s="34">
        <v>6104742</v>
      </c>
      <c r="F9" s="30">
        <f t="shared" si="4"/>
        <v>28711846</v>
      </c>
      <c r="G9" s="30">
        <f t="shared" si="5"/>
        <v>14094</v>
      </c>
      <c r="H9" s="31">
        <v>27871</v>
      </c>
      <c r="I9" s="31">
        <v>47474</v>
      </c>
      <c r="J9" s="30">
        <f t="shared" ref="J9:J36" si="6">H9+I9</f>
        <v>75345</v>
      </c>
      <c r="K9" s="30">
        <f t="shared" ref="K9:K37" si="7">(J9-J8)</f>
        <v>54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22618047</v>
      </c>
      <c r="E10" s="31">
        <v>6107358</v>
      </c>
      <c r="F10" s="30">
        <f t="shared" si="4"/>
        <v>28725405</v>
      </c>
      <c r="G10" s="30">
        <f t="shared" si="5"/>
        <v>13559</v>
      </c>
      <c r="H10" s="31">
        <v>27900</v>
      </c>
      <c r="I10" s="31">
        <v>47497</v>
      </c>
      <c r="J10" s="30">
        <f t="shared" si="6"/>
        <v>75397</v>
      </c>
      <c r="K10" s="30">
        <f t="shared" si="7"/>
        <v>52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22627808</v>
      </c>
      <c r="E11" s="31">
        <v>6110017</v>
      </c>
      <c r="F11" s="30">
        <f t="shared" si="4"/>
        <v>28737825</v>
      </c>
      <c r="G11" s="30">
        <f t="shared" si="5"/>
        <v>12420</v>
      </c>
      <c r="H11" s="31">
        <v>27917</v>
      </c>
      <c r="I11" s="31">
        <v>47511</v>
      </c>
      <c r="J11" s="30">
        <f t="shared" si="6"/>
        <v>75428</v>
      </c>
      <c r="K11" s="30">
        <f t="shared" si="7"/>
        <v>31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22637739</v>
      </c>
      <c r="E12" s="31">
        <v>6112661</v>
      </c>
      <c r="F12" s="30">
        <f t="shared" si="4"/>
        <v>28750400</v>
      </c>
      <c r="G12" s="30">
        <f t="shared" si="5"/>
        <v>12575</v>
      </c>
      <c r="H12" s="31">
        <v>27935</v>
      </c>
      <c r="I12" s="31">
        <v>47526</v>
      </c>
      <c r="J12" s="30">
        <f t="shared" si="6"/>
        <v>75461</v>
      </c>
      <c r="K12" s="30">
        <f t="shared" si="7"/>
        <v>33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22647964</v>
      </c>
      <c r="E13" s="31">
        <v>6115383</v>
      </c>
      <c r="F13" s="30">
        <f t="shared" si="4"/>
        <v>28763347</v>
      </c>
      <c r="G13" s="30">
        <f t="shared" si="5"/>
        <v>12947</v>
      </c>
      <c r="H13" s="31">
        <v>27978</v>
      </c>
      <c r="I13" s="31">
        <v>47559</v>
      </c>
      <c r="J13" s="30">
        <f t="shared" si="6"/>
        <v>75537</v>
      </c>
      <c r="K13" s="30">
        <f t="shared" si="7"/>
        <v>76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22658279</v>
      </c>
      <c r="E14" s="31">
        <v>6118025</v>
      </c>
      <c r="F14" s="30">
        <f t="shared" si="4"/>
        <v>28776304</v>
      </c>
      <c r="G14" s="30">
        <f t="shared" si="5"/>
        <v>12957</v>
      </c>
      <c r="H14" s="31">
        <v>28034</v>
      </c>
      <c r="I14" s="31">
        <v>47599</v>
      </c>
      <c r="J14" s="30">
        <f t="shared" si="6"/>
        <v>75633</v>
      </c>
      <c r="K14" s="30">
        <f t="shared" si="7"/>
        <v>96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22668540</v>
      </c>
      <c r="E15" s="31">
        <v>6120622</v>
      </c>
      <c r="F15" s="30">
        <f t="shared" si="4"/>
        <v>28789162</v>
      </c>
      <c r="G15" s="30">
        <f t="shared" si="5"/>
        <v>12858</v>
      </c>
      <c r="H15" s="31">
        <v>28077</v>
      </c>
      <c r="I15" s="31">
        <v>47631</v>
      </c>
      <c r="J15" s="30">
        <f t="shared" si="6"/>
        <v>75708</v>
      </c>
      <c r="K15" s="30">
        <f t="shared" si="7"/>
        <v>75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-28789162</v>
      </c>
      <c r="H16" s="31"/>
      <c r="I16" s="31"/>
      <c r="J16" s="30">
        <f t="shared" si="6"/>
        <v>0</v>
      </c>
      <c r="K16" s="30">
        <f t="shared" si="7"/>
        <v>-75708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2025-06-09T11:40:34Z</dcterms:modified>
</cp:coreProperties>
</file>