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2024/"/>
    </mc:Choice>
  </mc:AlternateContent>
  <xr:revisionPtr revIDLastSave="634" documentId="8_{8847650D-614C-4264-8C87-30D8B5EB4252}" xr6:coauthVersionLast="47" xr6:coauthVersionMax="47" xr10:uidLastSave="{787E4E74-BCC1-46DA-8C1A-16E63D529E95}"/>
  <bookViews>
    <workbookView xWindow="-120" yWindow="-120" windowWidth="29040" windowHeight="15720" activeTab="3" xr2:uid="{00000000-000D-0000-FFFF-FFFF00000000}"/>
  </bookViews>
  <sheets>
    <sheet name="Total" sheetId="2" r:id="rId1"/>
    <sheet name="Electricity" sheetId="3" r:id="rId2"/>
    <sheet name="LPG" sheetId="6" r:id="rId3"/>
    <sheet name="Water" sheetId="5" r:id="rId4"/>
    <sheet name="Occupied &amp; No. of Guest" sheetId="7" r:id="rId5"/>
  </sheets>
  <definedNames>
    <definedName name="_xlnm._FilterDatabase" localSheetId="2" hidden="1">LPG!$A$3:$C$3</definedName>
    <definedName name="_xlnm.Print_Area" localSheetId="2">LPG!$A$1:$C$36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G2" i="2"/>
  <c r="E2" i="2"/>
  <c r="G32" i="2"/>
  <c r="C4" i="6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AF15" i="5" l="1"/>
  <c r="AH15" i="5"/>
  <c r="AG15" i="5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C34" i="7"/>
  <c r="B34" i="7"/>
  <c r="AF21" i="3" l="1"/>
  <c r="AG21" i="3"/>
  <c r="AH21" i="3"/>
  <c r="C35" i="6" l="1"/>
  <c r="AI15" i="5" l="1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AE21" i="3"/>
  <c r="AD21" i="3"/>
  <c r="W21" i="3"/>
  <c r="V21" i="3"/>
  <c r="U21" i="3"/>
  <c r="T21" i="3"/>
  <c r="S21" i="3"/>
  <c r="R21" i="3"/>
  <c r="K21" i="3"/>
  <c r="J21" i="3"/>
  <c r="I21" i="3"/>
  <c r="H21" i="3"/>
  <c r="G21" i="3"/>
  <c r="F2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E16" i="5" l="1"/>
  <c r="X21" i="3"/>
  <c r="Y21" i="3"/>
  <c r="L21" i="3"/>
  <c r="M21" i="3"/>
  <c r="N21" i="3"/>
  <c r="Z21" i="3"/>
  <c r="O21" i="3"/>
  <c r="AA21" i="3"/>
  <c r="P21" i="3"/>
  <c r="AB21" i="3"/>
  <c r="E21" i="3"/>
  <c r="Q21" i="3"/>
  <c r="AC21" i="3"/>
  <c r="E2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  <comment ref="C9" authorId="0" shapeId="0" xr:uid="{5FE99E23-FAC4-4837-88FD-C11E450EC330}">
      <text>
        <r>
          <rPr>
            <b/>
            <sz val="9"/>
            <color indexed="81"/>
            <rFont val="Tahoma"/>
            <family val="2"/>
          </rPr>
          <t>New meter installed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</commentList>
</comments>
</file>

<file path=xl/sharedStrings.xml><?xml version="1.0" encoding="utf-8"?>
<sst xmlns="http://schemas.openxmlformats.org/spreadsheetml/2006/main" count="125" uniqueCount="88">
  <si>
    <t>Site Name</t>
  </si>
  <si>
    <t>Day</t>
  </si>
  <si>
    <t>Month</t>
  </si>
  <si>
    <t>Year</t>
  </si>
  <si>
    <t xml:space="preserve">Room Nights </t>
  </si>
  <si>
    <t xml:space="preserve">Total Guests </t>
  </si>
  <si>
    <t>Total Electricity Kwh</t>
  </si>
  <si>
    <t>Electricity Tariff ($/Kwh)</t>
  </si>
  <si>
    <t>Water Utility Supply (m3) m3</t>
  </si>
  <si>
    <t>Water Utility Supply (m3) $/m3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</si>
  <si>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</si>
  <si>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</si>
  <si>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</si>
  <si>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</si>
  <si>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</si>
  <si>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</si>
  <si>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I5T18D002266/ No. 72039517</t>
  </si>
  <si>
    <t>Hotel &amp; Arjaan incomer 2 (Kilowatt)</t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</si>
  <si>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</si>
  <si>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</si>
  <si>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</si>
  <si>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</si>
  <si>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</si>
  <si>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</si>
  <si>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</si>
  <si>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</si>
  <si>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</si>
  <si>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</si>
  <si>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</si>
  <si>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</si>
  <si>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</si>
  <si>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</si>
  <si>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</si>
  <si>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</si>
  <si>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</si>
  <si>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</si>
  <si>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</si>
  <si>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</si>
  <si>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</si>
  <si>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</si>
  <si>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</si>
  <si>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</si>
  <si>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</si>
  <si>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</si>
  <si>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</si>
  <si>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</si>
  <si>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</si>
  <si>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</si>
  <si>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48242051 (Hotel &amp; Arjaan Main Meter)</t>
  </si>
  <si>
    <t>Hotel &amp; Arjaan / Raw Water Tank for Hotel,Arjaan,Kitchen,Laundry,Staff Locker,Hotel Swimming Pool</t>
  </si>
  <si>
    <t xml:space="preserve">LPG (Liters) </t>
  </si>
  <si>
    <t>LPG $/Liters</t>
  </si>
  <si>
    <t>Park Rotana and Park Arjaan Abu Dhabi</t>
  </si>
  <si>
    <t>I5T18D002318 / 72039569</t>
  </si>
  <si>
    <t>Chillers (SMDB CH 1) (Kilowatt)</t>
  </si>
  <si>
    <t>I5T18D002317 / 72039568</t>
  </si>
  <si>
    <t>Chillers (SMDB CH 2) (Kilowatt)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</si>
  <si>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</si>
  <si>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</si>
  <si>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</si>
  <si>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</si>
  <si>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</si>
  <si>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</si>
  <si>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</si>
  <si>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</si>
  <si>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</si>
  <si>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</si>
  <si>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t>2045000686(Sub Meter)</t>
  </si>
  <si>
    <t>Irrigation water Tank</t>
  </si>
  <si>
    <t>EMK17100DA17081056 (Cooling Tower Meter)</t>
  </si>
  <si>
    <t>Cooling Towers, Irrigation Tank,CHW Make up Line,Residence Pool, Cooling Tower Blow Down</t>
  </si>
  <si>
    <t>Total Daily Consumption (m3)</t>
  </si>
  <si>
    <t>Total Monthly Consumption (m3)</t>
  </si>
  <si>
    <t>Hotel  &amp; Arjaan Gym</t>
  </si>
  <si>
    <t>Hotel &amp; Arjaan Spa</t>
  </si>
  <si>
    <t xml:space="preserve">                                       </t>
  </si>
  <si>
    <t>TOTAL Consumption</t>
  </si>
  <si>
    <t>29</t>
  </si>
  <si>
    <t>30</t>
  </si>
  <si>
    <t>Occupied</t>
  </si>
  <si>
    <t># Guest</t>
  </si>
  <si>
    <t>Date</t>
  </si>
  <si>
    <t>TOTAL MTD</t>
  </si>
  <si>
    <t>DAILY ELECTRICITY METER READINGS &amp; CONSUMPTION NOVEMBER 2024</t>
  </si>
  <si>
    <t>DAILY GAS METER READINGS &amp; CONSUMPTION (Liters) NOVEMBER 2024</t>
  </si>
  <si>
    <r>
      <t>DAILY WATER METER READINGS &amp; CONSUMPTION (m</t>
    </r>
    <r>
      <rPr>
        <b/>
        <vertAlign val="superscript"/>
        <sz val="20"/>
        <color rgb="FF000000"/>
        <rFont val="Calibri"/>
        <family val="2"/>
      </rPr>
      <t>3</t>
    </r>
    <r>
      <rPr>
        <b/>
        <sz val="20"/>
        <color rgb="FF000000"/>
        <rFont val="Calibri"/>
        <family val="2"/>
      </rPr>
      <t>) NOVEMBER  2024</t>
    </r>
  </si>
  <si>
    <t>Occupied Room &amp; Number of Guest
November 2024</t>
  </si>
  <si>
    <t>From Technical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</si>
</sst>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#,##0.000"/>
    <numFmt numFmtId="166" formatCode="#,##0.0"/>
    <numFmt numFmtId="167" formatCode="0.0"/>
  </numFmts>
  <fonts count="3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rgb="FF000000"/>
      <name val="Calibri"/>
      <family val="2"/>
    </font>
    <font>
      <b/>
      <vertAlign val="superscript"/>
      <sz val="20"/>
      <color rgb="FF000000"/>
      <name val="Calibri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20" fillId="0" borderId="0" applyFont="0" applyFill="0" applyBorder="0" applyAlignment="0" applyProtection="0"/>
  </cellStyleXfs>
  <cellXfs count="10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4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6" fontId="18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21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4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3" fillId="11" borderId="0" xfId="1" applyNumberFormat="1" applyFont="1" applyFill="1"/>
    <xf numFmtId="4" fontId="23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6" fillId="11" borderId="0" xfId="0" applyNumberFormat="1" applyFont="1" applyFill="1" applyAlignment="1">
      <alignment horizontal="center" vertical="center"/>
    </xf>
    <xf numFmtId="0" fontId="19" fillId="3" borderId="10" xfId="0" applyFont="1" applyFill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>
      <alignment horizontal="center" vertical="center" wrapText="1"/>
    </xf>
    <xf numFmtId="1" fontId="9" fillId="4" borderId="10" xfId="0" applyNumberFormat="1" applyFont="1" applyFill="1" applyBorder="1" applyAlignment="1">
      <alignment horizontal="center" vertical="center" wrapText="1"/>
    </xf>
    <xf numFmtId="3" fontId="27" fillId="0" borderId="10" xfId="0" applyNumberFormat="1" applyFont="1" applyBorder="1" applyAlignment="1">
      <alignment horizontal="center" vertical="center"/>
    </xf>
    <xf numFmtId="3" fontId="28" fillId="0" borderId="10" xfId="0" applyNumberFormat="1" applyFont="1" applyBorder="1" applyAlignment="1">
      <alignment horizontal="center" vertical="center"/>
    </xf>
    <xf numFmtId="0" fontId="0" fillId="6" borderId="0" xfId="0" applyFill="1"/>
    <xf numFmtId="164" fontId="2" fillId="0" borderId="0" xfId="0" applyNumberFormat="1" applyFont="1"/>
    <xf numFmtId="3" fontId="16" fillId="11" borderId="0" xfId="0" applyNumberFormat="1" applyFont="1" applyFill="1" applyAlignment="1">
      <alignment horizontal="center" vertical="center"/>
    </xf>
    <xf numFmtId="3" fontId="23" fillId="11" borderId="0" xfId="1" applyNumberFormat="1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4" fontId="23" fillId="11" borderId="0" xfId="1" applyNumberFormat="1" applyFont="1" applyFill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4" fontId="23" fillId="11" borderId="13" xfId="1" applyNumberFormat="1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/>
    </xf>
    <xf numFmtId="0" fontId="26" fillId="0" borderId="0" xfId="0" applyFont="1" applyAlignment="1">
      <alignment horizontal="center" vertical="center"/>
    </xf>
    <xf numFmtId="4" fontId="16" fillId="11" borderId="0" xfId="0" applyNumberFormat="1" applyFont="1" applyFill="1" applyAlignment="1">
      <alignment horizontal="center" vertical="center"/>
    </xf>
    <xf numFmtId="4" fontId="25" fillId="11" borderId="13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6" fillId="6" borderId="12" xfId="0" quotePrefix="1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167" fontId="19" fillId="7" borderId="0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32</xdr:col>
      <xdr:colOff>614858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opLeftCell="A4" workbookViewId="0">
      <selection activeCell="J32" sqref="J32"/>
    </sheetView>
  </sheetViews>
  <sheetFormatPr defaultColWidth="11.5703125" defaultRowHeight="15" x14ac:dyDescent="0.25"/>
  <cols>
    <col min="1" max="1" width="29.140625" style="2" bestFit="1" customWidth="1"/>
    <col min="2" max="3" width="11.5703125" style="10"/>
    <col min="4" max="4" width="13.42578125" style="10" customWidth="1"/>
    <col min="5" max="5" width="12.5703125" style="3" customWidth="1"/>
    <col min="6" max="6" width="12.5703125" style="11" customWidth="1"/>
    <col min="7" max="7" width="11.5703125" style="3"/>
    <col min="8" max="8" width="11.5703125" style="11"/>
    <col min="9" max="9" width="11.5703125" style="3"/>
    <col min="10" max="10" width="11.5703125" style="12"/>
    <col min="11" max="24" width="11.5703125" style="3"/>
  </cols>
  <sheetData>
    <row r="1" spans="1:12" s="8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6</v>
      </c>
      <c r="F1" s="6" t="s">
        <v>7</v>
      </c>
      <c r="G1" s="5" t="s">
        <v>50</v>
      </c>
      <c r="H1" s="6" t="s">
        <v>51</v>
      </c>
      <c r="I1" s="5" t="s">
        <v>8</v>
      </c>
      <c r="J1" s="7" t="s">
        <v>9</v>
      </c>
      <c r="K1" s="5" t="s">
        <v>4</v>
      </c>
      <c r="L1" s="5" t="s">
        <v>5</v>
      </c>
    </row>
    <row r="2" spans="1:12" x14ac:dyDescent="0.25">
      <c r="A2" s="9" t="s">
        <v>52</v>
      </c>
      <c r="B2" s="10">
        <v>1</v>
      </c>
      <c r="C2" s="10">
        <v>11</v>
      </c>
      <c r="D2" s="10">
        <v>2024</v>
      </c>
      <c r="E2" s="4">
        <f>Electricity!E23/30</f>
        <v>37289.536666666667</v>
      </c>
      <c r="F2" s="11">
        <v>0.2</v>
      </c>
      <c r="G2" s="4">
        <f>LPG!C36/30</f>
        <v>2524.9393333333333</v>
      </c>
      <c r="H2" s="11">
        <v>1.67</v>
      </c>
      <c r="I2" s="4">
        <f>Water!E17/30</f>
        <v>349.61233333333337</v>
      </c>
      <c r="J2" s="11">
        <v>7.84</v>
      </c>
      <c r="K2" s="4">
        <f>'Occupied &amp; No. of Guest'!B3</f>
        <v>489</v>
      </c>
      <c r="L2" s="4">
        <f>'Occupied &amp; No. of Guest'!C3</f>
        <v>710</v>
      </c>
    </row>
    <row r="3" spans="1:12" x14ac:dyDescent="0.25">
      <c r="A3" s="9" t="s">
        <v>52</v>
      </c>
      <c r="B3" s="10">
        <f>B2+1</f>
        <v>2</v>
      </c>
      <c r="C3" s="10">
        <v>11</v>
      </c>
      <c r="D3" s="10">
        <v>2024</v>
      </c>
      <c r="E3" s="4">
        <v>37289.536666666667</v>
      </c>
      <c r="F3" s="11">
        <v>0.2</v>
      </c>
      <c r="G3" s="4">
        <v>2524.9393333333333</v>
      </c>
      <c r="H3" s="11">
        <v>1.67</v>
      </c>
      <c r="I3" s="4">
        <v>349.61233333333337</v>
      </c>
      <c r="J3" s="11">
        <v>7.84</v>
      </c>
      <c r="K3" s="4">
        <f>'Occupied &amp; No. of Guest'!B4</f>
        <v>457</v>
      </c>
      <c r="L3" s="4">
        <f>'Occupied &amp; No. of Guest'!C4</f>
        <v>633</v>
      </c>
    </row>
    <row r="4" spans="1:12" x14ac:dyDescent="0.25">
      <c r="A4" s="9" t="s">
        <v>52</v>
      </c>
      <c r="B4" s="10">
        <f t="shared" ref="B4:B32" si="0">B3+1</f>
        <v>3</v>
      </c>
      <c r="C4" s="10">
        <v>11</v>
      </c>
      <c r="D4" s="10">
        <v>2024</v>
      </c>
      <c r="E4" s="4">
        <v>37289.536666666667</v>
      </c>
      <c r="F4" s="11">
        <v>0.2</v>
      </c>
      <c r="G4" s="4">
        <v>2524.9393333333333</v>
      </c>
      <c r="H4" s="11">
        <v>1.67</v>
      </c>
      <c r="I4" s="4">
        <v>349.61233333333337</v>
      </c>
      <c r="J4" s="11">
        <v>7.84</v>
      </c>
      <c r="K4" s="4">
        <f>'Occupied &amp; No. of Guest'!B5</f>
        <v>471</v>
      </c>
      <c r="L4" s="4">
        <f>'Occupied &amp; No. of Guest'!C5</f>
        <v>590</v>
      </c>
    </row>
    <row r="5" spans="1:12" x14ac:dyDescent="0.25">
      <c r="A5" s="9" t="s">
        <v>52</v>
      </c>
      <c r="B5" s="10">
        <f t="shared" si="0"/>
        <v>4</v>
      </c>
      <c r="C5" s="10">
        <v>11</v>
      </c>
      <c r="D5" s="10">
        <v>2024</v>
      </c>
      <c r="E5" s="4">
        <v>37289.536666666667</v>
      </c>
      <c r="F5" s="11">
        <v>0.2</v>
      </c>
      <c r="G5" s="4">
        <v>2524.9393333333333</v>
      </c>
      <c r="H5" s="11">
        <v>1.67</v>
      </c>
      <c r="I5" s="4">
        <v>349.61233333333337</v>
      </c>
      <c r="J5" s="11">
        <v>7.84</v>
      </c>
      <c r="K5" s="4">
        <f>'Occupied &amp; No. of Guest'!B6</f>
        <v>485</v>
      </c>
      <c r="L5" s="4">
        <f>'Occupied &amp; No. of Guest'!C6</f>
        <v>616</v>
      </c>
    </row>
    <row r="6" spans="1:12" x14ac:dyDescent="0.25">
      <c r="A6" s="9" t="s">
        <v>52</v>
      </c>
      <c r="B6" s="10">
        <f t="shared" si="0"/>
        <v>5</v>
      </c>
      <c r="C6" s="10">
        <v>11</v>
      </c>
      <c r="D6" s="10">
        <v>2024</v>
      </c>
      <c r="E6" s="4">
        <v>37289.536666666667</v>
      </c>
      <c r="F6" s="11">
        <v>0.2</v>
      </c>
      <c r="G6" s="4">
        <v>2524.9393333333333</v>
      </c>
      <c r="H6" s="11">
        <v>1.67</v>
      </c>
      <c r="I6" s="4">
        <v>349.61233333333337</v>
      </c>
      <c r="J6" s="11">
        <v>7.84</v>
      </c>
      <c r="K6" s="4">
        <f>'Occupied &amp; No. of Guest'!B7</f>
        <v>489</v>
      </c>
      <c r="L6" s="4">
        <f>'Occupied &amp; No. of Guest'!C7</f>
        <v>621</v>
      </c>
    </row>
    <row r="7" spans="1:12" x14ac:dyDescent="0.25">
      <c r="A7" s="9" t="s">
        <v>52</v>
      </c>
      <c r="B7" s="10">
        <f t="shared" si="0"/>
        <v>6</v>
      </c>
      <c r="C7" s="10">
        <v>11</v>
      </c>
      <c r="D7" s="10">
        <v>2024</v>
      </c>
      <c r="E7" s="4">
        <v>37289.536666666667</v>
      </c>
      <c r="F7" s="11">
        <v>0.2</v>
      </c>
      <c r="G7" s="4">
        <v>2524.9393333333333</v>
      </c>
      <c r="H7" s="11">
        <v>1.67</v>
      </c>
      <c r="I7" s="4">
        <v>349.61233333333337</v>
      </c>
      <c r="J7" s="11">
        <v>7.84</v>
      </c>
      <c r="K7" s="4">
        <f>'Occupied &amp; No. of Guest'!B8</f>
        <v>484</v>
      </c>
      <c r="L7" s="4">
        <f>'Occupied &amp; No. of Guest'!C8</f>
        <v>621</v>
      </c>
    </row>
    <row r="8" spans="1:12" x14ac:dyDescent="0.25">
      <c r="A8" s="9" t="s">
        <v>52</v>
      </c>
      <c r="B8" s="10">
        <f t="shared" si="0"/>
        <v>7</v>
      </c>
      <c r="C8" s="10">
        <v>11</v>
      </c>
      <c r="D8" s="10">
        <v>2024</v>
      </c>
      <c r="E8" s="4">
        <v>37289.536666666667</v>
      </c>
      <c r="F8" s="11">
        <v>0.2</v>
      </c>
      <c r="G8" s="4">
        <v>2524.9393333333333</v>
      </c>
      <c r="H8" s="11">
        <v>1.67</v>
      </c>
      <c r="I8" s="4">
        <v>349.61233333333337</v>
      </c>
      <c r="J8" s="11">
        <v>7.84</v>
      </c>
      <c r="K8" s="4">
        <f>'Occupied &amp; No. of Guest'!B9</f>
        <v>465</v>
      </c>
      <c r="L8" s="4">
        <f>'Occupied &amp; No. of Guest'!C9</f>
        <v>618</v>
      </c>
    </row>
    <row r="9" spans="1:12" x14ac:dyDescent="0.25">
      <c r="A9" s="9" t="s">
        <v>52</v>
      </c>
      <c r="B9" s="10">
        <f t="shared" si="0"/>
        <v>8</v>
      </c>
      <c r="C9" s="10">
        <v>11</v>
      </c>
      <c r="D9" s="10">
        <v>2024</v>
      </c>
      <c r="E9" s="4">
        <v>37289.536666666667</v>
      </c>
      <c r="F9" s="11">
        <v>0.2</v>
      </c>
      <c r="G9" s="4">
        <v>2524.9393333333333</v>
      </c>
      <c r="H9" s="11">
        <v>1.67</v>
      </c>
      <c r="I9" s="4">
        <v>349.61233333333337</v>
      </c>
      <c r="J9" s="11">
        <v>7.84</v>
      </c>
      <c r="K9" s="4">
        <f>'Occupied &amp; No. of Guest'!B10</f>
        <v>483</v>
      </c>
      <c r="L9" s="4">
        <f>'Occupied &amp; No. of Guest'!C10</f>
        <v>704</v>
      </c>
    </row>
    <row r="10" spans="1:12" x14ac:dyDescent="0.25">
      <c r="A10" s="9" t="s">
        <v>52</v>
      </c>
      <c r="B10" s="10">
        <f t="shared" si="0"/>
        <v>9</v>
      </c>
      <c r="C10" s="10">
        <v>11</v>
      </c>
      <c r="D10" s="10">
        <v>2024</v>
      </c>
      <c r="E10" s="4">
        <v>37289.536666666667</v>
      </c>
      <c r="F10" s="11">
        <v>0.2</v>
      </c>
      <c r="G10" s="4">
        <v>2524.9393333333333</v>
      </c>
      <c r="H10" s="11">
        <v>1.67</v>
      </c>
      <c r="I10" s="4">
        <v>349.61233333333337</v>
      </c>
      <c r="J10" s="11">
        <v>7.84</v>
      </c>
      <c r="K10" s="4">
        <f>'Occupied &amp; No. of Guest'!B11</f>
        <v>486</v>
      </c>
      <c r="L10" s="4">
        <f>'Occupied &amp; No. of Guest'!C11</f>
        <v>715</v>
      </c>
    </row>
    <row r="11" spans="1:12" x14ac:dyDescent="0.25">
      <c r="A11" s="9" t="s">
        <v>52</v>
      </c>
      <c r="B11" s="10">
        <f t="shared" si="0"/>
        <v>10</v>
      </c>
      <c r="C11" s="10">
        <v>11</v>
      </c>
      <c r="D11" s="10">
        <v>2024</v>
      </c>
      <c r="E11" s="4">
        <v>37289.536666666667</v>
      </c>
      <c r="F11" s="11">
        <v>0.2</v>
      </c>
      <c r="G11" s="4">
        <v>2524.9393333333333</v>
      </c>
      <c r="H11" s="11">
        <v>1.67</v>
      </c>
      <c r="I11" s="4">
        <v>349.61233333333337</v>
      </c>
      <c r="J11" s="11">
        <v>7.84</v>
      </c>
      <c r="K11" s="4">
        <f>'Occupied &amp; No. of Guest'!B12</f>
        <v>444</v>
      </c>
      <c r="L11" s="4">
        <f>'Occupied &amp; No. of Guest'!C12</f>
        <v>592</v>
      </c>
    </row>
    <row r="12" spans="1:12" x14ac:dyDescent="0.25">
      <c r="A12" s="9" t="s">
        <v>52</v>
      </c>
      <c r="B12" s="10">
        <f t="shared" si="0"/>
        <v>11</v>
      </c>
      <c r="C12" s="10">
        <v>11</v>
      </c>
      <c r="D12" s="10">
        <v>2024</v>
      </c>
      <c r="E12" s="4">
        <v>37289.536666666667</v>
      </c>
      <c r="F12" s="11">
        <v>0.2</v>
      </c>
      <c r="G12" s="4">
        <v>2524.9393333333333</v>
      </c>
      <c r="H12" s="11">
        <v>1.67</v>
      </c>
      <c r="I12" s="4">
        <v>349.61233333333337</v>
      </c>
      <c r="J12" s="11">
        <v>7.84</v>
      </c>
      <c r="K12" s="4">
        <f>'Occupied &amp; No. of Guest'!B13</f>
        <v>475</v>
      </c>
      <c r="L12" s="4">
        <f>'Occupied &amp; No. of Guest'!C13</f>
        <v>630</v>
      </c>
    </row>
    <row r="13" spans="1:12" x14ac:dyDescent="0.25">
      <c r="A13" s="9" t="s">
        <v>52</v>
      </c>
      <c r="B13" s="10">
        <f t="shared" si="0"/>
        <v>12</v>
      </c>
      <c r="C13" s="10">
        <v>11</v>
      </c>
      <c r="D13" s="10">
        <v>2024</v>
      </c>
      <c r="E13" s="4">
        <v>37289.536666666667</v>
      </c>
      <c r="F13" s="11">
        <v>0.2</v>
      </c>
      <c r="G13" s="4">
        <v>2524.9393333333333</v>
      </c>
      <c r="H13" s="11">
        <v>1.67</v>
      </c>
      <c r="I13" s="4">
        <v>349.61233333333337</v>
      </c>
      <c r="J13" s="11">
        <v>7.84</v>
      </c>
      <c r="K13" s="4">
        <f>'Occupied &amp; No. of Guest'!B14</f>
        <v>488</v>
      </c>
      <c r="L13" s="4">
        <f>'Occupied &amp; No. of Guest'!C14</f>
        <v>649</v>
      </c>
    </row>
    <row r="14" spans="1:12" x14ac:dyDescent="0.25">
      <c r="A14" s="9" t="s">
        <v>52</v>
      </c>
      <c r="B14" s="10">
        <f t="shared" si="0"/>
        <v>13</v>
      </c>
      <c r="C14" s="10">
        <v>11</v>
      </c>
      <c r="D14" s="10">
        <v>2024</v>
      </c>
      <c r="E14" s="4">
        <v>37289.536666666667</v>
      </c>
      <c r="F14" s="11">
        <v>0.2</v>
      </c>
      <c r="G14" s="4">
        <v>2524.9393333333333</v>
      </c>
      <c r="H14" s="11">
        <v>1.67</v>
      </c>
      <c r="I14" s="4">
        <v>349.61233333333337</v>
      </c>
      <c r="J14" s="11">
        <v>7.84</v>
      </c>
      <c r="K14" s="4">
        <f>'Occupied &amp; No. of Guest'!B15</f>
        <v>483</v>
      </c>
      <c r="L14" s="4">
        <f>'Occupied &amp; No. of Guest'!C15</f>
        <v>621</v>
      </c>
    </row>
    <row r="15" spans="1:12" x14ac:dyDescent="0.25">
      <c r="A15" s="9" t="s">
        <v>52</v>
      </c>
      <c r="B15" s="10">
        <f t="shared" si="0"/>
        <v>14</v>
      </c>
      <c r="C15" s="10">
        <v>11</v>
      </c>
      <c r="D15" s="10">
        <v>2024</v>
      </c>
      <c r="E15" s="4">
        <v>37289.536666666667</v>
      </c>
      <c r="F15" s="11">
        <v>0.2</v>
      </c>
      <c r="G15" s="4">
        <v>2524.9393333333333</v>
      </c>
      <c r="H15" s="11">
        <v>1.67</v>
      </c>
      <c r="I15" s="4">
        <v>349.61233333333337</v>
      </c>
      <c r="J15" s="11">
        <v>7.84</v>
      </c>
      <c r="K15" s="4">
        <f>'Occupied &amp; No. of Guest'!B16</f>
        <v>465</v>
      </c>
      <c r="L15" s="4">
        <f>'Occupied &amp; No. of Guest'!C16</f>
        <v>619</v>
      </c>
    </row>
    <row r="16" spans="1:12" x14ac:dyDescent="0.25">
      <c r="A16" s="9" t="s">
        <v>52</v>
      </c>
      <c r="B16" s="10">
        <f t="shared" si="0"/>
        <v>15</v>
      </c>
      <c r="C16" s="10">
        <v>11</v>
      </c>
      <c r="D16" s="10">
        <v>2024</v>
      </c>
      <c r="E16" s="4">
        <v>37289.536666666667</v>
      </c>
      <c r="F16" s="11">
        <v>0.2</v>
      </c>
      <c r="G16" s="4">
        <v>2524.9393333333333</v>
      </c>
      <c r="H16" s="11">
        <v>1.67</v>
      </c>
      <c r="I16" s="4">
        <v>349.61233333333337</v>
      </c>
      <c r="J16" s="11">
        <v>7.84</v>
      </c>
      <c r="K16" s="4">
        <f>'Occupied &amp; No. of Guest'!B17</f>
        <v>462</v>
      </c>
      <c r="L16" s="4">
        <f>'Occupied &amp; No. of Guest'!C17</f>
        <v>639</v>
      </c>
    </row>
    <row r="17" spans="1:12" x14ac:dyDescent="0.25">
      <c r="A17" s="9" t="s">
        <v>52</v>
      </c>
      <c r="B17" s="10">
        <f t="shared" si="0"/>
        <v>16</v>
      </c>
      <c r="C17" s="10">
        <v>11</v>
      </c>
      <c r="D17" s="10">
        <v>2024</v>
      </c>
      <c r="E17" s="4">
        <v>37289.536666666667</v>
      </c>
      <c r="F17" s="11">
        <v>0.2</v>
      </c>
      <c r="G17" s="4">
        <v>2524.9393333333333</v>
      </c>
      <c r="H17" s="11">
        <v>1.67</v>
      </c>
      <c r="I17" s="4">
        <v>349.61233333333337</v>
      </c>
      <c r="J17" s="11">
        <v>7.84</v>
      </c>
      <c r="K17" s="4">
        <f>'Occupied &amp; No. of Guest'!B18</f>
        <v>479</v>
      </c>
      <c r="L17" s="4">
        <f>'Occupied &amp; No. of Guest'!C18</f>
        <v>661</v>
      </c>
    </row>
    <row r="18" spans="1:12" x14ac:dyDescent="0.25">
      <c r="A18" s="9" t="s">
        <v>52</v>
      </c>
      <c r="B18" s="10">
        <f t="shared" si="0"/>
        <v>17</v>
      </c>
      <c r="C18" s="10">
        <v>11</v>
      </c>
      <c r="D18" s="10">
        <v>2024</v>
      </c>
      <c r="E18" s="4">
        <v>37289.536666666667</v>
      </c>
      <c r="F18" s="11">
        <v>0.2</v>
      </c>
      <c r="G18" s="4">
        <v>2524.9393333333333</v>
      </c>
      <c r="H18" s="11">
        <v>1.67</v>
      </c>
      <c r="I18" s="4">
        <v>349.61233333333337</v>
      </c>
      <c r="J18" s="11">
        <v>7.84</v>
      </c>
      <c r="K18" s="4">
        <f>'Occupied &amp; No. of Guest'!B19</f>
        <v>484</v>
      </c>
      <c r="L18" s="4">
        <f>'Occupied &amp; No. of Guest'!C19</f>
        <v>649</v>
      </c>
    </row>
    <row r="19" spans="1:12" x14ac:dyDescent="0.25">
      <c r="A19" s="9" t="s">
        <v>52</v>
      </c>
      <c r="B19" s="10">
        <f t="shared" si="0"/>
        <v>18</v>
      </c>
      <c r="C19" s="10">
        <v>11</v>
      </c>
      <c r="D19" s="10">
        <v>2024</v>
      </c>
      <c r="E19" s="4">
        <v>37289.536666666667</v>
      </c>
      <c r="F19" s="11">
        <v>0.2</v>
      </c>
      <c r="G19" s="4">
        <v>2524.9393333333333</v>
      </c>
      <c r="H19" s="11">
        <v>1.67</v>
      </c>
      <c r="I19" s="4">
        <v>349.61233333333337</v>
      </c>
      <c r="J19" s="11">
        <v>7.84</v>
      </c>
      <c r="K19" s="4">
        <f>'Occupied &amp; No. of Guest'!B20</f>
        <v>485</v>
      </c>
      <c r="L19" s="4">
        <f>'Occupied &amp; No. of Guest'!C20</f>
        <v>646</v>
      </c>
    </row>
    <row r="20" spans="1:12" x14ac:dyDescent="0.25">
      <c r="A20" s="9" t="s">
        <v>52</v>
      </c>
      <c r="B20" s="10">
        <f t="shared" si="0"/>
        <v>19</v>
      </c>
      <c r="C20" s="10">
        <v>11</v>
      </c>
      <c r="D20" s="10">
        <v>2024</v>
      </c>
      <c r="E20" s="4">
        <v>37289.536666666667</v>
      </c>
      <c r="F20" s="11">
        <v>0.2</v>
      </c>
      <c r="G20" s="4">
        <v>2524.9393333333333</v>
      </c>
      <c r="H20" s="11">
        <v>1.67</v>
      </c>
      <c r="I20" s="4">
        <v>349.61233333333337</v>
      </c>
      <c r="J20" s="11">
        <v>7.84</v>
      </c>
      <c r="K20" s="4">
        <f>'Occupied &amp; No. of Guest'!B21</f>
        <v>487</v>
      </c>
      <c r="L20" s="4">
        <f>'Occupied &amp; No. of Guest'!C21</f>
        <v>651</v>
      </c>
    </row>
    <row r="21" spans="1:12" x14ac:dyDescent="0.25">
      <c r="A21" s="9" t="s">
        <v>52</v>
      </c>
      <c r="B21" s="10">
        <f t="shared" si="0"/>
        <v>20</v>
      </c>
      <c r="C21" s="10">
        <v>11</v>
      </c>
      <c r="D21" s="10">
        <v>2024</v>
      </c>
      <c r="E21" s="4">
        <v>37289.536666666667</v>
      </c>
      <c r="F21" s="11">
        <v>0.2</v>
      </c>
      <c r="G21" s="4">
        <v>2524.9393333333333</v>
      </c>
      <c r="H21" s="11">
        <v>1.67</v>
      </c>
      <c r="I21" s="4">
        <v>349.61233333333337</v>
      </c>
      <c r="J21" s="11">
        <v>7.84</v>
      </c>
      <c r="K21" s="4">
        <f>'Occupied &amp; No. of Guest'!B22</f>
        <v>488</v>
      </c>
      <c r="L21" s="4">
        <f>'Occupied &amp; No. of Guest'!C22</f>
        <v>666</v>
      </c>
    </row>
    <row r="22" spans="1:12" x14ac:dyDescent="0.25">
      <c r="A22" s="9" t="s">
        <v>52</v>
      </c>
      <c r="B22" s="10">
        <f t="shared" si="0"/>
        <v>21</v>
      </c>
      <c r="C22" s="10">
        <v>11</v>
      </c>
      <c r="D22" s="10">
        <v>2024</v>
      </c>
      <c r="E22" s="4">
        <v>37289.536666666667</v>
      </c>
      <c r="F22" s="11">
        <v>0.2</v>
      </c>
      <c r="G22" s="4">
        <v>2524.9393333333333</v>
      </c>
      <c r="H22" s="11">
        <v>1.67</v>
      </c>
      <c r="I22" s="4">
        <v>349.61233333333337</v>
      </c>
      <c r="J22" s="11">
        <v>7.84</v>
      </c>
      <c r="K22" s="4">
        <f>'Occupied &amp; No. of Guest'!B23</f>
        <v>486</v>
      </c>
      <c r="L22" s="4">
        <f>'Occupied &amp; No. of Guest'!C23</f>
        <v>667</v>
      </c>
    </row>
    <row r="23" spans="1:12" x14ac:dyDescent="0.25">
      <c r="A23" s="9" t="s">
        <v>52</v>
      </c>
      <c r="B23" s="10">
        <f t="shared" si="0"/>
        <v>22</v>
      </c>
      <c r="C23" s="10">
        <v>11</v>
      </c>
      <c r="D23" s="10">
        <v>2024</v>
      </c>
      <c r="E23" s="4">
        <v>37289.536666666667</v>
      </c>
      <c r="F23" s="11">
        <v>0.2</v>
      </c>
      <c r="G23" s="4">
        <v>2524.9393333333333</v>
      </c>
      <c r="H23" s="11">
        <v>1.67</v>
      </c>
      <c r="I23" s="4">
        <v>349.61233333333337</v>
      </c>
      <c r="J23" s="11">
        <v>7.84</v>
      </c>
      <c r="K23" s="4">
        <f>'Occupied &amp; No. of Guest'!B24</f>
        <v>460</v>
      </c>
      <c r="L23" s="4">
        <f>'Occupied &amp; No. of Guest'!C24</f>
        <v>622</v>
      </c>
    </row>
    <row r="24" spans="1:12" x14ac:dyDescent="0.25">
      <c r="A24" s="9" t="s">
        <v>52</v>
      </c>
      <c r="B24" s="10">
        <f t="shared" si="0"/>
        <v>23</v>
      </c>
      <c r="C24" s="10">
        <v>11</v>
      </c>
      <c r="D24" s="10">
        <v>2024</v>
      </c>
      <c r="E24" s="4">
        <v>37289.536666666667</v>
      </c>
      <c r="F24" s="11">
        <v>0.2</v>
      </c>
      <c r="G24" s="4">
        <v>2524.9393333333333</v>
      </c>
      <c r="H24" s="11">
        <v>1.67</v>
      </c>
      <c r="I24" s="4">
        <v>349.61233333333337</v>
      </c>
      <c r="J24" s="11">
        <v>7.84</v>
      </c>
      <c r="K24" s="4">
        <f>'Occupied &amp; No. of Guest'!B25</f>
        <v>371</v>
      </c>
      <c r="L24" s="4">
        <f>'Occupied &amp; No. of Guest'!C25</f>
        <v>480</v>
      </c>
    </row>
    <row r="25" spans="1:12" x14ac:dyDescent="0.25">
      <c r="A25" s="9" t="s">
        <v>52</v>
      </c>
      <c r="B25" s="10">
        <f t="shared" si="0"/>
        <v>24</v>
      </c>
      <c r="C25" s="10">
        <v>11</v>
      </c>
      <c r="D25" s="10">
        <v>2024</v>
      </c>
      <c r="E25" s="4">
        <v>37289.536666666667</v>
      </c>
      <c r="F25" s="11">
        <v>0.2</v>
      </c>
      <c r="G25" s="4">
        <v>2524.9393333333333</v>
      </c>
      <c r="H25" s="11">
        <v>1.67</v>
      </c>
      <c r="I25" s="4">
        <v>349.61233333333337</v>
      </c>
      <c r="J25" s="11">
        <v>7.84</v>
      </c>
      <c r="K25" s="4">
        <f>'Occupied &amp; No. of Guest'!B26</f>
        <v>438</v>
      </c>
      <c r="L25" s="4">
        <f>'Occupied &amp; No. of Guest'!C26</f>
        <v>547</v>
      </c>
    </row>
    <row r="26" spans="1:12" x14ac:dyDescent="0.25">
      <c r="A26" s="9" t="s">
        <v>52</v>
      </c>
      <c r="B26" s="10">
        <f>B25+1</f>
        <v>25</v>
      </c>
      <c r="C26" s="10">
        <v>11</v>
      </c>
      <c r="D26" s="10">
        <v>2024</v>
      </c>
      <c r="E26" s="4">
        <v>37289.536666666667</v>
      </c>
      <c r="F26" s="11">
        <v>0.2</v>
      </c>
      <c r="G26" s="4">
        <v>2524.9393333333333</v>
      </c>
      <c r="H26" s="11">
        <v>1.67</v>
      </c>
      <c r="I26" s="4">
        <v>349.61233333333337</v>
      </c>
      <c r="J26" s="11">
        <v>7.84</v>
      </c>
      <c r="K26" s="4">
        <f>'Occupied &amp; No. of Guest'!B27</f>
        <v>452</v>
      </c>
      <c r="L26" s="4">
        <f>'Occupied &amp; No. of Guest'!C27</f>
        <v>554</v>
      </c>
    </row>
    <row r="27" spans="1:12" x14ac:dyDescent="0.25">
      <c r="A27" s="9" t="s">
        <v>52</v>
      </c>
      <c r="B27" s="10">
        <f t="shared" si="0"/>
        <v>26</v>
      </c>
      <c r="C27" s="10">
        <v>11</v>
      </c>
      <c r="D27" s="10">
        <v>2024</v>
      </c>
      <c r="E27" s="4">
        <v>37289.536666666667</v>
      </c>
      <c r="F27" s="11">
        <v>0.2</v>
      </c>
      <c r="G27" s="4">
        <v>2524.9393333333333</v>
      </c>
      <c r="H27" s="11">
        <v>1.67</v>
      </c>
      <c r="I27" s="4">
        <v>349.61233333333337</v>
      </c>
      <c r="J27" s="11">
        <v>7.84</v>
      </c>
      <c r="K27" s="4">
        <f>'Occupied &amp; No. of Guest'!B28</f>
        <v>477</v>
      </c>
      <c r="L27" s="4">
        <f>'Occupied &amp; No. of Guest'!C28</f>
        <v>593</v>
      </c>
    </row>
    <row r="28" spans="1:12" x14ac:dyDescent="0.25">
      <c r="A28" s="9" t="s">
        <v>52</v>
      </c>
      <c r="B28" s="10">
        <f t="shared" si="0"/>
        <v>27</v>
      </c>
      <c r="C28" s="10">
        <v>11</v>
      </c>
      <c r="D28" s="10">
        <v>2024</v>
      </c>
      <c r="E28" s="4">
        <v>37289.536666666667</v>
      </c>
      <c r="F28" s="11">
        <v>0.2</v>
      </c>
      <c r="G28" s="4">
        <v>2524.9393333333333</v>
      </c>
      <c r="H28" s="11">
        <v>1.67</v>
      </c>
      <c r="I28" s="4">
        <v>349.61233333333337</v>
      </c>
      <c r="J28" s="11">
        <v>7.84</v>
      </c>
      <c r="K28" s="4">
        <f>'Occupied &amp; No. of Guest'!B29</f>
        <v>475</v>
      </c>
      <c r="L28" s="4">
        <f>'Occupied &amp; No. of Guest'!C29</f>
        <v>619</v>
      </c>
    </row>
    <row r="29" spans="1:12" x14ac:dyDescent="0.25">
      <c r="A29" s="9" t="s">
        <v>52</v>
      </c>
      <c r="B29" s="10">
        <f t="shared" si="0"/>
        <v>28</v>
      </c>
      <c r="C29" s="10">
        <v>11</v>
      </c>
      <c r="D29" s="10">
        <v>2024</v>
      </c>
      <c r="E29" s="4">
        <v>37289.536666666667</v>
      </c>
      <c r="F29" s="11">
        <v>0.2</v>
      </c>
      <c r="G29" s="4">
        <v>2524.9393333333333</v>
      </c>
      <c r="H29" s="11">
        <v>1.67</v>
      </c>
      <c r="I29" s="4">
        <v>349.61233333333337</v>
      </c>
      <c r="J29" s="11">
        <v>7.84</v>
      </c>
      <c r="K29" s="4">
        <f>'Occupied &amp; No. of Guest'!B30</f>
        <v>463</v>
      </c>
      <c r="L29" s="4">
        <f>'Occupied &amp; No. of Guest'!C30</f>
        <v>616</v>
      </c>
    </row>
    <row r="30" spans="1:12" x14ac:dyDescent="0.25">
      <c r="A30" s="9" t="s">
        <v>52</v>
      </c>
      <c r="B30" s="10">
        <f t="shared" si="0"/>
        <v>29</v>
      </c>
      <c r="C30" s="10">
        <v>11</v>
      </c>
      <c r="D30" s="10">
        <v>2024</v>
      </c>
      <c r="E30" s="4">
        <v>37289.536666666667</v>
      </c>
      <c r="F30" s="11">
        <v>0.2</v>
      </c>
      <c r="G30" s="4">
        <v>2524.9393333333333</v>
      </c>
      <c r="H30" s="11">
        <v>1.67</v>
      </c>
      <c r="I30" s="4">
        <v>349.61233333333337</v>
      </c>
      <c r="J30" s="11">
        <v>7.84</v>
      </c>
      <c r="K30" s="4">
        <f>'Occupied &amp; No. of Guest'!B31</f>
        <v>431</v>
      </c>
      <c r="L30" s="4">
        <f>'Occupied &amp; No. of Guest'!C31</f>
        <v>621</v>
      </c>
    </row>
    <row r="31" spans="1:12" x14ac:dyDescent="0.25">
      <c r="A31" s="9" t="s">
        <v>52</v>
      </c>
      <c r="B31" s="10">
        <f t="shared" si="0"/>
        <v>30</v>
      </c>
      <c r="C31" s="10">
        <v>11</v>
      </c>
      <c r="D31" s="10">
        <v>2024</v>
      </c>
      <c r="E31" s="4">
        <v>37289.536666666667</v>
      </c>
      <c r="F31" s="11">
        <v>0.2</v>
      </c>
      <c r="G31" s="4">
        <v>2524.9393333333333</v>
      </c>
      <c r="H31" s="11">
        <v>1.67</v>
      </c>
      <c r="I31" s="4">
        <v>349.61233333333337</v>
      </c>
      <c r="J31" s="11">
        <v>7.84</v>
      </c>
      <c r="K31" s="4">
        <f>'Occupied &amp; No. of Guest'!B32</f>
        <v>414</v>
      </c>
      <c r="L31" s="4">
        <f>'Occupied &amp; No. of Guest'!C32</f>
        <v>613</v>
      </c>
    </row>
    <row r="32" spans="1:12" x14ac:dyDescent="0.25">
      <c r="A32" s="9" t="s">
        <v>52</v>
      </c>
      <c r="B32" s="10">
        <f t="shared" si="0"/>
        <v>31</v>
      </c>
      <c r="C32" s="10">
        <v>11</v>
      </c>
      <c r="D32" s="10">
        <v>2024</v>
      </c>
      <c r="E32" s="4">
        <v>0</v>
      </c>
      <c r="F32" s="11">
        <v>0.2</v>
      </c>
      <c r="G32" s="4">
        <f>LPG!C34</f>
        <v>0</v>
      </c>
      <c r="H32" s="11">
        <v>1.67</v>
      </c>
      <c r="I32" s="4">
        <v>0</v>
      </c>
      <c r="J32" s="11">
        <v>7.84</v>
      </c>
      <c r="K32" s="4">
        <f>'Occupied &amp; No. of Guest'!B33</f>
        <v>0</v>
      </c>
      <c r="L32" s="4">
        <f>'Occupied &amp; No. of Guest'!C33</f>
        <v>0</v>
      </c>
    </row>
    <row r="33" spans="7:7" x14ac:dyDescent="0.25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>
    <pageSetUpPr fitToPage="1"/>
  </sheetPr>
  <dimension ref="A1:BO23"/>
  <sheetViews>
    <sheetView zoomScale="115" zoomScaleNormal="115" zoomScaleSheetLayoutView="85" workbookViewId="0">
      <pane xSplit="4" ySplit="4" topLeftCell="E12" activePane="bottomRight" state="frozen"/>
      <selection pane="topRight" activeCell="E1" sqref="E1"/>
      <selection pane="bottomLeft" activeCell="A5" sqref="A5"/>
      <selection pane="bottomRight" activeCell="E23" sqref="E23"/>
    </sheetView>
  </sheetViews>
  <sheetFormatPr defaultColWidth="9.140625" defaultRowHeight="27" customHeight="1" x14ac:dyDescent="0.2"/>
  <cols>
    <col min="1" max="1" width="5.7109375" style="13" customWidth="1"/>
    <col min="2" max="2" width="17.28515625" style="26" customWidth="1"/>
    <col min="3" max="3" width="21.42578125" style="26" customWidth="1"/>
    <col min="4" max="4" width="10.5703125" style="13" customWidth="1"/>
    <col min="5" max="6" width="15" style="14" customWidth="1"/>
    <col min="7" max="35" width="15" style="13" customWidth="1"/>
    <col min="36" max="16384" width="9.140625" style="13"/>
  </cols>
  <sheetData>
    <row r="1" spans="1:67" ht="29.25" customHeight="1" x14ac:dyDescent="0.2">
      <c r="B1" s="13"/>
      <c r="C1" s="14"/>
      <c r="D1" s="14"/>
      <c r="G1" s="14"/>
    </row>
    <row r="2" spans="1:67" s="14" customFormat="1" ht="29.25" customHeight="1" x14ac:dyDescent="0.25">
      <c r="A2" s="78" t="s">
        <v>83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</row>
    <row r="3" spans="1:67" s="14" customFormat="1" ht="29.25" customHeight="1" thickBot="1" x14ac:dyDescent="0.3"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</row>
    <row r="4" spans="1:67" ht="39" thickBot="1" x14ac:dyDescent="0.25">
      <c r="A4" s="15" t="s">
        <v>10</v>
      </c>
      <c r="B4" s="16" t="s">
        <v>11</v>
      </c>
      <c r="C4" s="17" t="s">
        <v>12</v>
      </c>
      <c r="D4" s="18" t="s">
        <v>13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  <c r="AG4" s="18">
        <v>29</v>
      </c>
      <c r="AH4" s="18">
        <v>30</v>
      </c>
      <c r="AI4" s="18"/>
    </row>
    <row r="5" spans="1:67" ht="26.25" customHeight="1" x14ac:dyDescent="0.2">
      <c r="A5" s="80">
        <v>1</v>
      </c>
      <c r="B5" s="20" t="s">
        <v>14</v>
      </c>
      <c r="C5" s="82" t="s">
        <v>15</v>
      </c>
      <c r="D5" s="21">
        <v>13453438</v>
      </c>
      <c r="E5" s="21">
        <v>13476349</v>
      </c>
      <c r="F5" s="21">
        <v>13498989</v>
      </c>
      <c r="G5" s="21">
        <v>13521717</v>
      </c>
      <c r="H5" s="21">
        <v>13544867</v>
      </c>
      <c r="I5" s="21">
        <v>13567850</v>
      </c>
      <c r="J5" s="21">
        <v>13590642</v>
      </c>
      <c r="K5" s="21">
        <v>13613298</v>
      </c>
      <c r="L5" s="21">
        <v>13635617</v>
      </c>
      <c r="M5" s="21">
        <v>13657221</v>
      </c>
      <c r="N5" s="21">
        <v>13678667</v>
      </c>
      <c r="O5" s="21">
        <v>13701574</v>
      </c>
      <c r="P5" s="21">
        <v>13724324</v>
      </c>
      <c r="Q5" s="21">
        <v>13747583</v>
      </c>
      <c r="R5" s="21">
        <v>13769761</v>
      </c>
      <c r="S5" s="21">
        <v>13791350</v>
      </c>
      <c r="T5" s="21">
        <v>13813213</v>
      </c>
      <c r="U5" s="21">
        <v>13834812</v>
      </c>
      <c r="V5" s="21">
        <v>13857048</v>
      </c>
      <c r="W5" s="21">
        <v>13880990</v>
      </c>
      <c r="X5" s="21">
        <v>13904296</v>
      </c>
      <c r="Y5" s="21">
        <v>13927742</v>
      </c>
      <c r="Z5" s="21">
        <v>13950746</v>
      </c>
      <c r="AA5" s="21">
        <v>13973283</v>
      </c>
      <c r="AB5" s="21">
        <v>13995409</v>
      </c>
      <c r="AC5" s="21">
        <v>14017816</v>
      </c>
      <c r="AD5" s="21">
        <v>14040783</v>
      </c>
      <c r="AE5" s="21">
        <v>14062550</v>
      </c>
      <c r="AF5" s="21">
        <v>14085055</v>
      </c>
      <c r="AG5" s="21">
        <v>14107372</v>
      </c>
      <c r="AH5" s="21">
        <v>14129896</v>
      </c>
      <c r="AI5" s="21"/>
    </row>
    <row r="6" spans="1:67" s="24" customFormat="1" ht="21.75" customHeight="1" thickBot="1" x14ac:dyDescent="0.25">
      <c r="A6" s="81"/>
      <c r="B6" s="22"/>
      <c r="C6" s="83"/>
      <c r="D6" s="23"/>
      <c r="E6" s="23">
        <f t="shared" ref="E6:AH6" si="0">E5-D5</f>
        <v>22911</v>
      </c>
      <c r="F6" s="23">
        <f t="shared" si="0"/>
        <v>22640</v>
      </c>
      <c r="G6" s="23">
        <f t="shared" si="0"/>
        <v>22728</v>
      </c>
      <c r="H6" s="23">
        <f t="shared" si="0"/>
        <v>23150</v>
      </c>
      <c r="I6" s="23">
        <f t="shared" si="0"/>
        <v>22983</v>
      </c>
      <c r="J6" s="23">
        <f t="shared" si="0"/>
        <v>22792</v>
      </c>
      <c r="K6" s="23">
        <f>K5-J5</f>
        <v>22656</v>
      </c>
      <c r="L6" s="23">
        <f t="shared" si="0"/>
        <v>22319</v>
      </c>
      <c r="M6" s="23">
        <f t="shared" si="0"/>
        <v>21604</v>
      </c>
      <c r="N6" s="23">
        <f t="shared" si="0"/>
        <v>21446</v>
      </c>
      <c r="O6" s="23">
        <f t="shared" si="0"/>
        <v>22907</v>
      </c>
      <c r="P6" s="23">
        <f t="shared" si="0"/>
        <v>22750</v>
      </c>
      <c r="Q6" s="23">
        <f t="shared" si="0"/>
        <v>23259</v>
      </c>
      <c r="R6" s="23">
        <f t="shared" si="0"/>
        <v>22178</v>
      </c>
      <c r="S6" s="23">
        <f t="shared" si="0"/>
        <v>21589</v>
      </c>
      <c r="T6" s="23">
        <f t="shared" si="0"/>
        <v>21863</v>
      </c>
      <c r="U6" s="23">
        <f t="shared" si="0"/>
        <v>21599</v>
      </c>
      <c r="V6" s="23">
        <f t="shared" si="0"/>
        <v>22236</v>
      </c>
      <c r="W6" s="23">
        <f t="shared" si="0"/>
        <v>23942</v>
      </c>
      <c r="X6" s="23">
        <f t="shared" si="0"/>
        <v>23306</v>
      </c>
      <c r="Y6" s="23">
        <f t="shared" si="0"/>
        <v>23446</v>
      </c>
      <c r="Z6" s="23">
        <f t="shared" si="0"/>
        <v>23004</v>
      </c>
      <c r="AA6" s="23">
        <f t="shared" si="0"/>
        <v>22537</v>
      </c>
      <c r="AB6" s="23">
        <f t="shared" si="0"/>
        <v>22126</v>
      </c>
      <c r="AC6" s="23">
        <f t="shared" si="0"/>
        <v>22407</v>
      </c>
      <c r="AD6" s="23">
        <f t="shared" si="0"/>
        <v>22967</v>
      </c>
      <c r="AE6" s="23">
        <f t="shared" si="0"/>
        <v>21767</v>
      </c>
      <c r="AF6" s="23">
        <f t="shared" si="0"/>
        <v>22505</v>
      </c>
      <c r="AG6" s="23">
        <f t="shared" si="0"/>
        <v>22317</v>
      </c>
      <c r="AH6" s="23">
        <f t="shared" si="0"/>
        <v>22524</v>
      </c>
      <c r="AI6" s="2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</row>
    <row r="7" spans="1:67" ht="22.5" customHeight="1" x14ac:dyDescent="0.2">
      <c r="A7" s="84">
        <v>2</v>
      </c>
      <c r="B7" s="25" t="s">
        <v>16</v>
      </c>
      <c r="C7" s="86" t="s">
        <v>17</v>
      </c>
      <c r="D7" s="21">
        <v>620</v>
      </c>
      <c r="E7" s="21">
        <v>620</v>
      </c>
      <c r="F7" s="21">
        <v>620</v>
      </c>
      <c r="G7" s="21">
        <v>620</v>
      </c>
      <c r="H7" s="21">
        <v>620</v>
      </c>
      <c r="I7" s="21">
        <v>620</v>
      </c>
      <c r="J7" s="21">
        <v>620</v>
      </c>
      <c r="K7" s="21">
        <v>620</v>
      </c>
      <c r="L7" s="21">
        <v>620</v>
      </c>
      <c r="M7" s="21">
        <v>620</v>
      </c>
      <c r="N7" s="21">
        <v>620</v>
      </c>
      <c r="O7" s="21">
        <v>620</v>
      </c>
      <c r="P7" s="21">
        <v>620</v>
      </c>
      <c r="Q7" s="21">
        <v>620</v>
      </c>
      <c r="R7" s="21">
        <v>620</v>
      </c>
      <c r="S7" s="21">
        <v>620</v>
      </c>
      <c r="T7" s="21">
        <v>620</v>
      </c>
      <c r="U7" s="21">
        <v>620</v>
      </c>
      <c r="V7" s="21">
        <v>620</v>
      </c>
      <c r="W7" s="21">
        <v>620</v>
      </c>
      <c r="X7" s="21">
        <v>620</v>
      </c>
      <c r="Y7" s="21">
        <v>620</v>
      </c>
      <c r="Z7" s="21">
        <v>620</v>
      </c>
      <c r="AA7" s="21">
        <v>620</v>
      </c>
      <c r="AB7" s="21">
        <v>620</v>
      </c>
      <c r="AC7" s="21">
        <v>620</v>
      </c>
      <c r="AD7" s="21">
        <v>620</v>
      </c>
      <c r="AE7" s="21">
        <v>620</v>
      </c>
      <c r="AF7" s="21">
        <v>620</v>
      </c>
      <c r="AG7" s="21">
        <v>620</v>
      </c>
      <c r="AH7" s="21">
        <v>620</v>
      </c>
      <c r="AI7" s="21"/>
    </row>
    <row r="8" spans="1:67" s="24" customFormat="1" ht="21.75" customHeight="1" thickBot="1" x14ac:dyDescent="0.25">
      <c r="A8" s="85"/>
      <c r="B8" s="22"/>
      <c r="C8" s="83"/>
      <c r="D8" s="23"/>
      <c r="E8" s="23">
        <f t="shared" ref="E8:AH8" si="1">E7-D7</f>
        <v>0</v>
      </c>
      <c r="F8" s="23">
        <f t="shared" si="1"/>
        <v>0</v>
      </c>
      <c r="G8" s="23">
        <f t="shared" si="1"/>
        <v>0</v>
      </c>
      <c r="H8" s="23">
        <f t="shared" si="1"/>
        <v>0</v>
      </c>
      <c r="I8" s="23">
        <f t="shared" si="1"/>
        <v>0</v>
      </c>
      <c r="J8" s="23">
        <f t="shared" si="1"/>
        <v>0</v>
      </c>
      <c r="K8" s="23">
        <f t="shared" si="1"/>
        <v>0</v>
      </c>
      <c r="L8" s="23">
        <f t="shared" si="1"/>
        <v>0</v>
      </c>
      <c r="M8" s="23">
        <f t="shared" si="1"/>
        <v>0</v>
      </c>
      <c r="N8" s="23">
        <f t="shared" si="1"/>
        <v>0</v>
      </c>
      <c r="O8" s="23">
        <f t="shared" si="1"/>
        <v>0</v>
      </c>
      <c r="P8" s="23">
        <f t="shared" si="1"/>
        <v>0</v>
      </c>
      <c r="Q8" s="23">
        <f t="shared" si="1"/>
        <v>0</v>
      </c>
      <c r="R8" s="23">
        <f t="shared" si="1"/>
        <v>0</v>
      </c>
      <c r="S8" s="23">
        <f t="shared" si="1"/>
        <v>0</v>
      </c>
      <c r="T8" s="23">
        <f t="shared" si="1"/>
        <v>0</v>
      </c>
      <c r="U8" s="23">
        <f t="shared" si="1"/>
        <v>0</v>
      </c>
      <c r="V8" s="23">
        <f t="shared" si="1"/>
        <v>0</v>
      </c>
      <c r="W8" s="23">
        <f t="shared" si="1"/>
        <v>0</v>
      </c>
      <c r="X8" s="23">
        <f t="shared" si="1"/>
        <v>0</v>
      </c>
      <c r="Y8" s="23">
        <f t="shared" si="1"/>
        <v>0</v>
      </c>
      <c r="Z8" s="23">
        <f t="shared" si="1"/>
        <v>0</v>
      </c>
      <c r="AA8" s="23">
        <f t="shared" si="1"/>
        <v>0</v>
      </c>
      <c r="AB8" s="23">
        <f t="shared" si="1"/>
        <v>0</v>
      </c>
      <c r="AC8" s="23">
        <f t="shared" si="1"/>
        <v>0</v>
      </c>
      <c r="AD8" s="23">
        <f t="shared" si="1"/>
        <v>0</v>
      </c>
      <c r="AE8" s="23">
        <f t="shared" si="1"/>
        <v>0</v>
      </c>
      <c r="AF8" s="23">
        <f t="shared" si="1"/>
        <v>0</v>
      </c>
      <c r="AG8" s="23">
        <f t="shared" si="1"/>
        <v>0</v>
      </c>
      <c r="AH8" s="23">
        <f t="shared" si="1"/>
        <v>0</v>
      </c>
      <c r="AI8" s="2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spans="1:67" ht="21.75" customHeight="1" x14ac:dyDescent="0.2">
      <c r="A9" s="76">
        <v>3</v>
      </c>
      <c r="B9" s="36" t="s">
        <v>53</v>
      </c>
      <c r="C9" s="77" t="s">
        <v>54</v>
      </c>
      <c r="D9" s="21">
        <v>14713184</v>
      </c>
      <c r="E9" s="21">
        <v>14749149</v>
      </c>
      <c r="F9" s="21">
        <v>14784268</v>
      </c>
      <c r="G9" s="21">
        <v>14818289</v>
      </c>
      <c r="H9" s="21">
        <v>14852448</v>
      </c>
      <c r="I9" s="21">
        <v>14886749</v>
      </c>
      <c r="J9" s="21">
        <v>14921696</v>
      </c>
      <c r="K9" s="21">
        <v>14957038</v>
      </c>
      <c r="L9" s="21">
        <v>14990407</v>
      </c>
      <c r="M9" s="21">
        <v>15022487</v>
      </c>
      <c r="N9" s="21">
        <v>15053145</v>
      </c>
      <c r="O9" s="21">
        <v>15086437</v>
      </c>
      <c r="P9" s="21">
        <v>15119797</v>
      </c>
      <c r="Q9" s="21">
        <v>15153690</v>
      </c>
      <c r="R9" s="21">
        <v>15187720</v>
      </c>
      <c r="S9" s="21">
        <v>15219841</v>
      </c>
      <c r="T9" s="21">
        <v>15248281</v>
      </c>
      <c r="U9" s="21">
        <v>15279335</v>
      </c>
      <c r="V9" s="21">
        <v>15313648</v>
      </c>
      <c r="W9" s="21">
        <v>15348701</v>
      </c>
      <c r="X9" s="21">
        <v>15380787</v>
      </c>
      <c r="Y9" s="21">
        <v>15411614</v>
      </c>
      <c r="Z9" s="21">
        <v>15444015</v>
      </c>
      <c r="AA9" s="21">
        <v>15477102</v>
      </c>
      <c r="AB9" s="21">
        <v>15509599</v>
      </c>
      <c r="AC9" s="21">
        <v>15539951</v>
      </c>
      <c r="AD9" s="21">
        <v>15568880</v>
      </c>
      <c r="AE9" s="21">
        <v>15590414</v>
      </c>
      <c r="AF9" s="21">
        <v>15611004</v>
      </c>
      <c r="AG9" s="21">
        <v>15630054</v>
      </c>
      <c r="AH9" s="21">
        <v>15654891</v>
      </c>
      <c r="AI9" s="21"/>
    </row>
    <row r="10" spans="1:67" s="24" customFormat="1" ht="21.75" customHeight="1" thickBot="1" x14ac:dyDescent="0.25">
      <c r="A10" s="72"/>
      <c r="B10" s="37"/>
      <c r="C10" s="75"/>
      <c r="D10" s="23"/>
      <c r="E10" s="23">
        <f t="shared" ref="E10:AH10" si="2">E9-D9</f>
        <v>35965</v>
      </c>
      <c r="F10" s="23">
        <f t="shared" si="2"/>
        <v>35119</v>
      </c>
      <c r="G10" s="23">
        <f t="shared" si="2"/>
        <v>34021</v>
      </c>
      <c r="H10" s="23">
        <f t="shared" si="2"/>
        <v>34159</v>
      </c>
      <c r="I10" s="23">
        <f t="shared" si="2"/>
        <v>34301</v>
      </c>
      <c r="J10" s="23">
        <f>J9-I9</f>
        <v>34947</v>
      </c>
      <c r="K10" s="23">
        <f t="shared" si="2"/>
        <v>35342</v>
      </c>
      <c r="L10" s="23">
        <f t="shared" si="2"/>
        <v>33369</v>
      </c>
      <c r="M10" s="23">
        <f t="shared" si="2"/>
        <v>32080</v>
      </c>
      <c r="N10" s="23">
        <f t="shared" si="2"/>
        <v>30658</v>
      </c>
      <c r="O10" s="23">
        <f t="shared" si="2"/>
        <v>33292</v>
      </c>
      <c r="P10" s="23">
        <f t="shared" si="2"/>
        <v>33360</v>
      </c>
      <c r="Q10" s="23">
        <f t="shared" si="2"/>
        <v>33893</v>
      </c>
      <c r="R10" s="23">
        <f t="shared" si="2"/>
        <v>34030</v>
      </c>
      <c r="S10" s="23">
        <f t="shared" si="2"/>
        <v>32121</v>
      </c>
      <c r="T10" s="23">
        <f t="shared" si="2"/>
        <v>28440</v>
      </c>
      <c r="U10" s="23">
        <f t="shared" si="2"/>
        <v>31054</v>
      </c>
      <c r="V10" s="23">
        <f t="shared" si="2"/>
        <v>34313</v>
      </c>
      <c r="W10" s="23">
        <f t="shared" si="2"/>
        <v>35053</v>
      </c>
      <c r="X10" s="23">
        <f t="shared" si="2"/>
        <v>32086</v>
      </c>
      <c r="Y10" s="23">
        <f t="shared" si="2"/>
        <v>30827</v>
      </c>
      <c r="Z10" s="23">
        <f t="shared" si="2"/>
        <v>32401</v>
      </c>
      <c r="AA10" s="23">
        <f t="shared" si="2"/>
        <v>33087</v>
      </c>
      <c r="AB10" s="23">
        <f t="shared" si="2"/>
        <v>32497</v>
      </c>
      <c r="AC10" s="23">
        <f t="shared" si="2"/>
        <v>30352</v>
      </c>
      <c r="AD10" s="23">
        <f t="shared" si="2"/>
        <v>28929</v>
      </c>
      <c r="AE10" s="23">
        <f t="shared" si="2"/>
        <v>21534</v>
      </c>
      <c r="AF10" s="23">
        <f t="shared" si="2"/>
        <v>20590</v>
      </c>
      <c r="AG10" s="23">
        <f t="shared" si="2"/>
        <v>19050</v>
      </c>
      <c r="AH10" s="23">
        <f t="shared" si="2"/>
        <v>24837</v>
      </c>
      <c r="AI10" s="2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spans="1:67" ht="21.75" customHeight="1" x14ac:dyDescent="0.2">
      <c r="A11" s="67">
        <v>4</v>
      </c>
      <c r="B11" s="36" t="s">
        <v>55</v>
      </c>
      <c r="C11" s="77" t="s">
        <v>56</v>
      </c>
      <c r="D11" s="21">
        <v>10408799</v>
      </c>
      <c r="E11" s="21">
        <v>10413933</v>
      </c>
      <c r="F11" s="21">
        <v>10418966</v>
      </c>
      <c r="G11" s="21">
        <v>10425059</v>
      </c>
      <c r="H11" s="21">
        <v>10432116</v>
      </c>
      <c r="I11" s="21">
        <v>10438781</v>
      </c>
      <c r="J11" s="21">
        <v>10445459</v>
      </c>
      <c r="K11" s="21">
        <v>10452103</v>
      </c>
      <c r="L11" s="21">
        <v>10458710</v>
      </c>
      <c r="M11" s="21">
        <v>10465286</v>
      </c>
      <c r="N11" s="21">
        <v>10471718</v>
      </c>
      <c r="O11" s="21">
        <v>10477568</v>
      </c>
      <c r="P11" s="21">
        <v>10482583</v>
      </c>
      <c r="Q11" s="21">
        <v>10487672</v>
      </c>
      <c r="R11" s="21">
        <v>10492746</v>
      </c>
      <c r="S11" s="21">
        <v>10497719</v>
      </c>
      <c r="T11" s="21">
        <v>10502399</v>
      </c>
      <c r="U11" s="21">
        <v>10507512</v>
      </c>
      <c r="V11" s="21">
        <v>10510153</v>
      </c>
      <c r="W11" s="21">
        <v>10511805</v>
      </c>
      <c r="X11" s="21">
        <v>10513385</v>
      </c>
      <c r="Y11" s="21">
        <v>10515040</v>
      </c>
      <c r="Z11" s="21">
        <v>10516781</v>
      </c>
      <c r="AA11" s="21">
        <v>10518515</v>
      </c>
      <c r="AB11" s="21">
        <v>10520227</v>
      </c>
      <c r="AC11" s="21">
        <v>10523557</v>
      </c>
      <c r="AD11" s="21">
        <v>10528940</v>
      </c>
      <c r="AE11" s="21">
        <v>10539999</v>
      </c>
      <c r="AF11" s="21">
        <v>10554216</v>
      </c>
      <c r="AG11" s="21">
        <v>10566032</v>
      </c>
      <c r="AH11" s="21">
        <v>10568341</v>
      </c>
      <c r="AI11" s="21"/>
    </row>
    <row r="12" spans="1:67" s="38" customFormat="1" ht="21.75" customHeight="1" thickBot="1" x14ac:dyDescent="0.25">
      <c r="A12" s="74"/>
      <c r="B12" s="37"/>
      <c r="C12" s="75"/>
      <c r="D12" s="23"/>
      <c r="E12" s="23">
        <f t="shared" ref="E12:AH12" si="3">E11-D11</f>
        <v>5134</v>
      </c>
      <c r="F12" s="23">
        <f t="shared" si="3"/>
        <v>5033</v>
      </c>
      <c r="G12" s="23">
        <f t="shared" si="3"/>
        <v>6093</v>
      </c>
      <c r="H12" s="23">
        <f t="shared" si="3"/>
        <v>7057</v>
      </c>
      <c r="I12" s="23">
        <f t="shared" si="3"/>
        <v>6665</v>
      </c>
      <c r="J12" s="23">
        <f>J11-I11</f>
        <v>6678</v>
      </c>
      <c r="K12" s="23">
        <f t="shared" si="3"/>
        <v>6644</v>
      </c>
      <c r="L12" s="23">
        <f t="shared" si="3"/>
        <v>6607</v>
      </c>
      <c r="M12" s="23">
        <f t="shared" si="3"/>
        <v>6576</v>
      </c>
      <c r="N12" s="23">
        <f t="shared" si="3"/>
        <v>6432</v>
      </c>
      <c r="O12" s="23">
        <f t="shared" si="3"/>
        <v>5850</v>
      </c>
      <c r="P12" s="23">
        <f t="shared" si="3"/>
        <v>5015</v>
      </c>
      <c r="Q12" s="23">
        <f t="shared" si="3"/>
        <v>5089</v>
      </c>
      <c r="R12" s="23">
        <f t="shared" si="3"/>
        <v>5074</v>
      </c>
      <c r="S12" s="23">
        <f t="shared" si="3"/>
        <v>4973</v>
      </c>
      <c r="T12" s="23">
        <f t="shared" si="3"/>
        <v>4680</v>
      </c>
      <c r="U12" s="23">
        <f t="shared" si="3"/>
        <v>5113</v>
      </c>
      <c r="V12" s="23">
        <f t="shared" si="3"/>
        <v>2641</v>
      </c>
      <c r="W12" s="23">
        <f t="shared" si="3"/>
        <v>1652</v>
      </c>
      <c r="X12" s="23">
        <f t="shared" si="3"/>
        <v>1580</v>
      </c>
      <c r="Y12" s="23">
        <f t="shared" si="3"/>
        <v>1655</v>
      </c>
      <c r="Z12" s="23">
        <f t="shared" si="3"/>
        <v>1741</v>
      </c>
      <c r="AA12" s="23">
        <f t="shared" si="3"/>
        <v>1734</v>
      </c>
      <c r="AB12" s="23">
        <f t="shared" si="3"/>
        <v>1712</v>
      </c>
      <c r="AC12" s="23">
        <f t="shared" si="3"/>
        <v>3330</v>
      </c>
      <c r="AD12" s="23">
        <f t="shared" si="3"/>
        <v>5383</v>
      </c>
      <c r="AE12" s="23">
        <f t="shared" si="3"/>
        <v>11059</v>
      </c>
      <c r="AF12" s="23">
        <f t="shared" si="3"/>
        <v>14217</v>
      </c>
      <c r="AG12" s="23">
        <f t="shared" si="3"/>
        <v>11816</v>
      </c>
      <c r="AH12" s="23">
        <f t="shared" si="3"/>
        <v>2309</v>
      </c>
      <c r="AI12" s="2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spans="1:67" ht="21.75" customHeight="1" x14ac:dyDescent="0.2">
      <c r="A13" s="76">
        <v>7</v>
      </c>
      <c r="B13" s="39" t="s">
        <v>57</v>
      </c>
      <c r="C13" s="69" t="s">
        <v>58</v>
      </c>
      <c r="D13" s="40">
        <v>3331</v>
      </c>
      <c r="E13" s="40">
        <v>3331</v>
      </c>
      <c r="F13" s="40">
        <v>3331</v>
      </c>
      <c r="G13" s="40">
        <v>3331</v>
      </c>
      <c r="H13" s="40">
        <v>3332</v>
      </c>
      <c r="I13" s="40">
        <v>3332</v>
      </c>
      <c r="J13" s="40">
        <v>3332</v>
      </c>
      <c r="K13" s="40">
        <v>3332</v>
      </c>
      <c r="L13" s="40">
        <v>3350</v>
      </c>
      <c r="M13" s="40">
        <v>3350</v>
      </c>
      <c r="N13" s="40">
        <v>3365</v>
      </c>
      <c r="O13" s="40">
        <v>3365</v>
      </c>
      <c r="P13" s="40">
        <v>3365</v>
      </c>
      <c r="Q13" s="40">
        <v>3365</v>
      </c>
      <c r="R13" s="40">
        <v>3365</v>
      </c>
      <c r="S13" s="40">
        <v>3365</v>
      </c>
      <c r="T13" s="40">
        <v>3365</v>
      </c>
      <c r="U13" s="40">
        <v>3365</v>
      </c>
      <c r="V13" s="40">
        <v>3365</v>
      </c>
      <c r="W13" s="40">
        <v>3365</v>
      </c>
      <c r="X13" s="40">
        <v>3365</v>
      </c>
      <c r="Y13" s="40">
        <v>3365</v>
      </c>
      <c r="Z13" s="40">
        <v>3365</v>
      </c>
      <c r="AA13" s="40">
        <v>3365</v>
      </c>
      <c r="AB13" s="40">
        <v>3373</v>
      </c>
      <c r="AC13" s="40">
        <v>3373</v>
      </c>
      <c r="AD13" s="40">
        <v>3373</v>
      </c>
      <c r="AE13" s="40">
        <v>3373</v>
      </c>
      <c r="AF13" s="40">
        <v>3373</v>
      </c>
      <c r="AG13" s="40">
        <v>3373</v>
      </c>
      <c r="AH13" s="40">
        <v>3373</v>
      </c>
      <c r="AI13" s="40"/>
    </row>
    <row r="14" spans="1:67" s="24" customFormat="1" ht="21.75" customHeight="1" thickBot="1" x14ac:dyDescent="0.25">
      <c r="A14" s="72"/>
      <c r="B14" s="41"/>
      <c r="C14" s="75"/>
      <c r="D14" s="42"/>
      <c r="E14" s="42">
        <f t="shared" ref="E14:AH14" si="4">E13-D13</f>
        <v>0</v>
      </c>
      <c r="F14" s="42">
        <f t="shared" si="4"/>
        <v>0</v>
      </c>
      <c r="G14" s="42">
        <f t="shared" si="4"/>
        <v>0</v>
      </c>
      <c r="H14" s="42">
        <f t="shared" si="4"/>
        <v>1</v>
      </c>
      <c r="I14" s="42">
        <f t="shared" si="4"/>
        <v>0</v>
      </c>
      <c r="J14" s="42">
        <f t="shared" si="4"/>
        <v>0</v>
      </c>
      <c r="K14" s="42">
        <f t="shared" si="4"/>
        <v>0</v>
      </c>
      <c r="L14" s="42">
        <f t="shared" si="4"/>
        <v>18</v>
      </c>
      <c r="M14" s="42">
        <f t="shared" si="4"/>
        <v>0</v>
      </c>
      <c r="N14" s="42">
        <f t="shared" si="4"/>
        <v>15</v>
      </c>
      <c r="O14" s="42">
        <f t="shared" si="4"/>
        <v>0</v>
      </c>
      <c r="P14" s="42">
        <f t="shared" si="4"/>
        <v>0</v>
      </c>
      <c r="Q14" s="42">
        <f t="shared" si="4"/>
        <v>0</v>
      </c>
      <c r="R14" s="42">
        <f t="shared" si="4"/>
        <v>0</v>
      </c>
      <c r="S14" s="42">
        <f t="shared" si="4"/>
        <v>0</v>
      </c>
      <c r="T14" s="42">
        <f t="shared" si="4"/>
        <v>0</v>
      </c>
      <c r="U14" s="42">
        <f t="shared" si="4"/>
        <v>0</v>
      </c>
      <c r="V14" s="42">
        <f t="shared" si="4"/>
        <v>0</v>
      </c>
      <c r="W14" s="42">
        <f t="shared" si="4"/>
        <v>0</v>
      </c>
      <c r="X14" s="42">
        <f t="shared" si="4"/>
        <v>0</v>
      </c>
      <c r="Y14" s="42">
        <f t="shared" si="4"/>
        <v>0</v>
      </c>
      <c r="Z14" s="42">
        <f t="shared" si="4"/>
        <v>0</v>
      </c>
      <c r="AA14" s="42">
        <f t="shared" si="4"/>
        <v>0</v>
      </c>
      <c r="AB14" s="42">
        <f t="shared" si="4"/>
        <v>8</v>
      </c>
      <c r="AC14" s="42">
        <f t="shared" si="4"/>
        <v>0</v>
      </c>
      <c r="AD14" s="42">
        <f t="shared" si="4"/>
        <v>0</v>
      </c>
      <c r="AE14" s="42">
        <f t="shared" si="4"/>
        <v>0</v>
      </c>
      <c r="AF14" s="42">
        <f t="shared" si="4"/>
        <v>0</v>
      </c>
      <c r="AG14" s="42">
        <f t="shared" si="4"/>
        <v>0</v>
      </c>
      <c r="AH14" s="42">
        <f t="shared" si="4"/>
        <v>0</v>
      </c>
      <c r="AI14" s="42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21.75" customHeight="1" x14ac:dyDescent="0.2">
      <c r="A15" s="67">
        <v>8</v>
      </c>
      <c r="B15" s="39" t="s">
        <v>59</v>
      </c>
      <c r="C15" s="69" t="s">
        <v>60</v>
      </c>
      <c r="D15" s="40">
        <v>482</v>
      </c>
      <c r="E15" s="40">
        <v>483</v>
      </c>
      <c r="F15" s="40">
        <v>483</v>
      </c>
      <c r="G15" s="40">
        <v>483</v>
      </c>
      <c r="H15" s="40">
        <v>483</v>
      </c>
      <c r="I15" s="40">
        <v>483</v>
      </c>
      <c r="J15" s="40">
        <v>483</v>
      </c>
      <c r="K15" s="40">
        <v>483</v>
      </c>
      <c r="L15" s="40">
        <v>483</v>
      </c>
      <c r="M15" s="40">
        <v>483</v>
      </c>
      <c r="N15" s="40">
        <v>484</v>
      </c>
      <c r="O15" s="40">
        <v>484</v>
      </c>
      <c r="P15" s="40">
        <v>484</v>
      </c>
      <c r="Q15" s="40">
        <v>484</v>
      </c>
      <c r="R15" s="40">
        <v>484</v>
      </c>
      <c r="S15" s="40">
        <v>484</v>
      </c>
      <c r="T15" s="40">
        <v>485</v>
      </c>
      <c r="U15" s="40">
        <v>485</v>
      </c>
      <c r="V15" s="40">
        <v>485</v>
      </c>
      <c r="W15" s="40">
        <v>485</v>
      </c>
      <c r="X15" s="40">
        <v>485</v>
      </c>
      <c r="Y15" s="40">
        <v>485</v>
      </c>
      <c r="Z15" s="40">
        <v>485</v>
      </c>
      <c r="AA15" s="40">
        <v>485</v>
      </c>
      <c r="AB15" s="40">
        <v>486</v>
      </c>
      <c r="AC15" s="40">
        <v>486</v>
      </c>
      <c r="AD15" s="40">
        <v>487</v>
      </c>
      <c r="AE15" s="40">
        <v>487</v>
      </c>
      <c r="AF15" s="40">
        <v>487</v>
      </c>
      <c r="AG15" s="40">
        <v>487</v>
      </c>
      <c r="AH15" s="40">
        <v>487</v>
      </c>
      <c r="AI15" s="40"/>
    </row>
    <row r="16" spans="1:67" s="24" customFormat="1" ht="21.75" customHeight="1" thickBot="1" x14ac:dyDescent="0.25">
      <c r="A16" s="74"/>
      <c r="B16" s="41"/>
      <c r="C16" s="75"/>
      <c r="D16" s="42"/>
      <c r="E16" s="42">
        <f t="shared" ref="E16:AH16" si="5">E15-D15</f>
        <v>1</v>
      </c>
      <c r="F16" s="42">
        <f t="shared" si="5"/>
        <v>0</v>
      </c>
      <c r="G16" s="42">
        <f t="shared" si="5"/>
        <v>0</v>
      </c>
      <c r="H16" s="42">
        <f t="shared" si="5"/>
        <v>0</v>
      </c>
      <c r="I16" s="42">
        <f t="shared" si="5"/>
        <v>0</v>
      </c>
      <c r="J16" s="42">
        <f t="shared" si="5"/>
        <v>0</v>
      </c>
      <c r="K16" s="42">
        <f t="shared" si="5"/>
        <v>0</v>
      </c>
      <c r="L16" s="42">
        <f t="shared" si="5"/>
        <v>0</v>
      </c>
      <c r="M16" s="42">
        <f t="shared" si="5"/>
        <v>0</v>
      </c>
      <c r="N16" s="42">
        <f t="shared" si="5"/>
        <v>1</v>
      </c>
      <c r="O16" s="42">
        <f t="shared" si="5"/>
        <v>0</v>
      </c>
      <c r="P16" s="42">
        <f t="shared" si="5"/>
        <v>0</v>
      </c>
      <c r="Q16" s="42">
        <f t="shared" si="5"/>
        <v>0</v>
      </c>
      <c r="R16" s="42">
        <f t="shared" si="5"/>
        <v>0</v>
      </c>
      <c r="S16" s="42">
        <f t="shared" si="5"/>
        <v>0</v>
      </c>
      <c r="T16" s="42">
        <f t="shared" si="5"/>
        <v>1</v>
      </c>
      <c r="U16" s="42">
        <f t="shared" si="5"/>
        <v>0</v>
      </c>
      <c r="V16" s="42">
        <f t="shared" si="5"/>
        <v>0</v>
      </c>
      <c r="W16" s="42">
        <f t="shared" si="5"/>
        <v>0</v>
      </c>
      <c r="X16" s="42">
        <f t="shared" si="5"/>
        <v>0</v>
      </c>
      <c r="Y16" s="42">
        <f t="shared" si="5"/>
        <v>0</v>
      </c>
      <c r="Z16" s="42">
        <f t="shared" si="5"/>
        <v>0</v>
      </c>
      <c r="AA16" s="42">
        <f t="shared" si="5"/>
        <v>0</v>
      </c>
      <c r="AB16" s="42">
        <f t="shared" si="5"/>
        <v>1</v>
      </c>
      <c r="AC16" s="42">
        <f t="shared" si="5"/>
        <v>0</v>
      </c>
      <c r="AD16" s="42">
        <f t="shared" si="5"/>
        <v>1</v>
      </c>
      <c r="AE16" s="42">
        <f t="shared" si="5"/>
        <v>0</v>
      </c>
      <c r="AF16" s="42">
        <f t="shared" si="5"/>
        <v>0</v>
      </c>
      <c r="AG16" s="42">
        <f t="shared" si="5"/>
        <v>0</v>
      </c>
      <c r="AH16" s="42">
        <f t="shared" si="5"/>
        <v>0</v>
      </c>
      <c r="AI16" s="42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35" ht="21.75" customHeight="1" x14ac:dyDescent="0.2">
      <c r="A17" s="67">
        <v>13</v>
      </c>
      <c r="B17" s="39" t="s">
        <v>61</v>
      </c>
      <c r="C17" s="69" t="s">
        <v>62</v>
      </c>
      <c r="D17" s="40">
        <v>1449721</v>
      </c>
      <c r="E17" s="40">
        <v>1449973</v>
      </c>
      <c r="F17" s="40">
        <v>1450253</v>
      </c>
      <c r="G17" s="40">
        <v>1450478</v>
      </c>
      <c r="H17" s="40">
        <v>1450702</v>
      </c>
      <c r="I17" s="40">
        <v>1450925</v>
      </c>
      <c r="J17" s="40">
        <v>1451158</v>
      </c>
      <c r="K17" s="40">
        <v>1451420</v>
      </c>
      <c r="L17" s="40">
        <v>1451690</v>
      </c>
      <c r="M17" s="40">
        <v>1451957</v>
      </c>
      <c r="N17" s="40">
        <v>1452239</v>
      </c>
      <c r="O17" s="40">
        <v>1452528</v>
      </c>
      <c r="P17" s="40">
        <v>1452827</v>
      </c>
      <c r="Q17" s="40">
        <v>1453107</v>
      </c>
      <c r="R17" s="40">
        <v>1453373</v>
      </c>
      <c r="S17" s="40">
        <v>1453652</v>
      </c>
      <c r="T17" s="40">
        <v>1453921</v>
      </c>
      <c r="U17" s="40">
        <v>1454187</v>
      </c>
      <c r="V17" s="40">
        <v>1454478</v>
      </c>
      <c r="W17" s="40">
        <v>1454754</v>
      </c>
      <c r="X17" s="40">
        <v>1455032</v>
      </c>
      <c r="Y17" s="40">
        <v>1455312</v>
      </c>
      <c r="Z17" s="40">
        <v>1455599</v>
      </c>
      <c r="AA17" s="40">
        <v>1455874</v>
      </c>
      <c r="AB17" s="40">
        <v>1456162</v>
      </c>
      <c r="AC17" s="40">
        <v>1456452</v>
      </c>
      <c r="AD17" s="40">
        <v>1456724</v>
      </c>
      <c r="AE17" s="40">
        <v>1457008</v>
      </c>
      <c r="AF17" s="40">
        <v>1457287</v>
      </c>
      <c r="AG17" s="40">
        <v>1457554</v>
      </c>
      <c r="AH17" s="40">
        <v>1457853</v>
      </c>
      <c r="AI17" s="40"/>
    </row>
    <row r="18" spans="1:35" ht="21.75" customHeight="1" thickBot="1" x14ac:dyDescent="0.25">
      <c r="A18" s="68"/>
      <c r="B18" s="43"/>
      <c r="C18" s="70"/>
      <c r="D18" s="42"/>
      <c r="E18" s="42">
        <f t="shared" ref="E18:AH18" si="6">E17-D17</f>
        <v>252</v>
      </c>
      <c r="F18" s="42">
        <f t="shared" si="6"/>
        <v>280</v>
      </c>
      <c r="G18" s="42">
        <f t="shared" si="6"/>
        <v>225</v>
      </c>
      <c r="H18" s="42">
        <f t="shared" si="6"/>
        <v>224</v>
      </c>
      <c r="I18" s="42">
        <f t="shared" si="6"/>
        <v>223</v>
      </c>
      <c r="J18" s="42">
        <f t="shared" si="6"/>
        <v>233</v>
      </c>
      <c r="K18" s="42">
        <f t="shared" si="6"/>
        <v>262</v>
      </c>
      <c r="L18" s="42">
        <f t="shared" si="6"/>
        <v>270</v>
      </c>
      <c r="M18" s="42">
        <f t="shared" si="6"/>
        <v>267</v>
      </c>
      <c r="N18" s="42">
        <f t="shared" si="6"/>
        <v>282</v>
      </c>
      <c r="O18" s="42">
        <f t="shared" si="6"/>
        <v>289</v>
      </c>
      <c r="P18" s="42">
        <f t="shared" si="6"/>
        <v>299</v>
      </c>
      <c r="Q18" s="42">
        <f t="shared" si="6"/>
        <v>280</v>
      </c>
      <c r="R18" s="42">
        <f t="shared" si="6"/>
        <v>266</v>
      </c>
      <c r="S18" s="42">
        <f t="shared" si="6"/>
        <v>279</v>
      </c>
      <c r="T18" s="42">
        <f t="shared" si="6"/>
        <v>269</v>
      </c>
      <c r="U18" s="42">
        <f t="shared" si="6"/>
        <v>266</v>
      </c>
      <c r="V18" s="42">
        <f t="shared" si="6"/>
        <v>291</v>
      </c>
      <c r="W18" s="42">
        <f t="shared" si="6"/>
        <v>276</v>
      </c>
      <c r="X18" s="42">
        <f t="shared" si="6"/>
        <v>278</v>
      </c>
      <c r="Y18" s="42">
        <f t="shared" si="6"/>
        <v>280</v>
      </c>
      <c r="Z18" s="42">
        <f t="shared" si="6"/>
        <v>287</v>
      </c>
      <c r="AA18" s="42">
        <f t="shared" si="6"/>
        <v>275</v>
      </c>
      <c r="AB18" s="42">
        <f t="shared" si="6"/>
        <v>288</v>
      </c>
      <c r="AC18" s="42">
        <f t="shared" si="6"/>
        <v>290</v>
      </c>
      <c r="AD18" s="42">
        <f t="shared" si="6"/>
        <v>272</v>
      </c>
      <c r="AE18" s="42">
        <f t="shared" si="6"/>
        <v>284</v>
      </c>
      <c r="AF18" s="42">
        <f t="shared" si="6"/>
        <v>279</v>
      </c>
      <c r="AG18" s="42">
        <f t="shared" si="6"/>
        <v>267</v>
      </c>
      <c r="AH18" s="42">
        <f t="shared" si="6"/>
        <v>299</v>
      </c>
      <c r="AI18" s="42"/>
    </row>
    <row r="19" spans="1:35" ht="21.75" customHeight="1" x14ac:dyDescent="0.2">
      <c r="A19" s="71">
        <v>14</v>
      </c>
      <c r="B19" s="39" t="s">
        <v>63</v>
      </c>
      <c r="C19" s="69" t="s">
        <v>64</v>
      </c>
      <c r="D19" s="40">
        <v>384783</v>
      </c>
      <c r="E19" s="40">
        <v>384849</v>
      </c>
      <c r="F19" s="40">
        <v>384875</v>
      </c>
      <c r="G19" s="40">
        <v>384926</v>
      </c>
      <c r="H19" s="40">
        <v>384972</v>
      </c>
      <c r="I19" s="40">
        <v>385020</v>
      </c>
      <c r="J19" s="40">
        <v>385067</v>
      </c>
      <c r="K19" s="40">
        <v>385114</v>
      </c>
      <c r="L19" s="40">
        <v>385159</v>
      </c>
      <c r="M19" s="40">
        <v>385202</v>
      </c>
      <c r="N19" s="40">
        <v>385251</v>
      </c>
      <c r="O19" s="40">
        <v>385298</v>
      </c>
      <c r="P19" s="40">
        <v>385344</v>
      </c>
      <c r="Q19" s="40">
        <v>385391</v>
      </c>
      <c r="R19" s="40">
        <v>385438</v>
      </c>
      <c r="S19" s="40">
        <v>385484</v>
      </c>
      <c r="T19" s="40">
        <v>385528</v>
      </c>
      <c r="U19" s="40">
        <v>385578</v>
      </c>
      <c r="V19" s="40">
        <v>385628</v>
      </c>
      <c r="W19" s="40">
        <v>385675</v>
      </c>
      <c r="X19" s="40">
        <v>385720</v>
      </c>
      <c r="Y19" s="40">
        <v>385765</v>
      </c>
      <c r="Z19" s="40">
        <v>385812</v>
      </c>
      <c r="AA19" s="40">
        <v>385857</v>
      </c>
      <c r="AB19" s="40">
        <v>385902</v>
      </c>
      <c r="AC19" s="40">
        <v>385947</v>
      </c>
      <c r="AD19" s="40">
        <v>385991</v>
      </c>
      <c r="AE19" s="40">
        <v>386036</v>
      </c>
      <c r="AF19" s="40">
        <v>386079</v>
      </c>
      <c r="AG19" s="40">
        <v>386125</v>
      </c>
      <c r="AH19" s="40">
        <v>386169</v>
      </c>
      <c r="AI19" s="40"/>
    </row>
    <row r="20" spans="1:35" ht="21.75" customHeight="1" thickBot="1" x14ac:dyDescent="0.25">
      <c r="A20" s="72"/>
      <c r="B20" s="43"/>
      <c r="C20" s="70"/>
      <c r="D20" s="42"/>
      <c r="E20" s="42">
        <f>E19-D19</f>
        <v>66</v>
      </c>
      <c r="F20" s="42">
        <f t="shared" ref="F20:AH20" si="7">F19-E19</f>
        <v>26</v>
      </c>
      <c r="G20" s="42">
        <f t="shared" si="7"/>
        <v>51</v>
      </c>
      <c r="H20" s="42">
        <f t="shared" si="7"/>
        <v>46</v>
      </c>
      <c r="I20" s="42">
        <f t="shared" si="7"/>
        <v>48</v>
      </c>
      <c r="J20" s="42">
        <f t="shared" si="7"/>
        <v>47</v>
      </c>
      <c r="K20" s="42">
        <f t="shared" si="7"/>
        <v>47</v>
      </c>
      <c r="L20" s="42">
        <f t="shared" si="7"/>
        <v>45</v>
      </c>
      <c r="M20" s="42">
        <f t="shared" si="7"/>
        <v>43</v>
      </c>
      <c r="N20" s="42">
        <f t="shared" si="7"/>
        <v>49</v>
      </c>
      <c r="O20" s="42">
        <f t="shared" si="7"/>
        <v>47</v>
      </c>
      <c r="P20" s="42">
        <f t="shared" si="7"/>
        <v>46</v>
      </c>
      <c r="Q20" s="42">
        <f t="shared" si="7"/>
        <v>47</v>
      </c>
      <c r="R20" s="42">
        <f t="shared" si="7"/>
        <v>47</v>
      </c>
      <c r="S20" s="42">
        <f t="shared" si="7"/>
        <v>46</v>
      </c>
      <c r="T20" s="42">
        <f t="shared" si="7"/>
        <v>44</v>
      </c>
      <c r="U20" s="42">
        <f t="shared" si="7"/>
        <v>50</v>
      </c>
      <c r="V20" s="42">
        <f t="shared" si="7"/>
        <v>50</v>
      </c>
      <c r="W20" s="42">
        <f t="shared" si="7"/>
        <v>47</v>
      </c>
      <c r="X20" s="42">
        <f t="shared" si="7"/>
        <v>45</v>
      </c>
      <c r="Y20" s="42">
        <f t="shared" si="7"/>
        <v>45</v>
      </c>
      <c r="Z20" s="42">
        <f t="shared" si="7"/>
        <v>47</v>
      </c>
      <c r="AA20" s="42">
        <f t="shared" si="7"/>
        <v>45</v>
      </c>
      <c r="AB20" s="42">
        <f t="shared" si="7"/>
        <v>45</v>
      </c>
      <c r="AC20" s="42">
        <f t="shared" si="7"/>
        <v>45</v>
      </c>
      <c r="AD20" s="42">
        <f t="shared" si="7"/>
        <v>44</v>
      </c>
      <c r="AE20" s="42">
        <f t="shared" si="7"/>
        <v>45</v>
      </c>
      <c r="AF20" s="42">
        <f t="shared" si="7"/>
        <v>43</v>
      </c>
      <c r="AG20" s="42">
        <f t="shared" si="7"/>
        <v>46</v>
      </c>
      <c r="AH20" s="42">
        <f t="shared" si="7"/>
        <v>44</v>
      </c>
      <c r="AI20" s="42"/>
    </row>
    <row r="21" spans="1:35" ht="27" customHeight="1" x14ac:dyDescent="0.3">
      <c r="B21" s="73" t="s">
        <v>65</v>
      </c>
      <c r="C21" s="73"/>
      <c r="D21" s="44"/>
      <c r="E21" s="61">
        <f>((E6+E8)+((E10+E12)*40%)+(E14+E16+E18+E20))</f>
        <v>39669.600000000006</v>
      </c>
      <c r="F21" s="61">
        <f t="shared" ref="F21:AH21" si="8">((F6+F8)+((F10+F12)*40%)+(F14+F16+F18+F20))</f>
        <v>39006.800000000003</v>
      </c>
      <c r="G21" s="61">
        <f t="shared" si="8"/>
        <v>39049.599999999999</v>
      </c>
      <c r="H21" s="61">
        <f t="shared" si="8"/>
        <v>39907.4</v>
      </c>
      <c r="I21" s="61">
        <f t="shared" si="8"/>
        <v>39640.400000000001</v>
      </c>
      <c r="J21" s="61">
        <f t="shared" si="8"/>
        <v>39722</v>
      </c>
      <c r="K21" s="61">
        <f t="shared" si="8"/>
        <v>39759.4</v>
      </c>
      <c r="L21" s="61">
        <f t="shared" si="8"/>
        <v>38642.400000000001</v>
      </c>
      <c r="M21" s="61">
        <f t="shared" si="8"/>
        <v>37376.400000000001</v>
      </c>
      <c r="N21" s="61">
        <f t="shared" si="8"/>
        <v>36629</v>
      </c>
      <c r="O21" s="61">
        <f t="shared" si="8"/>
        <v>38899.800000000003</v>
      </c>
      <c r="P21" s="61">
        <f t="shared" si="8"/>
        <v>38445</v>
      </c>
      <c r="Q21" s="61">
        <f t="shared" si="8"/>
        <v>39178.800000000003</v>
      </c>
      <c r="R21" s="61">
        <f t="shared" si="8"/>
        <v>38132.6</v>
      </c>
      <c r="S21" s="61">
        <f t="shared" si="8"/>
        <v>36751.599999999999</v>
      </c>
      <c r="T21" s="61">
        <f t="shared" si="8"/>
        <v>35425</v>
      </c>
      <c r="U21" s="61">
        <f t="shared" si="8"/>
        <v>36381.800000000003</v>
      </c>
      <c r="V21" s="61">
        <f t="shared" si="8"/>
        <v>37358.6</v>
      </c>
      <c r="W21" s="61">
        <f t="shared" si="8"/>
        <v>38947</v>
      </c>
      <c r="X21" s="61">
        <f t="shared" si="8"/>
        <v>37095.4</v>
      </c>
      <c r="Y21" s="61">
        <f t="shared" si="8"/>
        <v>36763.800000000003</v>
      </c>
      <c r="Z21" s="61">
        <f t="shared" si="8"/>
        <v>36994.800000000003</v>
      </c>
      <c r="AA21" s="61">
        <f t="shared" si="8"/>
        <v>36785.4</v>
      </c>
      <c r="AB21" s="61">
        <f t="shared" si="8"/>
        <v>36151.599999999999</v>
      </c>
      <c r="AC21" s="61">
        <f t="shared" si="8"/>
        <v>36214.800000000003</v>
      </c>
      <c r="AD21" s="61">
        <f t="shared" si="8"/>
        <v>37008.800000000003</v>
      </c>
      <c r="AE21" s="61">
        <f t="shared" si="8"/>
        <v>35133.199999999997</v>
      </c>
      <c r="AF21" s="61">
        <f t="shared" si="8"/>
        <v>36749.800000000003</v>
      </c>
      <c r="AG21" s="61">
        <f t="shared" si="8"/>
        <v>34976.400000000001</v>
      </c>
      <c r="AH21" s="61">
        <f t="shared" si="8"/>
        <v>33725.4</v>
      </c>
      <c r="AI21" s="61"/>
    </row>
    <row r="22" spans="1:35" ht="27" customHeight="1" x14ac:dyDescent="0.3">
      <c r="B22" s="66" t="s">
        <v>66</v>
      </c>
      <c r="C22" s="66"/>
      <c r="D22" s="44"/>
      <c r="E22" s="61">
        <f>SUM(E21:AI21)</f>
        <v>1126522.6000000001</v>
      </c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  <row r="23" spans="1:35" ht="27" customHeight="1" x14ac:dyDescent="0.2">
      <c r="B23" s="26" t="s">
        <v>87</v>
      </c>
      <c r="E23" s="14">
        <v>1118686.1000000001</v>
      </c>
    </row>
  </sheetData>
  <mergeCells count="20">
    <mergeCell ref="A2:AI2"/>
    <mergeCell ref="C3:AI3"/>
    <mergeCell ref="A5:A6"/>
    <mergeCell ref="C5:C6"/>
    <mergeCell ref="A7:A8"/>
    <mergeCell ref="C7:C8"/>
    <mergeCell ref="A15:A16"/>
    <mergeCell ref="C15:C16"/>
    <mergeCell ref="A9:A10"/>
    <mergeCell ref="C9:C10"/>
    <mergeCell ref="A11:A12"/>
    <mergeCell ref="C11:C12"/>
    <mergeCell ref="A13:A14"/>
    <mergeCell ref="C13:C14"/>
    <mergeCell ref="B22:C22"/>
    <mergeCell ref="A17:A18"/>
    <mergeCell ref="C17:C18"/>
    <mergeCell ref="A19:A20"/>
    <mergeCell ref="C19:C20"/>
    <mergeCell ref="B21:C21"/>
  </mergeCells>
  <pageMargins left="0.25" right="0.25" top="0.75" bottom="0.75" header="0.3" footer="0.3"/>
  <pageSetup scale="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8519-3124-402A-B866-B6A3B7F5FCE4}">
  <sheetPr>
    <pageSetUpPr fitToPage="1"/>
  </sheetPr>
  <dimension ref="A1:G36"/>
  <sheetViews>
    <sheetView zoomScaleNormal="100" workbookViewId="0">
      <pane ySplit="3" topLeftCell="A27" activePane="bottomLeft" state="frozen"/>
      <selection pane="bottomLeft" activeCell="C36" sqref="C36"/>
    </sheetView>
  </sheetViews>
  <sheetFormatPr defaultRowHeight="15" x14ac:dyDescent="0.25"/>
  <cols>
    <col min="1" max="1" width="9.7109375" customWidth="1"/>
    <col min="2" max="2" width="10.7109375" customWidth="1"/>
    <col min="3" max="3" width="12.28515625" bestFit="1" customWidth="1"/>
  </cols>
  <sheetData>
    <row r="1" spans="1:7" ht="50.25" customHeight="1" x14ac:dyDescent="0.25">
      <c r="A1" s="88" t="s">
        <v>84</v>
      </c>
      <c r="B1" s="88"/>
      <c r="C1" s="88"/>
    </row>
    <row r="3" spans="1:7" ht="48" x14ac:dyDescent="0.25">
      <c r="A3" s="51" t="s">
        <v>19</v>
      </c>
      <c r="B3" s="52">
        <v>75748</v>
      </c>
      <c r="C3" s="53"/>
    </row>
    <row r="4" spans="1:7" ht="28.5" customHeight="1" x14ac:dyDescent="0.25">
      <c r="A4" s="54">
        <v>1</v>
      </c>
      <c r="B4" s="52"/>
      <c r="C4" s="53">
        <f>B3/30</f>
        <v>2524.9333333333334</v>
      </c>
    </row>
    <row r="5" spans="1:7" ht="28.5" customHeight="1" x14ac:dyDescent="0.25">
      <c r="A5" s="54">
        <v>2</v>
      </c>
      <c r="B5" s="52"/>
      <c r="C5" s="53">
        <v>2524.9333333333334</v>
      </c>
    </row>
    <row r="6" spans="1:7" ht="28.5" customHeight="1" x14ac:dyDescent="0.25">
      <c r="A6" s="55">
        <v>3</v>
      </c>
      <c r="B6" s="52"/>
      <c r="C6" s="53">
        <v>2524.9333333333334</v>
      </c>
    </row>
    <row r="7" spans="1:7" ht="28.5" customHeight="1" x14ac:dyDescent="0.25">
      <c r="A7" s="54">
        <v>4</v>
      </c>
      <c r="B7" s="52"/>
      <c r="C7" s="53">
        <v>2524.9333333333334</v>
      </c>
    </row>
    <row r="8" spans="1:7" ht="28.5" customHeight="1" x14ac:dyDescent="0.25">
      <c r="A8" s="54">
        <v>5</v>
      </c>
      <c r="B8" s="52"/>
      <c r="C8" s="53">
        <v>2524.9333333333334</v>
      </c>
    </row>
    <row r="9" spans="1:7" ht="28.5" customHeight="1" x14ac:dyDescent="0.25">
      <c r="A9" s="54">
        <v>6</v>
      </c>
      <c r="B9" s="52"/>
      <c r="C9" s="53">
        <v>2524.9333333333334</v>
      </c>
      <c r="G9" t="s">
        <v>75</v>
      </c>
    </row>
    <row r="10" spans="1:7" ht="28.5" customHeight="1" x14ac:dyDescent="0.25">
      <c r="A10" s="54">
        <v>7</v>
      </c>
      <c r="B10" s="52"/>
      <c r="C10" s="53">
        <v>2524.9333333333334</v>
      </c>
    </row>
    <row r="11" spans="1:7" ht="28.5" customHeight="1" x14ac:dyDescent="0.25">
      <c r="A11" s="54">
        <v>8</v>
      </c>
      <c r="B11" s="52"/>
      <c r="C11" s="53">
        <v>2524.9333333333334</v>
      </c>
    </row>
    <row r="12" spans="1:7" ht="28.5" customHeight="1" x14ac:dyDescent="0.25">
      <c r="A12" s="54">
        <v>9</v>
      </c>
      <c r="B12" s="52"/>
      <c r="C12" s="53">
        <v>2524.9333333333334</v>
      </c>
    </row>
    <row r="13" spans="1:7" ht="28.5" customHeight="1" x14ac:dyDescent="0.25">
      <c r="A13" s="54">
        <v>10</v>
      </c>
      <c r="B13" s="52"/>
      <c r="C13" s="53">
        <v>2524.9333333333334</v>
      </c>
    </row>
    <row r="14" spans="1:7" ht="28.5" customHeight="1" x14ac:dyDescent="0.25">
      <c r="A14" s="54">
        <v>11</v>
      </c>
      <c r="B14" s="52"/>
      <c r="C14" s="53">
        <v>2524.9333333333334</v>
      </c>
    </row>
    <row r="15" spans="1:7" ht="28.5" customHeight="1" x14ac:dyDescent="0.25">
      <c r="A15" s="54">
        <v>12</v>
      </c>
      <c r="B15" s="52"/>
      <c r="C15" s="53">
        <v>2524.9333333333334</v>
      </c>
    </row>
    <row r="16" spans="1:7" ht="28.5" customHeight="1" x14ac:dyDescent="0.25">
      <c r="A16" s="54">
        <v>13</v>
      </c>
      <c r="B16" s="52"/>
      <c r="C16" s="53">
        <v>2524.9333333333334</v>
      </c>
    </row>
    <row r="17" spans="1:4" ht="28.5" customHeight="1" x14ac:dyDescent="0.25">
      <c r="A17" s="54">
        <v>14</v>
      </c>
      <c r="B17" s="52"/>
      <c r="C17" s="53">
        <v>2524.9333333333334</v>
      </c>
    </row>
    <row r="18" spans="1:4" ht="28.5" customHeight="1" x14ac:dyDescent="0.25">
      <c r="A18" s="54">
        <v>15</v>
      </c>
      <c r="B18" s="52"/>
      <c r="C18" s="53">
        <v>2524.9333333333334</v>
      </c>
    </row>
    <row r="19" spans="1:4" ht="28.5" customHeight="1" x14ac:dyDescent="0.25">
      <c r="A19" s="54">
        <v>16</v>
      </c>
      <c r="B19" s="52"/>
      <c r="C19" s="53">
        <v>2524.9333333333334</v>
      </c>
    </row>
    <row r="20" spans="1:4" ht="28.5" customHeight="1" x14ac:dyDescent="0.25">
      <c r="A20" s="54">
        <v>17</v>
      </c>
      <c r="B20" s="52"/>
      <c r="C20" s="53">
        <v>2524.9333333333334</v>
      </c>
    </row>
    <row r="21" spans="1:4" ht="28.5" customHeight="1" x14ac:dyDescent="0.25">
      <c r="A21" s="54">
        <v>18</v>
      </c>
      <c r="B21" s="52"/>
      <c r="C21" s="53">
        <v>2524.9333333333334</v>
      </c>
    </row>
    <row r="22" spans="1:4" ht="28.5" customHeight="1" x14ac:dyDescent="0.25">
      <c r="A22" s="54">
        <v>19</v>
      </c>
      <c r="B22" s="52"/>
      <c r="C22" s="53">
        <v>2524.9333333333334</v>
      </c>
    </row>
    <row r="23" spans="1:4" ht="28.5" customHeight="1" x14ac:dyDescent="0.25">
      <c r="A23" s="54">
        <v>20</v>
      </c>
      <c r="B23" s="52"/>
      <c r="C23" s="53">
        <v>2524.9333333333334</v>
      </c>
    </row>
    <row r="24" spans="1:4" ht="28.5" customHeight="1" x14ac:dyDescent="0.25">
      <c r="A24" s="54">
        <v>21</v>
      </c>
      <c r="B24" s="52"/>
      <c r="C24" s="53">
        <v>2524.9333333333334</v>
      </c>
    </row>
    <row r="25" spans="1:4" ht="28.5" customHeight="1" x14ac:dyDescent="0.25">
      <c r="A25" s="54">
        <v>22</v>
      </c>
      <c r="B25" s="52"/>
      <c r="C25" s="53">
        <v>2524.9333333333334</v>
      </c>
    </row>
    <row r="26" spans="1:4" ht="28.5" customHeight="1" x14ac:dyDescent="0.25">
      <c r="A26" s="54">
        <v>23</v>
      </c>
      <c r="B26" s="56"/>
      <c r="C26" s="53">
        <v>2524.9333333333334</v>
      </c>
    </row>
    <row r="27" spans="1:4" ht="28.5" customHeight="1" x14ac:dyDescent="0.25">
      <c r="A27" s="54">
        <v>24</v>
      </c>
      <c r="B27" s="52"/>
      <c r="C27" s="53">
        <v>2524.9333333333334</v>
      </c>
    </row>
    <row r="28" spans="1:4" ht="28.5" customHeight="1" x14ac:dyDescent="0.25">
      <c r="A28" s="54">
        <v>25</v>
      </c>
      <c r="B28" s="57"/>
      <c r="C28" s="53">
        <v>2524.9333333333334</v>
      </c>
      <c r="D28" s="58"/>
    </row>
    <row r="29" spans="1:4" ht="28.5" customHeight="1" x14ac:dyDescent="0.25">
      <c r="A29" s="54">
        <v>26</v>
      </c>
      <c r="B29" s="52"/>
      <c r="C29" s="53">
        <v>2524.9333333333334</v>
      </c>
      <c r="D29" s="58"/>
    </row>
    <row r="30" spans="1:4" ht="28.5" customHeight="1" x14ac:dyDescent="0.25">
      <c r="A30" s="54">
        <v>27</v>
      </c>
      <c r="B30" s="52"/>
      <c r="C30" s="53">
        <v>2524.9333333333334</v>
      </c>
    </row>
    <row r="31" spans="1:4" ht="28.5" customHeight="1" x14ac:dyDescent="0.25">
      <c r="A31" s="54">
        <v>28</v>
      </c>
      <c r="B31" s="52"/>
      <c r="C31" s="53">
        <v>2524.9333333333334</v>
      </c>
    </row>
    <row r="32" spans="1:4" ht="28.5" customHeight="1" x14ac:dyDescent="0.25">
      <c r="A32" s="54">
        <v>29</v>
      </c>
      <c r="B32" s="56"/>
      <c r="C32" s="53">
        <v>2524.9333333333334</v>
      </c>
    </row>
    <row r="33" spans="1:3" ht="28.5" customHeight="1" x14ac:dyDescent="0.25">
      <c r="A33" s="54">
        <v>30</v>
      </c>
      <c r="B33" s="52"/>
      <c r="C33" s="53">
        <v>2524.9333333333334</v>
      </c>
    </row>
    <row r="34" spans="1:3" ht="28.5" customHeight="1" x14ac:dyDescent="0.25">
      <c r="A34" s="54">
        <v>31</v>
      </c>
      <c r="B34" s="52"/>
      <c r="C34" s="53"/>
    </row>
    <row r="35" spans="1:3" x14ac:dyDescent="0.25">
      <c r="A35" s="87" t="s">
        <v>76</v>
      </c>
      <c r="B35" s="87"/>
      <c r="C35" s="59">
        <f>SUM(C4:C34)</f>
        <v>75748.000000000015</v>
      </c>
    </row>
    <row r="36" spans="1:3" x14ac:dyDescent="0.25">
      <c r="A36" t="s">
        <v>87</v>
      </c>
      <c r="C36" s="100">
        <v>75748.179999999993</v>
      </c>
    </row>
  </sheetData>
  <mergeCells count="2">
    <mergeCell ref="A35:B35"/>
    <mergeCell ref="A1:C1"/>
  </mergeCells>
  <printOptions horizontalCentered="1"/>
  <pageMargins left="0" right="0" top="0" bottom="0" header="0.3" footer="0.3"/>
  <pageSetup paperSize="9" scale="71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>
    <pageSetUpPr fitToPage="1"/>
  </sheetPr>
  <dimension ref="A2:AP29"/>
  <sheetViews>
    <sheetView tabSelected="1" zoomScale="115" zoomScaleNormal="115" workbookViewId="0">
      <pane xSplit="3" ySplit="4" topLeftCell="D14" activePane="bottomRight" state="frozen"/>
      <selection pane="topRight" activeCell="D1" sqref="D1"/>
      <selection pane="bottomLeft" activeCell="A5" sqref="A5"/>
      <selection pane="bottomRight" activeCell="E17" sqref="E17"/>
    </sheetView>
  </sheetViews>
  <sheetFormatPr defaultColWidth="9.140625" defaultRowHeight="70.5" customHeight="1" x14ac:dyDescent="0.25"/>
  <cols>
    <col min="1" max="1" width="5.7109375" style="2" customWidth="1"/>
    <col min="2" max="2" width="21.85546875" style="8" customWidth="1"/>
    <col min="3" max="3" width="23" style="35" customWidth="1"/>
    <col min="4" max="6" width="10.140625" style="8" customWidth="1"/>
    <col min="7" max="35" width="10.140625" style="2" customWidth="1"/>
    <col min="36" max="16384" width="9.140625" style="2"/>
  </cols>
  <sheetData>
    <row r="2" spans="1:42" s="8" customFormat="1" ht="25.7" customHeight="1" x14ac:dyDescent="0.4">
      <c r="B2" s="91" t="s">
        <v>85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</row>
    <row r="3" spans="1:42" s="8" customFormat="1" ht="30" customHeight="1" thickBot="1" x14ac:dyDescent="0.3"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</row>
    <row r="4" spans="1:42" s="30" customFormat="1" ht="57.75" customHeight="1" thickBot="1" x14ac:dyDescent="0.3">
      <c r="A4" s="15" t="s">
        <v>10</v>
      </c>
      <c r="B4" s="27" t="s">
        <v>18</v>
      </c>
      <c r="C4" s="27" t="s">
        <v>12</v>
      </c>
      <c r="D4" s="28" t="s">
        <v>19</v>
      </c>
      <c r="E4" s="29" t="s">
        <v>20</v>
      </c>
      <c r="F4" s="29" t="s">
        <v>21</v>
      </c>
      <c r="G4" s="29" t="s">
        <v>22</v>
      </c>
      <c r="H4" s="29" t="s">
        <v>23</v>
      </c>
      <c r="I4" s="29" t="s">
        <v>24</v>
      </c>
      <c r="J4" s="29" t="s">
        <v>25</v>
      </c>
      <c r="K4" s="29" t="s">
        <v>26</v>
      </c>
      <c r="L4" s="29" t="s">
        <v>27</v>
      </c>
      <c r="M4" s="29" t="s">
        <v>28</v>
      </c>
      <c r="N4" s="29" t="s">
        <v>29</v>
      </c>
      <c r="O4" s="29" t="s">
        <v>30</v>
      </c>
      <c r="P4" s="29" t="s">
        <v>31</v>
      </c>
      <c r="Q4" s="29" t="s">
        <v>32</v>
      </c>
      <c r="R4" s="29" t="s">
        <v>33</v>
      </c>
      <c r="S4" s="29" t="s">
        <v>34</v>
      </c>
      <c r="T4" s="29" t="s">
        <v>35</v>
      </c>
      <c r="U4" s="29" t="s">
        <v>36</v>
      </c>
      <c r="V4" s="29" t="s">
        <v>37</v>
      </c>
      <c r="W4" s="29" t="s">
        <v>38</v>
      </c>
      <c r="X4" s="29" t="s">
        <v>39</v>
      </c>
      <c r="Y4" s="29" t="s">
        <v>40</v>
      </c>
      <c r="Z4" s="29" t="s">
        <v>41</v>
      </c>
      <c r="AA4" s="29" t="s">
        <v>42</v>
      </c>
      <c r="AB4" s="29" t="s">
        <v>43</v>
      </c>
      <c r="AC4" s="29" t="s">
        <v>44</v>
      </c>
      <c r="AD4" s="29" t="s">
        <v>45</v>
      </c>
      <c r="AE4" s="29" t="s">
        <v>46</v>
      </c>
      <c r="AF4" s="29" t="s">
        <v>47</v>
      </c>
      <c r="AG4" s="29" t="s">
        <v>77</v>
      </c>
      <c r="AH4" s="29" t="s">
        <v>78</v>
      </c>
      <c r="AI4" s="29"/>
    </row>
    <row r="5" spans="1:42" s="8" customFormat="1" ht="40.5" customHeight="1" thickBot="1" x14ac:dyDescent="0.3">
      <c r="A5" s="94" t="s">
        <v>20</v>
      </c>
      <c r="B5" s="27" t="s">
        <v>48</v>
      </c>
      <c r="C5" s="96" t="s">
        <v>49</v>
      </c>
      <c r="D5" s="31">
        <v>163380</v>
      </c>
      <c r="E5" s="31">
        <v>163636</v>
      </c>
      <c r="F5" s="31">
        <v>163874</v>
      </c>
      <c r="G5" s="31">
        <v>164124</v>
      </c>
      <c r="H5" s="31">
        <v>164393</v>
      </c>
      <c r="I5" s="31">
        <v>164676</v>
      </c>
      <c r="J5" s="31">
        <v>164906</v>
      </c>
      <c r="K5" s="31">
        <v>165134</v>
      </c>
      <c r="L5" s="31">
        <v>165364</v>
      </c>
      <c r="M5" s="31">
        <v>165596</v>
      </c>
      <c r="N5" s="31">
        <v>165879</v>
      </c>
      <c r="O5" s="31">
        <v>166128</v>
      </c>
      <c r="P5" s="31">
        <v>166365</v>
      </c>
      <c r="Q5" s="31">
        <v>166579</v>
      </c>
      <c r="R5" s="31">
        <v>166798</v>
      </c>
      <c r="S5" s="31">
        <v>167055</v>
      </c>
      <c r="T5" s="31">
        <v>167286</v>
      </c>
      <c r="U5" s="31">
        <v>167548</v>
      </c>
      <c r="V5" s="31">
        <v>167805</v>
      </c>
      <c r="W5" s="31">
        <v>168028</v>
      </c>
      <c r="X5" s="31">
        <v>168256</v>
      </c>
      <c r="Y5" s="31">
        <v>168530</v>
      </c>
      <c r="Z5" s="31">
        <v>168762</v>
      </c>
      <c r="AA5" s="31">
        <v>168999</v>
      </c>
      <c r="AB5" s="31">
        <v>169220</v>
      </c>
      <c r="AC5" s="31">
        <v>169440</v>
      </c>
      <c r="AD5" s="31">
        <v>169650</v>
      </c>
      <c r="AE5" s="31">
        <v>169886</v>
      </c>
      <c r="AF5" s="31">
        <v>170163</v>
      </c>
      <c r="AG5" s="31">
        <v>170385</v>
      </c>
      <c r="AH5" s="31">
        <v>170611</v>
      </c>
      <c r="AI5" s="31"/>
    </row>
    <row r="6" spans="1:42" s="34" customFormat="1" ht="25.7" customHeight="1" thickBot="1" x14ac:dyDescent="0.3">
      <c r="A6" s="95"/>
      <c r="B6" s="32"/>
      <c r="C6" s="96"/>
      <c r="D6" s="33"/>
      <c r="E6" s="33">
        <f>E5-D5</f>
        <v>256</v>
      </c>
      <c r="F6" s="33">
        <f t="shared" ref="F6:AH6" si="0">F5-E5</f>
        <v>238</v>
      </c>
      <c r="G6" s="33">
        <f t="shared" si="0"/>
        <v>250</v>
      </c>
      <c r="H6" s="33">
        <f t="shared" si="0"/>
        <v>269</v>
      </c>
      <c r="I6" s="33">
        <f t="shared" si="0"/>
        <v>283</v>
      </c>
      <c r="J6" s="33">
        <f t="shared" si="0"/>
        <v>230</v>
      </c>
      <c r="K6" s="33">
        <f t="shared" si="0"/>
        <v>228</v>
      </c>
      <c r="L6" s="33">
        <f t="shared" si="0"/>
        <v>230</v>
      </c>
      <c r="M6" s="33">
        <f t="shared" si="0"/>
        <v>232</v>
      </c>
      <c r="N6" s="33">
        <f t="shared" si="0"/>
        <v>283</v>
      </c>
      <c r="O6" s="33">
        <f t="shared" si="0"/>
        <v>249</v>
      </c>
      <c r="P6" s="33">
        <f t="shared" si="0"/>
        <v>237</v>
      </c>
      <c r="Q6" s="33">
        <f t="shared" si="0"/>
        <v>214</v>
      </c>
      <c r="R6" s="33">
        <f t="shared" si="0"/>
        <v>219</v>
      </c>
      <c r="S6" s="33">
        <f t="shared" si="0"/>
        <v>257</v>
      </c>
      <c r="T6" s="33">
        <f t="shared" si="0"/>
        <v>231</v>
      </c>
      <c r="U6" s="33">
        <f>U5-T5</f>
        <v>262</v>
      </c>
      <c r="V6" s="33">
        <f t="shared" si="0"/>
        <v>257</v>
      </c>
      <c r="W6" s="33">
        <f t="shared" si="0"/>
        <v>223</v>
      </c>
      <c r="X6" s="33">
        <f t="shared" si="0"/>
        <v>228</v>
      </c>
      <c r="Y6" s="33">
        <f t="shared" si="0"/>
        <v>274</v>
      </c>
      <c r="Z6" s="33">
        <f t="shared" si="0"/>
        <v>232</v>
      </c>
      <c r="AA6" s="33">
        <f t="shared" si="0"/>
        <v>237</v>
      </c>
      <c r="AB6" s="33">
        <f t="shared" si="0"/>
        <v>221</v>
      </c>
      <c r="AC6" s="33">
        <f t="shared" si="0"/>
        <v>220</v>
      </c>
      <c r="AD6" s="33">
        <f t="shared" si="0"/>
        <v>210</v>
      </c>
      <c r="AE6" s="33">
        <f t="shared" si="0"/>
        <v>236</v>
      </c>
      <c r="AF6" s="33">
        <f t="shared" si="0"/>
        <v>277</v>
      </c>
      <c r="AG6" s="33">
        <f t="shared" si="0"/>
        <v>222</v>
      </c>
      <c r="AH6" s="33">
        <f t="shared" si="0"/>
        <v>226</v>
      </c>
      <c r="AI6" s="33"/>
      <c r="AJ6" s="8"/>
      <c r="AK6" s="8"/>
      <c r="AL6" s="8"/>
      <c r="AM6" s="8"/>
      <c r="AN6" s="8"/>
      <c r="AO6" s="8"/>
      <c r="AP6" s="8"/>
    </row>
    <row r="7" spans="1:42" s="8" customFormat="1" ht="39.75" customHeight="1" thickBot="1" x14ac:dyDescent="0.3">
      <c r="A7" s="94" t="s">
        <v>22</v>
      </c>
      <c r="B7" s="49" t="s">
        <v>69</v>
      </c>
      <c r="C7" s="96" t="s">
        <v>70</v>
      </c>
      <c r="D7" s="31">
        <v>407967.5</v>
      </c>
      <c r="E7" s="31">
        <v>407994.2</v>
      </c>
      <c r="F7" s="31">
        <v>408013.5</v>
      </c>
      <c r="G7" s="31">
        <v>408043</v>
      </c>
      <c r="H7" s="31">
        <v>408069.4</v>
      </c>
      <c r="I7" s="31">
        <v>408093.1</v>
      </c>
      <c r="J7" s="31">
        <v>408119.2</v>
      </c>
      <c r="K7" s="31">
        <v>408145.7</v>
      </c>
      <c r="L7" s="31">
        <v>408171.5</v>
      </c>
      <c r="M7" s="31">
        <v>408189.8</v>
      </c>
      <c r="N7" s="31">
        <v>408215.9</v>
      </c>
      <c r="O7" s="31">
        <v>408240.2</v>
      </c>
      <c r="P7" s="31">
        <v>408267.1</v>
      </c>
      <c r="Q7" s="31">
        <v>408292.5</v>
      </c>
      <c r="R7" s="31">
        <v>408311.9</v>
      </c>
      <c r="S7" s="31">
        <v>408340</v>
      </c>
      <c r="T7" s="31">
        <v>408359</v>
      </c>
      <c r="U7" s="31">
        <v>408380</v>
      </c>
      <c r="V7" s="31">
        <v>408407</v>
      </c>
      <c r="W7" s="31">
        <v>408425.7</v>
      </c>
      <c r="X7" s="31">
        <v>408445.9</v>
      </c>
      <c r="Y7" s="31">
        <v>408468.7</v>
      </c>
      <c r="Z7" s="31">
        <v>408490.6</v>
      </c>
      <c r="AA7" s="31">
        <v>408507.5</v>
      </c>
      <c r="AB7" s="31">
        <v>408530.5</v>
      </c>
      <c r="AC7" s="31">
        <v>408555.9</v>
      </c>
      <c r="AD7" s="31">
        <v>408580.8</v>
      </c>
      <c r="AE7" s="31">
        <v>408603.9</v>
      </c>
      <c r="AF7" s="31">
        <v>408625.6</v>
      </c>
      <c r="AG7" s="31">
        <v>408647</v>
      </c>
      <c r="AH7" s="31">
        <v>408662.6</v>
      </c>
      <c r="AI7" s="31"/>
    </row>
    <row r="8" spans="1:42" s="34" customFormat="1" ht="25.7" customHeight="1" thickBot="1" x14ac:dyDescent="0.3">
      <c r="A8" s="95"/>
      <c r="B8" s="47"/>
      <c r="C8" s="96"/>
      <c r="D8" s="33"/>
      <c r="E8" s="33">
        <f>E7-D7</f>
        <v>26.700000000011642</v>
      </c>
      <c r="F8" s="33">
        <f t="shared" ref="F8:AH8" si="1">F7-E7</f>
        <v>19.299999999988358</v>
      </c>
      <c r="G8" s="33">
        <f t="shared" si="1"/>
        <v>29.5</v>
      </c>
      <c r="H8" s="33">
        <f t="shared" si="1"/>
        <v>26.400000000023283</v>
      </c>
      <c r="I8" s="33">
        <f t="shared" si="1"/>
        <v>23.699999999953434</v>
      </c>
      <c r="J8" s="33">
        <f t="shared" si="1"/>
        <v>26.100000000034925</v>
      </c>
      <c r="K8" s="33">
        <f t="shared" si="1"/>
        <v>26.5</v>
      </c>
      <c r="L8" s="33">
        <f t="shared" si="1"/>
        <v>25.799999999988358</v>
      </c>
      <c r="M8" s="33">
        <f t="shared" si="1"/>
        <v>18.299999999988358</v>
      </c>
      <c r="N8" s="33">
        <f t="shared" si="1"/>
        <v>26.100000000034925</v>
      </c>
      <c r="O8" s="33">
        <f t="shared" si="1"/>
        <v>24.299999999988358</v>
      </c>
      <c r="P8" s="33">
        <f t="shared" si="1"/>
        <v>26.899999999965075</v>
      </c>
      <c r="Q8" s="33">
        <f t="shared" si="1"/>
        <v>25.400000000023283</v>
      </c>
      <c r="R8" s="33">
        <f t="shared" si="1"/>
        <v>19.400000000023283</v>
      </c>
      <c r="S8" s="33">
        <f t="shared" si="1"/>
        <v>28.099999999976717</v>
      </c>
      <c r="T8" s="33">
        <f t="shared" si="1"/>
        <v>19</v>
      </c>
      <c r="U8" s="33">
        <f t="shared" si="1"/>
        <v>21</v>
      </c>
      <c r="V8" s="33">
        <f t="shared" si="1"/>
        <v>27</v>
      </c>
      <c r="W8" s="33">
        <f t="shared" si="1"/>
        <v>18.700000000011642</v>
      </c>
      <c r="X8" s="33">
        <f t="shared" si="1"/>
        <v>20.200000000011642</v>
      </c>
      <c r="Y8" s="33">
        <f>Y7-X7</f>
        <v>22.799999999988358</v>
      </c>
      <c r="Z8" s="33">
        <f t="shared" si="1"/>
        <v>21.899999999965075</v>
      </c>
      <c r="AA8" s="33">
        <f t="shared" si="1"/>
        <v>16.900000000023283</v>
      </c>
      <c r="AB8" s="33">
        <f t="shared" si="1"/>
        <v>23</v>
      </c>
      <c r="AC8" s="33">
        <f t="shared" si="1"/>
        <v>25.400000000023283</v>
      </c>
      <c r="AD8" s="33">
        <f t="shared" si="1"/>
        <v>24.899999999965075</v>
      </c>
      <c r="AE8" s="33">
        <f t="shared" si="1"/>
        <v>23.100000000034925</v>
      </c>
      <c r="AF8" s="33">
        <f t="shared" si="1"/>
        <v>21.699999999953434</v>
      </c>
      <c r="AG8" s="33">
        <f t="shared" si="1"/>
        <v>21.400000000023283</v>
      </c>
      <c r="AH8" s="33">
        <f t="shared" si="1"/>
        <v>15.599999999976717</v>
      </c>
      <c r="AI8" s="33"/>
      <c r="AJ8" s="8"/>
      <c r="AK8" s="8"/>
      <c r="AL8" s="8"/>
      <c r="AM8" s="8"/>
      <c r="AN8" s="8"/>
      <c r="AO8" s="8"/>
      <c r="AP8" s="8"/>
    </row>
    <row r="9" spans="1:42" s="8" customFormat="1" ht="25.7" customHeight="1" thickBot="1" x14ac:dyDescent="0.3">
      <c r="A9" s="94">
        <v>4</v>
      </c>
      <c r="B9" s="46" t="s">
        <v>67</v>
      </c>
      <c r="C9" s="96" t="s">
        <v>68</v>
      </c>
      <c r="D9" s="31">
        <v>24455</v>
      </c>
      <c r="E9" s="31">
        <v>24602</v>
      </c>
      <c r="F9" s="31">
        <v>24613</v>
      </c>
      <c r="G9" s="31">
        <v>24782</v>
      </c>
      <c r="H9" s="31">
        <v>24920</v>
      </c>
      <c r="I9" s="31">
        <v>25033</v>
      </c>
      <c r="J9" s="31">
        <v>25154</v>
      </c>
      <c r="K9" s="31">
        <v>25270</v>
      </c>
      <c r="L9" s="31">
        <v>25421</v>
      </c>
      <c r="M9" s="31">
        <v>25421</v>
      </c>
      <c r="N9" s="31">
        <v>25589</v>
      </c>
      <c r="O9" s="31">
        <v>25703</v>
      </c>
      <c r="P9" s="31">
        <v>25834</v>
      </c>
      <c r="Q9" s="31">
        <v>25956</v>
      </c>
      <c r="R9" s="31">
        <v>25956</v>
      </c>
      <c r="S9" s="31">
        <v>26127</v>
      </c>
      <c r="T9" s="31">
        <v>26201</v>
      </c>
      <c r="U9" s="31">
        <v>26286</v>
      </c>
      <c r="V9" s="31">
        <v>26447</v>
      </c>
      <c r="W9" s="31">
        <v>26476</v>
      </c>
      <c r="X9" s="31">
        <v>26564</v>
      </c>
      <c r="Y9" s="31">
        <v>26672</v>
      </c>
      <c r="Z9" s="31">
        <v>26793</v>
      </c>
      <c r="AA9" s="31">
        <v>26798</v>
      </c>
      <c r="AB9" s="31">
        <v>26922</v>
      </c>
      <c r="AC9" s="31">
        <v>27061</v>
      </c>
      <c r="AD9" s="31">
        <v>27181</v>
      </c>
      <c r="AE9" s="31">
        <v>27279</v>
      </c>
      <c r="AF9" s="31">
        <v>27383</v>
      </c>
      <c r="AG9" s="31">
        <v>27478</v>
      </c>
      <c r="AH9" s="31">
        <v>27483</v>
      </c>
      <c r="AI9" s="31"/>
    </row>
    <row r="10" spans="1:42" s="34" customFormat="1" ht="25.7" customHeight="1" thickBot="1" x14ac:dyDescent="0.3">
      <c r="A10" s="95"/>
      <c r="B10" s="47"/>
      <c r="C10" s="96"/>
      <c r="D10" s="33"/>
      <c r="E10" s="33">
        <f t="shared" ref="E10:AH10" si="2">E9-D9</f>
        <v>147</v>
      </c>
      <c r="F10" s="33">
        <f t="shared" si="2"/>
        <v>11</v>
      </c>
      <c r="G10" s="33">
        <f t="shared" si="2"/>
        <v>169</v>
      </c>
      <c r="H10" s="33">
        <f t="shared" si="2"/>
        <v>138</v>
      </c>
      <c r="I10" s="33">
        <f t="shared" si="2"/>
        <v>113</v>
      </c>
      <c r="J10" s="33">
        <f t="shared" si="2"/>
        <v>121</v>
      </c>
      <c r="K10" s="33">
        <f t="shared" si="2"/>
        <v>116</v>
      </c>
      <c r="L10" s="33">
        <f t="shared" si="2"/>
        <v>151</v>
      </c>
      <c r="M10" s="33">
        <f t="shared" si="2"/>
        <v>0</v>
      </c>
      <c r="N10" s="33">
        <f t="shared" si="2"/>
        <v>168</v>
      </c>
      <c r="O10" s="33">
        <f t="shared" si="2"/>
        <v>114</v>
      </c>
      <c r="P10" s="33">
        <f t="shared" si="2"/>
        <v>131</v>
      </c>
      <c r="Q10" s="33">
        <f t="shared" si="2"/>
        <v>122</v>
      </c>
      <c r="R10" s="33">
        <f t="shared" si="2"/>
        <v>0</v>
      </c>
      <c r="S10" s="33">
        <f t="shared" si="2"/>
        <v>171</v>
      </c>
      <c r="T10" s="33">
        <f t="shared" si="2"/>
        <v>74</v>
      </c>
      <c r="U10" s="33">
        <f t="shared" si="2"/>
        <v>85</v>
      </c>
      <c r="V10" s="33">
        <f t="shared" si="2"/>
        <v>161</v>
      </c>
      <c r="W10" s="33">
        <f t="shared" si="2"/>
        <v>29</v>
      </c>
      <c r="X10" s="33">
        <f t="shared" si="2"/>
        <v>88</v>
      </c>
      <c r="Y10" s="33">
        <f t="shared" si="2"/>
        <v>108</v>
      </c>
      <c r="Z10" s="33">
        <f t="shared" si="2"/>
        <v>121</v>
      </c>
      <c r="AA10" s="33">
        <f t="shared" si="2"/>
        <v>5</v>
      </c>
      <c r="AB10" s="33">
        <f t="shared" si="2"/>
        <v>124</v>
      </c>
      <c r="AC10" s="33">
        <f t="shared" si="2"/>
        <v>139</v>
      </c>
      <c r="AD10" s="33">
        <f t="shared" si="2"/>
        <v>120</v>
      </c>
      <c r="AE10" s="33">
        <f t="shared" si="2"/>
        <v>98</v>
      </c>
      <c r="AF10" s="33">
        <f t="shared" si="2"/>
        <v>104</v>
      </c>
      <c r="AG10" s="33">
        <f t="shared" si="2"/>
        <v>95</v>
      </c>
      <c r="AH10" s="33">
        <f t="shared" si="2"/>
        <v>5</v>
      </c>
      <c r="AI10" s="33"/>
      <c r="AJ10" s="8"/>
      <c r="AK10" s="8"/>
      <c r="AL10" s="8"/>
      <c r="AM10" s="8"/>
      <c r="AN10" s="8"/>
      <c r="AO10" s="8"/>
      <c r="AP10" s="8"/>
    </row>
    <row r="11" spans="1:42" s="8" customFormat="1" ht="25.7" customHeight="1" thickBot="1" x14ac:dyDescent="0.3">
      <c r="A11" s="97">
        <v>5</v>
      </c>
      <c r="B11" s="27">
        <v>68864837</v>
      </c>
      <c r="C11" s="96" t="s">
        <v>74</v>
      </c>
      <c r="D11" s="31">
        <v>2298.8209999999999</v>
      </c>
      <c r="E11" s="31">
        <v>2301.252</v>
      </c>
      <c r="F11" s="31">
        <v>2303.8319999999999</v>
      </c>
      <c r="G11" s="31">
        <v>2306.0050000000001</v>
      </c>
      <c r="H11" s="31">
        <v>2307.9299999999998</v>
      </c>
      <c r="I11" s="31">
        <v>2309.8739999999998</v>
      </c>
      <c r="J11" s="31">
        <v>2311.7649999999999</v>
      </c>
      <c r="K11" s="31">
        <v>2312.944</v>
      </c>
      <c r="L11" s="31">
        <v>2314.6210000000001</v>
      </c>
      <c r="M11" s="31">
        <v>2314.6210000000001</v>
      </c>
      <c r="N11" s="31">
        <v>2318.5360000000001</v>
      </c>
      <c r="O11" s="31">
        <v>2320.2310000000002</v>
      </c>
      <c r="P11" s="31">
        <v>2321.9140000000002</v>
      </c>
      <c r="Q11" s="31">
        <v>2323.3919999999998</v>
      </c>
      <c r="R11" s="31">
        <v>2326.3679999999999</v>
      </c>
      <c r="S11" s="31">
        <v>2326.7049999999999</v>
      </c>
      <c r="T11" s="31">
        <v>2327.951</v>
      </c>
      <c r="U11" s="31">
        <v>2329.1120000000001</v>
      </c>
      <c r="V11" s="31">
        <v>2330.3359999999998</v>
      </c>
      <c r="W11" s="31">
        <v>2331.5149999999999</v>
      </c>
      <c r="X11" s="31">
        <v>2333.1689999999999</v>
      </c>
      <c r="Y11" s="31">
        <v>2334.4969999999998</v>
      </c>
      <c r="Z11" s="31">
        <v>2335.7370000000001</v>
      </c>
      <c r="AA11" s="31">
        <v>2336.8389999999999</v>
      </c>
      <c r="AB11" s="31">
        <v>2337.1590000000001</v>
      </c>
      <c r="AC11" s="31">
        <v>2339.902</v>
      </c>
      <c r="AD11" s="31">
        <v>2341.4160000000002</v>
      </c>
      <c r="AE11" s="31">
        <v>2342.6439999999998</v>
      </c>
      <c r="AF11" s="31">
        <v>2344.0549999999998</v>
      </c>
      <c r="AG11" s="31">
        <v>2347.7289999999998</v>
      </c>
      <c r="AH11" s="31">
        <v>2349.7979999999998</v>
      </c>
      <c r="AI11" s="31"/>
    </row>
    <row r="12" spans="1:42" s="8" customFormat="1" ht="25.7" customHeight="1" thickBot="1" x14ac:dyDescent="0.3">
      <c r="A12" s="98"/>
      <c r="B12" s="48"/>
      <c r="C12" s="96"/>
      <c r="D12" s="33"/>
      <c r="E12" s="33">
        <f>E11-D11</f>
        <v>2.43100000000004</v>
      </c>
      <c r="F12" s="33">
        <f t="shared" ref="F12:AH12" si="3">F11-E11</f>
        <v>2.5799999999999272</v>
      </c>
      <c r="G12" s="33">
        <f t="shared" si="3"/>
        <v>2.1730000000002292</v>
      </c>
      <c r="H12" s="33">
        <f t="shared" si="3"/>
        <v>1.9249999999997272</v>
      </c>
      <c r="I12" s="33">
        <f t="shared" si="3"/>
        <v>1.94399999999996</v>
      </c>
      <c r="J12" s="33">
        <f t="shared" si="3"/>
        <v>1.8910000000000764</v>
      </c>
      <c r="K12" s="33">
        <f t="shared" si="3"/>
        <v>1.1790000000000873</v>
      </c>
      <c r="L12" s="33">
        <f t="shared" si="3"/>
        <v>1.6770000000001346</v>
      </c>
      <c r="M12" s="33">
        <f t="shared" si="3"/>
        <v>0</v>
      </c>
      <c r="N12" s="33">
        <f t="shared" si="3"/>
        <v>3.9149999999999636</v>
      </c>
      <c r="O12" s="33">
        <f t="shared" si="3"/>
        <v>1.6950000000001637</v>
      </c>
      <c r="P12" s="33">
        <f t="shared" si="3"/>
        <v>1.6829999999999927</v>
      </c>
      <c r="Q12" s="33">
        <f t="shared" si="3"/>
        <v>1.4779999999996107</v>
      </c>
      <c r="R12" s="33">
        <f t="shared" si="3"/>
        <v>2.9760000000001128</v>
      </c>
      <c r="S12" s="33">
        <f t="shared" si="3"/>
        <v>0.33699999999998909</v>
      </c>
      <c r="T12" s="33">
        <f t="shared" si="3"/>
        <v>1.2460000000000946</v>
      </c>
      <c r="U12" s="33">
        <f t="shared" si="3"/>
        <v>1.1610000000000582</v>
      </c>
      <c r="V12" s="33">
        <f t="shared" si="3"/>
        <v>1.2239999999997053</v>
      </c>
      <c r="W12" s="33">
        <f t="shared" si="3"/>
        <v>1.1790000000000873</v>
      </c>
      <c r="X12" s="33">
        <f t="shared" si="3"/>
        <v>1.6539999999999964</v>
      </c>
      <c r="Y12" s="33">
        <f t="shared" si="3"/>
        <v>1.3279999999999745</v>
      </c>
      <c r="Z12" s="33">
        <f t="shared" si="3"/>
        <v>1.2400000000002365</v>
      </c>
      <c r="AA12" s="33">
        <f t="shared" si="3"/>
        <v>1.1019999999998618</v>
      </c>
      <c r="AB12" s="33">
        <f t="shared" si="3"/>
        <v>0.32000000000016371</v>
      </c>
      <c r="AC12" s="33">
        <f t="shared" si="3"/>
        <v>2.7429999999999382</v>
      </c>
      <c r="AD12" s="33">
        <f t="shared" si="3"/>
        <v>1.5140000000001237</v>
      </c>
      <c r="AE12" s="33">
        <f t="shared" si="3"/>
        <v>1.2279999999996107</v>
      </c>
      <c r="AF12" s="33">
        <f t="shared" si="3"/>
        <v>1.4110000000000582</v>
      </c>
      <c r="AG12" s="33">
        <f t="shared" si="3"/>
        <v>3.6739999999999782</v>
      </c>
      <c r="AH12" s="33">
        <f t="shared" si="3"/>
        <v>2.06899999999996</v>
      </c>
      <c r="AI12" s="33"/>
    </row>
    <row r="13" spans="1:42" s="8" customFormat="1" ht="25.7" customHeight="1" thickBot="1" x14ac:dyDescent="0.3">
      <c r="A13" s="97">
        <v>6</v>
      </c>
      <c r="B13" s="27">
        <v>65296485</v>
      </c>
      <c r="C13" s="96" t="s">
        <v>73</v>
      </c>
      <c r="D13" s="31">
        <v>2906.88</v>
      </c>
      <c r="E13" s="31">
        <v>2907.1010000000001</v>
      </c>
      <c r="F13" s="31">
        <v>2911.2959999999998</v>
      </c>
      <c r="G13" s="31">
        <v>2914.5189999999998</v>
      </c>
      <c r="H13" s="31">
        <v>2918.1469999999999</v>
      </c>
      <c r="I13" s="31">
        <v>2921.491</v>
      </c>
      <c r="J13" s="31">
        <v>2924.9760000000001</v>
      </c>
      <c r="K13" s="31">
        <v>2926.2730000000001</v>
      </c>
      <c r="L13" s="31">
        <v>2927.5360000000001</v>
      </c>
      <c r="M13" s="31">
        <v>2927.5360000000001</v>
      </c>
      <c r="N13" s="31">
        <v>2935.9479999999999</v>
      </c>
      <c r="O13" s="31">
        <v>2938.1689999999999</v>
      </c>
      <c r="P13" s="31">
        <v>2939.8270000000002</v>
      </c>
      <c r="Q13" s="31">
        <v>2941.96</v>
      </c>
      <c r="R13" s="31">
        <v>2945.5859999999998</v>
      </c>
      <c r="S13" s="31">
        <v>2946.4659999999999</v>
      </c>
      <c r="T13" s="31">
        <v>2950.2240000000002</v>
      </c>
      <c r="U13" s="31">
        <v>2954.2049999999999</v>
      </c>
      <c r="V13" s="31">
        <v>2956.8879999999999</v>
      </c>
      <c r="W13" s="31">
        <v>2958.4740000000002</v>
      </c>
      <c r="X13" s="31">
        <v>2959.8</v>
      </c>
      <c r="Y13" s="31">
        <v>2961.953</v>
      </c>
      <c r="Z13" s="31">
        <v>2964.2550000000001</v>
      </c>
      <c r="AA13" s="31">
        <v>2966.877</v>
      </c>
      <c r="AB13" s="31">
        <v>2969.4679999999998</v>
      </c>
      <c r="AC13" s="31">
        <v>2972.2890000000002</v>
      </c>
      <c r="AD13" s="31">
        <v>2975.1469999999999</v>
      </c>
      <c r="AE13" s="31">
        <v>2976.4009999999998</v>
      </c>
      <c r="AF13" s="31">
        <v>2977.5010000000002</v>
      </c>
      <c r="AG13" s="31">
        <v>2979.0369999999998</v>
      </c>
      <c r="AH13" s="31">
        <v>2980.3130000000001</v>
      </c>
      <c r="AI13" s="31"/>
    </row>
    <row r="14" spans="1:42" s="8" customFormat="1" ht="25.7" customHeight="1" thickBot="1" x14ac:dyDescent="0.3">
      <c r="A14" s="98"/>
      <c r="B14" s="48"/>
      <c r="C14" s="96"/>
      <c r="D14" s="33"/>
      <c r="E14" s="33">
        <f>E13-D13</f>
        <v>0.22100000000000364</v>
      </c>
      <c r="F14" s="33">
        <f t="shared" ref="F14:AH14" si="4">F13-E13</f>
        <v>4.194999999999709</v>
      </c>
      <c r="G14" s="33">
        <f t="shared" si="4"/>
        <v>3.2229999999999563</v>
      </c>
      <c r="H14" s="33">
        <f t="shared" si="4"/>
        <v>3.6280000000001564</v>
      </c>
      <c r="I14" s="33">
        <f t="shared" si="4"/>
        <v>3.3440000000000509</v>
      </c>
      <c r="J14" s="33">
        <f t="shared" si="4"/>
        <v>3.4850000000001273</v>
      </c>
      <c r="K14" s="33">
        <f t="shared" si="4"/>
        <v>1.2970000000000255</v>
      </c>
      <c r="L14" s="33">
        <f t="shared" si="4"/>
        <v>1.26299999999992</v>
      </c>
      <c r="M14" s="33">
        <f t="shared" si="4"/>
        <v>0</v>
      </c>
      <c r="N14" s="33">
        <f t="shared" si="4"/>
        <v>8.4119999999998072</v>
      </c>
      <c r="O14" s="33">
        <f t="shared" si="4"/>
        <v>2.2210000000000036</v>
      </c>
      <c r="P14" s="33">
        <f t="shared" si="4"/>
        <v>1.6580000000003565</v>
      </c>
      <c r="Q14" s="33">
        <f t="shared" si="4"/>
        <v>2.1329999999998108</v>
      </c>
      <c r="R14" s="33">
        <f t="shared" si="4"/>
        <v>3.625999999999749</v>
      </c>
      <c r="S14" s="33">
        <f t="shared" si="4"/>
        <v>0.88000000000010914</v>
      </c>
      <c r="T14" s="33">
        <f t="shared" si="4"/>
        <v>3.7580000000002656</v>
      </c>
      <c r="U14" s="33">
        <f t="shared" si="4"/>
        <v>3.9809999999997672</v>
      </c>
      <c r="V14" s="33">
        <f t="shared" si="4"/>
        <v>2.6829999999999927</v>
      </c>
      <c r="W14" s="33">
        <f t="shared" si="4"/>
        <v>1.5860000000002401</v>
      </c>
      <c r="X14" s="33">
        <f t="shared" si="4"/>
        <v>1.3260000000000218</v>
      </c>
      <c r="Y14" s="33">
        <f t="shared" si="4"/>
        <v>2.1529999999997926</v>
      </c>
      <c r="Z14" s="33">
        <f t="shared" si="4"/>
        <v>2.3020000000001346</v>
      </c>
      <c r="AA14" s="33">
        <f t="shared" si="4"/>
        <v>2.6219999999998436</v>
      </c>
      <c r="AB14" s="33">
        <f t="shared" si="4"/>
        <v>2.5909999999998945</v>
      </c>
      <c r="AC14" s="33">
        <f t="shared" si="4"/>
        <v>2.8210000000003674</v>
      </c>
      <c r="AD14" s="33">
        <f t="shared" si="4"/>
        <v>2.8579999999997199</v>
      </c>
      <c r="AE14" s="33">
        <f t="shared" si="4"/>
        <v>1.2539999999999054</v>
      </c>
      <c r="AF14" s="33">
        <f t="shared" si="4"/>
        <v>1.1000000000003638</v>
      </c>
      <c r="AG14" s="33">
        <f t="shared" si="4"/>
        <v>1.5359999999996035</v>
      </c>
      <c r="AH14" s="33">
        <f t="shared" si="4"/>
        <v>1.2760000000002947</v>
      </c>
      <c r="AI14" s="33"/>
      <c r="AJ14" s="2"/>
      <c r="AK14" s="2"/>
      <c r="AL14" s="2"/>
      <c r="AM14" s="2"/>
      <c r="AN14" s="2"/>
      <c r="AO14" s="2"/>
      <c r="AP14" s="2"/>
    </row>
    <row r="15" spans="1:42" ht="33" customHeight="1" x14ac:dyDescent="0.25">
      <c r="B15" s="90" t="s">
        <v>71</v>
      </c>
      <c r="C15" s="90"/>
      <c r="D15" s="50"/>
      <c r="E15" s="60">
        <f>E6+((E8*45%)+(E10*45%)+(E12+E14))</f>
        <v>336.81700000000529</v>
      </c>
      <c r="F15" s="60">
        <f t="shared" ref="F15:AI15" si="5">F6+((F8*45%)+(F10*45%)+(F12+F14))</f>
        <v>258.4099999999944</v>
      </c>
      <c r="G15" s="60">
        <f t="shared" si="5"/>
        <v>344.72100000000017</v>
      </c>
      <c r="H15" s="60">
        <f t="shared" si="5"/>
        <v>348.53300000001036</v>
      </c>
      <c r="I15" s="60">
        <f t="shared" si="5"/>
        <v>349.80299999997908</v>
      </c>
      <c r="J15" s="60">
        <f t="shared" si="5"/>
        <v>301.57100000001594</v>
      </c>
      <c r="K15" s="60">
        <f t="shared" si="5"/>
        <v>294.60100000000011</v>
      </c>
      <c r="L15" s="60">
        <f t="shared" si="5"/>
        <v>312.49999999999483</v>
      </c>
      <c r="M15" s="60">
        <f t="shared" si="5"/>
        <v>240.23499999999476</v>
      </c>
      <c r="N15" s="60">
        <f t="shared" si="5"/>
        <v>382.67200000001549</v>
      </c>
      <c r="O15" s="60">
        <f t="shared" si="5"/>
        <v>315.15099999999495</v>
      </c>
      <c r="P15" s="60">
        <f t="shared" si="5"/>
        <v>311.39599999998461</v>
      </c>
      <c r="Q15" s="60">
        <f t="shared" si="5"/>
        <v>283.94100000000992</v>
      </c>
      <c r="R15" s="60">
        <f t="shared" si="5"/>
        <v>234.33200000001034</v>
      </c>
      <c r="S15" s="60">
        <f t="shared" si="5"/>
        <v>347.81199999998961</v>
      </c>
      <c r="T15" s="60">
        <f t="shared" si="5"/>
        <v>277.85400000000038</v>
      </c>
      <c r="U15" s="60">
        <f t="shared" si="5"/>
        <v>314.84199999999981</v>
      </c>
      <c r="V15" s="60">
        <f t="shared" si="5"/>
        <v>345.50699999999972</v>
      </c>
      <c r="W15" s="60">
        <f t="shared" si="5"/>
        <v>247.23000000000556</v>
      </c>
      <c r="X15" s="60">
        <f t="shared" si="5"/>
        <v>279.67000000000525</v>
      </c>
      <c r="Y15" s="60">
        <f t="shared" si="5"/>
        <v>336.34099999999455</v>
      </c>
      <c r="Z15" s="60">
        <f t="shared" si="5"/>
        <v>299.84699999998463</v>
      </c>
      <c r="AA15" s="60">
        <f t="shared" si="5"/>
        <v>250.57900000001018</v>
      </c>
      <c r="AB15" s="60">
        <f t="shared" si="5"/>
        <v>290.06100000000004</v>
      </c>
      <c r="AC15" s="60">
        <f t="shared" si="5"/>
        <v>299.54400000001078</v>
      </c>
      <c r="AD15" s="60">
        <f t="shared" si="5"/>
        <v>279.57699999998414</v>
      </c>
      <c r="AE15" s="60">
        <f t="shared" si="5"/>
        <v>292.97700000001521</v>
      </c>
      <c r="AF15" s="60">
        <f t="shared" si="5"/>
        <v>336.07599999997944</v>
      </c>
      <c r="AG15" s="60">
        <f t="shared" si="5"/>
        <v>279.59000000001004</v>
      </c>
      <c r="AH15" s="60">
        <f t="shared" si="5"/>
        <v>238.61499999998978</v>
      </c>
      <c r="AI15" s="60">
        <f t="shared" si="5"/>
        <v>0</v>
      </c>
    </row>
    <row r="16" spans="1:42" ht="33" customHeight="1" x14ac:dyDescent="0.25">
      <c r="B16" s="89" t="s">
        <v>72</v>
      </c>
      <c r="C16" s="89"/>
      <c r="D16" s="50"/>
      <c r="E16" s="60">
        <f>SUM(E15:AI15)</f>
        <v>9030.8049999999894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</row>
    <row r="17" spans="2:5" ht="70.5" customHeight="1" x14ac:dyDescent="0.25">
      <c r="B17" s="8" t="s">
        <v>87</v>
      </c>
      <c r="E17" s="8">
        <v>10488.37</v>
      </c>
    </row>
    <row r="21" spans="2:5" s="2" customFormat="1" ht="70.5" customHeight="1" x14ac:dyDescent="0.25"/>
    <row r="22" spans="2:5" s="2" customFormat="1" ht="70.5" customHeight="1" x14ac:dyDescent="0.25"/>
    <row r="23" spans="2:5" s="2" customFormat="1" ht="70.5" customHeight="1" x14ac:dyDescent="0.25"/>
    <row r="24" spans="2:5" s="2" customFormat="1" ht="70.5" customHeight="1" x14ac:dyDescent="0.25"/>
    <row r="25" spans="2:5" s="2" customFormat="1" ht="70.5" customHeight="1" x14ac:dyDescent="0.25"/>
    <row r="26" spans="2:5" s="2" customFormat="1" ht="70.5" customHeight="1" x14ac:dyDescent="0.25"/>
    <row r="27" spans="2:5" s="2" customFormat="1" ht="70.5" customHeight="1" x14ac:dyDescent="0.25"/>
    <row r="28" spans="2:5" s="2" customFormat="1" ht="70.5" customHeight="1" x14ac:dyDescent="0.25"/>
    <row r="29" spans="2:5" s="2" customFormat="1" ht="70.5" customHeight="1" x14ac:dyDescent="0.25"/>
  </sheetData>
  <mergeCells count="14">
    <mergeCell ref="B16:C16"/>
    <mergeCell ref="B15:C15"/>
    <mergeCell ref="B2:AI2"/>
    <mergeCell ref="B3:AI3"/>
    <mergeCell ref="A5:A6"/>
    <mergeCell ref="C5:C6"/>
    <mergeCell ref="A9:A10"/>
    <mergeCell ref="C9:C10"/>
    <mergeCell ref="A11:A12"/>
    <mergeCell ref="C11:C12"/>
    <mergeCell ref="A13:A14"/>
    <mergeCell ref="C13:C14"/>
    <mergeCell ref="A7:A8"/>
    <mergeCell ref="C7:C8"/>
  </mergeCells>
  <phoneticPr fontId="29" type="noConversion"/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5B19-7E3F-48ED-B7AD-3E9E86FFAF8F}">
  <dimension ref="A1:C34"/>
  <sheetViews>
    <sheetView topLeftCell="A13" zoomScaleNormal="100" workbookViewId="0">
      <selection activeCell="C32" sqref="C32"/>
    </sheetView>
  </sheetViews>
  <sheetFormatPr defaultRowHeight="15" x14ac:dyDescent="0.25"/>
  <cols>
    <col min="1" max="1" width="12.7109375" customWidth="1"/>
    <col min="2" max="2" width="17.42578125" customWidth="1"/>
    <col min="3" max="3" width="18" customWidth="1"/>
  </cols>
  <sheetData>
    <row r="1" spans="1:3" ht="35.25" customHeight="1" x14ac:dyDescent="0.25">
      <c r="A1" s="99" t="s">
        <v>86</v>
      </c>
      <c r="B1" s="99"/>
      <c r="C1" s="99"/>
    </row>
    <row r="2" spans="1:3" ht="24.95" customHeight="1" x14ac:dyDescent="0.25">
      <c r="A2" s="62" t="s">
        <v>81</v>
      </c>
      <c r="B2" s="62" t="s">
        <v>79</v>
      </c>
      <c r="C2" s="62" t="s">
        <v>80</v>
      </c>
    </row>
    <row r="3" spans="1:3" ht="24.95" customHeight="1" x14ac:dyDescent="0.25">
      <c r="A3" s="63">
        <v>45597</v>
      </c>
      <c r="B3" s="64">
        <v>489</v>
      </c>
      <c r="C3" s="64">
        <v>710</v>
      </c>
    </row>
    <row r="4" spans="1:3" ht="24.95" customHeight="1" x14ac:dyDescent="0.25">
      <c r="A4" s="63">
        <v>45598</v>
      </c>
      <c r="B4" s="64">
        <v>457</v>
      </c>
      <c r="C4" s="64">
        <v>633</v>
      </c>
    </row>
    <row r="5" spans="1:3" ht="24.95" customHeight="1" x14ac:dyDescent="0.25">
      <c r="A5" s="63">
        <v>45599</v>
      </c>
      <c r="B5" s="64">
        <v>471</v>
      </c>
      <c r="C5" s="64">
        <v>590</v>
      </c>
    </row>
    <row r="6" spans="1:3" ht="24.95" customHeight="1" x14ac:dyDescent="0.25">
      <c r="A6" s="63">
        <v>45600</v>
      </c>
      <c r="B6" s="64">
        <v>485</v>
      </c>
      <c r="C6" s="64">
        <v>616</v>
      </c>
    </row>
    <row r="7" spans="1:3" ht="24.95" customHeight="1" x14ac:dyDescent="0.25">
      <c r="A7" s="63">
        <v>45601</v>
      </c>
      <c r="B7" s="64">
        <v>489</v>
      </c>
      <c r="C7" s="64">
        <v>621</v>
      </c>
    </row>
    <row r="8" spans="1:3" ht="24.95" customHeight="1" x14ac:dyDescent="0.25">
      <c r="A8" s="63">
        <v>45602</v>
      </c>
      <c r="B8" s="64">
        <v>484</v>
      </c>
      <c r="C8" s="64">
        <v>621</v>
      </c>
    </row>
    <row r="9" spans="1:3" ht="24.95" customHeight="1" x14ac:dyDescent="0.25">
      <c r="A9" s="63">
        <v>45603</v>
      </c>
      <c r="B9" s="64">
        <v>465</v>
      </c>
      <c r="C9" s="64">
        <v>618</v>
      </c>
    </row>
    <row r="10" spans="1:3" ht="24.95" customHeight="1" x14ac:dyDescent="0.25">
      <c r="A10" s="63">
        <v>45604</v>
      </c>
      <c r="B10" s="64">
        <v>483</v>
      </c>
      <c r="C10" s="64">
        <v>704</v>
      </c>
    </row>
    <row r="11" spans="1:3" ht="24.95" customHeight="1" x14ac:dyDescent="0.25">
      <c r="A11" s="63">
        <v>45605</v>
      </c>
      <c r="B11" s="64">
        <v>486</v>
      </c>
      <c r="C11" s="64">
        <v>715</v>
      </c>
    </row>
    <row r="12" spans="1:3" ht="24.95" customHeight="1" x14ac:dyDescent="0.25">
      <c r="A12" s="63">
        <v>45606</v>
      </c>
      <c r="B12" s="64">
        <v>444</v>
      </c>
      <c r="C12" s="64">
        <v>592</v>
      </c>
    </row>
    <row r="13" spans="1:3" ht="24.95" customHeight="1" x14ac:dyDescent="0.25">
      <c r="A13" s="63">
        <v>45607</v>
      </c>
      <c r="B13" s="64">
        <v>475</v>
      </c>
      <c r="C13" s="64">
        <v>630</v>
      </c>
    </row>
    <row r="14" spans="1:3" ht="24.95" customHeight="1" x14ac:dyDescent="0.25">
      <c r="A14" s="63">
        <v>45608</v>
      </c>
      <c r="B14" s="64">
        <v>488</v>
      </c>
      <c r="C14" s="64">
        <v>649</v>
      </c>
    </row>
    <row r="15" spans="1:3" ht="24.95" customHeight="1" x14ac:dyDescent="0.25">
      <c r="A15" s="63">
        <v>45609</v>
      </c>
      <c r="B15" s="64">
        <v>483</v>
      </c>
      <c r="C15" s="64">
        <v>621</v>
      </c>
    </row>
    <row r="16" spans="1:3" ht="24.95" customHeight="1" x14ac:dyDescent="0.25">
      <c r="A16" s="63">
        <v>45610</v>
      </c>
      <c r="B16" s="64">
        <v>465</v>
      </c>
      <c r="C16" s="64">
        <v>619</v>
      </c>
    </row>
    <row r="17" spans="1:3" ht="24.95" customHeight="1" x14ac:dyDescent="0.25">
      <c r="A17" s="63">
        <v>45611</v>
      </c>
      <c r="B17" s="64">
        <v>462</v>
      </c>
      <c r="C17" s="64">
        <v>639</v>
      </c>
    </row>
    <row r="18" spans="1:3" ht="24.95" customHeight="1" x14ac:dyDescent="0.25">
      <c r="A18" s="63">
        <v>45612</v>
      </c>
      <c r="B18" s="64">
        <v>479</v>
      </c>
      <c r="C18" s="64">
        <v>661</v>
      </c>
    </row>
    <row r="19" spans="1:3" ht="24.95" customHeight="1" x14ac:dyDescent="0.25">
      <c r="A19" s="63">
        <v>45613</v>
      </c>
      <c r="B19" s="64">
        <v>484</v>
      </c>
      <c r="C19" s="64">
        <v>649</v>
      </c>
    </row>
    <row r="20" spans="1:3" ht="24.95" customHeight="1" x14ac:dyDescent="0.25">
      <c r="A20" s="63">
        <v>45614</v>
      </c>
      <c r="B20" s="64">
        <v>485</v>
      </c>
      <c r="C20" s="64">
        <v>646</v>
      </c>
    </row>
    <row r="21" spans="1:3" ht="24.95" customHeight="1" x14ac:dyDescent="0.25">
      <c r="A21" s="63">
        <v>45615</v>
      </c>
      <c r="B21" s="64">
        <v>487</v>
      </c>
      <c r="C21" s="64">
        <v>651</v>
      </c>
    </row>
    <row r="22" spans="1:3" ht="24.95" customHeight="1" x14ac:dyDescent="0.25">
      <c r="A22" s="63">
        <v>45616</v>
      </c>
      <c r="B22" s="64">
        <v>488</v>
      </c>
      <c r="C22" s="64">
        <v>666</v>
      </c>
    </row>
    <row r="23" spans="1:3" ht="24.95" customHeight="1" x14ac:dyDescent="0.25">
      <c r="A23" s="63">
        <v>45617</v>
      </c>
      <c r="B23" s="64">
        <v>486</v>
      </c>
      <c r="C23" s="64">
        <v>667</v>
      </c>
    </row>
    <row r="24" spans="1:3" ht="24.95" customHeight="1" x14ac:dyDescent="0.25">
      <c r="A24" s="63">
        <v>45618</v>
      </c>
      <c r="B24" s="64">
        <v>460</v>
      </c>
      <c r="C24" s="64">
        <v>622</v>
      </c>
    </row>
    <row r="25" spans="1:3" ht="24.95" customHeight="1" x14ac:dyDescent="0.25">
      <c r="A25" s="63">
        <v>45619</v>
      </c>
      <c r="B25" s="64">
        <v>371</v>
      </c>
      <c r="C25" s="64">
        <v>480</v>
      </c>
    </row>
    <row r="26" spans="1:3" ht="24.95" customHeight="1" x14ac:dyDescent="0.25">
      <c r="A26" s="63">
        <v>45620</v>
      </c>
      <c r="B26" s="64">
        <v>438</v>
      </c>
      <c r="C26" s="64">
        <v>547</v>
      </c>
    </row>
    <row r="27" spans="1:3" ht="24.95" customHeight="1" x14ac:dyDescent="0.25">
      <c r="A27" s="63">
        <v>45621</v>
      </c>
      <c r="B27" s="64">
        <v>452</v>
      </c>
      <c r="C27" s="64">
        <v>554</v>
      </c>
    </row>
    <row r="28" spans="1:3" ht="24.95" customHeight="1" x14ac:dyDescent="0.25">
      <c r="A28" s="63">
        <v>45622</v>
      </c>
      <c r="B28" s="64">
        <v>477</v>
      </c>
      <c r="C28" s="64">
        <v>593</v>
      </c>
    </row>
    <row r="29" spans="1:3" ht="24.95" customHeight="1" x14ac:dyDescent="0.25">
      <c r="A29" s="63">
        <v>45623</v>
      </c>
      <c r="B29" s="64">
        <v>475</v>
      </c>
      <c r="C29" s="64">
        <v>619</v>
      </c>
    </row>
    <row r="30" spans="1:3" ht="24.95" customHeight="1" x14ac:dyDescent="0.25">
      <c r="A30" s="63">
        <v>45624</v>
      </c>
      <c r="B30" s="64">
        <v>463</v>
      </c>
      <c r="C30" s="64">
        <v>616</v>
      </c>
    </row>
    <row r="31" spans="1:3" ht="24.95" customHeight="1" x14ac:dyDescent="0.25">
      <c r="A31" s="63">
        <v>45625</v>
      </c>
      <c r="B31" s="64">
        <v>431</v>
      </c>
      <c r="C31" s="64">
        <v>621</v>
      </c>
    </row>
    <row r="32" spans="1:3" ht="24.95" customHeight="1" x14ac:dyDescent="0.25">
      <c r="A32" s="63">
        <v>45626</v>
      </c>
      <c r="B32" s="64">
        <v>414</v>
      </c>
      <c r="C32" s="64">
        <v>613</v>
      </c>
    </row>
    <row r="33" spans="1:3" ht="24.95" customHeight="1" x14ac:dyDescent="0.25">
      <c r="A33" s="63"/>
      <c r="B33" s="64"/>
      <c r="C33" s="64"/>
    </row>
    <row r="34" spans="1:3" ht="30.75" customHeight="1" x14ac:dyDescent="0.25">
      <c r="A34" s="62" t="s">
        <v>82</v>
      </c>
      <c r="B34" s="65">
        <f>SUM(B3:B33)</f>
        <v>14016</v>
      </c>
      <c r="C34" s="65">
        <f>SUM(C3:C33)</f>
        <v>18783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</vt:lpstr>
      <vt:lpstr>Electricity</vt:lpstr>
      <vt:lpstr>LPG</vt:lpstr>
      <vt:lpstr>Water</vt:lpstr>
      <vt:lpstr>Occupied &amp; No. of Guest</vt:lpstr>
      <vt:lpstr>LPG!Print_Area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Chitian</dc:creator>
  <cp:lastModifiedBy>Lesley Ann Almazan</cp:lastModifiedBy>
  <dcterms:created xsi:type="dcterms:W3CDTF">2019-05-13T11:08:30Z</dcterms:created>
  <dcterms:modified xsi:type="dcterms:W3CDTF">2025-06-23T11:01:19Z</dcterms:modified>
</cp:coreProperties>
</file>