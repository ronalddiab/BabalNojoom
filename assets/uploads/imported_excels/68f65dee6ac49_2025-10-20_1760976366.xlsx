
<file path=[Content_Types].xml><?xml version="1.0" encoding="utf-8"?>
<Types xmlns="http://schemas.openxmlformats.org/package/2006/content-types"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joe_k\Downloads\"/>
    </mc:Choice>
  </mc:AlternateContent>
  <xr:revisionPtr revIDLastSave="0" documentId="13_ncr:1_{3598654B-66CB-4E35-BAEF-687D19925404}" xr6:coauthVersionLast="47" xr6:coauthVersionMax="47" xr10:uidLastSave="{00000000-0000-0000-0000-000000000000}"/>
  <bookViews>
    <workbookView xWindow="-108" yWindow="-108" windowWidth="23256" windowHeight="12456" tabRatio="783" xr2:uid="{00000000-000D-0000-FFFF-FFFF00000000}"/>
  </bookViews>
  <sheets>
    <sheet name="Total" sheetId="15" r:id="rId1"/>
    <sheet name="BAN - EXT- Extension " sheetId="13" r:id="rId2"/>
    <sheet name="BAN Extension " sheetId="14" r:id="rId3"/>
  </sheets>
  <externalReferences>
    <externalReference r:id="rId4"/>
  </externalReferences>
  <definedNames>
    <definedName name="_xlnm._FilterDatabase" localSheetId="1" hidden="1">'BAN - EXT- Extension '!$A$1:$G$33</definedName>
    <definedName name="_xlnm.Print_Area" localSheetId="1">'BAN - EXT- Extension '!$A$1:$G$36</definedName>
    <definedName name="_xlnm.Print_Area" localSheetId="2">'BAN Extension '!$C$1:$G$36</definedName>
    <definedName name="شت8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5" l="1"/>
  <c r="K4" i="15"/>
  <c r="K5" i="15"/>
  <c r="K6" i="15"/>
  <c r="K7" i="15"/>
  <c r="K8" i="15"/>
  <c r="K9" i="15"/>
  <c r="K10" i="15"/>
  <c r="K11" i="15"/>
  <c r="K12" i="15"/>
  <c r="K13" i="15"/>
  <c r="K14" i="15"/>
  <c r="K15" i="15"/>
  <c r="K16" i="15"/>
  <c r="K17" i="15"/>
  <c r="K18" i="15"/>
  <c r="K19" i="15"/>
  <c r="K20" i="15"/>
  <c r="K21" i="15"/>
  <c r="K22" i="15"/>
  <c r="K23" i="15"/>
  <c r="K24" i="15"/>
  <c r="K25" i="15"/>
  <c r="K26" i="15"/>
  <c r="K27" i="15"/>
  <c r="K28" i="15"/>
  <c r="K29" i="15"/>
  <c r="K30" i="15"/>
  <c r="K31" i="15"/>
  <c r="K32" i="15"/>
  <c r="K2" i="15"/>
  <c r="I3" i="15"/>
  <c r="I4" i="15"/>
  <c r="I5" i="15"/>
  <c r="I6" i="15"/>
  <c r="I7" i="15"/>
  <c r="I8" i="15"/>
  <c r="I9" i="15"/>
  <c r="I10" i="15"/>
  <c r="I11" i="15"/>
  <c r="I12" i="15"/>
  <c r="I13" i="15"/>
  <c r="I14" i="15"/>
  <c r="I15" i="15"/>
  <c r="I16" i="15"/>
  <c r="I17" i="15"/>
  <c r="I18" i="15"/>
  <c r="I19" i="15"/>
  <c r="I20" i="15"/>
  <c r="I21" i="15"/>
  <c r="I22" i="15"/>
  <c r="I23" i="15"/>
  <c r="I24" i="15"/>
  <c r="I25" i="15"/>
  <c r="I26" i="15"/>
  <c r="I27" i="15"/>
  <c r="I28" i="15"/>
  <c r="I29" i="15"/>
  <c r="I30" i="15"/>
  <c r="I31" i="15"/>
  <c r="I32" i="15"/>
  <c r="I2" i="15"/>
  <c r="E3" i="15"/>
  <c r="E4" i="15"/>
  <c r="E5" i="15"/>
  <c r="E6" i="15"/>
  <c r="E7" i="15"/>
  <c r="E8" i="15"/>
  <c r="E9" i="15"/>
  <c r="E10" i="15"/>
  <c r="E11" i="15"/>
  <c r="E12" i="15"/>
  <c r="E13" i="15"/>
  <c r="E14" i="15"/>
  <c r="E15" i="15"/>
  <c r="E16" i="15"/>
  <c r="E17" i="15"/>
  <c r="E18" i="15"/>
  <c r="E19" i="15"/>
  <c r="E20" i="15"/>
  <c r="E21" i="15"/>
  <c r="E22" i="15"/>
  <c r="E23" i="15"/>
  <c r="E24" i="15"/>
  <c r="E25" i="15"/>
  <c r="E26" i="15"/>
  <c r="E27" i="15"/>
  <c r="E28" i="15"/>
  <c r="E29" i="15"/>
  <c r="E30" i="15"/>
  <c r="E31" i="15"/>
  <c r="E32" i="15"/>
  <c r="E2" i="15"/>
  <c r="B3" i="15"/>
  <c r="B4" i="15" s="1"/>
  <c r="B5" i="15" s="1"/>
  <c r="B6" i="15" s="1"/>
  <c r="B7" i="15" s="1"/>
  <c r="B8" i="15" s="1"/>
  <c r="B9" i="15" s="1"/>
  <c r="B10" i="15" s="1"/>
  <c r="B11" i="15" s="1"/>
  <c r="B12" i="15" s="1"/>
  <c r="B13" i="15" s="1"/>
  <c r="B14" i="15" s="1"/>
  <c r="B15" i="15" s="1"/>
  <c r="B16" i="15" s="1"/>
  <c r="B17" i="15" s="1"/>
  <c r="B18" i="15" s="1"/>
  <c r="B19" i="15" s="1"/>
  <c r="B20" i="15" s="1"/>
  <c r="B21" i="15" s="1"/>
  <c r="B22" i="15" s="1"/>
  <c r="B23" i="15" s="1"/>
  <c r="B24" i="15" s="1"/>
  <c r="B25" i="15" s="1"/>
  <c r="B26" i="15" s="1"/>
  <c r="B27" i="15" s="1"/>
  <c r="B28" i="15" s="1"/>
  <c r="B29" i="15" s="1"/>
  <c r="B30" i="15" s="1"/>
  <c r="B31" i="15" s="1"/>
  <c r="B32" i="15" s="1"/>
  <c r="F35" i="14" l="1"/>
  <c r="D35" i="14"/>
  <c r="F34" i="14"/>
  <c r="D34" i="14"/>
  <c r="F33" i="14"/>
  <c r="D33" i="14"/>
  <c r="F32" i="14"/>
  <c r="D32" i="14"/>
  <c r="F31" i="14"/>
  <c r="D31" i="14"/>
  <c r="F30" i="14"/>
  <c r="D30" i="14"/>
  <c r="F29" i="14"/>
  <c r="D29" i="14"/>
  <c r="F28" i="14"/>
  <c r="D28" i="14"/>
  <c r="F27" i="14"/>
  <c r="D27" i="14"/>
  <c r="F26" i="14"/>
  <c r="D26" i="14"/>
  <c r="F25" i="14"/>
  <c r="D25" i="14"/>
  <c r="F24" i="14"/>
  <c r="D24" i="14"/>
  <c r="F23" i="14"/>
  <c r="D23" i="14"/>
  <c r="F22" i="14"/>
  <c r="D22" i="14"/>
  <c r="F21" i="14"/>
  <c r="D21" i="14"/>
  <c r="F20" i="14"/>
  <c r="D20" i="14"/>
  <c r="F19" i="14"/>
  <c r="D19" i="14"/>
  <c r="F18" i="14"/>
  <c r="D18" i="14"/>
  <c r="F17" i="14"/>
  <c r="D17" i="14"/>
  <c r="F16" i="14"/>
  <c r="D16" i="14"/>
  <c r="F15" i="14"/>
  <c r="D15" i="14"/>
  <c r="F14" i="14"/>
  <c r="D14" i="14"/>
  <c r="F13" i="14"/>
  <c r="D13" i="14"/>
  <c r="F12" i="14"/>
  <c r="D12" i="14"/>
  <c r="F11" i="14"/>
  <c r="D11" i="14"/>
  <c r="F10" i="14"/>
  <c r="D10" i="14"/>
  <c r="F9" i="14"/>
  <c r="D9" i="14"/>
  <c r="F8" i="14"/>
  <c r="D8" i="14"/>
  <c r="F7" i="14"/>
  <c r="D7" i="14"/>
  <c r="F6" i="14"/>
  <c r="D6" i="14"/>
  <c r="F35" i="13"/>
  <c r="D35" i="13"/>
  <c r="F34" i="13"/>
  <c r="D34" i="13"/>
  <c r="F33" i="13"/>
  <c r="D33" i="13"/>
  <c r="F32" i="13"/>
  <c r="D32" i="13"/>
  <c r="F31" i="13"/>
  <c r="D31" i="13"/>
  <c r="F30" i="13"/>
  <c r="D30" i="13"/>
  <c r="F29" i="13"/>
  <c r="D29" i="13"/>
  <c r="F28" i="13"/>
  <c r="D28" i="13"/>
  <c r="F27" i="13"/>
  <c r="D27" i="13"/>
  <c r="F26" i="13"/>
  <c r="D26" i="13"/>
  <c r="F25" i="13"/>
  <c r="D25" i="13"/>
  <c r="F24" i="13"/>
  <c r="D24" i="13"/>
  <c r="F23" i="13"/>
  <c r="D23" i="13"/>
  <c r="F22" i="13"/>
  <c r="D22" i="13"/>
  <c r="F21" i="13"/>
  <c r="D21" i="13"/>
  <c r="F20" i="13"/>
  <c r="D20" i="13"/>
  <c r="F19" i="13"/>
  <c r="D19" i="13"/>
  <c r="F18" i="13"/>
  <c r="D18" i="13"/>
  <c r="F17" i="13"/>
  <c r="D17" i="13"/>
  <c r="F16" i="13"/>
  <c r="D16" i="13"/>
  <c r="F15" i="13"/>
  <c r="D15" i="13"/>
  <c r="F14" i="13"/>
  <c r="D14" i="13"/>
  <c r="F13" i="13"/>
  <c r="D13" i="13"/>
  <c r="F12" i="13"/>
  <c r="D12" i="13"/>
  <c r="F11" i="13"/>
  <c r="D11" i="13"/>
  <c r="F10" i="13"/>
  <c r="D10" i="13"/>
  <c r="F9" i="13"/>
  <c r="D9" i="13"/>
  <c r="F8" i="13"/>
  <c r="D8" i="13"/>
  <c r="F7" i="13"/>
  <c r="D7" i="13"/>
  <c r="F6" i="13"/>
  <c r="D6" i="13"/>
</calcChain>
</file>

<file path=xl/sharedStrings.xml><?xml version="1.0" encoding="utf-8"?>
<sst xmlns="http://schemas.openxmlformats.org/spreadsheetml/2006/main" count="83" uniqueCount="41">
  <si>
    <t>WATER METER READINGS</t>
  </si>
  <si>
    <t>TYPE</t>
  </si>
  <si>
    <t>Time</t>
  </si>
  <si>
    <t>DOMESTIC</t>
  </si>
  <si>
    <t>FM ID</t>
  </si>
  <si>
    <t>Signature</t>
  </si>
  <si>
    <t>METER NUMBER</t>
  </si>
  <si>
    <t>BAN PARKING</t>
  </si>
  <si>
    <t>VIP GATE</t>
  </si>
  <si>
    <t>DATE</t>
  </si>
  <si>
    <t>Portable water Main meter</t>
  </si>
  <si>
    <t>consumption water Daily  use</t>
  </si>
  <si>
    <t>Portable water BAN Extension  meter</t>
  </si>
  <si>
    <r>
      <rPr>
        <b/>
        <sz val="11"/>
        <color theme="1"/>
        <rFont val="Calibri"/>
        <family val="2"/>
        <scheme val="minor"/>
      </rPr>
      <t>m</t>
    </r>
    <r>
      <rPr>
        <b/>
        <sz val="11"/>
        <color theme="1"/>
        <rFont val="Times New Roman"/>
        <family val="1"/>
      </rPr>
      <t>³</t>
    </r>
  </si>
  <si>
    <t>`</t>
  </si>
  <si>
    <t>BAN EXTENTION - ELECTRIC METER</t>
  </si>
  <si>
    <t>consumption electricity daily use</t>
  </si>
  <si>
    <t>IRRIGATION WATER METER - BAN EXTENSION</t>
  </si>
  <si>
    <t xml:space="preserve">consumption Irrigation Daily use m3  </t>
  </si>
  <si>
    <t>FM No</t>
  </si>
  <si>
    <t>Meter</t>
  </si>
  <si>
    <t>I5T22D000453</t>
  </si>
  <si>
    <t>Electricity (kWH)</t>
  </si>
  <si>
    <t>Irrigation water (m3)</t>
  </si>
  <si>
    <t>KWH</t>
  </si>
  <si>
    <t>m3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</si>
  <si>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</si>
  <si>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</si>
  <si>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</si>
  <si>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</si>
  <si>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</si>
  <si>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</si>
  <si>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</si>
  <si>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</si>
  <si>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</si>
  <si>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</si>
  <si>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Hudayriat</t>
  </si>
  <si>
    <t xml:space="preserve">LPG (Kg) </t>
  </si>
  <si>
    <t>LPG $/Kg</t>
  </si>
  <si>
    <t>Irrigation Water (m3) m3</t>
  </si>
  <si>
    <t>Irrigation Water (m3) $/m3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</si>
</sst>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yy;@"/>
    <numFmt numFmtId="165" formatCode="0.000"/>
  </numFmts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4"/>
      <color theme="9" tint="-0.24997711111789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0" fillId="0" borderId="0" xfId="0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/>
    </xf>
    <xf numFmtId="164" fontId="4" fillId="0" borderId="6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6" xfId="0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/>
    <xf numFmtId="2" fontId="3" fillId="2" borderId="3" xfId="0" applyNumberFormat="1" applyFont="1" applyFill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1" fontId="0" fillId="0" borderId="6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5" fontId="0" fillId="0" borderId="6" xfId="0" applyNumberForma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0" borderId="8" xfId="1" applyFont="1" applyBorder="1" applyAlignment="1">
      <alignment horizontal="center" vertical="center"/>
    </xf>
    <xf numFmtId="0" fontId="3" fillId="0" borderId="8" xfId="1" applyFont="1" applyBorder="1" applyAlignment="1">
      <alignment horizontal="center" vertical="center" wrapText="1"/>
    </xf>
    <xf numFmtId="2" fontId="8" fillId="0" borderId="8" xfId="1" applyNumberFormat="1" applyFont="1" applyBorder="1" applyAlignment="1">
      <alignment horizontal="center" vertical="center" wrapText="1"/>
    </xf>
    <xf numFmtId="0" fontId="8" fillId="0" borderId="8" xfId="1" applyFont="1" applyBorder="1" applyAlignment="1">
      <alignment horizontal="center" vertical="center" wrapText="1"/>
    </xf>
    <xf numFmtId="0" fontId="3" fillId="0" borderId="0" xfId="1" applyFont="1" applyAlignment="1">
      <alignment horizontal="center" vertical="center"/>
    </xf>
    <xf numFmtId="0" fontId="9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1" fontId="1" fillId="0" borderId="0" xfId="1" applyNumberFormat="1" applyAlignment="1">
      <alignment horizontal="center"/>
    </xf>
    <xf numFmtId="2" fontId="7" fillId="0" borderId="0" xfId="1" applyNumberFormat="1" applyFont="1" applyAlignment="1">
      <alignment horizontal="center"/>
    </xf>
    <xf numFmtId="0" fontId="1" fillId="0" borderId="0" xfId="1" applyAlignment="1">
      <alignment horizontal="center"/>
    </xf>
    <xf numFmtId="0" fontId="7" fillId="0" borderId="0" xfId="1" applyFont="1" applyAlignment="1">
      <alignment horizontal="center"/>
    </xf>
    <xf numFmtId="0" fontId="3" fillId="0" borderId="0" xfId="1" applyFont="1"/>
    <xf numFmtId="0" fontId="1" fillId="0" borderId="0" xfId="1"/>
  </cellXfs>
  <cellStyles count="2">
    <cellStyle name="Normal" xfId="0" builtinId="0"/>
    <cellStyle name="Normal 5" xfId="1" xr:uid="{90382A63-7AC8-4281-9766-47312AFB99D1}"/>
  </cellStyles>
  <dxfs count="0"/>
  <tableStyles count="0" defaultTableStyle="TableStyleMedium2" defaultPivotStyle="PivotStyleLight16"/>
  <colors>
    <mruColors>
      <color rgb="FF66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8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srgbClr val="000000">
                      <a:alpha val="40000"/>
                    </a:srgbClr>
                  </a:outerShdw>
                </a:effectLst>
              </a:rPr>
              <a:t>WATER CONSUMPTION DOMESTIC</a:t>
            </a:r>
            <a:endParaRPr lang="en-US" sz="1800" b="1" i="0" u="none" strike="noStrike" kern="1200" spc="100" baseline="0">
              <a:solidFill>
                <a:sysClr val="window" lastClr="FFFFFF">
                  <a:lumMod val="95000"/>
                </a:sysClr>
              </a:solidFill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'BAN - EXT- Extension '!$A$6:$A$36</c:f>
              <c:numCache>
                <c:formatCode>[$-409]d\-mmm\-yyyy;@</c:formatCode>
                <c:ptCount val="31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  <c:pt idx="29">
                  <c:v>45899</c:v>
                </c:pt>
                <c:pt idx="30">
                  <c:v>45900</c:v>
                </c:pt>
              </c:numCache>
            </c:numRef>
          </c:cat>
          <c:val>
            <c:numRef>
              <c:f>'BAN - EXT- Extension '!$D$6:$D$36</c:f>
              <c:numCache>
                <c:formatCode>0</c:formatCode>
                <c:ptCount val="31"/>
                <c:pt idx="0">
                  <c:v>95</c:v>
                </c:pt>
                <c:pt idx="1">
                  <c:v>81</c:v>
                </c:pt>
                <c:pt idx="2">
                  <c:v>80</c:v>
                </c:pt>
                <c:pt idx="3">
                  <c:v>90</c:v>
                </c:pt>
                <c:pt idx="4">
                  <c:v>83</c:v>
                </c:pt>
                <c:pt idx="5">
                  <c:v>95</c:v>
                </c:pt>
                <c:pt idx="6">
                  <c:v>86</c:v>
                </c:pt>
                <c:pt idx="7">
                  <c:v>100</c:v>
                </c:pt>
                <c:pt idx="8">
                  <c:v>128</c:v>
                </c:pt>
                <c:pt idx="9">
                  <c:v>119</c:v>
                </c:pt>
                <c:pt idx="10">
                  <c:v>94</c:v>
                </c:pt>
                <c:pt idx="11">
                  <c:v>96</c:v>
                </c:pt>
                <c:pt idx="12">
                  <c:v>105</c:v>
                </c:pt>
                <c:pt idx="13">
                  <c:v>98</c:v>
                </c:pt>
                <c:pt idx="14">
                  <c:v>106</c:v>
                </c:pt>
                <c:pt idx="15">
                  <c:v>156</c:v>
                </c:pt>
                <c:pt idx="16">
                  <c:v>104</c:v>
                </c:pt>
                <c:pt idx="17">
                  <c:v>115</c:v>
                </c:pt>
                <c:pt idx="18">
                  <c:v>98</c:v>
                </c:pt>
                <c:pt idx="19">
                  <c:v>98</c:v>
                </c:pt>
                <c:pt idx="20">
                  <c:v>11</c:v>
                </c:pt>
                <c:pt idx="21">
                  <c:v>186</c:v>
                </c:pt>
                <c:pt idx="22">
                  <c:v>89</c:v>
                </c:pt>
                <c:pt idx="23">
                  <c:v>91</c:v>
                </c:pt>
                <c:pt idx="24">
                  <c:v>88</c:v>
                </c:pt>
                <c:pt idx="25">
                  <c:v>97</c:v>
                </c:pt>
                <c:pt idx="26">
                  <c:v>94</c:v>
                </c:pt>
                <c:pt idx="27">
                  <c:v>104</c:v>
                </c:pt>
                <c:pt idx="28">
                  <c:v>95</c:v>
                </c:pt>
                <c:pt idx="29">
                  <c:v>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41-4B1B-8882-372E4BA7157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93088112"/>
        <c:axId val="1159882992"/>
      </c:barChart>
      <c:dateAx>
        <c:axId val="193088112"/>
        <c:scaling>
          <c:orientation val="minMax"/>
        </c:scaling>
        <c:delete val="0"/>
        <c:axPos val="b"/>
        <c:numFmt formatCode="[$-409]d\-mmm\-yyyy;@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9882992"/>
        <c:crosses val="autoZero"/>
        <c:auto val="1"/>
        <c:lblOffset val="100"/>
        <c:baseTimeUnit val="days"/>
      </c:dateAx>
      <c:valAx>
        <c:axId val="115988299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88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e1dc797-bde9-478d-abae-071d754ea2e0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BAN EXT</a:t>
            </a:r>
            <a:r>
              <a:rPr lang="en-US" baseline="0"/>
              <a:t> - Main Meter 1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'BAN Extension 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'BAN Extension 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CF6C-4B82-B1D5-1D1BBFC9E65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540410544"/>
        <c:axId val="1540407632"/>
      </c:barChart>
      <c:dateAx>
        <c:axId val="1540410544"/>
        <c:scaling>
          <c:orientation val="minMax"/>
        </c:scaling>
        <c:delete val="0"/>
        <c:axPos val="b"/>
        <c:numFmt formatCode="[$-409]d\-mmm\-yyyy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0407632"/>
        <c:crosses val="autoZero"/>
        <c:auto val="0"/>
        <c:lblOffset val="100"/>
        <c:baseTimeUnit val="days"/>
      </c:dateAx>
      <c:valAx>
        <c:axId val="154040763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0410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7a2153fe-064c-4bab-b879-1ee5b7340f06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lang="en-US" sz="16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800" b="1" i="0" baseline="0">
                <a:effectLst>
                  <a:outerShdw blurRad="50800" dist="38100" dir="5400000" algn="t" rotWithShape="0">
                    <a:srgbClr val="000000">
                      <a:alpha val="40000"/>
                    </a:srgbClr>
                  </a:outerShdw>
                </a:effectLst>
              </a:rPr>
              <a:t>BAN Extention - Main Meter</a:t>
            </a:r>
            <a:endParaRPr lang="en-US">
              <a:effectLst/>
            </a:endParaRPr>
          </a:p>
        </c:rich>
      </c:tx>
      <c:layout>
        <c:manualLayout>
          <c:xMode val="edge"/>
          <c:yMode val="edge"/>
          <c:x val="0.38188613983279202"/>
          <c:y val="1.105931500511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lang="en-US" sz="1600" b="1" i="0" u="none" strike="noStrike" kern="1200" spc="100" baseline="0">
              <a:solidFill>
                <a:sysClr val="window" lastClr="FFFFFF">
                  <a:lumMod val="95000"/>
                </a:sys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FF000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'BAN Extension '!$D$6:$D$36</c:f>
              <c:numCache>
                <c:formatCode>General</c:formatCode>
                <c:ptCount val="31"/>
                <c:pt idx="0">
                  <c:v>9397</c:v>
                </c:pt>
                <c:pt idx="1">
                  <c:v>9389</c:v>
                </c:pt>
                <c:pt idx="2">
                  <c:v>8799</c:v>
                </c:pt>
                <c:pt idx="3">
                  <c:v>9019</c:v>
                </c:pt>
                <c:pt idx="4">
                  <c:v>8810</c:v>
                </c:pt>
                <c:pt idx="5">
                  <c:v>8887</c:v>
                </c:pt>
                <c:pt idx="6">
                  <c:v>8922</c:v>
                </c:pt>
                <c:pt idx="7">
                  <c:v>8341</c:v>
                </c:pt>
                <c:pt idx="8">
                  <c:v>8469</c:v>
                </c:pt>
                <c:pt idx="9">
                  <c:v>8322</c:v>
                </c:pt>
                <c:pt idx="10">
                  <c:v>8472</c:v>
                </c:pt>
                <c:pt idx="11">
                  <c:v>8690</c:v>
                </c:pt>
                <c:pt idx="12">
                  <c:v>8744</c:v>
                </c:pt>
                <c:pt idx="13">
                  <c:v>9102</c:v>
                </c:pt>
                <c:pt idx="14">
                  <c:v>9366</c:v>
                </c:pt>
                <c:pt idx="15">
                  <c:v>9075</c:v>
                </c:pt>
                <c:pt idx="16">
                  <c:v>9040</c:v>
                </c:pt>
                <c:pt idx="17">
                  <c:v>8739</c:v>
                </c:pt>
                <c:pt idx="18">
                  <c:v>8813</c:v>
                </c:pt>
                <c:pt idx="19">
                  <c:v>8396</c:v>
                </c:pt>
                <c:pt idx="20">
                  <c:v>10</c:v>
                </c:pt>
                <c:pt idx="21">
                  <c:v>18258</c:v>
                </c:pt>
                <c:pt idx="22">
                  <c:v>15179</c:v>
                </c:pt>
                <c:pt idx="23">
                  <c:v>1073</c:v>
                </c:pt>
                <c:pt idx="24">
                  <c:v>7846</c:v>
                </c:pt>
                <c:pt idx="25">
                  <c:v>8723</c:v>
                </c:pt>
                <c:pt idx="26">
                  <c:v>8580</c:v>
                </c:pt>
                <c:pt idx="27">
                  <c:v>9170</c:v>
                </c:pt>
                <c:pt idx="28">
                  <c:v>8961</c:v>
                </c:pt>
                <c:pt idx="29">
                  <c:v>9168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'BAN Extension 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3426-4D22-9126-67BB942116C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775889040"/>
        <c:axId val="1775889456"/>
      </c:barChart>
      <c:catAx>
        <c:axId val="1775889040"/>
        <c:scaling>
          <c:orientation val="minMax"/>
        </c:scaling>
        <c:delete val="0"/>
        <c:axPos val="b"/>
        <c:numFmt formatCode="[$-409]d\-mmm\-yyyy;@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5889456"/>
        <c:crosses val="autoZero"/>
        <c:auto val="1"/>
        <c:lblAlgn val="ctr"/>
        <c:lblOffset val="100"/>
        <c:noMultiLvlLbl val="1"/>
      </c:catAx>
      <c:valAx>
        <c:axId val="177588945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5889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ba913a6-cd9a-4d1f-8bd6-7b15c5e367fc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IRRIGATION Pump - BAN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6">
                <a:lumMod val="75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'BAN Extension '!$F$6:$F$36</c:f>
              <c:numCache>
                <c:formatCode>General</c:formatCode>
                <c:ptCount val="31"/>
                <c:pt idx="0">
                  <c:v>164</c:v>
                </c:pt>
                <c:pt idx="1">
                  <c:v>158</c:v>
                </c:pt>
                <c:pt idx="2">
                  <c:v>155</c:v>
                </c:pt>
                <c:pt idx="3">
                  <c:v>146</c:v>
                </c:pt>
                <c:pt idx="4">
                  <c:v>187</c:v>
                </c:pt>
                <c:pt idx="5">
                  <c:v>172</c:v>
                </c:pt>
                <c:pt idx="6">
                  <c:v>116</c:v>
                </c:pt>
                <c:pt idx="7">
                  <c:v>138</c:v>
                </c:pt>
                <c:pt idx="8">
                  <c:v>90</c:v>
                </c:pt>
                <c:pt idx="9">
                  <c:v>182</c:v>
                </c:pt>
                <c:pt idx="10">
                  <c:v>160</c:v>
                </c:pt>
                <c:pt idx="11">
                  <c:v>149</c:v>
                </c:pt>
                <c:pt idx="12">
                  <c:v>138</c:v>
                </c:pt>
                <c:pt idx="13">
                  <c:v>151</c:v>
                </c:pt>
                <c:pt idx="14">
                  <c:v>138</c:v>
                </c:pt>
                <c:pt idx="15">
                  <c:v>150</c:v>
                </c:pt>
                <c:pt idx="16">
                  <c:v>181</c:v>
                </c:pt>
                <c:pt idx="17">
                  <c:v>136</c:v>
                </c:pt>
                <c:pt idx="18">
                  <c:v>150</c:v>
                </c:pt>
                <c:pt idx="19">
                  <c:v>183</c:v>
                </c:pt>
                <c:pt idx="20">
                  <c:v>44</c:v>
                </c:pt>
                <c:pt idx="21">
                  <c:v>218</c:v>
                </c:pt>
                <c:pt idx="22">
                  <c:v>9</c:v>
                </c:pt>
                <c:pt idx="23">
                  <c:v>300</c:v>
                </c:pt>
                <c:pt idx="24">
                  <c:v>144</c:v>
                </c:pt>
                <c:pt idx="25">
                  <c:v>196</c:v>
                </c:pt>
                <c:pt idx="26">
                  <c:v>169</c:v>
                </c:pt>
                <c:pt idx="27">
                  <c:v>141</c:v>
                </c:pt>
                <c:pt idx="28">
                  <c:v>150</c:v>
                </c:pt>
                <c:pt idx="29">
                  <c:v>108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'BAN Extension 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EB9D-499F-8262-B1F8D202D1E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549474160"/>
        <c:axId val="1346893408"/>
      </c:barChart>
      <c:catAx>
        <c:axId val="1549474160"/>
        <c:scaling>
          <c:orientation val="minMax"/>
        </c:scaling>
        <c:delete val="0"/>
        <c:axPos val="b"/>
        <c:numFmt formatCode="[$-409]d\-mmm\-yyyy;@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6893408"/>
        <c:crosses val="autoZero"/>
        <c:auto val="0"/>
        <c:lblAlgn val="ctr"/>
        <c:lblOffset val="100"/>
        <c:noMultiLvlLbl val="1"/>
      </c:catAx>
      <c:valAx>
        <c:axId val="1346893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9474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7a70bc3-e323-4142-9009-f5eb6b38b4a0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image" Target="../media/image2.jpeg"/><Relationship Id="rId4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478800</xdr:colOff>
      <xdr:row>7</xdr:row>
      <xdr:rowOff>358889</xdr:rowOff>
    </xdr:from>
    <xdr:to>
      <xdr:col>35</xdr:col>
      <xdr:colOff>127566</xdr:colOff>
      <xdr:row>19</xdr:row>
      <xdr:rowOff>318068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2967668</xdr:colOff>
      <xdr:row>0</xdr:row>
      <xdr:rowOff>21306</xdr:rowOff>
    </xdr:from>
    <xdr:to>
      <xdr:col>8</xdr:col>
      <xdr:colOff>18625</xdr:colOff>
      <xdr:row>0</xdr:row>
      <xdr:rowOff>633628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50130" y="20955"/>
          <a:ext cx="3156585" cy="61214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738187</xdr:colOff>
      <xdr:row>0</xdr:row>
      <xdr:rowOff>619125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338070" cy="6191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550407</xdr:colOff>
      <xdr:row>5</xdr:row>
      <xdr:rowOff>149678</xdr:rowOff>
    </xdr:from>
    <xdr:to>
      <xdr:col>24</xdr:col>
      <xdr:colOff>163285</xdr:colOff>
      <xdr:row>13</xdr:row>
      <xdr:rowOff>408215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530998</xdr:colOff>
      <xdr:row>14</xdr:row>
      <xdr:rowOff>176891</xdr:rowOff>
    </xdr:from>
    <xdr:to>
      <xdr:col>24</xdr:col>
      <xdr:colOff>176893</xdr:colOff>
      <xdr:row>22</xdr:row>
      <xdr:rowOff>462642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550689</xdr:colOff>
      <xdr:row>23</xdr:row>
      <xdr:rowOff>248929</xdr:rowOff>
    </xdr:from>
    <xdr:to>
      <xdr:col>24</xdr:col>
      <xdr:colOff>163286</xdr:colOff>
      <xdr:row>31</xdr:row>
      <xdr:rowOff>285750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</xdr:col>
      <xdr:colOff>238060</xdr:colOff>
      <xdr:row>0</xdr:row>
      <xdr:rowOff>115660</xdr:rowOff>
    </xdr:from>
    <xdr:to>
      <xdr:col>8</xdr:col>
      <xdr:colOff>4259</xdr:colOff>
      <xdr:row>0</xdr:row>
      <xdr:rowOff>741589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57515" y="115570"/>
          <a:ext cx="3614420" cy="62547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0</xdr:row>
      <xdr:rowOff>47400</xdr:rowOff>
    </xdr:from>
    <xdr:to>
      <xdr:col>3</xdr:col>
      <xdr:colOff>312810</xdr:colOff>
      <xdr:row>0</xdr:row>
      <xdr:rowOff>666525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38450" y="46990"/>
          <a:ext cx="2331720" cy="6191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e_k\Downloads\Downtown%20Rotana%20-%20HEP%20-%20Daily%20-%20October%202025.xlsx" TargetMode="External"/><Relationship Id="rId1" Type="http://schemas.openxmlformats.org/officeDocument/2006/relationships/externalLinkPath" Target="Downtown%20Rotana%20-%20HEP%20-%20Daily%20-%20October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"/>
      <sheetName val="Sheet1"/>
    </sheetNames>
    <sheetDataSet>
      <sheetData sheetId="0"/>
      <sheetData sheetId="1">
        <row r="26">
          <cell r="Y26">
            <v>17227.439999999999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AE6B5-99BD-4096-8F6E-08BEE1310857}">
  <dimension ref="A1:Z33"/>
  <sheetViews>
    <sheetView tabSelected="1" workbookViewId="0">
      <selection activeCell="G3" sqref="G3"/>
    </sheetView>
  </sheetViews>
  <sheetFormatPr defaultColWidth="11.5546875" defaultRowHeight="14.4"/>
  <cols>
    <col min="1" max="1" width="29.109375" style="42" bestFit="1" customWidth="1"/>
    <col min="2" max="3" width="11.5546875" style="37"/>
    <col min="4" max="4" width="13.44140625" style="37" customWidth="1"/>
    <col min="5" max="5" width="12.5546875" style="40" customWidth="1"/>
    <col min="6" max="6" width="12.5546875" style="39" customWidth="1"/>
    <col min="7" max="7" width="11.5546875" style="40"/>
    <col min="8" max="8" width="11.5546875" style="39"/>
    <col min="9" max="9" width="11.5546875" style="40"/>
    <col min="10" max="10" width="11.5546875" style="41"/>
    <col min="11" max="11" width="11.5546875" style="40"/>
    <col min="12" max="12" width="11.5546875" style="41"/>
    <col min="13" max="26" width="11.5546875" style="40"/>
    <col min="27" max="16384" width="11.5546875" style="43"/>
  </cols>
  <sheetData>
    <row r="1" spans="1:14" s="35" customFormat="1" ht="43.2">
      <c r="A1" s="31" t="s">
        <v>26</v>
      </c>
      <c r="B1" s="31" t="s">
        <v>27</v>
      </c>
      <c r="C1" s="31" t="s">
        <v>28</v>
      </c>
      <c r="D1" s="31" t="s">
        <v>29</v>
      </c>
      <c r="E1" s="32" t="s">
        <v>30</v>
      </c>
      <c r="F1" s="33" t="s">
        <v>31</v>
      </c>
      <c r="G1" s="32" t="s">
        <v>37</v>
      </c>
      <c r="H1" s="33" t="s">
        <v>38</v>
      </c>
      <c r="I1" s="32" t="s">
        <v>32</v>
      </c>
      <c r="J1" s="34" t="s">
        <v>33</v>
      </c>
      <c r="K1" s="32" t="s">
        <v>39</v>
      </c>
      <c r="L1" s="34" t="s">
        <v>40</v>
      </c>
      <c r="M1" s="32" t="s">
        <v>34</v>
      </c>
      <c r="N1" s="32" t="s">
        <v>35</v>
      </c>
    </row>
    <row r="2" spans="1:14">
      <c r="A2" s="36" t="s">
        <v>36</v>
      </c>
      <c r="B2" s="37">
        <v>1</v>
      </c>
      <c r="C2" s="37">
        <v>8</v>
      </c>
      <c r="D2" s="37">
        <v>2025</v>
      </c>
      <c r="E2" s="38">
        <f>IF('BAN Extension '!D6&gt;0,'BAN Extension '!D6,0)</f>
        <v>9397</v>
      </c>
      <c r="F2" s="39">
        <v>0.2</v>
      </c>
      <c r="G2" s="38">
        <v>1</v>
      </c>
      <c r="H2" s="39">
        <v>5.42</v>
      </c>
      <c r="I2" s="38">
        <f>IF('BAN - EXT- Extension '!D6+'BAN - EXT- Extension '!F6&gt;0,'BAN - EXT- Extension '!D6+'BAN - EXT- Extension '!F6,0)</f>
        <v>524</v>
      </c>
      <c r="J2" s="39">
        <v>7.84</v>
      </c>
      <c r="K2" s="38">
        <f>IF('BAN Extension '!F6&gt;0,'BAN Extension '!F6,0)</f>
        <v>164</v>
      </c>
      <c r="L2" s="39">
        <v>7.84</v>
      </c>
      <c r="M2" s="38"/>
      <c r="N2" s="38"/>
    </row>
    <row r="3" spans="1:14">
      <c r="A3" s="36" t="s">
        <v>36</v>
      </c>
      <c r="B3" s="37">
        <f>B2+1</f>
        <v>2</v>
      </c>
      <c r="C3" s="37">
        <v>8</v>
      </c>
      <c r="D3" s="37">
        <v>2025</v>
      </c>
      <c r="E3" s="38">
        <f>IF('BAN Extension '!D7&gt;0,'BAN Extension '!D7,0)</f>
        <v>9389</v>
      </c>
      <c r="F3" s="39">
        <v>0.2</v>
      </c>
      <c r="G3" s="38"/>
      <c r="H3" s="39">
        <v>5.42</v>
      </c>
      <c r="I3" s="38">
        <f>IF('BAN - EXT- Extension '!D7+'BAN - EXT- Extension '!F7&gt;0,'BAN - EXT- Extension '!D7+'BAN - EXT- Extension '!F7,0)</f>
        <v>475</v>
      </c>
      <c r="J3" s="39">
        <v>7.84</v>
      </c>
      <c r="K3" s="38">
        <f>IF('BAN Extension '!F7&gt;0,'BAN Extension '!F7,0)</f>
        <v>158</v>
      </c>
      <c r="L3" s="39">
        <v>7.84</v>
      </c>
      <c r="M3" s="38"/>
      <c r="N3" s="38"/>
    </row>
    <row r="4" spans="1:14">
      <c r="A4" s="36" t="s">
        <v>36</v>
      </c>
      <c r="B4" s="37">
        <f t="shared" ref="B4:B32" si="0">B3+1</f>
        <v>3</v>
      </c>
      <c r="C4" s="37">
        <v>8</v>
      </c>
      <c r="D4" s="37">
        <v>2025</v>
      </c>
      <c r="E4" s="38">
        <f>IF('BAN Extension '!D8&gt;0,'BAN Extension '!D8,0)</f>
        <v>8799</v>
      </c>
      <c r="F4" s="39">
        <v>0.2</v>
      </c>
      <c r="G4" s="38"/>
      <c r="H4" s="39">
        <v>5.42</v>
      </c>
      <c r="I4" s="38">
        <f>IF('BAN - EXT- Extension '!D8+'BAN - EXT- Extension '!F8&gt;0,'BAN - EXT- Extension '!D8+'BAN - EXT- Extension '!F8,0)</f>
        <v>434</v>
      </c>
      <c r="J4" s="39">
        <v>7.84</v>
      </c>
      <c r="K4" s="38">
        <f>IF('BAN Extension '!F8&gt;0,'BAN Extension '!F8,0)</f>
        <v>155</v>
      </c>
      <c r="L4" s="39">
        <v>7.84</v>
      </c>
      <c r="M4" s="38"/>
      <c r="N4" s="38"/>
    </row>
    <row r="5" spans="1:14">
      <c r="A5" s="36" t="s">
        <v>36</v>
      </c>
      <c r="B5" s="37">
        <f t="shared" si="0"/>
        <v>4</v>
      </c>
      <c r="C5" s="37">
        <v>8</v>
      </c>
      <c r="D5" s="37">
        <v>2025</v>
      </c>
      <c r="E5" s="38">
        <f>IF('BAN Extension '!D9&gt;0,'BAN Extension '!D9,0)</f>
        <v>9019</v>
      </c>
      <c r="F5" s="39">
        <v>0.2</v>
      </c>
      <c r="G5" s="38"/>
      <c r="H5" s="39">
        <v>5.42</v>
      </c>
      <c r="I5" s="38">
        <f>IF('BAN - EXT- Extension '!D9+'BAN - EXT- Extension '!F9&gt;0,'BAN - EXT- Extension '!D9+'BAN - EXT- Extension '!F9,0)</f>
        <v>478</v>
      </c>
      <c r="J5" s="39">
        <v>7.84</v>
      </c>
      <c r="K5" s="38">
        <f>IF('BAN Extension '!F9&gt;0,'BAN Extension '!F9,0)</f>
        <v>146</v>
      </c>
      <c r="L5" s="39">
        <v>7.84</v>
      </c>
      <c r="M5" s="38"/>
      <c r="N5" s="38"/>
    </row>
    <row r="6" spans="1:14">
      <c r="A6" s="36" t="s">
        <v>36</v>
      </c>
      <c r="B6" s="37">
        <f t="shared" si="0"/>
        <v>5</v>
      </c>
      <c r="C6" s="37">
        <v>8</v>
      </c>
      <c r="D6" s="37">
        <v>2025</v>
      </c>
      <c r="E6" s="38">
        <f>IF('BAN Extension '!D10&gt;0,'BAN Extension '!D10,0)</f>
        <v>8810</v>
      </c>
      <c r="F6" s="39">
        <v>0.2</v>
      </c>
      <c r="G6" s="38"/>
      <c r="H6" s="39">
        <v>5.42</v>
      </c>
      <c r="I6" s="38">
        <f>IF('BAN - EXT- Extension '!D10+'BAN - EXT- Extension '!F10&gt;0,'BAN - EXT- Extension '!D10+'BAN - EXT- Extension '!F10,0)</f>
        <v>516</v>
      </c>
      <c r="J6" s="39">
        <v>7.84</v>
      </c>
      <c r="K6" s="38">
        <f>IF('BAN Extension '!F10&gt;0,'BAN Extension '!F10,0)</f>
        <v>187</v>
      </c>
      <c r="L6" s="39">
        <v>7.84</v>
      </c>
      <c r="M6" s="38"/>
      <c r="N6" s="38"/>
    </row>
    <row r="7" spans="1:14">
      <c r="A7" s="36" t="s">
        <v>36</v>
      </c>
      <c r="B7" s="37">
        <f t="shared" si="0"/>
        <v>6</v>
      </c>
      <c r="C7" s="37">
        <v>8</v>
      </c>
      <c r="D7" s="37">
        <v>2025</v>
      </c>
      <c r="E7" s="38">
        <f>IF('BAN Extension '!D11&gt;0,'BAN Extension '!D11,0)</f>
        <v>8887</v>
      </c>
      <c r="F7" s="39">
        <v>0.2</v>
      </c>
      <c r="G7" s="38"/>
      <c r="H7" s="39">
        <v>5.42</v>
      </c>
      <c r="I7" s="38">
        <f>IF('BAN - EXT- Extension '!D11+'BAN - EXT- Extension '!F11&gt;0,'BAN - EXT- Extension '!D11+'BAN - EXT- Extension '!F11,0)</f>
        <v>562</v>
      </c>
      <c r="J7" s="39">
        <v>7.84</v>
      </c>
      <c r="K7" s="38">
        <f>IF('BAN Extension '!F11&gt;0,'BAN Extension '!F11,0)</f>
        <v>172</v>
      </c>
      <c r="L7" s="39">
        <v>7.84</v>
      </c>
      <c r="M7" s="38"/>
      <c r="N7" s="38"/>
    </row>
    <row r="8" spans="1:14">
      <c r="A8" s="36" t="s">
        <v>36</v>
      </c>
      <c r="B8" s="37">
        <f t="shared" si="0"/>
        <v>7</v>
      </c>
      <c r="C8" s="37">
        <v>8</v>
      </c>
      <c r="D8" s="37">
        <v>2025</v>
      </c>
      <c r="E8" s="38">
        <f>IF('BAN Extension '!D12&gt;0,'BAN Extension '!D12,0)</f>
        <v>8922</v>
      </c>
      <c r="F8" s="39">
        <v>0.2</v>
      </c>
      <c r="G8" s="38"/>
      <c r="H8" s="39">
        <v>5.42</v>
      </c>
      <c r="I8" s="38">
        <f>IF('BAN - EXT- Extension '!D12+'BAN - EXT- Extension '!F12&gt;0,'BAN - EXT- Extension '!D12+'BAN - EXT- Extension '!F12,0)</f>
        <v>503</v>
      </c>
      <c r="J8" s="39">
        <v>7.84</v>
      </c>
      <c r="K8" s="38">
        <f>IF('BAN Extension '!F12&gt;0,'BAN Extension '!F12,0)</f>
        <v>116</v>
      </c>
      <c r="L8" s="39">
        <v>7.84</v>
      </c>
      <c r="M8" s="38"/>
      <c r="N8" s="38"/>
    </row>
    <row r="9" spans="1:14">
      <c r="A9" s="36" t="s">
        <v>36</v>
      </c>
      <c r="B9" s="37">
        <f t="shared" si="0"/>
        <v>8</v>
      </c>
      <c r="C9" s="37">
        <v>8</v>
      </c>
      <c r="D9" s="37">
        <v>2025</v>
      </c>
      <c r="E9" s="38">
        <f>IF('BAN Extension '!D13&gt;0,'BAN Extension '!D13,0)</f>
        <v>8341</v>
      </c>
      <c r="F9" s="39">
        <v>0.2</v>
      </c>
      <c r="G9" s="38"/>
      <c r="H9" s="39">
        <v>5.42</v>
      </c>
      <c r="I9" s="38">
        <f>IF('BAN - EXT- Extension '!D13+'BAN - EXT- Extension '!F13&gt;0,'BAN - EXT- Extension '!D13+'BAN - EXT- Extension '!F13,0)</f>
        <v>662</v>
      </c>
      <c r="J9" s="39">
        <v>7.84</v>
      </c>
      <c r="K9" s="38">
        <f>IF('BAN Extension '!F13&gt;0,'BAN Extension '!F13,0)</f>
        <v>138</v>
      </c>
      <c r="L9" s="39">
        <v>7.84</v>
      </c>
      <c r="M9" s="38"/>
      <c r="N9" s="38"/>
    </row>
    <row r="10" spans="1:14">
      <c r="A10" s="36" t="s">
        <v>36</v>
      </c>
      <c r="B10" s="37">
        <f t="shared" si="0"/>
        <v>9</v>
      </c>
      <c r="C10" s="37">
        <v>8</v>
      </c>
      <c r="D10" s="37">
        <v>2025</v>
      </c>
      <c r="E10" s="38">
        <f>IF('BAN Extension '!D14&gt;0,'BAN Extension '!D14,0)</f>
        <v>8469</v>
      </c>
      <c r="F10" s="39">
        <v>0.2</v>
      </c>
      <c r="G10" s="38"/>
      <c r="H10" s="39">
        <v>5.42</v>
      </c>
      <c r="I10" s="38">
        <f>IF('BAN - EXT- Extension '!D14+'BAN - EXT- Extension '!F14&gt;0,'BAN - EXT- Extension '!D14+'BAN - EXT- Extension '!F14,0)</f>
        <v>1040</v>
      </c>
      <c r="J10" s="39">
        <v>7.84</v>
      </c>
      <c r="K10" s="38">
        <f>IF('BAN Extension '!F14&gt;0,'BAN Extension '!F14,0)</f>
        <v>90</v>
      </c>
      <c r="L10" s="39">
        <v>7.84</v>
      </c>
      <c r="M10" s="38"/>
      <c r="N10" s="38"/>
    </row>
    <row r="11" spans="1:14">
      <c r="A11" s="36" t="s">
        <v>36</v>
      </c>
      <c r="B11" s="37">
        <f t="shared" si="0"/>
        <v>10</v>
      </c>
      <c r="C11" s="37">
        <v>8</v>
      </c>
      <c r="D11" s="37">
        <v>2025</v>
      </c>
      <c r="E11" s="38">
        <f>IF('BAN Extension '!D15&gt;0,'BAN Extension '!D15,0)</f>
        <v>8322</v>
      </c>
      <c r="F11" s="39">
        <v>0.2</v>
      </c>
      <c r="G11" s="38"/>
      <c r="H11" s="39">
        <v>5.42</v>
      </c>
      <c r="I11" s="38">
        <f>IF('BAN - EXT- Extension '!D15+'BAN - EXT- Extension '!F15&gt;0,'BAN - EXT- Extension '!D15+'BAN - EXT- Extension '!F15,0)</f>
        <v>860</v>
      </c>
      <c r="J11" s="39">
        <v>7.84</v>
      </c>
      <c r="K11" s="38">
        <f>IF('BAN Extension '!F15&gt;0,'BAN Extension '!F15,0)</f>
        <v>182</v>
      </c>
      <c r="L11" s="39">
        <v>7.84</v>
      </c>
      <c r="M11" s="38"/>
      <c r="N11" s="38"/>
    </row>
    <row r="12" spans="1:14">
      <c r="A12" s="36" t="s">
        <v>36</v>
      </c>
      <c r="B12" s="37">
        <f t="shared" si="0"/>
        <v>11</v>
      </c>
      <c r="C12" s="37">
        <v>8</v>
      </c>
      <c r="D12" s="37">
        <v>2025</v>
      </c>
      <c r="E12" s="38">
        <f>IF('BAN Extension '!D16&gt;0,'BAN Extension '!D16,0)</f>
        <v>8472</v>
      </c>
      <c r="F12" s="39">
        <v>0.2</v>
      </c>
      <c r="G12" s="38"/>
      <c r="H12" s="39">
        <v>5.42</v>
      </c>
      <c r="I12" s="38">
        <f>IF('BAN - EXT- Extension '!D16+'BAN - EXT- Extension '!F16&gt;0,'BAN - EXT- Extension '!D16+'BAN - EXT- Extension '!F16,0)</f>
        <v>607</v>
      </c>
      <c r="J12" s="39">
        <v>7.84</v>
      </c>
      <c r="K12" s="38">
        <f>IF('BAN Extension '!F16&gt;0,'BAN Extension '!F16,0)</f>
        <v>160</v>
      </c>
      <c r="L12" s="39">
        <v>7.84</v>
      </c>
      <c r="M12" s="38"/>
      <c r="N12" s="38"/>
    </row>
    <row r="13" spans="1:14">
      <c r="A13" s="36" t="s">
        <v>36</v>
      </c>
      <c r="B13" s="37">
        <f t="shared" si="0"/>
        <v>12</v>
      </c>
      <c r="C13" s="37">
        <v>8</v>
      </c>
      <c r="D13" s="37">
        <v>2025</v>
      </c>
      <c r="E13" s="38">
        <f>IF('BAN Extension '!D17&gt;0,'BAN Extension '!D17,0)</f>
        <v>8690</v>
      </c>
      <c r="F13" s="39">
        <v>0.2</v>
      </c>
      <c r="G13" s="38"/>
      <c r="H13" s="39">
        <v>5.42</v>
      </c>
      <c r="I13" s="38">
        <f>IF('BAN - EXT- Extension '!D17+'BAN - EXT- Extension '!F17&gt;0,'BAN - EXT- Extension '!D17+'BAN - EXT- Extension '!F17,0)</f>
        <v>590</v>
      </c>
      <c r="J13" s="39">
        <v>7.84</v>
      </c>
      <c r="K13" s="38">
        <f>IF('BAN Extension '!F17&gt;0,'BAN Extension '!F17,0)</f>
        <v>149</v>
      </c>
      <c r="L13" s="39">
        <v>7.84</v>
      </c>
      <c r="M13" s="38"/>
      <c r="N13" s="38"/>
    </row>
    <row r="14" spans="1:14">
      <c r="A14" s="36" t="s">
        <v>36</v>
      </c>
      <c r="B14" s="37">
        <f t="shared" si="0"/>
        <v>13</v>
      </c>
      <c r="C14" s="37">
        <v>8</v>
      </c>
      <c r="D14" s="37">
        <v>2025</v>
      </c>
      <c r="E14" s="38">
        <f>IF('BAN Extension '!D18&gt;0,'BAN Extension '!D18,0)</f>
        <v>8744</v>
      </c>
      <c r="F14" s="39">
        <v>0.2</v>
      </c>
      <c r="G14" s="38"/>
      <c r="H14" s="39">
        <v>5.42</v>
      </c>
      <c r="I14" s="38">
        <f>IF('BAN - EXT- Extension '!D18+'BAN - EXT- Extension '!F18&gt;0,'BAN - EXT- Extension '!D18+'BAN - EXT- Extension '!F18,0)</f>
        <v>645</v>
      </c>
      <c r="J14" s="39">
        <v>7.84</v>
      </c>
      <c r="K14" s="38">
        <f>IF('BAN Extension '!F18&gt;0,'BAN Extension '!F18,0)</f>
        <v>138</v>
      </c>
      <c r="L14" s="39">
        <v>7.84</v>
      </c>
      <c r="M14" s="38"/>
      <c r="N14" s="38"/>
    </row>
    <row r="15" spans="1:14">
      <c r="A15" s="36" t="s">
        <v>36</v>
      </c>
      <c r="B15" s="37">
        <f t="shared" si="0"/>
        <v>14</v>
      </c>
      <c r="C15" s="37">
        <v>8</v>
      </c>
      <c r="D15" s="37">
        <v>2025</v>
      </c>
      <c r="E15" s="38">
        <f>IF('BAN Extension '!D19&gt;0,'BAN Extension '!D19,0)</f>
        <v>9102</v>
      </c>
      <c r="F15" s="39">
        <v>0.2</v>
      </c>
      <c r="G15" s="38"/>
      <c r="H15" s="39">
        <v>5.42</v>
      </c>
      <c r="I15" s="38">
        <f>IF('BAN - EXT- Extension '!D19+'BAN - EXT- Extension '!F19&gt;0,'BAN - EXT- Extension '!D19+'BAN - EXT- Extension '!F19,0)</f>
        <v>674</v>
      </c>
      <c r="J15" s="39">
        <v>7.84</v>
      </c>
      <c r="K15" s="38">
        <f>IF('BAN Extension '!F19&gt;0,'BAN Extension '!F19,0)</f>
        <v>151</v>
      </c>
      <c r="L15" s="39">
        <v>7.84</v>
      </c>
      <c r="M15" s="38"/>
      <c r="N15" s="38"/>
    </row>
    <row r="16" spans="1:14">
      <c r="A16" s="36" t="s">
        <v>36</v>
      </c>
      <c r="B16" s="37">
        <f t="shared" si="0"/>
        <v>15</v>
      </c>
      <c r="C16" s="37">
        <v>8</v>
      </c>
      <c r="D16" s="37">
        <v>2025</v>
      </c>
      <c r="E16" s="38">
        <f>IF('BAN Extension '!D20&gt;0,'BAN Extension '!D20,0)</f>
        <v>9366</v>
      </c>
      <c r="F16" s="39">
        <v>0.2</v>
      </c>
      <c r="G16" s="38"/>
      <c r="H16" s="39">
        <v>5.42</v>
      </c>
      <c r="I16" s="38">
        <f>IF('BAN - EXT- Extension '!D20+'BAN - EXT- Extension '!F20&gt;0,'BAN - EXT- Extension '!D20+'BAN - EXT- Extension '!F20,0)</f>
        <v>679</v>
      </c>
      <c r="J16" s="39">
        <v>7.84</v>
      </c>
      <c r="K16" s="38">
        <f>IF('BAN Extension '!F20&gt;0,'BAN Extension '!F20,0)</f>
        <v>138</v>
      </c>
      <c r="L16" s="39">
        <v>7.84</v>
      </c>
      <c r="M16" s="38"/>
      <c r="N16" s="38"/>
    </row>
    <row r="17" spans="1:14">
      <c r="A17" s="36" t="s">
        <v>36</v>
      </c>
      <c r="B17" s="37">
        <f t="shared" si="0"/>
        <v>16</v>
      </c>
      <c r="C17" s="37">
        <v>8</v>
      </c>
      <c r="D17" s="37">
        <v>2025</v>
      </c>
      <c r="E17" s="38">
        <f>IF('BAN Extension '!D21&gt;0,'BAN Extension '!D21,0)</f>
        <v>9075</v>
      </c>
      <c r="F17" s="39">
        <v>0.2</v>
      </c>
      <c r="G17" s="38"/>
      <c r="H17" s="39">
        <v>5.42</v>
      </c>
      <c r="I17" s="38">
        <f>IF('BAN - EXT- Extension '!D21+'BAN - EXT- Extension '!F21&gt;0,'BAN - EXT- Extension '!D21+'BAN - EXT- Extension '!F21,0)</f>
        <v>783</v>
      </c>
      <c r="J17" s="39">
        <v>7.84</v>
      </c>
      <c r="K17" s="38">
        <f>IF('BAN Extension '!F21&gt;0,'BAN Extension '!F21,0)</f>
        <v>150</v>
      </c>
      <c r="L17" s="39">
        <v>7.84</v>
      </c>
      <c r="M17" s="38"/>
      <c r="N17" s="38"/>
    </row>
    <row r="18" spans="1:14">
      <c r="A18" s="36" t="s">
        <v>36</v>
      </c>
      <c r="B18" s="37">
        <f t="shared" si="0"/>
        <v>17</v>
      </c>
      <c r="C18" s="37">
        <v>8</v>
      </c>
      <c r="D18" s="37">
        <v>2025</v>
      </c>
      <c r="E18" s="38">
        <f>IF('BAN Extension '!D22&gt;0,'BAN Extension '!D22,0)</f>
        <v>9040</v>
      </c>
      <c r="F18" s="39">
        <v>0.2</v>
      </c>
      <c r="G18" s="38"/>
      <c r="H18" s="39">
        <v>5.42</v>
      </c>
      <c r="I18" s="38">
        <f>IF('BAN - EXT- Extension '!D22+'BAN - EXT- Extension '!F22&gt;0,'BAN - EXT- Extension '!D22+'BAN - EXT- Extension '!F22,0)</f>
        <v>568</v>
      </c>
      <c r="J18" s="39">
        <v>7.84</v>
      </c>
      <c r="K18" s="38">
        <f>IF('BAN Extension '!F22&gt;0,'BAN Extension '!F22,0)</f>
        <v>181</v>
      </c>
      <c r="L18" s="39">
        <v>7.84</v>
      </c>
      <c r="M18" s="38"/>
      <c r="N18" s="38"/>
    </row>
    <row r="19" spans="1:14">
      <c r="A19" s="36" t="s">
        <v>36</v>
      </c>
      <c r="B19" s="37">
        <f t="shared" si="0"/>
        <v>18</v>
      </c>
      <c r="C19" s="37">
        <v>8</v>
      </c>
      <c r="D19" s="37">
        <v>2025</v>
      </c>
      <c r="E19" s="38">
        <f>IF('BAN Extension '!D23&gt;0,'BAN Extension '!D23,0)</f>
        <v>8739</v>
      </c>
      <c r="F19" s="39">
        <v>0.2</v>
      </c>
      <c r="G19" s="38"/>
      <c r="H19" s="39">
        <v>5.42</v>
      </c>
      <c r="I19" s="38">
        <f>IF('BAN - EXT- Extension '!D23+'BAN - EXT- Extension '!F23&gt;0,'BAN - EXT- Extension '!D23+'BAN - EXT- Extension '!F23,0)</f>
        <v>735</v>
      </c>
      <c r="J19" s="39">
        <v>7.84</v>
      </c>
      <c r="K19" s="38">
        <f>IF('BAN Extension '!F23&gt;0,'BAN Extension '!F23,0)</f>
        <v>136</v>
      </c>
      <c r="L19" s="39">
        <v>7.84</v>
      </c>
      <c r="M19" s="38"/>
      <c r="N19" s="38"/>
    </row>
    <row r="20" spans="1:14">
      <c r="A20" s="36" t="s">
        <v>36</v>
      </c>
      <c r="B20" s="37">
        <f t="shared" si="0"/>
        <v>19</v>
      </c>
      <c r="C20" s="37">
        <v>8</v>
      </c>
      <c r="D20" s="37">
        <v>2025</v>
      </c>
      <c r="E20" s="38">
        <f>IF('BAN Extension '!D24&gt;0,'BAN Extension '!D24,0)</f>
        <v>8813</v>
      </c>
      <c r="F20" s="39">
        <v>0.2</v>
      </c>
      <c r="G20" s="38"/>
      <c r="H20" s="39">
        <v>5.42</v>
      </c>
      <c r="I20" s="38">
        <f>IF('BAN - EXT- Extension '!D24+'BAN - EXT- Extension '!F24&gt;0,'BAN - EXT- Extension '!D24+'BAN - EXT- Extension '!F24,0)</f>
        <v>638</v>
      </c>
      <c r="J20" s="39">
        <v>7.84</v>
      </c>
      <c r="K20" s="38">
        <f>IF('BAN Extension '!F24&gt;0,'BAN Extension '!F24,0)</f>
        <v>150</v>
      </c>
      <c r="L20" s="39">
        <v>7.84</v>
      </c>
      <c r="M20" s="38"/>
      <c r="N20" s="38"/>
    </row>
    <row r="21" spans="1:14">
      <c r="A21" s="36" t="s">
        <v>36</v>
      </c>
      <c r="B21" s="37">
        <f t="shared" si="0"/>
        <v>20</v>
      </c>
      <c r="C21" s="37">
        <v>8</v>
      </c>
      <c r="D21" s="37">
        <v>2025</v>
      </c>
      <c r="E21" s="38">
        <f>IF('BAN Extension '!D25&gt;0,'BAN Extension '!D25,0)</f>
        <v>8396</v>
      </c>
      <c r="F21" s="39">
        <v>0.2</v>
      </c>
      <c r="G21" s="38"/>
      <c r="H21" s="39">
        <v>5.42</v>
      </c>
      <c r="I21" s="38">
        <f>IF('BAN - EXT- Extension '!D25+'BAN - EXT- Extension '!F25&gt;0,'BAN - EXT- Extension '!D25+'BAN - EXT- Extension '!F25,0)</f>
        <v>538</v>
      </c>
      <c r="J21" s="39">
        <v>7.84</v>
      </c>
      <c r="K21" s="38">
        <f>IF('BAN Extension '!F25&gt;0,'BAN Extension '!F25,0)</f>
        <v>183</v>
      </c>
      <c r="L21" s="39">
        <v>7.84</v>
      </c>
      <c r="M21" s="38"/>
      <c r="N21" s="38"/>
    </row>
    <row r="22" spans="1:14">
      <c r="A22" s="36" t="s">
        <v>36</v>
      </c>
      <c r="B22" s="37">
        <f t="shared" si="0"/>
        <v>21</v>
      </c>
      <c r="C22" s="37">
        <v>8</v>
      </c>
      <c r="D22" s="37">
        <v>2025</v>
      </c>
      <c r="E22" s="38">
        <f>IF('BAN Extension '!D26&gt;0,'BAN Extension '!D26,0)</f>
        <v>10</v>
      </c>
      <c r="F22" s="39">
        <v>0.2</v>
      </c>
      <c r="G22" s="38"/>
      <c r="H22" s="39">
        <v>5.42</v>
      </c>
      <c r="I22" s="38">
        <f>IF('BAN - EXT- Extension '!D26+'BAN - EXT- Extension '!F26&gt;0,'BAN - EXT- Extension '!D26+'BAN - EXT- Extension '!F26,0)</f>
        <v>479</v>
      </c>
      <c r="J22" s="39">
        <v>7.84</v>
      </c>
      <c r="K22" s="38">
        <f>IF('BAN Extension '!F26&gt;0,'BAN Extension '!F26,0)</f>
        <v>44</v>
      </c>
      <c r="L22" s="39">
        <v>7.84</v>
      </c>
      <c r="M22" s="38"/>
      <c r="N22" s="38"/>
    </row>
    <row r="23" spans="1:14">
      <c r="A23" s="36" t="s">
        <v>36</v>
      </c>
      <c r="B23" s="37">
        <f t="shared" si="0"/>
        <v>22</v>
      </c>
      <c r="C23" s="37">
        <v>8</v>
      </c>
      <c r="D23" s="37">
        <v>2025</v>
      </c>
      <c r="E23" s="38">
        <f>IF('BAN Extension '!D27&gt;0,'BAN Extension '!D27,0)</f>
        <v>18258</v>
      </c>
      <c r="F23" s="39">
        <v>0.2</v>
      </c>
      <c r="G23" s="38"/>
      <c r="H23" s="39">
        <v>5.42</v>
      </c>
      <c r="I23" s="38">
        <f>IF('BAN - EXT- Extension '!D27+'BAN - EXT- Extension '!F27&gt;0,'BAN - EXT- Extension '!D27+'BAN - EXT- Extension '!F27,0)</f>
        <v>564</v>
      </c>
      <c r="J23" s="39">
        <v>7.84</v>
      </c>
      <c r="K23" s="38">
        <f>IF('BAN Extension '!F27&gt;0,'BAN Extension '!F27,0)</f>
        <v>218</v>
      </c>
      <c r="L23" s="39">
        <v>7.84</v>
      </c>
      <c r="M23" s="38"/>
      <c r="N23" s="38"/>
    </row>
    <row r="24" spans="1:14">
      <c r="A24" s="36" t="s">
        <v>36</v>
      </c>
      <c r="B24" s="37">
        <f t="shared" si="0"/>
        <v>23</v>
      </c>
      <c r="C24" s="37">
        <v>8</v>
      </c>
      <c r="D24" s="37">
        <v>2025</v>
      </c>
      <c r="E24" s="38">
        <f>IF('BAN Extension '!D28&gt;0,'BAN Extension '!D28,0)</f>
        <v>15179</v>
      </c>
      <c r="F24" s="39">
        <v>0.2</v>
      </c>
      <c r="G24" s="38"/>
      <c r="H24" s="39">
        <v>5.42</v>
      </c>
      <c r="I24" s="38">
        <f>IF('BAN - EXT- Extension '!D28+'BAN - EXT- Extension '!F28&gt;0,'BAN - EXT- Extension '!D28+'BAN - EXT- Extension '!F28,0)</f>
        <v>467</v>
      </c>
      <c r="J24" s="39">
        <v>7.84</v>
      </c>
      <c r="K24" s="38">
        <f>IF('BAN Extension '!F28&gt;0,'BAN Extension '!F28,0)</f>
        <v>9</v>
      </c>
      <c r="L24" s="39">
        <v>7.84</v>
      </c>
      <c r="M24" s="38"/>
      <c r="N24" s="38"/>
    </row>
    <row r="25" spans="1:14">
      <c r="A25" s="36" t="s">
        <v>36</v>
      </c>
      <c r="B25" s="37">
        <f t="shared" si="0"/>
        <v>24</v>
      </c>
      <c r="C25" s="37">
        <v>8</v>
      </c>
      <c r="D25" s="37">
        <v>2025</v>
      </c>
      <c r="E25" s="38">
        <f>IF('BAN Extension '!D29&gt;0,'BAN Extension '!D29,0)</f>
        <v>1073</v>
      </c>
      <c r="F25" s="39">
        <v>0.2</v>
      </c>
      <c r="G25" s="38"/>
      <c r="H25" s="39">
        <v>5.42</v>
      </c>
      <c r="I25" s="38">
        <f>IF('BAN - EXT- Extension '!D29+'BAN - EXT- Extension '!F29&gt;0,'BAN - EXT- Extension '!D29+'BAN - EXT- Extension '!F29,0)</f>
        <v>587</v>
      </c>
      <c r="J25" s="39">
        <v>7.84</v>
      </c>
      <c r="K25" s="38">
        <f>IF('BAN Extension '!F29&gt;0,'BAN Extension '!F29,0)</f>
        <v>300</v>
      </c>
      <c r="L25" s="39">
        <v>7.84</v>
      </c>
      <c r="M25" s="38"/>
      <c r="N25" s="38"/>
    </row>
    <row r="26" spans="1:14">
      <c r="A26" s="36" t="s">
        <v>36</v>
      </c>
      <c r="B26" s="37">
        <f>B25+1</f>
        <v>25</v>
      </c>
      <c r="C26" s="37">
        <v>8</v>
      </c>
      <c r="D26" s="37">
        <v>2025</v>
      </c>
      <c r="E26" s="38">
        <f>IF('BAN Extension '!D30&gt;0,'BAN Extension '!D30,0)</f>
        <v>7846</v>
      </c>
      <c r="F26" s="39">
        <v>0.2</v>
      </c>
      <c r="G26" s="38"/>
      <c r="H26" s="39">
        <v>5.42</v>
      </c>
      <c r="I26" s="38">
        <f>IF('BAN - EXT- Extension '!D30+'BAN - EXT- Extension '!F30&gt;0,'BAN - EXT- Extension '!D30+'BAN - EXT- Extension '!F30,0)</f>
        <v>424</v>
      </c>
      <c r="J26" s="39">
        <v>7.84</v>
      </c>
      <c r="K26" s="38">
        <f>IF('BAN Extension '!F30&gt;0,'BAN Extension '!F30,0)</f>
        <v>144</v>
      </c>
      <c r="L26" s="39">
        <v>7.84</v>
      </c>
      <c r="M26" s="38"/>
      <c r="N26" s="38"/>
    </row>
    <row r="27" spans="1:14">
      <c r="A27" s="36" t="s">
        <v>36</v>
      </c>
      <c r="B27" s="37">
        <f t="shared" si="0"/>
        <v>26</v>
      </c>
      <c r="C27" s="37">
        <v>8</v>
      </c>
      <c r="D27" s="37">
        <v>2025</v>
      </c>
      <c r="E27" s="38">
        <f>IF('BAN Extension '!D31&gt;0,'BAN Extension '!D31,0)</f>
        <v>8723</v>
      </c>
      <c r="F27" s="39">
        <v>0.2</v>
      </c>
      <c r="G27" s="38"/>
      <c r="H27" s="39">
        <v>5.42</v>
      </c>
      <c r="I27" s="38">
        <f>IF('BAN - EXT- Extension '!D31+'BAN - EXT- Extension '!F31&gt;0,'BAN - EXT- Extension '!D31+'BAN - EXT- Extension '!F31,0)</f>
        <v>525</v>
      </c>
      <c r="J27" s="39">
        <v>7.84</v>
      </c>
      <c r="K27" s="38">
        <f>IF('BAN Extension '!F31&gt;0,'BAN Extension '!F31,0)</f>
        <v>196</v>
      </c>
      <c r="L27" s="39">
        <v>7.84</v>
      </c>
      <c r="M27" s="38"/>
      <c r="N27" s="38"/>
    </row>
    <row r="28" spans="1:14">
      <c r="A28" s="36" t="s">
        <v>36</v>
      </c>
      <c r="B28" s="37">
        <f t="shared" si="0"/>
        <v>27</v>
      </c>
      <c r="C28" s="37">
        <v>8</v>
      </c>
      <c r="D28" s="37">
        <v>2025</v>
      </c>
      <c r="E28" s="38">
        <f>IF('BAN Extension '!D32&gt;0,'BAN Extension '!D32,0)</f>
        <v>8580</v>
      </c>
      <c r="F28" s="39">
        <v>0.2</v>
      </c>
      <c r="G28" s="38"/>
      <c r="H28" s="39">
        <v>5.42</v>
      </c>
      <c r="I28" s="38">
        <f>IF('BAN - EXT- Extension '!D32+'BAN - EXT- Extension '!F32&gt;0,'BAN - EXT- Extension '!D32+'BAN - EXT- Extension '!F32,0)</f>
        <v>527</v>
      </c>
      <c r="J28" s="39">
        <v>7.84</v>
      </c>
      <c r="K28" s="38">
        <f>IF('BAN Extension '!F32&gt;0,'BAN Extension '!F32,0)</f>
        <v>169</v>
      </c>
      <c r="L28" s="39">
        <v>7.84</v>
      </c>
      <c r="M28" s="38"/>
      <c r="N28" s="38"/>
    </row>
    <row r="29" spans="1:14">
      <c r="A29" s="36" t="s">
        <v>36</v>
      </c>
      <c r="B29" s="37">
        <f t="shared" si="0"/>
        <v>28</v>
      </c>
      <c r="C29" s="37">
        <v>8</v>
      </c>
      <c r="D29" s="37">
        <v>2025</v>
      </c>
      <c r="E29" s="38">
        <f>IF('BAN Extension '!D33&gt;0,'BAN Extension '!D33,0)</f>
        <v>9170</v>
      </c>
      <c r="F29" s="39">
        <v>0.2</v>
      </c>
      <c r="G29" s="38"/>
      <c r="H29" s="39">
        <v>5.42</v>
      </c>
      <c r="I29" s="38">
        <f>IF('BAN - EXT- Extension '!D33+'BAN - EXT- Extension '!F33&gt;0,'BAN - EXT- Extension '!D33+'BAN - EXT- Extension '!F33,0)</f>
        <v>604</v>
      </c>
      <c r="J29" s="39">
        <v>7.84</v>
      </c>
      <c r="K29" s="38">
        <f>IF('BAN Extension '!F33&gt;0,'BAN Extension '!F33,0)</f>
        <v>141</v>
      </c>
      <c r="L29" s="39">
        <v>7.84</v>
      </c>
      <c r="M29" s="38"/>
      <c r="N29" s="38"/>
    </row>
    <row r="30" spans="1:14">
      <c r="A30" s="36" t="s">
        <v>36</v>
      </c>
      <c r="B30" s="37">
        <f t="shared" si="0"/>
        <v>29</v>
      </c>
      <c r="C30" s="37">
        <v>8</v>
      </c>
      <c r="D30" s="37">
        <v>2025</v>
      </c>
      <c r="E30" s="38">
        <f>IF('BAN Extension '!D34&gt;0,'BAN Extension '!D34,0)</f>
        <v>8961</v>
      </c>
      <c r="F30" s="39">
        <v>0.2</v>
      </c>
      <c r="G30" s="38"/>
      <c r="H30" s="39">
        <v>5.42</v>
      </c>
      <c r="I30" s="38">
        <f>IF('BAN - EXT- Extension '!D34+'BAN - EXT- Extension '!F34&gt;0,'BAN - EXT- Extension '!D34+'BAN - EXT- Extension '!F34,0)</f>
        <v>544</v>
      </c>
      <c r="J30" s="39">
        <v>7.84</v>
      </c>
      <c r="K30" s="38">
        <f>IF('BAN Extension '!F34&gt;0,'BAN Extension '!F34,0)</f>
        <v>150</v>
      </c>
      <c r="L30" s="39">
        <v>7.84</v>
      </c>
      <c r="M30" s="38"/>
      <c r="N30" s="38"/>
    </row>
    <row r="31" spans="1:14">
      <c r="A31" s="36" t="s">
        <v>36</v>
      </c>
      <c r="B31" s="37">
        <f t="shared" si="0"/>
        <v>30</v>
      </c>
      <c r="C31" s="37">
        <v>8</v>
      </c>
      <c r="D31" s="37">
        <v>2025</v>
      </c>
      <c r="E31" s="38">
        <f>IF('BAN Extension '!D35&gt;0,'BAN Extension '!D35,0)</f>
        <v>9168</v>
      </c>
      <c r="F31" s="39">
        <v>0.2</v>
      </c>
      <c r="G31" s="38"/>
      <c r="H31" s="39">
        <v>5.42</v>
      </c>
      <c r="I31" s="38">
        <f>IF('BAN - EXT- Extension '!D35+'BAN - EXT- Extension '!F35&gt;0,'BAN - EXT- Extension '!D35+'BAN - EXT- Extension '!F35,0)</f>
        <v>438</v>
      </c>
      <c r="J31" s="39">
        <v>7.84</v>
      </c>
      <c r="K31" s="38">
        <f>IF('BAN Extension '!F35&gt;0,'BAN Extension '!F35,0)</f>
        <v>108</v>
      </c>
      <c r="L31" s="39">
        <v>7.84</v>
      </c>
      <c r="M31" s="38"/>
      <c r="N31" s="38"/>
    </row>
    <row r="32" spans="1:14">
      <c r="A32" s="36" t="s">
        <v>36</v>
      </c>
      <c r="B32" s="37">
        <f t="shared" si="0"/>
        <v>31</v>
      </c>
      <c r="C32" s="37">
        <v>8</v>
      </c>
      <c r="D32" s="37">
        <v>2025</v>
      </c>
      <c r="E32" s="38">
        <f>IF('BAN Extension '!D36&gt;0,'BAN Extension '!D36,0)</f>
        <v>0</v>
      </c>
      <c r="F32" s="39">
        <v>0.2</v>
      </c>
      <c r="G32" s="38"/>
      <c r="H32" s="39">
        <v>5.42</v>
      </c>
      <c r="I32" s="38">
        <f>IF('BAN - EXT- Extension '!D36+'BAN - EXT- Extension '!F36&gt;0,'BAN - EXT- Extension '!D36+'BAN - EXT- Extension '!F36,0)</f>
        <v>0</v>
      </c>
      <c r="J32" s="39">
        <v>7.84</v>
      </c>
      <c r="K32" s="38">
        <f>IF('BAN Extension '!F36&gt;0,'BAN Extension '!F36,0)</f>
        <v>0</v>
      </c>
      <c r="L32" s="39">
        <v>7.84</v>
      </c>
      <c r="M32" s="38"/>
      <c r="N32" s="38"/>
    </row>
    <row r="33" spans="7:9">
      <c r="G33" s="38"/>
      <c r="I33" s="3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6"/>
  <sheetViews>
    <sheetView zoomScale="85" zoomScaleNormal="85" zoomScaleSheetLayoutView="80" workbookViewId="0">
      <selection activeCell="F6" sqref="F6"/>
    </sheetView>
  </sheetViews>
  <sheetFormatPr defaultColWidth="9" defaultRowHeight="14.4"/>
  <cols>
    <col min="1" max="2" width="24" style="1" customWidth="1"/>
    <col min="3" max="3" width="36.88671875" style="1" customWidth="1"/>
    <col min="4" max="4" width="41" style="1" customWidth="1"/>
    <col min="5" max="5" width="48.33203125" style="1" customWidth="1"/>
    <col min="6" max="6" width="44.5546875" style="1" customWidth="1"/>
    <col min="7" max="7" width="46.44140625" style="1" customWidth="1"/>
    <col min="8" max="8" width="45.109375" style="1" customWidth="1"/>
  </cols>
  <sheetData>
    <row r="1" spans="1:8" ht="57.75" customHeight="1">
      <c r="A1" s="22" t="s">
        <v>0</v>
      </c>
      <c r="B1" s="23"/>
      <c r="C1" s="23"/>
      <c r="D1" s="23"/>
      <c r="E1" s="23"/>
      <c r="F1" s="23"/>
      <c r="G1" s="23"/>
      <c r="H1" s="23"/>
    </row>
    <row r="2" spans="1:8" ht="22.5" customHeight="1">
      <c r="A2" s="2" t="s">
        <v>1</v>
      </c>
      <c r="B2" s="2" t="s">
        <v>2</v>
      </c>
      <c r="C2" s="2" t="s">
        <v>3</v>
      </c>
      <c r="D2" s="2"/>
      <c r="E2" s="2" t="s">
        <v>3</v>
      </c>
      <c r="F2" s="2"/>
      <c r="G2" s="24" t="s">
        <v>4</v>
      </c>
      <c r="H2" s="24" t="s">
        <v>5</v>
      </c>
    </row>
    <row r="3" spans="1:8" ht="22.5" customHeight="1">
      <c r="A3" s="2" t="s">
        <v>6</v>
      </c>
      <c r="B3" s="2"/>
      <c r="C3" s="2" t="s">
        <v>7</v>
      </c>
      <c r="D3" s="2"/>
      <c r="E3" s="2" t="s">
        <v>8</v>
      </c>
      <c r="F3" s="2"/>
      <c r="G3" s="26"/>
      <c r="H3" s="26"/>
    </row>
    <row r="4" spans="1:8" ht="22.5" customHeight="1">
      <c r="A4" s="24" t="s">
        <v>9</v>
      </c>
      <c r="B4" s="5"/>
      <c r="C4" s="2" t="s">
        <v>10</v>
      </c>
      <c r="D4" s="2" t="s">
        <v>11</v>
      </c>
      <c r="E4" s="2" t="s">
        <v>12</v>
      </c>
      <c r="F4" s="2" t="s">
        <v>11</v>
      </c>
      <c r="G4" s="26"/>
      <c r="H4" s="26"/>
    </row>
    <row r="5" spans="1:8" ht="22.5" customHeight="1">
      <c r="A5" s="25"/>
      <c r="B5" s="6"/>
      <c r="C5" s="5" t="s">
        <v>13</v>
      </c>
      <c r="D5" s="5" t="s">
        <v>13</v>
      </c>
      <c r="E5" s="14" t="s">
        <v>13</v>
      </c>
      <c r="F5" s="5" t="s">
        <v>13</v>
      </c>
      <c r="G5" s="25"/>
      <c r="H5" s="25"/>
    </row>
    <row r="6" spans="1:8" ht="35.25" customHeight="1">
      <c r="A6" s="8">
        <v>45870</v>
      </c>
      <c r="B6" s="8"/>
      <c r="C6" s="10">
        <v>112109</v>
      </c>
      <c r="D6" s="15">
        <f>C7-C6</f>
        <v>95</v>
      </c>
      <c r="E6" s="16">
        <v>285383</v>
      </c>
      <c r="F6" s="16">
        <f>E7-E6</f>
        <v>429</v>
      </c>
      <c r="G6" s="10" t="s">
        <v>14</v>
      </c>
      <c r="H6" s="10"/>
    </row>
    <row r="7" spans="1:8" ht="35.25" customHeight="1">
      <c r="A7" s="8">
        <v>45871</v>
      </c>
      <c r="B7" s="8"/>
      <c r="C7" s="10">
        <v>112204</v>
      </c>
      <c r="D7" s="15">
        <f t="shared" ref="D7:D13" si="0">C8-C7</f>
        <v>81</v>
      </c>
      <c r="E7" s="16">
        <v>285812</v>
      </c>
      <c r="F7" s="16">
        <f t="shared" ref="F7:F13" si="1">E8-E7</f>
        <v>394</v>
      </c>
      <c r="G7" s="10"/>
      <c r="H7" s="10"/>
    </row>
    <row r="8" spans="1:8" ht="35.25" customHeight="1">
      <c r="A8" s="8">
        <v>45872</v>
      </c>
      <c r="B8" s="8"/>
      <c r="C8" s="10">
        <v>112285</v>
      </c>
      <c r="D8" s="15">
        <f t="shared" si="0"/>
        <v>80</v>
      </c>
      <c r="E8" s="16">
        <v>286206</v>
      </c>
      <c r="F8" s="16">
        <f t="shared" si="1"/>
        <v>354</v>
      </c>
      <c r="G8" s="10"/>
      <c r="H8" s="10"/>
    </row>
    <row r="9" spans="1:8" ht="35.25" customHeight="1">
      <c r="A9" s="8">
        <v>45873</v>
      </c>
      <c r="B9" s="8"/>
      <c r="C9" s="10">
        <v>112365</v>
      </c>
      <c r="D9" s="15">
        <f t="shared" si="0"/>
        <v>90</v>
      </c>
      <c r="E9" s="16">
        <v>286560</v>
      </c>
      <c r="F9" s="16">
        <f t="shared" si="1"/>
        <v>388</v>
      </c>
      <c r="G9" s="10"/>
      <c r="H9" s="10"/>
    </row>
    <row r="10" spans="1:8" ht="35.25" customHeight="1">
      <c r="A10" s="8">
        <v>45874</v>
      </c>
      <c r="B10" s="8"/>
      <c r="C10" s="10">
        <v>112455</v>
      </c>
      <c r="D10" s="15">
        <f t="shared" si="0"/>
        <v>83</v>
      </c>
      <c r="E10" s="16">
        <v>286948</v>
      </c>
      <c r="F10" s="16">
        <f t="shared" si="1"/>
        <v>433</v>
      </c>
      <c r="G10" s="10"/>
      <c r="H10" s="10"/>
    </row>
    <row r="11" spans="1:8" ht="35.25" customHeight="1">
      <c r="A11" s="8">
        <v>45875</v>
      </c>
      <c r="B11" s="8"/>
      <c r="C11" s="10">
        <v>112538</v>
      </c>
      <c r="D11" s="15">
        <f t="shared" si="0"/>
        <v>95</v>
      </c>
      <c r="E11" s="16">
        <v>287381</v>
      </c>
      <c r="F11" s="16">
        <f t="shared" si="1"/>
        <v>467</v>
      </c>
      <c r="G11" s="10"/>
      <c r="H11" s="10"/>
    </row>
    <row r="12" spans="1:8" ht="35.25" customHeight="1">
      <c r="A12" s="8">
        <v>45876</v>
      </c>
      <c r="B12" s="8"/>
      <c r="C12" s="10">
        <v>112633</v>
      </c>
      <c r="D12" s="15">
        <f t="shared" si="0"/>
        <v>86</v>
      </c>
      <c r="E12" s="16">
        <v>287848</v>
      </c>
      <c r="F12" s="16">
        <f t="shared" si="1"/>
        <v>417</v>
      </c>
      <c r="G12" s="10"/>
      <c r="H12" s="10"/>
    </row>
    <row r="13" spans="1:8" ht="35.25" customHeight="1">
      <c r="A13" s="8">
        <v>45877</v>
      </c>
      <c r="B13" s="8"/>
      <c r="C13" s="17">
        <v>112719</v>
      </c>
      <c r="D13" s="15">
        <f t="shared" si="0"/>
        <v>100</v>
      </c>
      <c r="E13" s="18">
        <v>288265</v>
      </c>
      <c r="F13" s="16">
        <f t="shared" si="1"/>
        <v>562</v>
      </c>
      <c r="G13" s="19"/>
      <c r="H13" s="19"/>
    </row>
    <row r="14" spans="1:8" ht="35.25" customHeight="1">
      <c r="A14" s="8">
        <v>45878</v>
      </c>
      <c r="B14" s="8"/>
      <c r="C14" s="15">
        <v>112819</v>
      </c>
      <c r="D14" s="15">
        <f t="shared" ref="D14:D21" si="2">C15-C14</f>
        <v>128</v>
      </c>
      <c r="E14" s="16">
        <v>288827</v>
      </c>
      <c r="F14" s="16">
        <f t="shared" ref="F14:F21" si="3">E15-E14</f>
        <v>912</v>
      </c>
      <c r="G14" s="20"/>
      <c r="H14" s="20"/>
    </row>
    <row r="15" spans="1:8" ht="35.25" customHeight="1">
      <c r="A15" s="8">
        <v>45879</v>
      </c>
      <c r="B15" s="8"/>
      <c r="C15" s="15">
        <v>112947</v>
      </c>
      <c r="D15" s="15">
        <f t="shared" si="2"/>
        <v>119</v>
      </c>
      <c r="E15" s="16">
        <v>289739</v>
      </c>
      <c r="F15" s="16">
        <f t="shared" si="3"/>
        <v>741</v>
      </c>
      <c r="G15" s="20"/>
      <c r="H15" s="20"/>
    </row>
    <row r="16" spans="1:8" ht="35.25" customHeight="1">
      <c r="A16" s="8">
        <v>45880</v>
      </c>
      <c r="B16" s="8"/>
      <c r="C16" s="15">
        <v>113066</v>
      </c>
      <c r="D16" s="15">
        <f t="shared" si="2"/>
        <v>94</v>
      </c>
      <c r="E16" s="16">
        <v>290480</v>
      </c>
      <c r="F16" s="16">
        <f t="shared" si="3"/>
        <v>513</v>
      </c>
      <c r="G16" s="20"/>
      <c r="H16" s="20"/>
    </row>
    <row r="17" spans="1:8" ht="35.25" customHeight="1">
      <c r="A17" s="8">
        <v>45881</v>
      </c>
      <c r="B17" s="8"/>
      <c r="C17" s="15">
        <v>113160</v>
      </c>
      <c r="D17" s="15">
        <f t="shared" si="2"/>
        <v>96</v>
      </c>
      <c r="E17" s="16">
        <v>290993</v>
      </c>
      <c r="F17" s="16">
        <f t="shared" si="3"/>
        <v>494</v>
      </c>
      <c r="G17" s="20"/>
      <c r="H17" s="20"/>
    </row>
    <row r="18" spans="1:8" ht="35.25" customHeight="1">
      <c r="A18" s="8">
        <v>45882</v>
      </c>
      <c r="B18" s="8"/>
      <c r="C18" s="15">
        <v>113256</v>
      </c>
      <c r="D18" s="15">
        <f t="shared" si="2"/>
        <v>105</v>
      </c>
      <c r="E18" s="16">
        <v>291487</v>
      </c>
      <c r="F18" s="16">
        <f t="shared" si="3"/>
        <v>540</v>
      </c>
      <c r="G18" s="20"/>
      <c r="H18" s="20"/>
    </row>
    <row r="19" spans="1:8" ht="35.25" customHeight="1">
      <c r="A19" s="8">
        <v>45883</v>
      </c>
      <c r="B19" s="8"/>
      <c r="C19" s="15">
        <v>113361</v>
      </c>
      <c r="D19" s="15">
        <f t="shared" si="2"/>
        <v>98</v>
      </c>
      <c r="E19" s="16">
        <v>292027</v>
      </c>
      <c r="F19" s="16">
        <f t="shared" si="3"/>
        <v>576</v>
      </c>
      <c r="G19" s="20"/>
      <c r="H19" s="20"/>
    </row>
    <row r="20" spans="1:8" ht="35.25" customHeight="1">
      <c r="A20" s="8">
        <v>45884</v>
      </c>
      <c r="B20" s="8"/>
      <c r="C20" s="15">
        <v>113459</v>
      </c>
      <c r="D20" s="15">
        <f t="shared" si="2"/>
        <v>106</v>
      </c>
      <c r="E20" s="16">
        <v>292603</v>
      </c>
      <c r="F20" s="16">
        <f t="shared" si="3"/>
        <v>573</v>
      </c>
      <c r="G20" s="20"/>
      <c r="H20" s="20"/>
    </row>
    <row r="21" spans="1:8" ht="35.25" customHeight="1">
      <c r="A21" s="8">
        <v>45885</v>
      </c>
      <c r="B21" s="8"/>
      <c r="C21" s="9">
        <v>113565</v>
      </c>
      <c r="D21" s="15">
        <f t="shared" si="2"/>
        <v>156</v>
      </c>
      <c r="E21" s="16">
        <v>293176</v>
      </c>
      <c r="F21" s="16">
        <f t="shared" si="3"/>
        <v>627</v>
      </c>
      <c r="G21" s="10"/>
      <c r="H21" s="10"/>
    </row>
    <row r="22" spans="1:8" ht="35.25" customHeight="1">
      <c r="A22" s="8">
        <v>45886</v>
      </c>
      <c r="B22" s="8"/>
      <c r="C22" s="9">
        <v>113721</v>
      </c>
      <c r="D22" s="15">
        <f t="shared" ref="D22:D27" si="4">C23-C22</f>
        <v>104</v>
      </c>
      <c r="E22" s="16">
        <v>293803</v>
      </c>
      <c r="F22" s="16">
        <f t="shared" ref="F22:F25" si="5">E23-E22</f>
        <v>464</v>
      </c>
      <c r="G22" s="10"/>
      <c r="H22" s="10"/>
    </row>
    <row r="23" spans="1:8" ht="35.25" customHeight="1">
      <c r="A23" s="8">
        <v>45887</v>
      </c>
      <c r="B23" s="8"/>
      <c r="C23" s="9">
        <v>113825</v>
      </c>
      <c r="D23" s="15">
        <f t="shared" si="4"/>
        <v>115</v>
      </c>
      <c r="E23" s="16">
        <v>294267</v>
      </c>
      <c r="F23" s="16">
        <f t="shared" si="5"/>
        <v>620</v>
      </c>
      <c r="G23" s="10"/>
      <c r="H23" s="10"/>
    </row>
    <row r="24" spans="1:8" ht="35.25" customHeight="1">
      <c r="A24" s="8">
        <v>45888</v>
      </c>
      <c r="B24" s="8"/>
      <c r="C24" s="9">
        <v>113940</v>
      </c>
      <c r="D24" s="15">
        <f t="shared" si="4"/>
        <v>98</v>
      </c>
      <c r="E24" s="16">
        <v>294887</v>
      </c>
      <c r="F24" s="16">
        <f t="shared" si="5"/>
        <v>540</v>
      </c>
      <c r="G24" s="10"/>
      <c r="H24" s="10"/>
    </row>
    <row r="25" spans="1:8" ht="35.25" customHeight="1">
      <c r="A25" s="8">
        <v>45889</v>
      </c>
      <c r="B25" s="8"/>
      <c r="C25" s="15">
        <v>114038</v>
      </c>
      <c r="D25" s="15">
        <f t="shared" si="4"/>
        <v>98</v>
      </c>
      <c r="E25" s="16">
        <v>295427</v>
      </c>
      <c r="F25" s="16">
        <f t="shared" si="5"/>
        <v>440</v>
      </c>
      <c r="G25" s="20"/>
      <c r="H25" s="20"/>
    </row>
    <row r="26" spans="1:8" ht="35.25" customHeight="1">
      <c r="A26" s="8">
        <v>45890</v>
      </c>
      <c r="B26" s="8"/>
      <c r="C26" s="15">
        <v>114136</v>
      </c>
      <c r="D26" s="15">
        <f t="shared" si="4"/>
        <v>11</v>
      </c>
      <c r="E26" s="16">
        <v>295867</v>
      </c>
      <c r="F26" s="16">
        <f t="shared" ref="F26:F35" si="6">E27-E26</f>
        <v>468</v>
      </c>
      <c r="G26" s="20"/>
      <c r="H26" s="20"/>
    </row>
    <row r="27" spans="1:8" ht="35.25" customHeight="1">
      <c r="A27" s="8">
        <v>45891</v>
      </c>
      <c r="B27" s="8"/>
      <c r="C27" s="15">
        <v>114147</v>
      </c>
      <c r="D27" s="15">
        <f t="shared" si="4"/>
        <v>186</v>
      </c>
      <c r="E27" s="16">
        <v>296335</v>
      </c>
      <c r="F27" s="16">
        <f t="shared" si="6"/>
        <v>378</v>
      </c>
      <c r="G27" s="20"/>
      <c r="H27" s="20"/>
    </row>
    <row r="28" spans="1:8" ht="35.25" customHeight="1">
      <c r="A28" s="8">
        <v>45892</v>
      </c>
      <c r="B28" s="8"/>
      <c r="C28" s="15">
        <v>114333</v>
      </c>
      <c r="D28" s="15">
        <f t="shared" ref="D28:D35" si="7">C29-C28</f>
        <v>89</v>
      </c>
      <c r="E28" s="16">
        <v>296713</v>
      </c>
      <c r="F28" s="16">
        <f t="shared" si="6"/>
        <v>378</v>
      </c>
      <c r="G28" s="20"/>
      <c r="H28" s="20"/>
    </row>
    <row r="29" spans="1:8" ht="35.25" customHeight="1">
      <c r="A29" s="8">
        <v>45893</v>
      </c>
      <c r="B29" s="8"/>
      <c r="C29" s="15">
        <v>114422</v>
      </c>
      <c r="D29" s="15">
        <f t="shared" si="7"/>
        <v>91</v>
      </c>
      <c r="E29" s="16">
        <v>297091</v>
      </c>
      <c r="F29" s="16">
        <f t="shared" si="6"/>
        <v>496</v>
      </c>
      <c r="G29" s="20"/>
      <c r="H29" s="20"/>
    </row>
    <row r="30" spans="1:8" ht="35.25" customHeight="1">
      <c r="A30" s="8">
        <v>45894</v>
      </c>
      <c r="B30" s="8"/>
      <c r="C30" s="15">
        <v>114513</v>
      </c>
      <c r="D30" s="15">
        <f t="shared" si="7"/>
        <v>88</v>
      </c>
      <c r="E30" s="16">
        <v>297587</v>
      </c>
      <c r="F30" s="16">
        <f t="shared" si="6"/>
        <v>336</v>
      </c>
      <c r="G30" s="20"/>
      <c r="H30" s="20"/>
    </row>
    <row r="31" spans="1:8" ht="35.25" customHeight="1">
      <c r="A31" s="8">
        <v>45895</v>
      </c>
      <c r="B31" s="8"/>
      <c r="C31" s="15">
        <v>114601</v>
      </c>
      <c r="D31" s="15">
        <f t="shared" si="7"/>
        <v>97</v>
      </c>
      <c r="E31" s="16">
        <v>297923</v>
      </c>
      <c r="F31" s="16">
        <f t="shared" si="6"/>
        <v>428</v>
      </c>
      <c r="G31" s="20"/>
      <c r="H31" s="20"/>
    </row>
    <row r="32" spans="1:8" ht="35.25" customHeight="1">
      <c r="A32" s="8">
        <v>45896</v>
      </c>
      <c r="B32" s="8"/>
      <c r="C32" s="15">
        <v>114698</v>
      </c>
      <c r="D32" s="15">
        <f t="shared" si="7"/>
        <v>94</v>
      </c>
      <c r="E32" s="16">
        <v>298351</v>
      </c>
      <c r="F32" s="16">
        <f t="shared" si="6"/>
        <v>433</v>
      </c>
      <c r="G32" s="20"/>
      <c r="H32" s="20"/>
    </row>
    <row r="33" spans="1:8" ht="35.25" customHeight="1">
      <c r="A33" s="8">
        <v>45897</v>
      </c>
      <c r="B33" s="8"/>
      <c r="C33" s="15">
        <v>114792</v>
      </c>
      <c r="D33" s="15">
        <f t="shared" si="7"/>
        <v>104</v>
      </c>
      <c r="E33" s="16">
        <v>298784</v>
      </c>
      <c r="F33" s="16">
        <f t="shared" si="6"/>
        <v>500</v>
      </c>
      <c r="G33" s="20"/>
      <c r="H33" s="20"/>
    </row>
    <row r="34" spans="1:8" ht="35.25" customHeight="1">
      <c r="A34" s="8">
        <v>45898</v>
      </c>
      <c r="B34" s="8"/>
      <c r="C34" s="15">
        <v>114896</v>
      </c>
      <c r="D34" s="15">
        <f t="shared" si="7"/>
        <v>95</v>
      </c>
      <c r="E34" s="16">
        <v>299284</v>
      </c>
      <c r="F34" s="16">
        <f t="shared" si="6"/>
        <v>449</v>
      </c>
      <c r="G34" s="20"/>
      <c r="H34" s="20"/>
    </row>
    <row r="35" spans="1:8" ht="35.25" customHeight="1">
      <c r="A35" s="8">
        <v>45899</v>
      </c>
      <c r="B35" s="8"/>
      <c r="C35" s="15">
        <v>114991</v>
      </c>
      <c r="D35" s="15">
        <f t="shared" si="7"/>
        <v>88</v>
      </c>
      <c r="E35" s="16">
        <v>299733</v>
      </c>
      <c r="F35" s="16">
        <f t="shared" si="6"/>
        <v>350</v>
      </c>
      <c r="G35" s="20"/>
      <c r="H35" s="20"/>
    </row>
    <row r="36" spans="1:8" ht="35.25" customHeight="1">
      <c r="A36" s="8">
        <v>45900</v>
      </c>
      <c r="B36" s="8"/>
      <c r="C36" s="21">
        <v>115079</v>
      </c>
      <c r="D36" s="21"/>
      <c r="E36" s="20">
        <v>300083</v>
      </c>
      <c r="F36" s="20"/>
      <c r="G36" s="20"/>
      <c r="H36" s="20"/>
    </row>
  </sheetData>
  <mergeCells count="4">
    <mergeCell ref="A1:H1"/>
    <mergeCell ref="A4:A5"/>
    <mergeCell ref="G2:G5"/>
    <mergeCell ref="H2:H5"/>
  </mergeCells>
  <printOptions horizontalCentered="1" verticalCentered="1"/>
  <pageMargins left="0.25" right="0.25" top="0.75" bottom="0.75" header="0.3" footer="0.3"/>
  <pageSetup paperSize="9" scale="61" orientation="portrait"/>
  <headerFooter>
    <oddFooter>&amp;LPage &amp;P of &amp;N&amp;C
&amp;1#&amp;"Calibri"&amp;12&amp;K000000 Internal&amp;RQAH/DCT/eFM/IMS/OPHS/METREADWTR/0057 Rev 00   01/23/2019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7"/>
  <sheetViews>
    <sheetView zoomScale="85" zoomScaleNormal="85" zoomScaleSheetLayoutView="90" workbookViewId="0">
      <pane ySplit="5" topLeftCell="A6" activePane="bottomLeft" state="frozen"/>
      <selection pane="bottomLeft" activeCell="D36" sqref="D36"/>
    </sheetView>
  </sheetViews>
  <sheetFormatPr defaultColWidth="9" defaultRowHeight="14.4"/>
  <cols>
    <col min="1" max="2" width="21.33203125" customWidth="1"/>
    <col min="3" max="3" width="30.33203125" style="1" customWidth="1"/>
    <col min="4" max="4" width="20.33203125" style="1" customWidth="1"/>
    <col min="5" max="5" width="24.109375" style="1" customWidth="1"/>
    <col min="6" max="6" width="20.33203125" style="1" customWidth="1"/>
    <col min="7" max="8" width="18.6640625" style="1" customWidth="1"/>
  </cols>
  <sheetData>
    <row r="1" spans="1:11" ht="60" customHeight="1">
      <c r="C1" s="23"/>
      <c r="D1" s="23"/>
      <c r="E1" s="23"/>
      <c r="F1" s="23"/>
      <c r="G1" s="23"/>
      <c r="H1" s="23"/>
      <c r="K1" s="13"/>
    </row>
    <row r="2" spans="1:11" s="1" customFormat="1" ht="54.75" customHeight="1">
      <c r="A2" s="2" t="s">
        <v>1</v>
      </c>
      <c r="B2" s="2" t="s">
        <v>2</v>
      </c>
      <c r="C2" s="3" t="s">
        <v>15</v>
      </c>
      <c r="D2" s="27" t="s">
        <v>16</v>
      </c>
      <c r="E2" s="3" t="s">
        <v>17</v>
      </c>
      <c r="F2" s="27" t="s">
        <v>18</v>
      </c>
      <c r="G2" s="28" t="s">
        <v>19</v>
      </c>
      <c r="H2" s="28" t="s">
        <v>5</v>
      </c>
    </row>
    <row r="3" spans="1:11" ht="24.9" customHeight="1">
      <c r="A3" s="2" t="s">
        <v>20</v>
      </c>
      <c r="B3" s="2"/>
      <c r="C3" s="3" t="s">
        <v>21</v>
      </c>
      <c r="D3" s="27"/>
      <c r="E3" s="3"/>
      <c r="F3" s="27"/>
      <c r="G3" s="29"/>
      <c r="H3" s="29" t="s">
        <v>5</v>
      </c>
    </row>
    <row r="4" spans="1:11" ht="46.5" customHeight="1">
      <c r="A4" s="24" t="s">
        <v>9</v>
      </c>
      <c r="B4" s="5"/>
      <c r="C4" s="3" t="s">
        <v>22</v>
      </c>
      <c r="D4" s="27"/>
      <c r="E4" s="4" t="s">
        <v>23</v>
      </c>
      <c r="F4" s="27"/>
      <c r="G4" s="29"/>
      <c r="H4" s="29"/>
    </row>
    <row r="5" spans="1:11" ht="24.9" customHeight="1">
      <c r="A5" s="25"/>
      <c r="B5" s="6"/>
      <c r="C5" s="7" t="s">
        <v>24</v>
      </c>
      <c r="D5" s="7" t="s">
        <v>24</v>
      </c>
      <c r="E5" s="7" t="s">
        <v>25</v>
      </c>
      <c r="F5" s="7" t="s">
        <v>25</v>
      </c>
      <c r="G5" s="30"/>
      <c r="H5" s="30"/>
    </row>
    <row r="6" spans="1:11" ht="39" customHeight="1">
      <c r="A6" s="8">
        <v>45870</v>
      </c>
      <c r="B6" s="8"/>
      <c r="C6" s="9">
        <v>4272973</v>
      </c>
      <c r="D6" s="9">
        <f>C7-C6</f>
        <v>9397</v>
      </c>
      <c r="E6" s="9">
        <v>13908</v>
      </c>
      <c r="F6" s="9">
        <f>E7-E6</f>
        <v>164</v>
      </c>
      <c r="G6" s="9"/>
      <c r="H6" s="9"/>
    </row>
    <row r="7" spans="1:11" ht="39" customHeight="1">
      <c r="A7" s="8">
        <v>45871</v>
      </c>
      <c r="B7" s="8"/>
      <c r="C7" s="9">
        <v>4282370</v>
      </c>
      <c r="D7" s="9">
        <f t="shared" ref="D7:D21" si="0">C8-C7</f>
        <v>9389</v>
      </c>
      <c r="E7" s="9">
        <v>14072</v>
      </c>
      <c r="F7" s="9">
        <f t="shared" ref="F7:F21" si="1">E8-E7</f>
        <v>158</v>
      </c>
      <c r="G7" s="9"/>
      <c r="H7" s="9"/>
    </row>
    <row r="8" spans="1:11" ht="39" customHeight="1">
      <c r="A8" s="8">
        <v>45872</v>
      </c>
      <c r="B8" s="8"/>
      <c r="C8" s="9">
        <v>4291759</v>
      </c>
      <c r="D8" s="9">
        <f t="shared" si="0"/>
        <v>8799</v>
      </c>
      <c r="E8" s="9">
        <v>14230</v>
      </c>
      <c r="F8" s="9">
        <f t="shared" si="1"/>
        <v>155</v>
      </c>
      <c r="G8" s="9"/>
      <c r="H8" s="9"/>
    </row>
    <row r="9" spans="1:11" ht="39" customHeight="1">
      <c r="A9" s="8">
        <v>45873</v>
      </c>
      <c r="B9" s="8"/>
      <c r="C9" s="9">
        <v>4300558</v>
      </c>
      <c r="D9" s="9">
        <f t="shared" si="0"/>
        <v>9019</v>
      </c>
      <c r="E9" s="9">
        <v>14385</v>
      </c>
      <c r="F9" s="9">
        <f t="shared" si="1"/>
        <v>146</v>
      </c>
      <c r="G9" s="9"/>
      <c r="H9" s="9"/>
    </row>
    <row r="10" spans="1:11" ht="39" customHeight="1">
      <c r="A10" s="8">
        <v>45874</v>
      </c>
      <c r="B10" s="8"/>
      <c r="C10" s="9">
        <v>4309577</v>
      </c>
      <c r="D10" s="9">
        <f t="shared" si="0"/>
        <v>8810</v>
      </c>
      <c r="E10" s="9">
        <v>14531</v>
      </c>
      <c r="F10" s="9">
        <f t="shared" si="1"/>
        <v>187</v>
      </c>
      <c r="G10" s="9"/>
      <c r="H10" s="9"/>
    </row>
    <row r="11" spans="1:11" ht="39" customHeight="1">
      <c r="A11" s="8">
        <v>45875</v>
      </c>
      <c r="B11" s="8"/>
      <c r="C11" s="9">
        <v>4318387</v>
      </c>
      <c r="D11" s="9">
        <f t="shared" si="0"/>
        <v>8887</v>
      </c>
      <c r="E11" s="9">
        <v>14718</v>
      </c>
      <c r="F11" s="9">
        <f t="shared" si="1"/>
        <v>172</v>
      </c>
      <c r="G11" s="9"/>
      <c r="H11" s="9"/>
    </row>
    <row r="12" spans="1:11" ht="39" customHeight="1">
      <c r="A12" s="8">
        <v>45876</v>
      </c>
      <c r="B12" s="8"/>
      <c r="C12" s="9">
        <v>4327274</v>
      </c>
      <c r="D12" s="9">
        <f t="shared" si="0"/>
        <v>8922</v>
      </c>
      <c r="E12" s="9">
        <v>14890</v>
      </c>
      <c r="F12" s="9">
        <f t="shared" si="1"/>
        <v>116</v>
      </c>
      <c r="G12" s="9"/>
      <c r="H12" s="9"/>
    </row>
    <row r="13" spans="1:11" ht="39" customHeight="1">
      <c r="A13" s="8">
        <v>45877</v>
      </c>
      <c r="B13" s="8"/>
      <c r="C13" s="10">
        <v>4336196</v>
      </c>
      <c r="D13" s="9">
        <f t="shared" si="0"/>
        <v>8341</v>
      </c>
      <c r="E13" s="9">
        <v>15006</v>
      </c>
      <c r="F13" s="9">
        <f t="shared" si="1"/>
        <v>138</v>
      </c>
      <c r="G13" s="9"/>
      <c r="H13" s="9"/>
    </row>
    <row r="14" spans="1:11" ht="39" customHeight="1">
      <c r="A14" s="8">
        <v>45878</v>
      </c>
      <c r="B14" s="8"/>
      <c r="C14" s="9">
        <v>4344537</v>
      </c>
      <c r="D14" s="9">
        <f t="shared" si="0"/>
        <v>8469</v>
      </c>
      <c r="E14" s="9">
        <v>15144</v>
      </c>
      <c r="F14" s="9">
        <f t="shared" si="1"/>
        <v>90</v>
      </c>
      <c r="G14" s="9"/>
      <c r="H14" s="9"/>
    </row>
    <row r="15" spans="1:11" ht="39" customHeight="1">
      <c r="A15" s="8">
        <v>45879</v>
      </c>
      <c r="B15" s="8"/>
      <c r="C15" s="9">
        <v>4353006</v>
      </c>
      <c r="D15" s="9">
        <f t="shared" si="0"/>
        <v>8322</v>
      </c>
      <c r="E15" s="9">
        <v>15234</v>
      </c>
      <c r="F15" s="9">
        <f t="shared" si="1"/>
        <v>182</v>
      </c>
      <c r="G15" s="9"/>
      <c r="H15" s="9"/>
    </row>
    <row r="16" spans="1:11" ht="39" customHeight="1">
      <c r="A16" s="8">
        <v>45880</v>
      </c>
      <c r="B16" s="8"/>
      <c r="C16" s="9">
        <v>4361328</v>
      </c>
      <c r="D16" s="9">
        <f t="shared" si="0"/>
        <v>8472</v>
      </c>
      <c r="E16" s="9">
        <v>15416</v>
      </c>
      <c r="F16" s="9">
        <f t="shared" si="1"/>
        <v>160</v>
      </c>
      <c r="G16" s="9"/>
      <c r="H16" s="9"/>
    </row>
    <row r="17" spans="1:8" ht="39" customHeight="1">
      <c r="A17" s="8">
        <v>45881</v>
      </c>
      <c r="B17" s="8"/>
      <c r="C17" s="9">
        <v>4369800</v>
      </c>
      <c r="D17" s="9">
        <f t="shared" si="0"/>
        <v>8690</v>
      </c>
      <c r="E17" s="9">
        <v>15576</v>
      </c>
      <c r="F17" s="9">
        <f t="shared" si="1"/>
        <v>149</v>
      </c>
      <c r="G17" s="9"/>
      <c r="H17" s="9"/>
    </row>
    <row r="18" spans="1:8" ht="39" customHeight="1">
      <c r="A18" s="8">
        <v>45882</v>
      </c>
      <c r="B18" s="8"/>
      <c r="C18" s="9">
        <v>4378490</v>
      </c>
      <c r="D18" s="9">
        <f t="shared" si="0"/>
        <v>8744</v>
      </c>
      <c r="E18" s="9">
        <v>15725</v>
      </c>
      <c r="F18" s="9">
        <f t="shared" si="1"/>
        <v>138</v>
      </c>
      <c r="G18" s="9"/>
      <c r="H18" s="9"/>
    </row>
    <row r="19" spans="1:8" ht="39" customHeight="1">
      <c r="A19" s="8">
        <v>45883</v>
      </c>
      <c r="B19" s="8"/>
      <c r="C19" s="9">
        <v>4387234</v>
      </c>
      <c r="D19" s="9">
        <f t="shared" si="0"/>
        <v>9102</v>
      </c>
      <c r="E19" s="9">
        <v>15863</v>
      </c>
      <c r="F19" s="9">
        <f t="shared" si="1"/>
        <v>151</v>
      </c>
      <c r="G19" s="9"/>
      <c r="H19" s="9"/>
    </row>
    <row r="20" spans="1:8" ht="39" customHeight="1">
      <c r="A20" s="8">
        <v>45884</v>
      </c>
      <c r="B20" s="8"/>
      <c r="C20" s="9">
        <v>4396336</v>
      </c>
      <c r="D20" s="9">
        <f t="shared" si="0"/>
        <v>9366</v>
      </c>
      <c r="E20" s="9">
        <v>16014</v>
      </c>
      <c r="F20" s="9">
        <f t="shared" si="1"/>
        <v>138</v>
      </c>
      <c r="G20" s="9"/>
      <c r="H20" s="9"/>
    </row>
    <row r="21" spans="1:8" ht="39" customHeight="1">
      <c r="A21" s="8">
        <v>45885</v>
      </c>
      <c r="B21" s="8"/>
      <c r="C21" s="9">
        <v>4405702</v>
      </c>
      <c r="D21" s="9">
        <f t="shared" si="0"/>
        <v>9075</v>
      </c>
      <c r="E21" s="9">
        <v>16152</v>
      </c>
      <c r="F21" s="9">
        <f t="shared" si="1"/>
        <v>150</v>
      </c>
      <c r="G21" s="9"/>
      <c r="H21" s="9"/>
    </row>
    <row r="22" spans="1:8" ht="39" customHeight="1">
      <c r="A22" s="8">
        <v>45886</v>
      </c>
      <c r="B22" s="8"/>
      <c r="C22" s="9">
        <v>4414777</v>
      </c>
      <c r="D22" s="9">
        <f t="shared" ref="D22:D27" si="2">C23-C22</f>
        <v>9040</v>
      </c>
      <c r="E22" s="9">
        <v>16302</v>
      </c>
      <c r="F22" s="9">
        <f t="shared" ref="F22:F27" si="3">E23-E22</f>
        <v>181</v>
      </c>
      <c r="G22" s="9"/>
      <c r="H22" s="9"/>
    </row>
    <row r="23" spans="1:8" ht="39" customHeight="1">
      <c r="A23" s="8">
        <v>45887</v>
      </c>
      <c r="B23" s="8"/>
      <c r="C23" s="9">
        <v>4423817</v>
      </c>
      <c r="D23" s="9">
        <f t="shared" si="2"/>
        <v>8739</v>
      </c>
      <c r="E23" s="9">
        <v>16483</v>
      </c>
      <c r="F23" s="9">
        <f t="shared" si="3"/>
        <v>136</v>
      </c>
      <c r="G23" s="9"/>
      <c r="H23" s="9"/>
    </row>
    <row r="24" spans="1:8" ht="39" customHeight="1">
      <c r="A24" s="8">
        <v>45888</v>
      </c>
      <c r="B24" s="8"/>
      <c r="C24" s="9">
        <v>4432556</v>
      </c>
      <c r="D24" s="9">
        <f t="shared" si="2"/>
        <v>8813</v>
      </c>
      <c r="E24" s="9">
        <v>16619</v>
      </c>
      <c r="F24" s="9">
        <f t="shared" si="3"/>
        <v>150</v>
      </c>
      <c r="G24" s="9"/>
      <c r="H24" s="9"/>
    </row>
    <row r="25" spans="1:8" ht="39" customHeight="1">
      <c r="A25" s="8">
        <v>45889</v>
      </c>
      <c r="B25" s="8"/>
      <c r="C25" s="9">
        <v>4441369</v>
      </c>
      <c r="D25" s="9">
        <f t="shared" si="2"/>
        <v>8396</v>
      </c>
      <c r="E25" s="9">
        <v>16769</v>
      </c>
      <c r="F25" s="9">
        <f t="shared" si="3"/>
        <v>183</v>
      </c>
      <c r="G25" s="9"/>
      <c r="H25" s="9"/>
    </row>
    <row r="26" spans="1:8" ht="39" customHeight="1">
      <c r="A26" s="8">
        <v>45890</v>
      </c>
      <c r="B26" s="8"/>
      <c r="C26" s="9">
        <v>4449765</v>
      </c>
      <c r="D26" s="9">
        <f t="shared" si="2"/>
        <v>10</v>
      </c>
      <c r="E26" s="9">
        <v>16952</v>
      </c>
      <c r="F26" s="9">
        <f t="shared" si="3"/>
        <v>44</v>
      </c>
      <c r="G26" s="9"/>
      <c r="H26" s="9"/>
    </row>
    <row r="27" spans="1:8" ht="39" customHeight="1">
      <c r="A27" s="8">
        <v>45891</v>
      </c>
      <c r="B27" s="8"/>
      <c r="C27" s="11">
        <v>4449775</v>
      </c>
      <c r="D27" s="9">
        <f t="shared" si="2"/>
        <v>18258</v>
      </c>
      <c r="E27" s="9">
        <v>16996</v>
      </c>
      <c r="F27" s="9">
        <f t="shared" si="3"/>
        <v>218</v>
      </c>
      <c r="G27" s="9"/>
      <c r="H27" s="9"/>
    </row>
    <row r="28" spans="1:8" ht="39" customHeight="1">
      <c r="A28" s="8">
        <v>45892</v>
      </c>
      <c r="B28" s="8"/>
      <c r="C28" s="9">
        <v>4468033</v>
      </c>
      <c r="D28" s="9">
        <f t="shared" ref="D28:D35" si="4">C29-C28</f>
        <v>15179</v>
      </c>
      <c r="E28" s="9">
        <v>17214</v>
      </c>
      <c r="F28" s="9">
        <f t="shared" ref="F28:F35" si="5">E29-E28</f>
        <v>9</v>
      </c>
      <c r="G28" s="9"/>
      <c r="H28" s="9"/>
    </row>
    <row r="29" spans="1:8" ht="39" customHeight="1">
      <c r="A29" s="8">
        <v>45893</v>
      </c>
      <c r="B29" s="8"/>
      <c r="C29" s="11">
        <v>4483212</v>
      </c>
      <c r="D29" s="9">
        <f t="shared" si="4"/>
        <v>1073</v>
      </c>
      <c r="E29" s="9">
        <v>17223</v>
      </c>
      <c r="F29" s="9">
        <f t="shared" si="5"/>
        <v>300</v>
      </c>
      <c r="G29" s="9"/>
      <c r="H29" s="9"/>
    </row>
    <row r="30" spans="1:8" ht="39" customHeight="1">
      <c r="A30" s="8">
        <v>45894</v>
      </c>
      <c r="B30" s="8"/>
      <c r="C30" s="11">
        <v>4484285</v>
      </c>
      <c r="D30" s="9">
        <f t="shared" si="4"/>
        <v>7846</v>
      </c>
      <c r="E30" s="9">
        <v>17523</v>
      </c>
      <c r="F30" s="9">
        <f t="shared" si="5"/>
        <v>144</v>
      </c>
      <c r="G30" s="9"/>
      <c r="H30" s="9"/>
    </row>
    <row r="31" spans="1:8" ht="39" customHeight="1">
      <c r="A31" s="8">
        <v>45895</v>
      </c>
      <c r="B31" s="8"/>
      <c r="C31" s="11">
        <v>4492131</v>
      </c>
      <c r="D31" s="9">
        <f t="shared" si="4"/>
        <v>8723</v>
      </c>
      <c r="E31" s="1">
        <v>17667</v>
      </c>
      <c r="F31" s="9">
        <f t="shared" si="5"/>
        <v>196</v>
      </c>
      <c r="G31" s="9"/>
      <c r="H31" s="9"/>
    </row>
    <row r="32" spans="1:8" ht="39" customHeight="1">
      <c r="A32" s="8">
        <v>45896</v>
      </c>
      <c r="B32" s="8"/>
      <c r="C32" s="9">
        <v>4500854</v>
      </c>
      <c r="D32" s="9">
        <f t="shared" si="4"/>
        <v>8580</v>
      </c>
      <c r="E32" s="9">
        <v>17863</v>
      </c>
      <c r="F32" s="9">
        <f t="shared" si="5"/>
        <v>169</v>
      </c>
      <c r="G32" s="9"/>
      <c r="H32" s="9"/>
    </row>
    <row r="33" spans="1:8" ht="39" customHeight="1">
      <c r="A33" s="8">
        <v>45897</v>
      </c>
      <c r="B33" s="8"/>
      <c r="C33" s="9">
        <v>4509434</v>
      </c>
      <c r="D33" s="9">
        <f t="shared" si="4"/>
        <v>9170</v>
      </c>
      <c r="E33" s="9">
        <v>18032</v>
      </c>
      <c r="F33" s="9">
        <f t="shared" si="5"/>
        <v>141</v>
      </c>
      <c r="G33" s="9"/>
      <c r="H33" s="9"/>
    </row>
    <row r="34" spans="1:8" ht="39" customHeight="1">
      <c r="A34" s="8">
        <v>45898</v>
      </c>
      <c r="B34" s="8"/>
      <c r="C34" s="9">
        <v>4518604</v>
      </c>
      <c r="D34" s="9">
        <f t="shared" si="4"/>
        <v>8961</v>
      </c>
      <c r="E34" s="9">
        <v>18173</v>
      </c>
      <c r="F34" s="9">
        <f t="shared" si="5"/>
        <v>150</v>
      </c>
      <c r="G34" s="9"/>
      <c r="H34" s="9"/>
    </row>
    <row r="35" spans="1:8" ht="39" customHeight="1">
      <c r="A35" s="8">
        <v>45899</v>
      </c>
      <c r="B35" s="8"/>
      <c r="C35" s="9">
        <v>4527565</v>
      </c>
      <c r="D35" s="9">
        <f t="shared" si="4"/>
        <v>9168</v>
      </c>
      <c r="E35" s="9">
        <v>18323</v>
      </c>
      <c r="F35" s="9">
        <f t="shared" si="5"/>
        <v>108</v>
      </c>
      <c r="G35" s="9"/>
      <c r="H35" s="9"/>
    </row>
    <row r="36" spans="1:8" ht="39" customHeight="1">
      <c r="A36" s="8">
        <v>45900</v>
      </c>
      <c r="B36" s="8"/>
      <c r="C36" s="9">
        <v>4536733</v>
      </c>
      <c r="D36" s="9"/>
      <c r="E36" s="9">
        <v>18431</v>
      </c>
      <c r="F36" s="9"/>
      <c r="G36" s="9"/>
      <c r="H36" s="9"/>
    </row>
    <row r="37" spans="1:8">
      <c r="E37" s="12"/>
    </row>
  </sheetData>
  <mergeCells count="6">
    <mergeCell ref="C1:H1"/>
    <mergeCell ref="A4:A5"/>
    <mergeCell ref="D2:D4"/>
    <mergeCell ref="F2:F4"/>
    <mergeCell ref="G2:G5"/>
    <mergeCell ref="H2:H5"/>
  </mergeCells>
  <pageMargins left="0.25" right="0.25" top="0.75" bottom="0.75" header="0.3" footer="0.3"/>
  <pageSetup paperSize="9" scale="55" fitToWidth="0" orientation="portrait"/>
  <headerFooter>
    <oddFooter>&amp;LPage &amp;P of &amp;N&amp;C
&amp;1#&amp;"Calibri"&amp;12&amp;K000000 Internal&amp;RQAH/DCT/eFM/IMS/OPHS/METREADPWR-FMC/0058 Rev 00 01/23/2019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Total</vt:lpstr>
      <vt:lpstr>BAN - EXT- Extension </vt:lpstr>
      <vt:lpstr>BAN Extension </vt:lpstr>
      <vt:lpstr>'BAN - EXT- Extension '!Print_Area</vt:lpstr>
      <vt:lpstr>'BAN Extension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Rushan</dc:creator>
  <cp:lastModifiedBy>Joe El Khoury</cp:lastModifiedBy>
  <cp:lastPrinted>2025-06-12T01:59:00Z</cp:lastPrinted>
  <dcterms:created xsi:type="dcterms:W3CDTF">2018-12-27T05:07:00Z</dcterms:created>
  <dcterms:modified xsi:type="dcterms:W3CDTF">2025-10-20T16:05:56Z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adedb8f-f6e8-473a-8eb6-5e84cba1f58e_Enabled">
    <vt:lpwstr>true</vt:lpwstr>
  </property>
  <property fmtid="{D5CDD505-2E9C-101B-9397-08002B2CF9AE}" pid="3" name="MSIP_Label_cadedb8f-f6e8-473a-8eb6-5e84cba1f58e_SetDate">
    <vt:lpwstr>2023-12-12T05:18:34Z</vt:lpwstr>
  </property>
  <property fmtid="{D5CDD505-2E9C-101B-9397-08002B2CF9AE}" pid="4" name="MSIP_Label_cadedb8f-f6e8-473a-8eb6-5e84cba1f58e_Method">
    <vt:lpwstr>Standard</vt:lpwstr>
  </property>
  <property fmtid="{D5CDD505-2E9C-101B-9397-08002B2CF9AE}" pid="5" name="MSIP_Label_cadedb8f-f6e8-473a-8eb6-5e84cba1f58e_Name">
    <vt:lpwstr>Internal</vt:lpwstr>
  </property>
  <property fmtid="{D5CDD505-2E9C-101B-9397-08002B2CF9AE}" pid="6" name="MSIP_Label_cadedb8f-f6e8-473a-8eb6-5e84cba1f58e_SiteId">
    <vt:lpwstr>956d0a5b-65df-40ee-b210-145b0e79eac8</vt:lpwstr>
  </property>
  <property fmtid="{D5CDD505-2E9C-101B-9397-08002B2CF9AE}" pid="7" name="MSIP_Label_cadedb8f-f6e8-473a-8eb6-5e84cba1f58e_ActionId">
    <vt:lpwstr>1e215cfd-7568-4d52-9866-0f8556d0cfa2</vt:lpwstr>
  </property>
  <property fmtid="{D5CDD505-2E9C-101B-9397-08002B2CF9AE}" pid="8" name="MSIP_Label_cadedb8f-f6e8-473a-8eb6-5e84cba1f58e_ContentBits">
    <vt:lpwstr>2</vt:lpwstr>
  </property>
  <property fmtid="{D5CDD505-2E9C-101B-9397-08002B2CF9AE}" pid="9" name="ICV">
    <vt:lpwstr>E6371DE6FC18476F94C763DDA609C434_13</vt:lpwstr>
  </property>
  <property fmtid="{D5CDD505-2E9C-101B-9397-08002B2CF9AE}" pid="10" name="KSOProductBuildVer">
    <vt:lpwstr>1033-12.2.0.21931</vt:lpwstr>
  </property>
</Properties>
</file>