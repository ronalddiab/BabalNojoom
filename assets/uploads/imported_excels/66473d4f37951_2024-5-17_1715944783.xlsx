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Rotana/BR Abu Dhabi/"/>
    </mc:Choice>
  </mc:AlternateContent>
  <xr:revisionPtr revIDLastSave="4" documentId="13_ncr:1_{02DCB43E-94E8-4E4F-8780-A7F87DB1F832}" xr6:coauthVersionLast="47" xr6:coauthVersionMax="47" xr10:uidLastSave="{BFEAEC60-D19B-466D-A91C-1A960F251B7C}"/>
  <bookViews>
    <workbookView xWindow="-98" yWindow="-98" windowWidth="19396" windowHeight="10276" tabRatio="580" xr2:uid="{00000000-000D-0000-FFFF-FFFF00000000}"/>
  </bookViews>
  <sheets>
    <sheet name="Total" sheetId="9" r:id="rId1"/>
    <sheet name="Elect" sheetId="2" r:id="rId2"/>
    <sheet name="Water" sheetId="3" r:id="rId3"/>
    <sheet name="Gas" sheetId="1" r:id="rId4"/>
    <sheet name="Chilled Water" sheetId="7" r:id="rId5"/>
  </sheets>
  <definedNames>
    <definedName name="_xlnm._FilterDatabase" localSheetId="3" hidden="1">Gas!$A$5:$U$36</definedName>
    <definedName name="_xlnm.Print_Area" localSheetId="4">'Chilled Water'!$A$1:$M$36</definedName>
    <definedName name="_xlnm.Print_Area" localSheetId="1">Elect!$A$1:$V$43</definedName>
    <definedName name="_xlnm.Print_Area" localSheetId="3">Gas!$A$1:$U$45</definedName>
    <definedName name="_xlnm.Print_Area" localSheetId="2">Water!$A$1:$S$46</definedName>
    <definedName name="Z_BBA05217_DB7A_4BBE_8392_822CC156171C_.wvu.Cols" localSheetId="1" hidden="1">Elect!$V:$V</definedName>
    <definedName name="Z_BBA05217_DB7A_4BBE_8392_822CC156171C_.wvu.Cols" localSheetId="2" hidden="1">Water!$H:$I,Water!$R:$S</definedName>
    <definedName name="Z_BBA05217_DB7A_4BBE_8392_822CC156171C_.wvu.Rows" localSheetId="2" hidden="1">Water!$44:$44</definedName>
  </definedNames>
  <calcPr calcId="191029"/>
  <customWorkbookViews>
    <customWorkbookView name="sheryl - Personal View" guid="{BBA05217-DB7A-4BBE-8392-822CC156171C}" mergeInterval="0" personalView="1" maximized="1" windowWidth="796" windowHeight="412" tabRatio="59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C18" i="1"/>
  <c r="C8" i="1"/>
  <c r="M3" i="9" l="1"/>
  <c r="M4" i="9"/>
  <c r="M5" i="9"/>
  <c r="M6" i="9"/>
  <c r="M7" i="9"/>
  <c r="M8" i="9"/>
  <c r="M9" i="9"/>
  <c r="M10" i="9"/>
  <c r="M11" i="9"/>
  <c r="M12" i="9"/>
  <c r="M13" i="9"/>
  <c r="M14" i="9"/>
  <c r="M15" i="9"/>
  <c r="M16" i="9"/>
  <c r="M17" i="9"/>
  <c r="M18" i="9"/>
  <c r="M19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M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K34" i="7" l="1"/>
  <c r="M34" i="7" s="1"/>
  <c r="K33" i="7"/>
  <c r="M33" i="7" s="1"/>
  <c r="H34" i="7"/>
  <c r="J34" i="7" s="1"/>
  <c r="H33" i="7"/>
  <c r="J33" i="7" s="1"/>
  <c r="E34" i="7"/>
  <c r="G34" i="7" s="1"/>
  <c r="E33" i="7"/>
  <c r="G33" i="7" s="1"/>
  <c r="B34" i="7"/>
  <c r="D34" i="7" s="1"/>
  <c r="K32" i="9" s="1"/>
  <c r="B33" i="7"/>
  <c r="D33" i="7" s="1"/>
  <c r="Q8" i="3"/>
  <c r="O8" i="3"/>
  <c r="M8" i="3"/>
  <c r="G8" i="3"/>
  <c r="E8" i="3"/>
  <c r="C8" i="3"/>
  <c r="Q38" i="3"/>
  <c r="Q37" i="3"/>
  <c r="O38" i="3"/>
  <c r="O37" i="3"/>
  <c r="M38" i="3"/>
  <c r="M37" i="3"/>
  <c r="K38" i="3"/>
  <c r="K37" i="3"/>
  <c r="G38" i="3"/>
  <c r="G37" i="3"/>
  <c r="E38" i="3"/>
  <c r="E37" i="3"/>
  <c r="C38" i="3"/>
  <c r="G32" i="9" s="1"/>
  <c r="C37" i="3"/>
  <c r="G31" i="9" s="1"/>
  <c r="X8" i="2"/>
  <c r="T8" i="2"/>
  <c r="R8" i="2"/>
  <c r="P8" i="2"/>
  <c r="N8" i="2"/>
  <c r="L8" i="2"/>
  <c r="J8" i="2"/>
  <c r="H8" i="2"/>
  <c r="X38" i="2"/>
  <c r="X37" i="2"/>
  <c r="V38" i="2"/>
  <c r="V37" i="2"/>
  <c r="T38" i="2"/>
  <c r="T37" i="2"/>
  <c r="R38" i="2"/>
  <c r="R37" i="2"/>
  <c r="P38" i="2"/>
  <c r="P37" i="2"/>
  <c r="N38" i="2"/>
  <c r="N37" i="2"/>
  <c r="L38" i="2"/>
  <c r="L37" i="2"/>
  <c r="J38" i="2"/>
  <c r="J37" i="2"/>
  <c r="H38" i="2"/>
  <c r="H37" i="2"/>
  <c r="F38" i="2"/>
  <c r="F37" i="2"/>
  <c r="F8" i="2"/>
  <c r="D38" i="2"/>
  <c r="D37" i="2"/>
  <c r="D8" i="2"/>
  <c r="K31" i="9" l="1"/>
  <c r="E32" i="9"/>
  <c r="E31" i="9"/>
  <c r="S38" i="1"/>
  <c r="S37" i="1"/>
  <c r="S8" i="1"/>
  <c r="Q38" i="1"/>
  <c r="Q37" i="1"/>
  <c r="Q8" i="1"/>
  <c r="O38" i="1"/>
  <c r="O37" i="1"/>
  <c r="O8" i="1"/>
  <c r="M8" i="1"/>
  <c r="M38" i="1"/>
  <c r="M37" i="1"/>
  <c r="K38" i="1"/>
  <c r="K37" i="1"/>
  <c r="K8" i="1"/>
  <c r="I38" i="1"/>
  <c r="I37" i="1"/>
  <c r="I8" i="1"/>
  <c r="G38" i="1"/>
  <c r="G37" i="1"/>
  <c r="G8" i="1"/>
  <c r="E38" i="1"/>
  <c r="E37" i="1"/>
  <c r="E8" i="1"/>
  <c r="C38" i="1"/>
  <c r="C37" i="1"/>
  <c r="I32" i="9" l="1"/>
  <c r="C27" i="1"/>
  <c r="P19" i="2" l="1"/>
  <c r="C17" i="1" l="1"/>
  <c r="C28" i="1" l="1"/>
  <c r="C19" i="1" l="1"/>
  <c r="B39" i="1" l="1"/>
  <c r="D23" i="2" l="1"/>
  <c r="C29" i="1" l="1"/>
  <c r="D24" i="2" l="1"/>
  <c r="D25" i="2"/>
  <c r="D26" i="2"/>
  <c r="D27" i="2"/>
  <c r="D28" i="2"/>
  <c r="D29" i="2"/>
  <c r="D30" i="2"/>
  <c r="D31" i="2"/>
  <c r="D32" i="2"/>
  <c r="D33" i="2"/>
  <c r="D34" i="2"/>
  <c r="D35" i="2"/>
  <c r="D36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C9" i="1" l="1"/>
  <c r="C30" i="1" l="1"/>
  <c r="U37" i="1"/>
  <c r="I31" i="9" s="1"/>
  <c r="U36" i="1"/>
  <c r="C11" i="1" l="1"/>
  <c r="B5" i="7" l="1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C14" i="1" l="1"/>
  <c r="C23" i="1" l="1"/>
  <c r="C16" i="1" l="1"/>
  <c r="C26" i="1" l="1"/>
  <c r="C20" i="1" l="1"/>
  <c r="K32" i="7" l="1"/>
  <c r="M32" i="7" s="1"/>
  <c r="H32" i="7"/>
  <c r="J32" i="7" s="1"/>
  <c r="E32" i="7"/>
  <c r="G32" i="7" s="1"/>
  <c r="S36" i="1"/>
  <c r="Q36" i="1"/>
  <c r="O36" i="1"/>
  <c r="M36" i="1"/>
  <c r="K36" i="1"/>
  <c r="I36" i="1"/>
  <c r="G36" i="1"/>
  <c r="E36" i="1"/>
  <c r="Q36" i="3"/>
  <c r="O36" i="3"/>
  <c r="M36" i="3"/>
  <c r="K36" i="3"/>
  <c r="G36" i="3"/>
  <c r="E36" i="3"/>
  <c r="C36" i="3"/>
  <c r="X36" i="2"/>
  <c r="V36" i="2"/>
  <c r="T36" i="2"/>
  <c r="R36" i="2"/>
  <c r="P36" i="2"/>
  <c r="N36" i="2"/>
  <c r="L36" i="2"/>
  <c r="J36" i="2"/>
  <c r="H36" i="2"/>
  <c r="F36" i="2"/>
  <c r="I30" i="9" l="1"/>
  <c r="G30" i="9"/>
  <c r="E30" i="9"/>
  <c r="C21" i="1"/>
  <c r="C15" i="1" l="1"/>
  <c r="C36" i="1" l="1"/>
  <c r="C31" i="1" l="1"/>
  <c r="U35" i="1" l="1"/>
  <c r="C35" i="1"/>
  <c r="C12" i="1" l="1"/>
  <c r="F9" i="2" l="1"/>
  <c r="C10" i="1" l="1"/>
  <c r="V8" i="2" l="1"/>
  <c r="E2" i="9" l="1"/>
  <c r="C34" i="1"/>
  <c r="C13" i="1"/>
  <c r="G26" i="3" l="1"/>
  <c r="U9" i="1" l="1"/>
  <c r="U32" i="1" l="1"/>
  <c r="U29" i="1" l="1"/>
  <c r="U25" i="1"/>
  <c r="C25" i="1"/>
  <c r="U20" i="1"/>
  <c r="U18" i="1" l="1"/>
  <c r="U14" i="1"/>
  <c r="U11" i="1"/>
  <c r="U31" i="1" l="1"/>
  <c r="X35" i="2" l="1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V29" i="2"/>
  <c r="V30" i="2"/>
  <c r="V31" i="2"/>
  <c r="V32" i="2"/>
  <c r="V33" i="2"/>
  <c r="V34" i="2"/>
  <c r="V35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13" i="2"/>
  <c r="V12" i="2"/>
  <c r="V11" i="2"/>
  <c r="V10" i="2"/>
  <c r="V9" i="2"/>
  <c r="V39" i="2" l="1"/>
  <c r="X39" i="2"/>
  <c r="U28" i="1"/>
  <c r="U24" i="1"/>
  <c r="U17" i="1"/>
  <c r="U13" i="1"/>
  <c r="U10" i="1"/>
  <c r="S8" i="3" l="1"/>
  <c r="Q25" i="3"/>
  <c r="R25" i="2"/>
  <c r="U33" i="1" l="1"/>
  <c r="C24" i="1" l="1"/>
  <c r="U27" i="1"/>
  <c r="K10" i="7" l="1"/>
  <c r="H10" i="7"/>
  <c r="E10" i="7"/>
  <c r="U23" i="1" l="1"/>
  <c r="U21" i="1" l="1"/>
  <c r="U15" i="1"/>
  <c r="K8" i="3" l="1"/>
  <c r="G2" i="9" s="1"/>
  <c r="U22" i="1" l="1"/>
  <c r="C22" i="1"/>
  <c r="U30" i="1" l="1"/>
  <c r="U34" i="1" l="1"/>
  <c r="U12" i="1" l="1"/>
  <c r="U26" i="1" l="1"/>
  <c r="U8" i="1"/>
  <c r="I2" i="9" s="1"/>
  <c r="U19" i="1" l="1"/>
  <c r="C32" i="1" l="1"/>
  <c r="C39" i="1" s="1"/>
  <c r="T39" i="1" l="1"/>
  <c r="H35" i="2" l="1"/>
  <c r="H34" i="2"/>
  <c r="H33" i="2"/>
  <c r="H32" i="2"/>
  <c r="M20" i="1" l="1"/>
  <c r="U16" i="1" l="1"/>
  <c r="L13" i="2" l="1"/>
  <c r="J21" i="2" l="1"/>
  <c r="S15" i="1" l="1"/>
  <c r="Q9" i="1" l="1"/>
  <c r="E9" i="3"/>
  <c r="E10" i="3"/>
  <c r="U39" i="1" l="1"/>
  <c r="Q11" i="3" l="1"/>
  <c r="P10" i="2" l="1"/>
  <c r="E24" i="1" l="1"/>
  <c r="C9" i="3" l="1"/>
  <c r="G26" i="1" l="1"/>
  <c r="G27" i="1"/>
  <c r="G28" i="1"/>
  <c r="G29" i="1"/>
  <c r="G30" i="1"/>
  <c r="G31" i="1"/>
  <c r="C10" i="3"/>
  <c r="Q22" i="3" l="1"/>
  <c r="S9" i="1" l="1"/>
  <c r="P9" i="2" l="1"/>
  <c r="K5" i="7" l="1"/>
  <c r="H5" i="7"/>
  <c r="E5" i="7"/>
  <c r="K29" i="1" l="1"/>
  <c r="E15" i="3" l="1"/>
  <c r="E14" i="3"/>
  <c r="K21" i="7" l="1"/>
  <c r="H17" i="7"/>
  <c r="G30" i="3" l="1"/>
  <c r="G31" i="3"/>
  <c r="E26" i="3" l="1"/>
  <c r="M9" i="3" l="1"/>
  <c r="D4" i="7"/>
  <c r="E26" i="7"/>
  <c r="E25" i="7"/>
  <c r="E24" i="7"/>
  <c r="E23" i="7"/>
  <c r="E21" i="7"/>
  <c r="E20" i="7"/>
  <c r="E19" i="7"/>
  <c r="E18" i="7"/>
  <c r="E17" i="7"/>
  <c r="E16" i="7"/>
  <c r="E15" i="7"/>
  <c r="E14" i="7"/>
  <c r="E12" i="7"/>
  <c r="E11" i="7"/>
  <c r="E9" i="7"/>
  <c r="E8" i="7"/>
  <c r="E7" i="7"/>
  <c r="E6" i="7"/>
  <c r="D27" i="7"/>
  <c r="E12" i="3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R35" i="2"/>
  <c r="R34" i="2"/>
  <c r="R33" i="2"/>
  <c r="R32" i="2"/>
  <c r="R31" i="2"/>
  <c r="R30" i="2"/>
  <c r="R29" i="2"/>
  <c r="R28" i="2"/>
  <c r="R27" i="2"/>
  <c r="R26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8" i="2"/>
  <c r="P17" i="2"/>
  <c r="P16" i="2"/>
  <c r="P15" i="2"/>
  <c r="P14" i="2"/>
  <c r="P13" i="2"/>
  <c r="P12" i="2"/>
  <c r="P11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B29" i="7" l="1"/>
  <c r="N39" i="2"/>
  <c r="T39" i="2"/>
  <c r="R39" i="2"/>
  <c r="P39" i="2"/>
  <c r="D28" i="7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2" i="2"/>
  <c r="L11" i="2"/>
  <c r="L10" i="2"/>
  <c r="L9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0" i="2"/>
  <c r="J19" i="2"/>
  <c r="J18" i="2"/>
  <c r="J17" i="2"/>
  <c r="J16" i="2"/>
  <c r="J15" i="2"/>
  <c r="J14" i="2"/>
  <c r="J13" i="2"/>
  <c r="J12" i="2"/>
  <c r="J11" i="2"/>
  <c r="J10" i="2"/>
  <c r="J9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B30" i="7" l="1"/>
  <c r="E14" i="9"/>
  <c r="E15" i="9"/>
  <c r="E27" i="9"/>
  <c r="E4" i="9"/>
  <c r="E28" i="9"/>
  <c r="E5" i="9"/>
  <c r="E17" i="9"/>
  <c r="E6" i="9"/>
  <c r="E19" i="9"/>
  <c r="E3" i="9"/>
  <c r="E20" i="9"/>
  <c r="E9" i="9"/>
  <c r="E21" i="9"/>
  <c r="E10" i="9"/>
  <c r="E12" i="9"/>
  <c r="E24" i="9"/>
  <c r="E26" i="9"/>
  <c r="E16" i="9"/>
  <c r="E29" i="9"/>
  <c r="E18" i="9"/>
  <c r="E7" i="9"/>
  <c r="E8" i="9"/>
  <c r="E22" i="9"/>
  <c r="E11" i="9"/>
  <c r="E23" i="9"/>
  <c r="E13" i="9"/>
  <c r="E25" i="9"/>
  <c r="F39" i="2"/>
  <c r="L39" i="2"/>
  <c r="J39" i="2"/>
  <c r="H39" i="2"/>
  <c r="D29" i="7"/>
  <c r="E35" i="1"/>
  <c r="E34" i="1"/>
  <c r="E33" i="1"/>
  <c r="E32" i="1"/>
  <c r="E31" i="1"/>
  <c r="E30" i="1"/>
  <c r="E29" i="1"/>
  <c r="E28" i="1"/>
  <c r="E27" i="1"/>
  <c r="E26" i="1"/>
  <c r="E25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G35" i="1"/>
  <c r="G34" i="1"/>
  <c r="G33" i="1"/>
  <c r="G32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K35" i="1"/>
  <c r="K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M35" i="1"/>
  <c r="M34" i="1"/>
  <c r="M33" i="1"/>
  <c r="M32" i="1"/>
  <c r="M31" i="1"/>
  <c r="M30" i="1"/>
  <c r="M29" i="1"/>
  <c r="M28" i="1"/>
  <c r="M26" i="1"/>
  <c r="M27" i="1"/>
  <c r="M25" i="1"/>
  <c r="M24" i="1"/>
  <c r="M23" i="1"/>
  <c r="M22" i="1"/>
  <c r="M21" i="1"/>
  <c r="M18" i="1"/>
  <c r="M17" i="1"/>
  <c r="M19" i="1"/>
  <c r="M16" i="1"/>
  <c r="M15" i="1"/>
  <c r="M14" i="1"/>
  <c r="M13" i="1"/>
  <c r="M12" i="1"/>
  <c r="M11" i="1"/>
  <c r="M10" i="1"/>
  <c r="M9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4" i="1"/>
  <c r="S13" i="1"/>
  <c r="S12" i="1"/>
  <c r="S11" i="1"/>
  <c r="S10" i="1"/>
  <c r="I6" i="9" l="1"/>
  <c r="I10" i="9"/>
  <c r="I3" i="9"/>
  <c r="I7" i="9"/>
  <c r="I11" i="9"/>
  <c r="I4" i="9"/>
  <c r="I8" i="9"/>
  <c r="I12" i="9"/>
  <c r="I5" i="9"/>
  <c r="I9" i="9"/>
  <c r="I13" i="9"/>
  <c r="B31" i="7"/>
  <c r="I23" i="9"/>
  <c r="I20" i="9"/>
  <c r="I18" i="9"/>
  <c r="I17" i="9"/>
  <c r="I22" i="9"/>
  <c r="I26" i="9"/>
  <c r="I24" i="9"/>
  <c r="I21" i="9"/>
  <c r="I25" i="9"/>
  <c r="I14" i="9"/>
  <c r="I19" i="9"/>
  <c r="I27" i="9"/>
  <c r="I15" i="9"/>
  <c r="I28" i="9"/>
  <c r="I16" i="9"/>
  <c r="I29" i="9"/>
  <c r="Q39" i="1"/>
  <c r="K39" i="1"/>
  <c r="G39" i="1"/>
  <c r="S39" i="1"/>
  <c r="O39" i="1"/>
  <c r="M39" i="1"/>
  <c r="I39" i="1"/>
  <c r="E39" i="1"/>
  <c r="D30" i="7"/>
  <c r="O34" i="3"/>
  <c r="O35" i="3"/>
  <c r="O33" i="3"/>
  <c r="O32" i="3"/>
  <c r="O31" i="3"/>
  <c r="O30" i="3"/>
  <c r="O29" i="3"/>
  <c r="O28" i="3"/>
  <c r="O27" i="3"/>
  <c r="O26" i="3"/>
  <c r="G35" i="3"/>
  <c r="G34" i="3"/>
  <c r="G33" i="3"/>
  <c r="G32" i="3"/>
  <c r="G29" i="3"/>
  <c r="G28" i="3"/>
  <c r="G27" i="3"/>
  <c r="C35" i="3"/>
  <c r="C34" i="3"/>
  <c r="C33" i="3"/>
  <c r="C32" i="3"/>
  <c r="C31" i="3"/>
  <c r="C30" i="3"/>
  <c r="C29" i="3"/>
  <c r="C28" i="3"/>
  <c r="C27" i="3"/>
  <c r="C26" i="3"/>
  <c r="B32" i="7" l="1"/>
  <c r="D32" i="7" s="1"/>
  <c r="K30" i="9" s="1"/>
  <c r="D31" i="7"/>
  <c r="Q9" i="3"/>
  <c r="K9" i="3" l="1"/>
  <c r="G24" i="3" l="1"/>
  <c r="K29" i="7" l="1"/>
  <c r="M29" i="7" s="1"/>
  <c r="K28" i="7"/>
  <c r="M28" i="7" s="1"/>
  <c r="K27" i="7"/>
  <c r="M27" i="7" s="1"/>
  <c r="K26" i="7"/>
  <c r="M26" i="7" s="1"/>
  <c r="K25" i="7"/>
  <c r="M25" i="7" s="1"/>
  <c r="K24" i="7"/>
  <c r="M24" i="7" s="1"/>
  <c r="K23" i="7"/>
  <c r="M23" i="7" s="1"/>
  <c r="K22" i="7"/>
  <c r="M22" i="7" s="1"/>
  <c r="M21" i="7"/>
  <c r="K20" i="7"/>
  <c r="M20" i="7" s="1"/>
  <c r="K19" i="7"/>
  <c r="M19" i="7" s="1"/>
  <c r="K18" i="7"/>
  <c r="M18" i="7" s="1"/>
  <c r="K17" i="7"/>
  <c r="M17" i="7" s="1"/>
  <c r="K16" i="7"/>
  <c r="M16" i="7" s="1"/>
  <c r="K15" i="7"/>
  <c r="K14" i="7"/>
  <c r="K13" i="7"/>
  <c r="K12" i="7"/>
  <c r="K11" i="7"/>
  <c r="K9" i="7"/>
  <c r="K8" i="7"/>
  <c r="K7" i="7"/>
  <c r="K6" i="7"/>
  <c r="G25" i="7"/>
  <c r="E27" i="7" s="1"/>
  <c r="G24" i="7"/>
  <c r="G23" i="7"/>
  <c r="G20" i="7"/>
  <c r="E22" i="7" s="1"/>
  <c r="G22" i="7" s="1"/>
  <c r="G19" i="7"/>
  <c r="G18" i="7"/>
  <c r="G17" i="7"/>
  <c r="G16" i="7"/>
  <c r="H16" i="7"/>
  <c r="J16" i="7" s="1"/>
  <c r="J17" i="7"/>
  <c r="H18" i="7"/>
  <c r="J18" i="7" s="1"/>
  <c r="H19" i="7"/>
  <c r="J19" i="7" s="1"/>
  <c r="H20" i="7"/>
  <c r="J20" i="7" s="1"/>
  <c r="H21" i="7"/>
  <c r="J21" i="7" s="1"/>
  <c r="H22" i="7"/>
  <c r="J22" i="7" s="1"/>
  <c r="H23" i="7"/>
  <c r="J23" i="7" s="1"/>
  <c r="H24" i="7"/>
  <c r="J24" i="7" s="1"/>
  <c r="H25" i="7"/>
  <c r="J25" i="7" s="1"/>
  <c r="H26" i="7"/>
  <c r="J26" i="7" s="1"/>
  <c r="H27" i="7"/>
  <c r="J27" i="7" s="1"/>
  <c r="H28" i="7"/>
  <c r="J28" i="7" s="1"/>
  <c r="H29" i="7"/>
  <c r="J29" i="7" s="1"/>
  <c r="H30" i="7"/>
  <c r="J30" i="7" s="1"/>
  <c r="K30" i="7"/>
  <c r="M30" i="7" s="1"/>
  <c r="H31" i="7"/>
  <c r="J31" i="7" s="1"/>
  <c r="K31" i="7"/>
  <c r="M31" i="7" s="1"/>
  <c r="G26" i="7" l="1"/>
  <c r="G21" i="7"/>
  <c r="G9" i="3"/>
  <c r="E28" i="7" l="1"/>
  <c r="G27" i="7"/>
  <c r="K25" i="9" s="1"/>
  <c r="O22" i="3"/>
  <c r="E29" i="7" l="1"/>
  <c r="G28" i="7"/>
  <c r="K26" i="9" s="1"/>
  <c r="K34" i="3"/>
  <c r="E30" i="7" l="1"/>
  <c r="G29" i="7"/>
  <c r="K27" i="9" s="1"/>
  <c r="Q33" i="3"/>
  <c r="Q32" i="3"/>
  <c r="Q31" i="3"/>
  <c r="Q30" i="3"/>
  <c r="Q29" i="3"/>
  <c r="M33" i="3"/>
  <c r="M32" i="3"/>
  <c r="M31" i="3"/>
  <c r="M30" i="3"/>
  <c r="M29" i="3"/>
  <c r="K33" i="3"/>
  <c r="K32" i="3"/>
  <c r="K31" i="3"/>
  <c r="K30" i="3"/>
  <c r="K29" i="3"/>
  <c r="E34" i="3"/>
  <c r="E33" i="3"/>
  <c r="E32" i="3"/>
  <c r="E31" i="3"/>
  <c r="E30" i="3"/>
  <c r="E29" i="3"/>
  <c r="G26" i="9" l="1"/>
  <c r="G23" i="9"/>
  <c r="G27" i="9"/>
  <c r="G24" i="9"/>
  <c r="G25" i="9"/>
  <c r="E31" i="7"/>
  <c r="G30" i="7"/>
  <c r="K28" i="9" s="1"/>
  <c r="Q28" i="3"/>
  <c r="Q27" i="3"/>
  <c r="Q26" i="3"/>
  <c r="M28" i="3"/>
  <c r="M27" i="3"/>
  <c r="M26" i="3"/>
  <c r="K28" i="3"/>
  <c r="K27" i="3"/>
  <c r="K26" i="3"/>
  <c r="E28" i="3"/>
  <c r="E27" i="3"/>
  <c r="G20" i="9" l="1"/>
  <c r="G21" i="9"/>
  <c r="G22" i="9"/>
  <c r="G31" i="7"/>
  <c r="K29" i="9" s="1"/>
  <c r="M25" i="3"/>
  <c r="M23" i="3"/>
  <c r="M22" i="3"/>
  <c r="M21" i="3"/>
  <c r="M20" i="3"/>
  <c r="M19" i="3"/>
  <c r="M18" i="3"/>
  <c r="M17" i="3"/>
  <c r="M16" i="3"/>
  <c r="M15" i="3"/>
  <c r="M14" i="3"/>
  <c r="M4" i="7" l="1"/>
  <c r="M15" i="7"/>
  <c r="M14" i="7"/>
  <c r="M13" i="7"/>
  <c r="M12" i="7"/>
  <c r="M11" i="7"/>
  <c r="M10" i="7"/>
  <c r="M9" i="7"/>
  <c r="M8" i="7"/>
  <c r="M7" i="7"/>
  <c r="M6" i="7"/>
  <c r="M5" i="7"/>
  <c r="H15" i="7"/>
  <c r="J15" i="7" s="1"/>
  <c r="H14" i="7"/>
  <c r="J14" i="7" s="1"/>
  <c r="H13" i="7"/>
  <c r="J13" i="7" s="1"/>
  <c r="H12" i="7"/>
  <c r="J12" i="7" s="1"/>
  <c r="H11" i="7"/>
  <c r="J11" i="7" s="1"/>
  <c r="J10" i="7"/>
  <c r="H9" i="7"/>
  <c r="J9" i="7" s="1"/>
  <c r="H8" i="7"/>
  <c r="J8" i="7" s="1"/>
  <c r="H7" i="7"/>
  <c r="J7" i="7" s="1"/>
  <c r="H6" i="7"/>
  <c r="J6" i="7" s="1"/>
  <c r="J5" i="7"/>
  <c r="G15" i="7"/>
  <c r="G14" i="7"/>
  <c r="G12" i="7"/>
  <c r="G11" i="7"/>
  <c r="E13" i="7" s="1"/>
  <c r="G13" i="7" s="1"/>
  <c r="G9" i="7"/>
  <c r="G8" i="7"/>
  <c r="G7" i="7"/>
  <c r="G6" i="7"/>
  <c r="G5" i="7"/>
  <c r="J4" i="7"/>
  <c r="G10" i="7"/>
  <c r="G4" i="7"/>
  <c r="K2" i="9" s="1"/>
  <c r="Q24" i="3"/>
  <c r="Q23" i="3"/>
  <c r="Q21" i="3"/>
  <c r="Q20" i="3"/>
  <c r="Q19" i="3"/>
  <c r="Q18" i="3"/>
  <c r="Q17" i="3"/>
  <c r="Q16" i="3"/>
  <c r="Q15" i="3"/>
  <c r="Q14" i="3"/>
  <c r="Q13" i="3"/>
  <c r="Q12" i="3"/>
  <c r="Q10" i="3"/>
  <c r="O25" i="3"/>
  <c r="O24" i="3"/>
  <c r="O23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G3" i="9" s="1"/>
  <c r="O39" i="3" l="1"/>
  <c r="K35" i="7"/>
  <c r="H35" i="7"/>
  <c r="E35" i="7"/>
  <c r="M24" i="3"/>
  <c r="M13" i="3"/>
  <c r="M12" i="3"/>
  <c r="M11" i="3"/>
  <c r="M10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G25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4" i="9" s="1"/>
  <c r="E35" i="3"/>
  <c r="E25" i="3"/>
  <c r="E24" i="3"/>
  <c r="E23" i="3"/>
  <c r="E22" i="3"/>
  <c r="E21" i="3"/>
  <c r="E20" i="3"/>
  <c r="E19" i="3"/>
  <c r="E18" i="3"/>
  <c r="E17" i="3"/>
  <c r="E16" i="3"/>
  <c r="E13" i="3"/>
  <c r="E11" i="3"/>
  <c r="G39" i="3" l="1"/>
  <c r="E39" i="3"/>
  <c r="C25" i="3"/>
  <c r="G19" i="9" s="1"/>
  <c r="C24" i="3"/>
  <c r="G18" i="9" s="1"/>
  <c r="C23" i="3"/>
  <c r="G17" i="9" s="1"/>
  <c r="C22" i="3"/>
  <c r="G16" i="9" s="1"/>
  <c r="C21" i="3"/>
  <c r="G15" i="9" s="1"/>
  <c r="C20" i="3"/>
  <c r="G14" i="9" s="1"/>
  <c r="C19" i="3"/>
  <c r="G13" i="9" s="1"/>
  <c r="C18" i="3"/>
  <c r="G12" i="9" s="1"/>
  <c r="C17" i="3"/>
  <c r="G11" i="9" s="1"/>
  <c r="C16" i="3"/>
  <c r="G10" i="9" s="1"/>
  <c r="C15" i="3"/>
  <c r="G9" i="9" s="1"/>
  <c r="C14" i="3"/>
  <c r="G8" i="9" s="1"/>
  <c r="C13" i="3"/>
  <c r="G7" i="9" s="1"/>
  <c r="C12" i="3"/>
  <c r="G6" i="9" s="1"/>
  <c r="C11" i="3"/>
  <c r="G5" i="9" s="1"/>
  <c r="C39" i="3" l="1"/>
  <c r="M35" i="3"/>
  <c r="G29" i="9" s="1"/>
  <c r="M34" i="3"/>
  <c r="K35" i="3"/>
  <c r="K39" i="3" s="1"/>
  <c r="Q35" i="3"/>
  <c r="Q34" i="3"/>
  <c r="G28" i="9" l="1"/>
  <c r="M39" i="3"/>
  <c r="Q39" i="3"/>
  <c r="S24" i="3"/>
  <c r="S25" i="3"/>
  <c r="S26" i="3"/>
  <c r="S27" i="3"/>
  <c r="S28" i="3"/>
  <c r="S29" i="3"/>
  <c r="S30" i="3"/>
  <c r="S31" i="3"/>
  <c r="S32" i="3"/>
  <c r="I39" i="3"/>
  <c r="S39" i="3" l="1"/>
  <c r="D5" i="7"/>
  <c r="K3" i="9" s="1"/>
  <c r="D6" i="7" l="1"/>
  <c r="K4" i="9" s="1"/>
  <c r="D7" i="7" l="1"/>
  <c r="K5" i="9" s="1"/>
  <c r="D8" i="7" l="1"/>
  <c r="K6" i="9" s="1"/>
  <c r="D9" i="7" l="1"/>
  <c r="K7" i="9" s="1"/>
  <c r="D10" i="7" l="1"/>
  <c r="K8" i="9" s="1"/>
  <c r="D11" i="7" l="1"/>
  <c r="K9" i="9" s="1"/>
  <c r="D12" i="7" l="1"/>
  <c r="K10" i="9" s="1"/>
  <c r="D13" i="7" l="1"/>
  <c r="K11" i="9" s="1"/>
  <c r="D14" i="7" l="1"/>
  <c r="K12" i="9" s="1"/>
  <c r="D15" i="7" l="1"/>
  <c r="K13" i="9" s="1"/>
  <c r="D16" i="7" l="1"/>
  <c r="K14" i="9" s="1"/>
  <c r="D17" i="7" l="1"/>
  <c r="K15" i="9" s="1"/>
  <c r="D18" i="7" l="1"/>
  <c r="K16" i="9" s="1"/>
  <c r="D19" i="7" l="1"/>
  <c r="K17" i="9" s="1"/>
  <c r="D20" i="7" l="1"/>
  <c r="K18" i="9" s="1"/>
  <c r="D21" i="7" l="1"/>
  <c r="K19" i="9" s="1"/>
  <c r="D22" i="7" l="1"/>
  <c r="K20" i="9" s="1"/>
  <c r="D23" i="7" l="1"/>
  <c r="K21" i="9" s="1"/>
  <c r="D24" i="7" l="1"/>
  <c r="K22" i="9" s="1"/>
  <c r="D26" i="7" l="1"/>
  <c r="K24" i="9" s="1"/>
  <c r="D25" i="7"/>
  <c r="K23" i="9" s="1"/>
  <c r="B35" i="7" l="1"/>
  <c r="B36" i="7" s="1"/>
  <c r="D39" i="2" l="1"/>
</calcChain>
</file>

<file path=xl/sharedStrings.xml><?xml version="1.0" encoding="utf-8"?>
<sst xmlns="http://schemas.openxmlformats.org/spreadsheetml/2006/main" count="186" uniqueCount="72">
  <si>
    <t xml:space="preserve">Date </t>
  </si>
  <si>
    <t>Meter 2</t>
  </si>
  <si>
    <t>Meter 1</t>
  </si>
  <si>
    <t>Ballroom</t>
  </si>
  <si>
    <t>Hotel</t>
  </si>
  <si>
    <t>Total</t>
  </si>
  <si>
    <t>Pregos</t>
  </si>
  <si>
    <t>Beach Front</t>
  </si>
  <si>
    <t>Rodeo Grill</t>
  </si>
  <si>
    <t>DAILY GAS METER READING</t>
  </si>
  <si>
    <t>Banquet Kitchen</t>
  </si>
  <si>
    <t>Room Service Kitchen</t>
  </si>
  <si>
    <t>Bay View Restaurant</t>
  </si>
  <si>
    <t>Apartment</t>
  </si>
  <si>
    <t>DAILY WATER METER READING</t>
  </si>
  <si>
    <t>BEACH WING</t>
  </si>
  <si>
    <t>TOWER WING</t>
  </si>
  <si>
    <t>Irrigation</t>
  </si>
  <si>
    <t>Restaurants</t>
  </si>
  <si>
    <t>LAUNDRY</t>
  </si>
  <si>
    <t>DAILY ELECTRICITY METER READING</t>
  </si>
  <si>
    <t>R</t>
  </si>
  <si>
    <t>C</t>
  </si>
  <si>
    <t>C - Consumption</t>
  </si>
  <si>
    <t>R - Reading</t>
  </si>
  <si>
    <t>BAYVIEW</t>
  </si>
  <si>
    <t>Rest. &amp; Kitchen</t>
  </si>
  <si>
    <t>Chilled Water</t>
  </si>
  <si>
    <t>Banquet Kit. &amp; Rest.</t>
  </si>
  <si>
    <t>Grand Lobby</t>
  </si>
  <si>
    <t>Amt.</t>
  </si>
  <si>
    <t>Qty./Ltrs</t>
  </si>
  <si>
    <t>Beach Wing Laundry</t>
  </si>
  <si>
    <t>Beach Wing Kitchen</t>
  </si>
  <si>
    <r>
      <t>APARTMENT  M</t>
    </r>
    <r>
      <rPr>
        <b/>
        <vertAlign val="superscript"/>
        <sz val="10"/>
        <rFont val="Arial"/>
        <family val="2"/>
      </rPr>
      <t>3</t>
    </r>
  </si>
  <si>
    <r>
      <t>Meter 1  (M</t>
    </r>
    <r>
      <rPr>
        <b/>
        <vertAlign val="superscript"/>
        <sz val="10"/>
        <rFont val="Arial"/>
        <family val="2"/>
      </rPr>
      <t>3)</t>
    </r>
  </si>
  <si>
    <r>
      <t>Meter 2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</si>
  <si>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Tennis Court</t>
  </si>
  <si>
    <t>Meter 3</t>
  </si>
  <si>
    <t>Diving Center</t>
  </si>
  <si>
    <t>Indigo Restaurant</t>
  </si>
  <si>
    <t>Finz Restaurant</t>
  </si>
  <si>
    <t xml:space="preserve">   </t>
  </si>
  <si>
    <t>Package 3 &amp; 4</t>
  </si>
  <si>
    <t>Previous</t>
  </si>
  <si>
    <t>Present</t>
  </si>
  <si>
    <t>Consumption</t>
  </si>
  <si>
    <t>Hotel Tower</t>
  </si>
  <si>
    <t>Total BRAD Reading</t>
  </si>
  <si>
    <t>Hotel Apartment</t>
  </si>
  <si>
    <t xml:space="preserve"> </t>
  </si>
  <si>
    <t>BEACH ROTANA ABUDHABI</t>
  </si>
  <si>
    <t>Note: Meter #1 has been closed on 3/9/18</t>
  </si>
  <si>
    <t>HOTEL APARTMENTS</t>
  </si>
  <si>
    <t>Note: Hotel meter reset to 0 on 12th January 2024</t>
  </si>
  <si>
    <t>For Month of March 2024</t>
  </si>
  <si>
    <t>SECONDARY PUMP (CHILLED WATER READING)  - March 2024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</si>
  <si>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</si>
  <si>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</si>
  <si>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</si>
  <si>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</si>
  <si>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</si>
  <si>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</si>
  <si>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</si>
  <si>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</si>
  <si>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</si>
  <si>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</si>
  <si>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>District Energy Cooling RTH</t>
  </si>
  <si>
    <t>District Energy Cooling $/RTH</t>
  </si>
  <si>
    <t xml:space="preserve">Room Nights </t>
  </si>
  <si>
    <t>Beach Rotana Abu Dhabi</t>
  </si>
  <si>
    <t>OCCUPANCY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</si>
</sst>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m/d"/>
    <numFmt numFmtId="167" formatCode="[$-409]d\-mmm\-yy;@"/>
    <numFmt numFmtId="168" formatCode="0.000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u/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i/>
      <u/>
      <sz val="8"/>
      <name val="Arial"/>
      <family val="2"/>
    </font>
    <font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i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b/>
      <vertAlign val="superscript"/>
      <sz val="10"/>
      <name val="Arial"/>
      <family val="2"/>
    </font>
    <font>
      <u/>
      <sz val="10"/>
      <name val="Arial"/>
      <family val="2"/>
    </font>
    <font>
      <b/>
      <i/>
      <sz val="10"/>
      <name val="Arial"/>
      <family val="2"/>
    </font>
    <font>
      <sz val="10"/>
      <color indexed="10"/>
      <name val="Arial"/>
      <family val="2"/>
    </font>
    <font>
      <sz val="10"/>
      <color rgb="FFFF000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b/>
      <i/>
      <sz val="10"/>
      <color rgb="FFFF0000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9" fillId="0" borderId="0" applyFont="0" applyFill="0" applyBorder="0" applyAlignment="0" applyProtection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40" fillId="0" borderId="0"/>
  </cellStyleXfs>
  <cellXfs count="275"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/>
    <xf numFmtId="1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0" fontId="15" fillId="0" borderId="0" xfId="0" applyFont="1"/>
    <xf numFmtId="0" fontId="20" fillId="0" borderId="1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0" fontId="22" fillId="0" borderId="0" xfId="0" applyFont="1"/>
    <xf numFmtId="0" fontId="15" fillId="0" borderId="1" xfId="0" applyFont="1" applyBorder="1" applyAlignment="1">
      <alignment horizontal="center"/>
    </xf>
    <xf numFmtId="165" fontId="0" fillId="0" borderId="0" xfId="1" applyNumberFormat="1" applyFont="1" applyAlignment="1">
      <alignment horizontal="center"/>
    </xf>
    <xf numFmtId="0" fontId="25" fillId="0" borderId="0" xfId="0" applyFont="1"/>
    <xf numFmtId="0" fontId="20" fillId="0" borderId="5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16" fontId="0" fillId="0" borderId="0" xfId="0" applyNumberFormat="1"/>
    <xf numFmtId="16" fontId="22" fillId="0" borderId="0" xfId="0" applyNumberFormat="1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0" fontId="27" fillId="0" borderId="0" xfId="0" applyFont="1"/>
    <xf numFmtId="0" fontId="27" fillId="0" borderId="1" xfId="0" applyFont="1" applyBorder="1"/>
    <xf numFmtId="165" fontId="17" fillId="0" borderId="1" xfId="1" applyNumberFormat="1" applyFont="1" applyBorder="1" applyAlignment="1">
      <alignment horizontal="left"/>
    </xf>
    <xf numFmtId="166" fontId="16" fillId="0" borderId="1" xfId="0" applyNumberFormat="1" applyFont="1" applyBorder="1"/>
    <xf numFmtId="0" fontId="0" fillId="0" borderId="4" xfId="0" applyBorder="1" applyAlignment="1">
      <alignment horizontal="center"/>
    </xf>
    <xf numFmtId="1" fontId="29" fillId="0" borderId="0" xfId="0" applyNumberFormat="1" applyFont="1" applyAlignment="1">
      <alignment horizontal="center"/>
    </xf>
    <xf numFmtId="0" fontId="20" fillId="0" borderId="8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/>
    </xf>
    <xf numFmtId="1" fontId="17" fillId="0" borderId="0" xfId="0" applyNumberFormat="1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30" fillId="0" borderId="0" xfId="0" applyFont="1"/>
    <xf numFmtId="0" fontId="31" fillId="0" borderId="0" xfId="0" applyFont="1"/>
    <xf numFmtId="165" fontId="23" fillId="0" borderId="0" xfId="1" applyNumberFormat="1" applyFont="1" applyAlignment="1">
      <alignment horizontal="center"/>
    </xf>
    <xf numFmtId="0" fontId="32" fillId="0" borderId="0" xfId="0" applyFont="1"/>
    <xf numFmtId="0" fontId="16" fillId="0" borderId="1" xfId="0" applyFont="1" applyBorder="1" applyAlignment="1">
      <alignment horizontal="center"/>
    </xf>
    <xf numFmtId="0" fontId="9" fillId="0" borderId="0" xfId="0" applyFont="1"/>
    <xf numFmtId="0" fontId="33" fillId="0" borderId="0" xfId="0" applyFont="1"/>
    <xf numFmtId="0" fontId="7" fillId="0" borderId="0" xfId="3"/>
    <xf numFmtId="0" fontId="35" fillId="0" borderId="0" xfId="3" applyFont="1"/>
    <xf numFmtId="0" fontId="35" fillId="0" borderId="0" xfId="3" applyFont="1" applyAlignment="1">
      <alignment horizontal="center"/>
    </xf>
    <xf numFmtId="167" fontId="37" fillId="0" borderId="0" xfId="3" applyNumberFormat="1" applyFont="1" applyAlignment="1">
      <alignment horizontal="center"/>
    </xf>
    <xf numFmtId="0" fontId="37" fillId="0" borderId="0" xfId="3" applyFont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1" xfId="0" applyFont="1" applyBorder="1"/>
    <xf numFmtId="1" fontId="34" fillId="0" borderId="1" xfId="0" applyNumberFormat="1" applyFont="1" applyBorder="1" applyAlignment="1">
      <alignment horizontal="center"/>
    </xf>
    <xf numFmtId="0" fontId="6" fillId="0" borderId="0" xfId="3" applyFont="1"/>
    <xf numFmtId="165" fontId="7" fillId="0" borderId="0" xfId="3" applyNumberFormat="1"/>
    <xf numFmtId="0" fontId="9" fillId="0" borderId="1" xfId="0" applyFont="1" applyBorder="1" applyAlignment="1">
      <alignment horizontal="center"/>
    </xf>
    <xf numFmtId="1" fontId="9" fillId="0" borderId="1" xfId="0" quotePrefix="1" applyNumberFormat="1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/>
    </xf>
    <xf numFmtId="165" fontId="35" fillId="0" borderId="0" xfId="3" applyNumberFormat="1" applyFont="1"/>
    <xf numFmtId="1" fontId="34" fillId="0" borderId="1" xfId="0" applyNumberFormat="1" applyFont="1" applyBorder="1" applyAlignment="1">
      <alignment horizontal="center" vertical="center"/>
    </xf>
    <xf numFmtId="1" fontId="34" fillId="0" borderId="1" xfId="0" quotePrefix="1" applyNumberFormat="1" applyFont="1" applyBorder="1" applyAlignment="1">
      <alignment horizontal="center"/>
    </xf>
    <xf numFmtId="165" fontId="34" fillId="0" borderId="1" xfId="1" applyNumberFormat="1" applyFont="1" applyBorder="1" applyAlignment="1">
      <alignment horizontal="center"/>
    </xf>
    <xf numFmtId="165" fontId="38" fillId="0" borderId="1" xfId="1" applyNumberFormat="1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1" fontId="34" fillId="2" borderId="1" xfId="0" applyNumberFormat="1" applyFont="1" applyFill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65" fontId="30" fillId="0" borderId="0" xfId="0" applyNumberFormat="1" applyFont="1"/>
    <xf numFmtId="16" fontId="39" fillId="0" borderId="0" xfId="0" applyNumberFormat="1" applyFont="1"/>
    <xf numFmtId="0" fontId="9" fillId="2" borderId="1" xfId="0" applyFont="1" applyFill="1" applyBorder="1" applyAlignment="1">
      <alignment horizontal="center"/>
    </xf>
    <xf numFmtId="0" fontId="39" fillId="0" borderId="0" xfId="0" applyFont="1"/>
    <xf numFmtId="1" fontId="34" fillId="2" borderId="1" xfId="0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 wrapText="1"/>
    </xf>
    <xf numFmtId="1" fontId="9" fillId="0" borderId="4" xfId="0" quotePrefix="1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65" fontId="25" fillId="0" borderId="0" xfId="0" applyNumberFormat="1" applyFont="1"/>
    <xf numFmtId="165" fontId="0" fillId="0" borderId="0" xfId="0" applyNumberFormat="1"/>
    <xf numFmtId="0" fontId="2" fillId="0" borderId="0" xfId="3" applyFont="1"/>
    <xf numFmtId="165" fontId="17" fillId="0" borderId="1" xfId="1" applyNumberFormat="1" applyFont="1" applyBorder="1" applyAlignment="1">
      <alignment horizontal="center"/>
    </xf>
    <xf numFmtId="0" fontId="9" fillId="0" borderId="1" xfId="0" applyFont="1" applyBorder="1"/>
    <xf numFmtId="16" fontId="28" fillId="0" borderId="0" xfId="0" applyNumberFormat="1" applyFont="1"/>
    <xf numFmtId="0" fontId="21" fillId="0" borderId="0" xfId="0" applyFont="1"/>
    <xf numFmtId="0" fontId="11" fillId="0" borderId="0" xfId="0" applyFont="1"/>
    <xf numFmtId="0" fontId="12" fillId="0" borderId="0" xfId="0" applyFont="1"/>
    <xf numFmtId="164" fontId="0" fillId="0" borderId="0" xfId="0" applyNumberFormat="1" applyAlignment="1">
      <alignment horizontal="center"/>
    </xf>
    <xf numFmtId="0" fontId="1" fillId="0" borderId="0" xfId="3" applyFont="1"/>
    <xf numFmtId="165" fontId="34" fillId="2" borderId="1" xfId="1" applyNumberFormat="1" applyFont="1" applyFill="1" applyBorder="1" applyAlignment="1">
      <alignment horizontal="center"/>
    </xf>
    <xf numFmtId="165" fontId="9" fillId="2" borderId="1" xfId="1" quotePrefix="1" applyNumberFormat="1" applyFont="1" applyFill="1" applyBorder="1" applyAlignment="1">
      <alignment horizontal="center"/>
    </xf>
    <xf numFmtId="165" fontId="9" fillId="2" borderId="1" xfId="1" applyNumberFormat="1" applyFont="1" applyFill="1" applyBorder="1" applyAlignment="1">
      <alignment horizontal="center"/>
    </xf>
    <xf numFmtId="0" fontId="35" fillId="3" borderId="25" xfId="3" applyFont="1" applyFill="1" applyBorder="1" applyAlignment="1">
      <alignment horizontal="center" vertical="center"/>
    </xf>
    <xf numFmtId="0" fontId="35" fillId="3" borderId="26" xfId="3" applyFont="1" applyFill="1" applyBorder="1" applyAlignment="1">
      <alignment horizontal="center" vertical="center"/>
    </xf>
    <xf numFmtId="0" fontId="35" fillId="3" borderId="27" xfId="3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6" fillId="0" borderId="1" xfId="0" applyFont="1" applyBorder="1"/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1" fontId="9" fillId="0" borderId="1" xfId="0" quotePrefix="1" applyNumberFormat="1" applyFont="1" applyBorder="1" applyAlignment="1">
      <alignment horizontal="center"/>
    </xf>
    <xf numFmtId="165" fontId="34" fillId="2" borderId="2" xfId="1" applyNumberFormat="1" applyFont="1" applyFill="1" applyBorder="1" applyAlignment="1">
      <alignment horizontal="center" vertical="center" wrapText="1"/>
    </xf>
    <xf numFmtId="165" fontId="34" fillId="2" borderId="1" xfId="1" quotePrefix="1" applyNumberFormat="1" applyFont="1" applyFill="1" applyBorder="1" applyAlignment="1">
      <alignment horizontal="center"/>
    </xf>
    <xf numFmtId="165" fontId="38" fillId="2" borderId="1" xfId="1" applyNumberFormat="1" applyFont="1" applyFill="1" applyBorder="1" applyAlignment="1">
      <alignment horizontal="center"/>
    </xf>
    <xf numFmtId="165" fontId="9" fillId="2" borderId="2" xfId="1" applyNumberFormat="1" applyFont="1" applyFill="1" applyBorder="1" applyAlignment="1">
      <alignment horizontal="center" vertical="center" wrapText="1"/>
    </xf>
    <xf numFmtId="0" fontId="37" fillId="0" borderId="31" xfId="3" applyFont="1" applyBorder="1" applyAlignment="1">
      <alignment horizontal="center" vertical="center"/>
    </xf>
    <xf numFmtId="0" fontId="37" fillId="2" borderId="31" xfId="3" applyFont="1" applyFill="1" applyBorder="1" applyAlignment="1">
      <alignment horizontal="center" vertical="center"/>
    </xf>
    <xf numFmtId="164" fontId="34" fillId="2" borderId="1" xfId="1" applyNumberFormat="1" applyFont="1" applyFill="1" applyBorder="1" applyAlignment="1">
      <alignment horizontal="center"/>
    </xf>
    <xf numFmtId="1" fontId="9" fillId="0" borderId="3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37" fillId="2" borderId="39" xfId="3" applyFont="1" applyFill="1" applyBorder="1" applyAlignment="1">
      <alignment horizontal="center" vertical="center"/>
    </xf>
    <xf numFmtId="0" fontId="41" fillId="2" borderId="40" xfId="3" applyFont="1" applyFill="1" applyBorder="1" applyAlignment="1">
      <alignment horizontal="center" vertical="center"/>
    </xf>
    <xf numFmtId="0" fontId="37" fillId="2" borderId="33" xfId="3" applyFont="1" applyFill="1" applyBorder="1" applyAlignment="1">
      <alignment horizontal="center" vertical="center"/>
    </xf>
    <xf numFmtId="0" fontId="41" fillId="2" borderId="30" xfId="3" applyFont="1" applyFill="1" applyBorder="1" applyAlignment="1">
      <alignment horizontal="center" vertical="center"/>
    </xf>
    <xf numFmtId="0" fontId="41" fillId="2" borderId="28" xfId="3" applyFont="1" applyFill="1" applyBorder="1" applyAlignment="1">
      <alignment horizontal="center" vertical="center"/>
    </xf>
    <xf numFmtId="16" fontId="9" fillId="0" borderId="46" xfId="0" applyNumberFormat="1" applyFont="1" applyBorder="1" applyAlignment="1">
      <alignment horizontal="center" vertical="center" wrapText="1"/>
    </xf>
    <xf numFmtId="0" fontId="37" fillId="2" borderId="41" xfId="3" applyFont="1" applyFill="1" applyBorder="1" applyAlignment="1">
      <alignment horizontal="center" vertical="center"/>
    </xf>
    <xf numFmtId="0" fontId="37" fillId="0" borderId="33" xfId="3" applyFont="1" applyBorder="1" applyAlignment="1">
      <alignment horizontal="center" vertical="center"/>
    </xf>
    <xf numFmtId="0" fontId="41" fillId="2" borderId="32" xfId="3" applyFont="1" applyFill="1" applyBorder="1" applyAlignment="1">
      <alignment horizontal="center" vertical="center"/>
    </xf>
    <xf numFmtId="0" fontId="37" fillId="0" borderId="41" xfId="3" applyFont="1" applyBorder="1" applyAlignment="1">
      <alignment horizontal="center" vertical="center"/>
    </xf>
    <xf numFmtId="0" fontId="41" fillId="0" borderId="32" xfId="3" applyFont="1" applyBorder="1" applyAlignment="1">
      <alignment horizontal="center" vertical="center"/>
    </xf>
    <xf numFmtId="0" fontId="41" fillId="2" borderId="43" xfId="3" applyFont="1" applyFill="1" applyBorder="1" applyAlignment="1">
      <alignment horizontal="center" vertical="center"/>
    </xf>
    <xf numFmtId="0" fontId="37" fillId="2" borderId="42" xfId="3" applyFont="1" applyFill="1" applyBorder="1" applyAlignment="1">
      <alignment horizontal="center" vertical="center"/>
    </xf>
    <xf numFmtId="0" fontId="41" fillId="2" borderId="37" xfId="3" applyFont="1" applyFill="1" applyBorder="1" applyAlignment="1">
      <alignment horizontal="center" vertical="center"/>
    </xf>
    <xf numFmtId="0" fontId="37" fillId="0" borderId="42" xfId="3" applyFont="1" applyBorder="1" applyAlignment="1">
      <alignment horizontal="center" vertical="center"/>
    </xf>
    <xf numFmtId="0" fontId="41" fillId="0" borderId="37" xfId="3" applyFont="1" applyBorder="1" applyAlignment="1">
      <alignment horizontal="center" vertical="center"/>
    </xf>
    <xf numFmtId="0" fontId="37" fillId="0" borderId="42" xfId="3" applyFont="1" applyBorder="1" applyAlignment="1">
      <alignment horizontal="center" vertical="center" wrapText="1"/>
    </xf>
    <xf numFmtId="0" fontId="41" fillId="0" borderId="37" xfId="3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0" fontId="42" fillId="0" borderId="31" xfId="4" applyFont="1" applyBorder="1" applyAlignment="1">
      <alignment horizontal="center" vertical="center"/>
    </xf>
    <xf numFmtId="0" fontId="42" fillId="2" borderId="31" xfId="4" applyFont="1" applyFill="1" applyBorder="1" applyAlignment="1">
      <alignment horizontal="center" vertical="center"/>
    </xf>
    <xf numFmtId="0" fontId="42" fillId="2" borderId="29" xfId="4" applyFont="1" applyFill="1" applyBorder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 wrapText="1"/>
    </xf>
    <xf numFmtId="1" fontId="9" fillId="2" borderId="1" xfId="0" applyNumberFormat="1" applyFont="1" applyFill="1" applyBorder="1" applyAlignment="1">
      <alignment horizontal="center" vertical="center" wrapText="1"/>
    </xf>
    <xf numFmtId="0" fontId="37" fillId="0" borderId="31" xfId="4" applyFont="1" applyBorder="1" applyAlignment="1">
      <alignment horizontal="center" vertical="center"/>
    </xf>
    <xf numFmtId="0" fontId="37" fillId="2" borderId="31" xfId="4" applyFont="1" applyFill="1" applyBorder="1" applyAlignment="1">
      <alignment horizontal="center" vertical="center"/>
    </xf>
    <xf numFmtId="0" fontId="37" fillId="0" borderId="48" xfId="4" applyFont="1" applyBorder="1" applyAlignment="1">
      <alignment horizontal="center" vertical="center"/>
    </xf>
    <xf numFmtId="0" fontId="37" fillId="0" borderId="41" xfId="3" applyFont="1" applyBorder="1" applyAlignment="1">
      <alignment horizontal="center" vertical="center" wrapText="1"/>
    </xf>
    <xf numFmtId="0" fontId="41" fillId="0" borderId="32" xfId="3" applyFont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/>
    </xf>
    <xf numFmtId="0" fontId="44" fillId="0" borderId="9" xfId="0" applyFont="1" applyBorder="1" applyAlignment="1">
      <alignment horizontal="center"/>
    </xf>
    <xf numFmtId="0" fontId="43" fillId="0" borderId="9" xfId="0" applyFont="1" applyBorder="1" applyAlignment="1">
      <alignment horizontal="center" vertical="center"/>
    </xf>
    <xf numFmtId="0" fontId="43" fillId="0" borderId="9" xfId="0" applyFont="1" applyBorder="1" applyAlignment="1">
      <alignment horizontal="center" vertical="center" wrapText="1"/>
    </xf>
    <xf numFmtId="0" fontId="45" fillId="0" borderId="9" xfId="0" applyFont="1" applyBorder="1" applyAlignment="1">
      <alignment horizontal="center" vertical="center" wrapText="1"/>
    </xf>
    <xf numFmtId="1" fontId="46" fillId="0" borderId="9" xfId="0" applyNumberFormat="1" applyFont="1" applyBorder="1" applyAlignment="1">
      <alignment horizontal="center" vertical="center" wrapText="1"/>
    </xf>
    <xf numFmtId="168" fontId="45" fillId="0" borderId="9" xfId="0" applyNumberFormat="1" applyFont="1" applyBorder="1" applyAlignment="1">
      <alignment horizontal="center" vertical="center" wrapText="1"/>
    </xf>
    <xf numFmtId="1" fontId="43" fillId="0" borderId="9" xfId="0" applyNumberFormat="1" applyFont="1" applyBorder="1" applyAlignment="1">
      <alignment horizontal="center" vertical="center" wrapText="1"/>
    </xf>
    <xf numFmtId="0" fontId="43" fillId="0" borderId="0" xfId="0" applyFont="1" applyAlignment="1">
      <alignment horizontal="center"/>
    </xf>
    <xf numFmtId="0" fontId="4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168" fontId="49" fillId="0" borderId="0" xfId="0" applyNumberFormat="1" applyFont="1" applyAlignment="1">
      <alignment horizontal="center"/>
    </xf>
    <xf numFmtId="2" fontId="49" fillId="0" borderId="0" xfId="0" applyNumberFormat="1" applyFont="1" applyAlignment="1">
      <alignment horizontal="center"/>
    </xf>
    <xf numFmtId="1" fontId="50" fillId="0" borderId="0" xfId="0" applyNumberFormat="1" applyFont="1" applyAlignment="1">
      <alignment horizontal="center"/>
    </xf>
    <xf numFmtId="0" fontId="49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" fontId="0" fillId="0" borderId="12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 wrapText="1"/>
    </xf>
    <xf numFmtId="1" fontId="0" fillId="0" borderId="6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0" fillId="0" borderId="11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16" fontId="10" fillId="0" borderId="7" xfId="0" applyNumberFormat="1" applyFont="1" applyBorder="1" applyAlignment="1">
      <alignment horizontal="center" vertical="center" wrapText="1"/>
    </xf>
    <xf numFmtId="16" fontId="10" fillId="0" borderId="6" xfId="0" applyNumberFormat="1" applyFont="1" applyBorder="1" applyAlignment="1">
      <alignment horizontal="center" vertical="center" wrapText="1"/>
    </xf>
    <xf numFmtId="16" fontId="10" fillId="0" borderId="2" xfId="0" applyNumberFormat="1" applyFont="1" applyBorder="1" applyAlignment="1">
      <alignment horizontal="center" vertical="center" wrapText="1"/>
    </xf>
    <xf numFmtId="16" fontId="0" fillId="0" borderId="15" xfId="0" applyNumberForma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5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0" fillId="0" borderId="17" xfId="0" applyFont="1" applyBorder="1" applyAlignment="1">
      <alignment horizontal="center" vertical="center" wrapText="1"/>
    </xf>
    <xf numFmtId="165" fontId="24" fillId="0" borderId="7" xfId="1" applyNumberFormat="1" applyFont="1" applyBorder="1" applyAlignment="1">
      <alignment horizontal="center" vertical="center" wrapText="1"/>
    </xf>
    <xf numFmtId="165" fontId="24" fillId="0" borderId="18" xfId="1" applyNumberFormat="1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165" fontId="10" fillId="0" borderId="16" xfId="1" applyNumberFormat="1" applyFont="1" applyBorder="1" applyAlignment="1">
      <alignment horizontal="center" vertical="center" wrapText="1"/>
    </xf>
    <xf numFmtId="165" fontId="10" fillId="0" borderId="19" xfId="1" applyNumberFormat="1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165" fontId="24" fillId="0" borderId="11" xfId="1" applyNumberFormat="1" applyFont="1" applyBorder="1" applyAlignment="1">
      <alignment horizontal="center" vertical="center" wrapText="1"/>
    </xf>
    <xf numFmtId="165" fontId="24" fillId="0" borderId="17" xfId="1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10" fillId="0" borderId="7" xfId="1" applyNumberFormat="1" applyFont="1" applyBorder="1" applyAlignment="1">
      <alignment horizontal="center" vertical="center" wrapText="1"/>
    </xf>
    <xf numFmtId="165" fontId="10" fillId="0" borderId="18" xfId="1" applyNumberFormat="1" applyFont="1" applyBorder="1" applyAlignment="1">
      <alignment horizontal="center" vertical="center" wrapText="1"/>
    </xf>
    <xf numFmtId="167" fontId="36" fillId="0" borderId="9" xfId="3" applyNumberFormat="1" applyFont="1" applyBorder="1" applyAlignment="1">
      <alignment horizontal="center" vertical="center"/>
    </xf>
    <xf numFmtId="167" fontId="35" fillId="3" borderId="35" xfId="3" applyNumberFormat="1" applyFont="1" applyFill="1" applyBorder="1" applyAlignment="1">
      <alignment horizontal="center" vertical="center"/>
    </xf>
    <xf numFmtId="167" fontId="35" fillId="3" borderId="47" xfId="3" applyNumberFormat="1" applyFont="1" applyFill="1" applyBorder="1" applyAlignment="1">
      <alignment horizontal="center" vertical="center"/>
    </xf>
    <xf numFmtId="0" fontId="35" fillId="3" borderId="22" xfId="3" applyFont="1" applyFill="1" applyBorder="1" applyAlignment="1">
      <alignment horizontal="center" vertical="center"/>
    </xf>
    <xf numFmtId="0" fontId="35" fillId="3" borderId="23" xfId="3" applyFont="1" applyFill="1" applyBorder="1" applyAlignment="1">
      <alignment horizontal="center" vertical="center"/>
    </xf>
    <xf numFmtId="0" fontId="35" fillId="3" borderId="24" xfId="3" applyFont="1" applyFill="1" applyBorder="1" applyAlignment="1">
      <alignment horizontal="center" vertical="center"/>
    </xf>
    <xf numFmtId="167" fontId="41" fillId="0" borderId="38" xfId="3" applyNumberFormat="1" applyFont="1" applyBorder="1" applyAlignment="1">
      <alignment horizontal="center" vertical="center" wrapText="1"/>
    </xf>
    <xf numFmtId="167" fontId="41" fillId="0" borderId="36" xfId="3" applyNumberFormat="1" applyFont="1" applyBorder="1" applyAlignment="1">
      <alignment horizontal="center" vertical="center" wrapText="1"/>
    </xf>
    <xf numFmtId="165" fontId="41" fillId="0" borderId="34" xfId="3" applyNumberFormat="1" applyFont="1" applyBorder="1" applyAlignment="1">
      <alignment vertical="center"/>
    </xf>
    <xf numFmtId="0" fontId="41" fillId="0" borderId="26" xfId="3" applyFont="1" applyBorder="1" applyAlignment="1">
      <alignment vertical="center"/>
    </xf>
    <xf numFmtId="0" fontId="41" fillId="0" borderId="27" xfId="3" applyFont="1" applyBorder="1" applyAlignment="1">
      <alignment vertical="center"/>
    </xf>
    <xf numFmtId="165" fontId="41" fillId="0" borderId="49" xfId="1" applyNumberFormat="1" applyFont="1" applyBorder="1" applyAlignment="1">
      <alignment horizontal="center" vertical="center"/>
    </xf>
    <xf numFmtId="165" fontId="41" fillId="0" borderId="15" xfId="1" applyNumberFormat="1" applyFont="1" applyBorder="1" applyAlignment="1">
      <alignment horizontal="center" vertical="center"/>
    </xf>
    <xf numFmtId="165" fontId="41" fillId="0" borderId="50" xfId="1" applyNumberFormat="1" applyFont="1" applyBorder="1" applyAlignment="1">
      <alignment horizontal="center" vertical="center"/>
    </xf>
    <xf numFmtId="165" fontId="41" fillId="0" borderId="44" xfId="1" applyNumberFormat="1" applyFont="1" applyBorder="1" applyAlignment="1">
      <alignment horizontal="center" vertical="center"/>
    </xf>
    <xf numFmtId="165" fontId="41" fillId="0" borderId="2" xfId="1" applyNumberFormat="1" applyFont="1" applyBorder="1" applyAlignment="1">
      <alignment horizontal="center" vertical="center"/>
    </xf>
    <xf numFmtId="165" fontId="41" fillId="0" borderId="45" xfId="1" applyNumberFormat="1" applyFont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2" xr:uid="{00000000-0005-0000-0000-000002000000}"/>
    <cellStyle name="Normal 2 2" xfId="3" xr:uid="{00000000-0005-0000-0000-000003000000}"/>
    <cellStyle name="Normal 2 2 2" xfId="4" xr:uid="{00000000-0005-0000-0000-000004000000}"/>
    <cellStyle name="Normal 2 2 3" xfId="5" xr:uid="{00000000-0005-0000-0000-000005000000}"/>
    <cellStyle name="Normal 2 2 4" xfId="6" xr:uid="{00000000-0005-0000-0000-000006000000}"/>
    <cellStyle name="Normal 3" xfId="7" xr:uid="{00000000-0005-0000-0000-000007000000}"/>
  </cellStyles>
  <dxfs count="0"/>
  <tableStyles count="0" defaultTableStyle="TableStyleMedium9" defaultPivotStyle="PivotStyleLight16"/>
  <colors>
    <mruColors>
      <color rgb="FF0000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0</xdr:row>
      <xdr:rowOff>0</xdr:rowOff>
    </xdr:from>
    <xdr:to>
      <xdr:col>18</xdr:col>
      <xdr:colOff>0</xdr:colOff>
      <xdr:row>0</xdr:row>
      <xdr:rowOff>133350</xdr:rowOff>
    </xdr:to>
    <xdr:pic>
      <xdr:nvPicPr>
        <xdr:cNvPr id="23730" name="Picture 1" descr="New BRHT Logo 2002">
          <a:extLst>
            <a:ext uri="{FF2B5EF4-FFF2-40B4-BE49-F238E27FC236}">
              <a16:creationId xmlns:a16="http://schemas.microsoft.com/office/drawing/2014/main" id="{00000000-0008-0000-0200-0000B2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753600" y="0"/>
          <a:ext cx="0" cy="133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N36"/>
  <sheetViews>
    <sheetView tabSelected="1" topLeftCell="B1" workbookViewId="0">
      <selection activeCell="I36" sqref="H36:I36"/>
    </sheetView>
  </sheetViews>
  <sheetFormatPr defaultColWidth="11.59765625" defaultRowHeight="14.25" x14ac:dyDescent="0.45"/>
  <cols>
    <col min="1" max="1" width="26.3984375" style="2" bestFit="1" customWidth="1"/>
    <col min="2" max="2" width="11.59765625" style="2"/>
    <col min="3" max="3" width="11.59765625" style="171"/>
    <col min="4" max="4" width="13.3984375" style="2" customWidth="1"/>
    <col min="5" max="5" width="12.59765625" style="2" customWidth="1"/>
    <col min="6" max="6" width="12.59765625" style="175" customWidth="1"/>
    <col min="7" max="7" width="11.59765625" style="2"/>
    <col min="8" max="8" width="11.59765625" style="175"/>
    <col min="9" max="9" width="11.59765625" style="2"/>
    <col min="10" max="10" width="11.59765625" style="175"/>
    <col min="11" max="11" width="11.59765625" style="174"/>
    <col min="12" max="12" width="11.59765625" style="172"/>
    <col min="13" max="13" width="11.59765625" style="24"/>
    <col min="14" max="16384" width="11.59765625" style="2"/>
  </cols>
  <sheetData>
    <row r="1" spans="1:14" s="169" customFormat="1" ht="57.4" thickBot="1" x14ac:dyDescent="0.5">
      <c r="A1" s="161" t="s">
        <v>57</v>
      </c>
      <c r="B1" s="161" t="s">
        <v>58</v>
      </c>
      <c r="C1" s="162" t="s">
        <v>59</v>
      </c>
      <c r="D1" s="163" t="s">
        <v>60</v>
      </c>
      <c r="E1" s="164" t="s">
        <v>61</v>
      </c>
      <c r="F1" s="165" t="s">
        <v>62</v>
      </c>
      <c r="G1" s="164" t="s">
        <v>65</v>
      </c>
      <c r="H1" s="165" t="s">
        <v>66</v>
      </c>
      <c r="I1" s="164" t="s">
        <v>63</v>
      </c>
      <c r="J1" s="165" t="s">
        <v>64</v>
      </c>
      <c r="K1" s="166" t="s">
        <v>67</v>
      </c>
      <c r="L1" s="167" t="s">
        <v>68</v>
      </c>
      <c r="M1" s="168" t="s">
        <v>69</v>
      </c>
    </row>
    <row r="2" spans="1:14" x14ac:dyDescent="0.45">
      <c r="A2" s="170" t="s">
        <v>70</v>
      </c>
      <c r="B2" s="2">
        <v>1</v>
      </c>
      <c r="C2" s="171">
        <v>3</v>
      </c>
      <c r="D2" s="2">
        <v>2024</v>
      </c>
      <c r="E2" s="24">
        <f>IF((Elect!D8+Elect!F8+Elect!H8+Elect!J8+Elect!L8+Elect!N8+Elect!R8+Elect!T8+Elect!V8+Elect!X8)&lt;0,"0",Elect!D8+Elect!F8+Elect!H8+Elect!J8+Elect!L8+Elect!N8+Elect!R8+Elect!T8+Elect!V8+Elect!X8)</f>
        <v>35578</v>
      </c>
      <c r="F2" s="172">
        <v>0.2</v>
      </c>
      <c r="G2" s="24">
        <f>IF((Water!C8+Water!E8+Water!G8+Water!K8+Water!M8+Water!O8+Water!Q8)&lt;0,"0",Water!C8+Water!E8+Water!G8+Water!K8+Water!M8+Water!O8+Water!Q8)</f>
        <v>550</v>
      </c>
      <c r="H2" s="173">
        <v>7.84</v>
      </c>
      <c r="I2" s="24">
        <f>IF((Gas!B8+Gas!E8+Gas!G8+Gas!I8+Gas!K8+Gas!M8+Gas!O8+Gas!Q8+Gas!S8+Gas!U8)&lt;0,"0",Gas!B8+Gas!E8+Gas!G8+Gas!I8+Gas!K8+Gas!M8+Gas!O8+Gas!Q8+Gas!S8+Gas!U8)</f>
        <v>1275</v>
      </c>
      <c r="J2" s="173">
        <v>2.6</v>
      </c>
      <c r="K2" s="174">
        <f>'Chilled Water'!D4+'Chilled Water'!G4+'Chilled Water'!J4+'Chilled Water'!M4</f>
        <v>576</v>
      </c>
      <c r="L2" s="172">
        <v>0.33</v>
      </c>
      <c r="M2" s="24">
        <f>Elect!B8</f>
        <v>494</v>
      </c>
      <c r="N2" s="169"/>
    </row>
    <row r="3" spans="1:14" x14ac:dyDescent="0.45">
      <c r="A3" s="170" t="s">
        <v>70</v>
      </c>
      <c r="B3" s="2">
        <f t="shared" ref="B3:B32" si="0">B2+1</f>
        <v>2</v>
      </c>
      <c r="C3" s="171">
        <v>3</v>
      </c>
      <c r="D3" s="2">
        <v>2024</v>
      </c>
      <c r="E3" s="24">
        <f>IF((Elect!D9+Elect!F9+Elect!H9+Elect!J9+Elect!L9+Elect!N9+Elect!R9+Elect!T9+Elect!V9+Elect!X9)&lt;0,"0",Elect!D9+Elect!F9+Elect!H9+Elect!J9+Elect!L9+Elect!N9+Elect!R9+Elect!T9+Elect!V9+Elect!X9)</f>
        <v>34164</v>
      </c>
      <c r="F3" s="172">
        <v>0.2</v>
      </c>
      <c r="G3" s="24">
        <f>IF((Water!C9+Water!E9+Water!G9+Water!K9+Water!M9+Water!O9+Water!Q9)&lt;0,"0",Water!C9+Water!E9+Water!G9+Water!K9+Water!M9+Water!O9+Water!Q9)</f>
        <v>511</v>
      </c>
      <c r="H3" s="173">
        <v>7.84</v>
      </c>
      <c r="I3" s="24">
        <f>IF((Gas!B9+Gas!E9+Gas!G9+Gas!I9+Gas!K9+Gas!M9+Gas!O9+Gas!Q9+Gas!S9+Gas!U9)&lt;0,"0",Gas!B9+Gas!E9+Gas!G9+Gas!I9+Gas!K9+Gas!M9+Gas!O9+Gas!Q9+Gas!S9+Gas!U9)</f>
        <v>76</v>
      </c>
      <c r="J3" s="173">
        <v>2.6</v>
      </c>
      <c r="K3" s="174">
        <f>'Chilled Water'!D5+'Chilled Water'!G5+'Chilled Water'!J5+'Chilled Water'!M5</f>
        <v>3543</v>
      </c>
      <c r="L3" s="172">
        <v>0.33</v>
      </c>
      <c r="M3" s="24">
        <f>Elect!B9</f>
        <v>478</v>
      </c>
      <c r="N3" s="169"/>
    </row>
    <row r="4" spans="1:14" x14ac:dyDescent="0.45">
      <c r="A4" s="170" t="s">
        <v>70</v>
      </c>
      <c r="B4" s="2">
        <f t="shared" si="0"/>
        <v>3</v>
      </c>
      <c r="C4" s="171">
        <v>3</v>
      </c>
      <c r="D4" s="2">
        <v>2024</v>
      </c>
      <c r="E4" s="24">
        <f>IF((Elect!D10+Elect!F10+Elect!H10+Elect!J10+Elect!L10+Elect!N10+Elect!R10+Elect!T10+Elect!V10+Elect!X10)&lt;0,"0",Elect!D10+Elect!F10+Elect!H10+Elect!J10+Elect!L10+Elect!N10+Elect!R10+Elect!T10+Elect!V10+Elect!X10)</f>
        <v>34097</v>
      </c>
      <c r="F4" s="172">
        <v>0.2</v>
      </c>
      <c r="G4" s="24">
        <f>IF((Water!C10+Water!E10+Water!G10+Water!K10+Water!M10+Water!O10+Water!Q10)&lt;0,"0",Water!C10+Water!E10+Water!G10+Water!K10+Water!M10+Water!O10+Water!Q10)</f>
        <v>464</v>
      </c>
      <c r="H4" s="173">
        <v>7.84</v>
      </c>
      <c r="I4" s="24">
        <f>IF((Gas!B10+Gas!E10+Gas!G10+Gas!I10+Gas!K10+Gas!M10+Gas!O10+Gas!Q10+Gas!S10+Gas!U10)&lt;0,"0",Gas!B10+Gas!E10+Gas!G10+Gas!I10+Gas!K10+Gas!M10+Gas!O10+Gas!Q10+Gas!S10+Gas!U10)</f>
        <v>73</v>
      </c>
      <c r="J4" s="173">
        <v>2.6</v>
      </c>
      <c r="K4" s="174">
        <f>'Chilled Water'!D6+'Chilled Water'!G6+'Chilled Water'!J6+'Chilled Water'!M6</f>
        <v>3671</v>
      </c>
      <c r="L4" s="172">
        <v>0.33</v>
      </c>
      <c r="M4" s="24">
        <f>Elect!B10</f>
        <v>475</v>
      </c>
      <c r="N4" s="169"/>
    </row>
    <row r="5" spans="1:14" x14ac:dyDescent="0.45">
      <c r="A5" s="170" t="s">
        <v>70</v>
      </c>
      <c r="B5" s="2">
        <f t="shared" si="0"/>
        <v>4</v>
      </c>
      <c r="C5" s="171">
        <v>3</v>
      </c>
      <c r="D5" s="2">
        <v>2024</v>
      </c>
      <c r="E5" s="24">
        <f>IF((Elect!D11+Elect!F11+Elect!H11+Elect!J11+Elect!L11+Elect!N11+Elect!R11+Elect!T11+Elect!V11+Elect!X11)&lt;0,"0",Elect!D11+Elect!F11+Elect!H11+Elect!J11+Elect!L11+Elect!N11+Elect!R11+Elect!T11+Elect!V11+Elect!X11)</f>
        <v>34211</v>
      </c>
      <c r="F5" s="172">
        <v>0.2</v>
      </c>
      <c r="G5" s="24">
        <f>IF((Water!C11+Water!E11+Water!G11+Water!K11+Water!M11+Water!O11+Water!Q11)&lt;0,"0",Water!C11+Water!E11+Water!G11+Water!K11+Water!M11+Water!O11+Water!Q11)</f>
        <v>498</v>
      </c>
      <c r="H5" s="173">
        <v>7.84</v>
      </c>
      <c r="I5" s="24">
        <f>IF((Gas!B11+Gas!E11+Gas!G11+Gas!I11+Gas!K11+Gas!M11+Gas!O11+Gas!Q11+Gas!S11+Gas!U11)&lt;0,"0",Gas!B11+Gas!E11+Gas!G11+Gas!I11+Gas!K11+Gas!M11+Gas!O11+Gas!Q11+Gas!S11+Gas!U11)</f>
        <v>74</v>
      </c>
      <c r="J5" s="173">
        <v>2.6</v>
      </c>
      <c r="K5" s="174">
        <f>'Chilled Water'!D7+'Chilled Water'!G7+'Chilled Water'!J7+'Chilled Water'!M7</f>
        <v>3504</v>
      </c>
      <c r="L5" s="172">
        <v>0.33</v>
      </c>
      <c r="M5" s="24">
        <f>Elect!B11</f>
        <v>501</v>
      </c>
      <c r="N5" s="169"/>
    </row>
    <row r="6" spans="1:14" x14ac:dyDescent="0.45">
      <c r="A6" s="170" t="s">
        <v>70</v>
      </c>
      <c r="B6" s="2">
        <f t="shared" si="0"/>
        <v>5</v>
      </c>
      <c r="C6" s="171">
        <v>3</v>
      </c>
      <c r="D6" s="2">
        <v>2024</v>
      </c>
      <c r="E6" s="24">
        <f>IF((Elect!D12+Elect!F12+Elect!H12+Elect!J12+Elect!L12+Elect!N12+Elect!R12+Elect!T12+Elect!V12+Elect!X12)&lt;0,"0",Elect!D12+Elect!F12+Elect!H12+Elect!J12+Elect!L12+Elect!N12+Elect!R12+Elect!T12+Elect!V12+Elect!X12)</f>
        <v>35774</v>
      </c>
      <c r="F6" s="172">
        <v>0.2</v>
      </c>
      <c r="G6" s="24">
        <f>IF((Water!C12+Water!E12+Water!G12+Water!K12+Water!M12+Water!O12+Water!Q12)&lt;0,"0",Water!C12+Water!E12+Water!G12+Water!K12+Water!M12+Water!O12+Water!Q12)</f>
        <v>546</v>
      </c>
      <c r="H6" s="173">
        <v>7.84</v>
      </c>
      <c r="I6" s="24">
        <f>IF((Gas!B12+Gas!E12+Gas!G12+Gas!I12+Gas!K12+Gas!M12+Gas!O12+Gas!Q12+Gas!S12+Gas!U12)&lt;0,"0",Gas!B12+Gas!E12+Gas!G12+Gas!I12+Gas!K12+Gas!M12+Gas!O12+Gas!Q12+Gas!S12+Gas!U12)</f>
        <v>72</v>
      </c>
      <c r="J6" s="173">
        <v>2.6</v>
      </c>
      <c r="K6" s="174">
        <f>'Chilled Water'!D8+'Chilled Water'!G8+'Chilled Water'!J8+'Chilled Water'!M8</f>
        <v>3420</v>
      </c>
      <c r="L6" s="172">
        <v>0.33</v>
      </c>
      <c r="M6" s="24">
        <f>Elect!B12</f>
        <v>420</v>
      </c>
      <c r="N6" s="169"/>
    </row>
    <row r="7" spans="1:14" x14ac:dyDescent="0.45">
      <c r="A7" s="170" t="s">
        <v>70</v>
      </c>
      <c r="B7" s="2">
        <f t="shared" si="0"/>
        <v>6</v>
      </c>
      <c r="C7" s="171">
        <v>3</v>
      </c>
      <c r="D7" s="2">
        <v>2024</v>
      </c>
      <c r="E7" s="24">
        <f>IF((Elect!D13+Elect!F13+Elect!H13+Elect!J13+Elect!L13+Elect!N13+Elect!R13+Elect!T13+Elect!V13+Elect!X13)&lt;0,"0",Elect!D13+Elect!F13+Elect!H13+Elect!J13+Elect!L13+Elect!N13+Elect!R13+Elect!T13+Elect!V13+Elect!X13)</f>
        <v>35146</v>
      </c>
      <c r="F7" s="172">
        <v>0.2</v>
      </c>
      <c r="G7" s="24">
        <f>IF((Water!C13+Water!E13+Water!G13+Water!K13+Water!M13+Water!O13+Water!Q13)&lt;0,"0",Water!C13+Water!E13+Water!G13+Water!K13+Water!M13+Water!O13+Water!Q13)</f>
        <v>460</v>
      </c>
      <c r="H7" s="173">
        <v>7.84</v>
      </c>
      <c r="I7" s="24">
        <f>IF((Gas!B13+Gas!E13+Gas!G13+Gas!I13+Gas!K13+Gas!M13+Gas!O13+Gas!Q13+Gas!S13+Gas!U13)&lt;0,"0",Gas!B13+Gas!E13+Gas!G13+Gas!I13+Gas!K13+Gas!M13+Gas!O13+Gas!Q13+Gas!S13+Gas!U13)</f>
        <v>79</v>
      </c>
      <c r="J7" s="173">
        <v>2.6</v>
      </c>
      <c r="K7" s="174">
        <f>'Chilled Water'!D9+'Chilled Water'!G9+'Chilled Water'!J9+'Chilled Water'!M9</f>
        <v>3604</v>
      </c>
      <c r="L7" s="172">
        <v>0.33</v>
      </c>
      <c r="M7" s="24">
        <f>Elect!B13</f>
        <v>517</v>
      </c>
    </row>
    <row r="8" spans="1:14" x14ac:dyDescent="0.45">
      <c r="A8" s="170" t="s">
        <v>70</v>
      </c>
      <c r="B8" s="2">
        <f t="shared" si="0"/>
        <v>7</v>
      </c>
      <c r="C8" s="171">
        <v>3</v>
      </c>
      <c r="D8" s="2">
        <v>2024</v>
      </c>
      <c r="E8" s="24">
        <f>IF((Elect!D14+Elect!F14+Elect!H14+Elect!J14+Elect!L14+Elect!N14+Elect!R14+Elect!T14+Elect!V14+Elect!X14)&lt;0,"0",Elect!D14+Elect!F14+Elect!H14+Elect!J14+Elect!L14+Elect!N14+Elect!R14+Elect!T14+Elect!V14+Elect!X14)</f>
        <v>35292</v>
      </c>
      <c r="F8" s="172">
        <v>0.2</v>
      </c>
      <c r="G8" s="24">
        <f>IF((Water!C14+Water!E14+Water!G14+Water!K14+Water!M14+Water!O14+Water!Q14)&lt;0,"0",Water!C14+Water!E14+Water!G14+Water!K14+Water!M14+Water!O14+Water!Q14)</f>
        <v>530</v>
      </c>
      <c r="H8" s="173">
        <v>7.84</v>
      </c>
      <c r="I8" s="24">
        <f>IF((Gas!B14+Gas!E14+Gas!G14+Gas!I14+Gas!K14+Gas!M14+Gas!O14+Gas!Q14+Gas!S14+Gas!U14)&lt;0,"0",Gas!B14+Gas!E14+Gas!G14+Gas!I14+Gas!K14+Gas!M14+Gas!O14+Gas!Q14+Gas!S14+Gas!U14)</f>
        <v>88</v>
      </c>
      <c r="J8" s="173">
        <v>2.6</v>
      </c>
      <c r="K8" s="174">
        <f>'Chilled Water'!D10+'Chilled Water'!G10+'Chilled Water'!J10+'Chilled Water'!M10</f>
        <v>3649</v>
      </c>
      <c r="L8" s="172">
        <v>0.33</v>
      </c>
      <c r="M8" s="24">
        <f>Elect!B14</f>
        <v>522</v>
      </c>
    </row>
    <row r="9" spans="1:14" x14ac:dyDescent="0.45">
      <c r="A9" s="170" t="s">
        <v>70</v>
      </c>
      <c r="B9" s="2">
        <f t="shared" si="0"/>
        <v>8</v>
      </c>
      <c r="C9" s="171">
        <v>3</v>
      </c>
      <c r="D9" s="2">
        <v>2024</v>
      </c>
      <c r="E9" s="24">
        <f>IF((Elect!D15+Elect!F15+Elect!H15+Elect!J15+Elect!L15+Elect!N15+Elect!R15+Elect!T15+Elect!V15+Elect!X15)&lt;0,"0",Elect!D15+Elect!F15+Elect!H15+Elect!J15+Elect!L15+Elect!N15+Elect!R15+Elect!T15+Elect!V15+Elect!X15)</f>
        <v>34626</v>
      </c>
      <c r="F9" s="172">
        <v>0.2</v>
      </c>
      <c r="G9" s="24">
        <f>IF((Water!C15+Water!E15+Water!G15+Water!K15+Water!M15+Water!O15+Water!Q15)&lt;0,"0",Water!C15+Water!E15+Water!G15+Water!K15+Water!M15+Water!O15+Water!Q15)</f>
        <v>550</v>
      </c>
      <c r="H9" s="173">
        <v>7.84</v>
      </c>
      <c r="I9" s="24">
        <f>IF((Gas!B15+Gas!E15+Gas!G15+Gas!I15+Gas!K15+Gas!M15+Gas!O15+Gas!Q15+Gas!S15+Gas!U15)&lt;0,"0",Gas!B15+Gas!E15+Gas!G15+Gas!I15+Gas!K15+Gas!M15+Gas!O15+Gas!Q15+Gas!S15+Gas!U15)</f>
        <v>89</v>
      </c>
      <c r="J9" s="173">
        <v>2.6</v>
      </c>
      <c r="K9" s="174">
        <f>'Chilled Water'!D11+'Chilled Water'!G11+'Chilled Water'!J11+'Chilled Water'!M11</f>
        <v>3584</v>
      </c>
      <c r="L9" s="172">
        <v>0.33</v>
      </c>
      <c r="M9" s="24">
        <f>Elect!B15</f>
        <v>515</v>
      </c>
    </row>
    <row r="10" spans="1:14" x14ac:dyDescent="0.45">
      <c r="A10" s="170" t="s">
        <v>70</v>
      </c>
      <c r="B10" s="2">
        <f t="shared" si="0"/>
        <v>9</v>
      </c>
      <c r="C10" s="171">
        <v>3</v>
      </c>
      <c r="D10" s="2">
        <v>2024</v>
      </c>
      <c r="E10" s="24">
        <f>IF((Elect!D16+Elect!F16+Elect!H16+Elect!J16+Elect!L16+Elect!N16+Elect!R16+Elect!T16+Elect!V16+Elect!X16)&lt;0,"0",Elect!D16+Elect!F16+Elect!H16+Elect!J16+Elect!L16+Elect!N16+Elect!R16+Elect!T16+Elect!V16+Elect!X16)</f>
        <v>38992</v>
      </c>
      <c r="F10" s="172">
        <v>0.2</v>
      </c>
      <c r="G10" s="24">
        <f>IF((Water!C16+Water!E16+Water!G16+Water!K16+Water!M16+Water!O16+Water!Q16)&lt;0,"0",Water!C16+Water!E16+Water!G16+Water!K16+Water!M16+Water!O16+Water!Q16)</f>
        <v>477</v>
      </c>
      <c r="H10" s="173">
        <v>7.84</v>
      </c>
      <c r="I10" s="24">
        <f>IF((Gas!B16+Gas!E16+Gas!G16+Gas!I16+Gas!K16+Gas!M16+Gas!O16+Gas!Q16+Gas!S16+Gas!U16)&lt;0,"0",Gas!B16+Gas!E16+Gas!G16+Gas!I16+Gas!K16+Gas!M16+Gas!O16+Gas!Q16+Gas!S16+Gas!U16)</f>
        <v>94</v>
      </c>
      <c r="J10" s="173">
        <v>2.6</v>
      </c>
      <c r="K10" s="174">
        <f>'Chilled Water'!D12+'Chilled Water'!G12+'Chilled Water'!J12+'Chilled Water'!M12</f>
        <v>3861</v>
      </c>
      <c r="L10" s="172">
        <v>0.33</v>
      </c>
      <c r="M10" s="24">
        <f>Elect!B16</f>
        <v>496</v>
      </c>
    </row>
    <row r="11" spans="1:14" x14ac:dyDescent="0.45">
      <c r="A11" s="170" t="s">
        <v>70</v>
      </c>
      <c r="B11" s="2">
        <f t="shared" si="0"/>
        <v>10</v>
      </c>
      <c r="C11" s="171">
        <v>3</v>
      </c>
      <c r="D11" s="2">
        <v>2024</v>
      </c>
      <c r="E11" s="24">
        <f>IF((Elect!D17+Elect!F17+Elect!H17+Elect!J17+Elect!L17+Elect!N17+Elect!R17+Elect!T17+Elect!V17+Elect!X17)&lt;0,"0",Elect!D17+Elect!F17+Elect!H17+Elect!J17+Elect!L17+Elect!N17+Elect!R17+Elect!T17+Elect!V17+Elect!X17)</f>
        <v>36513</v>
      </c>
      <c r="F11" s="172">
        <v>0.2</v>
      </c>
      <c r="G11" s="24">
        <f>IF((Water!C17+Water!E17+Water!G17+Water!K17+Water!M17+Water!O17+Water!Q17)&lt;0,"0",Water!C17+Water!E17+Water!G17+Water!K17+Water!M17+Water!O17+Water!Q17)</f>
        <v>466</v>
      </c>
      <c r="H11" s="173">
        <v>7.84</v>
      </c>
      <c r="I11" s="24">
        <f>IF((Gas!B17+Gas!E17+Gas!G17+Gas!I17+Gas!K17+Gas!M17+Gas!O17+Gas!Q17+Gas!S17+Gas!U17)&lt;0,"0",Gas!B17+Gas!E17+Gas!G17+Gas!I17+Gas!K17+Gas!M17+Gas!O17+Gas!Q17+Gas!S17+Gas!U17)</f>
        <v>75</v>
      </c>
      <c r="J11" s="173">
        <v>2.6</v>
      </c>
      <c r="K11" s="174">
        <f>'Chilled Water'!D13+'Chilled Water'!G13+'Chilled Water'!J13+'Chilled Water'!M13</f>
        <v>3718</v>
      </c>
      <c r="L11" s="172">
        <v>0.33</v>
      </c>
      <c r="M11" s="24">
        <f>Elect!B17</f>
        <v>453</v>
      </c>
    </row>
    <row r="12" spans="1:14" x14ac:dyDescent="0.45">
      <c r="A12" s="170" t="s">
        <v>70</v>
      </c>
      <c r="B12" s="2">
        <f t="shared" si="0"/>
        <v>11</v>
      </c>
      <c r="C12" s="171">
        <v>3</v>
      </c>
      <c r="D12" s="2">
        <v>2024</v>
      </c>
      <c r="E12" s="24">
        <f>IF((Elect!D18+Elect!F18+Elect!H18+Elect!J18+Elect!L18+Elect!N18+Elect!R18+Elect!T18+Elect!V18+Elect!X18)&lt;0,"0",Elect!D18+Elect!F18+Elect!H18+Elect!J18+Elect!L18+Elect!N18+Elect!R18+Elect!T18+Elect!V18+Elect!X18)</f>
        <v>35616</v>
      </c>
      <c r="F12" s="172">
        <v>0.2</v>
      </c>
      <c r="G12" s="24">
        <f>IF((Water!C18+Water!E18+Water!G18+Water!K18+Water!M18+Water!O18+Water!Q18)&lt;0,"0",Water!C18+Water!E18+Water!G18+Water!K18+Water!M18+Water!O18+Water!Q18)</f>
        <v>480</v>
      </c>
      <c r="H12" s="173">
        <v>7.84</v>
      </c>
      <c r="I12" s="24">
        <f>IF((Gas!B18+Gas!E18+Gas!G18+Gas!I18+Gas!K18+Gas!M18+Gas!O18+Gas!Q18+Gas!S18+Gas!U18)&lt;0,"0",Gas!B18+Gas!E18+Gas!G18+Gas!I18+Gas!K18+Gas!M18+Gas!O18+Gas!Q18+Gas!S18+Gas!U18)</f>
        <v>1677</v>
      </c>
      <c r="J12" s="173">
        <v>2.6</v>
      </c>
      <c r="K12" s="174">
        <f>'Chilled Water'!D14+'Chilled Water'!G14+'Chilled Water'!J14+'Chilled Water'!M14</f>
        <v>3503</v>
      </c>
      <c r="L12" s="172">
        <v>0.33</v>
      </c>
      <c r="M12" s="24">
        <f>Elect!B18</f>
        <v>395</v>
      </c>
    </row>
    <row r="13" spans="1:14" x14ac:dyDescent="0.45">
      <c r="A13" s="170" t="s">
        <v>70</v>
      </c>
      <c r="B13" s="2">
        <f t="shared" si="0"/>
        <v>12</v>
      </c>
      <c r="C13" s="171">
        <v>3</v>
      </c>
      <c r="D13" s="2">
        <v>2024</v>
      </c>
      <c r="E13" s="24">
        <f>IF((Elect!D19+Elect!F19+Elect!H19+Elect!J19+Elect!L19+Elect!N19+Elect!R19+Elect!T19+Elect!V19+Elect!X19)&lt;0,"0",Elect!D19+Elect!F19+Elect!H19+Elect!J19+Elect!L19+Elect!N19+Elect!R19+Elect!T19+Elect!V19+Elect!X19)</f>
        <v>35814</v>
      </c>
      <c r="F13" s="172">
        <v>0.2</v>
      </c>
      <c r="G13" s="24">
        <f>IF((Water!C19+Water!E19+Water!G19+Water!K19+Water!M19+Water!O19+Water!Q19)&lt;0,"0",Water!C19+Water!E19+Water!G19+Water!K19+Water!M19+Water!O19+Water!Q19)</f>
        <v>476</v>
      </c>
      <c r="H13" s="173">
        <v>7.84</v>
      </c>
      <c r="I13" s="24">
        <f>IF((Gas!B19+Gas!E19+Gas!G19+Gas!I19+Gas!K19+Gas!M19+Gas!O19+Gas!Q19+Gas!S19+Gas!U19)&lt;0,"0",Gas!B19+Gas!E19+Gas!G19+Gas!I19+Gas!K19+Gas!M19+Gas!O19+Gas!Q19+Gas!S19+Gas!U19)</f>
        <v>76</v>
      </c>
      <c r="J13" s="173">
        <v>2.6</v>
      </c>
      <c r="K13" s="174">
        <f>'Chilled Water'!D15+'Chilled Water'!G15+'Chilled Water'!J15+'Chilled Water'!M15</f>
        <v>3892</v>
      </c>
      <c r="L13" s="172">
        <v>0.33</v>
      </c>
      <c r="M13" s="24">
        <f>Elect!B19</f>
        <v>411</v>
      </c>
    </row>
    <row r="14" spans="1:14" x14ac:dyDescent="0.45">
      <c r="A14" s="170" t="s">
        <v>70</v>
      </c>
      <c r="B14" s="2">
        <f t="shared" si="0"/>
        <v>13</v>
      </c>
      <c r="C14" s="171">
        <v>3</v>
      </c>
      <c r="D14" s="2">
        <v>2024</v>
      </c>
      <c r="E14" s="24">
        <f>IF((Elect!D20+Elect!F20+Elect!H20+Elect!J20+Elect!L20+Elect!N20+Elect!R20+Elect!T20+Elect!V20+Elect!X20)&lt;0,"0",Elect!D20+Elect!F20+Elect!H20+Elect!J20+Elect!L20+Elect!N20+Elect!R20+Elect!T20+Elect!V20+Elect!X20)</f>
        <v>33869</v>
      </c>
      <c r="F14" s="172">
        <v>0.2</v>
      </c>
      <c r="G14" s="24">
        <f>IF((Water!C20+Water!E20+Water!G20+Water!K20+Water!M20+Water!O20+Water!Q20)&lt;0,"0",Water!C20+Water!E20+Water!G20+Water!K20+Water!M20+Water!O20+Water!Q20)</f>
        <v>448</v>
      </c>
      <c r="H14" s="173">
        <v>7.84</v>
      </c>
      <c r="I14" s="24">
        <f>IF((Gas!B20+Gas!E20+Gas!G20+Gas!I20+Gas!K20+Gas!M20+Gas!O20+Gas!Q20+Gas!S20+Gas!U20)&lt;0,"0",Gas!B20+Gas!E20+Gas!G20+Gas!I20+Gas!K20+Gas!M20+Gas!O20+Gas!Q20+Gas!S20+Gas!U20)</f>
        <v>64</v>
      </c>
      <c r="J14" s="173">
        <v>2.6</v>
      </c>
      <c r="K14" s="174">
        <f>'Chilled Water'!D16+'Chilled Water'!G16+'Chilled Water'!J16+'Chilled Water'!M16</f>
        <v>3645</v>
      </c>
      <c r="L14" s="172">
        <v>0.33</v>
      </c>
      <c r="M14" s="24">
        <f>Elect!B20</f>
        <v>420</v>
      </c>
    </row>
    <row r="15" spans="1:14" x14ac:dyDescent="0.45">
      <c r="A15" s="170" t="s">
        <v>70</v>
      </c>
      <c r="B15" s="2">
        <f t="shared" si="0"/>
        <v>14</v>
      </c>
      <c r="C15" s="171">
        <v>3</v>
      </c>
      <c r="D15" s="2">
        <v>2024</v>
      </c>
      <c r="E15" s="24">
        <f>IF((Elect!D21+Elect!F21+Elect!H21+Elect!J21+Elect!L21+Elect!N21+Elect!R21+Elect!T21+Elect!V21+Elect!X21)&lt;0,"0",Elect!D21+Elect!F21+Elect!H21+Elect!J21+Elect!L21+Elect!N21+Elect!R21+Elect!T21+Elect!V21+Elect!X21)</f>
        <v>32692</v>
      </c>
      <c r="F15" s="172">
        <v>0.2</v>
      </c>
      <c r="G15" s="24">
        <f>IF((Water!C21+Water!E21+Water!G21+Water!K21+Water!M21+Water!O21+Water!Q21)&lt;0,"0",Water!C21+Water!E21+Water!G21+Water!K21+Water!M21+Water!O21+Water!Q21)</f>
        <v>493</v>
      </c>
      <c r="H15" s="173">
        <v>7.84</v>
      </c>
      <c r="I15" s="24">
        <f>IF((Gas!B21+Gas!E21+Gas!G21+Gas!I21+Gas!K21+Gas!M21+Gas!O21+Gas!Q21+Gas!S21+Gas!U21)&lt;0,"0",Gas!B21+Gas!E21+Gas!G21+Gas!I21+Gas!K21+Gas!M21+Gas!O21+Gas!Q21+Gas!S21+Gas!U21)</f>
        <v>88</v>
      </c>
      <c r="J15" s="173">
        <v>2.6</v>
      </c>
      <c r="K15" s="174">
        <f>'Chilled Water'!D17+'Chilled Water'!G17+'Chilled Water'!J17+'Chilled Water'!M17</f>
        <v>3873</v>
      </c>
      <c r="L15" s="172">
        <v>0.33</v>
      </c>
      <c r="M15" s="24">
        <f>Elect!B21</f>
        <v>450</v>
      </c>
    </row>
    <row r="16" spans="1:14" x14ac:dyDescent="0.45">
      <c r="A16" s="170" t="s">
        <v>70</v>
      </c>
      <c r="B16" s="2">
        <f t="shared" si="0"/>
        <v>15</v>
      </c>
      <c r="C16" s="171">
        <v>3</v>
      </c>
      <c r="D16" s="2">
        <v>2024</v>
      </c>
      <c r="E16" s="24">
        <f>IF((Elect!D22+Elect!F22+Elect!H22+Elect!J22+Elect!L22+Elect!N22+Elect!R22+Elect!T22+Elect!V22+Elect!X22)&lt;0,"0",Elect!D22+Elect!F22+Elect!H22+Elect!J22+Elect!L22+Elect!N22+Elect!R22+Elect!T22+Elect!V22+Elect!X22)</f>
        <v>35448</v>
      </c>
      <c r="F16" s="172">
        <v>0.2</v>
      </c>
      <c r="G16" s="24">
        <f>IF((Water!C22+Water!E22+Water!G22+Water!K22+Water!M22+Water!O22+Water!Q22)&lt;0,"0",Water!C22+Water!E22+Water!G22+Water!K22+Water!M22+Water!O22+Water!Q22)</f>
        <v>456</v>
      </c>
      <c r="H16" s="173">
        <v>7.84</v>
      </c>
      <c r="I16" s="24">
        <f>IF((Gas!B22+Gas!E22+Gas!G22+Gas!I22+Gas!K22+Gas!M22+Gas!O22+Gas!Q22+Gas!S22+Gas!U22)&lt;0,"0",Gas!B22+Gas!E22+Gas!G22+Gas!I22+Gas!K22+Gas!M22+Gas!O22+Gas!Q22+Gas!S22+Gas!U22)</f>
        <v>81</v>
      </c>
      <c r="J16" s="173">
        <v>2.6</v>
      </c>
      <c r="K16" s="174">
        <f>'Chilled Water'!D18+'Chilled Water'!G18+'Chilled Water'!J18+'Chilled Water'!M18</f>
        <v>3912</v>
      </c>
      <c r="L16" s="172">
        <v>0.33</v>
      </c>
      <c r="M16" s="24">
        <f>Elect!B22</f>
        <v>417</v>
      </c>
    </row>
    <row r="17" spans="1:13" x14ac:dyDescent="0.45">
      <c r="A17" s="170" t="s">
        <v>70</v>
      </c>
      <c r="B17" s="2">
        <f t="shared" si="0"/>
        <v>16</v>
      </c>
      <c r="C17" s="171">
        <v>3</v>
      </c>
      <c r="D17" s="2">
        <v>2024</v>
      </c>
      <c r="E17" s="24">
        <f>IF((Elect!D23+Elect!F23+Elect!H23+Elect!J23+Elect!L23+Elect!N23+Elect!R23+Elect!T23+Elect!V23+Elect!X23)&lt;0,"0",Elect!D23+Elect!F23+Elect!H23+Elect!J23+Elect!L23+Elect!N23+Elect!R23+Elect!T23+Elect!V23+Elect!X23)</f>
        <v>35919</v>
      </c>
      <c r="F17" s="172">
        <v>0.2</v>
      </c>
      <c r="G17" s="24">
        <f>IF((Water!C23+Water!E23+Water!G23+Water!K23+Water!M23+Water!O23+Water!Q23)&lt;0,"0",Water!C23+Water!E23+Water!G23+Water!K23+Water!M23+Water!O23+Water!Q23)</f>
        <v>538</v>
      </c>
      <c r="H17" s="173">
        <v>7.84</v>
      </c>
      <c r="I17" s="24">
        <f>IF((Gas!B23+Gas!E23+Gas!G23+Gas!I23+Gas!K23+Gas!M23+Gas!O23+Gas!Q23+Gas!S23+Gas!U23)&lt;0,"0",Gas!B23+Gas!E23+Gas!G23+Gas!I23+Gas!K23+Gas!M23+Gas!O23+Gas!Q23+Gas!S23+Gas!U23)</f>
        <v>79</v>
      </c>
      <c r="J17" s="173">
        <v>2.6</v>
      </c>
      <c r="K17" s="174">
        <f>'Chilled Water'!D19+'Chilled Water'!G19+'Chilled Water'!J19+'Chilled Water'!M19</f>
        <v>3689</v>
      </c>
      <c r="L17" s="172">
        <v>0.33</v>
      </c>
      <c r="M17" s="24">
        <f>Elect!B23</f>
        <v>383</v>
      </c>
    </row>
    <row r="18" spans="1:13" x14ac:dyDescent="0.45">
      <c r="A18" s="170" t="s">
        <v>70</v>
      </c>
      <c r="B18" s="2">
        <f t="shared" si="0"/>
        <v>17</v>
      </c>
      <c r="C18" s="171">
        <v>3</v>
      </c>
      <c r="D18" s="2">
        <v>2024</v>
      </c>
      <c r="E18" s="24">
        <f>IF((Elect!D24+Elect!F24+Elect!H24+Elect!J24+Elect!L24+Elect!N24+Elect!R24+Elect!T24+Elect!V24+Elect!X24)&lt;0,"0",Elect!D24+Elect!F24+Elect!H24+Elect!J24+Elect!L24+Elect!N24+Elect!R24+Elect!T24+Elect!V24+Elect!X24)</f>
        <v>38775</v>
      </c>
      <c r="F18" s="172">
        <v>0.2</v>
      </c>
      <c r="G18" s="24">
        <f>IF((Water!C24+Water!E24+Water!G24+Water!K24+Water!M24+Water!O24+Water!Q24)&lt;0,"0",Water!C24+Water!E24+Water!G24+Water!K24+Water!M24+Water!O24+Water!Q24)</f>
        <v>479</v>
      </c>
      <c r="H18" s="173">
        <v>7.84</v>
      </c>
      <c r="I18" s="24">
        <f>IF((Gas!B24+Gas!E24+Gas!G24+Gas!I24+Gas!K24+Gas!M24+Gas!O24+Gas!Q24+Gas!S24+Gas!U24)&lt;0,"0",Gas!B24+Gas!E24+Gas!G24+Gas!I24+Gas!K24+Gas!M24+Gas!O24+Gas!Q24+Gas!S24+Gas!U24)</f>
        <v>73</v>
      </c>
      <c r="J18" s="173">
        <v>2.6</v>
      </c>
      <c r="K18" s="174">
        <f>'Chilled Water'!D20+'Chilled Water'!G20+'Chilled Water'!J20+'Chilled Water'!M20</f>
        <v>3646</v>
      </c>
      <c r="L18" s="172">
        <v>0.33</v>
      </c>
      <c r="M18" s="24">
        <f>Elect!B24</f>
        <v>397</v>
      </c>
    </row>
    <row r="19" spans="1:13" x14ac:dyDescent="0.45">
      <c r="A19" s="170" t="s">
        <v>70</v>
      </c>
      <c r="B19" s="2">
        <f t="shared" si="0"/>
        <v>18</v>
      </c>
      <c r="C19" s="171">
        <v>3</v>
      </c>
      <c r="D19" s="2">
        <v>2024</v>
      </c>
      <c r="E19" s="24">
        <f>IF((Elect!D25+Elect!F25+Elect!H25+Elect!J25+Elect!L25+Elect!N25+Elect!R25+Elect!T25+Elect!V25+Elect!X25)&lt;0,"0",Elect!D25+Elect!F25+Elect!H25+Elect!J25+Elect!L25+Elect!N25+Elect!R25+Elect!T25+Elect!V25+Elect!X25)</f>
        <v>38414</v>
      </c>
      <c r="F19" s="172">
        <v>0.2</v>
      </c>
      <c r="G19" s="24">
        <f>IF((Water!C25+Water!E25+Water!G25+Water!K25+Water!M25+Water!O25+Water!Q25)&lt;0,"0",Water!C25+Water!E25+Water!G25+Water!K25+Water!M25+Water!O25+Water!Q25)</f>
        <v>494</v>
      </c>
      <c r="H19" s="173">
        <v>7.84</v>
      </c>
      <c r="I19" s="24">
        <f>IF((Gas!B25+Gas!E25+Gas!G25+Gas!I25+Gas!K25+Gas!M25+Gas!O25+Gas!Q25+Gas!S25+Gas!U25)&lt;0,"0",Gas!B25+Gas!E25+Gas!G25+Gas!I25+Gas!K25+Gas!M25+Gas!O25+Gas!Q25+Gas!S25+Gas!U25)</f>
        <v>70</v>
      </c>
      <c r="J19" s="173">
        <v>2.6</v>
      </c>
      <c r="K19" s="174">
        <f>'Chilled Water'!D21+'Chilled Water'!G21+'Chilled Water'!J21+'Chilled Water'!M21</f>
        <v>3944</v>
      </c>
      <c r="L19" s="172">
        <v>0.33</v>
      </c>
      <c r="M19" s="24">
        <f>Elect!B25</f>
        <v>424</v>
      </c>
    </row>
    <row r="20" spans="1:13" x14ac:dyDescent="0.45">
      <c r="A20" s="170" t="s">
        <v>70</v>
      </c>
      <c r="B20" s="2">
        <f t="shared" si="0"/>
        <v>19</v>
      </c>
      <c r="C20" s="171">
        <v>3</v>
      </c>
      <c r="D20" s="2">
        <v>2024</v>
      </c>
      <c r="E20" s="24">
        <f>IF((Elect!D26+Elect!F26+Elect!H26+Elect!J26+Elect!L26+Elect!N26+Elect!R26+Elect!T26+Elect!V26+Elect!X26)&lt;0,"0",Elect!D26+Elect!F26+Elect!H26+Elect!J26+Elect!L26+Elect!N26+Elect!R26+Elect!T26+Elect!V26+Elect!X26)</f>
        <v>34503</v>
      </c>
      <c r="F20" s="172">
        <v>0.2</v>
      </c>
      <c r="G20" s="24">
        <f>IF((Water!C26+Water!E26+Water!G26+Water!K26+Water!M26+Water!O26+Water!Q26)&lt;0,"0",Water!C26+Water!E26+Water!G26+Water!K26+Water!M26+Water!O26+Water!Q26)</f>
        <v>514</v>
      </c>
      <c r="H20" s="173">
        <v>7.84</v>
      </c>
      <c r="I20" s="24">
        <f>IF((Gas!B26+Gas!E26+Gas!G26+Gas!I26+Gas!K26+Gas!M26+Gas!O26+Gas!Q26+Gas!S26+Gas!U26)&lt;0,"0",Gas!B26+Gas!E26+Gas!G26+Gas!I26+Gas!K26+Gas!M26+Gas!O26+Gas!Q26+Gas!S26+Gas!U26)</f>
        <v>70</v>
      </c>
      <c r="J20" s="173">
        <v>2.6</v>
      </c>
      <c r="K20" s="174">
        <f>'Chilled Water'!D22+'Chilled Water'!G22+'Chilled Water'!J22+'Chilled Water'!M22</f>
        <v>4137</v>
      </c>
      <c r="L20" s="172">
        <v>0.33</v>
      </c>
      <c r="M20" s="24">
        <f>Elect!B26</f>
        <v>437</v>
      </c>
    </row>
    <row r="21" spans="1:13" x14ac:dyDescent="0.45">
      <c r="A21" s="170" t="s">
        <v>70</v>
      </c>
      <c r="B21" s="2">
        <f t="shared" si="0"/>
        <v>20</v>
      </c>
      <c r="C21" s="171">
        <v>3</v>
      </c>
      <c r="D21" s="2">
        <v>2024</v>
      </c>
      <c r="E21" s="24">
        <f>IF((Elect!D27+Elect!F27+Elect!H27+Elect!J27+Elect!L27+Elect!N27+Elect!R27+Elect!T27+Elect!V27+Elect!X27)&lt;0,"0",Elect!D27+Elect!F27+Elect!H27+Elect!J27+Elect!L27+Elect!N27+Elect!R27+Elect!T27+Elect!V27+Elect!X27)</f>
        <v>37006</v>
      </c>
      <c r="F21" s="172">
        <v>0.2</v>
      </c>
      <c r="G21" s="24">
        <f>IF((Water!C27+Water!E27+Water!G27+Water!K27+Water!M27+Water!O27+Water!Q27)&lt;0,"0",Water!C27+Water!E27+Water!G27+Water!K27+Water!M27+Water!O27+Water!Q27)</f>
        <v>478</v>
      </c>
      <c r="H21" s="173">
        <v>7.84</v>
      </c>
      <c r="I21" s="24">
        <f>IF((Gas!B27+Gas!E27+Gas!G27+Gas!I27+Gas!K27+Gas!M27+Gas!O27+Gas!Q27+Gas!S27+Gas!U27)&lt;0,"0",Gas!B27+Gas!E27+Gas!G27+Gas!I27+Gas!K27+Gas!M27+Gas!O27+Gas!Q27+Gas!S27+Gas!U27)</f>
        <v>1221</v>
      </c>
      <c r="J21" s="173">
        <v>2.6</v>
      </c>
      <c r="K21" s="174">
        <f>'Chilled Water'!D23+'Chilled Water'!G23+'Chilled Water'!J23+'Chilled Water'!M23</f>
        <v>4770</v>
      </c>
      <c r="L21" s="172">
        <v>0.33</v>
      </c>
      <c r="M21" s="24">
        <f>Elect!B27</f>
        <v>454</v>
      </c>
    </row>
    <row r="22" spans="1:13" x14ac:dyDescent="0.45">
      <c r="A22" s="170" t="s">
        <v>70</v>
      </c>
      <c r="B22" s="2">
        <f t="shared" si="0"/>
        <v>21</v>
      </c>
      <c r="C22" s="171">
        <v>3</v>
      </c>
      <c r="D22" s="2">
        <v>2024</v>
      </c>
      <c r="E22" s="24">
        <f>IF((Elect!D28+Elect!F28+Elect!H28+Elect!J28+Elect!L28+Elect!N28+Elect!R28+Elect!T28+Elect!V28+Elect!X28)&lt;0,"0",Elect!D28+Elect!F28+Elect!H28+Elect!J28+Elect!L28+Elect!N28+Elect!R28+Elect!T28+Elect!V28+Elect!X28)</f>
        <v>38751</v>
      </c>
      <c r="F22" s="172">
        <v>0.2</v>
      </c>
      <c r="G22" s="24">
        <f>IF((Water!C28+Water!E28+Water!G28+Water!K28+Water!M28+Water!O28+Water!Q28)&lt;0,"0",Water!C28+Water!E28+Water!G28+Water!K28+Water!M28+Water!O28+Water!Q28)</f>
        <v>522</v>
      </c>
      <c r="H22" s="173">
        <v>7.84</v>
      </c>
      <c r="I22" s="24">
        <f>IF((Gas!B28+Gas!E28+Gas!G28+Gas!I28+Gas!K28+Gas!M28+Gas!O28+Gas!Q28+Gas!S28+Gas!U28)&lt;0,"0",Gas!B28+Gas!E28+Gas!G28+Gas!I28+Gas!K28+Gas!M28+Gas!O28+Gas!Q28+Gas!S28+Gas!U28)</f>
        <v>76</v>
      </c>
      <c r="J22" s="173">
        <v>2.6</v>
      </c>
      <c r="K22" s="174">
        <f>'Chilled Water'!D24+'Chilled Water'!G24+'Chilled Water'!J24+'Chilled Water'!M24</f>
        <v>3741</v>
      </c>
      <c r="L22" s="172">
        <v>0.33</v>
      </c>
      <c r="M22" s="24">
        <f>Elect!B28</f>
        <v>471</v>
      </c>
    </row>
    <row r="23" spans="1:13" x14ac:dyDescent="0.45">
      <c r="A23" s="170" t="s">
        <v>70</v>
      </c>
      <c r="B23" s="2">
        <f t="shared" si="0"/>
        <v>22</v>
      </c>
      <c r="C23" s="171">
        <v>3</v>
      </c>
      <c r="D23" s="2">
        <v>2024</v>
      </c>
      <c r="E23" s="24">
        <f>IF((Elect!D29+Elect!F29+Elect!H29+Elect!J29+Elect!L29+Elect!N29+Elect!R29+Elect!T29+Elect!V29+Elect!X29)&lt;0,"0",Elect!D29+Elect!F29+Elect!H29+Elect!J29+Elect!L29+Elect!N29+Elect!R29+Elect!T29+Elect!V29+Elect!X29)</f>
        <v>37688</v>
      </c>
      <c r="F23" s="172">
        <v>0.2</v>
      </c>
      <c r="G23" s="24">
        <f>IF((Water!C29+Water!E29+Water!G29+Water!K29+Water!M29+Water!O29+Water!Q29)&lt;0,"0",Water!C29+Water!E29+Water!G29+Water!K29+Water!M29+Water!O29+Water!Q29)</f>
        <v>595</v>
      </c>
      <c r="H23" s="173">
        <v>7.84</v>
      </c>
      <c r="I23" s="24">
        <f>IF((Gas!B29+Gas!E29+Gas!G29+Gas!I29+Gas!K29+Gas!M29+Gas!O29+Gas!Q29+Gas!S29+Gas!U29)&lt;0,"0",Gas!B29+Gas!E29+Gas!G29+Gas!I29+Gas!K29+Gas!M29+Gas!O29+Gas!Q29+Gas!S29+Gas!U29)</f>
        <v>80</v>
      </c>
      <c r="J23" s="173">
        <v>2.6</v>
      </c>
      <c r="K23" s="174">
        <f>'Chilled Water'!D25+'Chilled Water'!G25+'Chilled Water'!J25+'Chilled Water'!M25</f>
        <v>5409</v>
      </c>
      <c r="L23" s="172">
        <v>0.33</v>
      </c>
      <c r="M23" s="24">
        <f>Elect!B29</f>
        <v>455</v>
      </c>
    </row>
    <row r="24" spans="1:13" x14ac:dyDescent="0.45">
      <c r="A24" s="170" t="s">
        <v>70</v>
      </c>
      <c r="B24" s="2">
        <f t="shared" si="0"/>
        <v>23</v>
      </c>
      <c r="C24" s="171">
        <v>3</v>
      </c>
      <c r="D24" s="2">
        <v>2024</v>
      </c>
      <c r="E24" s="24">
        <f>IF((Elect!D30+Elect!F30+Elect!H30+Elect!J30+Elect!L30+Elect!N30+Elect!R30+Elect!T30+Elect!V30+Elect!X30)&lt;0,"0",Elect!D30+Elect!F30+Elect!H30+Elect!J30+Elect!L30+Elect!N30+Elect!R30+Elect!T30+Elect!V30+Elect!X30)</f>
        <v>37592</v>
      </c>
      <c r="F24" s="172">
        <v>0.2</v>
      </c>
      <c r="G24" s="24">
        <f>IF((Water!C30+Water!E30+Water!G30+Water!K30+Water!M30+Water!O30+Water!Q30)&lt;0,"0",Water!C30+Water!E30+Water!G30+Water!K30+Water!M30+Water!O30+Water!Q30)</f>
        <v>578</v>
      </c>
      <c r="H24" s="173">
        <v>7.84</v>
      </c>
      <c r="I24" s="24">
        <f>IF((Gas!B30+Gas!E30+Gas!G30+Gas!I30+Gas!K30+Gas!M30+Gas!O30+Gas!Q30+Gas!S30+Gas!U30)&lt;0,"0",Gas!B30+Gas!E30+Gas!G30+Gas!I30+Gas!K30+Gas!M30+Gas!O30+Gas!Q30+Gas!S30+Gas!U30)</f>
        <v>82</v>
      </c>
      <c r="J24" s="173">
        <v>2.6</v>
      </c>
      <c r="K24" s="174">
        <f>'Chilled Water'!D26+'Chilled Water'!G26+'Chilled Water'!J26+'Chilled Water'!M26</f>
        <v>4847</v>
      </c>
      <c r="L24" s="172">
        <v>0.33</v>
      </c>
      <c r="M24" s="24">
        <f>Elect!B30</f>
        <v>447</v>
      </c>
    </row>
    <row r="25" spans="1:13" x14ac:dyDescent="0.45">
      <c r="A25" s="170" t="s">
        <v>70</v>
      </c>
      <c r="B25" s="2">
        <f t="shared" si="0"/>
        <v>24</v>
      </c>
      <c r="C25" s="171">
        <v>3</v>
      </c>
      <c r="D25" s="2">
        <v>2024</v>
      </c>
      <c r="E25" s="24">
        <f>IF((Elect!D31+Elect!F31+Elect!H31+Elect!J31+Elect!L31+Elect!N31+Elect!R31+Elect!T31+Elect!V31+Elect!X31)&lt;0,"0",Elect!D31+Elect!F31+Elect!H31+Elect!J31+Elect!L31+Elect!N31+Elect!R31+Elect!T31+Elect!V31+Elect!X31)</f>
        <v>37562</v>
      </c>
      <c r="F25" s="172">
        <v>0.2</v>
      </c>
      <c r="G25" s="24">
        <f>IF((Water!C31+Water!E31+Water!G31+Water!K31+Water!M31+Water!O31+Water!Q31)&lt;0,"0",Water!C31+Water!E31+Water!G31+Water!K31+Water!M31+Water!O31+Water!Q31)</f>
        <v>505</v>
      </c>
      <c r="H25" s="173">
        <v>7.84</v>
      </c>
      <c r="I25" s="24">
        <f>IF((Gas!B31+Gas!E31+Gas!G31+Gas!I31+Gas!K31+Gas!M31+Gas!O31+Gas!Q31+Gas!S31+Gas!U31)&lt;0,"0",Gas!B31+Gas!E31+Gas!G31+Gas!I31+Gas!K31+Gas!M31+Gas!O31+Gas!Q31+Gas!S31+Gas!U31)</f>
        <v>72</v>
      </c>
      <c r="J25" s="173">
        <v>2.6</v>
      </c>
      <c r="K25" s="174">
        <f>'Chilled Water'!D27+'Chilled Water'!G27+'Chilled Water'!J27+'Chilled Water'!M27</f>
        <v>4327</v>
      </c>
      <c r="L25" s="172">
        <v>0.33</v>
      </c>
      <c r="M25" s="24">
        <f>Elect!B31</f>
        <v>431</v>
      </c>
    </row>
    <row r="26" spans="1:13" x14ac:dyDescent="0.45">
      <c r="A26" s="170" t="s">
        <v>70</v>
      </c>
      <c r="B26" s="2">
        <f t="shared" si="0"/>
        <v>25</v>
      </c>
      <c r="C26" s="171">
        <v>3</v>
      </c>
      <c r="D26" s="2">
        <v>2024</v>
      </c>
      <c r="E26" s="24">
        <f>IF((Elect!D32+Elect!F32+Elect!H32+Elect!J32+Elect!L32+Elect!N32+Elect!R32+Elect!T32+Elect!V32+Elect!X32)&lt;0,"0",Elect!D32+Elect!F32+Elect!H32+Elect!J32+Elect!L32+Elect!N32+Elect!R32+Elect!T32+Elect!V32+Elect!X32)</f>
        <v>38418</v>
      </c>
      <c r="F26" s="172">
        <v>0.2</v>
      </c>
      <c r="G26" s="24">
        <f>IF((Water!C32+Water!E32+Water!G32+Water!K32+Water!M32+Water!O32+Water!Q32)&lt;0,"0",Water!C32+Water!E32+Water!G32+Water!K32+Water!M32+Water!O32+Water!Q32)</f>
        <v>499</v>
      </c>
      <c r="H26" s="173">
        <v>7.84</v>
      </c>
      <c r="I26" s="24">
        <f>IF((Gas!B32+Gas!E32+Gas!G32+Gas!I32+Gas!K32+Gas!M32+Gas!O32+Gas!Q32+Gas!S32+Gas!U32)&lt;0,"0",Gas!B32+Gas!E32+Gas!G32+Gas!I32+Gas!K32+Gas!M32+Gas!O32+Gas!Q32+Gas!S32+Gas!U32)</f>
        <v>78</v>
      </c>
      <c r="J26" s="173">
        <v>2.6</v>
      </c>
      <c r="K26" s="174">
        <f>'Chilled Water'!D28+'Chilled Water'!G28+'Chilled Water'!J28+'Chilled Water'!M28</f>
        <v>4781</v>
      </c>
      <c r="L26" s="172">
        <v>0.33</v>
      </c>
      <c r="M26" s="24">
        <f>Elect!B32</f>
        <v>451</v>
      </c>
    </row>
    <row r="27" spans="1:13" x14ac:dyDescent="0.45">
      <c r="A27" s="170" t="s">
        <v>70</v>
      </c>
      <c r="B27" s="2">
        <f t="shared" si="0"/>
        <v>26</v>
      </c>
      <c r="C27" s="171">
        <v>3</v>
      </c>
      <c r="D27" s="2">
        <v>2024</v>
      </c>
      <c r="E27" s="24">
        <f>IF((Elect!D33+Elect!F33+Elect!H33+Elect!J33+Elect!L33+Elect!N33+Elect!R33+Elect!T33+Elect!V33+Elect!X33)&lt;0,"0",Elect!D33+Elect!F33+Elect!H33+Elect!J33+Elect!L33+Elect!N33+Elect!R33+Elect!T33+Elect!V33+Elect!X33)</f>
        <v>39158</v>
      </c>
      <c r="F27" s="172">
        <v>0.2</v>
      </c>
      <c r="G27" s="24">
        <f>IF((Water!C33+Water!E33+Water!G33+Water!K33+Water!M33+Water!O33+Water!Q33)&lt;0,"0",Water!C33+Water!E33+Water!G33+Water!K33+Water!M33+Water!O33+Water!Q33)</f>
        <v>569</v>
      </c>
      <c r="H27" s="173">
        <v>7.84</v>
      </c>
      <c r="I27" s="24">
        <f>IF((Gas!B33+Gas!E33+Gas!G33+Gas!I33+Gas!K33+Gas!M33+Gas!O33+Gas!Q33+Gas!S33+Gas!U33)&lt;0,"0",Gas!B33+Gas!E33+Gas!G33+Gas!I33+Gas!K33+Gas!M33+Gas!O33+Gas!Q33+Gas!S33+Gas!U33)</f>
        <v>1180</v>
      </c>
      <c r="J27" s="173">
        <v>2.6</v>
      </c>
      <c r="K27" s="174">
        <f>'Chilled Water'!D29+'Chilled Water'!G29+'Chilled Water'!J29+'Chilled Water'!M29</f>
        <v>4671</v>
      </c>
      <c r="L27" s="172">
        <v>0.33</v>
      </c>
      <c r="M27" s="24">
        <f>Elect!B33</f>
        <v>463</v>
      </c>
    </row>
    <row r="28" spans="1:13" x14ac:dyDescent="0.45">
      <c r="A28" s="170" t="s">
        <v>70</v>
      </c>
      <c r="B28" s="2">
        <f t="shared" si="0"/>
        <v>27</v>
      </c>
      <c r="C28" s="171">
        <v>3</v>
      </c>
      <c r="D28" s="2">
        <v>2024</v>
      </c>
      <c r="E28" s="24">
        <f>IF((Elect!D34+Elect!F34+Elect!H34+Elect!J34+Elect!L34+Elect!N34+Elect!R34+Elect!T34+Elect!V34+Elect!X34)&lt;0,"0",Elect!D34+Elect!F34+Elect!H34+Elect!J34+Elect!L34+Elect!N34+Elect!R34+Elect!T34+Elect!V34+Elect!X34)</f>
        <v>35536</v>
      </c>
      <c r="F28" s="172">
        <v>0.2</v>
      </c>
      <c r="G28" s="24">
        <f>IF((Water!C34+Water!E34+Water!G34+Water!K34+Water!M34+Water!O34+Water!Q34)&lt;0,"0",Water!C34+Water!E34+Water!G34+Water!K34+Water!M34+Water!O34+Water!Q34)</f>
        <v>500</v>
      </c>
      <c r="H28" s="173">
        <v>7.84</v>
      </c>
      <c r="I28" s="24">
        <f>IF((Gas!B34+Gas!E34+Gas!G34+Gas!I34+Gas!K34+Gas!M34+Gas!O34+Gas!Q34+Gas!S34+Gas!U34)&lt;0,"0",Gas!B34+Gas!E34+Gas!G34+Gas!I34+Gas!K34+Gas!M34+Gas!O34+Gas!Q34+Gas!S34+Gas!U34)</f>
        <v>80</v>
      </c>
      <c r="J28" s="173">
        <v>2.6</v>
      </c>
      <c r="K28" s="174">
        <f>'Chilled Water'!D30+'Chilled Water'!G30+'Chilled Water'!J30+'Chilled Water'!M30</f>
        <v>4090</v>
      </c>
      <c r="L28" s="172">
        <v>0.33</v>
      </c>
      <c r="M28" s="24">
        <f>Elect!B34</f>
        <v>481</v>
      </c>
    </row>
    <row r="29" spans="1:13" x14ac:dyDescent="0.45">
      <c r="A29" s="170" t="s">
        <v>70</v>
      </c>
      <c r="B29" s="2">
        <f t="shared" si="0"/>
        <v>28</v>
      </c>
      <c r="C29" s="171">
        <v>3</v>
      </c>
      <c r="D29" s="2">
        <v>2024</v>
      </c>
      <c r="E29" s="24">
        <f>IF((Elect!D35+Elect!F35+Elect!H35+Elect!J35+Elect!L35+Elect!N35+Elect!R35+Elect!T35+Elect!V35+Elect!X35)&lt;0,"0",Elect!D35+Elect!F35+Elect!H35+Elect!J35+Elect!L35+Elect!N35+Elect!R35+Elect!T35+Elect!V35+Elect!X35)</f>
        <v>35232</v>
      </c>
      <c r="F29" s="172">
        <v>0.2</v>
      </c>
      <c r="G29" s="24">
        <f>IF((Water!C35+Water!E35+Water!G35+Water!K35+Water!M35+Water!O35+Water!Q35)&lt;0,"0",Water!C35+Water!E35+Water!G35+Water!K35+Water!M35+Water!O35+Water!Q35)</f>
        <v>509</v>
      </c>
      <c r="H29" s="173">
        <v>7.84</v>
      </c>
      <c r="I29" s="24">
        <f>IF((Gas!B35+Gas!E35+Gas!G35+Gas!I35+Gas!K35+Gas!M35+Gas!O35+Gas!Q35+Gas!S35+Gas!U35)&lt;0,"0",Gas!B35+Gas!E35+Gas!G35+Gas!I35+Gas!K35+Gas!M35+Gas!O35+Gas!Q35+Gas!S35+Gas!U35)</f>
        <v>81</v>
      </c>
      <c r="J29" s="173">
        <v>2.6</v>
      </c>
      <c r="K29" s="174">
        <f>'Chilled Water'!D31+'Chilled Water'!G31+'Chilled Water'!J31+'Chilled Water'!M31</f>
        <v>3920</v>
      </c>
      <c r="L29" s="172">
        <v>0.33</v>
      </c>
      <c r="M29" s="24">
        <f>Elect!B35</f>
        <v>478</v>
      </c>
    </row>
    <row r="30" spans="1:13" x14ac:dyDescent="0.45">
      <c r="A30" s="170" t="s">
        <v>70</v>
      </c>
      <c r="B30" s="2">
        <f t="shared" si="0"/>
        <v>29</v>
      </c>
      <c r="C30" s="171">
        <v>3</v>
      </c>
      <c r="D30" s="2">
        <v>2024</v>
      </c>
      <c r="E30" s="24">
        <f>IF((Elect!D36+Elect!F36+Elect!H36+Elect!J36+Elect!L36+Elect!N36+Elect!R36+Elect!T36+Elect!V36+Elect!X36)&lt;0,"0",Elect!D36+Elect!F36+Elect!H36+Elect!J36+Elect!L36+Elect!N36+Elect!R36+Elect!T36+Elect!V36+Elect!X36)</f>
        <v>35993</v>
      </c>
      <c r="F30" s="172">
        <v>0.2</v>
      </c>
      <c r="G30" s="24">
        <f>IF((Water!C36+Water!E36+Water!G36+Water!K36+Water!M36+Water!O36+Water!Q36)&lt;0,"0",Water!C36+Water!E36+Water!G36+Water!K36+Water!M36+Water!O36+Water!Q36)</f>
        <v>535</v>
      </c>
      <c r="H30" s="173">
        <v>7.84</v>
      </c>
      <c r="I30" s="24">
        <f>IF((Gas!B36+Gas!E36+Gas!G36+Gas!I36+Gas!K36+Gas!M36+Gas!O36+Gas!Q36+Gas!S36+Gas!U36)&lt;0,"0",Gas!B36+Gas!E36+Gas!G36+Gas!I36+Gas!K36+Gas!M36+Gas!O36+Gas!Q36+Gas!S36+Gas!U36)</f>
        <v>81</v>
      </c>
      <c r="J30" s="173">
        <v>2.6</v>
      </c>
      <c r="K30" s="174">
        <f>'Chilled Water'!D32+'Chilled Water'!G32+'Chilled Water'!J32+'Chilled Water'!M32</f>
        <v>3667</v>
      </c>
      <c r="L30" s="172">
        <v>0.33</v>
      </c>
      <c r="M30" s="24">
        <f>Elect!B36</f>
        <v>441</v>
      </c>
    </row>
    <row r="31" spans="1:13" x14ac:dyDescent="0.45">
      <c r="A31" s="170" t="s">
        <v>70</v>
      </c>
      <c r="B31" s="2">
        <f t="shared" si="0"/>
        <v>30</v>
      </c>
      <c r="C31" s="171">
        <v>3</v>
      </c>
      <c r="D31" s="2">
        <v>2024</v>
      </c>
      <c r="E31" s="24">
        <f>IF((Elect!D37+Elect!F37+Elect!H37+Elect!J37+Elect!L37+Elect!N37+Elect!R37+Elect!T37+Elect!V37+Elect!X37)&lt;0,"0",Elect!D37+Elect!F37+Elect!H37+Elect!J37+Elect!L37+Elect!N37+Elect!R37+Elect!T37+Elect!V37+Elect!X37)</f>
        <v>36331</v>
      </c>
      <c r="F31" s="172">
        <v>0.2</v>
      </c>
      <c r="G31" s="24">
        <f>IF((Water!C37+Water!E37+Water!G37+Water!K37+Water!M37+Water!O37+Water!Q37)&lt;0,"0",Water!C37+Water!E37+Water!G37+Water!K37+Water!M37+Water!O37+Water!Q37)</f>
        <v>566</v>
      </c>
      <c r="H31" s="173">
        <v>7.84</v>
      </c>
      <c r="I31" s="24">
        <f>IF((Gas!B37+Gas!E37+Gas!G37+Gas!I37+Gas!K37+Gas!M37+Gas!O37+Gas!Q37+Gas!S37+Gas!U37)&lt;0,"0",Gas!B37+Gas!E37+Gas!G37+Gas!I37+Gas!K37+Gas!M37+Gas!O37+Gas!Q37+Gas!S37+Gas!U37)</f>
        <v>70</v>
      </c>
      <c r="J31" s="173">
        <v>2.6</v>
      </c>
      <c r="K31" s="174">
        <f>'Chilled Water'!D33+'Chilled Water'!G33+'Chilled Water'!J33+'Chilled Water'!M33</f>
        <v>3966</v>
      </c>
      <c r="L31" s="172">
        <v>0.33</v>
      </c>
      <c r="M31" s="24">
        <f>Elect!B37</f>
        <v>426</v>
      </c>
    </row>
    <row r="32" spans="1:13" x14ac:dyDescent="0.45">
      <c r="A32" s="170" t="s">
        <v>70</v>
      </c>
      <c r="B32" s="2">
        <f t="shared" si="0"/>
        <v>31</v>
      </c>
      <c r="C32" s="171">
        <v>3</v>
      </c>
      <c r="D32" s="2">
        <v>2024</v>
      </c>
      <c r="E32" s="24">
        <f>IF((Elect!D38+Elect!F38+Elect!H38+Elect!J38+Elect!L38+Elect!N38+Elect!R38+Elect!T38+Elect!V38+Elect!X38)&lt;0,"0",Elect!D38+Elect!F38+Elect!H38+Elect!J38+Elect!L38+Elect!N38+Elect!R38+Elect!T38+Elect!V38+Elect!X38)</f>
        <v>33793</v>
      </c>
      <c r="F32" s="172">
        <v>0.2</v>
      </c>
      <c r="G32" s="24">
        <f>IF((Water!C38+Water!E38+Water!G38+Water!K38+Water!M38+Water!O38+Water!Q38)&lt;0,"0",Water!C38+Water!E38+Water!G38+Water!K38+Water!M38+Water!O38+Water!Q38)</f>
        <v>504</v>
      </c>
      <c r="H32" s="173">
        <v>7.84</v>
      </c>
      <c r="I32" s="24">
        <f>IF((Gas!B38+Gas!E38+Gas!G38+Gas!I38+Gas!K38+Gas!M38+Gas!O38+Gas!Q38+Gas!S38+Gas!U38)&lt;0,"0",Gas!B38+Gas!E38+Gas!G38+Gas!I38+Gas!K38+Gas!M38+Gas!O38+Gas!Q38+Gas!S38+Gas!U38)</f>
        <v>75</v>
      </c>
      <c r="J32" s="173">
        <v>2.6</v>
      </c>
      <c r="K32" s="174">
        <f>'Chilled Water'!D34+'Chilled Water'!G34+'Chilled Water'!J34+'Chilled Water'!M34</f>
        <v>4056</v>
      </c>
      <c r="L32" s="172">
        <v>0.33</v>
      </c>
      <c r="M32" s="24">
        <f>Elect!B38</f>
        <v>419</v>
      </c>
    </row>
    <row r="33" spans="8:10" x14ac:dyDescent="0.45">
      <c r="I33" s="24" t="s">
        <v>50</v>
      </c>
    </row>
    <row r="36" spans="8:10" x14ac:dyDescent="0.45">
      <c r="H36" s="175" t="s">
        <v>50</v>
      </c>
      <c r="J36" s="175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BF46"/>
  <sheetViews>
    <sheetView zoomScale="85" zoomScaleNormal="85" workbookViewId="0">
      <pane xSplit="1" ySplit="7" topLeftCell="B8" activePane="bottomRight" state="frozen"/>
      <selection activeCell="W14" sqref="W14"/>
      <selection pane="topRight" activeCell="W14" sqref="W14"/>
      <selection pane="bottomLeft" activeCell="W14" sqref="W14"/>
      <selection pane="bottomRight" activeCell="F43" sqref="F43"/>
    </sheetView>
  </sheetViews>
  <sheetFormatPr defaultRowHeight="12.75" x14ac:dyDescent="0.35"/>
  <cols>
    <col min="1" max="1" width="7.73046875" customWidth="1"/>
    <col min="2" max="2" width="13.265625" customWidth="1"/>
    <col min="3" max="3" width="10.265625" customWidth="1"/>
    <col min="4" max="4" width="12.265625" customWidth="1"/>
    <col min="5" max="5" width="11" customWidth="1"/>
    <col min="6" max="6" width="13.1328125" customWidth="1"/>
    <col min="7" max="7" width="10.73046875" customWidth="1"/>
    <col min="8" max="8" width="13.3984375" customWidth="1"/>
    <col min="9" max="9" width="11.3984375" customWidth="1"/>
    <col min="10" max="10" width="13.59765625" customWidth="1"/>
    <col min="11" max="11" width="12.3984375" customWidth="1"/>
    <col min="12" max="12" width="11.59765625" customWidth="1"/>
    <col min="13" max="13" width="11.265625" customWidth="1"/>
    <col min="14" max="14" width="11.73046875" customWidth="1"/>
    <col min="15" max="15" width="12" customWidth="1"/>
    <col min="16" max="16" width="11.86328125" customWidth="1"/>
    <col min="17" max="17" width="11.265625" customWidth="1"/>
    <col min="18" max="18" width="12.59765625" customWidth="1"/>
    <col min="19" max="19" width="11.3984375" customWidth="1"/>
    <col min="20" max="20" width="10.86328125" customWidth="1"/>
    <col min="21" max="21" width="11.265625" customWidth="1"/>
    <col min="22" max="23" width="10.73046875" customWidth="1"/>
    <col min="24" max="24" width="11.265625" customWidth="1"/>
  </cols>
  <sheetData>
    <row r="1" spans="1:58" ht="21" customHeight="1" x14ac:dyDescent="0.6">
      <c r="A1" s="201" t="s">
        <v>51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84"/>
      <c r="W1" s="84"/>
      <c r="X1" s="84"/>
    </row>
    <row r="2" spans="1:58" ht="21" customHeight="1" x14ac:dyDescent="0.4">
      <c r="A2" s="202" t="s">
        <v>20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85"/>
      <c r="W2" s="85"/>
      <c r="X2" s="85"/>
    </row>
    <row r="3" spans="1:58" ht="27" customHeight="1" x14ac:dyDescent="0.4">
      <c r="A3" s="203" t="s">
        <v>55</v>
      </c>
      <c r="B3" s="203"/>
      <c r="C3" s="203"/>
      <c r="D3" s="203"/>
      <c r="E3" s="203"/>
      <c r="F3" s="203"/>
      <c r="G3" s="203"/>
      <c r="H3" s="203"/>
      <c r="I3" s="203"/>
      <c r="J3" s="203"/>
      <c r="K3" s="203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86"/>
      <c r="W3" s="86"/>
      <c r="X3" s="86"/>
    </row>
    <row r="4" spans="1:58" ht="18" customHeight="1" x14ac:dyDescent="0.35">
      <c r="A4" s="191"/>
      <c r="B4" s="191"/>
      <c r="C4" s="191"/>
      <c r="D4" s="191"/>
      <c r="E4" s="191"/>
      <c r="F4" s="191"/>
      <c r="G4" s="191"/>
      <c r="H4" s="191"/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1"/>
      <c r="U4" s="192"/>
    </row>
    <row r="5" spans="1:58" ht="15" customHeight="1" x14ac:dyDescent="0.4">
      <c r="A5" s="204" t="s">
        <v>0</v>
      </c>
      <c r="B5" s="160"/>
      <c r="C5" s="188" t="s">
        <v>15</v>
      </c>
      <c r="D5" s="189"/>
      <c r="E5" s="189"/>
      <c r="F5" s="189"/>
      <c r="G5" s="189"/>
      <c r="H5" s="190"/>
      <c r="I5" s="193" t="s">
        <v>12</v>
      </c>
      <c r="J5" s="215"/>
      <c r="K5" s="193" t="s">
        <v>3</v>
      </c>
      <c r="L5" s="194"/>
      <c r="M5" s="213" t="s">
        <v>16</v>
      </c>
      <c r="N5" s="214"/>
      <c r="O5" s="214"/>
      <c r="P5" s="214"/>
      <c r="Q5" s="214"/>
      <c r="R5" s="214"/>
      <c r="S5" s="193" t="s">
        <v>37</v>
      </c>
      <c r="T5" s="194"/>
      <c r="U5" s="197" t="s">
        <v>39</v>
      </c>
      <c r="V5" s="197"/>
      <c r="W5" s="199" t="s">
        <v>53</v>
      </c>
      <c r="X5" s="194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ht="15" customHeight="1" x14ac:dyDescent="0.4">
      <c r="A6" s="205"/>
      <c r="B6" s="177" t="s">
        <v>71</v>
      </c>
      <c r="C6" s="188" t="s">
        <v>2</v>
      </c>
      <c r="D6" s="209"/>
      <c r="E6" s="210" t="s">
        <v>1</v>
      </c>
      <c r="F6" s="211"/>
      <c r="G6" s="210" t="s">
        <v>38</v>
      </c>
      <c r="H6" s="211"/>
      <c r="I6" s="216"/>
      <c r="J6" s="217"/>
      <c r="K6" s="207"/>
      <c r="L6" s="208"/>
      <c r="M6" s="210" t="s">
        <v>29</v>
      </c>
      <c r="N6" s="212"/>
      <c r="O6" s="210" t="s">
        <v>4</v>
      </c>
      <c r="P6" s="212"/>
      <c r="Q6" s="197" t="s">
        <v>18</v>
      </c>
      <c r="R6" s="198"/>
      <c r="S6" s="195"/>
      <c r="T6" s="196"/>
      <c r="U6" s="197"/>
      <c r="V6" s="197"/>
      <c r="W6" s="200"/>
      <c r="X6" s="196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ht="15" customHeight="1" x14ac:dyDescent="0.35">
      <c r="A7" s="206"/>
      <c r="B7" s="176"/>
      <c r="C7" s="14" t="s">
        <v>21</v>
      </c>
      <c r="D7" s="15" t="s">
        <v>22</v>
      </c>
      <c r="E7" s="14" t="s">
        <v>21</v>
      </c>
      <c r="F7" s="16" t="s">
        <v>22</v>
      </c>
      <c r="G7" s="15" t="s">
        <v>21</v>
      </c>
      <c r="H7" s="16" t="s">
        <v>22</v>
      </c>
      <c r="I7" s="17" t="s">
        <v>21</v>
      </c>
      <c r="J7" s="17" t="s">
        <v>22</v>
      </c>
      <c r="K7" s="18" t="s">
        <v>21</v>
      </c>
      <c r="L7" s="18" t="s">
        <v>22</v>
      </c>
      <c r="M7" s="19" t="s">
        <v>21</v>
      </c>
      <c r="N7" s="19" t="s">
        <v>22</v>
      </c>
      <c r="O7" s="19" t="s">
        <v>21</v>
      </c>
      <c r="P7" s="19" t="s">
        <v>22</v>
      </c>
      <c r="Q7" s="20" t="s">
        <v>21</v>
      </c>
      <c r="R7" s="20" t="s">
        <v>22</v>
      </c>
      <c r="S7" s="20" t="s">
        <v>21</v>
      </c>
      <c r="T7" s="20" t="s">
        <v>22</v>
      </c>
      <c r="U7" s="20" t="s">
        <v>21</v>
      </c>
      <c r="V7" s="18" t="s">
        <v>22</v>
      </c>
      <c r="W7" s="20" t="s">
        <v>21</v>
      </c>
      <c r="X7" s="20" t="s">
        <v>22</v>
      </c>
    </row>
    <row r="8" spans="1:58" s="7" customFormat="1" ht="15" customHeight="1" x14ac:dyDescent="0.35">
      <c r="A8" s="69">
        <v>45352</v>
      </c>
      <c r="B8" s="139">
        <v>494</v>
      </c>
      <c r="C8" s="137">
        <v>1392693</v>
      </c>
      <c r="D8" s="117">
        <f>C8-1388919</f>
        <v>3774</v>
      </c>
      <c r="E8" s="138">
        <v>32442518</v>
      </c>
      <c r="F8" s="117">
        <f>E8-32438421</f>
        <v>4097</v>
      </c>
      <c r="G8" s="139">
        <v>48171821</v>
      </c>
      <c r="H8" s="117">
        <f>G8-48162100</f>
        <v>9721</v>
      </c>
      <c r="I8" s="140">
        <v>2270999</v>
      </c>
      <c r="J8" s="117">
        <f>I8-2268805</f>
        <v>2194</v>
      </c>
      <c r="K8" s="141">
        <v>9646620</v>
      </c>
      <c r="L8" s="117">
        <f>K8-9643360</f>
        <v>3260</v>
      </c>
      <c r="M8" s="142">
        <v>5913650</v>
      </c>
      <c r="N8" s="117">
        <f>M8-5912470</f>
        <v>1180</v>
      </c>
      <c r="O8" s="143">
        <v>311438</v>
      </c>
      <c r="P8" s="117">
        <f>O8-305248</f>
        <v>6190</v>
      </c>
      <c r="Q8" s="144">
        <v>4862200</v>
      </c>
      <c r="R8" s="117">
        <f>Q8-4855540</f>
        <v>6660</v>
      </c>
      <c r="S8" s="60">
        <v>52897</v>
      </c>
      <c r="T8" s="117">
        <f>S8-52852</f>
        <v>45</v>
      </c>
      <c r="U8" s="59">
        <v>33955</v>
      </c>
      <c r="V8" s="95">
        <f>U8-33955</f>
        <v>0</v>
      </c>
      <c r="W8" s="139">
        <v>9317682</v>
      </c>
      <c r="X8" s="117">
        <f>W8-9313035</f>
        <v>4647</v>
      </c>
    </row>
    <row r="9" spans="1:58" s="7" customFormat="1" ht="15" customHeight="1" x14ac:dyDescent="0.35">
      <c r="A9" s="69">
        <v>45353</v>
      </c>
      <c r="B9" s="139">
        <v>478</v>
      </c>
      <c r="C9" s="137">
        <v>1395420</v>
      </c>
      <c r="D9" s="63">
        <f t="shared" ref="D9:D30" si="0">C9-C8</f>
        <v>2727</v>
      </c>
      <c r="E9" s="138">
        <v>32446510</v>
      </c>
      <c r="F9" s="72">
        <f>E9-E8</f>
        <v>3992</v>
      </c>
      <c r="G9" s="139">
        <v>48182362</v>
      </c>
      <c r="H9" s="51">
        <f t="shared" ref="H9:H31" si="1">G9-G8</f>
        <v>10541</v>
      </c>
      <c r="I9" s="140">
        <v>2273235</v>
      </c>
      <c r="J9" s="51">
        <f t="shared" ref="J9:J38" si="2">I9-I8</f>
        <v>2236</v>
      </c>
      <c r="K9" s="141">
        <v>9649740</v>
      </c>
      <c r="L9" s="51">
        <f t="shared" ref="L9:L38" si="3">K9-K8</f>
        <v>3120</v>
      </c>
      <c r="M9" s="142">
        <v>5914840</v>
      </c>
      <c r="N9" s="51">
        <f t="shared" ref="N9:N38" si="4">M9-M8</f>
        <v>1190</v>
      </c>
      <c r="O9" s="143">
        <v>317944</v>
      </c>
      <c r="P9" s="51">
        <f>O9-O8</f>
        <v>6506</v>
      </c>
      <c r="Q9" s="144">
        <v>4868480</v>
      </c>
      <c r="R9" s="95">
        <f t="shared" ref="R9:R38" si="5">Q9-Q8</f>
        <v>6280</v>
      </c>
      <c r="S9" s="60">
        <v>52936</v>
      </c>
      <c r="T9" s="51">
        <f t="shared" ref="T9:V38" si="6">S9-S8</f>
        <v>39</v>
      </c>
      <c r="U9" s="59">
        <v>33955</v>
      </c>
      <c r="V9" s="51">
        <f t="shared" si="6"/>
        <v>0</v>
      </c>
      <c r="W9" s="139">
        <v>9321721</v>
      </c>
      <c r="X9" s="51">
        <f t="shared" ref="X9:X34" si="7">W9-W8</f>
        <v>4039</v>
      </c>
    </row>
    <row r="10" spans="1:58" ht="15" customHeight="1" x14ac:dyDescent="0.35">
      <c r="A10" s="69">
        <v>45354</v>
      </c>
      <c r="B10" s="139">
        <v>475</v>
      </c>
      <c r="C10" s="137">
        <v>1401388</v>
      </c>
      <c r="D10" s="63">
        <f t="shared" si="0"/>
        <v>5968</v>
      </c>
      <c r="E10" s="138">
        <v>32450283</v>
      </c>
      <c r="F10" s="58">
        <f t="shared" ref="F10:F38" si="8">E10-E9</f>
        <v>3773</v>
      </c>
      <c r="G10" s="139">
        <v>48189686</v>
      </c>
      <c r="H10" s="51">
        <f t="shared" si="1"/>
        <v>7324</v>
      </c>
      <c r="I10" s="140">
        <v>2275520</v>
      </c>
      <c r="J10" s="51">
        <f t="shared" si="2"/>
        <v>2285</v>
      </c>
      <c r="K10" s="141">
        <v>9652920</v>
      </c>
      <c r="L10" s="51">
        <f t="shared" si="3"/>
        <v>3180</v>
      </c>
      <c r="M10" s="142">
        <v>5915970</v>
      </c>
      <c r="N10" s="51">
        <f t="shared" si="4"/>
        <v>1130</v>
      </c>
      <c r="O10" s="143">
        <v>324619</v>
      </c>
      <c r="P10" s="51">
        <f>O10-O9</f>
        <v>6675</v>
      </c>
      <c r="Q10" s="144">
        <v>4874820</v>
      </c>
      <c r="R10" s="95">
        <f t="shared" si="5"/>
        <v>6340</v>
      </c>
      <c r="S10" s="60">
        <v>52969</v>
      </c>
      <c r="T10" s="51">
        <f t="shared" si="6"/>
        <v>33</v>
      </c>
      <c r="U10" s="59">
        <v>33955</v>
      </c>
      <c r="V10" s="51">
        <f t="shared" si="6"/>
        <v>0</v>
      </c>
      <c r="W10" s="139">
        <v>9325785</v>
      </c>
      <c r="X10" s="51">
        <f t="shared" si="7"/>
        <v>4064</v>
      </c>
    </row>
    <row r="11" spans="1:58" ht="15" customHeight="1" x14ac:dyDescent="0.35">
      <c r="A11" s="69">
        <v>45355</v>
      </c>
      <c r="B11" s="139">
        <v>501</v>
      </c>
      <c r="C11" s="137">
        <v>1405454</v>
      </c>
      <c r="D11" s="63">
        <f t="shared" si="0"/>
        <v>4066</v>
      </c>
      <c r="E11" s="138">
        <v>32453999</v>
      </c>
      <c r="F11" s="58">
        <f t="shared" si="8"/>
        <v>3716</v>
      </c>
      <c r="G11" s="139">
        <v>48198328</v>
      </c>
      <c r="H11" s="58">
        <f t="shared" si="1"/>
        <v>8642</v>
      </c>
      <c r="I11" s="140">
        <v>2277849</v>
      </c>
      <c r="J11" s="51">
        <f t="shared" si="2"/>
        <v>2329</v>
      </c>
      <c r="K11" s="141">
        <v>9655950</v>
      </c>
      <c r="L11" s="51">
        <f t="shared" si="3"/>
        <v>3030</v>
      </c>
      <c r="M11" s="142">
        <v>5917030</v>
      </c>
      <c r="N11" s="51">
        <f t="shared" si="4"/>
        <v>1060</v>
      </c>
      <c r="O11" s="143">
        <v>331161</v>
      </c>
      <c r="P11" s="51">
        <f t="shared" ref="P11:P38" si="9">O11-O10</f>
        <v>6542</v>
      </c>
      <c r="Q11" s="144">
        <v>4880830</v>
      </c>
      <c r="R11" s="95">
        <f t="shared" si="5"/>
        <v>6010</v>
      </c>
      <c r="S11" s="60">
        <v>53004</v>
      </c>
      <c r="T11" s="51">
        <f t="shared" si="6"/>
        <v>35</v>
      </c>
      <c r="U11" s="59">
        <v>33955</v>
      </c>
      <c r="V11" s="51">
        <f t="shared" si="6"/>
        <v>0</v>
      </c>
      <c r="W11" s="139">
        <v>9331108</v>
      </c>
      <c r="X11" s="51">
        <f t="shared" si="7"/>
        <v>5323</v>
      </c>
    </row>
    <row r="12" spans="1:58" ht="15" customHeight="1" x14ac:dyDescent="0.35">
      <c r="A12" s="69">
        <v>45356</v>
      </c>
      <c r="B12" s="139">
        <v>420</v>
      </c>
      <c r="C12" s="137">
        <v>1411816</v>
      </c>
      <c r="D12" s="63">
        <f t="shared" si="0"/>
        <v>6362</v>
      </c>
      <c r="E12" s="138">
        <v>32458963</v>
      </c>
      <c r="F12" s="58">
        <f t="shared" si="8"/>
        <v>4964</v>
      </c>
      <c r="G12" s="139">
        <v>48205670</v>
      </c>
      <c r="H12" s="51">
        <f t="shared" si="1"/>
        <v>7342</v>
      </c>
      <c r="I12" s="140">
        <v>2280170</v>
      </c>
      <c r="J12" s="51">
        <f t="shared" si="2"/>
        <v>2321</v>
      </c>
      <c r="K12" s="141">
        <v>9658960</v>
      </c>
      <c r="L12" s="51">
        <f t="shared" si="3"/>
        <v>3010</v>
      </c>
      <c r="M12" s="142">
        <v>5918180</v>
      </c>
      <c r="N12" s="51">
        <f t="shared" si="4"/>
        <v>1150</v>
      </c>
      <c r="O12" s="143">
        <v>337497</v>
      </c>
      <c r="P12" s="51">
        <f t="shared" si="9"/>
        <v>6336</v>
      </c>
      <c r="Q12" s="144">
        <v>4887190</v>
      </c>
      <c r="R12" s="95">
        <f t="shared" si="5"/>
        <v>6360</v>
      </c>
      <c r="S12" s="60">
        <v>53069</v>
      </c>
      <c r="T12" s="51">
        <f t="shared" si="6"/>
        <v>65</v>
      </c>
      <c r="U12" s="59">
        <v>33955</v>
      </c>
      <c r="V12" s="51">
        <f t="shared" si="6"/>
        <v>0</v>
      </c>
      <c r="W12" s="139">
        <v>9335308</v>
      </c>
      <c r="X12" s="51">
        <f t="shared" si="7"/>
        <v>4200</v>
      </c>
    </row>
    <row r="13" spans="1:58" ht="15" customHeight="1" x14ac:dyDescent="0.35">
      <c r="A13" s="69">
        <v>45357</v>
      </c>
      <c r="B13" s="139">
        <v>517</v>
      </c>
      <c r="C13" s="137">
        <v>1415381</v>
      </c>
      <c r="D13" s="63">
        <f t="shared" si="0"/>
        <v>3565</v>
      </c>
      <c r="E13" s="138">
        <v>32462529</v>
      </c>
      <c r="F13" s="58">
        <f t="shared" si="8"/>
        <v>3566</v>
      </c>
      <c r="G13" s="139">
        <v>48216581</v>
      </c>
      <c r="H13" s="51">
        <f t="shared" si="1"/>
        <v>10911</v>
      </c>
      <c r="I13" s="140">
        <v>2282471</v>
      </c>
      <c r="J13" s="55">
        <f t="shared" si="2"/>
        <v>2301</v>
      </c>
      <c r="K13" s="141">
        <v>9662020</v>
      </c>
      <c r="L13" s="51">
        <f t="shared" si="3"/>
        <v>3060</v>
      </c>
      <c r="M13" s="142">
        <v>5919310</v>
      </c>
      <c r="N13" s="51">
        <f t="shared" si="4"/>
        <v>1130</v>
      </c>
      <c r="O13" s="143">
        <v>343744</v>
      </c>
      <c r="P13" s="51">
        <f t="shared" si="9"/>
        <v>6247</v>
      </c>
      <c r="Q13" s="144">
        <v>4893720</v>
      </c>
      <c r="R13" s="95">
        <f t="shared" si="5"/>
        <v>6530</v>
      </c>
      <c r="S13" s="60">
        <v>53100</v>
      </c>
      <c r="T13" s="51">
        <f t="shared" si="6"/>
        <v>31</v>
      </c>
      <c r="U13" s="59">
        <v>33955</v>
      </c>
      <c r="V13" s="51">
        <f t="shared" si="6"/>
        <v>0</v>
      </c>
      <c r="W13" s="139">
        <v>9339360</v>
      </c>
      <c r="X13" s="51">
        <f t="shared" si="7"/>
        <v>4052</v>
      </c>
    </row>
    <row r="14" spans="1:58" ht="15" customHeight="1" x14ac:dyDescent="0.35">
      <c r="A14" s="69">
        <v>45358</v>
      </c>
      <c r="B14" s="139">
        <v>522</v>
      </c>
      <c r="C14" s="137">
        <v>1421767</v>
      </c>
      <c r="D14" s="63">
        <f t="shared" si="0"/>
        <v>6386</v>
      </c>
      <c r="E14" s="138">
        <v>32466258</v>
      </c>
      <c r="F14" s="58">
        <f t="shared" si="8"/>
        <v>3729</v>
      </c>
      <c r="G14" s="139">
        <v>48224336</v>
      </c>
      <c r="H14" s="51">
        <f t="shared" si="1"/>
        <v>7755</v>
      </c>
      <c r="I14" s="140">
        <v>2284790</v>
      </c>
      <c r="J14" s="55">
        <f t="shared" si="2"/>
        <v>2319</v>
      </c>
      <c r="K14" s="141">
        <v>9665090</v>
      </c>
      <c r="L14" s="51">
        <f t="shared" si="3"/>
        <v>3070</v>
      </c>
      <c r="M14" s="142">
        <v>5920470</v>
      </c>
      <c r="N14" s="51">
        <f t="shared" si="4"/>
        <v>1160</v>
      </c>
      <c r="O14" s="143">
        <v>350134</v>
      </c>
      <c r="P14" s="51">
        <f t="shared" si="9"/>
        <v>6390</v>
      </c>
      <c r="Q14" s="144">
        <v>4900390</v>
      </c>
      <c r="R14" s="95">
        <f t="shared" si="5"/>
        <v>6670</v>
      </c>
      <c r="S14" s="60">
        <v>53135</v>
      </c>
      <c r="T14" s="51">
        <f t="shared" si="6"/>
        <v>35</v>
      </c>
      <c r="U14" s="59">
        <v>33955</v>
      </c>
      <c r="V14" s="51">
        <f t="shared" si="6"/>
        <v>0</v>
      </c>
      <c r="W14" s="139">
        <v>9343528</v>
      </c>
      <c r="X14" s="51">
        <f t="shared" si="7"/>
        <v>4168</v>
      </c>
    </row>
    <row r="15" spans="1:58" ht="15" customHeight="1" x14ac:dyDescent="0.35">
      <c r="A15" s="69">
        <v>45359</v>
      </c>
      <c r="B15" s="139">
        <v>515</v>
      </c>
      <c r="C15" s="137">
        <v>1425560</v>
      </c>
      <c r="D15" s="63">
        <f t="shared" si="0"/>
        <v>3793</v>
      </c>
      <c r="E15" s="138">
        <v>32473203</v>
      </c>
      <c r="F15" s="58">
        <f t="shared" si="8"/>
        <v>6945</v>
      </c>
      <c r="G15" s="139">
        <v>48230464</v>
      </c>
      <c r="H15" s="51">
        <f t="shared" si="1"/>
        <v>6128</v>
      </c>
      <c r="I15" s="140">
        <v>2287075</v>
      </c>
      <c r="J15" s="55">
        <f t="shared" si="2"/>
        <v>2285</v>
      </c>
      <c r="K15" s="141">
        <v>9668190</v>
      </c>
      <c r="L15" s="51">
        <f t="shared" si="3"/>
        <v>3100</v>
      </c>
      <c r="M15" s="142">
        <v>5921640</v>
      </c>
      <c r="N15" s="51">
        <f t="shared" si="4"/>
        <v>1170</v>
      </c>
      <c r="O15" s="143">
        <v>356518</v>
      </c>
      <c r="P15" s="51">
        <f t="shared" si="9"/>
        <v>6384</v>
      </c>
      <c r="Q15" s="144">
        <v>4907460</v>
      </c>
      <c r="R15" s="95">
        <f t="shared" si="5"/>
        <v>7070</v>
      </c>
      <c r="S15" s="60">
        <v>53194</v>
      </c>
      <c r="T15" s="51">
        <f t="shared" si="6"/>
        <v>59</v>
      </c>
      <c r="U15" s="59">
        <v>33955</v>
      </c>
      <c r="V15" s="51">
        <f t="shared" si="6"/>
        <v>0</v>
      </c>
      <c r="W15" s="139">
        <v>9347604</v>
      </c>
      <c r="X15" s="51">
        <f t="shared" si="7"/>
        <v>4076</v>
      </c>
    </row>
    <row r="16" spans="1:58" x14ac:dyDescent="0.35">
      <c r="A16" s="69">
        <v>45360</v>
      </c>
      <c r="B16" s="139">
        <v>496</v>
      </c>
      <c r="C16" s="137">
        <v>1432961</v>
      </c>
      <c r="D16" s="63">
        <f t="shared" si="0"/>
        <v>7401</v>
      </c>
      <c r="E16" s="138">
        <v>32477817</v>
      </c>
      <c r="F16" s="58">
        <f t="shared" si="8"/>
        <v>4614</v>
      </c>
      <c r="G16" s="139">
        <v>48238963</v>
      </c>
      <c r="H16" s="58">
        <f t="shared" si="1"/>
        <v>8499</v>
      </c>
      <c r="I16" s="140">
        <v>2289282</v>
      </c>
      <c r="J16" s="55">
        <f t="shared" si="2"/>
        <v>2207</v>
      </c>
      <c r="K16" s="141">
        <v>9671630</v>
      </c>
      <c r="L16" s="51">
        <f t="shared" si="3"/>
        <v>3440</v>
      </c>
      <c r="M16" s="142">
        <v>5922810</v>
      </c>
      <c r="N16" s="51">
        <f t="shared" si="4"/>
        <v>1170</v>
      </c>
      <c r="O16" s="143">
        <v>362296</v>
      </c>
      <c r="P16" s="51">
        <f t="shared" si="9"/>
        <v>5778</v>
      </c>
      <c r="Q16" s="144">
        <v>4914910</v>
      </c>
      <c r="R16" s="95">
        <f t="shared" si="5"/>
        <v>7450</v>
      </c>
      <c r="S16" s="60">
        <v>53240</v>
      </c>
      <c r="T16" s="51">
        <f t="shared" si="6"/>
        <v>46</v>
      </c>
      <c r="U16" s="59">
        <v>33955</v>
      </c>
      <c r="V16" s="51">
        <f t="shared" si="6"/>
        <v>0</v>
      </c>
      <c r="W16" s="139">
        <v>9351769</v>
      </c>
      <c r="X16" s="51">
        <f t="shared" si="7"/>
        <v>4165</v>
      </c>
    </row>
    <row r="17" spans="1:24" ht="15" customHeight="1" x14ac:dyDescent="0.35">
      <c r="A17" s="69">
        <v>45361</v>
      </c>
      <c r="B17" s="139">
        <v>453</v>
      </c>
      <c r="C17" s="137">
        <v>1436403</v>
      </c>
      <c r="D17" s="63">
        <f t="shared" si="0"/>
        <v>3442</v>
      </c>
      <c r="E17" s="138">
        <v>32481721</v>
      </c>
      <c r="F17" s="58">
        <f t="shared" si="8"/>
        <v>3904</v>
      </c>
      <c r="G17" s="139">
        <v>48250797</v>
      </c>
      <c r="H17" s="58">
        <f t="shared" si="1"/>
        <v>11834</v>
      </c>
      <c r="I17" s="140">
        <v>2291290</v>
      </c>
      <c r="J17" s="74">
        <f t="shared" si="2"/>
        <v>2008</v>
      </c>
      <c r="K17" s="141">
        <v>9674890</v>
      </c>
      <c r="L17" s="51">
        <f t="shared" si="3"/>
        <v>3260</v>
      </c>
      <c r="M17" s="142">
        <v>5923960</v>
      </c>
      <c r="N17" s="51">
        <f t="shared" si="4"/>
        <v>1150</v>
      </c>
      <c r="O17" s="143">
        <v>367810</v>
      </c>
      <c r="P17" s="51">
        <f t="shared" si="9"/>
        <v>5514</v>
      </c>
      <c r="Q17" s="144">
        <v>4921660</v>
      </c>
      <c r="R17" s="95">
        <f t="shared" si="5"/>
        <v>6750</v>
      </c>
      <c r="S17" s="60">
        <v>53248</v>
      </c>
      <c r="T17" s="51">
        <f t="shared" si="6"/>
        <v>8</v>
      </c>
      <c r="U17" s="59">
        <v>33955</v>
      </c>
      <c r="V17" s="51">
        <f t="shared" si="6"/>
        <v>0</v>
      </c>
      <c r="W17" s="139">
        <v>9355926</v>
      </c>
      <c r="X17" s="51">
        <f t="shared" si="7"/>
        <v>4157</v>
      </c>
    </row>
    <row r="18" spans="1:24" ht="15" customHeight="1" x14ac:dyDescent="0.35">
      <c r="A18" s="69">
        <v>45362</v>
      </c>
      <c r="B18" s="139">
        <v>395</v>
      </c>
      <c r="C18" s="137">
        <v>1444309</v>
      </c>
      <c r="D18" s="63">
        <f t="shared" si="0"/>
        <v>7906</v>
      </c>
      <c r="E18" s="138">
        <v>32485452</v>
      </c>
      <c r="F18" s="58">
        <f t="shared" si="8"/>
        <v>3731</v>
      </c>
      <c r="G18" s="139">
        <v>48257313</v>
      </c>
      <c r="H18" s="58">
        <f t="shared" si="1"/>
        <v>6516</v>
      </c>
      <c r="I18" s="140">
        <v>2293458</v>
      </c>
      <c r="J18" s="74">
        <f t="shared" si="2"/>
        <v>2168</v>
      </c>
      <c r="K18" s="141">
        <v>9678110</v>
      </c>
      <c r="L18" s="51">
        <f t="shared" si="3"/>
        <v>3220</v>
      </c>
      <c r="M18" s="142">
        <v>5925100</v>
      </c>
      <c r="N18" s="51">
        <f t="shared" si="4"/>
        <v>1140</v>
      </c>
      <c r="O18" s="143">
        <v>373839</v>
      </c>
      <c r="P18" s="51">
        <f t="shared" si="9"/>
        <v>6029</v>
      </c>
      <c r="Q18" s="144">
        <v>4928410</v>
      </c>
      <c r="R18" s="95">
        <f t="shared" si="5"/>
        <v>6750</v>
      </c>
      <c r="S18" s="60">
        <v>53293</v>
      </c>
      <c r="T18" s="51">
        <f t="shared" si="6"/>
        <v>45</v>
      </c>
      <c r="U18" s="59">
        <v>33955</v>
      </c>
      <c r="V18" s="51">
        <f t="shared" si="6"/>
        <v>0</v>
      </c>
      <c r="W18" s="139">
        <v>9360066</v>
      </c>
      <c r="X18" s="51">
        <f t="shared" si="7"/>
        <v>4140</v>
      </c>
    </row>
    <row r="19" spans="1:24" ht="15" customHeight="1" x14ac:dyDescent="0.35">
      <c r="A19" s="69">
        <v>45363</v>
      </c>
      <c r="B19" s="139">
        <v>411</v>
      </c>
      <c r="C19" s="137">
        <v>1452705</v>
      </c>
      <c r="D19" s="63">
        <f t="shared" si="0"/>
        <v>8396</v>
      </c>
      <c r="E19" s="138">
        <v>32489058</v>
      </c>
      <c r="F19" s="58">
        <f t="shared" si="8"/>
        <v>3606</v>
      </c>
      <c r="G19" s="139">
        <v>48264287</v>
      </c>
      <c r="H19" s="58">
        <f t="shared" si="1"/>
        <v>6974</v>
      </c>
      <c r="I19" s="140">
        <v>2295740</v>
      </c>
      <c r="J19" s="74">
        <f t="shared" si="2"/>
        <v>2282</v>
      </c>
      <c r="K19" s="141">
        <v>9681200</v>
      </c>
      <c r="L19" s="51">
        <f t="shared" si="3"/>
        <v>3090</v>
      </c>
      <c r="M19" s="142">
        <v>5926210</v>
      </c>
      <c r="N19" s="51">
        <f t="shared" si="4"/>
        <v>1110</v>
      </c>
      <c r="O19" s="143">
        <v>379773</v>
      </c>
      <c r="P19" s="51">
        <f t="shared" si="9"/>
        <v>5934</v>
      </c>
      <c r="Q19" s="144">
        <v>4934540</v>
      </c>
      <c r="R19" s="95">
        <f t="shared" si="5"/>
        <v>6130</v>
      </c>
      <c r="S19" s="60">
        <v>53344</v>
      </c>
      <c r="T19" s="51">
        <f t="shared" si="6"/>
        <v>51</v>
      </c>
      <c r="U19" s="59">
        <v>33955</v>
      </c>
      <c r="V19" s="51">
        <f t="shared" si="6"/>
        <v>0</v>
      </c>
      <c r="W19" s="139">
        <v>9364241</v>
      </c>
      <c r="X19" s="51">
        <f t="shared" si="7"/>
        <v>4175</v>
      </c>
    </row>
    <row r="20" spans="1:24" ht="15" customHeight="1" x14ac:dyDescent="0.35">
      <c r="A20" s="69">
        <v>45364</v>
      </c>
      <c r="B20" s="139">
        <v>420</v>
      </c>
      <c r="C20" s="137">
        <v>1458796</v>
      </c>
      <c r="D20" s="63">
        <f t="shared" si="0"/>
        <v>6091</v>
      </c>
      <c r="E20" s="138">
        <v>32493890</v>
      </c>
      <c r="F20" s="58">
        <f t="shared" si="8"/>
        <v>4832</v>
      </c>
      <c r="G20" s="139">
        <v>48270591</v>
      </c>
      <c r="H20" s="58">
        <f t="shared" si="1"/>
        <v>6304</v>
      </c>
      <c r="I20" s="140">
        <v>2298053</v>
      </c>
      <c r="J20" s="74">
        <f t="shared" si="2"/>
        <v>2313</v>
      </c>
      <c r="K20" s="141">
        <v>9683960</v>
      </c>
      <c r="L20" s="51">
        <f t="shared" si="3"/>
        <v>2760</v>
      </c>
      <c r="M20" s="142">
        <v>5927370</v>
      </c>
      <c r="N20" s="51">
        <f t="shared" si="4"/>
        <v>1160</v>
      </c>
      <c r="O20" s="143">
        <v>386064</v>
      </c>
      <c r="P20" s="51">
        <f t="shared" si="9"/>
        <v>6291</v>
      </c>
      <c r="Q20" s="144">
        <v>4940740</v>
      </c>
      <c r="R20" s="95">
        <f t="shared" si="5"/>
        <v>6200</v>
      </c>
      <c r="S20" s="60">
        <v>53396</v>
      </c>
      <c r="T20" s="51">
        <f t="shared" si="6"/>
        <v>52</v>
      </c>
      <c r="U20" s="59">
        <v>33955</v>
      </c>
      <c r="V20" s="51">
        <f t="shared" si="6"/>
        <v>0</v>
      </c>
      <c r="W20" s="139">
        <v>9368398</v>
      </c>
      <c r="X20" s="51">
        <f t="shared" si="7"/>
        <v>4157</v>
      </c>
    </row>
    <row r="21" spans="1:24" ht="15" customHeight="1" x14ac:dyDescent="0.35">
      <c r="A21" s="69">
        <v>45365</v>
      </c>
      <c r="B21" s="139">
        <v>450</v>
      </c>
      <c r="C21" s="137">
        <v>1463094</v>
      </c>
      <c r="D21" s="63">
        <f t="shared" si="0"/>
        <v>4298</v>
      </c>
      <c r="E21" s="138">
        <v>32500360</v>
      </c>
      <c r="F21" s="58">
        <f t="shared" si="8"/>
        <v>6470</v>
      </c>
      <c r="G21" s="139">
        <v>48276773</v>
      </c>
      <c r="H21" s="58">
        <f t="shared" si="1"/>
        <v>6182</v>
      </c>
      <c r="I21" s="140">
        <v>2300356</v>
      </c>
      <c r="J21" s="61">
        <f>I21-I20</f>
        <v>2303</v>
      </c>
      <c r="K21" s="141">
        <v>9685680</v>
      </c>
      <c r="L21" s="51">
        <f t="shared" si="3"/>
        <v>1720</v>
      </c>
      <c r="M21" s="142">
        <v>5928460</v>
      </c>
      <c r="N21" s="51">
        <f t="shared" si="4"/>
        <v>1090</v>
      </c>
      <c r="O21" s="143">
        <v>392196</v>
      </c>
      <c r="P21" s="51">
        <f t="shared" si="9"/>
        <v>6132</v>
      </c>
      <c r="Q21" s="144">
        <v>4947150</v>
      </c>
      <c r="R21" s="95">
        <f t="shared" si="5"/>
        <v>6410</v>
      </c>
      <c r="S21" s="60">
        <v>53450</v>
      </c>
      <c r="T21" s="51">
        <f t="shared" si="6"/>
        <v>54</v>
      </c>
      <c r="U21" s="59">
        <v>33955</v>
      </c>
      <c r="V21" s="51">
        <f t="shared" si="6"/>
        <v>0</v>
      </c>
      <c r="W21" s="139">
        <v>9372563</v>
      </c>
      <c r="X21" s="51">
        <f t="shared" si="7"/>
        <v>4165</v>
      </c>
    </row>
    <row r="22" spans="1:24" ht="15" customHeight="1" x14ac:dyDescent="0.35">
      <c r="A22" s="69">
        <v>45366</v>
      </c>
      <c r="B22" s="139">
        <v>417</v>
      </c>
      <c r="C22" s="137">
        <v>1469524</v>
      </c>
      <c r="D22" s="63">
        <f t="shared" si="0"/>
        <v>6430</v>
      </c>
      <c r="E22" s="138">
        <v>32504416</v>
      </c>
      <c r="F22" s="58">
        <f t="shared" si="8"/>
        <v>4056</v>
      </c>
      <c r="G22" s="139">
        <v>48285460</v>
      </c>
      <c r="H22" s="51">
        <f t="shared" si="1"/>
        <v>8687</v>
      </c>
      <c r="I22" s="140">
        <v>2302688</v>
      </c>
      <c r="J22" s="61">
        <f t="shared" si="2"/>
        <v>2332</v>
      </c>
      <c r="K22" s="141">
        <v>9688100</v>
      </c>
      <c r="L22" s="51">
        <f t="shared" si="3"/>
        <v>2420</v>
      </c>
      <c r="M22" s="142">
        <v>5929580</v>
      </c>
      <c r="N22" s="51">
        <f t="shared" si="4"/>
        <v>1120</v>
      </c>
      <c r="O22" s="143">
        <v>398273</v>
      </c>
      <c r="P22" s="51">
        <f t="shared" si="9"/>
        <v>6077</v>
      </c>
      <c r="Q22" s="144">
        <v>4953420</v>
      </c>
      <c r="R22" s="95">
        <f t="shared" si="5"/>
        <v>6270</v>
      </c>
      <c r="S22" s="60">
        <v>53480</v>
      </c>
      <c r="T22" s="51">
        <f t="shared" si="6"/>
        <v>30</v>
      </c>
      <c r="U22" s="59">
        <v>33955</v>
      </c>
      <c r="V22" s="51">
        <f t="shared" si="6"/>
        <v>0</v>
      </c>
      <c r="W22" s="139">
        <v>9376666</v>
      </c>
      <c r="X22" s="51">
        <f t="shared" si="7"/>
        <v>4103</v>
      </c>
    </row>
    <row r="23" spans="1:24" ht="15" customHeight="1" x14ac:dyDescent="0.35">
      <c r="A23" s="69">
        <v>45367</v>
      </c>
      <c r="B23" s="139">
        <v>383</v>
      </c>
      <c r="C23" s="137">
        <v>1473195</v>
      </c>
      <c r="D23" s="63">
        <f t="shared" si="0"/>
        <v>3671</v>
      </c>
      <c r="E23" s="138">
        <v>32509484</v>
      </c>
      <c r="F23" s="58">
        <f t="shared" si="8"/>
        <v>5068</v>
      </c>
      <c r="G23" s="139">
        <v>48294711</v>
      </c>
      <c r="H23" s="51">
        <f t="shared" si="1"/>
        <v>9251</v>
      </c>
      <c r="I23" s="140">
        <v>2305076</v>
      </c>
      <c r="J23" s="61">
        <f t="shared" si="2"/>
        <v>2388</v>
      </c>
      <c r="K23" s="141">
        <v>9691420</v>
      </c>
      <c r="L23" s="51">
        <f t="shared" si="3"/>
        <v>3320</v>
      </c>
      <c r="M23" s="142">
        <v>5930740</v>
      </c>
      <c r="N23" s="51">
        <f t="shared" si="4"/>
        <v>1160</v>
      </c>
      <c r="O23" s="143">
        <v>404211</v>
      </c>
      <c r="P23" s="51">
        <f t="shared" si="9"/>
        <v>5938</v>
      </c>
      <c r="Q23" s="144">
        <v>4960050</v>
      </c>
      <c r="R23" s="95">
        <f t="shared" si="5"/>
        <v>6630</v>
      </c>
      <c r="S23" s="60">
        <v>53518</v>
      </c>
      <c r="T23" s="51">
        <f t="shared" si="6"/>
        <v>38</v>
      </c>
      <c r="U23" s="59">
        <v>33955</v>
      </c>
      <c r="V23" s="51">
        <f t="shared" si="6"/>
        <v>0</v>
      </c>
      <c r="W23" s="139">
        <v>9381059</v>
      </c>
      <c r="X23" s="51">
        <f t="shared" si="7"/>
        <v>4393</v>
      </c>
    </row>
    <row r="24" spans="1:24" ht="15" customHeight="1" x14ac:dyDescent="0.35">
      <c r="A24" s="69">
        <v>45368</v>
      </c>
      <c r="B24" s="139">
        <v>397</v>
      </c>
      <c r="C24" s="137">
        <v>1478863</v>
      </c>
      <c r="D24" s="63">
        <f t="shared" si="0"/>
        <v>5668</v>
      </c>
      <c r="E24" s="138">
        <v>32513311</v>
      </c>
      <c r="F24" s="58">
        <f t="shared" si="8"/>
        <v>3827</v>
      </c>
      <c r="G24" s="139">
        <v>48306727</v>
      </c>
      <c r="H24" s="58">
        <f t="shared" si="1"/>
        <v>12016</v>
      </c>
      <c r="I24" s="140">
        <v>2307538</v>
      </c>
      <c r="J24" s="61">
        <f t="shared" si="2"/>
        <v>2462</v>
      </c>
      <c r="K24" s="141">
        <v>9694550</v>
      </c>
      <c r="L24" s="51">
        <f t="shared" si="3"/>
        <v>3130</v>
      </c>
      <c r="M24" s="142">
        <v>5931820</v>
      </c>
      <c r="N24" s="51">
        <f t="shared" si="4"/>
        <v>1080</v>
      </c>
      <c r="O24" s="143">
        <v>409862</v>
      </c>
      <c r="P24" s="51">
        <f t="shared" si="9"/>
        <v>5651</v>
      </c>
      <c r="Q24" s="144">
        <v>4966310</v>
      </c>
      <c r="R24" s="95">
        <f t="shared" si="5"/>
        <v>6260</v>
      </c>
      <c r="S24" s="60">
        <v>53545</v>
      </c>
      <c r="T24" s="51">
        <f t="shared" si="6"/>
        <v>27</v>
      </c>
      <c r="U24" s="59">
        <v>33955</v>
      </c>
      <c r="V24" s="51">
        <f t="shared" si="6"/>
        <v>0</v>
      </c>
      <c r="W24" s="139">
        <v>9385364</v>
      </c>
      <c r="X24" s="51">
        <f t="shared" si="7"/>
        <v>4305</v>
      </c>
    </row>
    <row r="25" spans="1:24" ht="15" customHeight="1" x14ac:dyDescent="0.35">
      <c r="A25" s="69">
        <v>45369</v>
      </c>
      <c r="B25" s="139">
        <v>424</v>
      </c>
      <c r="C25" s="137">
        <v>1486707</v>
      </c>
      <c r="D25" s="63">
        <f t="shared" si="0"/>
        <v>7844</v>
      </c>
      <c r="E25" s="138">
        <v>32517977</v>
      </c>
      <c r="F25" s="58">
        <f t="shared" si="8"/>
        <v>4666</v>
      </c>
      <c r="G25" s="139">
        <v>48314622</v>
      </c>
      <c r="H25" s="58">
        <f t="shared" si="1"/>
        <v>7895</v>
      </c>
      <c r="I25" s="140">
        <v>2310427</v>
      </c>
      <c r="J25" s="51">
        <f t="shared" si="2"/>
        <v>2889</v>
      </c>
      <c r="K25" s="141">
        <v>9697660</v>
      </c>
      <c r="L25" s="51">
        <f t="shared" si="3"/>
        <v>3110</v>
      </c>
      <c r="M25" s="142">
        <v>5932910</v>
      </c>
      <c r="N25" s="51">
        <f t="shared" si="4"/>
        <v>1090</v>
      </c>
      <c r="O25" s="143">
        <v>415908</v>
      </c>
      <c r="P25" s="51">
        <f t="shared" si="9"/>
        <v>6046</v>
      </c>
      <c r="Q25" s="144">
        <v>4972680</v>
      </c>
      <c r="R25" s="95">
        <f t="shared" si="5"/>
        <v>6370</v>
      </c>
      <c r="S25" s="60">
        <v>53564</v>
      </c>
      <c r="T25" s="51">
        <f t="shared" si="6"/>
        <v>19</v>
      </c>
      <c r="U25" s="59">
        <v>33955</v>
      </c>
      <c r="V25" s="51">
        <f t="shared" si="6"/>
        <v>0</v>
      </c>
      <c r="W25" s="139">
        <v>9389895</v>
      </c>
      <c r="X25" s="51">
        <f t="shared" si="7"/>
        <v>4531</v>
      </c>
    </row>
    <row r="26" spans="1:24" ht="15" customHeight="1" x14ac:dyDescent="0.35">
      <c r="A26" s="69">
        <v>45370</v>
      </c>
      <c r="B26" s="139">
        <v>437</v>
      </c>
      <c r="C26" s="137">
        <v>1492787</v>
      </c>
      <c r="D26" s="63">
        <f t="shared" si="0"/>
        <v>6080</v>
      </c>
      <c r="E26" s="138">
        <v>32522371</v>
      </c>
      <c r="F26" s="58">
        <f t="shared" si="8"/>
        <v>4394</v>
      </c>
      <c r="G26" s="139">
        <v>48322655</v>
      </c>
      <c r="H26" s="58">
        <f t="shared" si="1"/>
        <v>8033</v>
      </c>
      <c r="I26" s="140">
        <v>2312220</v>
      </c>
      <c r="J26" s="51">
        <f t="shared" si="2"/>
        <v>1793</v>
      </c>
      <c r="K26" s="141">
        <v>9700380</v>
      </c>
      <c r="L26" s="51">
        <f t="shared" si="3"/>
        <v>2720</v>
      </c>
      <c r="M26" s="142">
        <v>5933980</v>
      </c>
      <c r="N26" s="51">
        <f t="shared" si="4"/>
        <v>1070</v>
      </c>
      <c r="O26" s="143">
        <v>421548</v>
      </c>
      <c r="P26" s="51">
        <f t="shared" si="9"/>
        <v>5640</v>
      </c>
      <c r="Q26" s="144">
        <v>4978440</v>
      </c>
      <c r="R26" s="95">
        <f t="shared" si="5"/>
        <v>5760</v>
      </c>
      <c r="S26" s="60">
        <v>53616</v>
      </c>
      <c r="T26" s="51">
        <f t="shared" si="6"/>
        <v>52</v>
      </c>
      <c r="U26" s="59">
        <v>33955</v>
      </c>
      <c r="V26" s="51">
        <f t="shared" si="6"/>
        <v>0</v>
      </c>
      <c r="W26" s="139">
        <v>9394496</v>
      </c>
      <c r="X26" s="51">
        <f t="shared" si="7"/>
        <v>4601</v>
      </c>
    </row>
    <row r="27" spans="1:24" ht="15" customHeight="1" x14ac:dyDescent="0.35">
      <c r="A27" s="69">
        <v>45371</v>
      </c>
      <c r="B27" s="139">
        <v>454</v>
      </c>
      <c r="C27" s="137">
        <v>1495046</v>
      </c>
      <c r="D27" s="63">
        <f>C27-C26</f>
        <v>2259</v>
      </c>
      <c r="E27" s="138">
        <v>32529383</v>
      </c>
      <c r="F27" s="58">
        <f t="shared" si="8"/>
        <v>7012</v>
      </c>
      <c r="G27" s="139">
        <v>48333508</v>
      </c>
      <c r="H27" s="58">
        <f t="shared" si="1"/>
        <v>10853</v>
      </c>
      <c r="I27" s="140">
        <v>2314637</v>
      </c>
      <c r="J27" s="51">
        <f t="shared" si="2"/>
        <v>2417</v>
      </c>
      <c r="K27" s="141">
        <v>9703480</v>
      </c>
      <c r="L27" s="51">
        <f t="shared" si="3"/>
        <v>3100</v>
      </c>
      <c r="M27" s="142">
        <v>5935020</v>
      </c>
      <c r="N27" s="51">
        <f t="shared" si="4"/>
        <v>1040</v>
      </c>
      <c r="O27" s="143">
        <v>427623</v>
      </c>
      <c r="P27" s="51">
        <f t="shared" si="9"/>
        <v>6075</v>
      </c>
      <c r="Q27" s="144">
        <v>4984380</v>
      </c>
      <c r="R27" s="95">
        <f t="shared" si="5"/>
        <v>5940</v>
      </c>
      <c r="S27" s="60">
        <v>53668</v>
      </c>
      <c r="T27" s="51">
        <f t="shared" si="6"/>
        <v>52</v>
      </c>
      <c r="U27" s="59">
        <v>33955</v>
      </c>
      <c r="V27" s="51">
        <f t="shared" si="6"/>
        <v>0</v>
      </c>
      <c r="W27" s="139">
        <v>9398829</v>
      </c>
      <c r="X27" s="51">
        <f t="shared" si="7"/>
        <v>4333</v>
      </c>
    </row>
    <row r="28" spans="1:24" ht="15" customHeight="1" x14ac:dyDescent="0.35">
      <c r="A28" s="69">
        <v>45372</v>
      </c>
      <c r="B28" s="139">
        <v>471</v>
      </c>
      <c r="C28" s="137">
        <v>1502412</v>
      </c>
      <c r="D28" s="63">
        <f t="shared" si="0"/>
        <v>7366</v>
      </c>
      <c r="E28" s="138">
        <v>32536705</v>
      </c>
      <c r="F28" s="58">
        <f t="shared" si="8"/>
        <v>7322</v>
      </c>
      <c r="G28" s="139">
        <v>48339403</v>
      </c>
      <c r="H28" s="63">
        <f t="shared" si="1"/>
        <v>5895</v>
      </c>
      <c r="I28" s="140">
        <v>2316979</v>
      </c>
      <c r="J28" s="55">
        <f t="shared" si="2"/>
        <v>2342</v>
      </c>
      <c r="K28" s="141">
        <v>9706890</v>
      </c>
      <c r="L28" s="55">
        <f t="shared" si="3"/>
        <v>3410</v>
      </c>
      <c r="M28" s="142">
        <v>5936170</v>
      </c>
      <c r="N28" s="55">
        <f t="shared" si="4"/>
        <v>1150</v>
      </c>
      <c r="O28" s="143">
        <v>433655</v>
      </c>
      <c r="P28" s="63">
        <f t="shared" si="9"/>
        <v>6032</v>
      </c>
      <c r="Q28" s="144">
        <v>4990860</v>
      </c>
      <c r="R28" s="95">
        <f t="shared" si="5"/>
        <v>6480</v>
      </c>
      <c r="S28" s="60">
        <v>53708</v>
      </c>
      <c r="T28" s="51">
        <f t="shared" si="6"/>
        <v>40</v>
      </c>
      <c r="U28" s="59">
        <v>33955</v>
      </c>
      <c r="V28" s="51">
        <f t="shared" si="6"/>
        <v>0</v>
      </c>
      <c r="W28" s="139">
        <v>9403575</v>
      </c>
      <c r="X28" s="51">
        <f t="shared" si="7"/>
        <v>4746</v>
      </c>
    </row>
    <row r="29" spans="1:24" ht="15" customHeight="1" x14ac:dyDescent="0.35">
      <c r="A29" s="69">
        <v>45373</v>
      </c>
      <c r="B29" s="139">
        <v>455</v>
      </c>
      <c r="C29" s="137">
        <v>1506591</v>
      </c>
      <c r="D29" s="63">
        <f t="shared" si="0"/>
        <v>4179</v>
      </c>
      <c r="E29" s="138">
        <v>32543628</v>
      </c>
      <c r="F29" s="63">
        <f t="shared" si="8"/>
        <v>6923</v>
      </c>
      <c r="G29" s="139">
        <v>48347647</v>
      </c>
      <c r="H29" s="63">
        <f t="shared" si="1"/>
        <v>8244</v>
      </c>
      <c r="I29" s="140">
        <v>2319346</v>
      </c>
      <c r="J29" s="63">
        <f t="shared" si="2"/>
        <v>2367</v>
      </c>
      <c r="K29" s="141">
        <v>9710380</v>
      </c>
      <c r="L29" s="63">
        <f t="shared" si="3"/>
        <v>3490</v>
      </c>
      <c r="M29" s="142">
        <v>5937370</v>
      </c>
      <c r="N29" s="63">
        <f t="shared" si="4"/>
        <v>1200</v>
      </c>
      <c r="O29" s="143">
        <v>440015</v>
      </c>
      <c r="P29" s="55">
        <f t="shared" si="9"/>
        <v>6360</v>
      </c>
      <c r="Q29" s="144">
        <v>4997700</v>
      </c>
      <c r="R29" s="95">
        <f t="shared" si="5"/>
        <v>6840</v>
      </c>
      <c r="S29" s="60">
        <v>53735</v>
      </c>
      <c r="T29" s="51">
        <f t="shared" si="6"/>
        <v>27</v>
      </c>
      <c r="U29" s="59">
        <v>33955</v>
      </c>
      <c r="V29" s="51">
        <f t="shared" si="6"/>
        <v>0</v>
      </c>
      <c r="W29" s="139">
        <v>9407993</v>
      </c>
      <c r="X29" s="51">
        <f t="shared" si="7"/>
        <v>4418</v>
      </c>
    </row>
    <row r="30" spans="1:24" ht="15" customHeight="1" x14ac:dyDescent="0.35">
      <c r="A30" s="69">
        <v>45374</v>
      </c>
      <c r="B30" s="139">
        <v>447</v>
      </c>
      <c r="C30" s="137">
        <v>1509025</v>
      </c>
      <c r="D30" s="63">
        <f t="shared" si="0"/>
        <v>2434</v>
      </c>
      <c r="E30" s="138">
        <v>32551321</v>
      </c>
      <c r="F30" s="63">
        <f t="shared" si="8"/>
        <v>7693</v>
      </c>
      <c r="G30" s="139">
        <v>48357006</v>
      </c>
      <c r="H30" s="63">
        <f t="shared" si="1"/>
        <v>9359</v>
      </c>
      <c r="I30" s="140">
        <v>2321512</v>
      </c>
      <c r="J30" s="63">
        <f t="shared" si="2"/>
        <v>2166</v>
      </c>
      <c r="K30" s="141">
        <v>9713750</v>
      </c>
      <c r="L30" s="63">
        <f t="shared" si="3"/>
        <v>3370</v>
      </c>
      <c r="M30" s="142">
        <v>5938460</v>
      </c>
      <c r="N30" s="63">
        <f t="shared" si="4"/>
        <v>1090</v>
      </c>
      <c r="O30" s="143">
        <v>446224</v>
      </c>
      <c r="P30" s="55">
        <f t="shared" si="9"/>
        <v>6209</v>
      </c>
      <c r="Q30" s="144">
        <v>5004610</v>
      </c>
      <c r="R30" s="95">
        <f t="shared" si="5"/>
        <v>6910</v>
      </c>
      <c r="S30" s="60">
        <v>53773</v>
      </c>
      <c r="T30" s="51">
        <f t="shared" si="6"/>
        <v>38</v>
      </c>
      <c r="U30" s="59">
        <v>33955</v>
      </c>
      <c r="V30" s="51">
        <f t="shared" si="6"/>
        <v>0</v>
      </c>
      <c r="W30" s="139">
        <v>9412525</v>
      </c>
      <c r="X30" s="51">
        <f t="shared" si="7"/>
        <v>4532</v>
      </c>
    </row>
    <row r="31" spans="1:24" ht="15" customHeight="1" x14ac:dyDescent="0.35">
      <c r="A31" s="69">
        <v>45375</v>
      </c>
      <c r="B31" s="139">
        <v>431</v>
      </c>
      <c r="C31" s="137">
        <v>1514467</v>
      </c>
      <c r="D31" s="63">
        <f t="shared" ref="D31:D38" si="10">C31-C30</f>
        <v>5442</v>
      </c>
      <c r="E31" s="138">
        <v>32558410</v>
      </c>
      <c r="F31" s="58">
        <f t="shared" si="8"/>
        <v>7089</v>
      </c>
      <c r="G31" s="139">
        <v>48363941</v>
      </c>
      <c r="H31" s="63">
        <f t="shared" si="1"/>
        <v>6935</v>
      </c>
      <c r="I31" s="140">
        <v>2323366</v>
      </c>
      <c r="J31" s="63">
        <f t="shared" si="2"/>
        <v>1854</v>
      </c>
      <c r="K31" s="141">
        <v>9717190</v>
      </c>
      <c r="L31" s="51">
        <f t="shared" si="3"/>
        <v>3440</v>
      </c>
      <c r="M31" s="142">
        <v>5939580</v>
      </c>
      <c r="N31" s="51">
        <f t="shared" si="4"/>
        <v>1120</v>
      </c>
      <c r="O31" s="143">
        <v>452283</v>
      </c>
      <c r="P31" s="51">
        <f t="shared" si="9"/>
        <v>6059</v>
      </c>
      <c r="Q31" s="144">
        <v>5011680</v>
      </c>
      <c r="R31" s="95">
        <f t="shared" si="5"/>
        <v>7070</v>
      </c>
      <c r="S31" s="60">
        <v>53795</v>
      </c>
      <c r="T31" s="51">
        <f t="shared" si="6"/>
        <v>22</v>
      </c>
      <c r="U31" s="59">
        <v>33955</v>
      </c>
      <c r="V31" s="51">
        <f t="shared" si="6"/>
        <v>0</v>
      </c>
      <c r="W31" s="139">
        <v>9417115</v>
      </c>
      <c r="X31" s="51">
        <f t="shared" si="7"/>
        <v>4590</v>
      </c>
    </row>
    <row r="32" spans="1:24" ht="15" customHeight="1" x14ac:dyDescent="0.35">
      <c r="A32" s="69">
        <v>45376</v>
      </c>
      <c r="B32" s="139">
        <v>451</v>
      </c>
      <c r="C32" s="137">
        <v>1521905</v>
      </c>
      <c r="D32" s="63">
        <f t="shared" si="10"/>
        <v>7438</v>
      </c>
      <c r="E32" s="138">
        <v>32563387</v>
      </c>
      <c r="F32" s="58">
        <f t="shared" si="8"/>
        <v>4977</v>
      </c>
      <c r="G32" s="139">
        <v>48372974</v>
      </c>
      <c r="H32" s="58">
        <f t="shared" ref="H32:H38" si="11">G32-G31</f>
        <v>9033</v>
      </c>
      <c r="I32" s="140">
        <v>2325349</v>
      </c>
      <c r="J32" s="51">
        <f t="shared" si="2"/>
        <v>1983</v>
      </c>
      <c r="K32" s="141">
        <v>9720270</v>
      </c>
      <c r="L32" s="51">
        <f t="shared" si="3"/>
        <v>3080</v>
      </c>
      <c r="M32" s="142">
        <v>5940660</v>
      </c>
      <c r="N32" s="51">
        <f t="shared" si="4"/>
        <v>1080</v>
      </c>
      <c r="O32" s="143">
        <v>458100</v>
      </c>
      <c r="P32" s="51">
        <f t="shared" si="9"/>
        <v>5817</v>
      </c>
      <c r="Q32" s="144">
        <v>5017930</v>
      </c>
      <c r="R32" s="95">
        <f t="shared" si="5"/>
        <v>6250</v>
      </c>
      <c r="S32" s="60">
        <v>53825</v>
      </c>
      <c r="T32" s="51">
        <f t="shared" si="6"/>
        <v>30</v>
      </c>
      <c r="U32" s="59">
        <v>33955</v>
      </c>
      <c r="V32" s="51">
        <f t="shared" si="6"/>
        <v>0</v>
      </c>
      <c r="W32" s="139">
        <v>9421662</v>
      </c>
      <c r="X32" s="51">
        <f t="shared" si="7"/>
        <v>4547</v>
      </c>
    </row>
    <row r="33" spans="1:24" ht="15" customHeight="1" x14ac:dyDescent="0.35">
      <c r="A33" s="69">
        <v>45377</v>
      </c>
      <c r="B33" s="139">
        <v>463</v>
      </c>
      <c r="C33" s="137">
        <v>1524233</v>
      </c>
      <c r="D33" s="63">
        <f t="shared" si="10"/>
        <v>2328</v>
      </c>
      <c r="E33" s="138">
        <v>32570868</v>
      </c>
      <c r="F33" s="58">
        <f t="shared" si="8"/>
        <v>7481</v>
      </c>
      <c r="G33" s="139">
        <v>48384323</v>
      </c>
      <c r="H33" s="58">
        <f t="shared" si="11"/>
        <v>11349</v>
      </c>
      <c r="I33" s="140">
        <v>2327583</v>
      </c>
      <c r="J33" s="51">
        <f t="shared" si="2"/>
        <v>2234</v>
      </c>
      <c r="K33" s="141">
        <v>9723530</v>
      </c>
      <c r="L33" s="51">
        <f t="shared" si="3"/>
        <v>3260</v>
      </c>
      <c r="M33" s="142">
        <v>5941730</v>
      </c>
      <c r="N33" s="51">
        <f t="shared" si="4"/>
        <v>1070</v>
      </c>
      <c r="O33" s="143">
        <v>463907</v>
      </c>
      <c r="P33" s="51">
        <f t="shared" si="9"/>
        <v>5807</v>
      </c>
      <c r="Q33" s="144">
        <v>5024540</v>
      </c>
      <c r="R33" s="95">
        <f t="shared" si="5"/>
        <v>6610</v>
      </c>
      <c r="S33" s="60">
        <v>53876</v>
      </c>
      <c r="T33" s="51">
        <f t="shared" si="6"/>
        <v>51</v>
      </c>
      <c r="U33" s="59">
        <v>33955</v>
      </c>
      <c r="V33" s="51">
        <f t="shared" si="6"/>
        <v>0</v>
      </c>
      <c r="W33" s="139">
        <v>9426437</v>
      </c>
      <c r="X33" s="51">
        <f t="shared" si="7"/>
        <v>4775</v>
      </c>
    </row>
    <row r="34" spans="1:24" ht="15" customHeight="1" x14ac:dyDescent="0.35">
      <c r="A34" s="69">
        <v>45378</v>
      </c>
      <c r="B34" s="139">
        <v>481</v>
      </c>
      <c r="C34" s="137">
        <v>1527161</v>
      </c>
      <c r="D34" s="63">
        <f t="shared" si="10"/>
        <v>2928</v>
      </c>
      <c r="E34" s="138">
        <v>32577109</v>
      </c>
      <c r="F34" s="58">
        <f t="shared" si="8"/>
        <v>6241</v>
      </c>
      <c r="G34" s="139">
        <v>48392797</v>
      </c>
      <c r="H34" s="58">
        <f t="shared" si="11"/>
        <v>8474</v>
      </c>
      <c r="I34" s="140">
        <v>2329797</v>
      </c>
      <c r="J34" s="51">
        <f t="shared" si="2"/>
        <v>2214</v>
      </c>
      <c r="K34" s="141">
        <v>9726710</v>
      </c>
      <c r="L34" s="51">
        <f t="shared" si="3"/>
        <v>3180</v>
      </c>
      <c r="M34" s="142">
        <v>5942860</v>
      </c>
      <c r="N34" s="51">
        <f t="shared" si="4"/>
        <v>1130</v>
      </c>
      <c r="O34" s="143">
        <v>469962</v>
      </c>
      <c r="P34" s="51">
        <f t="shared" si="9"/>
        <v>6055</v>
      </c>
      <c r="Q34" s="144">
        <v>5031160</v>
      </c>
      <c r="R34" s="95">
        <f t="shared" si="5"/>
        <v>6620</v>
      </c>
      <c r="S34" s="60">
        <v>53933</v>
      </c>
      <c r="T34" s="51">
        <f t="shared" si="6"/>
        <v>57</v>
      </c>
      <c r="U34" s="59">
        <v>33955</v>
      </c>
      <c r="V34" s="51">
        <f t="shared" si="6"/>
        <v>0</v>
      </c>
      <c r="W34" s="139">
        <v>9431129</v>
      </c>
      <c r="X34" s="51">
        <f t="shared" si="7"/>
        <v>4692</v>
      </c>
    </row>
    <row r="35" spans="1:24" s="44" customFormat="1" ht="15" customHeight="1" x14ac:dyDescent="0.35">
      <c r="A35" s="69">
        <v>45379</v>
      </c>
      <c r="B35" s="139">
        <v>478</v>
      </c>
      <c r="C35" s="137">
        <v>1532234</v>
      </c>
      <c r="D35" s="63">
        <f t="shared" si="10"/>
        <v>5073</v>
      </c>
      <c r="E35" s="138">
        <v>32583129</v>
      </c>
      <c r="F35" s="58">
        <f t="shared" si="8"/>
        <v>6020</v>
      </c>
      <c r="G35" s="139">
        <v>48398740</v>
      </c>
      <c r="H35" s="58">
        <f t="shared" si="11"/>
        <v>5943</v>
      </c>
      <c r="I35" s="140">
        <v>2331990</v>
      </c>
      <c r="J35" s="51">
        <f t="shared" si="2"/>
        <v>2193</v>
      </c>
      <c r="K35" s="141">
        <v>9730100</v>
      </c>
      <c r="L35" s="51">
        <f t="shared" si="3"/>
        <v>3390</v>
      </c>
      <c r="M35" s="142">
        <v>5944060</v>
      </c>
      <c r="N35" s="51">
        <f t="shared" si="4"/>
        <v>1200</v>
      </c>
      <c r="O35" s="143">
        <v>475832</v>
      </c>
      <c r="P35" s="61">
        <f t="shared" si="9"/>
        <v>5870</v>
      </c>
      <c r="Q35" s="144">
        <v>5037720</v>
      </c>
      <c r="R35" s="95">
        <f t="shared" si="5"/>
        <v>6560</v>
      </c>
      <c r="S35" s="60">
        <v>53984</v>
      </c>
      <c r="T35" s="51">
        <f t="shared" si="6"/>
        <v>51</v>
      </c>
      <c r="U35" s="59">
        <v>33955</v>
      </c>
      <c r="V35" s="51">
        <f t="shared" si="6"/>
        <v>0</v>
      </c>
      <c r="W35" s="139">
        <v>9435931</v>
      </c>
      <c r="X35" s="51">
        <f>W35-W34</f>
        <v>4802</v>
      </c>
    </row>
    <row r="36" spans="1:24" s="44" customFormat="1" ht="15" customHeight="1" x14ac:dyDescent="0.35">
      <c r="A36" s="69">
        <v>45380</v>
      </c>
      <c r="B36" s="139">
        <v>441</v>
      </c>
      <c r="C36" s="137">
        <v>1538288</v>
      </c>
      <c r="D36" s="63">
        <f t="shared" si="10"/>
        <v>6054</v>
      </c>
      <c r="E36" s="138">
        <v>32587908</v>
      </c>
      <c r="F36" s="58">
        <f t="shared" si="8"/>
        <v>4779</v>
      </c>
      <c r="G36" s="139">
        <v>48405838</v>
      </c>
      <c r="H36" s="58">
        <f t="shared" si="11"/>
        <v>7098</v>
      </c>
      <c r="I36" s="140">
        <v>2334235</v>
      </c>
      <c r="J36" s="51">
        <f t="shared" si="2"/>
        <v>2245</v>
      </c>
      <c r="K36" s="141">
        <v>9733610</v>
      </c>
      <c r="L36" s="51">
        <f t="shared" si="3"/>
        <v>3510</v>
      </c>
      <c r="M36" s="142">
        <v>5945140</v>
      </c>
      <c r="N36" s="51">
        <f t="shared" si="4"/>
        <v>1080</v>
      </c>
      <c r="O36" s="143">
        <v>481659</v>
      </c>
      <c r="P36" s="61">
        <f t="shared" si="9"/>
        <v>5827</v>
      </c>
      <c r="Q36" s="144">
        <v>5044340</v>
      </c>
      <c r="R36" s="95">
        <f t="shared" si="5"/>
        <v>6620</v>
      </c>
      <c r="S36" s="60">
        <v>54066</v>
      </c>
      <c r="T36" s="51">
        <f t="shared" si="6"/>
        <v>82</v>
      </c>
      <c r="U36" s="59">
        <v>33955</v>
      </c>
      <c r="V36" s="51">
        <f t="shared" si="6"/>
        <v>0</v>
      </c>
      <c r="W36" s="139">
        <v>9440456</v>
      </c>
      <c r="X36" s="51">
        <f>W36-W35</f>
        <v>4525</v>
      </c>
    </row>
    <row r="37" spans="1:24" s="44" customFormat="1" ht="15" customHeight="1" x14ac:dyDescent="0.35">
      <c r="A37" s="69">
        <v>45381</v>
      </c>
      <c r="B37" s="139">
        <v>426</v>
      </c>
      <c r="C37" s="178">
        <v>1542853</v>
      </c>
      <c r="D37" s="63">
        <f t="shared" si="10"/>
        <v>4565</v>
      </c>
      <c r="E37" s="179">
        <v>32593590</v>
      </c>
      <c r="F37" s="58">
        <f t="shared" si="8"/>
        <v>5682</v>
      </c>
      <c r="G37" s="180">
        <v>48413596</v>
      </c>
      <c r="H37" s="58">
        <f t="shared" si="11"/>
        <v>7758</v>
      </c>
      <c r="I37" s="181">
        <v>2336441</v>
      </c>
      <c r="J37" s="51">
        <f t="shared" si="2"/>
        <v>2206</v>
      </c>
      <c r="K37" s="183">
        <v>9737060</v>
      </c>
      <c r="L37" s="51">
        <f t="shared" si="3"/>
        <v>3450</v>
      </c>
      <c r="M37" s="184">
        <v>5946520</v>
      </c>
      <c r="N37" s="51">
        <f t="shared" si="4"/>
        <v>1380</v>
      </c>
      <c r="O37" s="180">
        <v>487424</v>
      </c>
      <c r="P37" s="61">
        <f t="shared" si="9"/>
        <v>5765</v>
      </c>
      <c r="Q37" s="185">
        <v>5050930</v>
      </c>
      <c r="R37" s="95">
        <f t="shared" si="5"/>
        <v>6590</v>
      </c>
      <c r="S37" s="152">
        <v>54115</v>
      </c>
      <c r="T37" s="51">
        <f t="shared" si="6"/>
        <v>49</v>
      </c>
      <c r="U37" s="59">
        <v>33955</v>
      </c>
      <c r="V37" s="51">
        <f t="shared" si="6"/>
        <v>0</v>
      </c>
      <c r="W37" s="186">
        <v>9445107</v>
      </c>
      <c r="X37" s="51">
        <f>W37-W36</f>
        <v>4651</v>
      </c>
    </row>
    <row r="38" spans="1:24" s="44" customFormat="1" ht="15" customHeight="1" x14ac:dyDescent="0.35">
      <c r="A38" s="69">
        <v>45382</v>
      </c>
      <c r="B38" s="139">
        <v>419</v>
      </c>
      <c r="C38" s="144">
        <v>1546020</v>
      </c>
      <c r="D38" s="63">
        <f t="shared" si="10"/>
        <v>3167</v>
      </c>
      <c r="E38" s="138">
        <v>32602953</v>
      </c>
      <c r="F38" s="58">
        <f t="shared" si="8"/>
        <v>9363</v>
      </c>
      <c r="G38" s="139">
        <v>48418162</v>
      </c>
      <c r="H38" s="58">
        <f t="shared" si="11"/>
        <v>4566</v>
      </c>
      <c r="I38" s="182">
        <v>2338519</v>
      </c>
      <c r="J38" s="51">
        <f t="shared" si="2"/>
        <v>2078</v>
      </c>
      <c r="K38" s="141">
        <v>9739950</v>
      </c>
      <c r="L38" s="51">
        <f t="shared" si="3"/>
        <v>2890</v>
      </c>
      <c r="M38" s="144">
        <v>5947420</v>
      </c>
      <c r="N38" s="51">
        <f t="shared" si="4"/>
        <v>900</v>
      </c>
      <c r="O38" s="139">
        <v>493131</v>
      </c>
      <c r="P38" s="61">
        <f t="shared" si="9"/>
        <v>5707</v>
      </c>
      <c r="Q38" s="144">
        <v>5057010</v>
      </c>
      <c r="R38" s="95">
        <f t="shared" si="5"/>
        <v>6080</v>
      </c>
      <c r="S38" s="117">
        <v>54137</v>
      </c>
      <c r="T38" s="51">
        <f t="shared" si="6"/>
        <v>22</v>
      </c>
      <c r="U38" s="59">
        <v>33955</v>
      </c>
      <c r="V38" s="51">
        <f t="shared" si="6"/>
        <v>0</v>
      </c>
      <c r="W38" s="139">
        <v>9449834</v>
      </c>
      <c r="X38" s="51">
        <f>W38-W37</f>
        <v>4727</v>
      </c>
    </row>
    <row r="39" spans="1:24" s="25" customFormat="1" ht="15" customHeight="1" x14ac:dyDescent="0.4">
      <c r="A39" s="28" t="s">
        <v>5</v>
      </c>
      <c r="B39" s="28"/>
      <c r="C39" s="26"/>
      <c r="D39" s="27">
        <f>SUM(D8:D38)</f>
        <v>157101</v>
      </c>
      <c r="E39" s="26"/>
      <c r="F39" s="27">
        <f>SUM(F3:F38)</f>
        <v>164532</v>
      </c>
      <c r="G39" s="26"/>
      <c r="H39" s="27">
        <f>SUM(H8:H38)</f>
        <v>256062</v>
      </c>
      <c r="I39" s="116"/>
      <c r="J39" s="27">
        <f>SUM(J8:J38)</f>
        <v>69714</v>
      </c>
      <c r="K39" s="26"/>
      <c r="L39" s="27">
        <f>SUM(L8:L38)</f>
        <v>96590</v>
      </c>
      <c r="M39" s="26"/>
      <c r="N39" s="27">
        <f>SUM(N8:N38)</f>
        <v>34950</v>
      </c>
      <c r="O39" s="26"/>
      <c r="P39" s="27">
        <f>SUM(P8:P38)</f>
        <v>187883</v>
      </c>
      <c r="Q39" s="26"/>
      <c r="R39" s="27">
        <f>SUM(R8:R38)</f>
        <v>201470</v>
      </c>
      <c r="S39" s="26"/>
      <c r="T39" s="27">
        <f>SUM(T8:T38)</f>
        <v>1285</v>
      </c>
      <c r="U39" s="26"/>
      <c r="V39" s="27">
        <f>SUM(V8:V38)</f>
        <v>0</v>
      </c>
      <c r="W39" s="26"/>
      <c r="X39" s="27">
        <f>SUM(X8:X38)</f>
        <v>136799</v>
      </c>
    </row>
    <row r="40" spans="1:24" ht="15" customHeight="1" x14ac:dyDescent="0.4">
      <c r="D40" s="35"/>
      <c r="F40" s="35"/>
      <c r="G40" s="7"/>
      <c r="H40" s="35"/>
      <c r="J40" s="35"/>
      <c r="L40" s="35"/>
      <c r="N40" s="35"/>
      <c r="P40" s="35"/>
      <c r="Q40" s="23"/>
      <c r="R40" s="35"/>
      <c r="T40" s="35"/>
    </row>
    <row r="41" spans="1:24" ht="15" customHeight="1" x14ac:dyDescent="0.35">
      <c r="G41" s="7"/>
      <c r="Q41" s="23"/>
    </row>
    <row r="42" spans="1:24" ht="15" customHeight="1" x14ac:dyDescent="0.4">
      <c r="A42" s="10" t="s">
        <v>24</v>
      </c>
      <c r="B42" s="10"/>
      <c r="E42" s="39"/>
      <c r="F42" s="39"/>
      <c r="H42" s="3"/>
      <c r="Q42" s="23"/>
    </row>
    <row r="43" spans="1:24" ht="15" customHeight="1" x14ac:dyDescent="0.35">
      <c r="A43" s="10" t="s">
        <v>23</v>
      </c>
      <c r="B43" s="10"/>
      <c r="E43" s="44"/>
      <c r="F43" s="39"/>
    </row>
    <row r="44" spans="1:24" ht="25.15" customHeight="1" x14ac:dyDescent="0.35"/>
    <row r="45" spans="1:24" ht="12" customHeight="1" x14ac:dyDescent="0.4">
      <c r="A45" s="73" t="s">
        <v>54</v>
      </c>
      <c r="B45" s="73"/>
      <c r="C45" s="42"/>
    </row>
    <row r="46" spans="1:24" x14ac:dyDescent="0.35">
      <c r="A46" s="73"/>
      <c r="B46" s="73"/>
    </row>
  </sheetData>
  <sheetProtection selectLockedCells="1" selectUnlockedCells="1"/>
  <customSheetViews>
    <customSheetView guid="{BBA05217-DB7A-4BBE-8392-822CC156171C}" scale="75" showPageBreaks="1" hiddenColumns="1" showRuler="0">
      <pane xSplit="1" ySplit="6" topLeftCell="B7" activePane="bottomRight" state="frozen"/>
      <selection pane="bottomRight" activeCell="I14" sqref="I14"/>
      <pageMargins left="0.25" right="0" top="0.25" bottom="0.25" header="0.5" footer="0.5"/>
      <printOptions horizontalCentered="1"/>
      <pageSetup paperSize="9" scale="70" orientation="landscape" horizontalDpi="300" verticalDpi="300" r:id="rId1"/>
      <headerFooter alignWithMargins="0"/>
    </customSheetView>
  </customSheetViews>
  <mergeCells count="18">
    <mergeCell ref="W5:X6"/>
    <mergeCell ref="A1:U1"/>
    <mergeCell ref="A2:U2"/>
    <mergeCell ref="A3:U3"/>
    <mergeCell ref="A5:A7"/>
    <mergeCell ref="K5:L6"/>
    <mergeCell ref="C6:D6"/>
    <mergeCell ref="E6:F6"/>
    <mergeCell ref="O6:P6"/>
    <mergeCell ref="M5:R5"/>
    <mergeCell ref="M6:N6"/>
    <mergeCell ref="G6:H6"/>
    <mergeCell ref="I5:J6"/>
    <mergeCell ref="C5:H5"/>
    <mergeCell ref="A4:U4"/>
    <mergeCell ref="S5:T6"/>
    <mergeCell ref="Q6:R6"/>
    <mergeCell ref="U5:V6"/>
  </mergeCells>
  <phoneticPr fontId="0" type="noConversion"/>
  <printOptions horizontalCentered="1"/>
  <pageMargins left="0.23622047244094491" right="0" top="0.62992125984251968" bottom="0.23622047244094491" header="0.51181102362204722" footer="0.51181102362204722"/>
  <pageSetup paperSize="9" scale="54" orientation="landscape" r:id="rId2"/>
  <headerFooter alignWithMargins="0"/>
  <colBreaks count="1" manualBreakCount="1">
    <brk id="23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T47"/>
  <sheetViews>
    <sheetView zoomScaleNormal="100" zoomScaleSheetLayoutView="85" workbookViewId="0">
      <pane ySplit="7" topLeftCell="A8" activePane="bottomLeft" state="frozen"/>
      <selection activeCell="W38" sqref="W38"/>
      <selection pane="bottomLeft" activeCell="A8" sqref="A8"/>
    </sheetView>
  </sheetViews>
  <sheetFormatPr defaultRowHeight="12.75" x14ac:dyDescent="0.35"/>
  <cols>
    <col min="1" max="1" width="8" style="21" customWidth="1"/>
    <col min="2" max="2" width="9.73046875" customWidth="1"/>
    <col min="3" max="3" width="10.73046875" customWidth="1"/>
    <col min="4" max="4" width="9.73046875" customWidth="1"/>
    <col min="5" max="5" width="10.1328125" customWidth="1"/>
    <col min="6" max="6" width="9.73046875" customWidth="1"/>
    <col min="7" max="7" width="10.59765625" customWidth="1"/>
    <col min="8" max="8" width="9.73046875" hidden="1" customWidth="1"/>
    <col min="9" max="9" width="8.86328125" hidden="1" customWidth="1"/>
    <col min="11" max="11" width="10.86328125" customWidth="1"/>
    <col min="12" max="12" width="9.73046875" customWidth="1"/>
    <col min="13" max="13" width="10.59765625" customWidth="1"/>
    <col min="14" max="14" width="9.73046875" customWidth="1"/>
    <col min="15" max="15" width="10.59765625" style="2" customWidth="1"/>
    <col min="16" max="16" width="10.265625" customWidth="1"/>
    <col min="17" max="17" width="10.59765625" customWidth="1"/>
    <col min="18" max="18" width="8.59765625" hidden="1" customWidth="1"/>
    <col min="19" max="19" width="0.1328125" hidden="1" customWidth="1"/>
    <col min="20" max="20" width="8" style="2" customWidth="1"/>
  </cols>
  <sheetData>
    <row r="1" spans="1:20" ht="17.649999999999999" x14ac:dyDescent="0.5">
      <c r="A1" s="221" t="s">
        <v>51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</row>
    <row r="2" spans="1:20" ht="15" x14ac:dyDescent="0.4">
      <c r="A2" s="222" t="s">
        <v>14</v>
      </c>
      <c r="B2" s="222"/>
      <c r="C2" s="222"/>
      <c r="D2" s="222"/>
      <c r="E2" s="222"/>
      <c r="F2" s="222"/>
      <c r="G2" s="222"/>
      <c r="H2" s="222"/>
      <c r="I2" s="222"/>
      <c r="J2" s="222"/>
      <c r="K2" s="222"/>
      <c r="L2" s="222"/>
      <c r="M2" s="222"/>
      <c r="N2" s="222"/>
      <c r="O2" s="222"/>
      <c r="P2" s="222"/>
      <c r="Q2" s="222"/>
      <c r="R2" s="222"/>
      <c r="S2" s="222"/>
      <c r="T2" s="222"/>
    </row>
    <row r="3" spans="1:20" ht="15" x14ac:dyDescent="0.4">
      <c r="A3" s="223" t="s">
        <v>55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</row>
    <row r="4" spans="1:20" x14ac:dyDescent="0.35">
      <c r="A4" s="234"/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</row>
    <row r="5" spans="1:20" ht="15" customHeight="1" x14ac:dyDescent="0.4">
      <c r="A5" s="231" t="s">
        <v>0</v>
      </c>
      <c r="B5" s="218" t="s">
        <v>15</v>
      </c>
      <c r="C5" s="219"/>
      <c r="D5" s="219"/>
      <c r="E5" s="220"/>
      <c r="F5" s="193" t="s">
        <v>25</v>
      </c>
      <c r="G5" s="199"/>
      <c r="H5" s="199"/>
      <c r="I5" s="194"/>
      <c r="J5" s="213" t="s">
        <v>16</v>
      </c>
      <c r="K5" s="214"/>
      <c r="L5" s="214"/>
      <c r="M5" s="214"/>
      <c r="N5" s="214"/>
      <c r="O5" s="230"/>
      <c r="P5" s="213" t="s">
        <v>34</v>
      </c>
      <c r="Q5" s="230"/>
      <c r="R5" s="193" t="s">
        <v>19</v>
      </c>
      <c r="S5" s="199"/>
      <c r="T5" s="136"/>
    </row>
    <row r="6" spans="1:20" ht="15" customHeight="1" x14ac:dyDescent="0.4">
      <c r="A6" s="232"/>
      <c r="B6" s="235" t="s">
        <v>2</v>
      </c>
      <c r="C6" s="236"/>
      <c r="D6" s="218" t="s">
        <v>17</v>
      </c>
      <c r="E6" s="220"/>
      <c r="F6" s="197" t="s">
        <v>26</v>
      </c>
      <c r="G6" s="197"/>
      <c r="H6" s="197" t="s">
        <v>27</v>
      </c>
      <c r="I6" s="197"/>
      <c r="J6" s="226" t="s">
        <v>35</v>
      </c>
      <c r="K6" s="227"/>
      <c r="L6" s="228" t="s">
        <v>36</v>
      </c>
      <c r="M6" s="229"/>
      <c r="N6" s="224" t="s">
        <v>28</v>
      </c>
      <c r="O6" s="225"/>
      <c r="P6" s="237"/>
      <c r="Q6" s="238"/>
      <c r="R6" s="195"/>
      <c r="S6" s="200"/>
      <c r="T6" s="136"/>
    </row>
    <row r="7" spans="1:20" ht="15" customHeight="1" x14ac:dyDescent="0.4">
      <c r="A7" s="233"/>
      <c r="B7" s="102" t="s">
        <v>21</v>
      </c>
      <c r="C7" s="103" t="s">
        <v>22</v>
      </c>
      <c r="D7" s="103" t="s">
        <v>21</v>
      </c>
      <c r="E7" s="103" t="s">
        <v>22</v>
      </c>
      <c r="F7" s="102" t="s">
        <v>21</v>
      </c>
      <c r="G7" s="104" t="s">
        <v>22</v>
      </c>
      <c r="H7" s="102" t="s">
        <v>21</v>
      </c>
      <c r="I7" s="102" t="s">
        <v>22</v>
      </c>
      <c r="J7" s="105" t="s">
        <v>21</v>
      </c>
      <c r="K7" s="105" t="s">
        <v>22</v>
      </c>
      <c r="L7" s="106" t="s">
        <v>21</v>
      </c>
      <c r="M7" s="106" t="s">
        <v>22</v>
      </c>
      <c r="N7" s="106" t="s">
        <v>21</v>
      </c>
      <c r="O7" s="106" t="s">
        <v>22</v>
      </c>
      <c r="P7" s="107" t="s">
        <v>21</v>
      </c>
      <c r="Q7" s="102" t="s">
        <v>22</v>
      </c>
      <c r="R7" s="8" t="s">
        <v>21</v>
      </c>
      <c r="S7" s="31" t="s">
        <v>22</v>
      </c>
      <c r="T7" s="33"/>
    </row>
    <row r="8" spans="1:20" s="7" customFormat="1" ht="15" customHeight="1" x14ac:dyDescent="0.35">
      <c r="A8" s="69">
        <v>45352</v>
      </c>
      <c r="B8" s="145">
        <v>192798</v>
      </c>
      <c r="C8" s="98">
        <f>B8-192629</f>
        <v>169</v>
      </c>
      <c r="D8" s="145">
        <v>380105</v>
      </c>
      <c r="E8" s="96">
        <f>D8-380039</f>
        <v>66</v>
      </c>
      <c r="F8" s="145">
        <v>91335</v>
      </c>
      <c r="G8" s="55">
        <f>F8-91192</f>
        <v>143</v>
      </c>
      <c r="H8" s="97"/>
      <c r="I8" s="97"/>
      <c r="J8" s="61">
        <v>376834</v>
      </c>
      <c r="K8" s="60">
        <f>J8-376834</f>
        <v>0</v>
      </c>
      <c r="L8" s="145">
        <v>102044</v>
      </c>
      <c r="M8" s="77">
        <f>L8-102002</f>
        <v>42</v>
      </c>
      <c r="N8" s="145">
        <v>81700</v>
      </c>
      <c r="O8" s="51">
        <f>N8-81620</f>
        <v>80</v>
      </c>
      <c r="P8" s="145">
        <v>178564</v>
      </c>
      <c r="Q8" s="51">
        <f>P8-178514</f>
        <v>50</v>
      </c>
      <c r="R8" s="11"/>
      <c r="S8" s="32">
        <f>R8-23357</f>
        <v>-23357</v>
      </c>
      <c r="T8" s="36"/>
    </row>
    <row r="9" spans="1:20" s="7" customFormat="1" ht="15" customHeight="1" x14ac:dyDescent="0.35">
      <c r="A9" s="69">
        <v>45353</v>
      </c>
      <c r="B9" s="145">
        <v>192964</v>
      </c>
      <c r="C9" s="98">
        <f>B9-B8</f>
        <v>166</v>
      </c>
      <c r="D9" s="146">
        <v>380129</v>
      </c>
      <c r="E9" s="96">
        <f>D9-D8</f>
        <v>24</v>
      </c>
      <c r="F9" s="148">
        <v>91455</v>
      </c>
      <c r="G9" s="55">
        <f t="shared" ref="G9:G26" si="0">F9-F8</f>
        <v>120</v>
      </c>
      <c r="H9" s="99"/>
      <c r="I9" s="99"/>
      <c r="J9" s="61">
        <v>376834</v>
      </c>
      <c r="K9" s="51">
        <f>J9-J8</f>
        <v>0</v>
      </c>
      <c r="L9" s="146">
        <v>102092</v>
      </c>
      <c r="M9" s="77">
        <f>L9-L8</f>
        <v>48</v>
      </c>
      <c r="N9" s="146">
        <v>81790</v>
      </c>
      <c r="O9" s="51">
        <f t="shared" ref="O9:O25" si="1">N9-N8</f>
        <v>90</v>
      </c>
      <c r="P9" s="147">
        <v>178627</v>
      </c>
      <c r="Q9" s="51">
        <f t="shared" ref="Q9:Q25" si="2">P9-P8</f>
        <v>63</v>
      </c>
      <c r="R9" s="11"/>
      <c r="S9" s="32"/>
      <c r="T9" s="30"/>
    </row>
    <row r="10" spans="1:20" ht="15" customHeight="1" x14ac:dyDescent="0.35">
      <c r="A10" s="69">
        <v>45354</v>
      </c>
      <c r="B10" s="145">
        <v>193132</v>
      </c>
      <c r="C10" s="98">
        <f>B10-B9</f>
        <v>168</v>
      </c>
      <c r="D10" s="146">
        <v>380129</v>
      </c>
      <c r="E10" s="51">
        <f t="shared" ref="E10:E38" si="3">D10-D9</f>
        <v>0</v>
      </c>
      <c r="F10" s="148">
        <v>91583</v>
      </c>
      <c r="G10" s="55">
        <f t="shared" si="0"/>
        <v>128</v>
      </c>
      <c r="H10" s="99"/>
      <c r="I10" s="99"/>
      <c r="J10" s="61">
        <v>376834</v>
      </c>
      <c r="K10" s="51">
        <f t="shared" ref="K10:K25" si="4">J10-J9</f>
        <v>0</v>
      </c>
      <c r="L10" s="146">
        <v>102135</v>
      </c>
      <c r="M10" s="77">
        <f t="shared" ref="M10:M24" si="5">L10-L9</f>
        <v>43</v>
      </c>
      <c r="N10" s="146">
        <v>81880</v>
      </c>
      <c r="O10" s="51">
        <f t="shared" si="1"/>
        <v>90</v>
      </c>
      <c r="P10" s="147">
        <v>178662</v>
      </c>
      <c r="Q10" s="51">
        <f t="shared" si="2"/>
        <v>35</v>
      </c>
      <c r="R10" s="5"/>
      <c r="S10" s="29"/>
      <c r="T10" s="30"/>
    </row>
    <row r="11" spans="1:20" ht="15" customHeight="1" x14ac:dyDescent="0.35">
      <c r="A11" s="69">
        <v>45355</v>
      </c>
      <c r="B11" s="145">
        <v>193306</v>
      </c>
      <c r="C11" s="98">
        <f t="shared" ref="C11:C25" si="6">B11-B10</f>
        <v>174</v>
      </c>
      <c r="D11" s="146">
        <v>380130</v>
      </c>
      <c r="E11" s="51">
        <f t="shared" si="3"/>
        <v>1</v>
      </c>
      <c r="F11" s="148">
        <v>91721</v>
      </c>
      <c r="G11" s="55">
        <f t="shared" si="0"/>
        <v>138</v>
      </c>
      <c r="H11" s="58"/>
      <c r="I11" s="58"/>
      <c r="J11" s="61">
        <v>376834</v>
      </c>
      <c r="K11" s="51">
        <f t="shared" si="4"/>
        <v>0</v>
      </c>
      <c r="L11" s="146">
        <v>102180</v>
      </c>
      <c r="M11" s="51">
        <f t="shared" si="5"/>
        <v>45</v>
      </c>
      <c r="N11" s="146">
        <v>81970</v>
      </c>
      <c r="O11" s="51">
        <f t="shared" si="1"/>
        <v>90</v>
      </c>
      <c r="P11" s="147">
        <v>178712</v>
      </c>
      <c r="Q11" s="51">
        <f t="shared" si="2"/>
        <v>50</v>
      </c>
      <c r="R11" s="5"/>
      <c r="S11" s="29"/>
      <c r="T11" s="30"/>
    </row>
    <row r="12" spans="1:20" ht="15" customHeight="1" x14ac:dyDescent="0.35">
      <c r="A12" s="69">
        <v>45356</v>
      </c>
      <c r="B12" s="145">
        <v>193483</v>
      </c>
      <c r="C12" s="98">
        <f t="shared" si="6"/>
        <v>177</v>
      </c>
      <c r="D12" s="146">
        <v>380183</v>
      </c>
      <c r="E12" s="51">
        <f t="shared" si="3"/>
        <v>53</v>
      </c>
      <c r="F12" s="148">
        <v>91842</v>
      </c>
      <c r="G12" s="55">
        <f t="shared" si="0"/>
        <v>121</v>
      </c>
      <c r="H12" s="58"/>
      <c r="I12" s="58"/>
      <c r="J12" s="61">
        <v>376834</v>
      </c>
      <c r="K12" s="51">
        <f t="shared" si="4"/>
        <v>0</v>
      </c>
      <c r="L12" s="146">
        <v>102226</v>
      </c>
      <c r="M12" s="51">
        <f t="shared" si="5"/>
        <v>46</v>
      </c>
      <c r="N12" s="146">
        <v>82070</v>
      </c>
      <c r="O12" s="51">
        <f t="shared" si="1"/>
        <v>100</v>
      </c>
      <c r="P12" s="147">
        <v>178761</v>
      </c>
      <c r="Q12" s="51">
        <f t="shared" si="2"/>
        <v>49</v>
      </c>
      <c r="R12" s="5"/>
      <c r="S12" s="29"/>
      <c r="T12" s="30"/>
    </row>
    <row r="13" spans="1:20" ht="15" customHeight="1" x14ac:dyDescent="0.35">
      <c r="A13" s="69">
        <v>45357</v>
      </c>
      <c r="B13" s="159">
        <v>193646</v>
      </c>
      <c r="C13" s="98">
        <f t="shared" si="6"/>
        <v>163</v>
      </c>
      <c r="D13" s="146">
        <v>380183</v>
      </c>
      <c r="E13" s="51">
        <f t="shared" si="3"/>
        <v>0</v>
      </c>
      <c r="F13" s="148">
        <v>91958</v>
      </c>
      <c r="G13" s="55">
        <f t="shared" si="0"/>
        <v>116</v>
      </c>
      <c r="H13" s="58"/>
      <c r="I13" s="58"/>
      <c r="J13" s="61">
        <v>376834</v>
      </c>
      <c r="K13" s="51">
        <f t="shared" si="4"/>
        <v>0</v>
      </c>
      <c r="L13" s="146">
        <v>102279</v>
      </c>
      <c r="M13" s="51">
        <f t="shared" si="5"/>
        <v>53</v>
      </c>
      <c r="N13" s="146">
        <v>82150</v>
      </c>
      <c r="O13" s="51">
        <f t="shared" si="1"/>
        <v>80</v>
      </c>
      <c r="P13" s="147">
        <v>178809</v>
      </c>
      <c r="Q13" s="51">
        <f t="shared" si="2"/>
        <v>48</v>
      </c>
      <c r="R13" s="5"/>
      <c r="S13" s="29"/>
      <c r="T13" s="30"/>
    </row>
    <row r="14" spans="1:20" ht="15" customHeight="1" x14ac:dyDescent="0.35">
      <c r="A14" s="69">
        <v>45358</v>
      </c>
      <c r="B14" s="145">
        <v>193852</v>
      </c>
      <c r="C14" s="98">
        <f t="shared" si="6"/>
        <v>206</v>
      </c>
      <c r="D14" s="146">
        <v>380197</v>
      </c>
      <c r="E14" s="51">
        <f>D14-D13</f>
        <v>14</v>
      </c>
      <c r="F14" s="148">
        <v>92070</v>
      </c>
      <c r="G14" s="55">
        <f t="shared" si="0"/>
        <v>112</v>
      </c>
      <c r="H14" s="58"/>
      <c r="I14" s="58"/>
      <c r="J14" s="61">
        <v>376834</v>
      </c>
      <c r="K14" s="51">
        <f t="shared" si="4"/>
        <v>0</v>
      </c>
      <c r="L14" s="146">
        <v>102328</v>
      </c>
      <c r="M14" s="51">
        <f t="shared" ref="M14:M23" si="7">L14-L13</f>
        <v>49</v>
      </c>
      <c r="N14" s="146">
        <v>82250</v>
      </c>
      <c r="O14" s="51">
        <f t="shared" si="1"/>
        <v>100</v>
      </c>
      <c r="P14" s="147">
        <v>178858</v>
      </c>
      <c r="Q14" s="51">
        <f t="shared" si="2"/>
        <v>49</v>
      </c>
      <c r="R14" s="5"/>
      <c r="S14" s="29"/>
      <c r="T14" s="30"/>
    </row>
    <row r="15" spans="1:20" ht="15" customHeight="1" x14ac:dyDescent="0.35">
      <c r="A15" s="69">
        <v>45359</v>
      </c>
      <c r="B15" s="145">
        <v>194038</v>
      </c>
      <c r="C15" s="98">
        <f t="shared" si="6"/>
        <v>186</v>
      </c>
      <c r="D15" s="146">
        <v>380238</v>
      </c>
      <c r="E15" s="51">
        <f>D15-D14</f>
        <v>41</v>
      </c>
      <c r="F15" s="148">
        <v>92197</v>
      </c>
      <c r="G15" s="55">
        <f t="shared" si="0"/>
        <v>127</v>
      </c>
      <c r="H15" s="58"/>
      <c r="I15" s="58"/>
      <c r="J15" s="61">
        <v>376834</v>
      </c>
      <c r="K15" s="51">
        <f t="shared" si="4"/>
        <v>0</v>
      </c>
      <c r="L15" s="146">
        <v>102376</v>
      </c>
      <c r="M15" s="51">
        <f t="shared" si="7"/>
        <v>48</v>
      </c>
      <c r="N15" s="146">
        <v>82350</v>
      </c>
      <c r="O15" s="51">
        <f t="shared" si="1"/>
        <v>100</v>
      </c>
      <c r="P15" s="147">
        <v>178906</v>
      </c>
      <c r="Q15" s="51">
        <f t="shared" si="2"/>
        <v>48</v>
      </c>
      <c r="R15" s="5"/>
      <c r="S15" s="29"/>
      <c r="T15" s="30"/>
    </row>
    <row r="16" spans="1:20" ht="15" customHeight="1" x14ac:dyDescent="0.35">
      <c r="A16" s="69">
        <v>45360</v>
      </c>
      <c r="B16" s="145">
        <v>194218</v>
      </c>
      <c r="C16" s="98">
        <f t="shared" si="6"/>
        <v>180</v>
      </c>
      <c r="D16" s="146">
        <v>380238</v>
      </c>
      <c r="E16" s="51">
        <f t="shared" si="3"/>
        <v>0</v>
      </c>
      <c r="F16" s="148">
        <v>92318</v>
      </c>
      <c r="G16" s="55">
        <f t="shared" si="0"/>
        <v>121</v>
      </c>
      <c r="H16" s="58"/>
      <c r="I16" s="58"/>
      <c r="J16" s="61">
        <v>376834</v>
      </c>
      <c r="K16" s="51">
        <f t="shared" si="4"/>
        <v>0</v>
      </c>
      <c r="L16" s="146">
        <v>102424</v>
      </c>
      <c r="M16" s="51">
        <f t="shared" si="7"/>
        <v>48</v>
      </c>
      <c r="N16" s="146">
        <v>82430</v>
      </c>
      <c r="O16" s="51">
        <f t="shared" si="1"/>
        <v>80</v>
      </c>
      <c r="P16" s="147">
        <v>178954</v>
      </c>
      <c r="Q16" s="51">
        <f t="shared" si="2"/>
        <v>48</v>
      </c>
      <c r="R16" s="5"/>
      <c r="S16" s="29"/>
      <c r="T16" s="30"/>
    </row>
    <row r="17" spans="1:20" ht="15" customHeight="1" x14ac:dyDescent="0.35">
      <c r="A17" s="69">
        <v>45361</v>
      </c>
      <c r="B17" s="145">
        <v>194387</v>
      </c>
      <c r="C17" s="98">
        <f t="shared" si="6"/>
        <v>169</v>
      </c>
      <c r="D17" s="146">
        <v>380238</v>
      </c>
      <c r="E17" s="51">
        <f t="shared" si="3"/>
        <v>0</v>
      </c>
      <c r="F17" s="148">
        <v>92385</v>
      </c>
      <c r="G17" s="55">
        <f t="shared" si="0"/>
        <v>67</v>
      </c>
      <c r="H17" s="58"/>
      <c r="I17" s="58"/>
      <c r="J17" s="61">
        <v>376834</v>
      </c>
      <c r="K17" s="51">
        <f t="shared" si="4"/>
        <v>0</v>
      </c>
      <c r="L17" s="146">
        <v>102468</v>
      </c>
      <c r="M17" s="51">
        <f t="shared" si="7"/>
        <v>44</v>
      </c>
      <c r="N17" s="146">
        <v>82570</v>
      </c>
      <c r="O17" s="51">
        <f t="shared" si="1"/>
        <v>140</v>
      </c>
      <c r="P17" s="147">
        <v>179000</v>
      </c>
      <c r="Q17" s="51">
        <f t="shared" si="2"/>
        <v>46</v>
      </c>
      <c r="R17" s="5"/>
      <c r="S17" s="29"/>
      <c r="T17" s="30"/>
    </row>
    <row r="18" spans="1:20" ht="15" customHeight="1" x14ac:dyDescent="0.35">
      <c r="A18" s="69">
        <v>45362</v>
      </c>
      <c r="B18" s="145">
        <v>194557</v>
      </c>
      <c r="C18" s="98">
        <f t="shared" si="6"/>
        <v>170</v>
      </c>
      <c r="D18" s="146">
        <v>380238</v>
      </c>
      <c r="E18" s="51">
        <f t="shared" si="3"/>
        <v>0</v>
      </c>
      <c r="F18" s="148">
        <v>92510</v>
      </c>
      <c r="G18" s="55">
        <f t="shared" si="0"/>
        <v>125</v>
      </c>
      <c r="H18" s="58"/>
      <c r="I18" s="58"/>
      <c r="J18" s="61">
        <v>376834</v>
      </c>
      <c r="K18" s="51">
        <f t="shared" si="4"/>
        <v>0</v>
      </c>
      <c r="L18" s="146">
        <v>102514</v>
      </c>
      <c r="M18" s="51">
        <f t="shared" si="7"/>
        <v>46</v>
      </c>
      <c r="N18" s="146">
        <v>82660</v>
      </c>
      <c r="O18" s="51">
        <f t="shared" si="1"/>
        <v>90</v>
      </c>
      <c r="P18" s="147">
        <v>179049</v>
      </c>
      <c r="Q18" s="51">
        <f t="shared" si="2"/>
        <v>49</v>
      </c>
      <c r="R18" s="5"/>
      <c r="S18" s="29"/>
      <c r="T18" s="30"/>
    </row>
    <row r="19" spans="1:20" ht="15" customHeight="1" x14ac:dyDescent="0.35">
      <c r="A19" s="69">
        <v>45363</v>
      </c>
      <c r="B19" s="145">
        <v>194719</v>
      </c>
      <c r="C19" s="98">
        <f t="shared" si="6"/>
        <v>162</v>
      </c>
      <c r="D19" s="146">
        <v>380238</v>
      </c>
      <c r="E19" s="51">
        <f t="shared" si="3"/>
        <v>0</v>
      </c>
      <c r="F19" s="148">
        <v>92635</v>
      </c>
      <c r="G19" s="55">
        <f t="shared" si="0"/>
        <v>125</v>
      </c>
      <c r="H19" s="58"/>
      <c r="I19" s="58"/>
      <c r="J19" s="61">
        <v>376834</v>
      </c>
      <c r="K19" s="51">
        <f t="shared" si="4"/>
        <v>0</v>
      </c>
      <c r="L19" s="146">
        <v>102553</v>
      </c>
      <c r="M19" s="51">
        <f t="shared" si="7"/>
        <v>39</v>
      </c>
      <c r="N19" s="146">
        <v>82750</v>
      </c>
      <c r="O19" s="51">
        <f t="shared" si="1"/>
        <v>90</v>
      </c>
      <c r="P19" s="147">
        <v>179109</v>
      </c>
      <c r="Q19" s="51">
        <f t="shared" si="2"/>
        <v>60</v>
      </c>
      <c r="R19" s="5"/>
      <c r="S19" s="29"/>
      <c r="T19" s="30"/>
    </row>
    <row r="20" spans="1:20" ht="15" customHeight="1" x14ac:dyDescent="0.35">
      <c r="A20" s="69">
        <v>45364</v>
      </c>
      <c r="B20" s="145">
        <v>194878</v>
      </c>
      <c r="C20" s="98">
        <f t="shared" si="6"/>
        <v>159</v>
      </c>
      <c r="D20" s="146">
        <v>380239</v>
      </c>
      <c r="E20" s="51">
        <f t="shared" si="3"/>
        <v>1</v>
      </c>
      <c r="F20" s="148">
        <v>92763</v>
      </c>
      <c r="G20" s="55">
        <f t="shared" si="0"/>
        <v>128</v>
      </c>
      <c r="H20" s="58"/>
      <c r="I20" s="58"/>
      <c r="J20" s="61">
        <v>376834</v>
      </c>
      <c r="K20" s="51">
        <f t="shared" si="4"/>
        <v>0</v>
      </c>
      <c r="L20" s="146">
        <v>102595</v>
      </c>
      <c r="M20" s="51">
        <f t="shared" si="7"/>
        <v>42</v>
      </c>
      <c r="N20" s="146">
        <v>82820</v>
      </c>
      <c r="O20" s="51">
        <f t="shared" si="1"/>
        <v>70</v>
      </c>
      <c r="P20" s="147">
        <v>179157</v>
      </c>
      <c r="Q20" s="51">
        <f t="shared" si="2"/>
        <v>48</v>
      </c>
      <c r="R20" s="5"/>
      <c r="S20" s="29"/>
      <c r="T20" s="30"/>
    </row>
    <row r="21" spans="1:20" ht="15" customHeight="1" x14ac:dyDescent="0.35">
      <c r="A21" s="69">
        <v>45365</v>
      </c>
      <c r="B21" s="145">
        <v>195037</v>
      </c>
      <c r="C21" s="98">
        <f t="shared" si="6"/>
        <v>159</v>
      </c>
      <c r="D21" s="146">
        <v>380272</v>
      </c>
      <c r="E21" s="51">
        <f t="shared" si="3"/>
        <v>33</v>
      </c>
      <c r="F21" s="148">
        <v>92872</v>
      </c>
      <c r="G21" s="55">
        <f t="shared" si="0"/>
        <v>109</v>
      </c>
      <c r="H21" s="58"/>
      <c r="I21" s="58"/>
      <c r="J21" s="61">
        <v>376834</v>
      </c>
      <c r="K21" s="55">
        <f t="shared" si="4"/>
        <v>0</v>
      </c>
      <c r="L21" s="146">
        <v>102640</v>
      </c>
      <c r="M21" s="51">
        <f t="shared" si="7"/>
        <v>45</v>
      </c>
      <c r="N21" s="146">
        <v>82910</v>
      </c>
      <c r="O21" s="51">
        <f t="shared" si="1"/>
        <v>90</v>
      </c>
      <c r="P21" s="147">
        <v>179214</v>
      </c>
      <c r="Q21" s="51">
        <f t="shared" si="2"/>
        <v>57</v>
      </c>
      <c r="R21" s="5"/>
      <c r="S21" s="29"/>
      <c r="T21" s="30"/>
    </row>
    <row r="22" spans="1:20" ht="15" customHeight="1" x14ac:dyDescent="0.35">
      <c r="A22" s="69">
        <v>45366</v>
      </c>
      <c r="B22" s="145">
        <v>195197</v>
      </c>
      <c r="C22" s="98">
        <f t="shared" si="6"/>
        <v>160</v>
      </c>
      <c r="D22" s="146">
        <v>380272</v>
      </c>
      <c r="E22" s="51">
        <f t="shared" si="3"/>
        <v>0</v>
      </c>
      <c r="F22" s="148">
        <v>92996</v>
      </c>
      <c r="G22" s="55">
        <f t="shared" si="0"/>
        <v>124</v>
      </c>
      <c r="H22" s="58"/>
      <c r="I22" s="58"/>
      <c r="J22" s="61">
        <v>376834</v>
      </c>
      <c r="K22" s="51">
        <f t="shared" si="4"/>
        <v>0</v>
      </c>
      <c r="L22" s="146">
        <v>102681</v>
      </c>
      <c r="M22" s="51">
        <f t="shared" si="7"/>
        <v>41</v>
      </c>
      <c r="N22" s="146">
        <v>82990</v>
      </c>
      <c r="O22" s="51">
        <f t="shared" si="1"/>
        <v>80</v>
      </c>
      <c r="P22" s="147">
        <v>179265</v>
      </c>
      <c r="Q22" s="51">
        <f t="shared" si="2"/>
        <v>51</v>
      </c>
      <c r="R22" s="5"/>
      <c r="S22" s="29"/>
      <c r="T22" s="30"/>
    </row>
    <row r="23" spans="1:20" ht="15" customHeight="1" x14ac:dyDescent="0.35">
      <c r="A23" s="69">
        <v>45367</v>
      </c>
      <c r="B23" s="145">
        <v>195352</v>
      </c>
      <c r="C23" s="98">
        <f t="shared" si="6"/>
        <v>155</v>
      </c>
      <c r="D23" s="146">
        <v>380339</v>
      </c>
      <c r="E23" s="51">
        <f t="shared" si="3"/>
        <v>67</v>
      </c>
      <c r="F23" s="148">
        <v>93130</v>
      </c>
      <c r="G23" s="55">
        <f t="shared" si="0"/>
        <v>134</v>
      </c>
      <c r="H23" s="58"/>
      <c r="I23" s="58"/>
      <c r="J23" s="61">
        <v>376834</v>
      </c>
      <c r="K23" s="51">
        <f t="shared" si="4"/>
        <v>0</v>
      </c>
      <c r="L23" s="146">
        <v>102721</v>
      </c>
      <c r="M23" s="51">
        <f t="shared" si="7"/>
        <v>40</v>
      </c>
      <c r="N23" s="146">
        <v>83080</v>
      </c>
      <c r="O23" s="51">
        <f t="shared" si="1"/>
        <v>90</v>
      </c>
      <c r="P23" s="147">
        <v>179317</v>
      </c>
      <c r="Q23" s="51">
        <f t="shared" si="2"/>
        <v>52</v>
      </c>
      <c r="R23" s="5"/>
      <c r="S23" s="29">
        <v>0</v>
      </c>
      <c r="T23" s="30"/>
    </row>
    <row r="24" spans="1:20" ht="15" customHeight="1" x14ac:dyDescent="0.35">
      <c r="A24" s="69">
        <v>45368</v>
      </c>
      <c r="B24" s="145">
        <v>195518</v>
      </c>
      <c r="C24" s="98">
        <f t="shared" si="6"/>
        <v>166</v>
      </c>
      <c r="D24" s="146">
        <v>380339</v>
      </c>
      <c r="E24" s="51">
        <f t="shared" si="3"/>
        <v>0</v>
      </c>
      <c r="F24" s="148">
        <v>93275</v>
      </c>
      <c r="G24" s="55">
        <f t="shared" si="0"/>
        <v>145</v>
      </c>
      <c r="H24" s="58"/>
      <c r="I24" s="58"/>
      <c r="J24" s="61">
        <v>376834</v>
      </c>
      <c r="K24" s="51">
        <f t="shared" si="4"/>
        <v>0</v>
      </c>
      <c r="L24" s="146">
        <v>102758</v>
      </c>
      <c r="M24" s="51">
        <f t="shared" si="5"/>
        <v>37</v>
      </c>
      <c r="N24" s="146">
        <v>83160</v>
      </c>
      <c r="O24" s="51">
        <f t="shared" si="1"/>
        <v>80</v>
      </c>
      <c r="P24" s="147">
        <v>179368</v>
      </c>
      <c r="Q24" s="51">
        <f t="shared" si="2"/>
        <v>51</v>
      </c>
      <c r="R24" s="5"/>
      <c r="S24" s="29">
        <f t="shared" ref="S24:S32" si="8">R24-R23</f>
        <v>0</v>
      </c>
      <c r="T24" s="30"/>
    </row>
    <row r="25" spans="1:20" ht="14.25" customHeight="1" x14ac:dyDescent="0.35">
      <c r="A25" s="69">
        <v>45369</v>
      </c>
      <c r="B25" s="145">
        <v>195660</v>
      </c>
      <c r="C25" s="98">
        <f t="shared" si="6"/>
        <v>142</v>
      </c>
      <c r="D25" s="146">
        <v>380340</v>
      </c>
      <c r="E25" s="51">
        <f t="shared" si="3"/>
        <v>1</v>
      </c>
      <c r="F25" s="148">
        <v>93430</v>
      </c>
      <c r="G25" s="51">
        <f t="shared" si="0"/>
        <v>155</v>
      </c>
      <c r="H25" s="58"/>
      <c r="I25" s="58"/>
      <c r="J25" s="61">
        <v>376834</v>
      </c>
      <c r="K25" s="51">
        <f t="shared" si="4"/>
        <v>0</v>
      </c>
      <c r="L25" s="146">
        <v>102802</v>
      </c>
      <c r="M25" s="51">
        <f t="shared" ref="M25:M28" si="9">L25-L24</f>
        <v>44</v>
      </c>
      <c r="N25" s="146">
        <v>83250</v>
      </c>
      <c r="O25" s="51">
        <f t="shared" si="1"/>
        <v>90</v>
      </c>
      <c r="P25" s="147">
        <v>179430</v>
      </c>
      <c r="Q25" s="51">
        <f t="shared" si="2"/>
        <v>62</v>
      </c>
      <c r="R25" s="5"/>
      <c r="S25" s="29">
        <f t="shared" si="8"/>
        <v>0</v>
      </c>
      <c r="T25" s="30"/>
    </row>
    <row r="26" spans="1:20" ht="15" customHeight="1" x14ac:dyDescent="0.35">
      <c r="A26" s="69">
        <v>45370</v>
      </c>
      <c r="B26" s="145">
        <v>195819</v>
      </c>
      <c r="C26" s="98">
        <f t="shared" ref="C26:C38" si="10">B26-B25</f>
        <v>159</v>
      </c>
      <c r="D26" s="146">
        <v>380399</v>
      </c>
      <c r="E26" s="51">
        <f t="shared" ref="E26:E34" si="11">D26-D25</f>
        <v>59</v>
      </c>
      <c r="F26" s="148">
        <v>93552</v>
      </c>
      <c r="G26" s="51">
        <f t="shared" si="0"/>
        <v>122</v>
      </c>
      <c r="H26" s="58"/>
      <c r="I26" s="58"/>
      <c r="J26" s="61">
        <v>376834</v>
      </c>
      <c r="K26" s="51">
        <f t="shared" ref="K26:K33" si="12">J26-J25</f>
        <v>0</v>
      </c>
      <c r="L26" s="146">
        <v>102841</v>
      </c>
      <c r="M26" s="51">
        <f t="shared" si="9"/>
        <v>39</v>
      </c>
      <c r="N26" s="146">
        <v>83330</v>
      </c>
      <c r="O26" s="51">
        <f t="shared" ref="O26:O38" si="13">N26-N25</f>
        <v>80</v>
      </c>
      <c r="P26" s="147">
        <v>179485</v>
      </c>
      <c r="Q26" s="51">
        <f t="shared" ref="Q26:Q33" si="14">P26-P25</f>
        <v>55</v>
      </c>
      <c r="R26" s="5"/>
      <c r="S26" s="29">
        <f t="shared" si="8"/>
        <v>0</v>
      </c>
      <c r="T26" s="30"/>
    </row>
    <row r="27" spans="1:20" ht="15" customHeight="1" x14ac:dyDescent="0.35">
      <c r="A27" s="69">
        <v>45371</v>
      </c>
      <c r="B27" s="145">
        <v>195954</v>
      </c>
      <c r="C27" s="100">
        <f t="shared" si="10"/>
        <v>135</v>
      </c>
      <c r="D27" s="146">
        <v>380405</v>
      </c>
      <c r="E27" s="51">
        <f t="shared" si="11"/>
        <v>6</v>
      </c>
      <c r="F27" s="148">
        <v>93722</v>
      </c>
      <c r="G27" s="51">
        <f t="shared" ref="G27:G38" si="15">F27-F26</f>
        <v>170</v>
      </c>
      <c r="H27" s="51"/>
      <c r="I27" s="51"/>
      <c r="J27" s="61">
        <v>376834</v>
      </c>
      <c r="K27" s="51">
        <f t="shared" si="12"/>
        <v>0</v>
      </c>
      <c r="L27" s="146">
        <v>102883</v>
      </c>
      <c r="M27" s="51">
        <f t="shared" si="9"/>
        <v>42</v>
      </c>
      <c r="N27" s="146">
        <v>83400</v>
      </c>
      <c r="O27" s="51">
        <f t="shared" si="13"/>
        <v>70</v>
      </c>
      <c r="P27" s="147">
        <v>179540</v>
      </c>
      <c r="Q27" s="51">
        <f t="shared" si="14"/>
        <v>55</v>
      </c>
      <c r="R27" s="5"/>
      <c r="S27" s="29">
        <f t="shared" si="8"/>
        <v>0</v>
      </c>
      <c r="T27" s="30"/>
    </row>
    <row r="28" spans="1:20" ht="15" customHeight="1" x14ac:dyDescent="0.35">
      <c r="A28" s="69">
        <v>45372</v>
      </c>
      <c r="B28" s="145">
        <v>196095</v>
      </c>
      <c r="C28" s="100">
        <f t="shared" si="10"/>
        <v>141</v>
      </c>
      <c r="D28" s="146">
        <v>380457</v>
      </c>
      <c r="E28" s="51">
        <f t="shared" si="11"/>
        <v>52</v>
      </c>
      <c r="F28" s="148">
        <v>93855</v>
      </c>
      <c r="G28" s="51">
        <f t="shared" si="15"/>
        <v>133</v>
      </c>
      <c r="H28" s="51"/>
      <c r="I28" s="51"/>
      <c r="J28" s="61">
        <v>376834</v>
      </c>
      <c r="K28" s="51">
        <f t="shared" si="12"/>
        <v>0</v>
      </c>
      <c r="L28" s="146">
        <v>102923</v>
      </c>
      <c r="M28" s="51">
        <f t="shared" si="9"/>
        <v>40</v>
      </c>
      <c r="N28" s="146">
        <v>83500</v>
      </c>
      <c r="O28" s="51">
        <f t="shared" si="13"/>
        <v>100</v>
      </c>
      <c r="P28" s="147">
        <v>179596</v>
      </c>
      <c r="Q28" s="51">
        <f t="shared" si="14"/>
        <v>56</v>
      </c>
      <c r="R28" s="5"/>
      <c r="S28" s="29">
        <f t="shared" si="8"/>
        <v>0</v>
      </c>
      <c r="T28" s="30"/>
    </row>
    <row r="29" spans="1:20" ht="15" customHeight="1" x14ac:dyDescent="0.35">
      <c r="A29" s="69">
        <v>45373</v>
      </c>
      <c r="B29" s="145">
        <v>196245</v>
      </c>
      <c r="C29" s="68">
        <f t="shared" si="10"/>
        <v>150</v>
      </c>
      <c r="D29" s="146">
        <v>380471</v>
      </c>
      <c r="E29" s="51">
        <f t="shared" si="11"/>
        <v>14</v>
      </c>
      <c r="F29" s="148">
        <v>94085</v>
      </c>
      <c r="G29" s="51">
        <f t="shared" si="15"/>
        <v>230</v>
      </c>
      <c r="H29" s="51"/>
      <c r="I29" s="51"/>
      <c r="J29" s="61">
        <v>376834</v>
      </c>
      <c r="K29" s="51">
        <f t="shared" si="12"/>
        <v>0</v>
      </c>
      <c r="L29" s="146">
        <v>102969</v>
      </c>
      <c r="M29" s="51">
        <f>L29-L28</f>
        <v>46</v>
      </c>
      <c r="N29" s="146">
        <v>83600</v>
      </c>
      <c r="O29" s="51">
        <f t="shared" si="13"/>
        <v>100</v>
      </c>
      <c r="P29" s="147">
        <v>179651</v>
      </c>
      <c r="Q29" s="51">
        <f t="shared" si="14"/>
        <v>55</v>
      </c>
      <c r="R29" s="5"/>
      <c r="S29" s="29">
        <f t="shared" si="8"/>
        <v>0</v>
      </c>
      <c r="T29" s="30"/>
    </row>
    <row r="30" spans="1:20" ht="15" customHeight="1" x14ac:dyDescent="0.35">
      <c r="A30" s="69">
        <v>45374</v>
      </c>
      <c r="B30" s="145">
        <v>196392</v>
      </c>
      <c r="C30" s="68">
        <f t="shared" si="10"/>
        <v>147</v>
      </c>
      <c r="D30" s="146">
        <v>380567</v>
      </c>
      <c r="E30" s="51">
        <f t="shared" si="11"/>
        <v>96</v>
      </c>
      <c r="F30" s="148">
        <v>94221</v>
      </c>
      <c r="G30" s="51">
        <f t="shared" si="15"/>
        <v>136</v>
      </c>
      <c r="H30" s="51"/>
      <c r="I30" s="51"/>
      <c r="J30" s="61">
        <v>376834</v>
      </c>
      <c r="K30" s="51">
        <f t="shared" si="12"/>
        <v>0</v>
      </c>
      <c r="L30" s="146">
        <v>103015</v>
      </c>
      <c r="M30" s="51">
        <f>L30-L29</f>
        <v>46</v>
      </c>
      <c r="N30" s="146">
        <v>83700</v>
      </c>
      <c r="O30" s="51">
        <f t="shared" si="13"/>
        <v>100</v>
      </c>
      <c r="P30" s="147">
        <v>179704</v>
      </c>
      <c r="Q30" s="51">
        <f t="shared" si="14"/>
        <v>53</v>
      </c>
      <c r="R30" s="5"/>
      <c r="S30" s="29">
        <f t="shared" si="8"/>
        <v>0</v>
      </c>
      <c r="T30" s="30"/>
    </row>
    <row r="31" spans="1:20" ht="15" customHeight="1" x14ac:dyDescent="0.35">
      <c r="A31" s="69">
        <v>45375</v>
      </c>
      <c r="B31" s="145">
        <v>196544</v>
      </c>
      <c r="C31" s="100">
        <f t="shared" si="10"/>
        <v>152</v>
      </c>
      <c r="D31" s="146">
        <v>380567</v>
      </c>
      <c r="E31" s="51">
        <f t="shared" si="11"/>
        <v>0</v>
      </c>
      <c r="F31" s="148">
        <v>94385</v>
      </c>
      <c r="G31" s="51">
        <f t="shared" si="15"/>
        <v>164</v>
      </c>
      <c r="H31" s="51"/>
      <c r="I31" s="51"/>
      <c r="J31" s="61">
        <v>376834</v>
      </c>
      <c r="K31" s="51">
        <f t="shared" si="12"/>
        <v>0</v>
      </c>
      <c r="L31" s="146">
        <v>103061</v>
      </c>
      <c r="M31" s="51">
        <f>L31-L30</f>
        <v>46</v>
      </c>
      <c r="N31" s="146">
        <v>83780</v>
      </c>
      <c r="O31" s="51">
        <f t="shared" si="13"/>
        <v>80</v>
      </c>
      <c r="P31" s="147">
        <v>179767</v>
      </c>
      <c r="Q31" s="51">
        <f t="shared" si="14"/>
        <v>63</v>
      </c>
      <c r="R31" s="5"/>
      <c r="S31" s="29">
        <f t="shared" si="8"/>
        <v>0</v>
      </c>
      <c r="T31" s="30"/>
    </row>
    <row r="32" spans="1:20" ht="15" customHeight="1" x14ac:dyDescent="0.35">
      <c r="A32" s="69">
        <v>45376</v>
      </c>
      <c r="B32" s="145">
        <v>196709</v>
      </c>
      <c r="C32" s="100">
        <f t="shared" si="10"/>
        <v>165</v>
      </c>
      <c r="D32" s="146">
        <v>380567</v>
      </c>
      <c r="E32" s="51">
        <f t="shared" si="11"/>
        <v>0</v>
      </c>
      <c r="F32" s="148">
        <v>94526</v>
      </c>
      <c r="G32" s="51">
        <f t="shared" si="15"/>
        <v>141</v>
      </c>
      <c r="H32" s="51"/>
      <c r="I32" s="51"/>
      <c r="J32" s="61">
        <v>376834</v>
      </c>
      <c r="K32" s="51">
        <f t="shared" si="12"/>
        <v>0</v>
      </c>
      <c r="L32" s="146">
        <v>103110</v>
      </c>
      <c r="M32" s="51">
        <f>L32-L31</f>
        <v>49</v>
      </c>
      <c r="N32" s="146">
        <v>83870</v>
      </c>
      <c r="O32" s="51">
        <f t="shared" si="13"/>
        <v>90</v>
      </c>
      <c r="P32" s="147">
        <v>179821</v>
      </c>
      <c r="Q32" s="51">
        <f t="shared" si="14"/>
        <v>54</v>
      </c>
      <c r="R32" s="5"/>
      <c r="S32" s="29">
        <f t="shared" si="8"/>
        <v>0</v>
      </c>
      <c r="T32" s="30"/>
    </row>
    <row r="33" spans="1:20" ht="15" customHeight="1" x14ac:dyDescent="0.35">
      <c r="A33" s="69">
        <v>45377</v>
      </c>
      <c r="B33" s="145">
        <v>196864</v>
      </c>
      <c r="C33" s="100">
        <f t="shared" si="10"/>
        <v>155</v>
      </c>
      <c r="D33" s="146">
        <v>380634</v>
      </c>
      <c r="E33" s="51">
        <f t="shared" si="11"/>
        <v>67</v>
      </c>
      <c r="F33" s="148">
        <v>94670</v>
      </c>
      <c r="G33" s="51">
        <f t="shared" si="15"/>
        <v>144</v>
      </c>
      <c r="H33" s="51"/>
      <c r="I33" s="51"/>
      <c r="J33" s="61">
        <v>376834</v>
      </c>
      <c r="K33" s="51">
        <f t="shared" si="12"/>
        <v>0</v>
      </c>
      <c r="L33" s="146">
        <v>103161</v>
      </c>
      <c r="M33" s="51">
        <f>L33-L32</f>
        <v>51</v>
      </c>
      <c r="N33" s="146">
        <v>83960</v>
      </c>
      <c r="O33" s="51">
        <f t="shared" si="13"/>
        <v>90</v>
      </c>
      <c r="P33" s="147">
        <v>179883</v>
      </c>
      <c r="Q33" s="51">
        <f t="shared" si="14"/>
        <v>62</v>
      </c>
      <c r="R33" s="5"/>
      <c r="S33" s="29"/>
      <c r="T33" s="30"/>
    </row>
    <row r="34" spans="1:20" ht="15" customHeight="1" x14ac:dyDescent="0.35">
      <c r="A34" s="69">
        <v>45378</v>
      </c>
      <c r="B34" s="145">
        <v>197003</v>
      </c>
      <c r="C34" s="100">
        <f t="shared" si="10"/>
        <v>139</v>
      </c>
      <c r="D34" s="146">
        <v>380634</v>
      </c>
      <c r="E34" s="51">
        <f t="shared" si="11"/>
        <v>0</v>
      </c>
      <c r="F34" s="148">
        <v>94812</v>
      </c>
      <c r="G34" s="51">
        <f t="shared" si="15"/>
        <v>142</v>
      </c>
      <c r="H34" s="51"/>
      <c r="I34" s="51"/>
      <c r="J34" s="61">
        <v>376834</v>
      </c>
      <c r="K34" s="51">
        <f t="shared" ref="K34:K35" si="16">J34-J33</f>
        <v>0</v>
      </c>
      <c r="L34" s="146">
        <v>103216</v>
      </c>
      <c r="M34" s="51">
        <f t="shared" ref="M34:M38" si="17">L34-L33</f>
        <v>55</v>
      </c>
      <c r="N34" s="146">
        <v>84070</v>
      </c>
      <c r="O34" s="51">
        <f t="shared" si="13"/>
        <v>110</v>
      </c>
      <c r="P34" s="147">
        <v>179937</v>
      </c>
      <c r="Q34" s="51">
        <f t="shared" ref="Q34:Q38" si="18">P34-P33</f>
        <v>54</v>
      </c>
      <c r="R34" s="5"/>
      <c r="S34" s="29"/>
      <c r="T34" s="30"/>
    </row>
    <row r="35" spans="1:20" ht="15" customHeight="1" x14ac:dyDescent="0.35">
      <c r="A35" s="69">
        <v>45379</v>
      </c>
      <c r="B35" s="145">
        <v>197150</v>
      </c>
      <c r="C35" s="100">
        <f t="shared" si="10"/>
        <v>147</v>
      </c>
      <c r="D35" s="146">
        <v>380634</v>
      </c>
      <c r="E35" s="51">
        <f t="shared" si="3"/>
        <v>0</v>
      </c>
      <c r="F35" s="148">
        <v>94963</v>
      </c>
      <c r="G35" s="51">
        <f t="shared" si="15"/>
        <v>151</v>
      </c>
      <c r="H35" s="51"/>
      <c r="I35" s="51"/>
      <c r="J35" s="61">
        <v>376834</v>
      </c>
      <c r="K35" s="51">
        <f t="shared" si="16"/>
        <v>0</v>
      </c>
      <c r="L35" s="146">
        <v>103270</v>
      </c>
      <c r="M35" s="51">
        <f t="shared" si="17"/>
        <v>54</v>
      </c>
      <c r="N35" s="146">
        <v>84170</v>
      </c>
      <c r="O35" s="51">
        <f t="shared" si="13"/>
        <v>100</v>
      </c>
      <c r="P35" s="147">
        <v>179994</v>
      </c>
      <c r="Q35" s="51">
        <f t="shared" si="18"/>
        <v>57</v>
      </c>
      <c r="R35" s="5"/>
      <c r="S35" s="29"/>
      <c r="T35" s="30"/>
    </row>
    <row r="36" spans="1:20" ht="15" customHeight="1" x14ac:dyDescent="0.35">
      <c r="A36" s="69">
        <v>45380</v>
      </c>
      <c r="B36" s="145">
        <v>197296</v>
      </c>
      <c r="C36" s="100">
        <f t="shared" si="10"/>
        <v>146</v>
      </c>
      <c r="D36" s="146">
        <v>380650</v>
      </c>
      <c r="E36" s="51">
        <f t="shared" si="3"/>
        <v>16</v>
      </c>
      <c r="F36" s="148">
        <v>95105</v>
      </c>
      <c r="G36" s="51">
        <f t="shared" si="15"/>
        <v>142</v>
      </c>
      <c r="H36" s="51"/>
      <c r="I36" s="51"/>
      <c r="J36" s="61">
        <v>376834</v>
      </c>
      <c r="K36" s="51">
        <f t="shared" ref="K36:K38" si="19">J36-J35</f>
        <v>0</v>
      </c>
      <c r="L36" s="146">
        <v>103332</v>
      </c>
      <c r="M36" s="51">
        <f t="shared" si="17"/>
        <v>62</v>
      </c>
      <c r="N36" s="146">
        <v>84290</v>
      </c>
      <c r="O36" s="51">
        <f t="shared" si="13"/>
        <v>120</v>
      </c>
      <c r="P36" s="147">
        <v>180043</v>
      </c>
      <c r="Q36" s="51">
        <f t="shared" si="18"/>
        <v>49</v>
      </c>
      <c r="R36" s="5"/>
      <c r="S36" s="29"/>
      <c r="T36" s="30"/>
    </row>
    <row r="37" spans="1:20" ht="15" customHeight="1" x14ac:dyDescent="0.35">
      <c r="A37" s="69">
        <v>45381</v>
      </c>
      <c r="B37" s="145">
        <v>197434</v>
      </c>
      <c r="C37" s="100">
        <f t="shared" si="10"/>
        <v>138</v>
      </c>
      <c r="D37" s="146">
        <v>380734</v>
      </c>
      <c r="E37" s="51">
        <f t="shared" si="3"/>
        <v>84</v>
      </c>
      <c r="F37" s="148">
        <v>95254</v>
      </c>
      <c r="G37" s="51">
        <f t="shared" si="15"/>
        <v>149</v>
      </c>
      <c r="H37" s="51"/>
      <c r="I37" s="51"/>
      <c r="J37" s="61">
        <v>376834</v>
      </c>
      <c r="K37" s="51">
        <f t="shared" si="19"/>
        <v>0</v>
      </c>
      <c r="L37" s="146">
        <v>103387</v>
      </c>
      <c r="M37" s="51">
        <f t="shared" si="17"/>
        <v>55</v>
      </c>
      <c r="N37" s="146">
        <v>84380</v>
      </c>
      <c r="O37" s="51">
        <f t="shared" si="13"/>
        <v>90</v>
      </c>
      <c r="P37" s="147">
        <v>180093</v>
      </c>
      <c r="Q37" s="51">
        <f t="shared" si="18"/>
        <v>50</v>
      </c>
      <c r="R37" s="5"/>
      <c r="S37" s="29"/>
      <c r="T37" s="30"/>
    </row>
    <row r="38" spans="1:20" ht="15" customHeight="1" x14ac:dyDescent="0.35">
      <c r="A38" s="69">
        <v>45382</v>
      </c>
      <c r="B38" s="145">
        <v>197581</v>
      </c>
      <c r="C38" s="100">
        <f t="shared" si="10"/>
        <v>147</v>
      </c>
      <c r="D38" s="68">
        <v>380734</v>
      </c>
      <c r="E38" s="51">
        <f t="shared" si="3"/>
        <v>0</v>
      </c>
      <c r="F38" s="153">
        <v>95398</v>
      </c>
      <c r="G38" s="51">
        <f t="shared" si="15"/>
        <v>144</v>
      </c>
      <c r="H38" s="51"/>
      <c r="I38" s="51"/>
      <c r="J38" s="61">
        <v>376834</v>
      </c>
      <c r="K38" s="51">
        <f t="shared" si="19"/>
        <v>0</v>
      </c>
      <c r="L38" s="153">
        <v>103451</v>
      </c>
      <c r="M38" s="51">
        <f t="shared" si="17"/>
        <v>64</v>
      </c>
      <c r="N38" s="153">
        <v>84470</v>
      </c>
      <c r="O38" s="51">
        <f t="shared" si="13"/>
        <v>90</v>
      </c>
      <c r="P38" s="153">
        <v>180152</v>
      </c>
      <c r="Q38" s="51">
        <f t="shared" si="18"/>
        <v>59</v>
      </c>
      <c r="R38" s="5"/>
      <c r="S38" s="29"/>
      <c r="T38" s="30"/>
    </row>
    <row r="39" spans="1:20" ht="15" customHeight="1" x14ac:dyDescent="0.4">
      <c r="A39" s="101" t="s">
        <v>5</v>
      </c>
      <c r="B39" s="82"/>
      <c r="C39" s="27">
        <f>SUM(C8:C38)</f>
        <v>4952</v>
      </c>
      <c r="D39" s="54"/>
      <c r="E39" s="27">
        <f>SUM(E8:E38)</f>
        <v>695</v>
      </c>
      <c r="F39" s="67"/>
      <c r="G39" s="27">
        <f>SUM(G8:G38)</f>
        <v>4206</v>
      </c>
      <c r="H39" s="82"/>
      <c r="I39" s="6">
        <f>SUM(I8:I36)</f>
        <v>0</v>
      </c>
      <c r="J39" s="82"/>
      <c r="K39" s="27">
        <f>SUM(K8:K35)</f>
        <v>0</v>
      </c>
      <c r="L39" s="82"/>
      <c r="M39" s="27">
        <f>SUM(M8:M38)</f>
        <v>1449</v>
      </c>
      <c r="N39" s="82"/>
      <c r="O39" s="27">
        <f>SUM(O8:O38)</f>
        <v>2850</v>
      </c>
      <c r="P39" s="82"/>
      <c r="Q39" s="27">
        <f>SUM(Q8:Q38)</f>
        <v>1638</v>
      </c>
      <c r="R39" s="5"/>
      <c r="S39" s="34">
        <f>SUM(S10:S36)</f>
        <v>0</v>
      </c>
    </row>
    <row r="40" spans="1:20" ht="15" customHeight="1" x14ac:dyDescent="0.4">
      <c r="A40" s="37"/>
      <c r="C40" s="35"/>
      <c r="D40" s="7"/>
      <c r="E40" s="35"/>
      <c r="F40" s="35"/>
      <c r="G40" s="35"/>
      <c r="H40" s="38"/>
      <c r="I40" s="38"/>
      <c r="K40" s="35"/>
      <c r="M40" s="35"/>
      <c r="N40" s="35"/>
      <c r="O40" s="35"/>
      <c r="Q40" s="35"/>
      <c r="R40" s="2"/>
      <c r="S40" s="38"/>
    </row>
    <row r="41" spans="1:20" ht="13.15" x14ac:dyDescent="0.4">
      <c r="A41" s="22" t="s">
        <v>24</v>
      </c>
      <c r="C41" s="40"/>
      <c r="D41" s="70"/>
      <c r="E41" s="39"/>
      <c r="G41" s="3"/>
    </row>
    <row r="42" spans="1:20" x14ac:dyDescent="0.35">
      <c r="A42" s="22" t="s">
        <v>23</v>
      </c>
      <c r="D42" s="7"/>
      <c r="E42" s="7"/>
    </row>
    <row r="43" spans="1:20" ht="13.15" x14ac:dyDescent="0.4">
      <c r="A43" s="22"/>
      <c r="C43" s="40"/>
      <c r="D43" s="70"/>
      <c r="E43" s="39"/>
      <c r="G43" s="3"/>
      <c r="M43" s="79"/>
    </row>
    <row r="44" spans="1:20" ht="12.75" hidden="1" customHeight="1" x14ac:dyDescent="0.35">
      <c r="D44" s="7"/>
      <c r="E44" s="7"/>
    </row>
    <row r="45" spans="1:20" x14ac:dyDescent="0.35">
      <c r="A45" s="83" t="s">
        <v>52</v>
      </c>
      <c r="D45" s="7"/>
      <c r="E45" s="7"/>
    </row>
    <row r="46" spans="1:20" ht="13.9" x14ac:dyDescent="0.4">
      <c r="A46" s="83"/>
      <c r="B46" s="45"/>
      <c r="D46" s="7"/>
      <c r="E46" s="7"/>
    </row>
    <row r="47" spans="1:20" x14ac:dyDescent="0.35">
      <c r="A47" s="22"/>
      <c r="D47" s="7"/>
      <c r="E47" s="7"/>
    </row>
  </sheetData>
  <sheetProtection selectLockedCells="1" selectUnlockedCells="1"/>
  <customSheetViews>
    <customSheetView guid="{BBA05217-DB7A-4BBE-8392-822CC156171C}" scale="75" showPageBreaks="1" hiddenRows="1" hiddenColumns="1" view="pageBreakPreview" showRuler="0">
      <pane xSplit="1" ySplit="7" topLeftCell="B8" activePane="bottomRight" state="frozen"/>
      <selection pane="bottomRight" activeCell="G17" sqref="G17"/>
      <pageMargins left="0.25" right="0.25" top="0.5" bottom="0" header="0.5" footer="0.5"/>
      <printOptions horizontalCentered="1"/>
      <pageSetup paperSize="9" scale="85" orientation="landscape" horizontalDpi="300" verticalDpi="300" r:id="rId1"/>
      <headerFooter alignWithMargins="0"/>
    </customSheetView>
  </customSheetViews>
  <mergeCells count="17">
    <mergeCell ref="P5:Q6"/>
    <mergeCell ref="B5:E5"/>
    <mergeCell ref="H6:I6"/>
    <mergeCell ref="A1:T1"/>
    <mergeCell ref="A2:T2"/>
    <mergeCell ref="A3:T3"/>
    <mergeCell ref="N6:O6"/>
    <mergeCell ref="J6:K6"/>
    <mergeCell ref="L6:M6"/>
    <mergeCell ref="F5:I5"/>
    <mergeCell ref="F6:G6"/>
    <mergeCell ref="R5:S6"/>
    <mergeCell ref="D6:E6"/>
    <mergeCell ref="J5:O5"/>
    <mergeCell ref="A5:A7"/>
    <mergeCell ref="A4:Q4"/>
    <mergeCell ref="B6:C6"/>
  </mergeCells>
  <phoneticPr fontId="0" type="noConversion"/>
  <printOptions horizontalCentered="1" verticalCentered="1"/>
  <pageMargins left="0.55118110236220474" right="0.51181102362204722" top="0.51181102362204722" bottom="0" header="0.51181102362204722" footer="0.51181102362204722"/>
  <pageSetup paperSize="9" scale="83" orientation="landscape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W46"/>
  <sheetViews>
    <sheetView zoomScaleNormal="100" zoomScaleSheetLayoutView="85" workbookViewId="0">
      <pane ySplit="7" topLeftCell="A8" activePane="bottomLeft" state="frozen"/>
      <selection pane="bottomLeft" activeCell="D8" sqref="D8"/>
    </sheetView>
  </sheetViews>
  <sheetFormatPr defaultRowHeight="13.15" x14ac:dyDescent="0.4"/>
  <cols>
    <col min="1" max="1" width="7.59765625" customWidth="1"/>
    <col min="2" max="2" width="9.265625" style="12" bestFit="1" customWidth="1"/>
    <col min="3" max="3" width="10.73046875" style="2" customWidth="1"/>
    <col min="4" max="4" width="7.73046875" style="2" customWidth="1"/>
    <col min="5" max="5" width="8.59765625" style="2" customWidth="1"/>
    <col min="6" max="6" width="7.73046875" customWidth="1"/>
    <col min="7" max="7" width="8.3984375" customWidth="1"/>
    <col min="8" max="8" width="7.73046875" style="2" customWidth="1"/>
    <col min="9" max="9" width="8.59765625" style="2" customWidth="1"/>
    <col min="10" max="10" width="7.73046875" style="1" customWidth="1"/>
    <col min="11" max="11" width="8.73046875" style="1" customWidth="1"/>
    <col min="12" max="12" width="7.73046875" style="1" customWidth="1"/>
    <col min="13" max="13" width="8.59765625" style="1" customWidth="1"/>
    <col min="14" max="14" width="7.73046875" style="1" customWidth="1"/>
    <col min="15" max="15" width="8.3984375" style="1" customWidth="1"/>
    <col min="16" max="16" width="7.73046875" style="1" customWidth="1"/>
    <col min="17" max="17" width="9" style="1" customWidth="1"/>
    <col min="18" max="18" width="7.73046875" style="1" customWidth="1"/>
    <col min="19" max="19" width="9.59765625" customWidth="1"/>
    <col min="20" max="20" width="9.59765625" style="41" customWidth="1"/>
    <col min="21" max="21" width="10.86328125" style="12" customWidth="1"/>
  </cols>
  <sheetData>
    <row r="1" spans="1:23" ht="17.649999999999999" x14ac:dyDescent="0.5">
      <c r="A1" s="221" t="s">
        <v>51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221"/>
      <c r="P1" s="221"/>
      <c r="Q1" s="221"/>
      <c r="R1" s="221"/>
      <c r="S1" s="221"/>
      <c r="T1" s="221"/>
      <c r="U1" s="221"/>
    </row>
    <row r="2" spans="1:23" ht="15" x14ac:dyDescent="0.4">
      <c r="A2" s="239" t="s">
        <v>9</v>
      </c>
      <c r="B2" s="239"/>
      <c r="C2" s="239"/>
      <c r="D2" s="239"/>
      <c r="E2" s="239"/>
      <c r="F2" s="239"/>
      <c r="G2" s="239"/>
      <c r="H2" s="239"/>
      <c r="I2" s="239"/>
      <c r="J2" s="239"/>
      <c r="K2" s="239"/>
      <c r="L2" s="239"/>
      <c r="M2" s="239"/>
      <c r="N2" s="239"/>
      <c r="O2" s="239"/>
      <c r="P2" s="239"/>
      <c r="Q2" s="239"/>
      <c r="R2" s="239"/>
      <c r="S2" s="239"/>
      <c r="T2" s="239"/>
      <c r="U2" s="239"/>
    </row>
    <row r="3" spans="1:23" ht="15" x14ac:dyDescent="0.4">
      <c r="A3" s="223" t="s">
        <v>55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</row>
    <row r="4" spans="1:23" ht="9" customHeight="1" thickBot="1" x14ac:dyDescent="0.4">
      <c r="A4" s="241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</row>
    <row r="5" spans="1:23" ht="25.5" customHeight="1" x14ac:dyDescent="0.35">
      <c r="A5" s="254" t="s">
        <v>0</v>
      </c>
      <c r="B5" s="248" t="s">
        <v>33</v>
      </c>
      <c r="C5" s="249"/>
      <c r="D5" s="195" t="s">
        <v>10</v>
      </c>
      <c r="E5" s="196"/>
      <c r="F5" s="195" t="s">
        <v>11</v>
      </c>
      <c r="G5" s="196"/>
      <c r="H5" s="237" t="s">
        <v>6</v>
      </c>
      <c r="I5" s="238"/>
      <c r="J5" s="195" t="s">
        <v>8</v>
      </c>
      <c r="K5" s="196"/>
      <c r="L5" s="195" t="s">
        <v>12</v>
      </c>
      <c r="M5" s="196"/>
      <c r="N5" s="195" t="s">
        <v>40</v>
      </c>
      <c r="O5" s="196"/>
      <c r="P5" s="195" t="s">
        <v>41</v>
      </c>
      <c r="Q5" s="196"/>
      <c r="R5" s="195" t="s">
        <v>13</v>
      </c>
      <c r="S5" s="240"/>
      <c r="T5" s="195" t="s">
        <v>32</v>
      </c>
      <c r="U5" s="240"/>
    </row>
    <row r="6" spans="1:23" ht="10.5" customHeight="1" x14ac:dyDescent="0.35">
      <c r="A6" s="254"/>
      <c r="B6" s="243" t="s">
        <v>31</v>
      </c>
      <c r="C6" s="246" t="s">
        <v>30</v>
      </c>
      <c r="D6" s="193" t="s">
        <v>21</v>
      </c>
      <c r="E6" s="204" t="s">
        <v>22</v>
      </c>
      <c r="F6" s="204" t="s">
        <v>21</v>
      </c>
      <c r="G6" s="204" t="s">
        <v>22</v>
      </c>
      <c r="H6" s="204" t="s">
        <v>21</v>
      </c>
      <c r="I6" s="204" t="s">
        <v>22</v>
      </c>
      <c r="J6" s="204" t="s">
        <v>21</v>
      </c>
      <c r="K6" s="204" t="s">
        <v>22</v>
      </c>
      <c r="L6" s="204" t="s">
        <v>21</v>
      </c>
      <c r="M6" s="204" t="s">
        <v>22</v>
      </c>
      <c r="N6" s="204" t="s">
        <v>21</v>
      </c>
      <c r="O6" s="204" t="s">
        <v>22</v>
      </c>
      <c r="P6" s="204" t="s">
        <v>21</v>
      </c>
      <c r="Q6" s="204" t="s">
        <v>22</v>
      </c>
      <c r="R6" s="204" t="s">
        <v>21</v>
      </c>
      <c r="S6" s="250" t="s">
        <v>22</v>
      </c>
      <c r="T6" s="252" t="s">
        <v>31</v>
      </c>
      <c r="U6" s="256" t="s">
        <v>30</v>
      </c>
    </row>
    <row r="7" spans="1:23" ht="9.75" customHeight="1" thickBot="1" x14ac:dyDescent="0.4">
      <c r="A7" s="255"/>
      <c r="B7" s="244"/>
      <c r="C7" s="247"/>
      <c r="D7" s="242"/>
      <c r="E7" s="245"/>
      <c r="F7" s="245"/>
      <c r="G7" s="245"/>
      <c r="H7" s="245"/>
      <c r="I7" s="245"/>
      <c r="J7" s="245"/>
      <c r="K7" s="245"/>
      <c r="L7" s="245"/>
      <c r="M7" s="245"/>
      <c r="N7" s="245"/>
      <c r="O7" s="245"/>
      <c r="P7" s="245"/>
      <c r="Q7" s="245"/>
      <c r="R7" s="245"/>
      <c r="S7" s="251"/>
      <c r="T7" s="253"/>
      <c r="U7" s="257"/>
    </row>
    <row r="8" spans="1:23" s="13" customFormat="1" ht="15.75" customHeight="1" x14ac:dyDescent="0.35">
      <c r="A8" s="69">
        <v>45352</v>
      </c>
      <c r="B8" s="112">
        <v>1200</v>
      </c>
      <c r="C8" s="89">
        <f>B8*1.72</f>
        <v>2064</v>
      </c>
      <c r="D8" s="137">
        <v>38916</v>
      </c>
      <c r="E8" s="75">
        <f>D8-38896</f>
        <v>20</v>
      </c>
      <c r="F8" s="141">
        <v>49452</v>
      </c>
      <c r="G8" s="75">
        <f>F8-49440</f>
        <v>12</v>
      </c>
      <c r="H8" s="139">
        <v>72681</v>
      </c>
      <c r="I8" s="51">
        <f>H8-72664</f>
        <v>17</v>
      </c>
      <c r="J8" s="140">
        <v>17278</v>
      </c>
      <c r="K8" s="51">
        <f>J8-17276</f>
        <v>2</v>
      </c>
      <c r="L8" s="142">
        <v>29625</v>
      </c>
      <c r="M8" s="108">
        <f>L8-29622</f>
        <v>3</v>
      </c>
      <c r="N8" s="139">
        <v>9449</v>
      </c>
      <c r="O8" s="76">
        <f>N8-9442</f>
        <v>7</v>
      </c>
      <c r="P8" s="143">
        <v>42956</v>
      </c>
      <c r="Q8" s="76">
        <f>P8-42942</f>
        <v>14</v>
      </c>
      <c r="R8" s="144">
        <v>15964</v>
      </c>
      <c r="S8" s="64">
        <f>R8-15964</f>
        <v>0</v>
      </c>
      <c r="T8" s="109"/>
      <c r="U8" s="89">
        <f>T8*1.66</f>
        <v>0</v>
      </c>
    </row>
    <row r="9" spans="1:23" s="13" customFormat="1" ht="15" customHeight="1" x14ac:dyDescent="0.35">
      <c r="A9" s="69">
        <v>45353</v>
      </c>
      <c r="B9" s="90"/>
      <c r="C9" s="89">
        <f>B9*1.55</f>
        <v>0</v>
      </c>
      <c r="D9" s="137">
        <v>38929</v>
      </c>
      <c r="E9" s="75">
        <f t="shared" ref="E9:E33" si="0">D9-D8</f>
        <v>13</v>
      </c>
      <c r="F9" s="141">
        <v>49465</v>
      </c>
      <c r="G9" s="75">
        <f t="shared" ref="G9:G38" si="1">F9-F8</f>
        <v>13</v>
      </c>
      <c r="H9" s="139">
        <v>72699</v>
      </c>
      <c r="I9" s="51">
        <f t="shared" ref="I9:I38" si="2">H9-H8</f>
        <v>18</v>
      </c>
      <c r="J9" s="140">
        <v>17281</v>
      </c>
      <c r="K9" s="51">
        <f t="shared" ref="K9:K38" si="3">J9-J8</f>
        <v>3</v>
      </c>
      <c r="L9" s="142">
        <v>29628</v>
      </c>
      <c r="M9" s="108">
        <f t="shared" ref="M9:M38" si="4">L9-L8</f>
        <v>3</v>
      </c>
      <c r="N9" s="139">
        <v>9457</v>
      </c>
      <c r="O9" s="76">
        <f t="shared" ref="O9:O38" si="5">N9-N8</f>
        <v>8</v>
      </c>
      <c r="P9" s="143">
        <v>42973</v>
      </c>
      <c r="Q9" s="76">
        <f>P9-P8</f>
        <v>17</v>
      </c>
      <c r="R9" s="144">
        <v>15965</v>
      </c>
      <c r="S9" s="64">
        <f>R9-R8</f>
        <v>1</v>
      </c>
      <c r="T9" s="110"/>
      <c r="U9" s="115">
        <f>T9*2.17</f>
        <v>0</v>
      </c>
      <c r="W9" s="78"/>
    </row>
    <row r="10" spans="1:23" ht="15" customHeight="1" x14ac:dyDescent="0.35">
      <c r="A10" s="69">
        <v>45354</v>
      </c>
      <c r="B10" s="90"/>
      <c r="C10" s="89">
        <f>B10*1.76</f>
        <v>0</v>
      </c>
      <c r="D10" s="137">
        <v>38940</v>
      </c>
      <c r="E10" s="75">
        <f t="shared" si="0"/>
        <v>11</v>
      </c>
      <c r="F10" s="141">
        <v>49477</v>
      </c>
      <c r="G10" s="75">
        <f t="shared" si="1"/>
        <v>12</v>
      </c>
      <c r="H10" s="139">
        <v>72717</v>
      </c>
      <c r="I10" s="51">
        <f t="shared" si="2"/>
        <v>18</v>
      </c>
      <c r="J10" s="140">
        <v>17284</v>
      </c>
      <c r="K10" s="51">
        <f t="shared" si="3"/>
        <v>3</v>
      </c>
      <c r="L10" s="142">
        <v>29633</v>
      </c>
      <c r="M10" s="108">
        <f t="shared" si="4"/>
        <v>5</v>
      </c>
      <c r="N10" s="139">
        <v>9466</v>
      </c>
      <c r="O10" s="76">
        <f t="shared" si="5"/>
        <v>9</v>
      </c>
      <c r="P10" s="143">
        <v>42988</v>
      </c>
      <c r="Q10" s="76">
        <f t="shared" ref="Q10:Q38" si="6">P10-P9</f>
        <v>15</v>
      </c>
      <c r="R10" s="144">
        <v>15965</v>
      </c>
      <c r="S10" s="64">
        <f t="shared" ref="S10:S38" si="7">R10-R9</f>
        <v>0</v>
      </c>
      <c r="T10" s="89"/>
      <c r="U10" s="115">
        <f>T10*2.29</f>
        <v>0</v>
      </c>
    </row>
    <row r="11" spans="1:23" ht="15" customHeight="1" x14ac:dyDescent="0.35">
      <c r="A11" s="69">
        <v>45355</v>
      </c>
      <c r="B11" s="90"/>
      <c r="C11" s="89">
        <f>B11*1.35</f>
        <v>0</v>
      </c>
      <c r="D11" s="137">
        <v>38952</v>
      </c>
      <c r="E11" s="75">
        <f t="shared" si="0"/>
        <v>12</v>
      </c>
      <c r="F11" s="141">
        <v>49490</v>
      </c>
      <c r="G11" s="75">
        <f t="shared" si="1"/>
        <v>13</v>
      </c>
      <c r="H11" s="139">
        <v>72735</v>
      </c>
      <c r="I11" s="51">
        <f t="shared" si="2"/>
        <v>18</v>
      </c>
      <c r="J11" s="140">
        <v>17287</v>
      </c>
      <c r="K11" s="51">
        <f t="shared" si="3"/>
        <v>3</v>
      </c>
      <c r="L11" s="142">
        <v>29638</v>
      </c>
      <c r="M11" s="108">
        <f t="shared" si="4"/>
        <v>5</v>
      </c>
      <c r="N11" s="139">
        <v>9474</v>
      </c>
      <c r="O11" s="76">
        <f t="shared" si="5"/>
        <v>8</v>
      </c>
      <c r="P11" s="143">
        <v>43003</v>
      </c>
      <c r="Q11" s="76">
        <f t="shared" si="6"/>
        <v>15</v>
      </c>
      <c r="R11" s="144">
        <v>15965</v>
      </c>
      <c r="S11" s="64">
        <f t="shared" si="7"/>
        <v>0</v>
      </c>
      <c r="T11" s="89"/>
      <c r="U11" s="89">
        <f>T11*2.37</f>
        <v>0</v>
      </c>
      <c r="W11" s="79"/>
    </row>
    <row r="12" spans="1:23" ht="15" customHeight="1" x14ac:dyDescent="0.35">
      <c r="A12" s="69">
        <v>45356</v>
      </c>
      <c r="B12" s="90"/>
      <c r="C12" s="89">
        <f>B12*1.71</f>
        <v>0</v>
      </c>
      <c r="D12" s="137">
        <v>38963</v>
      </c>
      <c r="E12" s="75">
        <f t="shared" si="0"/>
        <v>11</v>
      </c>
      <c r="F12" s="141">
        <v>49501</v>
      </c>
      <c r="G12" s="75">
        <f t="shared" si="1"/>
        <v>11</v>
      </c>
      <c r="H12" s="139">
        <v>72753</v>
      </c>
      <c r="I12" s="51">
        <f t="shared" si="2"/>
        <v>18</v>
      </c>
      <c r="J12" s="140">
        <v>17292</v>
      </c>
      <c r="K12" s="51">
        <f t="shared" si="3"/>
        <v>5</v>
      </c>
      <c r="L12" s="142">
        <v>29641</v>
      </c>
      <c r="M12" s="108">
        <f t="shared" si="4"/>
        <v>3</v>
      </c>
      <c r="N12" s="139">
        <v>9480</v>
      </c>
      <c r="O12" s="76">
        <f t="shared" si="5"/>
        <v>6</v>
      </c>
      <c r="P12" s="143">
        <v>43020</v>
      </c>
      <c r="Q12" s="76">
        <f t="shared" si="6"/>
        <v>17</v>
      </c>
      <c r="R12" s="144">
        <v>15966</v>
      </c>
      <c r="S12" s="64">
        <f t="shared" si="7"/>
        <v>1</v>
      </c>
      <c r="T12" s="89"/>
      <c r="U12" s="89">
        <f>T12*1.73</f>
        <v>0</v>
      </c>
    </row>
    <row r="13" spans="1:23" ht="15" customHeight="1" x14ac:dyDescent="0.35">
      <c r="A13" s="69">
        <v>45357</v>
      </c>
      <c r="B13" s="90"/>
      <c r="C13" s="89">
        <f>B13*1.95</f>
        <v>0</v>
      </c>
      <c r="D13" s="137">
        <v>38980</v>
      </c>
      <c r="E13" s="75">
        <f t="shared" si="0"/>
        <v>17</v>
      </c>
      <c r="F13" s="141">
        <v>49512</v>
      </c>
      <c r="G13" s="51">
        <f t="shared" si="1"/>
        <v>11</v>
      </c>
      <c r="H13" s="139">
        <v>72772</v>
      </c>
      <c r="I13" s="51">
        <f t="shared" si="2"/>
        <v>19</v>
      </c>
      <c r="J13" s="140">
        <v>17297</v>
      </c>
      <c r="K13" s="51">
        <f t="shared" si="3"/>
        <v>5</v>
      </c>
      <c r="L13" s="142">
        <v>29645</v>
      </c>
      <c r="M13" s="108">
        <f t="shared" si="4"/>
        <v>4</v>
      </c>
      <c r="N13" s="139">
        <v>9487</v>
      </c>
      <c r="O13" s="76">
        <f t="shared" si="5"/>
        <v>7</v>
      </c>
      <c r="P13" s="143">
        <v>43036</v>
      </c>
      <c r="Q13" s="76">
        <f t="shared" si="6"/>
        <v>16</v>
      </c>
      <c r="R13" s="144">
        <v>15966</v>
      </c>
      <c r="S13" s="64">
        <f t="shared" si="7"/>
        <v>0</v>
      </c>
      <c r="T13" s="89"/>
      <c r="U13" s="89">
        <f>T13*2.29</f>
        <v>0</v>
      </c>
    </row>
    <row r="14" spans="1:23" ht="15" customHeight="1" x14ac:dyDescent="0.35">
      <c r="A14" s="69">
        <v>45358</v>
      </c>
      <c r="B14" s="90"/>
      <c r="C14" s="89">
        <f>B14*1.18</f>
        <v>0</v>
      </c>
      <c r="D14" s="137">
        <v>39007</v>
      </c>
      <c r="E14" s="75">
        <f t="shared" si="0"/>
        <v>27</v>
      </c>
      <c r="F14" s="141">
        <v>49524</v>
      </c>
      <c r="G14" s="51">
        <f t="shared" si="1"/>
        <v>12</v>
      </c>
      <c r="H14" s="139">
        <v>72791</v>
      </c>
      <c r="I14" s="51">
        <f t="shared" si="2"/>
        <v>19</v>
      </c>
      <c r="J14" s="140">
        <v>17299</v>
      </c>
      <c r="K14" s="51">
        <f t="shared" si="3"/>
        <v>2</v>
      </c>
      <c r="L14" s="142">
        <v>29650</v>
      </c>
      <c r="M14" s="108">
        <f t="shared" si="4"/>
        <v>5</v>
      </c>
      <c r="N14" s="139">
        <v>9494</v>
      </c>
      <c r="O14" s="76">
        <f t="shared" si="5"/>
        <v>7</v>
      </c>
      <c r="P14" s="143">
        <v>43052</v>
      </c>
      <c r="Q14" s="76">
        <f t="shared" si="6"/>
        <v>16</v>
      </c>
      <c r="R14" s="144">
        <v>15966</v>
      </c>
      <c r="S14" s="64">
        <f t="shared" si="7"/>
        <v>0</v>
      </c>
      <c r="T14" s="89"/>
      <c r="U14" s="89">
        <f>T14*2.37</f>
        <v>0</v>
      </c>
    </row>
    <row r="15" spans="1:23" ht="15.75" customHeight="1" x14ac:dyDescent="0.35">
      <c r="A15" s="69">
        <v>45359</v>
      </c>
      <c r="B15" s="90"/>
      <c r="C15" s="89">
        <f>B15*0</f>
        <v>0</v>
      </c>
      <c r="D15" s="137">
        <v>39034</v>
      </c>
      <c r="E15" s="75">
        <f t="shared" si="0"/>
        <v>27</v>
      </c>
      <c r="F15" s="141">
        <v>49537</v>
      </c>
      <c r="G15" s="51">
        <f t="shared" si="1"/>
        <v>13</v>
      </c>
      <c r="H15" s="139">
        <v>72810</v>
      </c>
      <c r="I15" s="51">
        <f t="shared" si="2"/>
        <v>19</v>
      </c>
      <c r="J15" s="140">
        <v>17302</v>
      </c>
      <c r="K15" s="51">
        <f t="shared" si="3"/>
        <v>3</v>
      </c>
      <c r="L15" s="142">
        <v>29654</v>
      </c>
      <c r="M15" s="108">
        <f t="shared" si="4"/>
        <v>4</v>
      </c>
      <c r="N15" s="139">
        <v>9501</v>
      </c>
      <c r="O15" s="76">
        <f t="shared" si="5"/>
        <v>7</v>
      </c>
      <c r="P15" s="143">
        <v>43068</v>
      </c>
      <c r="Q15" s="76">
        <f t="shared" si="6"/>
        <v>16</v>
      </c>
      <c r="R15" s="144">
        <v>15966</v>
      </c>
      <c r="S15" s="64">
        <f t="shared" si="7"/>
        <v>0</v>
      </c>
      <c r="T15" s="89"/>
      <c r="U15" s="89">
        <f>T15*1.97</f>
        <v>0</v>
      </c>
    </row>
    <row r="16" spans="1:23" ht="15" customHeight="1" x14ac:dyDescent="0.35">
      <c r="A16" s="69">
        <v>45360</v>
      </c>
      <c r="B16" s="91"/>
      <c r="C16" s="89">
        <f>B16*1.31</f>
        <v>0</v>
      </c>
      <c r="D16" s="137">
        <v>39064</v>
      </c>
      <c r="E16" s="75">
        <f t="shared" si="0"/>
        <v>30</v>
      </c>
      <c r="F16" s="141">
        <v>49552</v>
      </c>
      <c r="G16" s="51">
        <f t="shared" si="1"/>
        <v>15</v>
      </c>
      <c r="H16" s="139">
        <v>72829</v>
      </c>
      <c r="I16" s="51">
        <f t="shared" si="2"/>
        <v>19</v>
      </c>
      <c r="J16" s="140">
        <v>17306</v>
      </c>
      <c r="K16" s="51">
        <f t="shared" si="3"/>
        <v>4</v>
      </c>
      <c r="L16" s="142">
        <v>29658</v>
      </c>
      <c r="M16" s="108">
        <f t="shared" si="4"/>
        <v>4</v>
      </c>
      <c r="N16" s="139">
        <v>9507</v>
      </c>
      <c r="O16" s="76">
        <f t="shared" si="5"/>
        <v>6</v>
      </c>
      <c r="P16" s="143">
        <v>43084</v>
      </c>
      <c r="Q16" s="76">
        <f t="shared" si="6"/>
        <v>16</v>
      </c>
      <c r="R16" s="144">
        <v>15966</v>
      </c>
      <c r="S16" s="64">
        <f t="shared" si="7"/>
        <v>0</v>
      </c>
      <c r="T16" s="89"/>
      <c r="U16" s="89">
        <f>T16*1.25</f>
        <v>0</v>
      </c>
    </row>
    <row r="17" spans="1:21" ht="15" customHeight="1" x14ac:dyDescent="0.35">
      <c r="A17" s="69">
        <v>45361</v>
      </c>
      <c r="B17" s="89"/>
      <c r="C17" s="89">
        <f>B17*1.72</f>
        <v>0</v>
      </c>
      <c r="D17" s="137">
        <v>39080</v>
      </c>
      <c r="E17" s="75">
        <f t="shared" si="0"/>
        <v>16</v>
      </c>
      <c r="F17" s="141">
        <v>49565</v>
      </c>
      <c r="G17" s="51">
        <f t="shared" si="1"/>
        <v>13</v>
      </c>
      <c r="H17" s="139">
        <v>72847</v>
      </c>
      <c r="I17" s="51">
        <f t="shared" si="2"/>
        <v>18</v>
      </c>
      <c r="J17" s="140">
        <v>17310</v>
      </c>
      <c r="K17" s="51">
        <f t="shared" si="3"/>
        <v>4</v>
      </c>
      <c r="L17" s="142">
        <v>29660</v>
      </c>
      <c r="M17" s="108">
        <f t="shared" si="4"/>
        <v>2</v>
      </c>
      <c r="N17" s="139">
        <v>9515</v>
      </c>
      <c r="O17" s="76">
        <f t="shared" si="5"/>
        <v>8</v>
      </c>
      <c r="P17" s="143">
        <v>43097</v>
      </c>
      <c r="Q17" s="76">
        <f t="shared" si="6"/>
        <v>13</v>
      </c>
      <c r="R17" s="144">
        <v>15967</v>
      </c>
      <c r="S17" s="64">
        <f t="shared" si="7"/>
        <v>1</v>
      </c>
      <c r="T17" s="91"/>
      <c r="U17" s="89">
        <f>T17*2.29</f>
        <v>0</v>
      </c>
    </row>
    <row r="18" spans="1:21" ht="15" customHeight="1" x14ac:dyDescent="0.35">
      <c r="A18" s="69">
        <v>45362</v>
      </c>
      <c r="B18" s="89">
        <v>1600</v>
      </c>
      <c r="C18" s="89">
        <f>B18*1.72</f>
        <v>2752</v>
      </c>
      <c r="D18" s="137">
        <v>39095</v>
      </c>
      <c r="E18" s="75">
        <f t="shared" si="0"/>
        <v>15</v>
      </c>
      <c r="F18" s="141">
        <v>49577</v>
      </c>
      <c r="G18" s="51">
        <f t="shared" si="1"/>
        <v>12</v>
      </c>
      <c r="H18" s="139">
        <v>72865</v>
      </c>
      <c r="I18" s="51">
        <f t="shared" si="2"/>
        <v>18</v>
      </c>
      <c r="J18" s="140">
        <v>17313</v>
      </c>
      <c r="K18" s="51">
        <f t="shared" si="3"/>
        <v>3</v>
      </c>
      <c r="L18" s="142">
        <v>29665</v>
      </c>
      <c r="M18" s="108">
        <f t="shared" si="4"/>
        <v>5</v>
      </c>
      <c r="N18" s="139">
        <v>9523</v>
      </c>
      <c r="O18" s="76">
        <f t="shared" si="5"/>
        <v>8</v>
      </c>
      <c r="P18" s="143">
        <v>43113</v>
      </c>
      <c r="Q18" s="76">
        <f t="shared" si="6"/>
        <v>16</v>
      </c>
      <c r="R18" s="144">
        <v>15967</v>
      </c>
      <c r="S18" s="64">
        <f t="shared" si="7"/>
        <v>0</v>
      </c>
      <c r="T18" s="89"/>
      <c r="U18" s="89">
        <f>T18*2.37</f>
        <v>0</v>
      </c>
    </row>
    <row r="19" spans="1:21" ht="15" customHeight="1" x14ac:dyDescent="0.35">
      <c r="A19" s="69">
        <v>45363</v>
      </c>
      <c r="B19" s="89"/>
      <c r="C19" s="89">
        <f>B19*1.67</f>
        <v>0</v>
      </c>
      <c r="D19" s="137">
        <v>39117</v>
      </c>
      <c r="E19" s="75">
        <f t="shared" si="0"/>
        <v>22</v>
      </c>
      <c r="F19" s="141">
        <v>49589</v>
      </c>
      <c r="G19" s="51">
        <f t="shared" si="1"/>
        <v>12</v>
      </c>
      <c r="H19" s="139">
        <v>72883</v>
      </c>
      <c r="I19" s="51">
        <f t="shared" si="2"/>
        <v>18</v>
      </c>
      <c r="J19" s="140">
        <v>17316</v>
      </c>
      <c r="K19" s="51">
        <f t="shared" si="3"/>
        <v>3</v>
      </c>
      <c r="L19" s="142">
        <v>29668</v>
      </c>
      <c r="M19" s="108">
        <f t="shared" si="4"/>
        <v>3</v>
      </c>
      <c r="N19" s="139">
        <v>9529</v>
      </c>
      <c r="O19" s="76">
        <f t="shared" si="5"/>
        <v>6</v>
      </c>
      <c r="P19" s="143">
        <v>43125</v>
      </c>
      <c r="Q19" s="76">
        <f t="shared" si="6"/>
        <v>12</v>
      </c>
      <c r="R19" s="144">
        <v>15967</v>
      </c>
      <c r="S19" s="64">
        <f t="shared" si="7"/>
        <v>0</v>
      </c>
      <c r="T19" s="89"/>
      <c r="U19" s="89">
        <f>T19*1.46</f>
        <v>0</v>
      </c>
    </row>
    <row r="20" spans="1:21" ht="15" customHeight="1" x14ac:dyDescent="0.35">
      <c r="A20" s="69">
        <v>45364</v>
      </c>
      <c r="B20" s="89"/>
      <c r="C20" s="89">
        <f>B20*1.54</f>
        <v>0</v>
      </c>
      <c r="D20" s="137">
        <v>39137</v>
      </c>
      <c r="E20" s="75">
        <f t="shared" si="0"/>
        <v>20</v>
      </c>
      <c r="F20" s="141">
        <v>49589</v>
      </c>
      <c r="G20" s="51">
        <f t="shared" si="1"/>
        <v>0</v>
      </c>
      <c r="H20" s="139">
        <v>72900</v>
      </c>
      <c r="I20" s="51">
        <f t="shared" si="2"/>
        <v>17</v>
      </c>
      <c r="J20" s="140">
        <v>17318</v>
      </c>
      <c r="K20" s="51">
        <f t="shared" si="3"/>
        <v>2</v>
      </c>
      <c r="L20" s="142">
        <v>29671</v>
      </c>
      <c r="M20" s="108">
        <f t="shared" si="4"/>
        <v>3</v>
      </c>
      <c r="N20" s="138">
        <v>9535</v>
      </c>
      <c r="O20" s="76">
        <f t="shared" si="5"/>
        <v>6</v>
      </c>
      <c r="P20" s="143">
        <v>43140</v>
      </c>
      <c r="Q20" s="76">
        <f t="shared" si="6"/>
        <v>15</v>
      </c>
      <c r="R20" s="144">
        <v>15968</v>
      </c>
      <c r="S20" s="64">
        <f t="shared" si="7"/>
        <v>1</v>
      </c>
      <c r="T20" s="91"/>
      <c r="U20" s="89">
        <f>T20*2.37</f>
        <v>0</v>
      </c>
    </row>
    <row r="21" spans="1:21" ht="15" customHeight="1" x14ac:dyDescent="0.35">
      <c r="A21" s="69">
        <v>45365</v>
      </c>
      <c r="B21" s="89"/>
      <c r="C21" s="89">
        <f>B21*1.92</f>
        <v>0</v>
      </c>
      <c r="D21" s="137">
        <v>39162</v>
      </c>
      <c r="E21" s="75">
        <f t="shared" si="0"/>
        <v>25</v>
      </c>
      <c r="F21" s="141">
        <v>49602</v>
      </c>
      <c r="G21" s="51">
        <f t="shared" si="1"/>
        <v>13</v>
      </c>
      <c r="H21" s="187">
        <v>72918</v>
      </c>
      <c r="I21" s="51">
        <f t="shared" si="2"/>
        <v>18</v>
      </c>
      <c r="J21" s="140">
        <v>17321</v>
      </c>
      <c r="K21" s="51">
        <f t="shared" si="3"/>
        <v>3</v>
      </c>
      <c r="L21" s="142">
        <v>29675</v>
      </c>
      <c r="M21" s="108">
        <f t="shared" si="4"/>
        <v>4</v>
      </c>
      <c r="N21" s="138">
        <v>9543</v>
      </c>
      <c r="O21" s="76">
        <f t="shared" si="5"/>
        <v>8</v>
      </c>
      <c r="P21" s="143">
        <v>43157</v>
      </c>
      <c r="Q21" s="76">
        <f t="shared" si="6"/>
        <v>17</v>
      </c>
      <c r="R21" s="144">
        <v>15968</v>
      </c>
      <c r="S21" s="64">
        <f t="shared" si="7"/>
        <v>0</v>
      </c>
      <c r="T21" s="91"/>
      <c r="U21" s="89">
        <f>T21*1.97</f>
        <v>0</v>
      </c>
    </row>
    <row r="22" spans="1:21" ht="15" customHeight="1" x14ac:dyDescent="0.35">
      <c r="A22" s="69">
        <v>45366</v>
      </c>
      <c r="B22" s="89"/>
      <c r="C22" s="89">
        <f>B22*2.1</f>
        <v>0</v>
      </c>
      <c r="D22" s="137">
        <v>39181</v>
      </c>
      <c r="E22" s="75">
        <f t="shared" si="0"/>
        <v>19</v>
      </c>
      <c r="F22" s="141">
        <v>49617</v>
      </c>
      <c r="G22" s="51">
        <f t="shared" si="1"/>
        <v>15</v>
      </c>
      <c r="H22" s="139">
        <v>72934</v>
      </c>
      <c r="I22" s="51">
        <f t="shared" si="2"/>
        <v>16</v>
      </c>
      <c r="J22" s="140">
        <v>17325</v>
      </c>
      <c r="K22" s="51">
        <f t="shared" si="3"/>
        <v>4</v>
      </c>
      <c r="L22" s="142">
        <v>29679</v>
      </c>
      <c r="M22" s="108">
        <f t="shared" si="4"/>
        <v>4</v>
      </c>
      <c r="N22" s="138">
        <v>9550</v>
      </c>
      <c r="O22" s="76">
        <f t="shared" si="5"/>
        <v>7</v>
      </c>
      <c r="P22" s="143">
        <v>43173</v>
      </c>
      <c r="Q22" s="76">
        <f t="shared" si="6"/>
        <v>16</v>
      </c>
      <c r="R22" s="144">
        <v>15968</v>
      </c>
      <c r="S22" s="64">
        <f t="shared" si="7"/>
        <v>0</v>
      </c>
      <c r="T22" s="89"/>
      <c r="U22" s="89">
        <f>T22*2.1</f>
        <v>0</v>
      </c>
    </row>
    <row r="23" spans="1:21" ht="15" customHeight="1" x14ac:dyDescent="0.35">
      <c r="A23" s="69">
        <v>45367</v>
      </c>
      <c r="B23" s="89"/>
      <c r="C23" s="89">
        <f>B23*1.31</f>
        <v>0</v>
      </c>
      <c r="D23" s="137">
        <v>39204</v>
      </c>
      <c r="E23" s="75">
        <f t="shared" si="0"/>
        <v>23</v>
      </c>
      <c r="F23" s="141">
        <v>49629</v>
      </c>
      <c r="G23" s="51">
        <f t="shared" si="1"/>
        <v>12</v>
      </c>
      <c r="H23" s="139">
        <v>72952</v>
      </c>
      <c r="I23" s="51">
        <f t="shared" si="2"/>
        <v>18</v>
      </c>
      <c r="J23" s="140">
        <v>17328</v>
      </c>
      <c r="K23" s="51">
        <f t="shared" si="3"/>
        <v>3</v>
      </c>
      <c r="L23" s="142">
        <v>29682</v>
      </c>
      <c r="M23" s="108">
        <f t="shared" si="4"/>
        <v>3</v>
      </c>
      <c r="N23" s="138">
        <v>9556</v>
      </c>
      <c r="O23" s="76">
        <f t="shared" si="5"/>
        <v>6</v>
      </c>
      <c r="P23" s="143">
        <v>43187</v>
      </c>
      <c r="Q23" s="76">
        <f t="shared" si="6"/>
        <v>14</v>
      </c>
      <c r="R23" s="144">
        <v>15968</v>
      </c>
      <c r="S23" s="64">
        <f t="shared" si="7"/>
        <v>0</v>
      </c>
      <c r="T23" s="89"/>
      <c r="U23" s="89">
        <f>T23*1.82</f>
        <v>0</v>
      </c>
    </row>
    <row r="24" spans="1:21" ht="16.5" customHeight="1" x14ac:dyDescent="0.35">
      <c r="A24" s="69">
        <v>45368</v>
      </c>
      <c r="B24" s="89"/>
      <c r="C24" s="89">
        <f>B24*1.94</f>
        <v>0</v>
      </c>
      <c r="D24" s="137">
        <v>39218</v>
      </c>
      <c r="E24" s="75">
        <f t="shared" si="0"/>
        <v>14</v>
      </c>
      <c r="F24" s="141">
        <v>49641</v>
      </c>
      <c r="G24" s="51">
        <f t="shared" si="1"/>
        <v>12</v>
      </c>
      <c r="H24" s="139">
        <v>72968</v>
      </c>
      <c r="I24" s="51">
        <f t="shared" si="2"/>
        <v>16</v>
      </c>
      <c r="J24" s="140">
        <v>17331</v>
      </c>
      <c r="K24" s="51">
        <f t="shared" si="3"/>
        <v>3</v>
      </c>
      <c r="L24" s="142">
        <v>29686</v>
      </c>
      <c r="M24" s="108">
        <f t="shared" si="4"/>
        <v>4</v>
      </c>
      <c r="N24" s="138">
        <v>9563</v>
      </c>
      <c r="O24" s="76">
        <f t="shared" si="5"/>
        <v>7</v>
      </c>
      <c r="P24" s="143">
        <v>43203</v>
      </c>
      <c r="Q24" s="76">
        <f t="shared" si="6"/>
        <v>16</v>
      </c>
      <c r="R24" s="144">
        <v>15969</v>
      </c>
      <c r="S24" s="64">
        <f t="shared" si="7"/>
        <v>1</v>
      </c>
      <c r="T24" s="89"/>
      <c r="U24" s="89">
        <f>T24*2.29</f>
        <v>0</v>
      </c>
    </row>
    <row r="25" spans="1:21" ht="15" customHeight="1" x14ac:dyDescent="0.35">
      <c r="A25" s="69">
        <v>45369</v>
      </c>
      <c r="B25" s="89"/>
      <c r="C25" s="89">
        <f>B25*2.37</f>
        <v>0</v>
      </c>
      <c r="D25" s="137">
        <v>39231</v>
      </c>
      <c r="E25" s="75">
        <f t="shared" si="0"/>
        <v>13</v>
      </c>
      <c r="F25" s="141">
        <v>49653</v>
      </c>
      <c r="G25" s="51">
        <f t="shared" si="1"/>
        <v>12</v>
      </c>
      <c r="H25" s="139">
        <v>72985</v>
      </c>
      <c r="I25" s="51">
        <f t="shared" si="2"/>
        <v>17</v>
      </c>
      <c r="J25" s="140">
        <v>17334</v>
      </c>
      <c r="K25" s="51">
        <f t="shared" si="3"/>
        <v>3</v>
      </c>
      <c r="L25" s="142">
        <v>29690</v>
      </c>
      <c r="M25" s="108">
        <f t="shared" si="4"/>
        <v>4</v>
      </c>
      <c r="N25" s="138">
        <v>9569</v>
      </c>
      <c r="O25" s="76">
        <f t="shared" si="5"/>
        <v>6</v>
      </c>
      <c r="P25" s="143">
        <v>43218</v>
      </c>
      <c r="Q25" s="76">
        <f t="shared" si="6"/>
        <v>15</v>
      </c>
      <c r="R25" s="144">
        <v>15969</v>
      </c>
      <c r="S25" s="64">
        <f t="shared" si="7"/>
        <v>0</v>
      </c>
      <c r="T25" s="89"/>
      <c r="U25" s="89">
        <f>T25*2.37</f>
        <v>0</v>
      </c>
    </row>
    <row r="26" spans="1:21" ht="15" customHeight="1" x14ac:dyDescent="0.35">
      <c r="A26" s="69">
        <v>45370</v>
      </c>
      <c r="B26" s="89"/>
      <c r="C26" s="89">
        <f>B26*1.54</f>
        <v>0</v>
      </c>
      <c r="D26" s="137">
        <v>39244</v>
      </c>
      <c r="E26" s="75">
        <f t="shared" si="0"/>
        <v>13</v>
      </c>
      <c r="F26" s="141">
        <v>49666</v>
      </c>
      <c r="G26" s="51">
        <f t="shared" si="1"/>
        <v>13</v>
      </c>
      <c r="H26" s="139">
        <v>73003</v>
      </c>
      <c r="I26" s="51">
        <f t="shared" si="2"/>
        <v>18</v>
      </c>
      <c r="J26" s="140">
        <v>17338</v>
      </c>
      <c r="K26" s="51">
        <f t="shared" si="3"/>
        <v>4</v>
      </c>
      <c r="L26" s="142">
        <v>29693</v>
      </c>
      <c r="M26" s="108">
        <f t="shared" si="4"/>
        <v>3</v>
      </c>
      <c r="N26" s="138">
        <v>9574</v>
      </c>
      <c r="O26" s="76">
        <f t="shared" si="5"/>
        <v>5</v>
      </c>
      <c r="P26" s="143">
        <v>43232</v>
      </c>
      <c r="Q26" s="76">
        <f t="shared" si="6"/>
        <v>14</v>
      </c>
      <c r="R26" s="144">
        <v>15969</v>
      </c>
      <c r="S26" s="64">
        <f t="shared" si="7"/>
        <v>0</v>
      </c>
      <c r="T26" s="89"/>
      <c r="U26" s="89">
        <f>T26*1.66</f>
        <v>0</v>
      </c>
    </row>
    <row r="27" spans="1:21" ht="15" customHeight="1" x14ac:dyDescent="0.35">
      <c r="A27" s="69">
        <v>45371</v>
      </c>
      <c r="B27" s="89">
        <v>1150</v>
      </c>
      <c r="C27" s="89">
        <f>B27*1.72</f>
        <v>1978</v>
      </c>
      <c r="D27" s="137">
        <v>39259</v>
      </c>
      <c r="E27" s="75">
        <f t="shared" si="0"/>
        <v>15</v>
      </c>
      <c r="F27" s="141">
        <v>49677</v>
      </c>
      <c r="G27" s="51">
        <f t="shared" si="1"/>
        <v>11</v>
      </c>
      <c r="H27" s="139">
        <v>73020</v>
      </c>
      <c r="I27" s="51">
        <f t="shared" si="2"/>
        <v>17</v>
      </c>
      <c r="J27" s="140">
        <v>17341</v>
      </c>
      <c r="K27" s="51">
        <f t="shared" si="3"/>
        <v>3</v>
      </c>
      <c r="L27" s="142">
        <v>29697</v>
      </c>
      <c r="M27" s="108">
        <f t="shared" si="4"/>
        <v>4</v>
      </c>
      <c r="N27" s="138">
        <v>9580</v>
      </c>
      <c r="O27" s="76">
        <f t="shared" si="5"/>
        <v>6</v>
      </c>
      <c r="P27" s="143">
        <v>43246</v>
      </c>
      <c r="Q27" s="76">
        <f t="shared" si="6"/>
        <v>14</v>
      </c>
      <c r="R27" s="144">
        <v>15970</v>
      </c>
      <c r="S27" s="64">
        <f t="shared" si="7"/>
        <v>1</v>
      </c>
      <c r="T27" s="89"/>
      <c r="U27" s="89">
        <f>T27*1.94</f>
        <v>0</v>
      </c>
    </row>
    <row r="28" spans="1:21" ht="14.25" customHeight="1" x14ac:dyDescent="0.35">
      <c r="A28" s="69">
        <v>45372</v>
      </c>
      <c r="B28" s="89"/>
      <c r="C28" s="89">
        <f>B28*1.69</f>
        <v>0</v>
      </c>
      <c r="D28" s="137">
        <v>39281</v>
      </c>
      <c r="E28" s="75">
        <f t="shared" si="0"/>
        <v>22</v>
      </c>
      <c r="F28" s="141">
        <v>49688</v>
      </c>
      <c r="G28" s="51">
        <f t="shared" si="1"/>
        <v>11</v>
      </c>
      <c r="H28" s="139">
        <v>73036</v>
      </c>
      <c r="I28" s="51">
        <f t="shared" si="2"/>
        <v>16</v>
      </c>
      <c r="J28" s="140">
        <v>17344</v>
      </c>
      <c r="K28" s="51">
        <f t="shared" si="3"/>
        <v>3</v>
      </c>
      <c r="L28" s="142">
        <v>29700</v>
      </c>
      <c r="M28" s="108">
        <f t="shared" si="4"/>
        <v>3</v>
      </c>
      <c r="N28" s="138">
        <v>9587</v>
      </c>
      <c r="O28" s="76">
        <f t="shared" si="5"/>
        <v>7</v>
      </c>
      <c r="P28" s="143">
        <v>43260</v>
      </c>
      <c r="Q28" s="76">
        <f t="shared" si="6"/>
        <v>14</v>
      </c>
      <c r="R28" s="144">
        <v>15970</v>
      </c>
      <c r="S28" s="64">
        <f t="shared" si="7"/>
        <v>0</v>
      </c>
      <c r="T28" s="89"/>
      <c r="U28" s="89">
        <f>T28*2.29</f>
        <v>0</v>
      </c>
    </row>
    <row r="29" spans="1:21" ht="15" customHeight="1" x14ac:dyDescent="0.35">
      <c r="A29" s="69">
        <v>45373</v>
      </c>
      <c r="B29" s="89"/>
      <c r="C29" s="89">
        <f>B29*1.55</f>
        <v>0</v>
      </c>
      <c r="D29" s="137">
        <v>39304</v>
      </c>
      <c r="E29" s="75">
        <f t="shared" si="0"/>
        <v>23</v>
      </c>
      <c r="F29" s="141">
        <v>49700</v>
      </c>
      <c r="G29" s="51">
        <f t="shared" si="1"/>
        <v>12</v>
      </c>
      <c r="H29" s="139">
        <v>73055</v>
      </c>
      <c r="I29" s="51">
        <f t="shared" si="2"/>
        <v>19</v>
      </c>
      <c r="J29" s="140">
        <v>17346</v>
      </c>
      <c r="K29" s="51">
        <f t="shared" si="3"/>
        <v>2</v>
      </c>
      <c r="L29" s="142">
        <v>29704</v>
      </c>
      <c r="M29" s="108">
        <f t="shared" si="4"/>
        <v>4</v>
      </c>
      <c r="N29" s="138">
        <v>9593</v>
      </c>
      <c r="O29" s="76">
        <f t="shared" si="5"/>
        <v>6</v>
      </c>
      <c r="P29" s="143">
        <v>43274</v>
      </c>
      <c r="Q29" s="76">
        <f t="shared" si="6"/>
        <v>14</v>
      </c>
      <c r="R29" s="144">
        <v>15970</v>
      </c>
      <c r="S29" s="64">
        <f t="shared" si="7"/>
        <v>0</v>
      </c>
      <c r="T29" s="89"/>
      <c r="U29" s="89">
        <f>T29*2.37</f>
        <v>0</v>
      </c>
    </row>
    <row r="30" spans="1:21" ht="15" customHeight="1" x14ac:dyDescent="0.35">
      <c r="A30" s="69">
        <v>45374</v>
      </c>
      <c r="B30" s="89"/>
      <c r="C30" s="89">
        <f>B30*1.35</f>
        <v>0</v>
      </c>
      <c r="D30" s="137">
        <v>39331</v>
      </c>
      <c r="E30" s="75">
        <f t="shared" si="0"/>
        <v>27</v>
      </c>
      <c r="F30" s="141">
        <v>49713</v>
      </c>
      <c r="G30" s="51">
        <f t="shared" si="1"/>
        <v>13</v>
      </c>
      <c r="H30" s="139">
        <v>73071</v>
      </c>
      <c r="I30" s="51">
        <f t="shared" si="2"/>
        <v>16</v>
      </c>
      <c r="J30" s="140">
        <v>17349</v>
      </c>
      <c r="K30" s="51">
        <f t="shared" si="3"/>
        <v>3</v>
      </c>
      <c r="L30" s="142">
        <v>29708</v>
      </c>
      <c r="M30" s="108">
        <f t="shared" si="4"/>
        <v>4</v>
      </c>
      <c r="N30" s="138">
        <v>9600</v>
      </c>
      <c r="O30" s="76">
        <f t="shared" si="5"/>
        <v>7</v>
      </c>
      <c r="P30" s="143">
        <v>43286</v>
      </c>
      <c r="Q30" s="76">
        <f t="shared" si="6"/>
        <v>12</v>
      </c>
      <c r="R30" s="144">
        <v>15970</v>
      </c>
      <c r="S30" s="64">
        <f t="shared" si="7"/>
        <v>0</v>
      </c>
      <c r="T30" s="89"/>
      <c r="U30" s="89">
        <f>T30*2</f>
        <v>0</v>
      </c>
    </row>
    <row r="31" spans="1:21" ht="15" customHeight="1" x14ac:dyDescent="0.35">
      <c r="A31" s="69">
        <v>45375</v>
      </c>
      <c r="B31" s="89"/>
      <c r="C31" s="65">
        <f>B31*1.66</f>
        <v>0</v>
      </c>
      <c r="D31" s="137">
        <v>39347</v>
      </c>
      <c r="E31" s="75">
        <f t="shared" si="0"/>
        <v>16</v>
      </c>
      <c r="F31" s="141">
        <v>49724</v>
      </c>
      <c r="G31" s="51">
        <f t="shared" si="1"/>
        <v>11</v>
      </c>
      <c r="H31" s="139">
        <v>73087</v>
      </c>
      <c r="I31" s="51">
        <f t="shared" si="2"/>
        <v>16</v>
      </c>
      <c r="J31" s="140">
        <v>17352</v>
      </c>
      <c r="K31" s="51">
        <f t="shared" si="3"/>
        <v>3</v>
      </c>
      <c r="L31" s="142">
        <v>29711</v>
      </c>
      <c r="M31" s="108">
        <f t="shared" si="4"/>
        <v>3</v>
      </c>
      <c r="N31" s="138">
        <v>9607</v>
      </c>
      <c r="O31" s="76">
        <f t="shared" si="5"/>
        <v>7</v>
      </c>
      <c r="P31" s="143">
        <v>43302</v>
      </c>
      <c r="Q31" s="76">
        <f t="shared" si="6"/>
        <v>16</v>
      </c>
      <c r="R31" s="144">
        <v>15970</v>
      </c>
      <c r="S31" s="64">
        <f t="shared" si="7"/>
        <v>0</v>
      </c>
      <c r="T31" s="89"/>
      <c r="U31" s="89">
        <f>T31*2.29</f>
        <v>0</v>
      </c>
    </row>
    <row r="32" spans="1:21" ht="15" customHeight="1" x14ac:dyDescent="0.35">
      <c r="A32" s="69">
        <v>45376</v>
      </c>
      <c r="B32" s="89"/>
      <c r="C32" s="89">
        <f>B32*0</f>
        <v>0</v>
      </c>
      <c r="D32" s="137">
        <v>39364</v>
      </c>
      <c r="E32" s="75">
        <f t="shared" si="0"/>
        <v>17</v>
      </c>
      <c r="F32" s="141">
        <v>49736</v>
      </c>
      <c r="G32" s="51">
        <f t="shared" si="1"/>
        <v>12</v>
      </c>
      <c r="H32" s="139">
        <v>73107</v>
      </c>
      <c r="I32" s="51">
        <f t="shared" si="2"/>
        <v>20</v>
      </c>
      <c r="J32" s="140">
        <v>17356</v>
      </c>
      <c r="K32" s="51">
        <f t="shared" si="3"/>
        <v>4</v>
      </c>
      <c r="L32" s="142">
        <v>29715</v>
      </c>
      <c r="M32" s="108">
        <f t="shared" si="4"/>
        <v>4</v>
      </c>
      <c r="N32" s="138">
        <v>9613</v>
      </c>
      <c r="O32" s="76">
        <f t="shared" si="5"/>
        <v>6</v>
      </c>
      <c r="P32" s="143">
        <v>43316</v>
      </c>
      <c r="Q32" s="76">
        <f t="shared" si="6"/>
        <v>14</v>
      </c>
      <c r="R32" s="144">
        <v>15971</v>
      </c>
      <c r="S32" s="64">
        <f t="shared" si="7"/>
        <v>1</v>
      </c>
      <c r="T32" s="89"/>
      <c r="U32" s="89">
        <f>T32*2.37</f>
        <v>0</v>
      </c>
    </row>
    <row r="33" spans="1:21" ht="15" customHeight="1" x14ac:dyDescent="0.35">
      <c r="A33" s="69">
        <v>45377</v>
      </c>
      <c r="B33" s="89">
        <v>1100</v>
      </c>
      <c r="C33" s="65">
        <f>B33*1.72</f>
        <v>1892</v>
      </c>
      <c r="D33" s="137">
        <v>39390</v>
      </c>
      <c r="E33" s="75">
        <f t="shared" si="0"/>
        <v>26</v>
      </c>
      <c r="F33" s="141">
        <v>49749</v>
      </c>
      <c r="G33" s="51">
        <f t="shared" si="1"/>
        <v>13</v>
      </c>
      <c r="H33" s="139">
        <v>73120</v>
      </c>
      <c r="I33" s="51">
        <f t="shared" si="2"/>
        <v>13</v>
      </c>
      <c r="J33" s="140">
        <v>17359</v>
      </c>
      <c r="K33" s="51">
        <f t="shared" si="3"/>
        <v>3</v>
      </c>
      <c r="L33" s="142">
        <v>29718</v>
      </c>
      <c r="M33" s="108">
        <f t="shared" si="4"/>
        <v>3</v>
      </c>
      <c r="N33" s="138">
        <v>9620</v>
      </c>
      <c r="O33" s="76">
        <f t="shared" si="5"/>
        <v>7</v>
      </c>
      <c r="P33" s="143">
        <v>43331</v>
      </c>
      <c r="Q33" s="76">
        <f t="shared" si="6"/>
        <v>15</v>
      </c>
      <c r="R33" s="144">
        <v>15971</v>
      </c>
      <c r="S33" s="64">
        <f t="shared" si="7"/>
        <v>0</v>
      </c>
      <c r="T33" s="89"/>
      <c r="U33" s="89">
        <f>T33*1.94</f>
        <v>0</v>
      </c>
    </row>
    <row r="34" spans="1:21" ht="15" customHeight="1" x14ac:dyDescent="0.35">
      <c r="A34" s="69">
        <v>45378</v>
      </c>
      <c r="B34" s="89"/>
      <c r="C34" s="65">
        <f>B34*1.95</f>
        <v>0</v>
      </c>
      <c r="D34" s="137">
        <v>39416</v>
      </c>
      <c r="E34" s="75">
        <f>D34-D33</f>
        <v>26</v>
      </c>
      <c r="F34" s="141">
        <v>49759</v>
      </c>
      <c r="G34" s="51">
        <f t="shared" si="1"/>
        <v>10</v>
      </c>
      <c r="H34" s="139">
        <v>73137</v>
      </c>
      <c r="I34" s="51">
        <f t="shared" si="2"/>
        <v>17</v>
      </c>
      <c r="J34" s="140">
        <v>17361</v>
      </c>
      <c r="K34" s="51">
        <f t="shared" si="3"/>
        <v>2</v>
      </c>
      <c r="L34" s="142">
        <v>29722</v>
      </c>
      <c r="M34" s="108">
        <f t="shared" si="4"/>
        <v>4</v>
      </c>
      <c r="N34" s="138">
        <v>9626</v>
      </c>
      <c r="O34" s="76">
        <f t="shared" si="5"/>
        <v>6</v>
      </c>
      <c r="P34" s="143">
        <v>43346</v>
      </c>
      <c r="Q34" s="76">
        <f t="shared" si="6"/>
        <v>15</v>
      </c>
      <c r="R34" s="144">
        <v>15971</v>
      </c>
      <c r="S34" s="64">
        <f t="shared" si="7"/>
        <v>0</v>
      </c>
      <c r="T34" s="89"/>
      <c r="U34" s="89">
        <f>T34*0</f>
        <v>0</v>
      </c>
    </row>
    <row r="35" spans="1:21" ht="15" customHeight="1" x14ac:dyDescent="0.35">
      <c r="A35" s="69">
        <v>45379</v>
      </c>
      <c r="B35" s="65"/>
      <c r="C35" s="65">
        <f>B35*1.57</f>
        <v>0</v>
      </c>
      <c r="D35" s="137">
        <v>39442</v>
      </c>
      <c r="E35" s="75">
        <f>D35-D34</f>
        <v>26</v>
      </c>
      <c r="F35" s="141">
        <v>49771</v>
      </c>
      <c r="G35" s="51">
        <f t="shared" si="1"/>
        <v>12</v>
      </c>
      <c r="H35" s="139">
        <v>73153</v>
      </c>
      <c r="I35" s="61">
        <f t="shared" si="2"/>
        <v>16</v>
      </c>
      <c r="J35" s="140">
        <v>17364</v>
      </c>
      <c r="K35" s="51">
        <f t="shared" si="3"/>
        <v>3</v>
      </c>
      <c r="L35" s="142">
        <v>29726</v>
      </c>
      <c r="M35" s="108">
        <f t="shared" si="4"/>
        <v>4</v>
      </c>
      <c r="N35" s="138">
        <v>9632</v>
      </c>
      <c r="O35" s="76">
        <f t="shared" si="5"/>
        <v>6</v>
      </c>
      <c r="P35" s="143">
        <v>43360</v>
      </c>
      <c r="Q35" s="76">
        <f t="shared" si="6"/>
        <v>14</v>
      </c>
      <c r="R35" s="144">
        <v>15971</v>
      </c>
      <c r="S35" s="64">
        <f t="shared" si="7"/>
        <v>0</v>
      </c>
      <c r="T35" s="89"/>
      <c r="U35" s="89">
        <f>T35*1.57</f>
        <v>0</v>
      </c>
    </row>
    <row r="36" spans="1:21" ht="15" customHeight="1" x14ac:dyDescent="0.35">
      <c r="A36" s="69">
        <v>45380</v>
      </c>
      <c r="B36" s="65"/>
      <c r="C36" s="65">
        <f>B36*1.66</f>
        <v>0</v>
      </c>
      <c r="D36" s="137">
        <v>39461</v>
      </c>
      <c r="E36" s="75">
        <f>D36-D35</f>
        <v>19</v>
      </c>
      <c r="F36" s="141">
        <v>49783</v>
      </c>
      <c r="G36" s="51">
        <f t="shared" si="1"/>
        <v>12</v>
      </c>
      <c r="H36" s="139">
        <v>73171</v>
      </c>
      <c r="I36" s="61">
        <f t="shared" si="2"/>
        <v>18</v>
      </c>
      <c r="J36" s="140">
        <v>17367</v>
      </c>
      <c r="K36" s="51">
        <f t="shared" si="3"/>
        <v>3</v>
      </c>
      <c r="L36" s="142">
        <v>29731</v>
      </c>
      <c r="M36" s="108">
        <f t="shared" si="4"/>
        <v>5</v>
      </c>
      <c r="N36" s="138">
        <v>9642</v>
      </c>
      <c r="O36" s="76">
        <f t="shared" si="5"/>
        <v>10</v>
      </c>
      <c r="P36" s="143">
        <v>43374</v>
      </c>
      <c r="Q36" s="76">
        <f t="shared" si="6"/>
        <v>14</v>
      </c>
      <c r="R36" s="144">
        <v>15971</v>
      </c>
      <c r="S36" s="64">
        <f t="shared" si="7"/>
        <v>0</v>
      </c>
      <c r="T36" s="89"/>
      <c r="U36" s="89">
        <f>T36*1.57</f>
        <v>0</v>
      </c>
    </row>
    <row r="37" spans="1:21" ht="15" customHeight="1" x14ac:dyDescent="0.35">
      <c r="A37" s="69">
        <v>45381</v>
      </c>
      <c r="B37" s="65"/>
      <c r="C37" s="65">
        <f>B37*1.66</f>
        <v>0</v>
      </c>
      <c r="D37" s="137">
        <v>39469</v>
      </c>
      <c r="E37" s="75">
        <f>D37-D36</f>
        <v>8</v>
      </c>
      <c r="F37" s="141">
        <v>49794</v>
      </c>
      <c r="G37" s="51">
        <f t="shared" si="1"/>
        <v>11</v>
      </c>
      <c r="H37" s="139">
        <v>73190</v>
      </c>
      <c r="I37" s="61">
        <f t="shared" si="2"/>
        <v>19</v>
      </c>
      <c r="J37" s="140">
        <v>17371</v>
      </c>
      <c r="K37" s="51">
        <f t="shared" si="3"/>
        <v>4</v>
      </c>
      <c r="L37" s="142">
        <v>29735</v>
      </c>
      <c r="M37" s="108">
        <f t="shared" si="4"/>
        <v>4</v>
      </c>
      <c r="N37" s="138">
        <v>9648</v>
      </c>
      <c r="O37" s="76">
        <f t="shared" si="5"/>
        <v>6</v>
      </c>
      <c r="P37" s="143">
        <v>43391</v>
      </c>
      <c r="Q37" s="76">
        <f t="shared" si="6"/>
        <v>17</v>
      </c>
      <c r="R37" s="144">
        <v>15972</v>
      </c>
      <c r="S37" s="64">
        <f t="shared" si="7"/>
        <v>1</v>
      </c>
      <c r="T37" s="89"/>
      <c r="U37" s="89">
        <f>T37*1.57</f>
        <v>0</v>
      </c>
    </row>
    <row r="38" spans="1:21" ht="15" customHeight="1" x14ac:dyDescent="0.35">
      <c r="A38" s="69">
        <v>45382</v>
      </c>
      <c r="B38" s="65"/>
      <c r="C38" s="65">
        <f>B38*1.66</f>
        <v>0</v>
      </c>
      <c r="D38" s="137">
        <v>39480</v>
      </c>
      <c r="E38" s="75">
        <f>D38-D37</f>
        <v>11</v>
      </c>
      <c r="F38" s="141">
        <v>49807</v>
      </c>
      <c r="G38" s="51">
        <f t="shared" si="1"/>
        <v>13</v>
      </c>
      <c r="H38" s="139">
        <v>73208</v>
      </c>
      <c r="I38" s="61">
        <f t="shared" si="2"/>
        <v>18</v>
      </c>
      <c r="J38" s="140">
        <v>17375</v>
      </c>
      <c r="K38" s="51">
        <f t="shared" si="3"/>
        <v>4</v>
      </c>
      <c r="L38" s="142">
        <v>29740</v>
      </c>
      <c r="M38" s="108">
        <f t="shared" si="4"/>
        <v>5</v>
      </c>
      <c r="N38" s="138">
        <v>9656</v>
      </c>
      <c r="O38" s="76">
        <f t="shared" si="5"/>
        <v>8</v>
      </c>
      <c r="P38" s="143">
        <v>43407</v>
      </c>
      <c r="Q38" s="76">
        <f t="shared" si="6"/>
        <v>16</v>
      </c>
      <c r="R38" s="144">
        <v>15972</v>
      </c>
      <c r="S38" s="64">
        <f t="shared" si="7"/>
        <v>0</v>
      </c>
      <c r="T38" s="89"/>
      <c r="U38" s="89"/>
    </row>
    <row r="39" spans="1:21" s="25" customFormat="1" ht="15" customHeight="1" x14ac:dyDescent="0.4">
      <c r="A39" s="101" t="s">
        <v>5</v>
      </c>
      <c r="B39" s="66">
        <f>SUM(B8:B38)</f>
        <v>5050</v>
      </c>
      <c r="C39" s="66">
        <f>SUM(C8:C38)</f>
        <v>8686</v>
      </c>
      <c r="D39" s="4"/>
      <c r="E39" s="66">
        <f>SUM(E8:E38)</f>
        <v>584</v>
      </c>
      <c r="F39" s="141">
        <v>49820</v>
      </c>
      <c r="G39" s="66">
        <f>SUM(G8:G38)</f>
        <v>367</v>
      </c>
      <c r="H39" s="51"/>
      <c r="I39" s="66">
        <f>SUM(I8:I38)</f>
        <v>544</v>
      </c>
      <c r="J39" s="43"/>
      <c r="K39" s="66">
        <f>SUM(K8:K38)</f>
        <v>99</v>
      </c>
      <c r="L39" s="43"/>
      <c r="M39" s="66">
        <f>SUM(M8:M38)</f>
        <v>118</v>
      </c>
      <c r="N39" s="43"/>
      <c r="O39" s="66">
        <f>SUM(O8:O38)</f>
        <v>214</v>
      </c>
      <c r="P39" s="4"/>
      <c r="Q39" s="66">
        <f>SUM(Q8:Q38)</f>
        <v>465</v>
      </c>
      <c r="R39" s="4"/>
      <c r="S39" s="66">
        <f>SUM(S8:S38)</f>
        <v>8</v>
      </c>
      <c r="T39" s="111">
        <f>SUM(T8:T37)</f>
        <v>0</v>
      </c>
      <c r="U39" s="81">
        <f>SUM(U8:U37)</f>
        <v>0</v>
      </c>
    </row>
    <row r="40" spans="1:21" ht="12.75" customHeight="1" x14ac:dyDescent="0.4">
      <c r="B40" s="35"/>
      <c r="C40" s="35"/>
      <c r="D40" s="24"/>
      <c r="E40" s="35"/>
      <c r="G40" s="35"/>
      <c r="I40" s="35"/>
      <c r="J40" s="9"/>
      <c r="K40" s="35"/>
      <c r="L40" s="9"/>
      <c r="M40" s="35"/>
      <c r="N40" s="9"/>
      <c r="O40" s="35"/>
      <c r="P40" s="9"/>
      <c r="Q40" s="35"/>
      <c r="S40" s="35"/>
      <c r="T40" s="35"/>
      <c r="U40" s="35"/>
    </row>
    <row r="41" spans="1:21" x14ac:dyDescent="0.4">
      <c r="A41" s="10" t="s">
        <v>24</v>
      </c>
      <c r="E41" s="52"/>
      <c r="F41" s="42"/>
      <c r="G41" s="39"/>
      <c r="H41" s="53"/>
      <c r="I41" s="53"/>
      <c r="L41" s="9"/>
      <c r="N41" s="9"/>
      <c r="P41" s="9"/>
    </row>
    <row r="42" spans="1:21" x14ac:dyDescent="0.4">
      <c r="A42" s="10" t="s">
        <v>23</v>
      </c>
      <c r="L42" s="9"/>
      <c r="N42" s="9"/>
      <c r="P42" s="9"/>
    </row>
    <row r="43" spans="1:21" x14ac:dyDescent="0.4">
      <c r="A43" s="10"/>
      <c r="L43" s="9"/>
      <c r="N43" s="9"/>
      <c r="P43" s="9"/>
    </row>
    <row r="44" spans="1:21" x14ac:dyDescent="0.4">
      <c r="A44" s="71"/>
      <c r="B44" s="73"/>
    </row>
    <row r="45" spans="1:21" x14ac:dyDescent="0.4">
      <c r="A45" s="71"/>
      <c r="B45" s="73"/>
      <c r="E45" s="87"/>
      <c r="L45" s="9"/>
      <c r="N45" s="9"/>
      <c r="P45" s="9"/>
    </row>
    <row r="46" spans="1:21" x14ac:dyDescent="0.4">
      <c r="C46" s="42"/>
      <c r="D46" s="42"/>
    </row>
  </sheetData>
  <sheetProtection selectLockedCells="1" selectUnlockedCells="1"/>
  <customSheetViews>
    <customSheetView guid="{BBA05217-DB7A-4BBE-8392-822CC156171C}" scale="75" showPageBreaks="1" showRuler="0">
      <pane xSplit="2" ySplit="6" topLeftCell="E7" activePane="bottomRight" state="frozen"/>
      <selection pane="bottomRight" activeCell="R9" sqref="R9"/>
      <pageMargins left="0.25" right="0" top="0.5" bottom="0" header="0.51" footer="0.5"/>
      <printOptions horizontalCentered="1"/>
      <pageSetup paperSize="9" scale="85" orientation="landscape" horizontalDpi="4294967293" verticalDpi="0" r:id="rId1"/>
      <headerFooter alignWithMargins="0"/>
    </customSheetView>
  </customSheetViews>
  <mergeCells count="35">
    <mergeCell ref="S6:S7"/>
    <mergeCell ref="T6:T7"/>
    <mergeCell ref="A5:A7"/>
    <mergeCell ref="U6:U7"/>
    <mergeCell ref="L6:L7"/>
    <mergeCell ref="M6:M7"/>
    <mergeCell ref="N6:N7"/>
    <mergeCell ref="O6:O7"/>
    <mergeCell ref="E6:E7"/>
    <mergeCell ref="F6:F7"/>
    <mergeCell ref="Q6:Q7"/>
    <mergeCell ref="R6:R7"/>
    <mergeCell ref="J6:J7"/>
    <mergeCell ref="K6:K7"/>
    <mergeCell ref="P5:Q5"/>
    <mergeCell ref="P6:P7"/>
    <mergeCell ref="D6:D7"/>
    <mergeCell ref="B6:B7"/>
    <mergeCell ref="H6:H7"/>
    <mergeCell ref="I6:I7"/>
    <mergeCell ref="J5:K5"/>
    <mergeCell ref="C6:C7"/>
    <mergeCell ref="B5:C5"/>
    <mergeCell ref="G6:G7"/>
    <mergeCell ref="F5:G5"/>
    <mergeCell ref="A1:U1"/>
    <mergeCell ref="A2:U2"/>
    <mergeCell ref="A3:U3"/>
    <mergeCell ref="R5:S5"/>
    <mergeCell ref="D5:E5"/>
    <mergeCell ref="H5:I5"/>
    <mergeCell ref="L5:M5"/>
    <mergeCell ref="T5:U5"/>
    <mergeCell ref="N5:O5"/>
    <mergeCell ref="A4:U4"/>
  </mergeCells>
  <phoneticPr fontId="0" type="noConversion"/>
  <printOptions horizontalCentered="1"/>
  <pageMargins left="0" right="0" top="0.5" bottom="0" header="0.51" footer="0.5"/>
  <pageSetup paperSize="9" scale="80" orientation="landscape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R36"/>
  <sheetViews>
    <sheetView zoomScale="85" zoomScaleNormal="85" workbookViewId="0">
      <pane ySplit="3" topLeftCell="A6" activePane="bottomLeft" state="frozen"/>
      <selection pane="bottomLeft" activeCell="B6" sqref="B6"/>
    </sheetView>
  </sheetViews>
  <sheetFormatPr defaultColWidth="9.1328125" defaultRowHeight="14.25" x14ac:dyDescent="0.45"/>
  <cols>
    <col min="1" max="1" width="8.73046875" style="49" customWidth="1"/>
    <col min="2" max="3" width="8.73046875" style="50" customWidth="1"/>
    <col min="4" max="4" width="13.73046875" style="50" bestFit="1" customWidth="1"/>
    <col min="5" max="6" width="8.73046875" style="50" customWidth="1"/>
    <col min="7" max="7" width="13.73046875" style="50" bestFit="1" customWidth="1"/>
    <col min="8" max="9" width="8.73046875" style="50" customWidth="1"/>
    <col min="10" max="10" width="13.73046875" style="50" bestFit="1" customWidth="1"/>
    <col min="11" max="12" width="8.73046875" style="50" customWidth="1"/>
    <col min="13" max="13" width="13.73046875" style="50" bestFit="1" customWidth="1"/>
    <col min="14" max="14" width="8.86328125" style="46" customWidth="1"/>
    <col min="15" max="15" width="11.3984375" style="46" customWidth="1"/>
    <col min="16" max="16" width="9" style="46" customWidth="1"/>
    <col min="17" max="17" width="12" style="46" customWidth="1"/>
    <col min="18" max="16384" width="9.1328125" style="46"/>
  </cols>
  <sheetData>
    <row r="1" spans="1:13" ht="39" customHeight="1" thickBot="1" x14ac:dyDescent="0.5">
      <c r="A1" s="258" t="s">
        <v>56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3" s="47" customFormat="1" x14ac:dyDescent="0.45">
      <c r="A2" s="259"/>
      <c r="B2" s="261" t="s">
        <v>49</v>
      </c>
      <c r="C2" s="262"/>
      <c r="D2" s="263"/>
      <c r="E2" s="261" t="s">
        <v>47</v>
      </c>
      <c r="F2" s="262"/>
      <c r="G2" s="263"/>
      <c r="H2" s="261" t="s">
        <v>43</v>
      </c>
      <c r="I2" s="262"/>
      <c r="J2" s="263"/>
      <c r="K2" s="261" t="s">
        <v>7</v>
      </c>
      <c r="L2" s="262"/>
      <c r="M2" s="263"/>
    </row>
    <row r="3" spans="1:13" s="48" customFormat="1" ht="14.65" thickBot="1" x14ac:dyDescent="0.5">
      <c r="A3" s="260"/>
      <c r="B3" s="92" t="s">
        <v>44</v>
      </c>
      <c r="C3" s="93" t="s">
        <v>45</v>
      </c>
      <c r="D3" s="94" t="s">
        <v>46</v>
      </c>
      <c r="E3" s="92" t="s">
        <v>44</v>
      </c>
      <c r="F3" s="93" t="s">
        <v>45</v>
      </c>
      <c r="G3" s="94" t="s">
        <v>46</v>
      </c>
      <c r="H3" s="92" t="s">
        <v>44</v>
      </c>
      <c r="I3" s="93" t="s">
        <v>45</v>
      </c>
      <c r="J3" s="94" t="s">
        <v>46</v>
      </c>
      <c r="K3" s="92" t="s">
        <v>44</v>
      </c>
      <c r="L3" s="93" t="s">
        <v>45</v>
      </c>
      <c r="M3" s="94" t="s">
        <v>46</v>
      </c>
    </row>
    <row r="4" spans="1:13" ht="24.95" customHeight="1" x14ac:dyDescent="0.45">
      <c r="A4" s="123">
        <v>45352</v>
      </c>
      <c r="B4" s="118">
        <v>0</v>
      </c>
      <c r="C4" s="154">
        <v>55</v>
      </c>
      <c r="D4" s="119">
        <f t="shared" ref="D4:D34" si="0">C4-B4</f>
        <v>55</v>
      </c>
      <c r="E4" s="120">
        <v>0</v>
      </c>
      <c r="F4" s="151">
        <v>204</v>
      </c>
      <c r="G4" s="121">
        <f t="shared" ref="G4:G21" si="1">F4-E4</f>
        <v>204</v>
      </c>
      <c r="H4" s="122">
        <v>0</v>
      </c>
      <c r="I4" s="151">
        <v>269</v>
      </c>
      <c r="J4" s="121">
        <f t="shared" ref="J4:J21" si="2">I4-H4</f>
        <v>269</v>
      </c>
      <c r="K4" s="113">
        <v>0</v>
      </c>
      <c r="L4" s="151">
        <v>48</v>
      </c>
      <c r="M4" s="121">
        <f t="shared" ref="M4:M21" si="3">L4-K4</f>
        <v>48</v>
      </c>
    </row>
    <row r="5" spans="1:13" ht="24.95" customHeight="1" x14ac:dyDescent="0.45">
      <c r="A5" s="123">
        <v>45353</v>
      </c>
      <c r="B5" s="124">
        <f>C4</f>
        <v>55</v>
      </c>
      <c r="C5" s="155">
        <v>444</v>
      </c>
      <c r="D5" s="121">
        <f t="shared" si="0"/>
        <v>389</v>
      </c>
      <c r="E5" s="125">
        <f>F4</f>
        <v>204</v>
      </c>
      <c r="F5" s="151">
        <v>1473</v>
      </c>
      <c r="G5" s="126">
        <f t="shared" si="1"/>
        <v>1269</v>
      </c>
      <c r="H5" s="113">
        <f>I4</f>
        <v>269</v>
      </c>
      <c r="I5" s="151">
        <v>1868</v>
      </c>
      <c r="J5" s="126">
        <f t="shared" si="2"/>
        <v>1599</v>
      </c>
      <c r="K5" s="120">
        <f>L4</f>
        <v>48</v>
      </c>
      <c r="L5" s="151">
        <v>334</v>
      </c>
      <c r="M5" s="126">
        <f t="shared" si="3"/>
        <v>286</v>
      </c>
    </row>
    <row r="6" spans="1:13" ht="24.95" customHeight="1" x14ac:dyDescent="0.45">
      <c r="A6" s="123">
        <v>45354</v>
      </c>
      <c r="B6" s="127">
        <f t="shared" ref="B6:B26" si="4">C5</f>
        <v>444</v>
      </c>
      <c r="C6" s="154">
        <v>844</v>
      </c>
      <c r="D6" s="121">
        <f t="shared" si="0"/>
        <v>400</v>
      </c>
      <c r="E6" s="125">
        <f t="shared" ref="E6:E34" si="5">F5</f>
        <v>1473</v>
      </c>
      <c r="F6" s="151">
        <v>2700</v>
      </c>
      <c r="G6" s="128">
        <f t="shared" si="1"/>
        <v>1227</v>
      </c>
      <c r="H6" s="113">
        <f t="shared" ref="H6:H22" si="6">I5</f>
        <v>1868</v>
      </c>
      <c r="I6" s="151">
        <v>3605</v>
      </c>
      <c r="J6" s="128">
        <f t="shared" si="2"/>
        <v>1737</v>
      </c>
      <c r="K6" s="125">
        <f>L5</f>
        <v>334</v>
      </c>
      <c r="L6" s="151">
        <v>641</v>
      </c>
      <c r="M6" s="128">
        <f t="shared" si="3"/>
        <v>307</v>
      </c>
    </row>
    <row r="7" spans="1:13" ht="24.95" customHeight="1" x14ac:dyDescent="0.45">
      <c r="A7" s="123">
        <v>45355</v>
      </c>
      <c r="B7" s="127">
        <f t="shared" si="4"/>
        <v>844</v>
      </c>
      <c r="C7" s="154">
        <v>1243</v>
      </c>
      <c r="D7" s="121">
        <f t="shared" si="0"/>
        <v>399</v>
      </c>
      <c r="E7" s="125">
        <f t="shared" si="5"/>
        <v>2700</v>
      </c>
      <c r="F7" s="151">
        <v>3890</v>
      </c>
      <c r="G7" s="128">
        <f t="shared" si="1"/>
        <v>1190</v>
      </c>
      <c r="H7" s="113">
        <f t="shared" si="6"/>
        <v>3605</v>
      </c>
      <c r="I7" s="151">
        <v>5212</v>
      </c>
      <c r="J7" s="128">
        <f t="shared" si="2"/>
        <v>1607</v>
      </c>
      <c r="K7" s="125">
        <f>L6</f>
        <v>641</v>
      </c>
      <c r="L7" s="151">
        <v>949</v>
      </c>
      <c r="M7" s="128">
        <f t="shared" si="3"/>
        <v>308</v>
      </c>
    </row>
    <row r="8" spans="1:13" ht="24.95" customHeight="1" x14ac:dyDescent="0.45">
      <c r="A8" s="123">
        <v>45356</v>
      </c>
      <c r="B8" s="127">
        <f t="shared" si="4"/>
        <v>1243</v>
      </c>
      <c r="C8" s="154">
        <v>1638</v>
      </c>
      <c r="D8" s="121">
        <f t="shared" si="0"/>
        <v>395</v>
      </c>
      <c r="E8" s="125">
        <f t="shared" si="5"/>
        <v>3890</v>
      </c>
      <c r="F8" s="151">
        <v>5026</v>
      </c>
      <c r="G8" s="128">
        <f t="shared" si="1"/>
        <v>1136</v>
      </c>
      <c r="H8" s="113">
        <f t="shared" si="6"/>
        <v>5212</v>
      </c>
      <c r="I8" s="151">
        <v>6837</v>
      </c>
      <c r="J8" s="128">
        <f t="shared" si="2"/>
        <v>1625</v>
      </c>
      <c r="K8" s="125">
        <f>L7</f>
        <v>949</v>
      </c>
      <c r="L8" s="151">
        <v>1213</v>
      </c>
      <c r="M8" s="128">
        <f t="shared" si="3"/>
        <v>264</v>
      </c>
    </row>
    <row r="9" spans="1:13" ht="24.95" customHeight="1" x14ac:dyDescent="0.45">
      <c r="A9" s="123">
        <v>45357</v>
      </c>
      <c r="B9" s="127">
        <f t="shared" si="4"/>
        <v>1638</v>
      </c>
      <c r="C9" s="154">
        <v>2055</v>
      </c>
      <c r="D9" s="121">
        <f t="shared" si="0"/>
        <v>417</v>
      </c>
      <c r="E9" s="125">
        <f t="shared" si="5"/>
        <v>5026</v>
      </c>
      <c r="F9" s="151">
        <v>6216</v>
      </c>
      <c r="G9" s="128">
        <f t="shared" si="1"/>
        <v>1190</v>
      </c>
      <c r="H9" s="113">
        <f t="shared" si="6"/>
        <v>6837</v>
      </c>
      <c r="I9" s="151">
        <v>8529</v>
      </c>
      <c r="J9" s="128">
        <f t="shared" si="2"/>
        <v>1692</v>
      </c>
      <c r="K9" s="125">
        <f t="shared" ref="K9:K29" si="7">L8</f>
        <v>1213</v>
      </c>
      <c r="L9" s="151">
        <v>1518</v>
      </c>
      <c r="M9" s="128">
        <f t="shared" si="3"/>
        <v>305</v>
      </c>
    </row>
    <row r="10" spans="1:13" ht="24.95" customHeight="1" x14ac:dyDescent="0.45">
      <c r="A10" s="123">
        <v>45358</v>
      </c>
      <c r="B10" s="124">
        <f t="shared" si="4"/>
        <v>2055</v>
      </c>
      <c r="C10" s="154">
        <v>2437</v>
      </c>
      <c r="D10" s="121">
        <f t="shared" si="0"/>
        <v>382</v>
      </c>
      <c r="E10" s="120">
        <f t="shared" si="5"/>
        <v>6216</v>
      </c>
      <c r="F10" s="151">
        <v>7400</v>
      </c>
      <c r="G10" s="126">
        <f t="shared" si="1"/>
        <v>1184</v>
      </c>
      <c r="H10" s="114">
        <f t="shared" si="6"/>
        <v>8529</v>
      </c>
      <c r="I10" s="151">
        <v>10288</v>
      </c>
      <c r="J10" s="126">
        <f t="shared" si="2"/>
        <v>1759</v>
      </c>
      <c r="K10" s="120">
        <f t="shared" si="7"/>
        <v>1518</v>
      </c>
      <c r="L10" s="151">
        <v>1842</v>
      </c>
      <c r="M10" s="126">
        <f t="shared" si="3"/>
        <v>324</v>
      </c>
    </row>
    <row r="11" spans="1:13" ht="24.95" customHeight="1" x14ac:dyDescent="0.45">
      <c r="A11" s="123">
        <v>45359</v>
      </c>
      <c r="B11" s="127">
        <f t="shared" si="4"/>
        <v>2437</v>
      </c>
      <c r="C11" s="154">
        <v>2843</v>
      </c>
      <c r="D11" s="121">
        <f t="shared" si="0"/>
        <v>406</v>
      </c>
      <c r="E11" s="125">
        <f t="shared" si="5"/>
        <v>7400</v>
      </c>
      <c r="F11" s="151">
        <v>8607</v>
      </c>
      <c r="G11" s="128">
        <f t="shared" si="1"/>
        <v>1207</v>
      </c>
      <c r="H11" s="113">
        <f t="shared" si="6"/>
        <v>10288</v>
      </c>
      <c r="I11" s="151">
        <v>11990</v>
      </c>
      <c r="J11" s="128">
        <f t="shared" si="2"/>
        <v>1702</v>
      </c>
      <c r="K11" s="125">
        <f t="shared" si="7"/>
        <v>1842</v>
      </c>
      <c r="L11" s="151">
        <v>2111</v>
      </c>
      <c r="M11" s="128">
        <f t="shared" si="3"/>
        <v>269</v>
      </c>
    </row>
    <row r="12" spans="1:13" ht="24.95" customHeight="1" x14ac:dyDescent="0.45">
      <c r="A12" s="123">
        <v>45360</v>
      </c>
      <c r="B12" s="127">
        <f t="shared" si="4"/>
        <v>2843</v>
      </c>
      <c r="C12" s="154">
        <v>3291</v>
      </c>
      <c r="D12" s="121">
        <f t="shared" si="0"/>
        <v>448</v>
      </c>
      <c r="E12" s="125">
        <f t="shared" si="5"/>
        <v>8607</v>
      </c>
      <c r="F12" s="151">
        <v>9665</v>
      </c>
      <c r="G12" s="128">
        <f t="shared" si="1"/>
        <v>1058</v>
      </c>
      <c r="H12" s="113">
        <f t="shared" si="6"/>
        <v>11990</v>
      </c>
      <c r="I12" s="151">
        <v>14101</v>
      </c>
      <c r="J12" s="128">
        <f t="shared" si="2"/>
        <v>2111</v>
      </c>
      <c r="K12" s="125">
        <f t="shared" si="7"/>
        <v>2111</v>
      </c>
      <c r="L12" s="151">
        <v>2355</v>
      </c>
      <c r="M12" s="128">
        <f t="shared" si="3"/>
        <v>244</v>
      </c>
    </row>
    <row r="13" spans="1:13" ht="24.95" customHeight="1" x14ac:dyDescent="0.45">
      <c r="A13" s="123">
        <v>45361</v>
      </c>
      <c r="B13" s="127">
        <f t="shared" si="4"/>
        <v>3291</v>
      </c>
      <c r="C13" s="154">
        <v>3747</v>
      </c>
      <c r="D13" s="121">
        <f t="shared" si="0"/>
        <v>456</v>
      </c>
      <c r="E13" s="125">
        <f t="shared" si="5"/>
        <v>9665</v>
      </c>
      <c r="F13" s="151">
        <v>10762</v>
      </c>
      <c r="G13" s="128">
        <f t="shared" si="1"/>
        <v>1097</v>
      </c>
      <c r="H13" s="113">
        <f t="shared" si="6"/>
        <v>14101</v>
      </c>
      <c r="I13" s="151">
        <v>15953</v>
      </c>
      <c r="J13" s="128">
        <f t="shared" si="2"/>
        <v>1852</v>
      </c>
      <c r="K13" s="125">
        <f t="shared" si="7"/>
        <v>2355</v>
      </c>
      <c r="L13" s="151">
        <v>2668</v>
      </c>
      <c r="M13" s="128">
        <f t="shared" si="3"/>
        <v>313</v>
      </c>
    </row>
    <row r="14" spans="1:13" ht="24.95" customHeight="1" x14ac:dyDescent="0.45">
      <c r="A14" s="123">
        <v>45362</v>
      </c>
      <c r="B14" s="127">
        <f t="shared" si="4"/>
        <v>3747</v>
      </c>
      <c r="C14" s="156">
        <v>4170</v>
      </c>
      <c r="D14" s="121">
        <f t="shared" si="0"/>
        <v>423</v>
      </c>
      <c r="E14" s="125">
        <f t="shared" si="5"/>
        <v>10762</v>
      </c>
      <c r="F14" s="151">
        <v>11926</v>
      </c>
      <c r="G14" s="128">
        <f t="shared" si="1"/>
        <v>1164</v>
      </c>
      <c r="H14" s="113">
        <f t="shared" si="6"/>
        <v>15953</v>
      </c>
      <c r="I14" s="151">
        <v>17636</v>
      </c>
      <c r="J14" s="128">
        <f t="shared" si="2"/>
        <v>1683</v>
      </c>
      <c r="K14" s="125">
        <f t="shared" si="7"/>
        <v>2668</v>
      </c>
      <c r="L14" s="151">
        <v>2901</v>
      </c>
      <c r="M14" s="128">
        <f t="shared" si="3"/>
        <v>233</v>
      </c>
    </row>
    <row r="15" spans="1:13" ht="24.95" customHeight="1" x14ac:dyDescent="0.45">
      <c r="A15" s="123">
        <v>45363</v>
      </c>
      <c r="B15" s="127">
        <f t="shared" si="4"/>
        <v>4170</v>
      </c>
      <c r="C15" s="154">
        <v>4649</v>
      </c>
      <c r="D15" s="121">
        <f t="shared" si="0"/>
        <v>479</v>
      </c>
      <c r="E15" s="125">
        <f t="shared" si="5"/>
        <v>11926</v>
      </c>
      <c r="F15" s="151">
        <v>13302</v>
      </c>
      <c r="G15" s="128">
        <f t="shared" si="1"/>
        <v>1376</v>
      </c>
      <c r="H15" s="113">
        <f t="shared" si="6"/>
        <v>17636</v>
      </c>
      <c r="I15" s="151">
        <v>19314</v>
      </c>
      <c r="J15" s="128">
        <f t="shared" si="2"/>
        <v>1678</v>
      </c>
      <c r="K15" s="125">
        <f t="shared" si="7"/>
        <v>2901</v>
      </c>
      <c r="L15" s="151">
        <v>3260</v>
      </c>
      <c r="M15" s="128">
        <f t="shared" si="3"/>
        <v>359</v>
      </c>
    </row>
    <row r="16" spans="1:13" ht="24.95" customHeight="1" x14ac:dyDescent="0.45">
      <c r="A16" s="123">
        <v>45364</v>
      </c>
      <c r="B16" s="127">
        <f t="shared" si="4"/>
        <v>4649</v>
      </c>
      <c r="C16" s="154">
        <v>5100</v>
      </c>
      <c r="D16" s="121">
        <f t="shared" si="0"/>
        <v>451</v>
      </c>
      <c r="E16" s="125">
        <f t="shared" si="5"/>
        <v>13302</v>
      </c>
      <c r="F16" s="151">
        <v>14562</v>
      </c>
      <c r="G16" s="128">
        <f t="shared" si="1"/>
        <v>1260</v>
      </c>
      <c r="H16" s="113">
        <f t="shared" si="6"/>
        <v>19314</v>
      </c>
      <c r="I16" s="151">
        <v>20965</v>
      </c>
      <c r="J16" s="128">
        <f>I16-H16</f>
        <v>1651</v>
      </c>
      <c r="K16" s="125">
        <f t="shared" si="7"/>
        <v>3260</v>
      </c>
      <c r="L16" s="151">
        <v>3543</v>
      </c>
      <c r="M16" s="128">
        <f t="shared" si="3"/>
        <v>283</v>
      </c>
    </row>
    <row r="17" spans="1:18" ht="24.95" customHeight="1" x14ac:dyDescent="0.45">
      <c r="A17" s="123">
        <v>45365</v>
      </c>
      <c r="B17" s="127">
        <f t="shared" si="4"/>
        <v>5100</v>
      </c>
      <c r="C17" s="154">
        <v>5580</v>
      </c>
      <c r="D17" s="121">
        <f t="shared" si="0"/>
        <v>480</v>
      </c>
      <c r="E17" s="125">
        <f t="shared" si="5"/>
        <v>14562</v>
      </c>
      <c r="F17" s="151">
        <v>15843</v>
      </c>
      <c r="G17" s="128">
        <f t="shared" si="1"/>
        <v>1281</v>
      </c>
      <c r="H17" s="113">
        <f>I16</f>
        <v>20965</v>
      </c>
      <c r="I17" s="151">
        <v>22740</v>
      </c>
      <c r="J17" s="128">
        <f t="shared" si="2"/>
        <v>1775</v>
      </c>
      <c r="K17" s="125">
        <f t="shared" si="7"/>
        <v>3543</v>
      </c>
      <c r="L17" s="151">
        <v>3880</v>
      </c>
      <c r="M17" s="128">
        <f t="shared" si="3"/>
        <v>337</v>
      </c>
      <c r="N17" s="56"/>
      <c r="R17" s="56"/>
    </row>
    <row r="18" spans="1:18" ht="24.95" customHeight="1" x14ac:dyDescent="0.45">
      <c r="A18" s="123">
        <v>45366</v>
      </c>
      <c r="B18" s="127">
        <f t="shared" si="4"/>
        <v>5580</v>
      </c>
      <c r="C18" s="154">
        <v>6025</v>
      </c>
      <c r="D18" s="121">
        <f t="shared" si="0"/>
        <v>445</v>
      </c>
      <c r="E18" s="125">
        <f t="shared" si="5"/>
        <v>15843</v>
      </c>
      <c r="F18" s="151">
        <v>17196</v>
      </c>
      <c r="G18" s="128">
        <f t="shared" si="1"/>
        <v>1353</v>
      </c>
      <c r="H18" s="113">
        <f t="shared" si="6"/>
        <v>22740</v>
      </c>
      <c r="I18" s="151">
        <v>24543</v>
      </c>
      <c r="J18" s="128">
        <f t="shared" si="2"/>
        <v>1803</v>
      </c>
      <c r="K18" s="125">
        <f t="shared" si="7"/>
        <v>3880</v>
      </c>
      <c r="L18" s="151">
        <v>4191</v>
      </c>
      <c r="M18" s="128">
        <f t="shared" si="3"/>
        <v>311</v>
      </c>
    </row>
    <row r="19" spans="1:18" ht="24.95" customHeight="1" x14ac:dyDescent="0.45">
      <c r="A19" s="123">
        <v>45367</v>
      </c>
      <c r="B19" s="127">
        <f t="shared" si="4"/>
        <v>6025</v>
      </c>
      <c r="C19" s="154">
        <v>6514</v>
      </c>
      <c r="D19" s="121">
        <f t="shared" si="0"/>
        <v>489</v>
      </c>
      <c r="E19" s="125">
        <f t="shared" si="5"/>
        <v>17196</v>
      </c>
      <c r="F19" s="151">
        <v>18378</v>
      </c>
      <c r="G19" s="128">
        <f t="shared" si="1"/>
        <v>1182</v>
      </c>
      <c r="H19" s="113">
        <f t="shared" si="6"/>
        <v>24543</v>
      </c>
      <c r="I19" s="151">
        <v>26245</v>
      </c>
      <c r="J19" s="128">
        <f t="shared" si="2"/>
        <v>1702</v>
      </c>
      <c r="K19" s="125">
        <f t="shared" si="7"/>
        <v>4191</v>
      </c>
      <c r="L19" s="151">
        <v>4507</v>
      </c>
      <c r="M19" s="128">
        <f t="shared" si="3"/>
        <v>316</v>
      </c>
      <c r="Q19" s="57"/>
    </row>
    <row r="20" spans="1:18" ht="24.95" customHeight="1" x14ac:dyDescent="0.45">
      <c r="A20" s="123">
        <v>45368</v>
      </c>
      <c r="B20" s="127">
        <f t="shared" si="4"/>
        <v>6514</v>
      </c>
      <c r="C20" s="154">
        <v>6998</v>
      </c>
      <c r="D20" s="121">
        <f t="shared" si="0"/>
        <v>484</v>
      </c>
      <c r="E20" s="125">
        <f t="shared" si="5"/>
        <v>18378</v>
      </c>
      <c r="F20" s="151">
        <v>19537</v>
      </c>
      <c r="G20" s="128">
        <f t="shared" si="1"/>
        <v>1159</v>
      </c>
      <c r="H20" s="113">
        <f t="shared" si="6"/>
        <v>26245</v>
      </c>
      <c r="I20" s="151">
        <v>27896</v>
      </c>
      <c r="J20" s="128">
        <f t="shared" si="2"/>
        <v>1651</v>
      </c>
      <c r="K20" s="125">
        <f t="shared" si="7"/>
        <v>4507</v>
      </c>
      <c r="L20" s="151">
        <v>4859</v>
      </c>
      <c r="M20" s="128">
        <f t="shared" si="3"/>
        <v>352</v>
      </c>
    </row>
    <row r="21" spans="1:18" ht="24.95" customHeight="1" x14ac:dyDescent="0.45">
      <c r="A21" s="123">
        <v>45369</v>
      </c>
      <c r="B21" s="127">
        <f t="shared" si="4"/>
        <v>6998</v>
      </c>
      <c r="C21" s="154">
        <v>7576</v>
      </c>
      <c r="D21" s="121">
        <f t="shared" si="0"/>
        <v>578</v>
      </c>
      <c r="E21" s="125">
        <f t="shared" si="5"/>
        <v>19537</v>
      </c>
      <c r="F21" s="151">
        <v>20925</v>
      </c>
      <c r="G21" s="128">
        <f t="shared" si="1"/>
        <v>1388</v>
      </c>
      <c r="H21" s="113">
        <f t="shared" si="6"/>
        <v>27896</v>
      </c>
      <c r="I21" s="151">
        <v>29536</v>
      </c>
      <c r="J21" s="128">
        <f t="shared" si="2"/>
        <v>1640</v>
      </c>
      <c r="K21" s="125">
        <f t="shared" si="7"/>
        <v>4859</v>
      </c>
      <c r="L21" s="151">
        <v>5197</v>
      </c>
      <c r="M21" s="128">
        <f t="shared" si="3"/>
        <v>338</v>
      </c>
    </row>
    <row r="22" spans="1:18" ht="24.95" customHeight="1" x14ac:dyDescent="0.45">
      <c r="A22" s="123">
        <v>45370</v>
      </c>
      <c r="B22" s="127">
        <f t="shared" si="4"/>
        <v>7576</v>
      </c>
      <c r="C22" s="154">
        <v>8114</v>
      </c>
      <c r="D22" s="121">
        <f t="shared" si="0"/>
        <v>538</v>
      </c>
      <c r="E22" s="125">
        <f t="shared" si="5"/>
        <v>20925</v>
      </c>
      <c r="F22" s="151">
        <v>22483</v>
      </c>
      <c r="G22" s="128">
        <f t="shared" ref="G22:G30" si="8">F22-E22</f>
        <v>1558</v>
      </c>
      <c r="H22" s="113">
        <f t="shared" si="6"/>
        <v>29536</v>
      </c>
      <c r="I22" s="151">
        <v>31181</v>
      </c>
      <c r="J22" s="128">
        <f t="shared" ref="J22:J30" si="9">I22-H22</f>
        <v>1645</v>
      </c>
      <c r="K22" s="125">
        <f t="shared" si="7"/>
        <v>5197</v>
      </c>
      <c r="L22" s="151">
        <v>5593</v>
      </c>
      <c r="M22" s="128">
        <f t="shared" ref="M22:M29" si="10">L22-K22</f>
        <v>396</v>
      </c>
    </row>
    <row r="23" spans="1:18" ht="24.95" customHeight="1" x14ac:dyDescent="0.45">
      <c r="A23" s="123">
        <v>45371</v>
      </c>
      <c r="B23" s="127">
        <f t="shared" si="4"/>
        <v>8114</v>
      </c>
      <c r="C23" s="149">
        <v>8814</v>
      </c>
      <c r="D23" s="121">
        <f t="shared" si="0"/>
        <v>700</v>
      </c>
      <c r="E23" s="125">
        <f t="shared" si="5"/>
        <v>22483</v>
      </c>
      <c r="F23" s="151">
        <v>24217</v>
      </c>
      <c r="G23" s="128">
        <f t="shared" si="8"/>
        <v>1734</v>
      </c>
      <c r="H23" s="113">
        <f>I22</f>
        <v>31181</v>
      </c>
      <c r="I23" s="151">
        <v>33101</v>
      </c>
      <c r="J23" s="128">
        <f t="shared" si="9"/>
        <v>1920</v>
      </c>
      <c r="K23" s="125">
        <f>L22</f>
        <v>5593</v>
      </c>
      <c r="L23" s="151">
        <v>6009</v>
      </c>
      <c r="M23" s="128">
        <f t="shared" si="10"/>
        <v>416</v>
      </c>
    </row>
    <row r="24" spans="1:18" ht="24.95" customHeight="1" x14ac:dyDescent="0.45">
      <c r="A24" s="123">
        <v>45372</v>
      </c>
      <c r="B24" s="127">
        <f t="shared" si="4"/>
        <v>8814</v>
      </c>
      <c r="C24" s="150">
        <v>9360</v>
      </c>
      <c r="D24" s="121">
        <f t="shared" si="0"/>
        <v>546</v>
      </c>
      <c r="E24" s="125">
        <f t="shared" si="5"/>
        <v>24217</v>
      </c>
      <c r="F24" s="151">
        <v>25561</v>
      </c>
      <c r="G24" s="128">
        <f t="shared" si="8"/>
        <v>1344</v>
      </c>
      <c r="H24" s="113">
        <f>I23</f>
        <v>33101</v>
      </c>
      <c r="I24" s="151">
        <v>34611</v>
      </c>
      <c r="J24" s="128">
        <f t="shared" si="9"/>
        <v>1510</v>
      </c>
      <c r="K24" s="125">
        <f>L23</f>
        <v>6009</v>
      </c>
      <c r="L24" s="151">
        <v>6350</v>
      </c>
      <c r="M24" s="128">
        <f t="shared" si="10"/>
        <v>341</v>
      </c>
    </row>
    <row r="25" spans="1:18" ht="24.95" customHeight="1" x14ac:dyDescent="0.45">
      <c r="A25" s="123">
        <v>45373</v>
      </c>
      <c r="B25" s="127">
        <f t="shared" si="4"/>
        <v>9360</v>
      </c>
      <c r="C25" s="150">
        <v>10107</v>
      </c>
      <c r="D25" s="121">
        <f t="shared" si="0"/>
        <v>747</v>
      </c>
      <c r="E25" s="125">
        <f t="shared" si="5"/>
        <v>25561</v>
      </c>
      <c r="F25" s="151">
        <v>27300</v>
      </c>
      <c r="G25" s="128">
        <f t="shared" si="8"/>
        <v>1739</v>
      </c>
      <c r="H25" s="113">
        <f>I24</f>
        <v>34611</v>
      </c>
      <c r="I25" s="151">
        <v>36963</v>
      </c>
      <c r="J25" s="128">
        <f t="shared" si="9"/>
        <v>2352</v>
      </c>
      <c r="K25" s="125">
        <f>L24</f>
        <v>6350</v>
      </c>
      <c r="L25" s="151">
        <v>6921</v>
      </c>
      <c r="M25" s="128">
        <f t="shared" si="10"/>
        <v>571</v>
      </c>
    </row>
    <row r="26" spans="1:18" ht="24.95" customHeight="1" x14ac:dyDescent="0.45">
      <c r="A26" s="123">
        <v>45374</v>
      </c>
      <c r="B26" s="127">
        <f t="shared" si="4"/>
        <v>10107</v>
      </c>
      <c r="C26" s="150">
        <v>10736</v>
      </c>
      <c r="D26" s="121">
        <f t="shared" si="0"/>
        <v>629</v>
      </c>
      <c r="E26" s="125">
        <f t="shared" si="5"/>
        <v>27300</v>
      </c>
      <c r="F26" s="151">
        <v>28762</v>
      </c>
      <c r="G26" s="128">
        <f t="shared" si="8"/>
        <v>1462</v>
      </c>
      <c r="H26" s="113">
        <f>I25</f>
        <v>36963</v>
      </c>
      <c r="I26" s="151">
        <v>39234</v>
      </c>
      <c r="J26" s="128">
        <f t="shared" si="9"/>
        <v>2271</v>
      </c>
      <c r="K26" s="125">
        <f>L25</f>
        <v>6921</v>
      </c>
      <c r="L26" s="151">
        <v>7406</v>
      </c>
      <c r="M26" s="128">
        <f t="shared" si="10"/>
        <v>485</v>
      </c>
    </row>
    <row r="27" spans="1:18" ht="24.95" customHeight="1" x14ac:dyDescent="0.45">
      <c r="A27" s="123">
        <v>45375</v>
      </c>
      <c r="B27" s="125">
        <f>C26</f>
        <v>10736</v>
      </c>
      <c r="C27" s="155">
        <v>11334</v>
      </c>
      <c r="D27" s="121">
        <f t="shared" si="0"/>
        <v>598</v>
      </c>
      <c r="E27" s="125">
        <f t="shared" si="5"/>
        <v>28762</v>
      </c>
      <c r="F27" s="151">
        <v>30020</v>
      </c>
      <c r="G27" s="128">
        <f t="shared" si="8"/>
        <v>1258</v>
      </c>
      <c r="H27" s="113">
        <f t="shared" ref="H27:H28" si="11">I26</f>
        <v>39234</v>
      </c>
      <c r="I27" s="151">
        <v>41250</v>
      </c>
      <c r="J27" s="128">
        <f t="shared" si="9"/>
        <v>2016</v>
      </c>
      <c r="K27" s="125">
        <f t="shared" si="7"/>
        <v>7406</v>
      </c>
      <c r="L27" s="151">
        <v>7861</v>
      </c>
      <c r="M27" s="128">
        <f t="shared" si="10"/>
        <v>455</v>
      </c>
    </row>
    <row r="28" spans="1:18" ht="24.95" customHeight="1" x14ac:dyDescent="0.45">
      <c r="A28" s="123">
        <v>45376</v>
      </c>
      <c r="B28" s="125">
        <f>C27</f>
        <v>11334</v>
      </c>
      <c r="C28" s="155">
        <v>12056</v>
      </c>
      <c r="D28" s="121">
        <f t="shared" si="0"/>
        <v>722</v>
      </c>
      <c r="E28" s="125">
        <f t="shared" si="5"/>
        <v>30020</v>
      </c>
      <c r="F28" s="151">
        <v>31696</v>
      </c>
      <c r="G28" s="128">
        <f t="shared" si="8"/>
        <v>1676</v>
      </c>
      <c r="H28" s="113">
        <f t="shared" si="11"/>
        <v>41250</v>
      </c>
      <c r="I28" s="151">
        <v>43212</v>
      </c>
      <c r="J28" s="128">
        <f t="shared" si="9"/>
        <v>1962</v>
      </c>
      <c r="K28" s="125">
        <f t="shared" si="7"/>
        <v>7861</v>
      </c>
      <c r="L28" s="151">
        <v>8282</v>
      </c>
      <c r="M28" s="128">
        <f t="shared" si="10"/>
        <v>421</v>
      </c>
    </row>
    <row r="29" spans="1:18" ht="24.95" customHeight="1" x14ac:dyDescent="0.45">
      <c r="A29" s="123">
        <v>45377</v>
      </c>
      <c r="B29" s="125">
        <f>C28</f>
        <v>12056</v>
      </c>
      <c r="C29" s="155">
        <v>12721</v>
      </c>
      <c r="D29" s="129">
        <f t="shared" si="0"/>
        <v>665</v>
      </c>
      <c r="E29" s="127">
        <f t="shared" si="5"/>
        <v>31696</v>
      </c>
      <c r="F29" s="151">
        <v>33273</v>
      </c>
      <c r="G29" s="128">
        <f t="shared" si="8"/>
        <v>1577</v>
      </c>
      <c r="H29" s="127">
        <f>I28</f>
        <v>43212</v>
      </c>
      <c r="I29" s="151">
        <v>45231</v>
      </c>
      <c r="J29" s="128">
        <f t="shared" si="9"/>
        <v>2019</v>
      </c>
      <c r="K29" s="127">
        <f t="shared" si="7"/>
        <v>8282</v>
      </c>
      <c r="L29" s="151">
        <v>8692</v>
      </c>
      <c r="M29" s="128">
        <f t="shared" si="10"/>
        <v>410</v>
      </c>
    </row>
    <row r="30" spans="1:18" ht="24.95" customHeight="1" x14ac:dyDescent="0.45">
      <c r="A30" s="123">
        <v>45378</v>
      </c>
      <c r="B30" s="125">
        <f t="shared" ref="B30:B34" si="12">C29</f>
        <v>12721</v>
      </c>
      <c r="C30" s="155">
        <v>13300</v>
      </c>
      <c r="D30" s="129">
        <f t="shared" si="0"/>
        <v>579</v>
      </c>
      <c r="E30" s="127">
        <f t="shared" si="5"/>
        <v>33273</v>
      </c>
      <c r="F30" s="151">
        <v>34648</v>
      </c>
      <c r="G30" s="128">
        <f t="shared" si="8"/>
        <v>1375</v>
      </c>
      <c r="H30" s="127">
        <f>I29</f>
        <v>45231</v>
      </c>
      <c r="I30" s="151">
        <v>46994</v>
      </c>
      <c r="J30" s="128">
        <f t="shared" si="9"/>
        <v>1763</v>
      </c>
      <c r="K30" s="127">
        <f>L29</f>
        <v>8692</v>
      </c>
      <c r="L30" s="151">
        <v>9065</v>
      </c>
      <c r="M30" s="128">
        <f t="shared" ref="M30" si="13">L30-K30</f>
        <v>373</v>
      </c>
      <c r="P30" s="80" t="s">
        <v>50</v>
      </c>
    </row>
    <row r="31" spans="1:18" ht="24.95" customHeight="1" x14ac:dyDescent="0.45">
      <c r="A31" s="123">
        <v>45379</v>
      </c>
      <c r="B31" s="125">
        <f t="shared" si="12"/>
        <v>13300</v>
      </c>
      <c r="C31" s="154">
        <v>13836</v>
      </c>
      <c r="D31" s="126">
        <f t="shared" si="0"/>
        <v>536</v>
      </c>
      <c r="E31" s="130">
        <f t="shared" si="5"/>
        <v>34648</v>
      </c>
      <c r="F31" s="151">
        <v>35871</v>
      </c>
      <c r="G31" s="131">
        <f t="shared" ref="G31:G34" si="14">F31-E31</f>
        <v>1223</v>
      </c>
      <c r="H31" s="132">
        <f t="shared" ref="H31:H34" si="15">I30</f>
        <v>46994</v>
      </c>
      <c r="I31" s="151">
        <v>48762</v>
      </c>
      <c r="J31" s="133">
        <f>I31-H31</f>
        <v>1768</v>
      </c>
      <c r="K31" s="134">
        <f t="shared" ref="K31:K34" si="16">L30</f>
        <v>9065</v>
      </c>
      <c r="L31" s="151">
        <v>9458</v>
      </c>
      <c r="M31" s="135">
        <f>L31-K31</f>
        <v>393</v>
      </c>
    </row>
    <row r="32" spans="1:18" ht="24.95" customHeight="1" x14ac:dyDescent="0.45">
      <c r="A32" s="123">
        <v>45380</v>
      </c>
      <c r="B32" s="125">
        <f t="shared" si="12"/>
        <v>13836</v>
      </c>
      <c r="C32" s="155">
        <v>14383</v>
      </c>
      <c r="D32" s="126">
        <f t="shared" si="0"/>
        <v>547</v>
      </c>
      <c r="E32" s="130">
        <f t="shared" si="5"/>
        <v>35871</v>
      </c>
      <c r="F32" s="151">
        <v>37002</v>
      </c>
      <c r="G32" s="131">
        <f t="shared" si="14"/>
        <v>1131</v>
      </c>
      <c r="H32" s="132">
        <f t="shared" si="15"/>
        <v>48762</v>
      </c>
      <c r="I32" s="151">
        <v>50432</v>
      </c>
      <c r="J32" s="133">
        <f>I32-H32</f>
        <v>1670</v>
      </c>
      <c r="K32" s="134">
        <f t="shared" si="16"/>
        <v>9458</v>
      </c>
      <c r="L32" s="151">
        <v>9777</v>
      </c>
      <c r="M32" s="135">
        <f>L32-K32</f>
        <v>319</v>
      </c>
    </row>
    <row r="33" spans="1:18" ht="24.95" customHeight="1" x14ac:dyDescent="0.45">
      <c r="A33" s="123">
        <v>45381</v>
      </c>
      <c r="B33" s="125">
        <f t="shared" si="12"/>
        <v>14383</v>
      </c>
      <c r="C33" s="155">
        <v>15009</v>
      </c>
      <c r="D33" s="126">
        <f t="shared" si="0"/>
        <v>626</v>
      </c>
      <c r="E33" s="130">
        <f t="shared" si="5"/>
        <v>37002</v>
      </c>
      <c r="F33" s="151">
        <v>38225</v>
      </c>
      <c r="G33" s="131">
        <f t="shared" si="14"/>
        <v>1223</v>
      </c>
      <c r="H33" s="132">
        <f t="shared" si="15"/>
        <v>50432</v>
      </c>
      <c r="I33" s="151">
        <v>52189</v>
      </c>
      <c r="J33" s="133">
        <f>I33-H33</f>
        <v>1757</v>
      </c>
      <c r="K33" s="134">
        <f t="shared" si="16"/>
        <v>9777</v>
      </c>
      <c r="L33" s="151">
        <v>10137</v>
      </c>
      <c r="M33" s="135">
        <f>L33-K33</f>
        <v>360</v>
      </c>
    </row>
    <row r="34" spans="1:18" ht="24.95" customHeight="1" x14ac:dyDescent="0.45">
      <c r="A34" s="123">
        <v>45382</v>
      </c>
      <c r="B34" s="127">
        <f t="shared" si="12"/>
        <v>15009</v>
      </c>
      <c r="C34" s="155">
        <v>15648</v>
      </c>
      <c r="D34" s="126">
        <f t="shared" si="0"/>
        <v>639</v>
      </c>
      <c r="E34" s="124">
        <f t="shared" si="5"/>
        <v>38225</v>
      </c>
      <c r="F34" s="150">
        <v>39591</v>
      </c>
      <c r="G34" s="126">
        <f t="shared" si="14"/>
        <v>1366</v>
      </c>
      <c r="H34" s="127">
        <f t="shared" si="15"/>
        <v>52189</v>
      </c>
      <c r="I34" s="150">
        <v>53879</v>
      </c>
      <c r="J34" s="128">
        <f>I34-H34</f>
        <v>1690</v>
      </c>
      <c r="K34" s="157">
        <f t="shared" si="16"/>
        <v>10137</v>
      </c>
      <c r="L34" s="150">
        <v>10498</v>
      </c>
      <c r="M34" s="158">
        <f>L34-K34</f>
        <v>361</v>
      </c>
    </row>
    <row r="35" spans="1:18" s="47" customFormat="1" ht="24.95" customHeight="1" x14ac:dyDescent="0.45">
      <c r="A35" s="264" t="s">
        <v>48</v>
      </c>
      <c r="B35" s="269">
        <f>SUM(D4:D34)</f>
        <v>15648</v>
      </c>
      <c r="C35" s="270"/>
      <c r="D35" s="271"/>
      <c r="E35" s="272">
        <f>SUM(G4:G34)</f>
        <v>39591</v>
      </c>
      <c r="F35" s="273"/>
      <c r="G35" s="274"/>
      <c r="H35" s="272">
        <f>SUM(J4:J34)</f>
        <v>53879</v>
      </c>
      <c r="I35" s="273"/>
      <c r="J35" s="274"/>
      <c r="K35" s="272">
        <f>SUM(M4:M34)</f>
        <v>10498</v>
      </c>
      <c r="L35" s="273"/>
      <c r="M35" s="274"/>
      <c r="O35" s="62"/>
    </row>
    <row r="36" spans="1:18" ht="36" customHeight="1" thickBot="1" x14ac:dyDescent="0.5">
      <c r="A36" s="265"/>
      <c r="B36" s="266">
        <f>SUM(B35:M35)</f>
        <v>119616</v>
      </c>
      <c r="C36" s="267"/>
      <c r="D36" s="267"/>
      <c r="E36" s="267"/>
      <c r="F36" s="267"/>
      <c r="G36" s="267"/>
      <c r="H36" s="267"/>
      <c r="I36" s="267"/>
      <c r="J36" s="267"/>
      <c r="K36" s="267"/>
      <c r="L36" s="267"/>
      <c r="M36" s="268"/>
      <c r="R36" s="88" t="s">
        <v>42</v>
      </c>
    </row>
  </sheetData>
  <mergeCells count="12">
    <mergeCell ref="A35:A36"/>
    <mergeCell ref="B36:M36"/>
    <mergeCell ref="B35:D35"/>
    <mergeCell ref="E35:G35"/>
    <mergeCell ref="H35:J35"/>
    <mergeCell ref="K35:M35"/>
    <mergeCell ref="A1:M1"/>
    <mergeCell ref="A2:A3"/>
    <mergeCell ref="B2:D2"/>
    <mergeCell ref="E2:G2"/>
    <mergeCell ref="H2:J2"/>
    <mergeCell ref="K2:M2"/>
  </mergeCells>
  <printOptions horizontalCentered="1"/>
  <pageMargins left="0.19685039370078741" right="0.19685039370078741" top="0.51181102362204722" bottom="0.51181102362204722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Total</vt:lpstr>
      <vt:lpstr>Elect</vt:lpstr>
      <vt:lpstr>Water</vt:lpstr>
      <vt:lpstr>Gas</vt:lpstr>
      <vt:lpstr>Chilled Water</vt:lpstr>
      <vt:lpstr>'Chilled Water'!Print_Area</vt:lpstr>
      <vt:lpstr>Elect!Print_Area</vt:lpstr>
      <vt:lpstr>Gas!Print_Area</vt:lpstr>
      <vt:lpstr>Water!Print_Area</vt:lpstr>
    </vt:vector>
  </TitlesOfParts>
  <Company>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</dc:creator>
  <cp:lastModifiedBy>Ronald Diab</cp:lastModifiedBy>
  <cp:lastPrinted>2021-02-01T05:58:49Z</cp:lastPrinted>
  <dcterms:created xsi:type="dcterms:W3CDTF">2002-11-13T05:06:58Z</dcterms:created>
  <dcterms:modified xsi:type="dcterms:W3CDTF">2024-05-17T11:20:57Z</dcterms:modified>
</cp:coreProperties>
</file>