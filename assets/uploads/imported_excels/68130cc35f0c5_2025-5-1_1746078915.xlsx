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1524" documentId="8_{8847650D-614C-4264-8C87-30D8B5EB4252}" xr6:coauthVersionLast="47" xr6:coauthVersionMax="47" xr10:uidLastSave="{C6DF51A8-D0B2-44B9-A4BB-C299ECC8686D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5" l="1"/>
  <c r="AF14" i="5"/>
  <c r="AG14" i="5"/>
  <c r="AH14" i="5"/>
  <c r="AE12" i="5"/>
  <c r="AF12" i="5"/>
  <c r="AG12" i="5"/>
  <c r="AH12" i="5"/>
  <c r="AE10" i="5"/>
  <c r="AF10" i="5"/>
  <c r="AG10" i="5"/>
  <c r="AH10" i="5"/>
  <c r="AE8" i="5"/>
  <c r="AF8" i="5"/>
  <c r="AG8" i="5"/>
  <c r="AH8" i="5"/>
  <c r="AE6" i="5"/>
  <c r="AF6" i="5"/>
  <c r="AG6" i="5"/>
  <c r="AH6" i="5"/>
  <c r="AH20" i="3"/>
  <c r="AG20" i="3"/>
  <c r="AF20" i="3"/>
  <c r="AE20" i="3"/>
  <c r="AH18" i="3"/>
  <c r="AG18" i="3"/>
  <c r="AF18" i="3"/>
  <c r="AE18" i="3"/>
  <c r="AH16" i="3"/>
  <c r="AG16" i="3"/>
  <c r="AF16" i="3"/>
  <c r="AE16" i="3"/>
  <c r="AF14" i="3"/>
  <c r="AG14" i="3"/>
  <c r="AH14" i="3"/>
  <c r="AE14" i="3"/>
  <c r="AB14" i="3"/>
  <c r="AF12" i="3"/>
  <c r="AG12" i="3"/>
  <c r="AH12" i="3"/>
  <c r="AF10" i="3"/>
  <c r="AG10" i="3"/>
  <c r="AH10" i="3"/>
  <c r="AF8" i="3"/>
  <c r="AG8" i="3"/>
  <c r="AH8" i="3"/>
  <c r="AF6" i="3"/>
  <c r="AG6" i="3"/>
  <c r="AH6" i="3"/>
  <c r="G5" i="2"/>
  <c r="G6" i="2"/>
  <c r="G9" i="2"/>
  <c r="G10" i="2"/>
  <c r="G13" i="2"/>
  <c r="G14" i="2"/>
  <c r="G17" i="2"/>
  <c r="G18" i="2"/>
  <c r="G21" i="2"/>
  <c r="G22" i="2"/>
  <c r="G25" i="2"/>
  <c r="G26" i="2"/>
  <c r="G29" i="2"/>
  <c r="G30" i="2"/>
  <c r="C4" i="6"/>
  <c r="AE12" i="3"/>
  <c r="AE10" i="3"/>
  <c r="AE8" i="3"/>
  <c r="AE6" i="3"/>
  <c r="AD20" i="3"/>
  <c r="AD18" i="3"/>
  <c r="AD16" i="3"/>
  <c r="AD14" i="3"/>
  <c r="AD12" i="3"/>
  <c r="AD10" i="3"/>
  <c r="AD8" i="3"/>
  <c r="AD6" i="3"/>
  <c r="AD14" i="5"/>
  <c r="AD12" i="5"/>
  <c r="AD10" i="5"/>
  <c r="AD8" i="5"/>
  <c r="AD6" i="5"/>
  <c r="AC14" i="5"/>
  <c r="AC12" i="5"/>
  <c r="AC10" i="5"/>
  <c r="AC8" i="5"/>
  <c r="AC6" i="5"/>
  <c r="AC20" i="3"/>
  <c r="AC18" i="3"/>
  <c r="AC16" i="3"/>
  <c r="AC14" i="3"/>
  <c r="AC12" i="3"/>
  <c r="AC10" i="3"/>
  <c r="AC8" i="3"/>
  <c r="AC6" i="3"/>
  <c r="AB20" i="3"/>
  <c r="AB18" i="3"/>
  <c r="AB16" i="3"/>
  <c r="AB12" i="3"/>
  <c r="AB10" i="3"/>
  <c r="AB8" i="3"/>
  <c r="AB6" i="3"/>
  <c r="AB14" i="5"/>
  <c r="AB12" i="5"/>
  <c r="AB10" i="5"/>
  <c r="AB8" i="5"/>
  <c r="AB6" i="5"/>
  <c r="AA14" i="5"/>
  <c r="AA12" i="5"/>
  <c r="AA10" i="5"/>
  <c r="AA8" i="5"/>
  <c r="AA6" i="5"/>
  <c r="AA20" i="3"/>
  <c r="AA18" i="3"/>
  <c r="AA16" i="3"/>
  <c r="AA14" i="3"/>
  <c r="AA12" i="3"/>
  <c r="AA10" i="3"/>
  <c r="AA8" i="3"/>
  <c r="AA6" i="3"/>
  <c r="Z20" i="3"/>
  <c r="Z18" i="3"/>
  <c r="Z16" i="3"/>
  <c r="Z14" i="3"/>
  <c r="Z12" i="3"/>
  <c r="Z10" i="3"/>
  <c r="Z8" i="3"/>
  <c r="Z6" i="3"/>
  <c r="Z14" i="5"/>
  <c r="Z12" i="5"/>
  <c r="Z10" i="5"/>
  <c r="Z8" i="5"/>
  <c r="Z6" i="5"/>
  <c r="Y14" i="5"/>
  <c r="Y12" i="5"/>
  <c r="Y10" i="5"/>
  <c r="Y8" i="5"/>
  <c r="Y6" i="5"/>
  <c r="Y20" i="3"/>
  <c r="Y18" i="3"/>
  <c r="Y16" i="3"/>
  <c r="Y14" i="3"/>
  <c r="Y12" i="3"/>
  <c r="Y10" i="3"/>
  <c r="Y8" i="3"/>
  <c r="Y6" i="3"/>
  <c r="X14" i="5"/>
  <c r="W14" i="5"/>
  <c r="X12" i="5"/>
  <c r="W12" i="5"/>
  <c r="X10" i="5"/>
  <c r="W10" i="5"/>
  <c r="X8" i="5"/>
  <c r="W8" i="5"/>
  <c r="X6" i="5"/>
  <c r="W6" i="5"/>
  <c r="X20" i="3"/>
  <c r="W20" i="3"/>
  <c r="X18" i="3"/>
  <c r="W18" i="3"/>
  <c r="X16" i="3"/>
  <c r="W16" i="3"/>
  <c r="X14" i="3"/>
  <c r="W14" i="3"/>
  <c r="X12" i="3"/>
  <c r="W12" i="3"/>
  <c r="X10" i="3"/>
  <c r="W10" i="3"/>
  <c r="X8" i="3"/>
  <c r="W8" i="3"/>
  <c r="X6" i="3"/>
  <c r="W6" i="3"/>
  <c r="V20" i="3"/>
  <c r="V18" i="3"/>
  <c r="V16" i="3"/>
  <c r="V14" i="3"/>
  <c r="V12" i="3"/>
  <c r="V10" i="3"/>
  <c r="V8" i="3"/>
  <c r="V6" i="3"/>
  <c r="V14" i="5"/>
  <c r="V12" i="5"/>
  <c r="V10" i="5"/>
  <c r="V8" i="5"/>
  <c r="V6" i="5"/>
  <c r="U14" i="5"/>
  <c r="U12" i="5"/>
  <c r="U10" i="5"/>
  <c r="U8" i="5"/>
  <c r="U6" i="5"/>
  <c r="U20" i="3"/>
  <c r="U18" i="3"/>
  <c r="U16" i="3"/>
  <c r="U14" i="3"/>
  <c r="U12" i="3"/>
  <c r="U10" i="3"/>
  <c r="U8" i="3"/>
  <c r="U6" i="3"/>
  <c r="T14" i="5"/>
  <c r="T12" i="5"/>
  <c r="T10" i="5"/>
  <c r="T8" i="5"/>
  <c r="T6" i="5"/>
  <c r="T20" i="3"/>
  <c r="T18" i="3"/>
  <c r="T16" i="3"/>
  <c r="T14" i="3"/>
  <c r="T12" i="3"/>
  <c r="T10" i="3"/>
  <c r="T8" i="3"/>
  <c r="T6" i="3"/>
  <c r="S20" i="3"/>
  <c r="S18" i="3"/>
  <c r="S16" i="3"/>
  <c r="S14" i="3"/>
  <c r="S12" i="3"/>
  <c r="S10" i="3"/>
  <c r="S8" i="3"/>
  <c r="S6" i="3"/>
  <c r="S14" i="5"/>
  <c r="S12" i="5"/>
  <c r="S10" i="5"/>
  <c r="S8" i="5"/>
  <c r="S6" i="5"/>
  <c r="R14" i="5"/>
  <c r="R12" i="5"/>
  <c r="R10" i="5"/>
  <c r="R8" i="5"/>
  <c r="R6" i="5"/>
  <c r="R20" i="3"/>
  <c r="R18" i="3"/>
  <c r="R16" i="3"/>
  <c r="R14" i="3"/>
  <c r="R12" i="3"/>
  <c r="R10" i="3"/>
  <c r="R8" i="3"/>
  <c r="R6" i="3"/>
  <c r="Q14" i="5"/>
  <c r="P14" i="5"/>
  <c r="Q12" i="5"/>
  <c r="P12" i="5"/>
  <c r="Q10" i="5"/>
  <c r="P10" i="5"/>
  <c r="Q8" i="5"/>
  <c r="P8" i="5"/>
  <c r="Q6" i="5"/>
  <c r="P6" i="5"/>
  <c r="Q20" i="3"/>
  <c r="P20" i="3"/>
  <c r="Q18" i="3"/>
  <c r="P18" i="3"/>
  <c r="Q16" i="3"/>
  <c r="P16" i="3"/>
  <c r="Q14" i="3"/>
  <c r="P14" i="3"/>
  <c r="Q12" i="3"/>
  <c r="P12" i="3"/>
  <c r="Q10" i="3"/>
  <c r="P10" i="3"/>
  <c r="Q8" i="3"/>
  <c r="P8" i="3"/>
  <c r="Q6" i="3"/>
  <c r="P6" i="3"/>
  <c r="O14" i="5"/>
  <c r="O12" i="5"/>
  <c r="O10" i="5"/>
  <c r="O8" i="5"/>
  <c r="O6" i="5"/>
  <c r="O20" i="3"/>
  <c r="O18" i="3"/>
  <c r="O16" i="3"/>
  <c r="O14" i="3"/>
  <c r="O12" i="3"/>
  <c r="O10" i="3"/>
  <c r="O8" i="3"/>
  <c r="O6" i="3"/>
  <c r="N14" i="5"/>
  <c r="M14" i="5"/>
  <c r="N12" i="5"/>
  <c r="M12" i="5"/>
  <c r="N10" i="5"/>
  <c r="M10" i="5"/>
  <c r="N8" i="5"/>
  <c r="M8" i="5"/>
  <c r="N6" i="5"/>
  <c r="M6" i="5"/>
  <c r="N20" i="3"/>
  <c r="M20" i="3"/>
  <c r="N18" i="3"/>
  <c r="M18" i="3"/>
  <c r="N16" i="3"/>
  <c r="M16" i="3"/>
  <c r="N14" i="3"/>
  <c r="M14" i="3"/>
  <c r="N12" i="3"/>
  <c r="M12" i="3"/>
  <c r="N10" i="3"/>
  <c r="M10" i="3"/>
  <c r="N8" i="3"/>
  <c r="M8" i="3"/>
  <c r="N6" i="3"/>
  <c r="M6" i="3"/>
  <c r="L14" i="5"/>
  <c r="L12" i="5"/>
  <c r="L10" i="5"/>
  <c r="L8" i="5"/>
  <c r="L6" i="5"/>
  <c r="L20" i="3"/>
  <c r="L18" i="3"/>
  <c r="L16" i="3"/>
  <c r="L14" i="3"/>
  <c r="L12" i="3"/>
  <c r="L10" i="3"/>
  <c r="L8" i="3"/>
  <c r="L6" i="3"/>
  <c r="K14" i="5"/>
  <c r="J14" i="5"/>
  <c r="I14" i="5"/>
  <c r="H14" i="5"/>
  <c r="K12" i="5"/>
  <c r="J12" i="5"/>
  <c r="I12" i="5"/>
  <c r="H12" i="5"/>
  <c r="K10" i="5"/>
  <c r="J10" i="5"/>
  <c r="I10" i="5"/>
  <c r="H10" i="5"/>
  <c r="K8" i="5"/>
  <c r="J8" i="5"/>
  <c r="I8" i="5"/>
  <c r="H8" i="5"/>
  <c r="K6" i="5"/>
  <c r="J6" i="5"/>
  <c r="I6" i="5"/>
  <c r="H6" i="5"/>
  <c r="K20" i="3"/>
  <c r="J20" i="3"/>
  <c r="I20" i="3"/>
  <c r="H20" i="3"/>
  <c r="K18" i="3"/>
  <c r="J18" i="3"/>
  <c r="I18" i="3"/>
  <c r="H18" i="3"/>
  <c r="K16" i="3"/>
  <c r="J16" i="3"/>
  <c r="I16" i="3"/>
  <c r="H16" i="3"/>
  <c r="K14" i="3"/>
  <c r="J14" i="3"/>
  <c r="I14" i="3"/>
  <c r="H14" i="3"/>
  <c r="K12" i="3"/>
  <c r="J12" i="3"/>
  <c r="I12" i="3"/>
  <c r="H12" i="3"/>
  <c r="K10" i="3"/>
  <c r="J10" i="3"/>
  <c r="I10" i="3"/>
  <c r="H10" i="3"/>
  <c r="K8" i="3"/>
  <c r="J8" i="3"/>
  <c r="I8" i="3"/>
  <c r="H8" i="3"/>
  <c r="K6" i="3"/>
  <c r="J6" i="3"/>
  <c r="I6" i="3"/>
  <c r="H6" i="3"/>
  <c r="G20" i="3"/>
  <c r="G18" i="3"/>
  <c r="G16" i="3"/>
  <c r="G14" i="3"/>
  <c r="G12" i="3"/>
  <c r="G10" i="3"/>
  <c r="G8" i="3"/>
  <c r="G6" i="3"/>
  <c r="G14" i="5"/>
  <c r="G12" i="5"/>
  <c r="G10" i="5"/>
  <c r="G8" i="5"/>
  <c r="G6" i="5"/>
  <c r="F14" i="3"/>
  <c r="F8" i="5"/>
  <c r="F6" i="5"/>
  <c r="G3" i="2"/>
  <c r="G4" i="2"/>
  <c r="G7" i="2"/>
  <c r="G8" i="2"/>
  <c r="G11" i="2"/>
  <c r="G12" i="2"/>
  <c r="G15" i="2"/>
  <c r="G16" i="2"/>
  <c r="G19" i="2"/>
  <c r="G20" i="2"/>
  <c r="G23" i="2"/>
  <c r="G24" i="2"/>
  <c r="G27" i="2"/>
  <c r="G28" i="2"/>
  <c r="G31" i="2"/>
  <c r="G32" i="2"/>
  <c r="G2" i="2"/>
  <c r="F20" i="3"/>
  <c r="E20" i="3"/>
  <c r="F18" i="3"/>
  <c r="E18" i="3"/>
  <c r="F16" i="3"/>
  <c r="E16" i="3"/>
  <c r="E14" i="3"/>
  <c r="F12" i="3"/>
  <c r="E12" i="3"/>
  <c r="F10" i="3"/>
  <c r="E10" i="3"/>
  <c r="F8" i="3"/>
  <c r="E8" i="3"/>
  <c r="F6" i="3"/>
  <c r="E6" i="3"/>
  <c r="F14" i="5" l="1"/>
  <c r="E14" i="5"/>
  <c r="F12" i="5"/>
  <c r="E12" i="5"/>
  <c r="AH15" i="5"/>
  <c r="F10" i="5"/>
  <c r="E10" i="5"/>
  <c r="AG15" i="5"/>
  <c r="E8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F21" i="3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<sst xmlns="http://schemas.openxmlformats.org/spreadsheetml/2006/main" count="122" uniqueCount="87">
  <si>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</si>
  <si>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</si>
  <si>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</si>
  <si>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</si>
  <si>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</si>
  <si>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</si>
  <si>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</si>
  <si>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</si>
  <si>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</si>
  <si>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</si>
  <si>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</si>
  <si>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</si>
  <si>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</si>
  <si>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APRIL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</si>
  <si>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</si>
  <si>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</si>
  <si>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</si>
  <si>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</si>
  <si>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</si>
  <si>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</si>
  <si>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</si>
  <si>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</si>
  <si>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</si>
  <si>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</si>
  <si>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</si>
  <si>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</si>
  <si>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</si>
  <si>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</si>
  <si>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</si>
  <si>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</si>
  <si>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</si>
  <si>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</si>
  <si>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</si>
  <si>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</si>
  <si>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</si>
  <si>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</si>
  <si>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2025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</si>
  <si>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</si>
  <si>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</si>
  <si>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</si>
  <si>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</si>
  <si>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</si>
  <si>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</si>
  <si>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</si>
  <si>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</si>
  <si>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</si>
  <si>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</si>
  <si>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</si>
  <si>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</si>
  <si>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</si>
  <si>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</si>
  <si>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</si>
  <si>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</si>
  <si>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</si>
  <si>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</si>
  <si>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</si>
  <si>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</si>
  <si>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</si>
  <si>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</si>
  <si>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</si>
  <si>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</si>
  <si>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</si>
  <si>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</si>
  <si>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</si>
  <si>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</si>
  <si>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</si>
  <si>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</si>
  <si>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</si>
  <si>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</si>
  <si>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</si>
  <si>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</si>
  <si>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</si>
  <si>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</si>
  <si>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</si>
  <si>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</si>
  <si>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</si>
  <si>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</si>
  <si>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</si>
  <si>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</si>
  <si>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DAILY GAS METER READINGS &amp; CONSUMPTION (Liters) APRIL 2025</t>
  </si>
  <si>
    <t xml:space="preserve">                                       </t>
  </si>
  <si>
    <t>TOTAL Consumption</t>
  </si>
  <si>
    <t>Occupied Room &amp; Number of Guest - April 2025</t>
  </si>
  <si>
    <t>Date</t>
  </si>
  <si>
    <t>Occupied</t>
  </si>
  <si>
    <t># Guest</t>
  </si>
  <si>
    <t>TOTAL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</si>
</sst>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5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I34" sqref="I34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4</v>
      </c>
      <c r="D2" s="10">
        <v>2025</v>
      </c>
      <c r="E2" s="4" cm="1">
        <f t="array" ref="E2:E32">TRANSPOSE(Electricity!E21:AI21)</f>
        <v>32863.4</v>
      </c>
      <c r="F2" s="11">
        <v>0.2</v>
      </c>
      <c r="G2" s="4">
        <f>LPG!C4</f>
        <v>2365</v>
      </c>
      <c r="H2" s="11">
        <v>1.6240000000000001</v>
      </c>
      <c r="I2" s="4" cm="1">
        <f t="array" ref="I2:I32">TRANSPOSE(Water!E15:AI15)</f>
        <v>311.23700000001065</v>
      </c>
      <c r="J2" s="11">
        <v>7.84</v>
      </c>
      <c r="K2" s="4">
        <f>'Occupied &amp; No. of Guest'!B3</f>
        <v>417</v>
      </c>
      <c r="L2" s="4">
        <f>'Occupied &amp; No. of Guest'!C3</f>
        <v>736</v>
      </c>
    </row>
    <row r="3" spans="1:12" x14ac:dyDescent="0.3">
      <c r="A3" s="9" t="s">
        <v>12</v>
      </c>
      <c r="B3" s="10">
        <f>B2+1</f>
        <v>2</v>
      </c>
      <c r="C3" s="10">
        <v>4</v>
      </c>
      <c r="D3" s="10">
        <v>2025</v>
      </c>
      <c r="E3" s="4">
        <v>31001.800000000003</v>
      </c>
      <c r="F3" s="11">
        <v>0.2</v>
      </c>
      <c r="G3" s="4">
        <f>LPG!C5</f>
        <v>2365</v>
      </c>
      <c r="H3" s="11">
        <v>1.6240000000000001</v>
      </c>
      <c r="I3" s="4">
        <v>347.57999999998401</v>
      </c>
      <c r="J3" s="11">
        <v>7.84</v>
      </c>
      <c r="K3" s="4">
        <f>'Occupied &amp; No. of Guest'!B4</f>
        <v>478</v>
      </c>
      <c r="L3" s="4">
        <f>'Occupied &amp; No. of Guest'!C4</f>
        <v>854</v>
      </c>
    </row>
    <row r="4" spans="1:12" x14ac:dyDescent="0.3">
      <c r="A4" s="9" t="s">
        <v>12</v>
      </c>
      <c r="B4" s="10">
        <f t="shared" ref="B4:B32" si="0">B3+1</f>
        <v>3</v>
      </c>
      <c r="C4" s="10">
        <v>4</v>
      </c>
      <c r="D4" s="10">
        <v>2025</v>
      </c>
      <c r="E4" s="4">
        <v>35075.4</v>
      </c>
      <c r="F4" s="11">
        <v>0.2</v>
      </c>
      <c r="G4" s="4">
        <f>LPG!C6</f>
        <v>2365</v>
      </c>
      <c r="H4" s="11">
        <v>1.6240000000000001</v>
      </c>
      <c r="I4" s="4">
        <v>326.40800000001582</v>
      </c>
      <c r="J4" s="11">
        <v>7.84</v>
      </c>
      <c r="K4" s="4">
        <f>'Occupied &amp; No. of Guest'!B5</f>
        <v>442</v>
      </c>
      <c r="L4" s="4">
        <f>'Occupied &amp; No. of Guest'!C5</f>
        <v>779</v>
      </c>
    </row>
    <row r="5" spans="1:12" x14ac:dyDescent="0.3">
      <c r="A5" s="9" t="s">
        <v>12</v>
      </c>
      <c r="B5" s="10">
        <f t="shared" si="0"/>
        <v>4</v>
      </c>
      <c r="C5" s="10">
        <v>4</v>
      </c>
      <c r="D5" s="10">
        <v>2025</v>
      </c>
      <c r="E5" s="4">
        <v>33662.400000000001</v>
      </c>
      <c r="F5" s="11">
        <v>0.2</v>
      </c>
      <c r="G5" s="4">
        <f>LPG!C7</f>
        <v>2365</v>
      </c>
      <c r="H5" s="11">
        <v>1.6240000000000001</v>
      </c>
      <c r="I5" s="4">
        <v>337.28299999997927</v>
      </c>
      <c r="J5" s="11">
        <v>7.84</v>
      </c>
      <c r="K5" s="4">
        <f>'Occupied &amp; No. of Guest'!B6</f>
        <v>390</v>
      </c>
      <c r="L5" s="4">
        <f>'Occupied &amp; No. of Guest'!C6</f>
        <v>675</v>
      </c>
    </row>
    <row r="6" spans="1:12" x14ac:dyDescent="0.3">
      <c r="A6" s="9" t="s">
        <v>12</v>
      </c>
      <c r="B6" s="10">
        <f t="shared" si="0"/>
        <v>5</v>
      </c>
      <c r="C6" s="10">
        <v>4</v>
      </c>
      <c r="D6" s="10">
        <v>2025</v>
      </c>
      <c r="E6" s="4">
        <v>34282</v>
      </c>
      <c r="F6" s="11">
        <v>0.2</v>
      </c>
      <c r="G6" s="4">
        <f>LPG!C8</f>
        <v>2365</v>
      </c>
      <c r="H6" s="11">
        <v>1.6240000000000001</v>
      </c>
      <c r="I6" s="4">
        <v>279.47900000001039</v>
      </c>
      <c r="J6" s="11">
        <v>7.84</v>
      </c>
      <c r="K6" s="4">
        <f>'Occupied &amp; No. of Guest'!B7</f>
        <v>397</v>
      </c>
      <c r="L6" s="4">
        <f>'Occupied &amp; No. of Guest'!C7</f>
        <v>669</v>
      </c>
    </row>
    <row r="7" spans="1:12" x14ac:dyDescent="0.3">
      <c r="A7" s="9" t="s">
        <v>12</v>
      </c>
      <c r="B7" s="10">
        <f t="shared" si="0"/>
        <v>6</v>
      </c>
      <c r="C7" s="10">
        <v>4</v>
      </c>
      <c r="D7" s="10">
        <v>2025</v>
      </c>
      <c r="E7" s="4">
        <v>34850.6</v>
      </c>
      <c r="F7" s="11">
        <v>0.2</v>
      </c>
      <c r="G7" s="4">
        <f>LPG!C9</f>
        <v>2365</v>
      </c>
      <c r="H7" s="11">
        <v>1.6240000000000001</v>
      </c>
      <c r="I7" s="4">
        <v>331.64199999999471</v>
      </c>
      <c r="J7" s="11">
        <v>7.84</v>
      </c>
      <c r="K7" s="4">
        <f>'Occupied &amp; No. of Guest'!B8</f>
        <v>441</v>
      </c>
      <c r="L7" s="4">
        <f>'Occupied &amp; No. of Guest'!C8</f>
        <v>605</v>
      </c>
    </row>
    <row r="8" spans="1:12" x14ac:dyDescent="0.3">
      <c r="A8" s="9" t="s">
        <v>12</v>
      </c>
      <c r="B8" s="10">
        <f t="shared" si="0"/>
        <v>7</v>
      </c>
      <c r="C8" s="10">
        <v>4</v>
      </c>
      <c r="D8" s="10">
        <v>2025</v>
      </c>
      <c r="E8" s="4">
        <v>35406.800000000003</v>
      </c>
      <c r="F8" s="11">
        <v>0.2</v>
      </c>
      <c r="G8" s="4">
        <f>LPG!C10</f>
        <v>2365</v>
      </c>
      <c r="H8" s="11">
        <v>1.6240000000000001</v>
      </c>
      <c r="I8" s="4">
        <v>152.86200000000537</v>
      </c>
      <c r="J8" s="11">
        <v>7.84</v>
      </c>
      <c r="K8" s="4">
        <f>'Occupied &amp; No. of Guest'!B9</f>
        <v>464</v>
      </c>
      <c r="L8" s="4">
        <f>'Occupied &amp; No. of Guest'!C9</f>
        <v>624</v>
      </c>
    </row>
    <row r="9" spans="1:12" x14ac:dyDescent="0.3">
      <c r="A9" s="9" t="s">
        <v>12</v>
      </c>
      <c r="B9" s="10">
        <f t="shared" si="0"/>
        <v>8</v>
      </c>
      <c r="C9" s="10">
        <v>4</v>
      </c>
      <c r="D9" s="10">
        <v>2025</v>
      </c>
      <c r="E9" s="4">
        <v>35845</v>
      </c>
      <c r="F9" s="11">
        <v>0.2</v>
      </c>
      <c r="G9" s="4">
        <f>LPG!C11</f>
        <v>2365</v>
      </c>
      <c r="H9" s="11">
        <v>1.6240000000000001</v>
      </c>
      <c r="I9" s="4">
        <v>67.012999999989376</v>
      </c>
      <c r="J9" s="11">
        <v>7.84</v>
      </c>
      <c r="K9" s="4">
        <f>'Occupied &amp; No. of Guest'!B10</f>
        <v>482</v>
      </c>
      <c r="L9" s="4">
        <f>'Occupied &amp; No. of Guest'!C10</f>
        <v>647</v>
      </c>
    </row>
    <row r="10" spans="1:12" x14ac:dyDescent="0.3">
      <c r="A10" s="9" t="s">
        <v>12</v>
      </c>
      <c r="B10" s="10">
        <f t="shared" si="0"/>
        <v>9</v>
      </c>
      <c r="C10" s="10">
        <v>4</v>
      </c>
      <c r="D10" s="10">
        <v>2025</v>
      </c>
      <c r="E10" s="4">
        <v>36566.800000000003</v>
      </c>
      <c r="F10" s="11">
        <v>0.2</v>
      </c>
      <c r="G10" s="4">
        <f>LPG!C12</f>
        <v>2365</v>
      </c>
      <c r="H10" s="11">
        <v>1.6240000000000001</v>
      </c>
      <c r="I10" s="4">
        <v>51.819000000005147</v>
      </c>
      <c r="J10" s="11">
        <v>7.84</v>
      </c>
      <c r="K10" s="4">
        <v>482</v>
      </c>
      <c r="L10" s="4">
        <v>580</v>
      </c>
    </row>
    <row r="11" spans="1:12" x14ac:dyDescent="0.3">
      <c r="A11" s="9" t="s">
        <v>12</v>
      </c>
      <c r="B11" s="10">
        <f t="shared" si="0"/>
        <v>10</v>
      </c>
      <c r="C11" s="10">
        <v>4</v>
      </c>
      <c r="D11" s="10">
        <v>2025</v>
      </c>
      <c r="E11" s="4">
        <v>36481</v>
      </c>
      <c r="F11" s="11">
        <v>0.2</v>
      </c>
      <c r="G11" s="4">
        <f>LPG!C13</f>
        <v>2365</v>
      </c>
      <c r="H11" s="11">
        <v>1.6240000000000001</v>
      </c>
      <c r="I11" s="4">
        <v>659.32100000001572</v>
      </c>
      <c r="J11" s="11">
        <v>7.84</v>
      </c>
      <c r="K11" s="4">
        <f>'Occupied &amp; No. of Guest'!B12</f>
        <v>488</v>
      </c>
      <c r="L11" s="4">
        <f>'Occupied &amp; No. of Guest'!C12</f>
        <v>576</v>
      </c>
    </row>
    <row r="12" spans="1:12" x14ac:dyDescent="0.3">
      <c r="A12" s="9" t="s">
        <v>12</v>
      </c>
      <c r="B12" s="10">
        <f t="shared" si="0"/>
        <v>11</v>
      </c>
      <c r="C12" s="10">
        <v>4</v>
      </c>
      <c r="D12" s="10">
        <v>2025</v>
      </c>
      <c r="E12" s="4">
        <v>35482.400000000001</v>
      </c>
      <c r="F12" s="11">
        <v>0.2</v>
      </c>
      <c r="G12" s="4">
        <f>LPG!C14</f>
        <v>2365</v>
      </c>
      <c r="H12" s="11">
        <v>1.6240000000000001</v>
      </c>
      <c r="I12" s="4">
        <v>745.2479999999947</v>
      </c>
      <c r="J12" s="11">
        <v>7.84</v>
      </c>
      <c r="K12" s="4">
        <f>'Occupied &amp; No. of Guest'!B13</f>
        <v>386</v>
      </c>
      <c r="L12" s="4">
        <f>'Occupied &amp; No. of Guest'!C13</f>
        <v>587</v>
      </c>
    </row>
    <row r="13" spans="1:12" x14ac:dyDescent="0.3">
      <c r="A13" s="9" t="s">
        <v>12</v>
      </c>
      <c r="B13" s="10">
        <f t="shared" si="0"/>
        <v>12</v>
      </c>
      <c r="C13" s="10">
        <v>4</v>
      </c>
      <c r="D13" s="10">
        <v>2025</v>
      </c>
      <c r="E13" s="4">
        <v>35669</v>
      </c>
      <c r="F13" s="11">
        <v>0.2</v>
      </c>
      <c r="G13" s="4">
        <f>LPG!C15</f>
        <v>2365</v>
      </c>
      <c r="H13" s="11">
        <v>1.6240000000000001</v>
      </c>
      <c r="I13" s="4">
        <v>407.25499999998954</v>
      </c>
      <c r="J13" s="11">
        <v>7.84</v>
      </c>
      <c r="K13" s="4">
        <f>'Occupied &amp; No. of Guest'!B14</f>
        <v>418</v>
      </c>
      <c r="L13" s="4">
        <f>'Occupied &amp; No. of Guest'!C14</f>
        <v>619</v>
      </c>
    </row>
    <row r="14" spans="1:12" x14ac:dyDescent="0.3">
      <c r="A14" s="9" t="s">
        <v>12</v>
      </c>
      <c r="B14" s="10">
        <f t="shared" si="0"/>
        <v>13</v>
      </c>
      <c r="C14" s="10">
        <v>4</v>
      </c>
      <c r="D14" s="10">
        <v>2025</v>
      </c>
      <c r="E14" s="4">
        <v>34763.800000000003</v>
      </c>
      <c r="F14" s="11">
        <v>0.2</v>
      </c>
      <c r="G14" s="4">
        <f>LPG!C16</f>
        <v>2365</v>
      </c>
      <c r="H14" s="11">
        <v>1.6240000000000001</v>
      </c>
      <c r="I14" s="4">
        <v>303.16500000000542</v>
      </c>
      <c r="J14" s="11">
        <v>7.84</v>
      </c>
      <c r="K14" s="4">
        <f>'Occupied &amp; No. of Guest'!B15</f>
        <v>419</v>
      </c>
      <c r="L14" s="4">
        <f>'Occupied &amp; No. of Guest'!C15</f>
        <v>554</v>
      </c>
    </row>
    <row r="15" spans="1:12" x14ac:dyDescent="0.3">
      <c r="A15" s="9" t="s">
        <v>12</v>
      </c>
      <c r="B15" s="10">
        <f t="shared" si="0"/>
        <v>14</v>
      </c>
      <c r="C15" s="10">
        <v>4</v>
      </c>
      <c r="D15" s="10">
        <v>2025</v>
      </c>
      <c r="E15" s="4">
        <v>37252</v>
      </c>
      <c r="F15" s="11">
        <v>0.2</v>
      </c>
      <c r="G15" s="4">
        <f>LPG!C17</f>
        <v>2365</v>
      </c>
      <c r="H15" s="11">
        <v>1.6240000000000001</v>
      </c>
      <c r="I15" s="4">
        <v>114.95099999999475</v>
      </c>
      <c r="J15" s="11">
        <v>7.84</v>
      </c>
      <c r="K15" s="4">
        <f>'Occupied &amp; No. of Guest'!B16</f>
        <v>485</v>
      </c>
      <c r="L15" s="4">
        <f>'Occupied &amp; No. of Guest'!C16</f>
        <v>665</v>
      </c>
    </row>
    <row r="16" spans="1:12" x14ac:dyDescent="0.3">
      <c r="A16" s="9" t="s">
        <v>12</v>
      </c>
      <c r="B16" s="10">
        <f t="shared" si="0"/>
        <v>15</v>
      </c>
      <c r="C16" s="10">
        <v>4</v>
      </c>
      <c r="D16" s="10">
        <v>2025</v>
      </c>
      <c r="E16" s="4">
        <v>37571.199999999997</v>
      </c>
      <c r="F16" s="11">
        <v>0.2</v>
      </c>
      <c r="G16" s="4">
        <f>LPG!C18</f>
        <v>2365</v>
      </c>
      <c r="H16" s="11">
        <v>1.6240000000000001</v>
      </c>
      <c r="I16" s="4">
        <v>533.68600000000492</v>
      </c>
      <c r="J16" s="11">
        <v>7.84</v>
      </c>
      <c r="K16" s="4">
        <f>'Occupied &amp; No. of Guest'!B17</f>
        <v>478</v>
      </c>
      <c r="L16" s="4">
        <f>'Occupied &amp; No. of Guest'!C17</f>
        <v>658</v>
      </c>
    </row>
    <row r="17" spans="1:12" x14ac:dyDescent="0.3">
      <c r="A17" s="9" t="s">
        <v>12</v>
      </c>
      <c r="B17" s="10">
        <f t="shared" si="0"/>
        <v>16</v>
      </c>
      <c r="C17" s="10">
        <v>4</v>
      </c>
      <c r="D17" s="10">
        <v>2025</v>
      </c>
      <c r="E17" s="4">
        <v>37216.6</v>
      </c>
      <c r="F17" s="11">
        <v>0.2</v>
      </c>
      <c r="G17" s="4">
        <f>LPG!C19</f>
        <v>2365</v>
      </c>
      <c r="H17" s="11">
        <v>1.6240000000000001</v>
      </c>
      <c r="I17" s="4">
        <v>306.03899999999487</v>
      </c>
      <c r="J17" s="11">
        <v>7.84</v>
      </c>
      <c r="K17" s="4">
        <f>'Occupied &amp; No. of Guest'!B18</f>
        <v>474</v>
      </c>
      <c r="L17" s="4">
        <f>'Occupied &amp; No. of Guest'!C18</f>
        <v>658</v>
      </c>
    </row>
    <row r="18" spans="1:12" x14ac:dyDescent="0.3">
      <c r="A18" s="9" t="s">
        <v>12</v>
      </c>
      <c r="B18" s="10">
        <f t="shared" si="0"/>
        <v>17</v>
      </c>
      <c r="C18" s="10">
        <v>4</v>
      </c>
      <c r="D18" s="10">
        <v>2025</v>
      </c>
      <c r="E18" s="4">
        <v>36245.599999999999</v>
      </c>
      <c r="F18" s="11">
        <v>0.2</v>
      </c>
      <c r="G18" s="4">
        <f>LPG!C20</f>
        <v>2365</v>
      </c>
      <c r="H18" s="11">
        <v>1.6240000000000001</v>
      </c>
      <c r="I18" s="4">
        <v>350.40199999999516</v>
      </c>
      <c r="J18" s="11">
        <v>7.84</v>
      </c>
      <c r="K18" s="4">
        <f>'Occupied &amp; No. of Guest'!B19</f>
        <v>474</v>
      </c>
      <c r="L18" s="4">
        <f>'Occupied &amp; No. of Guest'!C19</f>
        <v>666</v>
      </c>
    </row>
    <row r="19" spans="1:12" x14ac:dyDescent="0.3">
      <c r="A19" s="9" t="s">
        <v>12</v>
      </c>
      <c r="B19" s="10">
        <f t="shared" si="0"/>
        <v>18</v>
      </c>
      <c r="C19" s="10">
        <v>4</v>
      </c>
      <c r="D19" s="10">
        <v>2025</v>
      </c>
      <c r="E19" s="4">
        <v>34905.4</v>
      </c>
      <c r="F19" s="11">
        <v>0.2</v>
      </c>
      <c r="G19" s="4">
        <f>LPG!C21</f>
        <v>2365</v>
      </c>
      <c r="H19" s="11">
        <v>1.6240000000000001</v>
      </c>
      <c r="I19" s="4">
        <v>344.19400000001531</v>
      </c>
      <c r="J19" s="11">
        <v>7.84</v>
      </c>
      <c r="K19" s="4">
        <f>'Occupied &amp; No. of Guest'!B20</f>
        <v>470</v>
      </c>
      <c r="L19" s="4">
        <f>'Occupied &amp; No. of Guest'!C20</f>
        <v>705</v>
      </c>
    </row>
    <row r="20" spans="1:12" x14ac:dyDescent="0.3">
      <c r="A20" s="9" t="s">
        <v>12</v>
      </c>
      <c r="B20" s="10">
        <f t="shared" si="0"/>
        <v>19</v>
      </c>
      <c r="C20" s="10">
        <v>4</v>
      </c>
      <c r="D20" s="10">
        <v>2025</v>
      </c>
      <c r="E20" s="4">
        <v>34353.800000000003</v>
      </c>
      <c r="F20" s="11">
        <v>0.2</v>
      </c>
      <c r="G20" s="4">
        <f>LPG!C22</f>
        <v>2365</v>
      </c>
      <c r="H20" s="11">
        <v>1.6240000000000001</v>
      </c>
      <c r="I20" s="4">
        <v>305.69999999998436</v>
      </c>
      <c r="J20" s="11">
        <v>7.84</v>
      </c>
      <c r="K20" s="4">
        <f>'Occupied &amp; No. of Guest'!B21</f>
        <v>474</v>
      </c>
      <c r="L20" s="4">
        <f>'Occupied &amp; No. of Guest'!C21</f>
        <v>688</v>
      </c>
    </row>
    <row r="21" spans="1:12" x14ac:dyDescent="0.3">
      <c r="A21" s="9" t="s">
        <v>12</v>
      </c>
      <c r="B21" s="10">
        <f t="shared" si="0"/>
        <v>20</v>
      </c>
      <c r="C21" s="10">
        <v>4</v>
      </c>
      <c r="D21" s="10">
        <v>2025</v>
      </c>
      <c r="E21" s="4">
        <v>34778.199999999997</v>
      </c>
      <c r="F21" s="11">
        <v>0.2</v>
      </c>
      <c r="G21" s="4">
        <f>LPG!C23</f>
        <v>2365</v>
      </c>
      <c r="H21" s="11">
        <v>1.6240000000000001</v>
      </c>
      <c r="I21" s="4">
        <v>347.13400000001081</v>
      </c>
      <c r="J21" s="11">
        <v>7.84</v>
      </c>
      <c r="K21" s="4">
        <f>'Occupied &amp; No. of Guest'!B22</f>
        <v>456</v>
      </c>
      <c r="L21" s="4">
        <f>'Occupied &amp; No. of Guest'!C22</f>
        <v>611</v>
      </c>
    </row>
    <row r="22" spans="1:12" x14ac:dyDescent="0.3">
      <c r="A22" s="9" t="s">
        <v>12</v>
      </c>
      <c r="B22" s="10">
        <f t="shared" si="0"/>
        <v>21</v>
      </c>
      <c r="C22" s="10">
        <v>4</v>
      </c>
      <c r="D22" s="10">
        <v>2025</v>
      </c>
      <c r="E22" s="4">
        <v>35899.800000000003</v>
      </c>
      <c r="F22" s="11">
        <v>0.2</v>
      </c>
      <c r="G22" s="4">
        <f>LPG!C24</f>
        <v>2365</v>
      </c>
      <c r="H22" s="11">
        <v>1.6240000000000001</v>
      </c>
      <c r="I22" s="4">
        <v>347.75299999999942</v>
      </c>
      <c r="J22" s="11">
        <v>7.84</v>
      </c>
      <c r="K22" s="4">
        <f>'Occupied &amp; No. of Guest'!B23</f>
        <v>473</v>
      </c>
      <c r="L22" s="4">
        <f>'Occupied &amp; No. of Guest'!C23</f>
        <v>630</v>
      </c>
    </row>
    <row r="23" spans="1:12" x14ac:dyDescent="0.3">
      <c r="A23" s="9" t="s">
        <v>12</v>
      </c>
      <c r="B23" s="10">
        <f t="shared" si="0"/>
        <v>22</v>
      </c>
      <c r="C23" s="10">
        <v>4</v>
      </c>
      <c r="D23" s="10">
        <v>2025</v>
      </c>
      <c r="E23" s="4">
        <v>35495.4</v>
      </c>
      <c r="F23" s="11">
        <v>0.2</v>
      </c>
      <c r="G23" s="4">
        <f>LPG!C25</f>
        <v>2365</v>
      </c>
      <c r="H23" s="11">
        <v>1.6240000000000001</v>
      </c>
      <c r="I23" s="4">
        <v>323.70900000000017</v>
      </c>
      <c r="J23" s="11">
        <v>7.84</v>
      </c>
      <c r="K23" s="4">
        <f>'Occupied &amp; No. of Guest'!B24</f>
        <v>486</v>
      </c>
      <c r="L23" s="4">
        <f>'Occupied &amp; No. of Guest'!C24</f>
        <v>640</v>
      </c>
    </row>
    <row r="24" spans="1:12" x14ac:dyDescent="0.3">
      <c r="A24" s="9" t="s">
        <v>12</v>
      </c>
      <c r="B24" s="10">
        <f t="shared" si="0"/>
        <v>23</v>
      </c>
      <c r="C24" s="10">
        <v>4</v>
      </c>
      <c r="D24" s="10">
        <v>2025</v>
      </c>
      <c r="E24" s="4">
        <v>36168.400000000001</v>
      </c>
      <c r="F24" s="11">
        <v>0.2</v>
      </c>
      <c r="G24" s="4">
        <f>LPG!C26</f>
        <v>2365</v>
      </c>
      <c r="H24" s="11">
        <v>1.6240000000000001</v>
      </c>
      <c r="I24" s="4">
        <v>312.06200000000001</v>
      </c>
      <c r="J24" s="11">
        <v>7.84</v>
      </c>
      <c r="K24" s="4">
        <f>'Occupied &amp; No. of Guest'!B25</f>
        <v>477</v>
      </c>
      <c r="L24" s="4">
        <f>'Occupied &amp; No. of Guest'!C25</f>
        <v>642</v>
      </c>
    </row>
    <row r="25" spans="1:12" x14ac:dyDescent="0.3">
      <c r="A25" s="9" t="s">
        <v>12</v>
      </c>
      <c r="B25" s="10">
        <f t="shared" si="0"/>
        <v>24</v>
      </c>
      <c r="C25" s="10">
        <v>4</v>
      </c>
      <c r="D25" s="10">
        <v>2025</v>
      </c>
      <c r="E25" s="4">
        <v>37749.199999999997</v>
      </c>
      <c r="F25" s="11">
        <v>0.2</v>
      </c>
      <c r="G25" s="4">
        <f>LPG!C27</f>
        <v>2365</v>
      </c>
      <c r="H25" s="11">
        <v>1.6240000000000001</v>
      </c>
      <c r="I25" s="4">
        <v>344.77200000000005</v>
      </c>
      <c r="J25" s="11">
        <v>7.84</v>
      </c>
      <c r="K25" s="4">
        <f>'Occupied &amp; No. of Guest'!B26</f>
        <v>484</v>
      </c>
      <c r="L25" s="4">
        <f>'Occupied &amp; No. of Guest'!C26</f>
        <v>708</v>
      </c>
    </row>
    <row r="26" spans="1:12" x14ac:dyDescent="0.3">
      <c r="A26" s="9" t="s">
        <v>12</v>
      </c>
      <c r="B26" s="10">
        <f>B25+1</f>
        <v>25</v>
      </c>
      <c r="C26" s="10">
        <v>4</v>
      </c>
      <c r="D26" s="10">
        <v>2025</v>
      </c>
      <c r="E26" s="4">
        <v>38467.199999999997</v>
      </c>
      <c r="F26" s="11">
        <v>0.2</v>
      </c>
      <c r="G26" s="4">
        <f>LPG!C28</f>
        <v>2365</v>
      </c>
      <c r="H26" s="11">
        <v>1.6240000000000001</v>
      </c>
      <c r="I26" s="4">
        <v>325.20999999999458</v>
      </c>
      <c r="J26" s="11">
        <v>7.84</v>
      </c>
      <c r="K26" s="4">
        <f>'Occupied &amp; No. of Guest'!B27</f>
        <v>482</v>
      </c>
      <c r="L26" s="4">
        <f>'Occupied &amp; No. of Guest'!C27</f>
        <v>740</v>
      </c>
    </row>
    <row r="27" spans="1:12" x14ac:dyDescent="0.3">
      <c r="A27" s="9" t="s">
        <v>12</v>
      </c>
      <c r="B27" s="10">
        <f t="shared" si="0"/>
        <v>26</v>
      </c>
      <c r="C27" s="10">
        <v>4</v>
      </c>
      <c r="D27" s="10">
        <v>2025</v>
      </c>
      <c r="E27" s="4">
        <v>38155.4</v>
      </c>
      <c r="F27" s="11">
        <v>0.2</v>
      </c>
      <c r="G27" s="4">
        <f>LPG!C29</f>
        <v>2365</v>
      </c>
      <c r="H27" s="11">
        <v>1.6240000000000001</v>
      </c>
      <c r="I27" s="4">
        <v>317.20200000000551</v>
      </c>
      <c r="J27" s="11">
        <v>7.84</v>
      </c>
      <c r="K27" s="4">
        <f>'Occupied &amp; No. of Guest'!B28</f>
        <v>486</v>
      </c>
      <c r="L27" s="4">
        <f>'Occupied &amp; No. of Guest'!C28</f>
        <v>728</v>
      </c>
    </row>
    <row r="28" spans="1:12" x14ac:dyDescent="0.3">
      <c r="A28" s="9" t="s">
        <v>12</v>
      </c>
      <c r="B28" s="10">
        <f t="shared" si="0"/>
        <v>27</v>
      </c>
      <c r="C28" s="10">
        <v>4</v>
      </c>
      <c r="D28" s="10">
        <v>2025</v>
      </c>
      <c r="E28" s="4">
        <v>37293.4</v>
      </c>
      <c r="F28" s="11">
        <v>0.2</v>
      </c>
      <c r="G28" s="4">
        <f>LPG!C30</f>
        <v>2365</v>
      </c>
      <c r="H28" s="11">
        <v>1.6240000000000001</v>
      </c>
      <c r="I28" s="4">
        <v>334.08399999999455</v>
      </c>
      <c r="J28" s="11">
        <v>7.84</v>
      </c>
      <c r="K28" s="4">
        <f>'Occupied &amp; No. of Guest'!B29</f>
        <v>449</v>
      </c>
      <c r="L28" s="4">
        <f>'Occupied &amp; No. of Guest'!C29</f>
        <v>605</v>
      </c>
    </row>
    <row r="29" spans="1:12" x14ac:dyDescent="0.3">
      <c r="A29" s="9" t="s">
        <v>12</v>
      </c>
      <c r="B29" s="10">
        <f t="shared" si="0"/>
        <v>28</v>
      </c>
      <c r="C29" s="10">
        <v>4</v>
      </c>
      <c r="D29" s="10">
        <v>2025</v>
      </c>
      <c r="E29" s="4">
        <v>38418.6</v>
      </c>
      <c r="F29" s="11">
        <v>0.2</v>
      </c>
      <c r="G29" s="4">
        <f>LPG!C31</f>
        <v>2365</v>
      </c>
      <c r="H29" s="11">
        <v>1.6240000000000001</v>
      </c>
      <c r="I29" s="4">
        <v>338.98499999999513</v>
      </c>
      <c r="J29" s="11">
        <v>7.84</v>
      </c>
      <c r="K29" s="4">
        <f>'Occupied &amp; No. of Guest'!B30</f>
        <v>460</v>
      </c>
      <c r="L29" s="4">
        <f>'Occupied &amp; No. of Guest'!C30</f>
        <v>575</v>
      </c>
    </row>
    <row r="30" spans="1:12" x14ac:dyDescent="0.3">
      <c r="A30" s="9" t="s">
        <v>12</v>
      </c>
      <c r="B30" s="10">
        <f t="shared" si="0"/>
        <v>29</v>
      </c>
      <c r="C30" s="10">
        <v>4</v>
      </c>
      <c r="D30" s="10">
        <v>2025</v>
      </c>
      <c r="E30" s="4">
        <v>37660</v>
      </c>
      <c r="F30" s="11">
        <v>0.2</v>
      </c>
      <c r="G30" s="4">
        <f>LPG!C32</f>
        <v>2365</v>
      </c>
      <c r="H30" s="11">
        <v>1.6240000000000001</v>
      </c>
      <c r="I30" s="4">
        <v>324.15900000001545</v>
      </c>
      <c r="J30" s="11">
        <v>7.84</v>
      </c>
      <c r="K30" s="4">
        <f>'Occupied &amp; No. of Guest'!B31</f>
        <v>478</v>
      </c>
      <c r="L30" s="4">
        <f>'Occupied &amp; No. of Guest'!C31</f>
        <v>621</v>
      </c>
    </row>
    <row r="31" spans="1:12" x14ac:dyDescent="0.3">
      <c r="A31" s="9" t="s">
        <v>12</v>
      </c>
      <c r="B31" s="10">
        <f t="shared" si="0"/>
        <v>30</v>
      </c>
      <c r="C31" s="10">
        <v>4</v>
      </c>
      <c r="D31" s="10">
        <v>2025</v>
      </c>
      <c r="E31" s="4">
        <v>38198</v>
      </c>
      <c r="F31" s="11">
        <v>0.2</v>
      </c>
      <c r="G31" s="4">
        <f>LPG!C33</f>
        <v>2365</v>
      </c>
      <c r="H31" s="11">
        <v>1.6240000000000001</v>
      </c>
      <c r="I31" s="4">
        <v>318.03399999998453</v>
      </c>
      <c r="J31" s="11">
        <v>7.84</v>
      </c>
      <c r="K31" s="4">
        <f>'Occupied &amp; No. of Guest'!B32</f>
        <v>475</v>
      </c>
      <c r="L31" s="4">
        <f>'Occupied &amp; No. of Guest'!C32</f>
        <v>616</v>
      </c>
    </row>
    <row r="32" spans="1:12" x14ac:dyDescent="0.3">
      <c r="A32" s="9" t="s">
        <v>12</v>
      </c>
      <c r="B32" s="10">
        <f t="shared" si="0"/>
        <v>31</v>
      </c>
      <c r="C32" s="10">
        <v>4</v>
      </c>
      <c r="D32" s="10">
        <v>2025</v>
      </c>
      <c r="E32" s="4">
        <v>0</v>
      </c>
      <c r="F32" s="11">
        <v>0.2</v>
      </c>
      <c r="G32" s="4">
        <f>LPG!C34</f>
        <v>0</v>
      </c>
      <c r="H32" s="11">
        <v>1.6240000000000001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AC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66" t="s">
        <v>13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67" s="14" customFormat="1" ht="29.25" customHeight="1" thickBot="1" x14ac:dyDescent="0.35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 spans="1:67" ht="42" thickBot="1" x14ac:dyDescent="0.3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3">
      <c r="A5" s="68">
        <v>1</v>
      </c>
      <c r="B5" s="20" t="s">
        <v>18</v>
      </c>
      <c r="C5" s="70" t="s">
        <v>19</v>
      </c>
      <c r="D5" s="21">
        <v>16745211</v>
      </c>
      <c r="E5" s="21">
        <v>16767864</v>
      </c>
      <c r="F5" s="21">
        <v>16788399</v>
      </c>
      <c r="G5" s="21">
        <v>16810554</v>
      </c>
      <c r="H5" s="21">
        <v>16832933</v>
      </c>
      <c r="I5" s="21">
        <v>16855374</v>
      </c>
      <c r="J5" s="21">
        <v>16877966</v>
      </c>
      <c r="K5" s="21">
        <v>16900859</v>
      </c>
      <c r="L5" s="21">
        <v>16923184</v>
      </c>
      <c r="M5" s="21">
        <v>16946402</v>
      </c>
      <c r="N5" s="21">
        <v>16969523</v>
      </c>
      <c r="O5" s="21">
        <v>16992169</v>
      </c>
      <c r="P5" s="21">
        <v>17014933</v>
      </c>
      <c r="Q5" s="21">
        <v>17036644</v>
      </c>
      <c r="R5" s="21">
        <v>17059301</v>
      </c>
      <c r="S5" s="21">
        <v>17082028</v>
      </c>
      <c r="T5" s="21">
        <v>17104576</v>
      </c>
      <c r="U5" s="21">
        <v>17127851</v>
      </c>
      <c r="V5" s="21">
        <v>17150699</v>
      </c>
      <c r="W5" s="21">
        <v>17173557</v>
      </c>
      <c r="X5" s="21">
        <v>17196118</v>
      </c>
      <c r="Y5" s="21">
        <v>17219040</v>
      </c>
      <c r="Z5" s="21">
        <v>17241372</v>
      </c>
      <c r="AA5" s="21">
        <v>17263791</v>
      </c>
      <c r="AB5" s="21">
        <v>17286815</v>
      </c>
      <c r="AC5" s="21">
        <v>17310199</v>
      </c>
      <c r="AD5" s="21">
        <v>17333565</v>
      </c>
      <c r="AE5" s="21">
        <v>17356311</v>
      </c>
      <c r="AF5" s="21">
        <v>17379726</v>
      </c>
      <c r="AG5" s="21">
        <v>17402857</v>
      </c>
      <c r="AH5" s="21">
        <v>17425354</v>
      </c>
      <c r="AI5" s="21"/>
    </row>
    <row r="6" spans="1:67" s="24" customFormat="1" ht="21.75" customHeight="1" thickBot="1" x14ac:dyDescent="0.35">
      <c r="A6" s="69"/>
      <c r="B6" s="22"/>
      <c r="C6" s="71"/>
      <c r="D6" s="23"/>
      <c r="E6" s="23">
        <f t="shared" ref="E6:AD12" si="0">E5-D5</f>
        <v>22653</v>
      </c>
      <c r="F6" s="23">
        <f t="shared" si="0"/>
        <v>20535</v>
      </c>
      <c r="G6" s="23">
        <f t="shared" si="0"/>
        <v>22155</v>
      </c>
      <c r="H6" s="23">
        <f t="shared" si="0"/>
        <v>22379</v>
      </c>
      <c r="I6" s="23">
        <f t="shared" si="0"/>
        <v>22441</v>
      </c>
      <c r="J6" s="23">
        <f t="shared" si="0"/>
        <v>22592</v>
      </c>
      <c r="K6" s="23">
        <f t="shared" si="0"/>
        <v>22893</v>
      </c>
      <c r="L6" s="23">
        <f t="shared" si="0"/>
        <v>22325</v>
      </c>
      <c r="M6" s="23">
        <f t="shared" si="0"/>
        <v>23218</v>
      </c>
      <c r="N6" s="23">
        <f t="shared" si="0"/>
        <v>23121</v>
      </c>
      <c r="O6" s="23">
        <f t="shared" si="0"/>
        <v>22646</v>
      </c>
      <c r="P6" s="23">
        <f t="shared" si="0"/>
        <v>22764</v>
      </c>
      <c r="Q6" s="23">
        <f t="shared" si="0"/>
        <v>21711</v>
      </c>
      <c r="R6" s="23">
        <f t="shared" si="0"/>
        <v>22657</v>
      </c>
      <c r="S6" s="23">
        <f t="shared" si="0"/>
        <v>22727</v>
      </c>
      <c r="T6" s="23">
        <f t="shared" si="0"/>
        <v>22548</v>
      </c>
      <c r="U6" s="23">
        <f t="shared" si="0"/>
        <v>23275</v>
      </c>
      <c r="V6" s="23">
        <f t="shared" si="0"/>
        <v>22848</v>
      </c>
      <c r="W6" s="23">
        <f t="shared" si="0"/>
        <v>22858</v>
      </c>
      <c r="X6" s="23">
        <f t="shared" si="0"/>
        <v>22561</v>
      </c>
      <c r="Y6" s="23">
        <f t="shared" si="0"/>
        <v>22922</v>
      </c>
      <c r="Z6" s="23">
        <f t="shared" si="0"/>
        <v>22332</v>
      </c>
      <c r="AA6" s="23">
        <f t="shared" si="0"/>
        <v>22419</v>
      </c>
      <c r="AB6" s="23">
        <f t="shared" si="0"/>
        <v>23024</v>
      </c>
      <c r="AC6" s="23">
        <f t="shared" si="0"/>
        <v>23384</v>
      </c>
      <c r="AD6" s="23">
        <f t="shared" si="0"/>
        <v>23366</v>
      </c>
      <c r="AE6" s="23">
        <f t="shared" ref="AE6" si="1">AE5-AD5</f>
        <v>22746</v>
      </c>
      <c r="AF6" s="23">
        <f t="shared" ref="AF6" si="2">AF5-AE5</f>
        <v>23415</v>
      </c>
      <c r="AG6" s="23">
        <f t="shared" ref="AG6" si="3">AG5-AF5</f>
        <v>23131</v>
      </c>
      <c r="AH6" s="23">
        <f t="shared" ref="AH6" si="4">AH5-AG5</f>
        <v>22497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72">
        <v>2</v>
      </c>
      <c r="B7" s="25" t="s">
        <v>20</v>
      </c>
      <c r="C7" s="74" t="s">
        <v>21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35">
      <c r="A8" s="73"/>
      <c r="B8" s="22"/>
      <c r="C8" s="71"/>
      <c r="D8" s="23"/>
      <c r="E8" s="23">
        <f t="shared" ref="E8:L8" si="5">E7-D7</f>
        <v>0</v>
      </c>
      <c r="F8" s="23">
        <f t="shared" si="5"/>
        <v>0</v>
      </c>
      <c r="G8" s="23">
        <f t="shared" si="5"/>
        <v>0</v>
      </c>
      <c r="H8" s="23">
        <f t="shared" si="5"/>
        <v>0</v>
      </c>
      <c r="I8" s="23">
        <f t="shared" si="5"/>
        <v>0</v>
      </c>
      <c r="J8" s="23">
        <f t="shared" si="5"/>
        <v>0</v>
      </c>
      <c r="K8" s="23">
        <f t="shared" si="5"/>
        <v>0</v>
      </c>
      <c r="L8" s="23">
        <f t="shared" si="5"/>
        <v>0</v>
      </c>
      <c r="M8" s="23">
        <f t="shared" ref="M8" si="6">M7-L7</f>
        <v>0</v>
      </c>
      <c r="N8" s="23">
        <f t="shared" ref="N8" si="7">N7-M7</f>
        <v>0</v>
      </c>
      <c r="O8" s="23">
        <f t="shared" si="0"/>
        <v>0</v>
      </c>
      <c r="P8" s="23">
        <f t="shared" si="0"/>
        <v>0</v>
      </c>
      <c r="Q8" s="23">
        <f t="shared" si="0"/>
        <v>0</v>
      </c>
      <c r="R8" s="23">
        <f t="shared" si="0"/>
        <v>0</v>
      </c>
      <c r="S8" s="23">
        <f t="shared" si="0"/>
        <v>0</v>
      </c>
      <c r="T8" s="23">
        <f t="shared" si="0"/>
        <v>0</v>
      </c>
      <c r="U8" s="23">
        <f t="shared" si="0"/>
        <v>0</v>
      </c>
      <c r="V8" s="23">
        <f t="shared" si="0"/>
        <v>0</v>
      </c>
      <c r="W8" s="23">
        <f t="shared" ref="W8" si="8">W7-V7</f>
        <v>0</v>
      </c>
      <c r="X8" s="23">
        <f t="shared" ref="X8:AC8" si="9">X7-W7</f>
        <v>0</v>
      </c>
      <c r="Y8" s="23">
        <f t="shared" si="9"/>
        <v>0</v>
      </c>
      <c r="Z8" s="23">
        <f t="shared" si="9"/>
        <v>0</v>
      </c>
      <c r="AA8" s="23">
        <f t="shared" si="9"/>
        <v>0</v>
      </c>
      <c r="AB8" s="23">
        <f t="shared" si="9"/>
        <v>0</v>
      </c>
      <c r="AC8" s="23">
        <f t="shared" si="9"/>
        <v>0</v>
      </c>
      <c r="AD8" s="23">
        <f t="shared" si="0"/>
        <v>0</v>
      </c>
      <c r="AE8" s="23">
        <f t="shared" ref="AE8" si="10">AE7-AD7</f>
        <v>0</v>
      </c>
      <c r="AF8" s="23">
        <f t="shared" ref="AF8" si="11">AF7-AE7</f>
        <v>0</v>
      </c>
      <c r="AG8" s="23">
        <f t="shared" ref="AG8" si="12">AG7-AF7</f>
        <v>0</v>
      </c>
      <c r="AH8" s="23">
        <f t="shared" ref="AH8" si="13">AH7-AG7</f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9">
        <v>3</v>
      </c>
      <c r="B9" s="36" t="s">
        <v>22</v>
      </c>
      <c r="C9" s="81" t="s">
        <v>23</v>
      </c>
      <c r="D9" s="21">
        <v>17265042</v>
      </c>
      <c r="E9" s="21">
        <v>17286214</v>
      </c>
      <c r="F9" s="21">
        <v>17308322</v>
      </c>
      <c r="G9" s="21">
        <v>17334192</v>
      </c>
      <c r="H9" s="21">
        <v>17359924</v>
      </c>
      <c r="I9" s="21">
        <v>17385043</v>
      </c>
      <c r="J9" s="21">
        <v>17411117</v>
      </c>
      <c r="K9" s="21">
        <v>17437592</v>
      </c>
      <c r="L9" s="21">
        <v>17466516</v>
      </c>
      <c r="M9" s="21">
        <v>17495025</v>
      </c>
      <c r="N9" s="21">
        <v>17523621</v>
      </c>
      <c r="O9" s="21">
        <v>17550841</v>
      </c>
      <c r="P9" s="21">
        <v>17578244</v>
      </c>
      <c r="Q9" s="21">
        <v>17606048</v>
      </c>
      <c r="R9" s="21">
        <v>17638536</v>
      </c>
      <c r="S9" s="21">
        <v>17672179</v>
      </c>
      <c r="T9" s="21">
        <v>17705453</v>
      </c>
      <c r="U9" s="21">
        <v>17733584</v>
      </c>
      <c r="V9" s="21">
        <v>17757393</v>
      </c>
      <c r="W9" s="21">
        <v>17780094</v>
      </c>
      <c r="X9" s="21">
        <v>17804089</v>
      </c>
      <c r="Y9" s="21">
        <v>17829990</v>
      </c>
      <c r="Z9" s="21">
        <v>17856533</v>
      </c>
      <c r="AA9" s="21">
        <v>17884404</v>
      </c>
      <c r="AB9" s="21">
        <v>17914406</v>
      </c>
      <c r="AC9" s="21">
        <v>17945272</v>
      </c>
      <c r="AD9" s="21">
        <v>17975424</v>
      </c>
      <c r="AE9" s="21">
        <v>18005044</v>
      </c>
      <c r="AF9" s="21">
        <v>18037011</v>
      </c>
      <c r="AG9" s="21">
        <v>18068777</v>
      </c>
      <c r="AH9" s="21">
        <v>18103530</v>
      </c>
      <c r="AI9" s="21"/>
    </row>
    <row r="10" spans="1:67" s="24" customFormat="1" ht="21.75" customHeight="1" thickBot="1" x14ac:dyDescent="0.35">
      <c r="A10" s="80"/>
      <c r="B10" s="37"/>
      <c r="C10" s="78"/>
      <c r="D10" s="23"/>
      <c r="E10" s="23">
        <f t="shared" ref="E10:L10" si="14">E9-D9</f>
        <v>21172</v>
      </c>
      <c r="F10" s="23">
        <f t="shared" si="14"/>
        <v>22108</v>
      </c>
      <c r="G10" s="23">
        <f t="shared" si="14"/>
        <v>25870</v>
      </c>
      <c r="H10" s="23">
        <f t="shared" si="14"/>
        <v>25732</v>
      </c>
      <c r="I10" s="23">
        <f t="shared" si="14"/>
        <v>25119</v>
      </c>
      <c r="J10" s="23">
        <f t="shared" si="14"/>
        <v>26074</v>
      </c>
      <c r="K10" s="23">
        <f t="shared" si="14"/>
        <v>26475</v>
      </c>
      <c r="L10" s="23">
        <f t="shared" si="14"/>
        <v>28924</v>
      </c>
      <c r="M10" s="23">
        <f t="shared" ref="M10" si="15">M9-L9</f>
        <v>28509</v>
      </c>
      <c r="N10" s="23">
        <f t="shared" ref="N10" si="16">N9-M9</f>
        <v>28596</v>
      </c>
      <c r="O10" s="23">
        <f t="shared" si="0"/>
        <v>27220</v>
      </c>
      <c r="P10" s="23">
        <f t="shared" si="0"/>
        <v>27403</v>
      </c>
      <c r="Q10" s="23">
        <f t="shared" si="0"/>
        <v>27804</v>
      </c>
      <c r="R10" s="23">
        <f t="shared" si="0"/>
        <v>32488</v>
      </c>
      <c r="S10" s="23">
        <f t="shared" si="0"/>
        <v>33643</v>
      </c>
      <c r="T10" s="23">
        <f t="shared" si="0"/>
        <v>33274</v>
      </c>
      <c r="U10" s="23">
        <f t="shared" si="0"/>
        <v>28131</v>
      </c>
      <c r="V10" s="23">
        <f t="shared" si="0"/>
        <v>23809</v>
      </c>
      <c r="W10" s="23">
        <f t="shared" ref="W10" si="17">W9-V9</f>
        <v>22701</v>
      </c>
      <c r="X10" s="23">
        <f t="shared" ref="X10:AC10" si="18">X9-W9</f>
        <v>23995</v>
      </c>
      <c r="Y10" s="23">
        <f t="shared" si="18"/>
        <v>25901</v>
      </c>
      <c r="Z10" s="23">
        <f t="shared" si="18"/>
        <v>26543</v>
      </c>
      <c r="AA10" s="23">
        <f t="shared" si="18"/>
        <v>27871</v>
      </c>
      <c r="AB10" s="23">
        <f t="shared" si="18"/>
        <v>30002</v>
      </c>
      <c r="AC10" s="23">
        <f t="shared" si="18"/>
        <v>30866</v>
      </c>
      <c r="AD10" s="23">
        <f t="shared" si="0"/>
        <v>30152</v>
      </c>
      <c r="AE10" s="23">
        <f t="shared" ref="AE10" si="19">AE9-AD9</f>
        <v>29620</v>
      </c>
      <c r="AF10" s="23">
        <f t="shared" ref="AF10" si="20">AF9-AE9</f>
        <v>31967</v>
      </c>
      <c r="AG10" s="23">
        <f t="shared" ref="AG10" si="21">AG9-AF9</f>
        <v>31766</v>
      </c>
      <c r="AH10" s="23">
        <f t="shared" ref="AH10" si="22">AH9-AG9</f>
        <v>34753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75">
        <v>4</v>
      </c>
      <c r="B11" s="36" t="s">
        <v>24</v>
      </c>
      <c r="C11" s="81" t="s">
        <v>25</v>
      </c>
      <c r="D11" s="21">
        <v>11470230</v>
      </c>
      <c r="E11" s="21">
        <v>11473764</v>
      </c>
      <c r="F11" s="21">
        <v>11477038</v>
      </c>
      <c r="G11" s="21">
        <v>11482634</v>
      </c>
      <c r="H11" s="21">
        <v>11484268</v>
      </c>
      <c r="I11" s="21">
        <v>11487939</v>
      </c>
      <c r="J11" s="21">
        <v>11491674</v>
      </c>
      <c r="K11" s="21">
        <v>11495671</v>
      </c>
      <c r="L11" s="21">
        <v>11499737</v>
      </c>
      <c r="M11" s="21">
        <v>11503765</v>
      </c>
      <c r="N11" s="21">
        <v>11507744</v>
      </c>
      <c r="O11" s="21">
        <v>11511790</v>
      </c>
      <c r="P11" s="21">
        <v>11515832</v>
      </c>
      <c r="Q11" s="21">
        <v>11519885</v>
      </c>
      <c r="R11" s="21">
        <v>11523087</v>
      </c>
      <c r="S11" s="21">
        <v>11525762</v>
      </c>
      <c r="T11" s="21">
        <v>11528367</v>
      </c>
      <c r="U11" s="21">
        <v>11531845</v>
      </c>
      <c r="V11" s="21">
        <v>11537337</v>
      </c>
      <c r="W11" s="21">
        <v>11542538</v>
      </c>
      <c r="X11" s="21">
        <v>11548286</v>
      </c>
      <c r="Y11" s="21">
        <v>11554027</v>
      </c>
      <c r="Z11" s="21">
        <v>11559580</v>
      </c>
      <c r="AA11" s="21">
        <v>11565270</v>
      </c>
      <c r="AB11" s="21">
        <v>11571281</v>
      </c>
      <c r="AC11" s="21">
        <v>11577338</v>
      </c>
      <c r="AD11" s="21">
        <v>11583322</v>
      </c>
      <c r="AE11" s="21">
        <v>11589248</v>
      </c>
      <c r="AF11" s="21">
        <v>11593990</v>
      </c>
      <c r="AG11" s="21">
        <v>11597759</v>
      </c>
      <c r="AH11" s="21">
        <v>11601461</v>
      </c>
      <c r="AI11" s="21"/>
    </row>
    <row r="12" spans="1:67" s="38" customFormat="1" ht="21.75" customHeight="1" thickBot="1" x14ac:dyDescent="0.35">
      <c r="A12" s="76"/>
      <c r="B12" s="37"/>
      <c r="C12" s="78"/>
      <c r="D12" s="23"/>
      <c r="E12" s="23">
        <f t="shared" ref="E12:L12" si="23">E11-D11</f>
        <v>3534</v>
      </c>
      <c r="F12" s="23">
        <f t="shared" si="23"/>
        <v>3274</v>
      </c>
      <c r="G12" s="23">
        <f t="shared" si="23"/>
        <v>5596</v>
      </c>
      <c r="H12" s="23">
        <f t="shared" si="23"/>
        <v>1634</v>
      </c>
      <c r="I12" s="23">
        <f t="shared" si="23"/>
        <v>3671</v>
      </c>
      <c r="J12" s="23">
        <f t="shared" si="23"/>
        <v>3735</v>
      </c>
      <c r="K12" s="23">
        <f t="shared" si="23"/>
        <v>3997</v>
      </c>
      <c r="L12" s="23">
        <f t="shared" si="23"/>
        <v>4066</v>
      </c>
      <c r="M12" s="23">
        <f t="shared" ref="M12" si="24">M11-L11</f>
        <v>4028</v>
      </c>
      <c r="N12" s="23">
        <f t="shared" ref="N12" si="25">N11-M11</f>
        <v>3979</v>
      </c>
      <c r="O12" s="23">
        <f t="shared" si="0"/>
        <v>4046</v>
      </c>
      <c r="P12" s="23">
        <f t="shared" si="0"/>
        <v>4042</v>
      </c>
      <c r="Q12" s="23">
        <f t="shared" si="0"/>
        <v>4053</v>
      </c>
      <c r="R12" s="23">
        <f t="shared" si="0"/>
        <v>3202</v>
      </c>
      <c r="S12" s="23">
        <f t="shared" si="0"/>
        <v>2675</v>
      </c>
      <c r="T12" s="23">
        <f t="shared" si="0"/>
        <v>2605</v>
      </c>
      <c r="U12" s="23">
        <f t="shared" si="0"/>
        <v>3478</v>
      </c>
      <c r="V12" s="23">
        <f t="shared" si="0"/>
        <v>5492</v>
      </c>
      <c r="W12" s="23">
        <f t="shared" ref="W12" si="26">W11-V11</f>
        <v>5201</v>
      </c>
      <c r="X12" s="23">
        <f t="shared" ref="X12:AC12" si="27">X11-W11</f>
        <v>5748</v>
      </c>
      <c r="Y12" s="23">
        <f t="shared" si="27"/>
        <v>5741</v>
      </c>
      <c r="Z12" s="23">
        <f t="shared" si="27"/>
        <v>5553</v>
      </c>
      <c r="AA12" s="23">
        <f t="shared" si="27"/>
        <v>5690</v>
      </c>
      <c r="AB12" s="23">
        <f t="shared" si="27"/>
        <v>6011</v>
      </c>
      <c r="AC12" s="23">
        <f t="shared" si="27"/>
        <v>6057</v>
      </c>
      <c r="AD12" s="23">
        <f t="shared" si="0"/>
        <v>5984</v>
      </c>
      <c r="AE12" s="23">
        <f t="shared" ref="AE12" si="28">AE11-AD11</f>
        <v>5926</v>
      </c>
      <c r="AF12" s="23">
        <f t="shared" ref="AF12" si="29">AF11-AE11</f>
        <v>4742</v>
      </c>
      <c r="AG12" s="23">
        <f t="shared" ref="AG12" si="30">AG11-AF11</f>
        <v>3769</v>
      </c>
      <c r="AH12" s="23">
        <f t="shared" ref="AH12" si="31">AH11-AG11</f>
        <v>3702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9">
        <v>7</v>
      </c>
      <c r="B13" s="39" t="s">
        <v>26</v>
      </c>
      <c r="C13" s="77" t="s">
        <v>27</v>
      </c>
      <c r="D13" s="40">
        <v>3418</v>
      </c>
      <c r="E13" s="40">
        <v>3418</v>
      </c>
      <c r="F13" s="40">
        <v>3418</v>
      </c>
      <c r="G13" s="40">
        <v>3418</v>
      </c>
      <c r="H13" s="40">
        <v>3418</v>
      </c>
      <c r="I13" s="40">
        <v>3418</v>
      </c>
      <c r="J13" s="40">
        <v>3418</v>
      </c>
      <c r="K13" s="40">
        <v>3418</v>
      </c>
      <c r="L13" s="40">
        <v>3418</v>
      </c>
      <c r="M13" s="40">
        <v>3418</v>
      </c>
      <c r="N13" s="40">
        <v>3418</v>
      </c>
      <c r="O13" s="40">
        <v>3418</v>
      </c>
      <c r="P13" s="40">
        <v>3418</v>
      </c>
      <c r="Q13" s="40">
        <v>3419</v>
      </c>
      <c r="R13" s="40">
        <v>3419</v>
      </c>
      <c r="S13" s="40">
        <v>3419</v>
      </c>
      <c r="T13" s="40">
        <v>3419</v>
      </c>
      <c r="U13" s="40">
        <v>3419</v>
      </c>
      <c r="V13" s="40">
        <v>3419</v>
      </c>
      <c r="W13" s="40">
        <v>3419</v>
      </c>
      <c r="X13" s="40">
        <v>3419</v>
      </c>
      <c r="Y13" s="40">
        <v>3419</v>
      </c>
      <c r="Z13" s="40">
        <v>3419</v>
      </c>
      <c r="AA13" s="40">
        <v>3419</v>
      </c>
      <c r="AB13" s="40">
        <v>3419</v>
      </c>
      <c r="AC13" s="40">
        <v>3419</v>
      </c>
      <c r="AD13" s="40">
        <v>3426</v>
      </c>
      <c r="AE13" s="40">
        <v>3426</v>
      </c>
      <c r="AF13" s="40">
        <v>3426</v>
      </c>
      <c r="AG13" s="40">
        <v>3426</v>
      </c>
      <c r="AH13" s="40">
        <v>3426</v>
      </c>
      <c r="AI13" s="40"/>
    </row>
    <row r="14" spans="1:67" s="24" customFormat="1" ht="21.75" customHeight="1" thickBot="1" x14ac:dyDescent="0.35">
      <c r="A14" s="80"/>
      <c r="B14" s="41"/>
      <c r="C14" s="78"/>
      <c r="D14" s="42"/>
      <c r="E14" s="42">
        <f t="shared" ref="E14" si="32">E13-D13</f>
        <v>0</v>
      </c>
      <c r="F14" s="42">
        <f t="shared" ref="F14:L14" si="33">F13-E13</f>
        <v>0</v>
      </c>
      <c r="G14" s="42">
        <f t="shared" si="33"/>
        <v>0</v>
      </c>
      <c r="H14" s="42">
        <f t="shared" si="33"/>
        <v>0</v>
      </c>
      <c r="I14" s="42">
        <f t="shared" si="33"/>
        <v>0</v>
      </c>
      <c r="J14" s="42">
        <f t="shared" si="33"/>
        <v>0</v>
      </c>
      <c r="K14" s="42">
        <f t="shared" si="33"/>
        <v>0</v>
      </c>
      <c r="L14" s="42">
        <f t="shared" si="33"/>
        <v>0</v>
      </c>
      <c r="M14" s="42">
        <f t="shared" ref="M14" si="34">M13-L13</f>
        <v>0</v>
      </c>
      <c r="N14" s="42">
        <f t="shared" ref="N14:V20" si="35">N13-M13</f>
        <v>0</v>
      </c>
      <c r="O14" s="42">
        <f t="shared" si="35"/>
        <v>0</v>
      </c>
      <c r="P14" s="42">
        <f t="shared" si="35"/>
        <v>0</v>
      </c>
      <c r="Q14" s="42">
        <f t="shared" si="35"/>
        <v>1</v>
      </c>
      <c r="R14" s="42">
        <f t="shared" si="35"/>
        <v>0</v>
      </c>
      <c r="S14" s="42">
        <f t="shared" si="35"/>
        <v>0</v>
      </c>
      <c r="T14" s="42">
        <f t="shared" si="35"/>
        <v>0</v>
      </c>
      <c r="U14" s="42">
        <f t="shared" si="35"/>
        <v>0</v>
      </c>
      <c r="V14" s="42">
        <f t="shared" si="35"/>
        <v>0</v>
      </c>
      <c r="W14" s="42">
        <f t="shared" ref="W14" si="36">W13-V13</f>
        <v>0</v>
      </c>
      <c r="X14" s="42">
        <f t="shared" ref="X14:AD20" si="37">X13-W13</f>
        <v>0</v>
      </c>
      <c r="Y14" s="42">
        <f t="shared" si="37"/>
        <v>0</v>
      </c>
      <c r="Z14" s="42">
        <f t="shared" si="37"/>
        <v>0</v>
      </c>
      <c r="AA14" s="42">
        <f t="shared" si="37"/>
        <v>0</v>
      </c>
      <c r="AB14" s="42">
        <f>AB13-AA13</f>
        <v>0</v>
      </c>
      <c r="AC14" s="42">
        <f t="shared" si="37"/>
        <v>0</v>
      </c>
      <c r="AD14" s="42">
        <f t="shared" si="37"/>
        <v>7</v>
      </c>
      <c r="AE14" s="42">
        <f>AE13-AD13</f>
        <v>0</v>
      </c>
      <c r="AF14" s="42">
        <f t="shared" ref="AF14:AH14" si="38">AF13-AE13</f>
        <v>0</v>
      </c>
      <c r="AG14" s="42">
        <f t="shared" si="38"/>
        <v>0</v>
      </c>
      <c r="AH14" s="42">
        <f t="shared" si="38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75">
        <v>8</v>
      </c>
      <c r="B15" s="39" t="s">
        <v>28</v>
      </c>
      <c r="C15" s="77" t="s">
        <v>29</v>
      </c>
      <c r="D15" s="40">
        <v>510</v>
      </c>
      <c r="E15" s="40">
        <v>510</v>
      </c>
      <c r="F15" s="40">
        <v>510</v>
      </c>
      <c r="G15" s="40">
        <v>510</v>
      </c>
      <c r="H15" s="40">
        <v>510</v>
      </c>
      <c r="I15" s="40">
        <v>510</v>
      </c>
      <c r="J15" s="40">
        <v>510</v>
      </c>
      <c r="K15" s="40">
        <v>510</v>
      </c>
      <c r="L15" s="40">
        <v>511</v>
      </c>
      <c r="M15" s="40">
        <v>511</v>
      </c>
      <c r="N15" s="40">
        <v>511</v>
      </c>
      <c r="O15" s="40">
        <v>511</v>
      </c>
      <c r="P15" s="40">
        <v>511</v>
      </c>
      <c r="Q15" s="40">
        <v>511</v>
      </c>
      <c r="R15" s="40">
        <v>511</v>
      </c>
      <c r="S15" s="40">
        <v>511</v>
      </c>
      <c r="T15" s="40">
        <v>511</v>
      </c>
      <c r="U15" s="40">
        <v>511</v>
      </c>
      <c r="V15" s="40">
        <v>514</v>
      </c>
      <c r="W15" s="40">
        <v>514</v>
      </c>
      <c r="X15" s="40">
        <v>514</v>
      </c>
      <c r="Y15" s="40">
        <v>514</v>
      </c>
      <c r="Z15" s="40">
        <v>514</v>
      </c>
      <c r="AA15" s="40">
        <v>514</v>
      </c>
      <c r="AB15" s="40">
        <v>514</v>
      </c>
      <c r="AC15" s="40">
        <v>515</v>
      </c>
      <c r="AD15" s="40">
        <v>520</v>
      </c>
      <c r="AE15" s="40">
        <v>520</v>
      </c>
      <c r="AF15" s="40">
        <v>520</v>
      </c>
      <c r="AG15" s="40">
        <v>520</v>
      </c>
      <c r="AH15" s="40">
        <v>520</v>
      </c>
      <c r="AI15" s="40"/>
    </row>
    <row r="16" spans="1:67" s="24" customFormat="1" ht="21.75" customHeight="1" thickBot="1" x14ac:dyDescent="0.35">
      <c r="A16" s="76"/>
      <c r="B16" s="41"/>
      <c r="C16" s="78"/>
      <c r="D16" s="42"/>
      <c r="E16" s="42">
        <f t="shared" ref="E16:L16" si="39">E15-D15</f>
        <v>0</v>
      </c>
      <c r="F16" s="42">
        <f t="shared" si="39"/>
        <v>0</v>
      </c>
      <c r="G16" s="42">
        <f t="shared" si="39"/>
        <v>0</v>
      </c>
      <c r="H16" s="42">
        <f t="shared" si="39"/>
        <v>0</v>
      </c>
      <c r="I16" s="42">
        <f t="shared" si="39"/>
        <v>0</v>
      </c>
      <c r="J16" s="42">
        <f t="shared" si="39"/>
        <v>0</v>
      </c>
      <c r="K16" s="42">
        <f t="shared" si="39"/>
        <v>0</v>
      </c>
      <c r="L16" s="42">
        <f t="shared" si="39"/>
        <v>1</v>
      </c>
      <c r="M16" s="42">
        <f t="shared" ref="M16" si="40">M15-L15</f>
        <v>0</v>
      </c>
      <c r="N16" s="42">
        <f t="shared" ref="N16" si="41">N15-M15</f>
        <v>0</v>
      </c>
      <c r="O16" s="42">
        <f t="shared" si="35"/>
        <v>0</v>
      </c>
      <c r="P16" s="42">
        <f t="shared" si="35"/>
        <v>0</v>
      </c>
      <c r="Q16" s="42">
        <f t="shared" si="35"/>
        <v>0</v>
      </c>
      <c r="R16" s="42">
        <f t="shared" si="35"/>
        <v>0</v>
      </c>
      <c r="S16" s="42">
        <f t="shared" si="35"/>
        <v>0</v>
      </c>
      <c r="T16" s="42">
        <f t="shared" si="35"/>
        <v>0</v>
      </c>
      <c r="U16" s="42">
        <f t="shared" si="35"/>
        <v>0</v>
      </c>
      <c r="V16" s="42">
        <f t="shared" si="35"/>
        <v>3</v>
      </c>
      <c r="W16" s="42">
        <f t="shared" ref="W16" si="42">W15-V15</f>
        <v>0</v>
      </c>
      <c r="X16" s="42">
        <f t="shared" ref="X16:AC16" si="43">X15-W15</f>
        <v>0</v>
      </c>
      <c r="Y16" s="42">
        <f t="shared" si="43"/>
        <v>0</v>
      </c>
      <c r="Z16" s="42">
        <f t="shared" si="43"/>
        <v>0</v>
      </c>
      <c r="AA16" s="42">
        <f t="shared" si="43"/>
        <v>0</v>
      </c>
      <c r="AB16" s="42">
        <f t="shared" si="43"/>
        <v>0</v>
      </c>
      <c r="AC16" s="42">
        <f t="shared" si="43"/>
        <v>1</v>
      </c>
      <c r="AD16" s="42">
        <f t="shared" si="37"/>
        <v>5</v>
      </c>
      <c r="AE16" s="42">
        <f>AE15-AD15</f>
        <v>0</v>
      </c>
      <c r="AF16" s="42">
        <f t="shared" ref="AF16" si="44">AF15-AE15</f>
        <v>0</v>
      </c>
      <c r="AG16" s="42">
        <f t="shared" ref="AG16" si="45">AG15-AF15</f>
        <v>0</v>
      </c>
      <c r="AH16" s="42">
        <f t="shared" ref="AH16" si="46">AH15-AG15</f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75">
        <v>13</v>
      </c>
      <c r="B17" s="39" t="s">
        <v>30</v>
      </c>
      <c r="C17" s="77" t="s">
        <v>31</v>
      </c>
      <c r="D17" s="40">
        <v>1490119</v>
      </c>
      <c r="E17" s="40">
        <v>1490390</v>
      </c>
      <c r="F17" s="40">
        <v>1490664</v>
      </c>
      <c r="G17" s="40">
        <v>1490954</v>
      </c>
      <c r="H17" s="40">
        <v>1491243</v>
      </c>
      <c r="I17" s="40">
        <v>1491520</v>
      </c>
      <c r="J17" s="40">
        <v>1491807</v>
      </c>
      <c r="K17" s="40">
        <v>1492084</v>
      </c>
      <c r="L17" s="40">
        <v>1492360</v>
      </c>
      <c r="M17" s="40">
        <v>1492648</v>
      </c>
      <c r="N17" s="40">
        <v>1492933</v>
      </c>
      <c r="O17" s="40">
        <v>1493219</v>
      </c>
      <c r="P17" s="40">
        <v>1493499</v>
      </c>
      <c r="Q17" s="40">
        <v>1493761</v>
      </c>
      <c r="R17" s="40">
        <v>1494034</v>
      </c>
      <c r="S17" s="40">
        <v>1494302</v>
      </c>
      <c r="T17" s="40">
        <v>1494575</v>
      </c>
      <c r="U17" s="40">
        <v>1494854</v>
      </c>
      <c r="V17" s="40">
        <v>1495141</v>
      </c>
      <c r="W17" s="40">
        <v>1495427</v>
      </c>
      <c r="X17" s="40">
        <v>1495699</v>
      </c>
      <c r="Y17" s="40">
        <v>1495973</v>
      </c>
      <c r="Z17" s="40">
        <v>1496249</v>
      </c>
      <c r="AA17" s="40">
        <v>1496527</v>
      </c>
      <c r="AB17" s="40">
        <v>1496801</v>
      </c>
      <c r="AC17" s="40">
        <v>1497064</v>
      </c>
      <c r="AD17" s="40">
        <v>1497342</v>
      </c>
      <c r="AE17" s="40">
        <v>1497621</v>
      </c>
      <c r="AF17" s="40">
        <v>1497887</v>
      </c>
      <c r="AG17" s="40">
        <v>1498159</v>
      </c>
      <c r="AH17" s="40">
        <v>1498430</v>
      </c>
      <c r="AI17" s="40"/>
    </row>
    <row r="18" spans="1:35" ht="21.75" customHeight="1" thickBot="1" x14ac:dyDescent="0.35">
      <c r="A18" s="83"/>
      <c r="B18" s="43"/>
      <c r="C18" s="84"/>
      <c r="D18" s="42"/>
      <c r="E18" s="42">
        <f t="shared" ref="E18:L18" si="47">E17-D17</f>
        <v>271</v>
      </c>
      <c r="F18" s="42">
        <f t="shared" si="47"/>
        <v>274</v>
      </c>
      <c r="G18" s="42">
        <f t="shared" si="47"/>
        <v>290</v>
      </c>
      <c r="H18" s="42">
        <f t="shared" si="47"/>
        <v>289</v>
      </c>
      <c r="I18" s="42">
        <f t="shared" si="47"/>
        <v>277</v>
      </c>
      <c r="J18" s="42">
        <f t="shared" si="47"/>
        <v>287</v>
      </c>
      <c r="K18" s="42">
        <f t="shared" si="47"/>
        <v>277</v>
      </c>
      <c r="L18" s="42">
        <f t="shared" si="47"/>
        <v>276</v>
      </c>
      <c r="M18" s="42">
        <f t="shared" ref="M18" si="48">M17-L17</f>
        <v>288</v>
      </c>
      <c r="N18" s="42">
        <f t="shared" ref="N18" si="49">N17-M17</f>
        <v>285</v>
      </c>
      <c r="O18" s="42">
        <f t="shared" si="35"/>
        <v>286</v>
      </c>
      <c r="P18" s="42">
        <f t="shared" si="35"/>
        <v>280</v>
      </c>
      <c r="Q18" s="42">
        <f t="shared" si="35"/>
        <v>262</v>
      </c>
      <c r="R18" s="42">
        <f t="shared" si="35"/>
        <v>273</v>
      </c>
      <c r="S18" s="42">
        <f t="shared" si="35"/>
        <v>268</v>
      </c>
      <c r="T18" s="42">
        <f t="shared" si="35"/>
        <v>273</v>
      </c>
      <c r="U18" s="42">
        <f t="shared" si="35"/>
        <v>279</v>
      </c>
      <c r="V18" s="42">
        <f t="shared" si="35"/>
        <v>287</v>
      </c>
      <c r="W18" s="42">
        <f t="shared" ref="W18" si="50">W17-V17</f>
        <v>286</v>
      </c>
      <c r="X18" s="42">
        <f t="shared" ref="X18:AC18" si="51">X17-W17</f>
        <v>272</v>
      </c>
      <c r="Y18" s="42">
        <f t="shared" si="51"/>
        <v>274</v>
      </c>
      <c r="Z18" s="42">
        <f t="shared" si="51"/>
        <v>276</v>
      </c>
      <c r="AA18" s="42">
        <f t="shared" si="51"/>
        <v>278</v>
      </c>
      <c r="AB18" s="42">
        <f t="shared" si="51"/>
        <v>274</v>
      </c>
      <c r="AC18" s="42">
        <f t="shared" si="51"/>
        <v>263</v>
      </c>
      <c r="AD18" s="42">
        <f t="shared" si="37"/>
        <v>278</v>
      </c>
      <c r="AE18" s="42">
        <f>AE17-AD17</f>
        <v>279</v>
      </c>
      <c r="AF18" s="42">
        <f t="shared" ref="AF18" si="52">AF17-AE17</f>
        <v>266</v>
      </c>
      <c r="AG18" s="42">
        <f t="shared" ref="AG18" si="53">AG17-AF17</f>
        <v>272</v>
      </c>
      <c r="AH18" s="42">
        <f t="shared" ref="AH18" si="54">AH17-AG17</f>
        <v>271</v>
      </c>
      <c r="AI18" s="42"/>
    </row>
    <row r="19" spans="1:35" ht="21.75" customHeight="1" x14ac:dyDescent="0.3">
      <c r="A19" s="85">
        <v>14</v>
      </c>
      <c r="B19" s="39" t="s">
        <v>32</v>
      </c>
      <c r="C19" s="77" t="s">
        <v>33</v>
      </c>
      <c r="D19" s="40">
        <v>391490</v>
      </c>
      <c r="E19" s="40">
        <v>391547</v>
      </c>
      <c r="F19" s="40">
        <v>391587</v>
      </c>
      <c r="G19" s="40">
        <v>391631</v>
      </c>
      <c r="H19" s="40">
        <v>391679</v>
      </c>
      <c r="I19" s="40">
        <v>391727</v>
      </c>
      <c r="J19" s="40">
        <v>391775</v>
      </c>
      <c r="K19" s="40">
        <v>391823</v>
      </c>
      <c r="L19" s="40">
        <v>391870</v>
      </c>
      <c r="M19" s="40">
        <v>391916</v>
      </c>
      <c r="N19" s="40">
        <v>391961</v>
      </c>
      <c r="O19" s="40">
        <v>392005</v>
      </c>
      <c r="P19" s="40">
        <v>392052</v>
      </c>
      <c r="Q19" s="40">
        <v>392099</v>
      </c>
      <c r="R19" s="40">
        <v>392145</v>
      </c>
      <c r="S19" s="40">
        <v>392194</v>
      </c>
      <c r="T19" s="40">
        <v>392238</v>
      </c>
      <c r="U19" s="40">
        <v>392286</v>
      </c>
      <c r="V19" s="40">
        <v>392333</v>
      </c>
      <c r="W19" s="40">
        <v>392382</v>
      </c>
      <c r="X19" s="40">
        <v>392430</v>
      </c>
      <c r="Y19" s="40">
        <v>392477</v>
      </c>
      <c r="Z19" s="40">
        <v>392526</v>
      </c>
      <c r="AA19" s="40">
        <v>392573</v>
      </c>
      <c r="AB19" s="40">
        <v>392619</v>
      </c>
      <c r="AC19" s="40">
        <v>392669</v>
      </c>
      <c r="AD19" s="40">
        <v>392714</v>
      </c>
      <c r="AE19" s="40">
        <v>392764</v>
      </c>
      <c r="AF19" s="40">
        <v>392818</v>
      </c>
      <c r="AG19" s="40">
        <v>392861</v>
      </c>
      <c r="AH19" s="40">
        <v>392909</v>
      </c>
      <c r="AI19" s="40"/>
    </row>
    <row r="20" spans="1:35" ht="21.75" customHeight="1" thickBot="1" x14ac:dyDescent="0.35">
      <c r="A20" s="80"/>
      <c r="B20" s="43"/>
      <c r="C20" s="84"/>
      <c r="D20" s="42"/>
      <c r="E20" s="42">
        <f>E19-D19</f>
        <v>57</v>
      </c>
      <c r="F20" s="42">
        <f t="shared" ref="F20:L20" si="55">F19-E19</f>
        <v>40</v>
      </c>
      <c r="G20" s="42">
        <f t="shared" si="55"/>
        <v>44</v>
      </c>
      <c r="H20" s="42">
        <f t="shared" si="55"/>
        <v>48</v>
      </c>
      <c r="I20" s="42">
        <f t="shared" si="55"/>
        <v>48</v>
      </c>
      <c r="J20" s="42">
        <f t="shared" si="55"/>
        <v>48</v>
      </c>
      <c r="K20" s="42">
        <f t="shared" si="55"/>
        <v>48</v>
      </c>
      <c r="L20" s="42">
        <f t="shared" si="55"/>
        <v>47</v>
      </c>
      <c r="M20" s="42">
        <f t="shared" ref="M20" si="56">M19-L19</f>
        <v>46</v>
      </c>
      <c r="N20" s="42">
        <f t="shared" ref="N20" si="57">N19-M19</f>
        <v>45</v>
      </c>
      <c r="O20" s="42">
        <f t="shared" si="35"/>
        <v>44</v>
      </c>
      <c r="P20" s="42">
        <f t="shared" si="35"/>
        <v>47</v>
      </c>
      <c r="Q20" s="42">
        <f t="shared" si="35"/>
        <v>47</v>
      </c>
      <c r="R20" s="42">
        <f t="shared" si="35"/>
        <v>46</v>
      </c>
      <c r="S20" s="42">
        <f t="shared" si="35"/>
        <v>49</v>
      </c>
      <c r="T20" s="42">
        <f t="shared" si="35"/>
        <v>44</v>
      </c>
      <c r="U20" s="42">
        <f t="shared" si="35"/>
        <v>48</v>
      </c>
      <c r="V20" s="42">
        <f t="shared" si="35"/>
        <v>47</v>
      </c>
      <c r="W20" s="42">
        <f t="shared" ref="W20" si="58">W19-V19</f>
        <v>49</v>
      </c>
      <c r="X20" s="42">
        <f t="shared" ref="X20:AC20" si="59">X19-W19</f>
        <v>48</v>
      </c>
      <c r="Y20" s="42">
        <f t="shared" si="59"/>
        <v>47</v>
      </c>
      <c r="Z20" s="42">
        <f t="shared" si="59"/>
        <v>49</v>
      </c>
      <c r="AA20" s="42">
        <f t="shared" si="59"/>
        <v>47</v>
      </c>
      <c r="AB20" s="42">
        <f t="shared" si="59"/>
        <v>46</v>
      </c>
      <c r="AC20" s="42">
        <f t="shared" si="59"/>
        <v>50</v>
      </c>
      <c r="AD20" s="42">
        <f t="shared" si="37"/>
        <v>45</v>
      </c>
      <c r="AE20" s="42">
        <f>AE19-AD19</f>
        <v>50</v>
      </c>
      <c r="AF20" s="42">
        <f t="shared" ref="AF20" si="60">AF19-AE19</f>
        <v>54</v>
      </c>
      <c r="AG20" s="42">
        <f t="shared" ref="AG20" si="61">AG19-AF19</f>
        <v>43</v>
      </c>
      <c r="AH20" s="42">
        <f t="shared" ref="AH20" si="62">AH19-AG19</f>
        <v>48</v>
      </c>
      <c r="AI20" s="42"/>
    </row>
    <row r="21" spans="1:35" ht="27" customHeight="1" x14ac:dyDescent="0.3">
      <c r="B21" s="86" t="s">
        <v>34</v>
      </c>
      <c r="C21" s="86"/>
      <c r="D21" s="44"/>
      <c r="E21" s="61">
        <f>((E6+E8)+((E10+E12)*40%)+(E14+E16+E18+E20))</f>
        <v>32863.4</v>
      </c>
      <c r="F21" s="61">
        <f t="shared" ref="F21:AI21" si="63">((F6+F8)+((F10+F12)*40%)+(F14+F16+F18+F20))</f>
        <v>31001.800000000003</v>
      </c>
      <c r="G21" s="61">
        <f t="shared" si="63"/>
        <v>35075.4</v>
      </c>
      <c r="H21" s="61">
        <f t="shared" si="63"/>
        <v>33662.400000000001</v>
      </c>
      <c r="I21" s="61">
        <f t="shared" si="63"/>
        <v>34282</v>
      </c>
      <c r="J21" s="61">
        <f t="shared" si="63"/>
        <v>34850.6</v>
      </c>
      <c r="K21" s="61">
        <f t="shared" si="63"/>
        <v>35406.800000000003</v>
      </c>
      <c r="L21" s="61">
        <f t="shared" si="63"/>
        <v>35845</v>
      </c>
      <c r="M21" s="61">
        <f t="shared" si="63"/>
        <v>36566.800000000003</v>
      </c>
      <c r="N21" s="61">
        <f t="shared" si="63"/>
        <v>36481</v>
      </c>
      <c r="O21" s="61">
        <f t="shared" si="63"/>
        <v>35482.400000000001</v>
      </c>
      <c r="P21" s="61">
        <f t="shared" si="63"/>
        <v>35669</v>
      </c>
      <c r="Q21" s="61">
        <f t="shared" si="63"/>
        <v>34763.800000000003</v>
      </c>
      <c r="R21" s="61">
        <f t="shared" si="63"/>
        <v>37252</v>
      </c>
      <c r="S21" s="61">
        <f t="shared" si="63"/>
        <v>37571.199999999997</v>
      </c>
      <c r="T21" s="61">
        <f t="shared" si="63"/>
        <v>37216.6</v>
      </c>
      <c r="U21" s="61">
        <f t="shared" si="63"/>
        <v>36245.599999999999</v>
      </c>
      <c r="V21" s="61">
        <f t="shared" si="63"/>
        <v>34905.4</v>
      </c>
      <c r="W21" s="61">
        <f t="shared" si="63"/>
        <v>34353.800000000003</v>
      </c>
      <c r="X21" s="61">
        <f t="shared" si="63"/>
        <v>34778.199999999997</v>
      </c>
      <c r="Y21" s="61">
        <f t="shared" si="63"/>
        <v>35899.800000000003</v>
      </c>
      <c r="Z21" s="61">
        <f t="shared" si="63"/>
        <v>35495.4</v>
      </c>
      <c r="AA21" s="61">
        <f t="shared" si="63"/>
        <v>36168.400000000001</v>
      </c>
      <c r="AB21" s="61">
        <f t="shared" si="63"/>
        <v>37749.199999999997</v>
      </c>
      <c r="AC21" s="61">
        <f t="shared" si="63"/>
        <v>38467.199999999997</v>
      </c>
      <c r="AD21" s="61">
        <f t="shared" si="63"/>
        <v>38155.4</v>
      </c>
      <c r="AE21" s="61">
        <f t="shared" si="63"/>
        <v>37293.4</v>
      </c>
      <c r="AF21" s="61">
        <f t="shared" si="63"/>
        <v>38418.6</v>
      </c>
      <c r="AG21" s="61">
        <f t="shared" si="63"/>
        <v>37660</v>
      </c>
      <c r="AH21" s="61">
        <f t="shared" si="63"/>
        <v>38198</v>
      </c>
      <c r="AI21" s="61">
        <f t="shared" si="63"/>
        <v>0</v>
      </c>
    </row>
    <row r="22" spans="1:35" ht="27" customHeight="1" x14ac:dyDescent="0.3">
      <c r="B22" s="82" t="s">
        <v>35</v>
      </c>
      <c r="C22" s="82"/>
      <c r="D22" s="44"/>
      <c r="E22" s="61">
        <f>SUM(E21:AI21)</f>
        <v>1077778.6000000001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A5" zoomScale="115" zoomScaleNormal="115" workbookViewId="0">
      <selection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9" t="s">
        <v>36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5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/>
    </row>
    <row r="5" spans="1:42" s="8" customFormat="1" ht="40.5" customHeight="1" x14ac:dyDescent="0.3">
      <c r="A5" s="92" t="s">
        <v>39</v>
      </c>
      <c r="B5" s="27" t="s">
        <v>69</v>
      </c>
      <c r="C5" s="94" t="s">
        <v>70</v>
      </c>
      <c r="D5" s="31">
        <v>200093</v>
      </c>
      <c r="E5" s="31">
        <v>200383</v>
      </c>
      <c r="F5" s="31">
        <v>200672</v>
      </c>
      <c r="G5" s="31">
        <v>200940</v>
      </c>
      <c r="H5" s="31">
        <v>201214</v>
      </c>
      <c r="I5" s="31">
        <v>201477</v>
      </c>
      <c r="J5" s="31">
        <v>201741</v>
      </c>
      <c r="K5" s="31">
        <v>201825</v>
      </c>
      <c r="L5" s="31">
        <v>201825</v>
      </c>
      <c r="M5" s="31">
        <v>201825</v>
      </c>
      <c r="N5" s="31">
        <v>202471</v>
      </c>
      <c r="O5" s="31">
        <v>203174</v>
      </c>
      <c r="P5" s="31">
        <v>203457</v>
      </c>
      <c r="Q5" s="31">
        <v>203673</v>
      </c>
      <c r="R5" s="31">
        <v>203711</v>
      </c>
      <c r="S5" s="31">
        <v>204160</v>
      </c>
      <c r="T5" s="31">
        <v>204393</v>
      </c>
      <c r="U5" s="31">
        <v>204664</v>
      </c>
      <c r="V5" s="31">
        <v>204934</v>
      </c>
      <c r="W5" s="31">
        <v>205222</v>
      </c>
      <c r="X5" s="31">
        <v>205499</v>
      </c>
      <c r="Y5" s="31">
        <v>205767</v>
      </c>
      <c r="Z5" s="31">
        <v>206014</v>
      </c>
      <c r="AA5" s="31">
        <v>206254</v>
      </c>
      <c r="AB5" s="31">
        <v>206522</v>
      </c>
      <c r="AC5" s="31">
        <v>206768</v>
      </c>
      <c r="AD5" s="31">
        <v>207058</v>
      </c>
      <c r="AE5" s="31">
        <v>207325</v>
      </c>
      <c r="AF5" s="31">
        <v>207582</v>
      </c>
      <c r="AG5" s="31">
        <v>207838</v>
      </c>
      <c r="AH5" s="31">
        <v>208071</v>
      </c>
      <c r="AI5" s="31"/>
    </row>
    <row r="6" spans="1:42" s="34" customFormat="1" ht="25.65" customHeight="1" thickBot="1" x14ac:dyDescent="0.35">
      <c r="A6" s="93"/>
      <c r="B6" s="32"/>
      <c r="C6" s="94"/>
      <c r="D6" s="33"/>
      <c r="E6" s="33">
        <f>E5-D5</f>
        <v>290</v>
      </c>
      <c r="F6" s="33">
        <f t="shared" ref="F6:L6" si="0">F5-E5</f>
        <v>289</v>
      </c>
      <c r="G6" s="33">
        <f t="shared" si="0"/>
        <v>268</v>
      </c>
      <c r="H6" s="33">
        <f t="shared" si="0"/>
        <v>274</v>
      </c>
      <c r="I6" s="33">
        <f t="shared" si="0"/>
        <v>263</v>
      </c>
      <c r="J6" s="33">
        <f t="shared" si="0"/>
        <v>264</v>
      </c>
      <c r="K6" s="33">
        <f t="shared" si="0"/>
        <v>84</v>
      </c>
      <c r="L6" s="33">
        <f t="shared" si="0"/>
        <v>0</v>
      </c>
      <c r="M6" s="33">
        <f t="shared" ref="M6" si="1">M5-L5</f>
        <v>0</v>
      </c>
      <c r="N6" s="33">
        <f t="shared" ref="N6:O14" si="2">N5-M5</f>
        <v>646</v>
      </c>
      <c r="O6" s="33">
        <f t="shared" si="2"/>
        <v>703</v>
      </c>
      <c r="P6" s="33">
        <f t="shared" ref="P6" si="3">P5-O5</f>
        <v>283</v>
      </c>
      <c r="Q6" s="33">
        <f t="shared" ref="Q6:V14" si="4">Q5-P5</f>
        <v>216</v>
      </c>
      <c r="R6" s="33">
        <f t="shared" si="4"/>
        <v>38</v>
      </c>
      <c r="S6" s="33">
        <f t="shared" si="4"/>
        <v>449</v>
      </c>
      <c r="T6" s="33">
        <f t="shared" si="4"/>
        <v>233</v>
      </c>
      <c r="U6" s="33">
        <f t="shared" si="4"/>
        <v>271</v>
      </c>
      <c r="V6" s="33">
        <f t="shared" si="4"/>
        <v>270</v>
      </c>
      <c r="W6" s="33">
        <f t="shared" ref="W6" si="5">W5-V5</f>
        <v>288</v>
      </c>
      <c r="X6" s="33">
        <f t="shared" ref="X6:AD14" si="6">X5-W5</f>
        <v>277</v>
      </c>
      <c r="Y6" s="33">
        <f t="shared" si="6"/>
        <v>268</v>
      </c>
      <c r="Z6" s="33">
        <f t="shared" si="6"/>
        <v>247</v>
      </c>
      <c r="AA6" s="33">
        <f t="shared" si="6"/>
        <v>240</v>
      </c>
      <c r="AB6" s="33">
        <f t="shared" si="6"/>
        <v>268</v>
      </c>
      <c r="AC6" s="33">
        <f t="shared" si="6"/>
        <v>246</v>
      </c>
      <c r="AD6" s="33">
        <f t="shared" si="6"/>
        <v>290</v>
      </c>
      <c r="AE6" s="33">
        <f t="shared" ref="AE6" si="7">AE5-AD5</f>
        <v>267</v>
      </c>
      <c r="AF6" s="33">
        <f t="shared" ref="AF6" si="8">AF5-AE5</f>
        <v>257</v>
      </c>
      <c r="AG6" s="33">
        <f t="shared" ref="AG6" si="9">AG5-AF5</f>
        <v>256</v>
      </c>
      <c r="AH6" s="33">
        <f t="shared" ref="AH6" si="10">AH5-AG5</f>
        <v>233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2" t="s">
        <v>41</v>
      </c>
      <c r="B7" s="49" t="s">
        <v>71</v>
      </c>
      <c r="C7" s="94" t="s">
        <v>72</v>
      </c>
      <c r="D7" s="31">
        <v>410671.5</v>
      </c>
      <c r="E7" s="31">
        <v>410686.9</v>
      </c>
      <c r="F7" s="31">
        <v>410709.8</v>
      </c>
      <c r="G7" s="31">
        <v>410734.4</v>
      </c>
      <c r="H7" s="31">
        <v>410758.1</v>
      </c>
      <c r="I7" s="31">
        <v>410776.5</v>
      </c>
      <c r="J7" s="31">
        <v>410802.8</v>
      </c>
      <c r="K7" s="31">
        <v>410831</v>
      </c>
      <c r="L7" s="31">
        <v>410858.6</v>
      </c>
      <c r="M7" s="31">
        <v>410881.8</v>
      </c>
      <c r="N7" s="31">
        <v>410900.4</v>
      </c>
      <c r="O7" s="31">
        <v>410919.2</v>
      </c>
      <c r="P7" s="31">
        <v>410954.3</v>
      </c>
      <c r="Q7" s="31">
        <v>410985.5</v>
      </c>
      <c r="R7" s="31">
        <v>411006.3</v>
      </c>
      <c r="S7" s="31">
        <v>411044.5</v>
      </c>
      <c r="T7" s="31">
        <v>411083.3</v>
      </c>
      <c r="U7" s="31">
        <v>411111.1</v>
      </c>
      <c r="V7" s="31">
        <v>411139.7</v>
      </c>
      <c r="W7" s="31">
        <v>411150.1</v>
      </c>
      <c r="X7" s="31">
        <v>411181.5</v>
      </c>
      <c r="Y7" s="31">
        <v>411205.5</v>
      </c>
      <c r="Z7" s="31">
        <v>411235</v>
      </c>
      <c r="AA7" s="31">
        <v>411263</v>
      </c>
      <c r="AB7" s="31">
        <v>411293</v>
      </c>
      <c r="AC7" s="31">
        <v>411323.3</v>
      </c>
      <c r="AD7" s="31">
        <v>411344</v>
      </c>
      <c r="AE7" s="31">
        <v>411372.79999999999</v>
      </c>
      <c r="AF7" s="31">
        <v>411404.1</v>
      </c>
      <c r="AG7" s="31">
        <v>411434.2</v>
      </c>
      <c r="AH7" s="31">
        <v>411468.1</v>
      </c>
      <c r="AI7" s="31"/>
    </row>
    <row r="8" spans="1:42" s="34" customFormat="1" ht="25.65" customHeight="1" thickBot="1" x14ac:dyDescent="0.35">
      <c r="A8" s="93"/>
      <c r="B8" s="47"/>
      <c r="C8" s="94"/>
      <c r="D8" s="33"/>
      <c r="E8" s="33">
        <f t="shared" ref="E8" si="11">E7-D7</f>
        <v>15.400000000023283</v>
      </c>
      <c r="F8" s="33">
        <f t="shared" ref="F8:L8" si="12">F7-E7</f>
        <v>22.899999999965075</v>
      </c>
      <c r="G8" s="33">
        <f t="shared" si="12"/>
        <v>24.600000000034925</v>
      </c>
      <c r="H8" s="33">
        <f t="shared" si="12"/>
        <v>23.699999999953434</v>
      </c>
      <c r="I8" s="33">
        <f t="shared" si="12"/>
        <v>18.400000000023283</v>
      </c>
      <c r="J8" s="33">
        <f t="shared" si="12"/>
        <v>26.299999999988358</v>
      </c>
      <c r="K8" s="33">
        <f t="shared" si="12"/>
        <v>28.200000000011642</v>
      </c>
      <c r="L8" s="33">
        <f t="shared" si="12"/>
        <v>27.599999999976717</v>
      </c>
      <c r="M8" s="33">
        <f t="shared" ref="M8" si="13">M7-L7</f>
        <v>23.200000000011642</v>
      </c>
      <c r="N8" s="33">
        <f t="shared" ref="N8" si="14">N7-M7</f>
        <v>18.600000000034925</v>
      </c>
      <c r="O8" s="33">
        <f t="shared" si="2"/>
        <v>18.799999999988358</v>
      </c>
      <c r="P8" s="33">
        <f t="shared" ref="P8" si="15">P7-O7</f>
        <v>35.099999999976717</v>
      </c>
      <c r="Q8" s="33">
        <f t="shared" ref="Q8:U8" si="16">Q7-P7</f>
        <v>31.200000000011642</v>
      </c>
      <c r="R8" s="33">
        <f t="shared" si="16"/>
        <v>20.799999999988358</v>
      </c>
      <c r="S8" s="33">
        <f t="shared" si="16"/>
        <v>38.200000000011642</v>
      </c>
      <c r="T8" s="33">
        <f t="shared" si="16"/>
        <v>38.799999999988358</v>
      </c>
      <c r="U8" s="33">
        <f t="shared" si="16"/>
        <v>27.799999999988358</v>
      </c>
      <c r="V8" s="33">
        <f t="shared" si="4"/>
        <v>28.600000000034925</v>
      </c>
      <c r="W8" s="33">
        <f t="shared" ref="W8" si="17">W7-V7</f>
        <v>10.399999999965075</v>
      </c>
      <c r="X8" s="33">
        <f t="shared" ref="X8:AC8" si="18">X7-W7</f>
        <v>31.400000000023283</v>
      </c>
      <c r="Y8" s="33">
        <f t="shared" si="18"/>
        <v>24</v>
      </c>
      <c r="Z8" s="33">
        <f t="shared" si="18"/>
        <v>29.5</v>
      </c>
      <c r="AA8" s="33">
        <f t="shared" si="18"/>
        <v>28</v>
      </c>
      <c r="AB8" s="33">
        <f t="shared" si="18"/>
        <v>30</v>
      </c>
      <c r="AC8" s="33">
        <f t="shared" si="18"/>
        <v>30.299999999988358</v>
      </c>
      <c r="AD8" s="33">
        <f t="shared" si="6"/>
        <v>20.700000000011642</v>
      </c>
      <c r="AE8" s="33">
        <f t="shared" ref="AE8" si="19">AE7-AD7</f>
        <v>28.799999999988358</v>
      </c>
      <c r="AF8" s="33">
        <f t="shared" ref="AF8" si="20">AF7-AE7</f>
        <v>31.299999999988358</v>
      </c>
      <c r="AG8" s="33">
        <f t="shared" ref="AG8" si="21">AG7-AF7</f>
        <v>30.100000000034925</v>
      </c>
      <c r="AH8" s="33">
        <f t="shared" ref="AH8" si="22">AH7-AG7</f>
        <v>33.899999999965075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2">
        <v>4</v>
      </c>
      <c r="B9" s="46" t="s">
        <v>73</v>
      </c>
      <c r="C9" s="94" t="s">
        <v>74</v>
      </c>
      <c r="D9" s="31">
        <v>34945</v>
      </c>
      <c r="E9" s="31">
        <v>34967</v>
      </c>
      <c r="F9" s="31">
        <v>35065</v>
      </c>
      <c r="G9" s="31">
        <v>35162</v>
      </c>
      <c r="H9" s="31">
        <v>35271</v>
      </c>
      <c r="I9" s="31">
        <v>35280</v>
      </c>
      <c r="J9" s="31">
        <v>35396</v>
      </c>
      <c r="K9" s="31">
        <v>35514</v>
      </c>
      <c r="L9" s="31">
        <v>35629</v>
      </c>
      <c r="M9" s="31">
        <v>35714</v>
      </c>
      <c r="N9" s="31">
        <v>35714</v>
      </c>
      <c r="O9" s="31">
        <v>35781</v>
      </c>
      <c r="P9" s="31">
        <v>36001</v>
      </c>
      <c r="Q9" s="31">
        <v>36152</v>
      </c>
      <c r="R9" s="31">
        <v>36295</v>
      </c>
      <c r="S9" s="31">
        <v>36438</v>
      </c>
      <c r="T9" s="31">
        <v>36555</v>
      </c>
      <c r="U9" s="31">
        <v>36698</v>
      </c>
      <c r="V9" s="31">
        <v>36823</v>
      </c>
      <c r="W9" s="31">
        <v>36846</v>
      </c>
      <c r="X9" s="31">
        <v>36956</v>
      </c>
      <c r="Y9" s="31">
        <v>37098</v>
      </c>
      <c r="Z9" s="31">
        <v>37233</v>
      </c>
      <c r="AA9" s="31">
        <v>37358</v>
      </c>
      <c r="AB9" s="31">
        <v>37491</v>
      </c>
      <c r="AC9" s="31">
        <v>37631</v>
      </c>
      <c r="AD9" s="31">
        <v>37659</v>
      </c>
      <c r="AE9" s="31">
        <v>37769</v>
      </c>
      <c r="AF9" s="31">
        <v>37908</v>
      </c>
      <c r="AG9" s="31">
        <v>38024</v>
      </c>
      <c r="AH9" s="31">
        <v>38173</v>
      </c>
      <c r="AI9" s="31"/>
    </row>
    <row r="10" spans="1:42" s="34" customFormat="1" ht="25.65" customHeight="1" thickBot="1" x14ac:dyDescent="0.35">
      <c r="A10" s="93"/>
      <c r="B10" s="47"/>
      <c r="C10" s="94"/>
      <c r="D10" s="33"/>
      <c r="E10" s="33">
        <f t="shared" ref="E10:L10" si="23">E9-D9</f>
        <v>22</v>
      </c>
      <c r="F10" s="33">
        <f t="shared" si="23"/>
        <v>98</v>
      </c>
      <c r="G10" s="33">
        <f t="shared" si="23"/>
        <v>97</v>
      </c>
      <c r="H10" s="33">
        <f t="shared" si="23"/>
        <v>109</v>
      </c>
      <c r="I10" s="33">
        <f t="shared" si="23"/>
        <v>9</v>
      </c>
      <c r="J10" s="33">
        <f t="shared" si="23"/>
        <v>116</v>
      </c>
      <c r="K10" s="33">
        <f t="shared" si="23"/>
        <v>118</v>
      </c>
      <c r="L10" s="33">
        <f t="shared" si="23"/>
        <v>115</v>
      </c>
      <c r="M10" s="33">
        <f t="shared" ref="M10" si="24">M9-L9</f>
        <v>85</v>
      </c>
      <c r="N10" s="33">
        <f t="shared" ref="N10" si="25">N9-M9</f>
        <v>0</v>
      </c>
      <c r="O10" s="33">
        <f t="shared" si="2"/>
        <v>67</v>
      </c>
      <c r="P10" s="33">
        <f t="shared" ref="P10" si="26">P9-O9</f>
        <v>220</v>
      </c>
      <c r="Q10" s="33">
        <f t="shared" ref="Q10:U10" si="27">Q9-P9</f>
        <v>151</v>
      </c>
      <c r="R10" s="33">
        <f t="shared" si="27"/>
        <v>143</v>
      </c>
      <c r="S10" s="33">
        <f t="shared" si="27"/>
        <v>143</v>
      </c>
      <c r="T10" s="33">
        <f t="shared" si="27"/>
        <v>117</v>
      </c>
      <c r="U10" s="33">
        <f t="shared" si="27"/>
        <v>143</v>
      </c>
      <c r="V10" s="33">
        <f t="shared" si="4"/>
        <v>125</v>
      </c>
      <c r="W10" s="33">
        <f t="shared" ref="W10" si="28">W9-V9</f>
        <v>23</v>
      </c>
      <c r="X10" s="33">
        <f t="shared" ref="X10:AC10" si="29">X9-W9</f>
        <v>110</v>
      </c>
      <c r="Y10" s="33">
        <f t="shared" si="29"/>
        <v>142</v>
      </c>
      <c r="Z10" s="33">
        <f t="shared" si="29"/>
        <v>135</v>
      </c>
      <c r="AA10" s="33">
        <f t="shared" si="29"/>
        <v>125</v>
      </c>
      <c r="AB10" s="33">
        <f t="shared" si="29"/>
        <v>133</v>
      </c>
      <c r="AC10" s="33">
        <f t="shared" si="29"/>
        <v>140</v>
      </c>
      <c r="AD10" s="33">
        <f t="shared" si="6"/>
        <v>28</v>
      </c>
      <c r="AE10" s="33">
        <f t="shared" ref="AE10" si="30">AE9-AD9</f>
        <v>110</v>
      </c>
      <c r="AF10" s="33">
        <f t="shared" ref="AF10" si="31">AF9-AE9</f>
        <v>139</v>
      </c>
      <c r="AG10" s="33">
        <f t="shared" ref="AG10" si="32">AG9-AF9</f>
        <v>116</v>
      </c>
      <c r="AH10" s="33">
        <f t="shared" ref="AH10" si="33">AH9-AG9</f>
        <v>149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5">
        <v>5</v>
      </c>
      <c r="B11" s="27">
        <v>68864837</v>
      </c>
      <c r="C11" s="94" t="s">
        <v>75</v>
      </c>
      <c r="D11" s="31">
        <v>2532.33</v>
      </c>
      <c r="E11" s="31">
        <v>2533.6080000000002</v>
      </c>
      <c r="F11" s="31">
        <v>2534.848</v>
      </c>
      <c r="G11" s="31">
        <v>2536.7959999999998</v>
      </c>
      <c r="H11" s="31">
        <v>2538.2620000000002</v>
      </c>
      <c r="I11" s="31">
        <v>2539.9050000000002</v>
      </c>
      <c r="J11" s="31">
        <v>2541.4870000000001</v>
      </c>
      <c r="K11" s="31">
        <v>2542.8890000000001</v>
      </c>
      <c r="L11" s="31">
        <v>2544.069</v>
      </c>
      <c r="M11" s="31">
        <v>2545.625</v>
      </c>
      <c r="N11" s="31">
        <v>2547.4349999999999</v>
      </c>
      <c r="O11" s="31">
        <v>2549.663</v>
      </c>
      <c r="P11" s="31">
        <v>2556.384</v>
      </c>
      <c r="Q11" s="31">
        <v>2558.721</v>
      </c>
      <c r="R11" s="31">
        <v>2559.85</v>
      </c>
      <c r="S11" s="31">
        <v>2561.14</v>
      </c>
      <c r="T11" s="31">
        <v>2562.0889999999999</v>
      </c>
      <c r="U11" s="31">
        <v>2563.23</v>
      </c>
      <c r="V11" s="31">
        <v>2566.48</v>
      </c>
      <c r="W11" s="31">
        <v>2566.48</v>
      </c>
      <c r="X11" s="31">
        <v>2568.2130000000002</v>
      </c>
      <c r="Y11" s="31">
        <v>2570.0239999999999</v>
      </c>
      <c r="Z11" s="31">
        <v>2571.2950000000001</v>
      </c>
      <c r="AA11" s="31">
        <v>2572.6289999999999</v>
      </c>
      <c r="AB11" s="31">
        <v>2574.0859999999998</v>
      </c>
      <c r="AC11" s="31">
        <v>2575.4899999999998</v>
      </c>
      <c r="AD11" s="31">
        <v>2576.4279999999999</v>
      </c>
      <c r="AE11" s="31">
        <v>2577.884</v>
      </c>
      <c r="AF11" s="31">
        <v>2579.0740000000001</v>
      </c>
      <c r="AG11" s="31">
        <v>2579.8409999999999</v>
      </c>
      <c r="AH11" s="31">
        <v>2580.9490000000001</v>
      </c>
      <c r="AI11" s="31"/>
    </row>
    <row r="12" spans="1:42" s="8" customFormat="1" ht="25.65" customHeight="1" thickBot="1" x14ac:dyDescent="0.35">
      <c r="A12" s="96"/>
      <c r="B12" s="48"/>
      <c r="C12" s="94"/>
      <c r="D12" s="33"/>
      <c r="E12" s="33">
        <f t="shared" ref="E12:L12" si="34">E11-D11</f>
        <v>1.2780000000002474</v>
      </c>
      <c r="F12" s="33">
        <f t="shared" si="34"/>
        <v>1.2399999999997817</v>
      </c>
      <c r="G12" s="33">
        <f t="shared" si="34"/>
        <v>1.9479999999998654</v>
      </c>
      <c r="H12" s="33">
        <f t="shared" si="34"/>
        <v>1.4660000000003492</v>
      </c>
      <c r="I12" s="33">
        <f t="shared" si="34"/>
        <v>1.6430000000000291</v>
      </c>
      <c r="J12" s="33">
        <f t="shared" si="34"/>
        <v>1.5819999999998799</v>
      </c>
      <c r="K12" s="33">
        <f t="shared" si="34"/>
        <v>1.4020000000000437</v>
      </c>
      <c r="L12" s="33">
        <f t="shared" si="34"/>
        <v>1.1799999999998363</v>
      </c>
      <c r="M12" s="33">
        <f t="shared" ref="M12" si="35">M11-L11</f>
        <v>1.55600000000004</v>
      </c>
      <c r="N12" s="33">
        <f t="shared" ref="N12" si="36">N11-M11</f>
        <v>1.8099999999999454</v>
      </c>
      <c r="O12" s="33">
        <f t="shared" si="2"/>
        <v>2.2280000000000655</v>
      </c>
      <c r="P12" s="33">
        <f t="shared" ref="P12" si="37">P11-O11</f>
        <v>6.7210000000000036</v>
      </c>
      <c r="Q12" s="33">
        <f t="shared" ref="Q12:U12" si="38">Q11-P11</f>
        <v>2.3369999999999891</v>
      </c>
      <c r="R12" s="33">
        <f t="shared" si="38"/>
        <v>1.1289999999999054</v>
      </c>
      <c r="S12" s="33">
        <f t="shared" si="38"/>
        <v>1.2899999999999636</v>
      </c>
      <c r="T12" s="33">
        <f t="shared" si="38"/>
        <v>0.94900000000006912</v>
      </c>
      <c r="U12" s="33">
        <f t="shared" si="38"/>
        <v>1.1410000000000764</v>
      </c>
      <c r="V12" s="33">
        <f t="shared" si="4"/>
        <v>3.25</v>
      </c>
      <c r="W12" s="33">
        <f t="shared" ref="W12" si="39">W11-V11</f>
        <v>0</v>
      </c>
      <c r="X12" s="33">
        <f t="shared" ref="X12:AC12" si="40">X11-W11</f>
        <v>1.7330000000001746</v>
      </c>
      <c r="Y12" s="33">
        <f t="shared" si="40"/>
        <v>1.8109999999996944</v>
      </c>
      <c r="Z12" s="33">
        <f t="shared" si="40"/>
        <v>1.2710000000001855</v>
      </c>
      <c r="AA12" s="33">
        <f t="shared" si="40"/>
        <v>1.3339999999998327</v>
      </c>
      <c r="AB12" s="33">
        <f t="shared" si="40"/>
        <v>1.4569999999998799</v>
      </c>
      <c r="AC12" s="33">
        <f t="shared" si="40"/>
        <v>1.4039999999999964</v>
      </c>
      <c r="AD12" s="33">
        <f t="shared" si="6"/>
        <v>0.93800000000010186</v>
      </c>
      <c r="AE12" s="33">
        <f t="shared" ref="AE12" si="41">AE11-AD11</f>
        <v>1.456000000000131</v>
      </c>
      <c r="AF12" s="33">
        <f t="shared" ref="AF12" si="42">AF11-AE11</f>
        <v>1.1900000000000546</v>
      </c>
      <c r="AG12" s="33">
        <f t="shared" ref="AG12" si="43">AG11-AF11</f>
        <v>0.76699999999982538</v>
      </c>
      <c r="AH12" s="33">
        <f t="shared" ref="AH12" si="44">AH11-AG11</f>
        <v>1.1080000000001746</v>
      </c>
      <c r="AI12" s="33"/>
    </row>
    <row r="13" spans="1:42" s="8" customFormat="1" ht="25.65" customHeight="1" x14ac:dyDescent="0.3">
      <c r="A13" s="95">
        <v>6</v>
      </c>
      <c r="B13" s="27">
        <v>65296485</v>
      </c>
      <c r="C13" s="94" t="s">
        <v>76</v>
      </c>
      <c r="D13" s="31">
        <v>3198.8820000000001</v>
      </c>
      <c r="E13" s="31">
        <v>3202.011</v>
      </c>
      <c r="F13" s="31">
        <v>3204.9459999999999</v>
      </c>
      <c r="G13" s="31">
        <v>3206.6860000000001</v>
      </c>
      <c r="H13" s="31">
        <v>3208.788</v>
      </c>
      <c r="I13" s="31">
        <v>3211.2939999999999</v>
      </c>
      <c r="J13" s="31">
        <v>3213.319</v>
      </c>
      <c r="K13" s="31">
        <v>3214.989</v>
      </c>
      <c r="L13" s="31">
        <v>3216.652</v>
      </c>
      <c r="M13" s="31">
        <v>3218.2249999999999</v>
      </c>
      <c r="N13" s="31">
        <v>3221.366</v>
      </c>
      <c r="O13" s="31">
        <v>3222.7759999999998</v>
      </c>
      <c r="P13" s="31">
        <v>3225.5149999999999</v>
      </c>
      <c r="Q13" s="31">
        <v>3228.3530000000001</v>
      </c>
      <c r="R13" s="31">
        <v>3230.4650000000001</v>
      </c>
      <c r="S13" s="31">
        <v>3232.3209999999999</v>
      </c>
      <c r="T13" s="31">
        <v>3234.3009999999999</v>
      </c>
      <c r="U13" s="31">
        <v>3235.7020000000002</v>
      </c>
      <c r="V13" s="31">
        <v>3237.5259999999998</v>
      </c>
      <c r="W13" s="31">
        <v>3240.1959999999999</v>
      </c>
      <c r="X13" s="31">
        <v>3244.9670000000001</v>
      </c>
      <c r="Y13" s="31">
        <v>3248.2089999999998</v>
      </c>
      <c r="Z13" s="31">
        <v>3249.6219999999998</v>
      </c>
      <c r="AA13" s="31">
        <v>3251.5</v>
      </c>
      <c r="AB13" s="31">
        <v>3253.4650000000001</v>
      </c>
      <c r="AC13" s="31">
        <v>3254.636</v>
      </c>
      <c r="AD13" s="31">
        <v>3258.9850000000001</v>
      </c>
      <c r="AE13" s="31">
        <v>3262.1529999999998</v>
      </c>
      <c r="AF13" s="31">
        <v>3266.3130000000001</v>
      </c>
      <c r="AG13" s="31">
        <v>3267.96</v>
      </c>
      <c r="AH13" s="31">
        <v>3269.5810000000001</v>
      </c>
      <c r="AI13" s="31"/>
    </row>
    <row r="14" spans="1:42" s="8" customFormat="1" ht="25.65" customHeight="1" thickBot="1" x14ac:dyDescent="0.35">
      <c r="A14" s="96"/>
      <c r="B14" s="48"/>
      <c r="C14" s="94"/>
      <c r="D14" s="33"/>
      <c r="E14" s="33">
        <f t="shared" ref="E14:L14" si="45">E13-D13</f>
        <v>3.1289999999999054</v>
      </c>
      <c r="F14" s="33">
        <f t="shared" si="45"/>
        <v>2.9349999999999454</v>
      </c>
      <c r="G14" s="33">
        <f t="shared" si="45"/>
        <v>1.7400000000002365</v>
      </c>
      <c r="H14" s="33">
        <f t="shared" si="45"/>
        <v>2.1019999999998618</v>
      </c>
      <c r="I14" s="33">
        <f t="shared" si="45"/>
        <v>2.5059999999998581</v>
      </c>
      <c r="J14" s="33">
        <f t="shared" si="45"/>
        <v>2.0250000000000909</v>
      </c>
      <c r="K14" s="33">
        <f t="shared" si="45"/>
        <v>1.6700000000000728</v>
      </c>
      <c r="L14" s="33">
        <f t="shared" si="45"/>
        <v>1.6630000000000109</v>
      </c>
      <c r="M14" s="33">
        <f t="shared" ref="M14" si="46">M13-L13</f>
        <v>1.5729999999998654</v>
      </c>
      <c r="N14" s="33">
        <f t="shared" ref="N14" si="47">N13-M13</f>
        <v>3.1410000000000764</v>
      </c>
      <c r="O14" s="33">
        <f t="shared" si="2"/>
        <v>1.4099999999998545</v>
      </c>
      <c r="P14" s="33">
        <f t="shared" ref="P14" si="48">P13-O13</f>
        <v>2.7390000000000327</v>
      </c>
      <c r="Q14" s="33">
        <f t="shared" ref="Q14:U14" si="49">Q13-P13</f>
        <v>2.8380000000001928</v>
      </c>
      <c r="R14" s="33">
        <f t="shared" si="49"/>
        <v>2.11200000000008</v>
      </c>
      <c r="S14" s="33">
        <f t="shared" si="49"/>
        <v>1.8559999999997672</v>
      </c>
      <c r="T14" s="33">
        <f t="shared" si="49"/>
        <v>1.9800000000000182</v>
      </c>
      <c r="U14" s="33">
        <f t="shared" si="49"/>
        <v>1.4010000000002947</v>
      </c>
      <c r="V14" s="33">
        <f t="shared" si="4"/>
        <v>1.8239999999996144</v>
      </c>
      <c r="W14" s="33">
        <f t="shared" ref="W14" si="50">W13-V13</f>
        <v>2.6700000000000728</v>
      </c>
      <c r="X14" s="33">
        <f t="shared" ref="X14:AC14" si="51">X13-W13</f>
        <v>4.7710000000001855</v>
      </c>
      <c r="Y14" s="33">
        <f t="shared" si="51"/>
        <v>3.2419999999997344</v>
      </c>
      <c r="Z14" s="33">
        <f t="shared" si="51"/>
        <v>1.4130000000000109</v>
      </c>
      <c r="AA14" s="33">
        <f t="shared" si="51"/>
        <v>1.8780000000001564</v>
      </c>
      <c r="AB14" s="33">
        <f t="shared" si="51"/>
        <v>1.9650000000001455</v>
      </c>
      <c r="AC14" s="33">
        <f t="shared" si="51"/>
        <v>1.1709999999998217</v>
      </c>
      <c r="AD14" s="33">
        <f t="shared" si="6"/>
        <v>4.3490000000001601</v>
      </c>
      <c r="AE14" s="33">
        <f t="shared" ref="AE14" si="52">AE13-AD13</f>
        <v>3.1679999999996653</v>
      </c>
      <c r="AF14" s="33">
        <f t="shared" ref="AF14" si="53">AF13-AE13</f>
        <v>4.1600000000003092</v>
      </c>
      <c r="AG14" s="33">
        <f t="shared" ref="AG14" si="54">AG13-AF13</f>
        <v>1.6469999999999345</v>
      </c>
      <c r="AH14" s="33">
        <f t="shared" ref="AH14" si="55">AH13-AG13</f>
        <v>1.6210000000000946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8" t="s">
        <v>77</v>
      </c>
      <c r="C15" s="88"/>
      <c r="D15" s="50"/>
      <c r="E15" s="60">
        <f>E6+((E8*45%)+(E10*45%)+(E12+E14))</f>
        <v>311.23700000001065</v>
      </c>
      <c r="F15" s="60">
        <f t="shared" ref="F15:AI15" si="56">F6+((F8*45%)+(F10*45%)+(F12+F14))</f>
        <v>347.57999999998401</v>
      </c>
      <c r="G15" s="60">
        <f t="shared" si="56"/>
        <v>326.40800000001582</v>
      </c>
      <c r="H15" s="60">
        <f t="shared" si="56"/>
        <v>337.28299999997927</v>
      </c>
      <c r="I15" s="60">
        <f t="shared" si="56"/>
        <v>279.47900000001039</v>
      </c>
      <c r="J15" s="60">
        <f t="shared" si="56"/>
        <v>331.64199999999471</v>
      </c>
      <c r="K15" s="60">
        <f t="shared" si="56"/>
        <v>152.86200000000537</v>
      </c>
      <c r="L15" s="60">
        <f t="shared" si="56"/>
        <v>67.012999999989376</v>
      </c>
      <c r="M15" s="60">
        <f t="shared" si="56"/>
        <v>51.819000000005147</v>
      </c>
      <c r="N15" s="60">
        <f t="shared" si="56"/>
        <v>659.32100000001572</v>
      </c>
      <c r="O15" s="60">
        <f t="shared" si="56"/>
        <v>745.2479999999947</v>
      </c>
      <c r="P15" s="60">
        <f t="shared" si="56"/>
        <v>407.25499999998954</v>
      </c>
      <c r="Q15" s="60">
        <f t="shared" si="56"/>
        <v>303.16500000000542</v>
      </c>
      <c r="R15" s="60">
        <f t="shared" si="56"/>
        <v>114.95099999999475</v>
      </c>
      <c r="S15" s="60">
        <f t="shared" si="56"/>
        <v>533.68600000000492</v>
      </c>
      <c r="T15" s="60">
        <f t="shared" si="56"/>
        <v>306.03899999999487</v>
      </c>
      <c r="U15" s="60">
        <f t="shared" si="56"/>
        <v>350.40199999999516</v>
      </c>
      <c r="V15" s="60">
        <f t="shared" si="56"/>
        <v>344.19400000001531</v>
      </c>
      <c r="W15" s="60">
        <f t="shared" si="56"/>
        <v>305.69999999998436</v>
      </c>
      <c r="X15" s="60">
        <f t="shared" si="56"/>
        <v>347.13400000001081</v>
      </c>
      <c r="Y15" s="60">
        <f t="shared" si="56"/>
        <v>347.75299999999942</v>
      </c>
      <c r="Z15" s="60">
        <f t="shared" si="56"/>
        <v>323.70900000000017</v>
      </c>
      <c r="AA15" s="60">
        <f t="shared" si="56"/>
        <v>312.06200000000001</v>
      </c>
      <c r="AB15" s="60">
        <f t="shared" si="56"/>
        <v>344.77200000000005</v>
      </c>
      <c r="AC15" s="60">
        <f t="shared" si="56"/>
        <v>325.20999999999458</v>
      </c>
      <c r="AD15" s="60">
        <f t="shared" si="56"/>
        <v>317.20200000000551</v>
      </c>
      <c r="AE15" s="60">
        <f t="shared" si="56"/>
        <v>334.08399999999455</v>
      </c>
      <c r="AF15" s="60">
        <f t="shared" si="56"/>
        <v>338.98499999999513</v>
      </c>
      <c r="AG15" s="60">
        <f t="shared" si="56"/>
        <v>324.15900000001545</v>
      </c>
      <c r="AH15" s="60">
        <f t="shared" si="56"/>
        <v>318.03399999998453</v>
      </c>
      <c r="AI15" s="60">
        <f t="shared" si="56"/>
        <v>0</v>
      </c>
    </row>
    <row r="16" spans="1:42" ht="33" customHeight="1" x14ac:dyDescent="0.3">
      <c r="B16" s="87" t="s">
        <v>78</v>
      </c>
      <c r="C16" s="87"/>
      <c r="D16" s="50"/>
      <c r="E16" s="60">
        <f>SUM(E15:AI15)</f>
        <v>9908.3879999999917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B3" sqref="B3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7.25" customHeight="1" x14ac:dyDescent="0.3">
      <c r="A1" s="98" t="s">
        <v>79</v>
      </c>
      <c r="B1" s="98"/>
      <c r="C1" s="98"/>
    </row>
    <row r="3" spans="1:7" ht="48" x14ac:dyDescent="0.3">
      <c r="A3" s="51" t="s">
        <v>38</v>
      </c>
      <c r="B3" s="52">
        <v>70950</v>
      </c>
      <c r="C3" s="53"/>
    </row>
    <row r="4" spans="1:7" ht="28.5" customHeight="1" x14ac:dyDescent="0.3">
      <c r="A4" s="54">
        <v>1</v>
      </c>
      <c r="B4" s="52"/>
      <c r="C4" s="53">
        <f>B3/30</f>
        <v>2365</v>
      </c>
    </row>
    <row r="5" spans="1:7" ht="28.5" customHeight="1" x14ac:dyDescent="0.3">
      <c r="A5" s="54">
        <v>2</v>
      </c>
      <c r="B5" s="52"/>
      <c r="C5" s="53">
        <v>2365</v>
      </c>
    </row>
    <row r="6" spans="1:7" ht="28.5" customHeight="1" x14ac:dyDescent="0.3">
      <c r="A6" s="55">
        <v>3</v>
      </c>
      <c r="B6" s="52"/>
      <c r="C6" s="53">
        <v>2365</v>
      </c>
    </row>
    <row r="7" spans="1:7" ht="28.5" customHeight="1" x14ac:dyDescent="0.3">
      <c r="A7" s="54">
        <v>4</v>
      </c>
      <c r="B7" s="52"/>
      <c r="C7" s="53">
        <v>2365</v>
      </c>
    </row>
    <row r="8" spans="1:7" ht="28.5" customHeight="1" x14ac:dyDescent="0.3">
      <c r="A8" s="54">
        <v>5</v>
      </c>
      <c r="B8" s="52"/>
      <c r="C8" s="53">
        <v>2365</v>
      </c>
    </row>
    <row r="9" spans="1:7" ht="28.5" customHeight="1" x14ac:dyDescent="0.3">
      <c r="A9" s="54">
        <v>6</v>
      </c>
      <c r="B9" s="52"/>
      <c r="C9" s="53">
        <v>2365</v>
      </c>
      <c r="G9" t="s">
        <v>80</v>
      </c>
    </row>
    <row r="10" spans="1:7" ht="28.5" customHeight="1" x14ac:dyDescent="0.3">
      <c r="A10" s="54">
        <v>7</v>
      </c>
      <c r="B10" s="52"/>
      <c r="C10" s="53">
        <v>2365</v>
      </c>
    </row>
    <row r="11" spans="1:7" ht="28.5" customHeight="1" x14ac:dyDescent="0.3">
      <c r="A11" s="54">
        <v>8</v>
      </c>
      <c r="B11" s="52"/>
      <c r="C11" s="53">
        <v>2365</v>
      </c>
    </row>
    <row r="12" spans="1:7" ht="28.5" customHeight="1" x14ac:dyDescent="0.3">
      <c r="A12" s="54">
        <v>9</v>
      </c>
      <c r="B12" s="52"/>
      <c r="C12" s="53">
        <v>2365</v>
      </c>
    </row>
    <row r="13" spans="1:7" ht="28.5" customHeight="1" x14ac:dyDescent="0.3">
      <c r="A13" s="54">
        <v>10</v>
      </c>
      <c r="B13" s="52"/>
      <c r="C13" s="53">
        <v>2365</v>
      </c>
    </row>
    <row r="14" spans="1:7" ht="28.5" customHeight="1" x14ac:dyDescent="0.3">
      <c r="A14" s="54">
        <v>11</v>
      </c>
      <c r="B14" s="52"/>
      <c r="C14" s="53">
        <v>2365</v>
      </c>
    </row>
    <row r="15" spans="1:7" ht="28.5" customHeight="1" x14ac:dyDescent="0.3">
      <c r="A15" s="54">
        <v>12</v>
      </c>
      <c r="B15" s="52"/>
      <c r="C15" s="53">
        <v>2365</v>
      </c>
    </row>
    <row r="16" spans="1:7" ht="28.5" customHeight="1" x14ac:dyDescent="0.3">
      <c r="A16" s="54">
        <v>13</v>
      </c>
      <c r="B16" s="52"/>
      <c r="C16" s="53">
        <v>2365</v>
      </c>
    </row>
    <row r="17" spans="1:4" ht="28.5" customHeight="1" x14ac:dyDescent="0.3">
      <c r="A17" s="54">
        <v>14</v>
      </c>
      <c r="B17" s="52"/>
      <c r="C17" s="53">
        <v>2365</v>
      </c>
    </row>
    <row r="18" spans="1:4" ht="28.5" customHeight="1" x14ac:dyDescent="0.3">
      <c r="A18" s="54">
        <v>15</v>
      </c>
      <c r="B18" s="52"/>
      <c r="C18" s="53">
        <v>2365</v>
      </c>
    </row>
    <row r="19" spans="1:4" ht="28.5" customHeight="1" x14ac:dyDescent="0.3">
      <c r="A19" s="54">
        <v>16</v>
      </c>
      <c r="B19" s="52"/>
      <c r="C19" s="53">
        <v>2365</v>
      </c>
    </row>
    <row r="20" spans="1:4" ht="28.5" customHeight="1" x14ac:dyDescent="0.3">
      <c r="A20" s="54">
        <v>17</v>
      </c>
      <c r="B20" s="52"/>
      <c r="C20" s="53">
        <v>2365</v>
      </c>
    </row>
    <row r="21" spans="1:4" ht="28.5" customHeight="1" x14ac:dyDescent="0.3">
      <c r="A21" s="54">
        <v>18</v>
      </c>
      <c r="B21" s="52"/>
      <c r="C21" s="53">
        <v>2365</v>
      </c>
    </row>
    <row r="22" spans="1:4" ht="28.5" customHeight="1" x14ac:dyDescent="0.3">
      <c r="A22" s="54">
        <v>19</v>
      </c>
      <c r="B22" s="52"/>
      <c r="C22" s="53">
        <v>2365</v>
      </c>
    </row>
    <row r="23" spans="1:4" ht="28.5" customHeight="1" x14ac:dyDescent="0.3">
      <c r="A23" s="54">
        <v>20</v>
      </c>
      <c r="B23" s="52"/>
      <c r="C23" s="53">
        <v>2365</v>
      </c>
    </row>
    <row r="24" spans="1:4" ht="28.5" customHeight="1" x14ac:dyDescent="0.3">
      <c r="A24" s="54">
        <v>21</v>
      </c>
      <c r="B24" s="52"/>
      <c r="C24" s="53">
        <v>2365</v>
      </c>
    </row>
    <row r="25" spans="1:4" ht="28.5" customHeight="1" x14ac:dyDescent="0.3">
      <c r="A25" s="54">
        <v>22</v>
      </c>
      <c r="B25" s="52"/>
      <c r="C25" s="53">
        <v>2365</v>
      </c>
    </row>
    <row r="26" spans="1:4" ht="28.5" customHeight="1" x14ac:dyDescent="0.3">
      <c r="A26" s="54">
        <v>23</v>
      </c>
      <c r="B26" s="56"/>
      <c r="C26" s="53">
        <v>2365</v>
      </c>
    </row>
    <row r="27" spans="1:4" ht="28.5" customHeight="1" x14ac:dyDescent="0.3">
      <c r="A27" s="54">
        <v>24</v>
      </c>
      <c r="B27" s="52"/>
      <c r="C27" s="53">
        <v>2365</v>
      </c>
    </row>
    <row r="28" spans="1:4" ht="28.5" customHeight="1" x14ac:dyDescent="0.3">
      <c r="A28" s="54">
        <v>25</v>
      </c>
      <c r="B28" s="57"/>
      <c r="C28" s="53">
        <v>2365</v>
      </c>
      <c r="D28" s="58"/>
    </row>
    <row r="29" spans="1:4" ht="28.5" customHeight="1" x14ac:dyDescent="0.3">
      <c r="A29" s="54">
        <v>26</v>
      </c>
      <c r="B29" s="52"/>
      <c r="C29" s="53">
        <v>2365</v>
      </c>
      <c r="D29" s="58"/>
    </row>
    <row r="30" spans="1:4" ht="28.5" customHeight="1" x14ac:dyDescent="0.3">
      <c r="A30" s="54">
        <v>27</v>
      </c>
      <c r="B30" s="52"/>
      <c r="C30" s="53">
        <v>2365</v>
      </c>
    </row>
    <row r="31" spans="1:4" ht="28.5" customHeight="1" x14ac:dyDescent="0.3">
      <c r="A31" s="54">
        <v>28</v>
      </c>
      <c r="B31" s="52"/>
      <c r="C31" s="53">
        <v>2365</v>
      </c>
    </row>
    <row r="32" spans="1:4" ht="28.5" customHeight="1" x14ac:dyDescent="0.3">
      <c r="A32" s="54">
        <v>29</v>
      </c>
      <c r="B32" s="56"/>
      <c r="C32" s="53">
        <v>2365</v>
      </c>
    </row>
    <row r="33" spans="1:3" ht="28.5" customHeight="1" x14ac:dyDescent="0.3">
      <c r="A33" s="54">
        <v>30</v>
      </c>
      <c r="B33" s="52"/>
      <c r="C33" s="53">
        <v>2365</v>
      </c>
    </row>
    <row r="34" spans="1:3" ht="28.5" customHeight="1" x14ac:dyDescent="0.3">
      <c r="A34" s="54">
        <v>31</v>
      </c>
      <c r="B34" s="52"/>
      <c r="C34" s="53"/>
    </row>
    <row r="35" spans="1:3" x14ac:dyDescent="0.3">
      <c r="A35" s="97" t="s">
        <v>81</v>
      </c>
      <c r="B35" s="97"/>
      <c r="C35" s="59">
        <f>SUM(C4:C34)</f>
        <v>70950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21" zoomScaleNormal="100" workbookViewId="0">
      <selection activeCell="B33" sqref="B33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8" t="s">
        <v>82</v>
      </c>
      <c r="B1" s="98"/>
      <c r="C1" s="98"/>
    </row>
    <row r="2" spans="1:3" ht="24.9" customHeight="1" x14ac:dyDescent="0.3">
      <c r="A2" s="62" t="s">
        <v>83</v>
      </c>
      <c r="B2" s="62" t="s">
        <v>84</v>
      </c>
      <c r="C2" s="62" t="s">
        <v>85</v>
      </c>
    </row>
    <row r="3" spans="1:3" ht="24.9" customHeight="1" x14ac:dyDescent="0.3">
      <c r="A3" s="63">
        <v>45748</v>
      </c>
      <c r="B3" s="64">
        <v>417</v>
      </c>
      <c r="C3" s="64">
        <v>736</v>
      </c>
    </row>
    <row r="4" spans="1:3" ht="24.9" customHeight="1" x14ac:dyDescent="0.3">
      <c r="A4" s="63">
        <v>45749</v>
      </c>
      <c r="B4" s="64">
        <v>478</v>
      </c>
      <c r="C4" s="64">
        <v>854</v>
      </c>
    </row>
    <row r="5" spans="1:3" ht="24.9" customHeight="1" x14ac:dyDescent="0.3">
      <c r="A5" s="63">
        <v>45750</v>
      </c>
      <c r="B5" s="64">
        <v>442</v>
      </c>
      <c r="C5" s="64">
        <v>779</v>
      </c>
    </row>
    <row r="6" spans="1:3" ht="24.9" customHeight="1" x14ac:dyDescent="0.3">
      <c r="A6" s="63">
        <v>45751</v>
      </c>
      <c r="B6" s="64">
        <v>390</v>
      </c>
      <c r="C6" s="64">
        <v>675</v>
      </c>
    </row>
    <row r="7" spans="1:3" ht="24.9" customHeight="1" x14ac:dyDescent="0.3">
      <c r="A7" s="63">
        <v>45752</v>
      </c>
      <c r="B7" s="64">
        <v>397</v>
      </c>
      <c r="C7" s="64">
        <v>669</v>
      </c>
    </row>
    <row r="8" spans="1:3" ht="24.9" customHeight="1" x14ac:dyDescent="0.3">
      <c r="A8" s="63">
        <v>45753</v>
      </c>
      <c r="B8" s="64">
        <v>441</v>
      </c>
      <c r="C8" s="64">
        <v>605</v>
      </c>
    </row>
    <row r="9" spans="1:3" ht="24.9" customHeight="1" x14ac:dyDescent="0.3">
      <c r="A9" s="63">
        <v>45754</v>
      </c>
      <c r="B9" s="64">
        <v>464</v>
      </c>
      <c r="C9" s="64">
        <v>624</v>
      </c>
    </row>
    <row r="10" spans="1:3" ht="24.9" customHeight="1" x14ac:dyDescent="0.3">
      <c r="A10" s="63">
        <v>45755</v>
      </c>
      <c r="B10" s="64">
        <v>482</v>
      </c>
      <c r="C10" s="64">
        <v>647</v>
      </c>
    </row>
    <row r="11" spans="1:3" ht="24.9" customHeight="1" x14ac:dyDescent="0.3">
      <c r="A11" s="63">
        <v>45756</v>
      </c>
      <c r="B11" s="64">
        <v>480</v>
      </c>
      <c r="C11" s="64">
        <v>580</v>
      </c>
    </row>
    <row r="12" spans="1:3" ht="24.9" customHeight="1" x14ac:dyDescent="0.3">
      <c r="A12" s="63">
        <v>45757</v>
      </c>
      <c r="B12" s="64">
        <v>488</v>
      </c>
      <c r="C12" s="64">
        <v>576</v>
      </c>
    </row>
    <row r="13" spans="1:3" ht="24.9" customHeight="1" x14ac:dyDescent="0.3">
      <c r="A13" s="63">
        <v>45758</v>
      </c>
      <c r="B13" s="64">
        <v>386</v>
      </c>
      <c r="C13" s="64">
        <v>587</v>
      </c>
    </row>
    <row r="14" spans="1:3" ht="24.9" customHeight="1" x14ac:dyDescent="0.3">
      <c r="A14" s="63">
        <v>45759</v>
      </c>
      <c r="B14" s="64">
        <v>418</v>
      </c>
      <c r="C14" s="64">
        <v>619</v>
      </c>
    </row>
    <row r="15" spans="1:3" ht="24.9" customHeight="1" x14ac:dyDescent="0.3">
      <c r="A15" s="63">
        <v>45760</v>
      </c>
      <c r="B15" s="64">
        <v>419</v>
      </c>
      <c r="C15" s="64">
        <v>554</v>
      </c>
    </row>
    <row r="16" spans="1:3" ht="24.9" customHeight="1" x14ac:dyDescent="0.3">
      <c r="A16" s="63">
        <v>45761</v>
      </c>
      <c r="B16" s="64">
        <v>485</v>
      </c>
      <c r="C16" s="64">
        <v>665</v>
      </c>
    </row>
    <row r="17" spans="1:3" ht="24.9" customHeight="1" x14ac:dyDescent="0.3">
      <c r="A17" s="63">
        <v>45762</v>
      </c>
      <c r="B17" s="64">
        <v>478</v>
      </c>
      <c r="C17" s="64">
        <v>658</v>
      </c>
    </row>
    <row r="18" spans="1:3" ht="24.9" customHeight="1" x14ac:dyDescent="0.3">
      <c r="A18" s="63">
        <v>45763</v>
      </c>
      <c r="B18" s="64">
        <v>474</v>
      </c>
      <c r="C18" s="64">
        <v>658</v>
      </c>
    </row>
    <row r="19" spans="1:3" ht="24.9" customHeight="1" x14ac:dyDescent="0.3">
      <c r="A19" s="63">
        <v>45764</v>
      </c>
      <c r="B19" s="64">
        <v>474</v>
      </c>
      <c r="C19" s="64">
        <v>666</v>
      </c>
    </row>
    <row r="20" spans="1:3" ht="24.9" customHeight="1" x14ac:dyDescent="0.3">
      <c r="A20" s="63">
        <v>45765</v>
      </c>
      <c r="B20" s="64">
        <v>470</v>
      </c>
      <c r="C20" s="64">
        <v>705</v>
      </c>
    </row>
    <row r="21" spans="1:3" ht="24.9" customHeight="1" x14ac:dyDescent="0.3">
      <c r="A21" s="63">
        <v>45766</v>
      </c>
      <c r="B21" s="64">
        <v>474</v>
      </c>
      <c r="C21" s="64">
        <v>688</v>
      </c>
    </row>
    <row r="22" spans="1:3" ht="24.9" customHeight="1" x14ac:dyDescent="0.3">
      <c r="A22" s="63">
        <v>45767</v>
      </c>
      <c r="B22" s="64">
        <v>456</v>
      </c>
      <c r="C22" s="64">
        <v>611</v>
      </c>
    </row>
    <row r="23" spans="1:3" ht="24.9" customHeight="1" x14ac:dyDescent="0.3">
      <c r="A23" s="63">
        <v>45768</v>
      </c>
      <c r="B23" s="64">
        <v>473</v>
      </c>
      <c r="C23" s="64">
        <v>630</v>
      </c>
    </row>
    <row r="24" spans="1:3" ht="24.9" customHeight="1" x14ac:dyDescent="0.3">
      <c r="A24" s="63">
        <v>45769</v>
      </c>
      <c r="B24" s="64">
        <v>486</v>
      </c>
      <c r="C24" s="64">
        <v>640</v>
      </c>
    </row>
    <row r="25" spans="1:3" ht="24.9" customHeight="1" x14ac:dyDescent="0.3">
      <c r="A25" s="63">
        <v>45770</v>
      </c>
      <c r="B25" s="64">
        <v>477</v>
      </c>
      <c r="C25" s="64">
        <v>642</v>
      </c>
    </row>
    <row r="26" spans="1:3" ht="24.9" customHeight="1" x14ac:dyDescent="0.3">
      <c r="A26" s="63">
        <v>45771</v>
      </c>
      <c r="B26" s="64">
        <v>484</v>
      </c>
      <c r="C26" s="64">
        <v>708</v>
      </c>
    </row>
    <row r="27" spans="1:3" ht="24.9" customHeight="1" x14ac:dyDescent="0.3">
      <c r="A27" s="63">
        <v>45772</v>
      </c>
      <c r="B27" s="64">
        <v>482</v>
      </c>
      <c r="C27" s="64">
        <v>740</v>
      </c>
    </row>
    <row r="28" spans="1:3" ht="24.9" customHeight="1" x14ac:dyDescent="0.3">
      <c r="A28" s="63">
        <v>45773</v>
      </c>
      <c r="B28" s="64">
        <v>486</v>
      </c>
      <c r="C28" s="64">
        <v>728</v>
      </c>
    </row>
    <row r="29" spans="1:3" ht="24.9" customHeight="1" x14ac:dyDescent="0.3">
      <c r="A29" s="63">
        <v>45774</v>
      </c>
      <c r="B29" s="64">
        <v>449</v>
      </c>
      <c r="C29" s="64">
        <v>605</v>
      </c>
    </row>
    <row r="30" spans="1:3" ht="24.9" customHeight="1" x14ac:dyDescent="0.3">
      <c r="A30" s="63">
        <v>45775</v>
      </c>
      <c r="B30" s="64">
        <v>460</v>
      </c>
      <c r="C30" s="64">
        <v>575</v>
      </c>
    </row>
    <row r="31" spans="1:3" ht="24.9" customHeight="1" x14ac:dyDescent="0.3">
      <c r="A31" s="63">
        <v>45776</v>
      </c>
      <c r="B31" s="64">
        <v>478</v>
      </c>
      <c r="C31" s="64">
        <v>621</v>
      </c>
    </row>
    <row r="32" spans="1:3" ht="24.9" customHeight="1" x14ac:dyDescent="0.3">
      <c r="A32" s="63">
        <v>45777</v>
      </c>
      <c r="B32" s="64">
        <v>475</v>
      </c>
      <c r="C32" s="64">
        <v>616</v>
      </c>
    </row>
    <row r="33" spans="1:3" ht="24.9" customHeight="1" x14ac:dyDescent="0.3">
      <c r="A33" s="63"/>
      <c r="B33" s="64"/>
      <c r="C33" s="64"/>
    </row>
    <row r="34" spans="1:3" ht="30.75" customHeight="1" x14ac:dyDescent="0.3">
      <c r="A34" s="62" t="s">
        <v>86</v>
      </c>
      <c r="B34" s="65">
        <f>SUM(B3:B33)</f>
        <v>13763</v>
      </c>
      <c r="C34" s="65">
        <f>SUM(C3:C33)</f>
        <v>19661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2025-05-01T05:26:36Z</dcterms:modified>
  <cp:category/>
  <cp:contentStatus/>
</cp:coreProperties>
</file>