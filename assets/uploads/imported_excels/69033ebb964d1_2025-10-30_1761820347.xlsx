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30th Oct 25 HEP/"/>
    </mc:Choice>
  </mc:AlternateContent>
  <xr:revisionPtr revIDLastSave="231" documentId="13_ncr:1_{DC04FDF9-4958-45E8-ADF3-EED35EFF3F44}" xr6:coauthVersionLast="47" xr6:coauthVersionMax="47" xr10:uidLastSave="{9B14F91E-D536-4862-8D11-23E556606BC5}"/>
  <bookViews>
    <workbookView xWindow="-108" yWindow="-108" windowWidth="23256" windowHeight="13896" tabRatio="783" xr2:uid="{00000000-000D-0000-FFFF-FFFF00000000}"/>
  </bookViews>
  <sheets>
    <sheet name="Total" sheetId="15" r:id="rId1"/>
    <sheet name="BAN - EXT- Extension " sheetId="13" r:id="rId2"/>
    <sheet name="BAN Extension " sheetId="14" r:id="rId3"/>
  </sheets>
  <definedNames>
    <definedName name="_xlnm._FilterDatabase" localSheetId="1" hidden="1">'BAN - EXT- Extension '!$A$1:$G$34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3" l="1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6" i="13"/>
  <c r="F6" i="14"/>
  <c r="D6" i="14"/>
  <c r="K32" i="15"/>
  <c r="I32" i="15"/>
  <c r="E3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F36" i="14" l="1"/>
  <c r="K31" i="15" s="1"/>
  <c r="D36" i="14"/>
  <c r="E31" i="15" s="1"/>
  <c r="F35" i="14"/>
  <c r="K30" i="15" s="1"/>
  <c r="D35" i="14"/>
  <c r="E30" i="15" s="1"/>
  <c r="F34" i="14"/>
  <c r="K29" i="15" s="1"/>
  <c r="D34" i="14"/>
  <c r="E29" i="15" s="1"/>
  <c r="F33" i="14"/>
  <c r="K28" i="15" s="1"/>
  <c r="D33" i="14"/>
  <c r="E28" i="15" s="1"/>
  <c r="F32" i="14"/>
  <c r="K27" i="15" s="1"/>
  <c r="D32" i="14"/>
  <c r="E27" i="15" s="1"/>
  <c r="F31" i="14"/>
  <c r="K26" i="15" s="1"/>
  <c r="D31" i="14"/>
  <c r="E26" i="15" s="1"/>
  <c r="F30" i="14"/>
  <c r="K25" i="15" s="1"/>
  <c r="D30" i="14"/>
  <c r="E25" i="15" s="1"/>
  <c r="F29" i="14"/>
  <c r="K24" i="15" s="1"/>
  <c r="D29" i="14"/>
  <c r="E24" i="15" s="1"/>
  <c r="F28" i="14"/>
  <c r="K23" i="15" s="1"/>
  <c r="D28" i="14"/>
  <c r="E23" i="15" s="1"/>
  <c r="F27" i="14"/>
  <c r="K22" i="15" s="1"/>
  <c r="D27" i="14"/>
  <c r="E22" i="15" s="1"/>
  <c r="F26" i="14"/>
  <c r="K21" i="15" s="1"/>
  <c r="D26" i="14"/>
  <c r="E21" i="15" s="1"/>
  <c r="F25" i="14"/>
  <c r="K20" i="15" s="1"/>
  <c r="D25" i="14"/>
  <c r="E20" i="15" s="1"/>
  <c r="F24" i="14"/>
  <c r="K19" i="15" s="1"/>
  <c r="D24" i="14"/>
  <c r="E19" i="15" s="1"/>
  <c r="F23" i="14"/>
  <c r="K18" i="15" s="1"/>
  <c r="D23" i="14"/>
  <c r="E18" i="15" s="1"/>
  <c r="F22" i="14"/>
  <c r="K17" i="15" s="1"/>
  <c r="D22" i="14"/>
  <c r="E17" i="15" s="1"/>
  <c r="F21" i="14"/>
  <c r="K16" i="15" s="1"/>
  <c r="D21" i="14"/>
  <c r="E16" i="15" s="1"/>
  <c r="F20" i="14"/>
  <c r="K15" i="15" s="1"/>
  <c r="D20" i="14"/>
  <c r="E15" i="15" s="1"/>
  <c r="F19" i="14"/>
  <c r="K14" i="15" s="1"/>
  <c r="D19" i="14"/>
  <c r="E14" i="15" s="1"/>
  <c r="F18" i="14"/>
  <c r="K13" i="15" s="1"/>
  <c r="D18" i="14"/>
  <c r="E13" i="15" s="1"/>
  <c r="F17" i="14"/>
  <c r="K12" i="15" s="1"/>
  <c r="D17" i="14"/>
  <c r="E12" i="15" s="1"/>
  <c r="F16" i="14"/>
  <c r="K11" i="15" s="1"/>
  <c r="D16" i="14"/>
  <c r="E11" i="15" s="1"/>
  <c r="F15" i="14"/>
  <c r="K10" i="15" s="1"/>
  <c r="D15" i="14"/>
  <c r="E10" i="15" s="1"/>
  <c r="F14" i="14"/>
  <c r="K9" i="15" s="1"/>
  <c r="D14" i="14"/>
  <c r="E9" i="15" s="1"/>
  <c r="F13" i="14"/>
  <c r="K8" i="15" s="1"/>
  <c r="D13" i="14"/>
  <c r="E8" i="15" s="1"/>
  <c r="F12" i="14"/>
  <c r="K7" i="15" s="1"/>
  <c r="D12" i="14"/>
  <c r="E7" i="15" s="1"/>
  <c r="F11" i="14"/>
  <c r="K6" i="15" s="1"/>
  <c r="D11" i="14"/>
  <c r="E6" i="15" s="1"/>
  <c r="F10" i="14"/>
  <c r="K5" i="15" s="1"/>
  <c r="D10" i="14"/>
  <c r="E5" i="15" s="1"/>
  <c r="F9" i="14"/>
  <c r="K4" i="15" s="1"/>
  <c r="D9" i="14"/>
  <c r="E4" i="15" s="1"/>
  <c r="F8" i="14"/>
  <c r="K3" i="15" s="1"/>
  <c r="D8" i="14"/>
  <c r="E3" i="15" s="1"/>
  <c r="F7" i="14"/>
  <c r="K2" i="15" s="1"/>
  <c r="D7" i="14"/>
  <c r="E2" i="15" s="1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</calcChain>
</file>

<file path=xl/sharedStrings.xml><?xml version="1.0" encoding="utf-8"?>
<sst xmlns="http://schemas.openxmlformats.org/spreadsheetml/2006/main" count="83" uniqueCount="41">
  <si>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</si>
  <si>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</si>
  <si>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</si>
  <si>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</si>
  <si>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</si>
  <si>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</si>
  <si>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</si>
  <si>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</si>
  <si>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</si>
  <si>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</si>
  <si>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</si>
  <si>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</si>
  <si>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</si>
  <si>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</si>
  <si>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Hudayriat</t>
  </si>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</sst>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charset val="134"/>
    </font>
    <font>
      <sz val="12"/>
      <color rgb="FF000000"/>
      <name val="Calibri"/>
      <charset val="134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7" fillId="0" borderId="8" xfId="1" applyNumberFormat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6" fillId="0" borderId="0" xfId="1" applyFont="1" applyAlignment="1">
      <alignment horizontal="center"/>
    </xf>
    <xf numFmtId="0" fontId="3" fillId="0" borderId="0" xfId="1" applyFont="1"/>
    <xf numFmtId="0" fontId="1" fillId="0" borderId="0" xfId="1"/>
    <xf numFmtId="1" fontId="1" fillId="4" borderId="0" xfId="1" applyNumberFormat="1" applyFill="1" applyAlignment="1">
      <alignment horizontal="center"/>
    </xf>
    <xf numFmtId="0" fontId="9" fillId="0" borderId="7" xfId="0" applyFont="1" applyBorder="1"/>
    <xf numFmtId="0" fontId="9" fillId="0" borderId="5" xfId="0" applyFont="1" applyBorder="1"/>
    <xf numFmtId="0" fontId="9" fillId="0" borderId="2" xfId="0" applyFont="1" applyBorder="1"/>
    <xf numFmtId="0" fontId="10" fillId="0" borderId="5" xfId="0" applyFont="1" applyBorder="1"/>
    <xf numFmtId="0" fontId="11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45900</c:v>
                </c:pt>
                <c:pt idx="1">
                  <c:v>45901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89</c:v>
                </c:pt>
                <c:pt idx="1">
                  <c:v>93</c:v>
                </c:pt>
                <c:pt idx="2">
                  <c:v>112</c:v>
                </c:pt>
                <c:pt idx="3">
                  <c:v>108</c:v>
                </c:pt>
                <c:pt idx="4">
                  <c:v>114</c:v>
                </c:pt>
                <c:pt idx="5">
                  <c:v>126</c:v>
                </c:pt>
                <c:pt idx="6">
                  <c:v>107</c:v>
                </c:pt>
                <c:pt idx="7">
                  <c:v>108</c:v>
                </c:pt>
                <c:pt idx="8">
                  <c:v>223</c:v>
                </c:pt>
                <c:pt idx="9">
                  <c:v>123</c:v>
                </c:pt>
                <c:pt idx="10">
                  <c:v>125</c:v>
                </c:pt>
                <c:pt idx="11">
                  <c:v>115</c:v>
                </c:pt>
                <c:pt idx="12">
                  <c:v>121</c:v>
                </c:pt>
                <c:pt idx="13">
                  <c:v>113</c:v>
                </c:pt>
                <c:pt idx="14">
                  <c:v>110</c:v>
                </c:pt>
                <c:pt idx="15">
                  <c:v>101</c:v>
                </c:pt>
                <c:pt idx="16">
                  <c:v>120</c:v>
                </c:pt>
                <c:pt idx="17">
                  <c:v>123</c:v>
                </c:pt>
                <c:pt idx="18">
                  <c:v>111</c:v>
                </c:pt>
                <c:pt idx="19">
                  <c:v>114</c:v>
                </c:pt>
                <c:pt idx="20">
                  <c:v>76</c:v>
                </c:pt>
                <c:pt idx="21">
                  <c:v>145</c:v>
                </c:pt>
                <c:pt idx="22">
                  <c:v>91</c:v>
                </c:pt>
                <c:pt idx="23">
                  <c:v>112</c:v>
                </c:pt>
                <c:pt idx="24">
                  <c:v>90</c:v>
                </c:pt>
                <c:pt idx="25">
                  <c:v>156</c:v>
                </c:pt>
                <c:pt idx="26">
                  <c:v>132</c:v>
                </c:pt>
                <c:pt idx="27">
                  <c:v>189</c:v>
                </c:pt>
                <c:pt idx="28">
                  <c:v>38</c:v>
                </c:pt>
                <c:pt idx="2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'!$D$7:$D$36</c:f>
              <c:numCache>
                <c:formatCode>General</c:formatCode>
                <c:ptCount val="30"/>
                <c:pt idx="0">
                  <c:v>8851</c:v>
                </c:pt>
                <c:pt idx="1">
                  <c:v>8447</c:v>
                </c:pt>
                <c:pt idx="2">
                  <c:v>8815</c:v>
                </c:pt>
                <c:pt idx="3">
                  <c:v>8522</c:v>
                </c:pt>
                <c:pt idx="4">
                  <c:v>8674</c:v>
                </c:pt>
                <c:pt idx="5">
                  <c:v>8658</c:v>
                </c:pt>
                <c:pt idx="6">
                  <c:v>8540</c:v>
                </c:pt>
                <c:pt idx="7">
                  <c:v>8708</c:v>
                </c:pt>
                <c:pt idx="8">
                  <c:v>8207</c:v>
                </c:pt>
                <c:pt idx="9">
                  <c:v>8134</c:v>
                </c:pt>
                <c:pt idx="10">
                  <c:v>8504</c:v>
                </c:pt>
                <c:pt idx="11">
                  <c:v>8341</c:v>
                </c:pt>
                <c:pt idx="12">
                  <c:v>7882</c:v>
                </c:pt>
                <c:pt idx="13">
                  <c:v>7252</c:v>
                </c:pt>
                <c:pt idx="14">
                  <c:v>8553</c:v>
                </c:pt>
                <c:pt idx="15">
                  <c:v>8055</c:v>
                </c:pt>
                <c:pt idx="16">
                  <c:v>7922</c:v>
                </c:pt>
                <c:pt idx="17">
                  <c:v>7774</c:v>
                </c:pt>
                <c:pt idx="18">
                  <c:v>7873</c:v>
                </c:pt>
                <c:pt idx="19">
                  <c:v>7834</c:v>
                </c:pt>
                <c:pt idx="20">
                  <c:v>7623</c:v>
                </c:pt>
                <c:pt idx="21">
                  <c:v>7667</c:v>
                </c:pt>
                <c:pt idx="22">
                  <c:v>7613</c:v>
                </c:pt>
                <c:pt idx="23">
                  <c:v>6682</c:v>
                </c:pt>
                <c:pt idx="24">
                  <c:v>6994</c:v>
                </c:pt>
                <c:pt idx="25">
                  <c:v>7512</c:v>
                </c:pt>
                <c:pt idx="26">
                  <c:v>6572</c:v>
                </c:pt>
                <c:pt idx="27">
                  <c:v>7829</c:v>
                </c:pt>
                <c:pt idx="28">
                  <c:v>7042</c:v>
                </c:pt>
                <c:pt idx="2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'!$F$7:$F$36</c:f>
              <c:numCache>
                <c:formatCode>General</c:formatCode>
                <c:ptCount val="30"/>
                <c:pt idx="0">
                  <c:v>199</c:v>
                </c:pt>
                <c:pt idx="1">
                  <c:v>128</c:v>
                </c:pt>
                <c:pt idx="2">
                  <c:v>141</c:v>
                </c:pt>
                <c:pt idx="3">
                  <c:v>141</c:v>
                </c:pt>
                <c:pt idx="4">
                  <c:v>185</c:v>
                </c:pt>
                <c:pt idx="5">
                  <c:v>172</c:v>
                </c:pt>
                <c:pt idx="6">
                  <c:v>147</c:v>
                </c:pt>
                <c:pt idx="7">
                  <c:v>136</c:v>
                </c:pt>
                <c:pt idx="8">
                  <c:v>151</c:v>
                </c:pt>
                <c:pt idx="9">
                  <c:v>146</c:v>
                </c:pt>
                <c:pt idx="10">
                  <c:v>140</c:v>
                </c:pt>
                <c:pt idx="11">
                  <c:v>114</c:v>
                </c:pt>
                <c:pt idx="12">
                  <c:v>212</c:v>
                </c:pt>
                <c:pt idx="13">
                  <c:v>161</c:v>
                </c:pt>
                <c:pt idx="14">
                  <c:v>83</c:v>
                </c:pt>
                <c:pt idx="15">
                  <c:v>135</c:v>
                </c:pt>
                <c:pt idx="16">
                  <c:v>139</c:v>
                </c:pt>
                <c:pt idx="17">
                  <c:v>133</c:v>
                </c:pt>
                <c:pt idx="18">
                  <c:v>0</c:v>
                </c:pt>
                <c:pt idx="19">
                  <c:v>213</c:v>
                </c:pt>
                <c:pt idx="20">
                  <c:v>101</c:v>
                </c:pt>
                <c:pt idx="21">
                  <c:v>120</c:v>
                </c:pt>
                <c:pt idx="22">
                  <c:v>150</c:v>
                </c:pt>
                <c:pt idx="23">
                  <c:v>259</c:v>
                </c:pt>
                <c:pt idx="24">
                  <c:v>127</c:v>
                </c:pt>
                <c:pt idx="25">
                  <c:v>146</c:v>
                </c:pt>
                <c:pt idx="26">
                  <c:v>153</c:v>
                </c:pt>
                <c:pt idx="27">
                  <c:v>169</c:v>
                </c:pt>
                <c:pt idx="28">
                  <c:v>136</c:v>
                </c:pt>
                <c:pt idx="2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8</xdr:row>
      <xdr:rowOff>358889</xdr:rowOff>
    </xdr:from>
    <xdr:to>
      <xdr:col>35</xdr:col>
      <xdr:colOff>127566</xdr:colOff>
      <xdr:row>20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6</xdr:row>
      <xdr:rowOff>149678</xdr:rowOff>
    </xdr:from>
    <xdr:to>
      <xdr:col>24</xdr:col>
      <xdr:colOff>163285</xdr:colOff>
      <xdr:row>14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15</xdr:row>
      <xdr:rowOff>176891</xdr:rowOff>
    </xdr:from>
    <xdr:to>
      <xdr:col>24</xdr:col>
      <xdr:colOff>176893</xdr:colOff>
      <xdr:row>23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24</xdr:row>
      <xdr:rowOff>248929</xdr:rowOff>
    </xdr:from>
    <xdr:to>
      <xdr:col>24</xdr:col>
      <xdr:colOff>163286</xdr:colOff>
      <xdr:row>32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abSelected="1" topLeftCell="A13" workbookViewId="0">
      <selection activeCell="M42" sqref="M42"/>
    </sheetView>
  </sheetViews>
  <sheetFormatPr defaultColWidth="11.44140625" defaultRowHeight="14.4"/>
  <cols>
    <col min="1" max="1" width="29.109375" style="29" bestFit="1" customWidth="1"/>
    <col min="2" max="3" width="11.44140625" style="24"/>
    <col min="4" max="4" width="13.44140625" style="24" customWidth="1"/>
    <col min="5" max="5" width="12.44140625" style="27" customWidth="1"/>
    <col min="6" max="6" width="12.44140625" style="26" customWidth="1"/>
    <col min="7" max="7" width="11.44140625" style="27"/>
    <col min="8" max="8" width="11.44140625" style="26"/>
    <col min="9" max="9" width="11.44140625" style="27"/>
    <col min="10" max="10" width="11.44140625" style="28"/>
    <col min="11" max="11" width="11.44140625" style="27"/>
    <col min="12" max="12" width="11.44140625" style="28"/>
    <col min="13" max="26" width="11.44140625" style="27"/>
    <col min="27" max="16384" width="11.44140625" style="30"/>
  </cols>
  <sheetData>
    <row r="1" spans="1:14" s="22" customFormat="1" ht="57.6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19" t="s">
        <v>6</v>
      </c>
      <c r="H1" s="20" t="s">
        <v>7</v>
      </c>
      <c r="I1" s="19" t="s">
        <v>8</v>
      </c>
      <c r="J1" s="21" t="s">
        <v>9</v>
      </c>
      <c r="K1" s="19" t="s">
        <v>10</v>
      </c>
      <c r="L1" s="21" t="s">
        <v>11</v>
      </c>
      <c r="M1" s="19" t="s">
        <v>12</v>
      </c>
      <c r="N1" s="19" t="s">
        <v>13</v>
      </c>
    </row>
    <row r="2" spans="1:14">
      <c r="A2" s="23" t="s">
        <v>14</v>
      </c>
      <c r="B2" s="24">
        <v>1</v>
      </c>
      <c r="C2" s="24">
        <v>9</v>
      </c>
      <c r="D2" s="24">
        <v>2025</v>
      </c>
      <c r="E2" s="25">
        <f>IF('BAN Extension '!D7&gt;0,'BAN Extension '!D7,0)</f>
        <v>8851</v>
      </c>
      <c r="F2" s="26">
        <v>0.2</v>
      </c>
      <c r="G2" s="25"/>
      <c r="H2" s="26">
        <v>5.42</v>
      </c>
      <c r="I2" s="25">
        <f>IF('BAN - EXT- Extension '!D6+'BAN - EXT- Extension '!F6&gt;0,'BAN - EXT- Extension '!D6+'BAN - EXT- Extension '!F6,0)</f>
        <v>506</v>
      </c>
      <c r="J2" s="26">
        <v>7.84</v>
      </c>
      <c r="K2" s="25">
        <f>IF('BAN Extension '!F7&gt;0,'BAN Extension '!F7,0)</f>
        <v>199</v>
      </c>
      <c r="L2" s="26">
        <v>7.84</v>
      </c>
      <c r="M2" s="31">
        <v>24</v>
      </c>
      <c r="N2" s="31">
        <v>58</v>
      </c>
    </row>
    <row r="3" spans="1:14">
      <c r="A3" s="23" t="s">
        <v>14</v>
      </c>
      <c r="B3" s="24">
        <f>B2+1</f>
        <v>2</v>
      </c>
      <c r="C3" s="24">
        <v>9</v>
      </c>
      <c r="D3" s="24">
        <v>2025</v>
      </c>
      <c r="E3" s="25">
        <f>IF('BAN Extension '!D8&gt;0,'BAN Extension '!D8,0)</f>
        <v>8447</v>
      </c>
      <c r="F3" s="26">
        <v>0.2</v>
      </c>
      <c r="G3" s="25"/>
      <c r="H3" s="26">
        <v>5.42</v>
      </c>
      <c r="I3" s="25">
        <f>IF('BAN - EXT- Extension '!D8+'BAN - EXT- Extension '!F8&gt;0,'BAN - EXT- Extension '!D8+'BAN - EXT- Extension '!F8,0)</f>
        <v>728</v>
      </c>
      <c r="J3" s="26">
        <v>7.84</v>
      </c>
      <c r="K3" s="25">
        <f>IF('BAN Extension '!F8&gt;0,'BAN Extension '!F8,0)</f>
        <v>128</v>
      </c>
      <c r="L3" s="26">
        <v>7.84</v>
      </c>
      <c r="M3" s="31">
        <v>22</v>
      </c>
      <c r="N3" s="31">
        <v>53</v>
      </c>
    </row>
    <row r="4" spans="1:14">
      <c r="A4" s="23" t="s">
        <v>14</v>
      </c>
      <c r="B4" s="24">
        <f t="shared" ref="B4:B32" si="0">B3+1</f>
        <v>3</v>
      </c>
      <c r="C4" s="24">
        <v>9</v>
      </c>
      <c r="D4" s="24">
        <v>2025</v>
      </c>
      <c r="E4" s="25">
        <f>IF('BAN Extension '!D9&gt;0,'BAN Extension '!D9,0)</f>
        <v>8815</v>
      </c>
      <c r="F4" s="26">
        <v>0.2</v>
      </c>
      <c r="G4" s="25"/>
      <c r="H4" s="26">
        <v>5.42</v>
      </c>
      <c r="I4" s="25">
        <f>IF('BAN - EXT- Extension '!D9+'BAN - EXT- Extension '!F9&gt;0,'BAN - EXT- Extension '!D9+'BAN - EXT- Extension '!F9,0)</f>
        <v>644</v>
      </c>
      <c r="J4" s="26">
        <v>7.84</v>
      </c>
      <c r="K4" s="25">
        <f>IF('BAN Extension '!F9&gt;0,'BAN Extension '!F9,0)</f>
        <v>141</v>
      </c>
      <c r="L4" s="26">
        <v>7.84</v>
      </c>
      <c r="M4" s="31">
        <v>24</v>
      </c>
      <c r="N4" s="31">
        <v>54</v>
      </c>
    </row>
    <row r="5" spans="1:14">
      <c r="A5" s="23" t="s">
        <v>14</v>
      </c>
      <c r="B5" s="24">
        <f t="shared" si="0"/>
        <v>4</v>
      </c>
      <c r="C5" s="24">
        <v>9</v>
      </c>
      <c r="D5" s="24">
        <v>2025</v>
      </c>
      <c r="E5" s="25">
        <f>IF('BAN Extension '!D10&gt;0,'BAN Extension '!D10,0)</f>
        <v>8522</v>
      </c>
      <c r="F5" s="26">
        <v>0.2</v>
      </c>
      <c r="G5" s="25"/>
      <c r="H5" s="26">
        <v>5.42</v>
      </c>
      <c r="I5" s="25">
        <f>IF('BAN - EXT- Extension '!D10+'BAN - EXT- Extension '!F10&gt;0,'BAN - EXT- Extension '!D10+'BAN - EXT- Extension '!F10,0)</f>
        <v>653</v>
      </c>
      <c r="J5" s="26">
        <v>7.84</v>
      </c>
      <c r="K5" s="25">
        <f>IF('BAN Extension '!F10&gt;0,'BAN Extension '!F10,0)</f>
        <v>141</v>
      </c>
      <c r="L5" s="26">
        <v>7.84</v>
      </c>
      <c r="M5" s="31">
        <v>35</v>
      </c>
      <c r="N5" s="31">
        <v>92</v>
      </c>
    </row>
    <row r="6" spans="1:14">
      <c r="A6" s="23" t="s">
        <v>14</v>
      </c>
      <c r="B6" s="24">
        <f t="shared" si="0"/>
        <v>5</v>
      </c>
      <c r="C6" s="24">
        <v>9</v>
      </c>
      <c r="D6" s="24">
        <v>2025</v>
      </c>
      <c r="E6" s="25">
        <f>IF('BAN Extension '!D11&gt;0,'BAN Extension '!D11,0)</f>
        <v>8674</v>
      </c>
      <c r="F6" s="26">
        <v>0.2</v>
      </c>
      <c r="G6" s="25"/>
      <c r="H6" s="26">
        <v>5.42</v>
      </c>
      <c r="I6" s="25">
        <f>IF('BAN - EXT- Extension '!D11+'BAN - EXT- Extension '!F11&gt;0,'BAN - EXT- Extension '!D11+'BAN - EXT- Extension '!F11,0)</f>
        <v>711</v>
      </c>
      <c r="J6" s="26">
        <v>7.84</v>
      </c>
      <c r="K6" s="25">
        <f>IF('BAN Extension '!F11&gt;0,'BAN Extension '!F11,0)</f>
        <v>185</v>
      </c>
      <c r="L6" s="26">
        <v>7.84</v>
      </c>
      <c r="M6" s="31">
        <v>43</v>
      </c>
      <c r="N6" s="31">
        <v>141</v>
      </c>
    </row>
    <row r="7" spans="1:14">
      <c r="A7" s="23" t="s">
        <v>14</v>
      </c>
      <c r="B7" s="24">
        <f t="shared" si="0"/>
        <v>6</v>
      </c>
      <c r="C7" s="24">
        <v>9</v>
      </c>
      <c r="D7" s="24">
        <v>2025</v>
      </c>
      <c r="E7" s="25">
        <f>IF('BAN Extension '!D12&gt;0,'BAN Extension '!D12,0)</f>
        <v>8658</v>
      </c>
      <c r="F7" s="26">
        <v>0.2</v>
      </c>
      <c r="G7" s="25"/>
      <c r="H7" s="26">
        <v>5.42</v>
      </c>
      <c r="I7" s="25">
        <f>IF('BAN - EXT- Extension '!D12+'BAN - EXT- Extension '!F12&gt;0,'BAN - EXT- Extension '!D12+'BAN - EXT- Extension '!F12,0)</f>
        <v>610</v>
      </c>
      <c r="J7" s="26">
        <v>7.84</v>
      </c>
      <c r="K7" s="25">
        <f>IF('BAN Extension '!F12&gt;0,'BAN Extension '!F12,0)</f>
        <v>172</v>
      </c>
      <c r="L7" s="26">
        <v>7.84</v>
      </c>
      <c r="M7" s="31">
        <v>39</v>
      </c>
      <c r="N7" s="31">
        <v>116</v>
      </c>
    </row>
    <row r="8" spans="1:14">
      <c r="A8" s="23" t="s">
        <v>14</v>
      </c>
      <c r="B8" s="24">
        <f t="shared" si="0"/>
        <v>7</v>
      </c>
      <c r="C8" s="24">
        <v>9</v>
      </c>
      <c r="D8" s="24">
        <v>2025</v>
      </c>
      <c r="E8" s="25">
        <f>IF('BAN Extension '!D13&gt;0,'BAN Extension '!D13,0)</f>
        <v>8540</v>
      </c>
      <c r="F8" s="26">
        <v>0.2</v>
      </c>
      <c r="G8" s="25"/>
      <c r="H8" s="26">
        <v>5.42</v>
      </c>
      <c r="I8" s="25">
        <f>IF('BAN - EXT- Extension '!D13+'BAN - EXT- Extension '!F13&gt;0,'BAN - EXT- Extension '!D13+'BAN - EXT- Extension '!F13,0)</f>
        <v>589</v>
      </c>
      <c r="J8" s="26">
        <v>7.84</v>
      </c>
      <c r="K8" s="25">
        <f>IF('BAN Extension '!F13&gt;0,'BAN Extension '!F13,0)</f>
        <v>147</v>
      </c>
      <c r="L8" s="26">
        <v>7.84</v>
      </c>
      <c r="M8" s="31">
        <v>27</v>
      </c>
      <c r="N8" s="31">
        <v>69</v>
      </c>
    </row>
    <row r="9" spans="1:14">
      <c r="A9" s="23" t="s">
        <v>14</v>
      </c>
      <c r="B9" s="24">
        <f t="shared" si="0"/>
        <v>8</v>
      </c>
      <c r="C9" s="24">
        <v>9</v>
      </c>
      <c r="D9" s="24">
        <v>2025</v>
      </c>
      <c r="E9" s="25">
        <f>IF('BAN Extension '!D14&gt;0,'BAN Extension '!D14,0)</f>
        <v>8708</v>
      </c>
      <c r="F9" s="26">
        <v>0.2</v>
      </c>
      <c r="G9" s="25"/>
      <c r="H9" s="26">
        <v>5.42</v>
      </c>
      <c r="I9" s="25">
        <f>IF('BAN - EXT- Extension '!D14+'BAN - EXT- Extension '!F14&gt;0,'BAN - EXT- Extension '!D14+'BAN - EXT- Extension '!F14,0)</f>
        <v>536</v>
      </c>
      <c r="J9" s="26">
        <v>7.84</v>
      </c>
      <c r="K9" s="25">
        <f>IF('BAN Extension '!F14&gt;0,'BAN Extension '!F14,0)</f>
        <v>136</v>
      </c>
      <c r="L9" s="26">
        <v>7.84</v>
      </c>
      <c r="M9" s="31">
        <v>29</v>
      </c>
      <c r="N9" s="31">
        <v>68</v>
      </c>
    </row>
    <row r="10" spans="1:14">
      <c r="A10" s="23" t="s">
        <v>14</v>
      </c>
      <c r="B10" s="24">
        <f t="shared" si="0"/>
        <v>9</v>
      </c>
      <c r="C10" s="24">
        <v>9</v>
      </c>
      <c r="D10" s="24">
        <v>2025</v>
      </c>
      <c r="E10" s="25">
        <f>IF('BAN Extension '!D15&gt;0,'BAN Extension '!D15,0)</f>
        <v>8207</v>
      </c>
      <c r="F10" s="26">
        <v>0.2</v>
      </c>
      <c r="G10" s="25"/>
      <c r="H10" s="26">
        <v>5.42</v>
      </c>
      <c r="I10" s="25">
        <f>IF('BAN - EXT- Extension '!D15+'BAN - EXT- Extension '!F15&gt;0,'BAN - EXT- Extension '!D15+'BAN - EXT- Extension '!F15,0)</f>
        <v>550</v>
      </c>
      <c r="J10" s="26">
        <v>7.84</v>
      </c>
      <c r="K10" s="25">
        <f>IF('BAN Extension '!F15&gt;0,'BAN Extension '!F15,0)</f>
        <v>151</v>
      </c>
      <c r="L10" s="26">
        <v>7.84</v>
      </c>
      <c r="M10" s="31">
        <v>26</v>
      </c>
      <c r="N10" s="31">
        <v>57</v>
      </c>
    </row>
    <row r="11" spans="1:14">
      <c r="A11" s="23" t="s">
        <v>14</v>
      </c>
      <c r="B11" s="24">
        <f t="shared" si="0"/>
        <v>10</v>
      </c>
      <c r="C11" s="24">
        <v>9</v>
      </c>
      <c r="D11" s="24">
        <v>2025</v>
      </c>
      <c r="E11" s="25">
        <f>IF('BAN Extension '!D16&gt;0,'BAN Extension '!D16,0)</f>
        <v>8134</v>
      </c>
      <c r="F11" s="26">
        <v>0.2</v>
      </c>
      <c r="G11" s="25"/>
      <c r="H11" s="26">
        <v>5.42</v>
      </c>
      <c r="I11" s="25">
        <f>IF('BAN - EXT- Extension '!D16+'BAN - EXT- Extension '!F16&gt;0,'BAN - EXT- Extension '!D16+'BAN - EXT- Extension '!F16,0)</f>
        <v>651</v>
      </c>
      <c r="J11" s="26">
        <v>7.84</v>
      </c>
      <c r="K11" s="25">
        <f>IF('BAN Extension '!F16&gt;0,'BAN Extension '!F16,0)</f>
        <v>146</v>
      </c>
      <c r="L11" s="26">
        <v>7.84</v>
      </c>
      <c r="M11" s="31">
        <v>32</v>
      </c>
      <c r="N11" s="31">
        <v>83</v>
      </c>
    </row>
    <row r="12" spans="1:14">
      <c r="A12" s="23" t="s">
        <v>14</v>
      </c>
      <c r="B12" s="24">
        <f t="shared" si="0"/>
        <v>11</v>
      </c>
      <c r="C12" s="24">
        <v>9</v>
      </c>
      <c r="D12" s="24">
        <v>2025</v>
      </c>
      <c r="E12" s="25">
        <f>IF('BAN Extension '!D17&gt;0,'BAN Extension '!D17,0)</f>
        <v>8504</v>
      </c>
      <c r="F12" s="26">
        <v>0.2</v>
      </c>
      <c r="G12" s="25"/>
      <c r="H12" s="26">
        <v>5.42</v>
      </c>
      <c r="I12" s="25">
        <f>IF('BAN - EXT- Extension '!D17+'BAN - EXT- Extension '!F17&gt;0,'BAN - EXT- Extension '!D17+'BAN - EXT- Extension '!F17,0)</f>
        <v>586</v>
      </c>
      <c r="J12" s="26">
        <v>7.84</v>
      </c>
      <c r="K12" s="25">
        <f>IF('BAN Extension '!F17&gt;0,'BAN Extension '!F17,0)</f>
        <v>140</v>
      </c>
      <c r="L12" s="26">
        <v>7.84</v>
      </c>
      <c r="M12" s="31">
        <v>34</v>
      </c>
      <c r="N12" s="31">
        <v>80</v>
      </c>
    </row>
    <row r="13" spans="1:14">
      <c r="A13" s="23" t="s">
        <v>14</v>
      </c>
      <c r="B13" s="24">
        <f t="shared" si="0"/>
        <v>12</v>
      </c>
      <c r="C13" s="24">
        <v>9</v>
      </c>
      <c r="D13" s="24">
        <v>2025</v>
      </c>
      <c r="E13" s="25">
        <f>IF('BAN Extension '!D18&gt;0,'BAN Extension '!D18,0)</f>
        <v>8341</v>
      </c>
      <c r="F13" s="26">
        <v>0.2</v>
      </c>
      <c r="G13" s="25"/>
      <c r="H13" s="26">
        <v>5.42</v>
      </c>
      <c r="I13" s="25">
        <f>IF('BAN - EXT- Extension '!D18+'BAN - EXT- Extension '!F18&gt;0,'BAN - EXT- Extension '!D18+'BAN - EXT- Extension '!F18,0)</f>
        <v>644</v>
      </c>
      <c r="J13" s="26">
        <v>7.84</v>
      </c>
      <c r="K13" s="25">
        <f>IF('BAN Extension '!F18&gt;0,'BAN Extension '!F18,0)</f>
        <v>114</v>
      </c>
      <c r="L13" s="26">
        <v>7.84</v>
      </c>
      <c r="M13" s="31">
        <v>30</v>
      </c>
      <c r="N13" s="31">
        <v>88</v>
      </c>
    </row>
    <row r="14" spans="1:14">
      <c r="A14" s="23" t="s">
        <v>14</v>
      </c>
      <c r="B14" s="24">
        <f t="shared" si="0"/>
        <v>13</v>
      </c>
      <c r="C14" s="24">
        <v>9</v>
      </c>
      <c r="D14" s="24">
        <v>2025</v>
      </c>
      <c r="E14" s="25">
        <f>IF('BAN Extension '!D19&gt;0,'BAN Extension '!D19,0)</f>
        <v>7882</v>
      </c>
      <c r="F14" s="26">
        <v>0.2</v>
      </c>
      <c r="G14" s="25"/>
      <c r="H14" s="26">
        <v>5.42</v>
      </c>
      <c r="I14" s="25">
        <f>IF('BAN - EXT- Extension '!D19+'BAN - EXT- Extension '!F19&gt;0,'BAN - EXT- Extension '!D19+'BAN - EXT- Extension '!F19,0)</f>
        <v>596</v>
      </c>
      <c r="J14" s="26">
        <v>7.84</v>
      </c>
      <c r="K14" s="25">
        <f>IF('BAN Extension '!F19&gt;0,'BAN Extension '!F19,0)</f>
        <v>212</v>
      </c>
      <c r="L14" s="26">
        <v>7.84</v>
      </c>
      <c r="M14" s="31">
        <v>40</v>
      </c>
      <c r="N14" s="31">
        <v>122</v>
      </c>
    </row>
    <row r="15" spans="1:14">
      <c r="A15" s="23" t="s">
        <v>14</v>
      </c>
      <c r="B15" s="24">
        <f t="shared" si="0"/>
        <v>14</v>
      </c>
      <c r="C15" s="24">
        <v>9</v>
      </c>
      <c r="D15" s="24">
        <v>2025</v>
      </c>
      <c r="E15" s="25">
        <f>IF('BAN Extension '!D20&gt;0,'BAN Extension '!D20,0)</f>
        <v>7252</v>
      </c>
      <c r="F15" s="26">
        <v>0.2</v>
      </c>
      <c r="G15" s="25"/>
      <c r="H15" s="26">
        <v>5.42</v>
      </c>
      <c r="I15" s="25">
        <f>IF('BAN - EXT- Extension '!D20+'BAN - EXT- Extension '!F20&gt;0,'BAN - EXT- Extension '!D20+'BAN - EXT- Extension '!F20,0)</f>
        <v>349</v>
      </c>
      <c r="J15" s="26">
        <v>7.84</v>
      </c>
      <c r="K15" s="25">
        <f>IF('BAN Extension '!F20&gt;0,'BAN Extension '!F20,0)</f>
        <v>161</v>
      </c>
      <c r="L15" s="26">
        <v>7.84</v>
      </c>
      <c r="M15" s="31">
        <v>31</v>
      </c>
      <c r="N15" s="31">
        <v>78</v>
      </c>
    </row>
    <row r="16" spans="1:14">
      <c r="A16" s="23" t="s">
        <v>14</v>
      </c>
      <c r="B16" s="24">
        <f t="shared" si="0"/>
        <v>15</v>
      </c>
      <c r="C16" s="24">
        <v>9</v>
      </c>
      <c r="D16" s="24">
        <v>2025</v>
      </c>
      <c r="E16" s="25">
        <f>IF('BAN Extension '!D21&gt;0,'BAN Extension '!D21,0)</f>
        <v>8553</v>
      </c>
      <c r="F16" s="26">
        <v>0.2</v>
      </c>
      <c r="G16" s="25"/>
      <c r="H16" s="26">
        <v>5.42</v>
      </c>
      <c r="I16" s="25">
        <f>IF('BAN - EXT- Extension '!D21+'BAN - EXT- Extension '!F21&gt;0,'BAN - EXT- Extension '!D21+'BAN - EXT- Extension '!F21,0)</f>
        <v>662</v>
      </c>
      <c r="J16" s="26">
        <v>7.84</v>
      </c>
      <c r="K16" s="25">
        <f>IF('BAN Extension '!F21&gt;0,'BAN Extension '!F21,0)</f>
        <v>83</v>
      </c>
      <c r="L16" s="26">
        <v>7.84</v>
      </c>
      <c r="M16" s="31">
        <v>21</v>
      </c>
      <c r="N16" s="31">
        <v>53</v>
      </c>
    </row>
    <row r="17" spans="1:14">
      <c r="A17" s="23" t="s">
        <v>14</v>
      </c>
      <c r="B17" s="24">
        <f t="shared" si="0"/>
        <v>16</v>
      </c>
      <c r="C17" s="24">
        <v>9</v>
      </c>
      <c r="D17" s="24">
        <v>2025</v>
      </c>
      <c r="E17" s="25">
        <f>IF('BAN Extension '!D22&gt;0,'BAN Extension '!D22,0)</f>
        <v>8055</v>
      </c>
      <c r="F17" s="26">
        <v>0.2</v>
      </c>
      <c r="G17" s="25"/>
      <c r="H17" s="26">
        <v>5.42</v>
      </c>
      <c r="I17" s="25">
        <f>IF('BAN - EXT- Extension '!D22+'BAN - EXT- Extension '!F22&gt;0,'BAN - EXT- Extension '!D22+'BAN - EXT- Extension '!F22,0)</f>
        <v>350</v>
      </c>
      <c r="J17" s="26">
        <v>7.84</v>
      </c>
      <c r="K17" s="25">
        <f>IF('BAN Extension '!F22&gt;0,'BAN Extension '!F22,0)</f>
        <v>135</v>
      </c>
      <c r="L17" s="26">
        <v>7.84</v>
      </c>
      <c r="M17" s="31">
        <v>14</v>
      </c>
      <c r="N17" s="31">
        <v>29</v>
      </c>
    </row>
    <row r="18" spans="1:14">
      <c r="A18" s="23" t="s">
        <v>14</v>
      </c>
      <c r="B18" s="24">
        <f t="shared" si="0"/>
        <v>17</v>
      </c>
      <c r="C18" s="24">
        <v>9</v>
      </c>
      <c r="D18" s="24">
        <v>2025</v>
      </c>
      <c r="E18" s="25">
        <f>IF('BAN Extension '!D23&gt;0,'BAN Extension '!D23,0)</f>
        <v>7922</v>
      </c>
      <c r="F18" s="26">
        <v>0.2</v>
      </c>
      <c r="G18" s="25"/>
      <c r="H18" s="26">
        <v>5.42</v>
      </c>
      <c r="I18" s="25">
        <f>IF('BAN - EXT- Extension '!D23+'BAN - EXT- Extension '!F23&gt;0,'BAN - EXT- Extension '!D23+'BAN - EXT- Extension '!F23,0)</f>
        <v>527</v>
      </c>
      <c r="J18" s="26">
        <v>7.84</v>
      </c>
      <c r="K18" s="25">
        <f>IF('BAN Extension '!F23&gt;0,'BAN Extension '!F23,0)</f>
        <v>139</v>
      </c>
      <c r="L18" s="26">
        <v>7.84</v>
      </c>
      <c r="M18" s="31">
        <v>25</v>
      </c>
      <c r="N18" s="31">
        <v>56</v>
      </c>
    </row>
    <row r="19" spans="1:14">
      <c r="A19" s="23" t="s">
        <v>14</v>
      </c>
      <c r="B19" s="24">
        <f t="shared" si="0"/>
        <v>18</v>
      </c>
      <c r="C19" s="24">
        <v>9</v>
      </c>
      <c r="D19" s="24">
        <v>2025</v>
      </c>
      <c r="E19" s="25">
        <f>IF('BAN Extension '!D24&gt;0,'BAN Extension '!D24,0)</f>
        <v>7774</v>
      </c>
      <c r="F19" s="26">
        <v>0.2</v>
      </c>
      <c r="G19" s="25"/>
      <c r="H19" s="26">
        <v>5.42</v>
      </c>
      <c r="I19" s="25">
        <f>IF('BAN - EXT- Extension '!D24+'BAN - EXT- Extension '!F24&gt;0,'BAN - EXT- Extension '!D24+'BAN - EXT- Extension '!F24,0)</f>
        <v>529</v>
      </c>
      <c r="J19" s="26">
        <v>7.84</v>
      </c>
      <c r="K19" s="25">
        <f>IF('BAN Extension '!F24&gt;0,'BAN Extension '!F24,0)</f>
        <v>133</v>
      </c>
      <c r="L19" s="26">
        <v>7.84</v>
      </c>
      <c r="M19" s="31">
        <v>28</v>
      </c>
      <c r="N19" s="31">
        <v>66</v>
      </c>
    </row>
    <row r="20" spans="1:14">
      <c r="A20" s="23" t="s">
        <v>14</v>
      </c>
      <c r="B20" s="24">
        <f t="shared" si="0"/>
        <v>19</v>
      </c>
      <c r="C20" s="24">
        <v>9</v>
      </c>
      <c r="D20" s="24">
        <v>2025</v>
      </c>
      <c r="E20" s="25">
        <f>IF('BAN Extension '!D25&gt;0,'BAN Extension '!D25,0)</f>
        <v>7873</v>
      </c>
      <c r="F20" s="26">
        <v>0.2</v>
      </c>
      <c r="G20" s="25"/>
      <c r="H20" s="26">
        <v>5.42</v>
      </c>
      <c r="I20" s="25">
        <f>IF('BAN - EXT- Extension '!D25+'BAN - EXT- Extension '!F25&gt;0,'BAN - EXT- Extension '!D25+'BAN - EXT- Extension '!F25,0)</f>
        <v>517</v>
      </c>
      <c r="J20" s="26">
        <v>7.84</v>
      </c>
      <c r="K20" s="25">
        <f>IF('BAN Extension '!F25&gt;0,'BAN Extension '!F25,0)</f>
        <v>0</v>
      </c>
      <c r="L20" s="26">
        <v>7.84</v>
      </c>
      <c r="M20" s="31">
        <v>35</v>
      </c>
      <c r="N20" s="31">
        <v>108</v>
      </c>
    </row>
    <row r="21" spans="1:14">
      <c r="A21" s="23" t="s">
        <v>14</v>
      </c>
      <c r="B21" s="24">
        <f t="shared" si="0"/>
        <v>20</v>
      </c>
      <c r="C21" s="24">
        <v>9</v>
      </c>
      <c r="D21" s="24">
        <v>2025</v>
      </c>
      <c r="E21" s="25">
        <f>IF('BAN Extension '!D26&gt;0,'BAN Extension '!D26,0)</f>
        <v>7834</v>
      </c>
      <c r="F21" s="26">
        <v>0.2</v>
      </c>
      <c r="G21" s="25"/>
      <c r="H21" s="26">
        <v>5.42</v>
      </c>
      <c r="I21" s="25">
        <f>IF('BAN - EXT- Extension '!D26+'BAN - EXT- Extension '!F26&gt;0,'BAN - EXT- Extension '!D26+'BAN - EXT- Extension '!F26,0)</f>
        <v>817</v>
      </c>
      <c r="J21" s="26">
        <v>7.84</v>
      </c>
      <c r="K21" s="25">
        <f>IF('BAN Extension '!F26&gt;0,'BAN Extension '!F26,0)</f>
        <v>213</v>
      </c>
      <c r="L21" s="26">
        <v>7.84</v>
      </c>
      <c r="M21" s="31">
        <v>36</v>
      </c>
      <c r="N21" s="31">
        <v>107</v>
      </c>
    </row>
    <row r="22" spans="1:14">
      <c r="A22" s="23" t="s">
        <v>14</v>
      </c>
      <c r="B22" s="24">
        <f t="shared" si="0"/>
        <v>21</v>
      </c>
      <c r="C22" s="24">
        <v>9</v>
      </c>
      <c r="D22" s="24">
        <v>2025</v>
      </c>
      <c r="E22" s="25">
        <f>IF('BAN Extension '!D27&gt;0,'BAN Extension '!D27,0)</f>
        <v>7623</v>
      </c>
      <c r="F22" s="26">
        <v>0.2</v>
      </c>
      <c r="G22" s="25"/>
      <c r="H22" s="26">
        <v>5.42</v>
      </c>
      <c r="I22" s="25">
        <f>IF('BAN - EXT- Extension '!D27+'BAN - EXT- Extension '!F27&gt;0,'BAN - EXT- Extension '!D27+'BAN - EXT- Extension '!F27,0)</f>
        <v>358</v>
      </c>
      <c r="J22" s="26">
        <v>7.84</v>
      </c>
      <c r="K22" s="25">
        <f>IF('BAN Extension '!F27&gt;0,'BAN Extension '!F27,0)</f>
        <v>101</v>
      </c>
      <c r="L22" s="26">
        <v>7.84</v>
      </c>
      <c r="M22" s="31">
        <v>22</v>
      </c>
      <c r="N22" s="31">
        <v>64</v>
      </c>
    </row>
    <row r="23" spans="1:14">
      <c r="A23" s="23" t="s">
        <v>14</v>
      </c>
      <c r="B23" s="24">
        <f t="shared" si="0"/>
        <v>22</v>
      </c>
      <c r="C23" s="24">
        <v>9</v>
      </c>
      <c r="D23" s="24">
        <v>2025</v>
      </c>
      <c r="E23" s="25">
        <f>IF('BAN Extension '!D28&gt;0,'BAN Extension '!D28,0)</f>
        <v>7667</v>
      </c>
      <c r="F23" s="26">
        <v>0.2</v>
      </c>
      <c r="G23" s="25"/>
      <c r="H23" s="26">
        <v>5.42</v>
      </c>
      <c r="I23" s="25">
        <f>IF('BAN - EXT- Extension '!D28+'BAN - EXT- Extension '!F28&gt;0,'BAN - EXT- Extension '!D28+'BAN - EXT- Extension '!F28,0)</f>
        <v>422</v>
      </c>
      <c r="J23" s="26">
        <v>7.84</v>
      </c>
      <c r="K23" s="25">
        <f>IF('BAN Extension '!F28&gt;0,'BAN Extension '!F28,0)</f>
        <v>120</v>
      </c>
      <c r="L23" s="26">
        <v>7.84</v>
      </c>
      <c r="M23" s="31">
        <v>21</v>
      </c>
      <c r="N23" s="31">
        <v>53</v>
      </c>
    </row>
    <row r="24" spans="1:14">
      <c r="A24" s="23" t="s">
        <v>14</v>
      </c>
      <c r="B24" s="24">
        <f t="shared" si="0"/>
        <v>23</v>
      </c>
      <c r="C24" s="24">
        <v>9</v>
      </c>
      <c r="D24" s="24">
        <v>2025</v>
      </c>
      <c r="E24" s="25">
        <f>IF('BAN Extension '!D29&gt;0,'BAN Extension '!D29,0)</f>
        <v>7613</v>
      </c>
      <c r="F24" s="26">
        <v>0.2</v>
      </c>
      <c r="G24" s="25"/>
      <c r="H24" s="26">
        <v>5.42</v>
      </c>
      <c r="I24" s="25">
        <f>IF('BAN - EXT- Extension '!D29+'BAN - EXT- Extension '!F29&gt;0,'BAN - EXT- Extension '!D29+'BAN - EXT- Extension '!F29,0)</f>
        <v>804</v>
      </c>
      <c r="J24" s="26">
        <v>7.84</v>
      </c>
      <c r="K24" s="25">
        <f>IF('BAN Extension '!F29&gt;0,'BAN Extension '!F29,0)</f>
        <v>150</v>
      </c>
      <c r="L24" s="26">
        <v>7.84</v>
      </c>
      <c r="M24" s="31">
        <v>23</v>
      </c>
      <c r="N24" s="31">
        <v>56</v>
      </c>
    </row>
    <row r="25" spans="1:14">
      <c r="A25" s="23" t="s">
        <v>14</v>
      </c>
      <c r="B25" s="24">
        <f t="shared" si="0"/>
        <v>24</v>
      </c>
      <c r="C25" s="24">
        <v>9</v>
      </c>
      <c r="D25" s="24">
        <v>2025</v>
      </c>
      <c r="E25" s="25">
        <f>IF('BAN Extension '!D30&gt;0,'BAN Extension '!D30,0)</f>
        <v>6682</v>
      </c>
      <c r="F25" s="26">
        <v>0.2</v>
      </c>
      <c r="G25" s="25"/>
      <c r="H25" s="26">
        <v>5.42</v>
      </c>
      <c r="I25" s="25">
        <f>IF('BAN - EXT- Extension '!D30+'BAN - EXT- Extension '!F30&gt;0,'BAN - EXT- Extension '!D30+'BAN - EXT- Extension '!F30,0)</f>
        <v>971</v>
      </c>
      <c r="J25" s="26">
        <v>7.84</v>
      </c>
      <c r="K25" s="25">
        <f>IF('BAN Extension '!F30&gt;0,'BAN Extension '!F30,0)</f>
        <v>259</v>
      </c>
      <c r="L25" s="26">
        <v>7.84</v>
      </c>
      <c r="M25" s="31">
        <v>26</v>
      </c>
      <c r="N25" s="31">
        <v>65</v>
      </c>
    </row>
    <row r="26" spans="1:14">
      <c r="A26" s="23" t="s">
        <v>14</v>
      </c>
      <c r="B26" s="24">
        <f>B25+1</f>
        <v>25</v>
      </c>
      <c r="C26" s="24">
        <v>9</v>
      </c>
      <c r="D26" s="24">
        <v>2025</v>
      </c>
      <c r="E26" s="25">
        <f>IF('BAN Extension '!D31&gt;0,'BAN Extension '!D31,0)</f>
        <v>6994</v>
      </c>
      <c r="F26" s="26">
        <v>0.2</v>
      </c>
      <c r="G26" s="25"/>
      <c r="H26" s="26">
        <v>5.42</v>
      </c>
      <c r="I26" s="25">
        <f>IF('BAN - EXT- Extension '!D31+'BAN - EXT- Extension '!F31&gt;0,'BAN - EXT- Extension '!D31+'BAN - EXT- Extension '!F31,0)</f>
        <v>181</v>
      </c>
      <c r="J26" s="26">
        <v>7.84</v>
      </c>
      <c r="K26" s="25">
        <f>IF('BAN Extension '!F31&gt;0,'BAN Extension '!F31,0)</f>
        <v>127</v>
      </c>
      <c r="L26" s="26">
        <v>7.84</v>
      </c>
      <c r="M26" s="31">
        <v>27</v>
      </c>
      <c r="N26" s="31">
        <v>72</v>
      </c>
    </row>
    <row r="27" spans="1:14">
      <c r="A27" s="23" t="s">
        <v>14</v>
      </c>
      <c r="B27" s="24">
        <f t="shared" si="0"/>
        <v>26</v>
      </c>
      <c r="C27" s="24">
        <v>9</v>
      </c>
      <c r="D27" s="24">
        <v>2025</v>
      </c>
      <c r="E27" s="25">
        <f>IF('BAN Extension '!D32&gt;0,'BAN Extension '!D32,0)</f>
        <v>7512</v>
      </c>
      <c r="F27" s="26">
        <v>0.2</v>
      </c>
      <c r="G27" s="25"/>
      <c r="H27" s="26">
        <v>5.42</v>
      </c>
      <c r="I27" s="25">
        <f>IF('BAN - EXT- Extension '!D32+'BAN - EXT- Extension '!F32&gt;0,'BAN - EXT- Extension '!D32+'BAN - EXT- Extension '!F32,0)</f>
        <v>633</v>
      </c>
      <c r="J27" s="26">
        <v>7.84</v>
      </c>
      <c r="K27" s="25">
        <f>IF('BAN Extension '!F32&gt;0,'BAN Extension '!F32,0)</f>
        <v>146</v>
      </c>
      <c r="L27" s="26">
        <v>7.84</v>
      </c>
      <c r="M27" s="31">
        <v>32</v>
      </c>
      <c r="N27" s="31">
        <v>92</v>
      </c>
    </row>
    <row r="28" spans="1:14">
      <c r="A28" s="23" t="s">
        <v>14</v>
      </c>
      <c r="B28" s="24">
        <f t="shared" si="0"/>
        <v>27</v>
      </c>
      <c r="C28" s="24">
        <v>9</v>
      </c>
      <c r="D28" s="24">
        <v>2025</v>
      </c>
      <c r="E28" s="25">
        <f>IF('BAN Extension '!D33&gt;0,'BAN Extension '!D33,0)</f>
        <v>6572</v>
      </c>
      <c r="F28" s="26">
        <v>0.2</v>
      </c>
      <c r="G28" s="25"/>
      <c r="H28" s="26">
        <v>5.42</v>
      </c>
      <c r="I28" s="25">
        <f>IF('BAN - EXT- Extension '!D33+'BAN - EXT- Extension '!F33&gt;0,'BAN - EXT- Extension '!D33+'BAN - EXT- Extension '!F33,0)</f>
        <v>296</v>
      </c>
      <c r="J28" s="26">
        <v>7.84</v>
      </c>
      <c r="K28" s="25">
        <f>IF('BAN Extension '!F33&gt;0,'BAN Extension '!F33,0)</f>
        <v>153</v>
      </c>
      <c r="L28" s="26">
        <v>7.84</v>
      </c>
      <c r="M28" s="31">
        <v>39</v>
      </c>
      <c r="N28" s="31">
        <v>127</v>
      </c>
    </row>
    <row r="29" spans="1:14">
      <c r="A29" s="23" t="s">
        <v>14</v>
      </c>
      <c r="B29" s="24">
        <f t="shared" si="0"/>
        <v>28</v>
      </c>
      <c r="C29" s="24">
        <v>9</v>
      </c>
      <c r="D29" s="24">
        <v>2025</v>
      </c>
      <c r="E29" s="25">
        <f>IF('BAN Extension '!D34&gt;0,'BAN Extension '!D34,0)</f>
        <v>7829</v>
      </c>
      <c r="F29" s="26">
        <v>0.2</v>
      </c>
      <c r="G29" s="25"/>
      <c r="H29" s="26">
        <v>5.42</v>
      </c>
      <c r="I29" s="25">
        <f>IF('BAN - EXT- Extension '!D34+'BAN - EXT- Extension '!F34&gt;0,'BAN - EXT- Extension '!D34+'BAN - EXT- Extension '!F34,0)</f>
        <v>520</v>
      </c>
      <c r="J29" s="26">
        <v>7.84</v>
      </c>
      <c r="K29" s="25">
        <f>IF('BAN Extension '!F34&gt;0,'BAN Extension '!F34,0)</f>
        <v>169</v>
      </c>
      <c r="L29" s="26">
        <v>7.84</v>
      </c>
      <c r="M29" s="31">
        <v>25</v>
      </c>
      <c r="N29" s="31">
        <v>64</v>
      </c>
    </row>
    <row r="30" spans="1:14">
      <c r="A30" s="23" t="s">
        <v>14</v>
      </c>
      <c r="B30" s="24">
        <f t="shared" si="0"/>
        <v>29</v>
      </c>
      <c r="C30" s="24">
        <v>9</v>
      </c>
      <c r="D30" s="24">
        <v>2025</v>
      </c>
      <c r="E30" s="25">
        <f>IF('BAN Extension '!D35&gt;0,'BAN Extension '!D35,0)</f>
        <v>7042</v>
      </c>
      <c r="F30" s="26">
        <v>0.2</v>
      </c>
      <c r="G30" s="25"/>
      <c r="H30" s="26">
        <v>5.42</v>
      </c>
      <c r="I30" s="25">
        <f>IF('BAN - EXT- Extension '!D35+'BAN - EXT- Extension '!F35&gt;0,'BAN - EXT- Extension '!D35+'BAN - EXT- Extension '!F35,0)</f>
        <v>724</v>
      </c>
      <c r="J30" s="26">
        <v>7.84</v>
      </c>
      <c r="K30" s="25">
        <f>IF('BAN Extension '!F35&gt;0,'BAN Extension '!F35,0)</f>
        <v>136</v>
      </c>
      <c r="L30" s="26">
        <v>7.84</v>
      </c>
      <c r="M30" s="31">
        <v>27</v>
      </c>
      <c r="N30" s="31">
        <v>61</v>
      </c>
    </row>
    <row r="31" spans="1:14">
      <c r="A31" s="23" t="s">
        <v>14</v>
      </c>
      <c r="B31" s="24">
        <f t="shared" si="0"/>
        <v>30</v>
      </c>
      <c r="C31" s="24">
        <v>9</v>
      </c>
      <c r="D31" s="24">
        <v>2025</v>
      </c>
      <c r="E31" s="25" t="e">
        <f>IF('BAN Extension '!D36&gt;0,'BAN Extension '!D36,0)</f>
        <v>#REF!</v>
      </c>
      <c r="F31" s="26">
        <v>0.2</v>
      </c>
      <c r="G31" s="25"/>
      <c r="H31" s="26">
        <v>5.42</v>
      </c>
      <c r="I31" s="25">
        <f>IF('BAN - EXT- Extension '!D36+'BAN - EXT- Extension '!F36&gt;0,'BAN - EXT- Extension '!D36+'BAN - EXT- Extension '!F36,0)</f>
        <v>0</v>
      </c>
      <c r="J31" s="26">
        <v>7.84</v>
      </c>
      <c r="K31" s="25" t="e">
        <f>IF('BAN Extension '!F36&gt;0,'BAN Extension '!F36,0)</f>
        <v>#REF!</v>
      </c>
      <c r="L31" s="26">
        <v>7.84</v>
      </c>
      <c r="M31" s="31">
        <v>27</v>
      </c>
      <c r="N31" s="31">
        <v>57</v>
      </c>
    </row>
    <row r="32" spans="1:14">
      <c r="A32" s="23" t="s">
        <v>14</v>
      </c>
      <c r="B32" s="24">
        <f t="shared" si="0"/>
        <v>31</v>
      </c>
      <c r="C32" s="24">
        <v>9</v>
      </c>
      <c r="D32" s="24">
        <v>2025</v>
      </c>
      <c r="E32" s="25" t="e">
        <f>IF('BAN Extension '!#REF!&gt;0,'BAN Extension '!#REF!,0)</f>
        <v>#REF!</v>
      </c>
      <c r="F32" s="26">
        <v>0.2</v>
      </c>
      <c r="G32" s="25"/>
      <c r="H32" s="26">
        <v>5.42</v>
      </c>
      <c r="I32" s="25" t="e">
        <f>IF('BAN - EXT- Extension '!#REF!+'BAN - EXT- Extension '!#REF!&gt;0,'BAN - EXT- Extension '!#REF!+'BAN - EXT- Extension '!#REF!,0)</f>
        <v>#REF!</v>
      </c>
      <c r="J32" s="26">
        <v>7.84</v>
      </c>
      <c r="K32" s="25" t="e">
        <f>IF('BAN Extension '!#REF!&gt;0,'BAN Extension '!#REF!,0)</f>
        <v>#REF!</v>
      </c>
      <c r="L32" s="26">
        <v>7.84</v>
      </c>
      <c r="M32" s="31"/>
      <c r="N32" s="31"/>
    </row>
    <row r="33" spans="7:9">
      <c r="G33" s="25"/>
      <c r="I33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zoomScale="85" zoomScaleNormal="85" zoomScaleSheetLayoutView="80" workbookViewId="0">
      <selection activeCell="D36" sqref="D36"/>
    </sheetView>
  </sheetViews>
  <sheetFormatPr defaultColWidth="9" defaultRowHeight="14.4"/>
  <cols>
    <col min="1" max="2" width="24" style="1" customWidth="1"/>
    <col min="3" max="3" width="36.88671875" style="1" customWidth="1"/>
    <col min="4" max="4" width="41" style="1" customWidth="1"/>
    <col min="5" max="5" width="48.33203125" style="1" customWidth="1"/>
    <col min="6" max="6" width="44.44140625" style="1" customWidth="1"/>
    <col min="7" max="7" width="46.44140625" style="1" customWidth="1"/>
    <col min="8" max="8" width="45.109375" style="1" customWidth="1"/>
  </cols>
  <sheetData>
    <row r="1" spans="1:8" ht="57.75" customHeight="1">
      <c r="A1" s="44" t="s">
        <v>15</v>
      </c>
      <c r="B1" s="45"/>
      <c r="C1" s="45"/>
      <c r="D1" s="45"/>
      <c r="E1" s="45"/>
      <c r="F1" s="45"/>
      <c r="G1" s="45"/>
      <c r="H1" s="45"/>
    </row>
    <row r="2" spans="1:8" ht="22.5" customHeight="1">
      <c r="A2" s="2" t="s">
        <v>16</v>
      </c>
      <c r="B2" s="2" t="s">
        <v>17</v>
      </c>
      <c r="C2" s="2" t="s">
        <v>18</v>
      </c>
      <c r="D2" s="2"/>
      <c r="E2" s="2" t="s">
        <v>18</v>
      </c>
      <c r="F2" s="2"/>
      <c r="G2" s="46" t="s">
        <v>19</v>
      </c>
      <c r="H2" s="46" t="s">
        <v>20</v>
      </c>
    </row>
    <row r="3" spans="1:8" ht="22.5" customHeight="1">
      <c r="A3" s="2" t="s">
        <v>21</v>
      </c>
      <c r="B3" s="2"/>
      <c r="C3" s="2" t="s">
        <v>22</v>
      </c>
      <c r="D3" s="2"/>
      <c r="E3" s="2" t="s">
        <v>23</v>
      </c>
      <c r="F3" s="2"/>
      <c r="G3" s="48"/>
      <c r="H3" s="48"/>
    </row>
    <row r="4" spans="1:8" ht="22.5" customHeight="1">
      <c r="A4" s="46" t="s">
        <v>24</v>
      </c>
      <c r="B4" s="5"/>
      <c r="C4" s="2" t="s">
        <v>25</v>
      </c>
      <c r="D4" s="2" t="s">
        <v>26</v>
      </c>
      <c r="E4" s="2" t="s">
        <v>27</v>
      </c>
      <c r="F4" s="2" t="s">
        <v>26</v>
      </c>
      <c r="G4" s="48"/>
      <c r="H4" s="48"/>
    </row>
    <row r="5" spans="1:8" ht="22.5" customHeight="1">
      <c r="A5" s="47"/>
      <c r="B5" s="6"/>
      <c r="C5" s="5" t="s">
        <v>28</v>
      </c>
      <c r="D5" s="5" t="s">
        <v>28</v>
      </c>
      <c r="E5" s="13" t="s">
        <v>28</v>
      </c>
      <c r="F5" s="5" t="s">
        <v>28</v>
      </c>
      <c r="G5" s="47"/>
      <c r="H5" s="47"/>
    </row>
    <row r="6" spans="1:8" ht="35.25" customHeight="1">
      <c r="A6" s="8">
        <v>45900</v>
      </c>
      <c r="B6" s="8"/>
      <c r="C6" s="36">
        <v>115079</v>
      </c>
      <c r="D6" s="14">
        <f>C7-C6</f>
        <v>89</v>
      </c>
      <c r="E6" s="39">
        <v>300083</v>
      </c>
      <c r="F6" s="15">
        <f>E7-E6</f>
        <v>417</v>
      </c>
      <c r="G6" s="10" t="s">
        <v>29</v>
      </c>
      <c r="H6" s="10"/>
    </row>
    <row r="7" spans="1:8" ht="35.25" customHeight="1">
      <c r="A7" s="8">
        <v>45901</v>
      </c>
      <c r="B7" s="8"/>
      <c r="C7" s="37">
        <v>115168</v>
      </c>
      <c r="D7" s="14">
        <f t="shared" ref="D7:D35" si="0">C8-C7</f>
        <v>93</v>
      </c>
      <c r="E7" s="37">
        <v>300500</v>
      </c>
      <c r="F7" s="15">
        <f t="shared" ref="F7:F35" si="1">E8-E7</f>
        <v>377</v>
      </c>
      <c r="G7" s="10"/>
      <c r="H7" s="10"/>
    </row>
    <row r="8" spans="1:8" ht="35.25" customHeight="1">
      <c r="A8" s="8">
        <v>45902</v>
      </c>
      <c r="B8" s="8"/>
      <c r="C8" s="37">
        <v>115261</v>
      </c>
      <c r="D8" s="14">
        <f t="shared" si="0"/>
        <v>112</v>
      </c>
      <c r="E8" s="37">
        <v>300877</v>
      </c>
      <c r="F8" s="15">
        <f t="shared" si="1"/>
        <v>616</v>
      </c>
      <c r="G8" s="10"/>
      <c r="H8" s="10"/>
    </row>
    <row r="9" spans="1:8" ht="35.25" customHeight="1">
      <c r="A9" s="8">
        <v>45903</v>
      </c>
      <c r="B9" s="8"/>
      <c r="C9" s="37">
        <v>115373</v>
      </c>
      <c r="D9" s="14">
        <f t="shared" si="0"/>
        <v>108</v>
      </c>
      <c r="E9" s="37">
        <v>301493</v>
      </c>
      <c r="F9" s="15">
        <f t="shared" si="1"/>
        <v>536</v>
      </c>
      <c r="G9" s="10"/>
      <c r="H9" s="10"/>
    </row>
    <row r="10" spans="1:8" ht="35.25" customHeight="1">
      <c r="A10" s="8">
        <v>45904</v>
      </c>
      <c r="B10" s="8"/>
      <c r="C10" s="37">
        <v>115481</v>
      </c>
      <c r="D10" s="14">
        <f t="shared" si="0"/>
        <v>114</v>
      </c>
      <c r="E10" s="37">
        <v>302029</v>
      </c>
      <c r="F10" s="15">
        <f t="shared" si="1"/>
        <v>539</v>
      </c>
      <c r="G10" s="10"/>
      <c r="H10" s="10"/>
    </row>
    <row r="11" spans="1:8" ht="35.25" customHeight="1">
      <c r="A11" s="8">
        <v>45905</v>
      </c>
      <c r="B11" s="8"/>
      <c r="C11" s="37">
        <v>115595</v>
      </c>
      <c r="D11" s="14">
        <f t="shared" si="0"/>
        <v>126</v>
      </c>
      <c r="E11" s="37">
        <v>302568</v>
      </c>
      <c r="F11" s="15">
        <f t="shared" si="1"/>
        <v>585</v>
      </c>
      <c r="G11" s="10"/>
      <c r="H11" s="10"/>
    </row>
    <row r="12" spans="1:8" ht="35.25" customHeight="1">
      <c r="A12" s="8">
        <v>45906</v>
      </c>
      <c r="B12" s="8"/>
      <c r="C12" s="37">
        <v>115721</v>
      </c>
      <c r="D12" s="14">
        <f t="shared" si="0"/>
        <v>107</v>
      </c>
      <c r="E12" s="37">
        <v>303153</v>
      </c>
      <c r="F12" s="15">
        <f t="shared" si="1"/>
        <v>503</v>
      </c>
      <c r="G12" s="10"/>
      <c r="H12" s="10"/>
    </row>
    <row r="13" spans="1:8" ht="35.25" customHeight="1">
      <c r="A13" s="8">
        <v>45907</v>
      </c>
      <c r="B13" s="8"/>
      <c r="C13" s="37">
        <v>115828</v>
      </c>
      <c r="D13" s="14">
        <f t="shared" si="0"/>
        <v>108</v>
      </c>
      <c r="E13" s="37">
        <v>303656</v>
      </c>
      <c r="F13" s="15">
        <f t="shared" si="1"/>
        <v>481</v>
      </c>
      <c r="G13" s="10"/>
      <c r="H13" s="10"/>
    </row>
    <row r="14" spans="1:8" ht="35.25" customHeight="1">
      <c r="A14" s="8">
        <v>45908</v>
      </c>
      <c r="B14" s="8"/>
      <c r="C14" s="38">
        <v>115936</v>
      </c>
      <c r="D14" s="14">
        <f t="shared" si="0"/>
        <v>223</v>
      </c>
      <c r="E14" s="37">
        <v>304137</v>
      </c>
      <c r="F14" s="15">
        <f t="shared" si="1"/>
        <v>313</v>
      </c>
      <c r="G14" s="16"/>
      <c r="H14" s="16"/>
    </row>
    <row r="15" spans="1:8" ht="35.25" customHeight="1">
      <c r="A15" s="8">
        <v>45909</v>
      </c>
      <c r="B15" s="8"/>
      <c r="C15" s="38">
        <v>116159</v>
      </c>
      <c r="D15" s="14">
        <f t="shared" si="0"/>
        <v>123</v>
      </c>
      <c r="E15" s="37">
        <v>304450</v>
      </c>
      <c r="F15" s="15">
        <f t="shared" si="1"/>
        <v>427</v>
      </c>
      <c r="G15" s="17"/>
      <c r="H15" s="17"/>
    </row>
    <row r="16" spans="1:8" ht="35.25" customHeight="1">
      <c r="A16" s="8">
        <v>45910</v>
      </c>
      <c r="B16" s="8"/>
      <c r="C16" s="38">
        <v>116282</v>
      </c>
      <c r="D16" s="14">
        <f t="shared" si="0"/>
        <v>125</v>
      </c>
      <c r="E16" s="37">
        <v>304877</v>
      </c>
      <c r="F16" s="15">
        <f t="shared" si="1"/>
        <v>526</v>
      </c>
      <c r="G16" s="17"/>
      <c r="H16" s="17"/>
    </row>
    <row r="17" spans="1:8" ht="35.25" customHeight="1">
      <c r="A17" s="8">
        <v>45911</v>
      </c>
      <c r="B17" s="8"/>
      <c r="C17" s="38">
        <v>116407</v>
      </c>
      <c r="D17" s="14">
        <f t="shared" si="0"/>
        <v>115</v>
      </c>
      <c r="E17" s="37">
        <v>305403</v>
      </c>
      <c r="F17" s="15">
        <f t="shared" si="1"/>
        <v>471</v>
      </c>
      <c r="G17" s="17"/>
      <c r="H17" s="17"/>
    </row>
    <row r="18" spans="1:8" ht="35.25" customHeight="1">
      <c r="A18" s="8">
        <v>45912</v>
      </c>
      <c r="B18" s="8"/>
      <c r="C18" s="38">
        <v>116522</v>
      </c>
      <c r="D18" s="14">
        <f t="shared" si="0"/>
        <v>121</v>
      </c>
      <c r="E18" s="37">
        <v>305874</v>
      </c>
      <c r="F18" s="15">
        <f t="shared" si="1"/>
        <v>523</v>
      </c>
      <c r="G18" s="17"/>
      <c r="H18" s="17"/>
    </row>
    <row r="19" spans="1:8" ht="35.25" customHeight="1">
      <c r="A19" s="8">
        <v>45913</v>
      </c>
      <c r="B19" s="8"/>
      <c r="C19" s="38">
        <v>116643</v>
      </c>
      <c r="D19" s="14">
        <f t="shared" si="0"/>
        <v>113</v>
      </c>
      <c r="E19" s="37">
        <v>306397</v>
      </c>
      <c r="F19" s="15">
        <f t="shared" si="1"/>
        <v>483</v>
      </c>
      <c r="G19" s="17"/>
      <c r="H19" s="17"/>
    </row>
    <row r="20" spans="1:8" ht="35.25" customHeight="1">
      <c r="A20" s="8">
        <v>45914</v>
      </c>
      <c r="B20" s="8"/>
      <c r="C20" s="38">
        <v>116756</v>
      </c>
      <c r="D20" s="14">
        <f t="shared" si="0"/>
        <v>110</v>
      </c>
      <c r="E20" s="37">
        <v>306880</v>
      </c>
      <c r="F20" s="15">
        <f t="shared" si="1"/>
        <v>239</v>
      </c>
      <c r="G20" s="17"/>
      <c r="H20" s="17"/>
    </row>
    <row r="21" spans="1:8" ht="35.25" customHeight="1">
      <c r="A21" s="8">
        <v>45915</v>
      </c>
      <c r="B21" s="8"/>
      <c r="C21" s="38">
        <v>116866</v>
      </c>
      <c r="D21" s="14">
        <f t="shared" si="0"/>
        <v>101</v>
      </c>
      <c r="E21" s="37">
        <v>307119</v>
      </c>
      <c r="F21" s="15">
        <f t="shared" si="1"/>
        <v>561</v>
      </c>
      <c r="G21" s="17"/>
      <c r="H21" s="17"/>
    </row>
    <row r="22" spans="1:8" ht="35.25" customHeight="1">
      <c r="A22" s="8">
        <v>45916</v>
      </c>
      <c r="B22" s="8"/>
      <c r="C22" s="38">
        <v>116967</v>
      </c>
      <c r="D22" s="14">
        <f t="shared" si="0"/>
        <v>120</v>
      </c>
      <c r="E22" s="37">
        <v>307680</v>
      </c>
      <c r="F22" s="15">
        <f t="shared" si="1"/>
        <v>230</v>
      </c>
      <c r="G22" s="10"/>
      <c r="H22" s="10"/>
    </row>
    <row r="23" spans="1:8" ht="35.25" customHeight="1">
      <c r="A23" s="8">
        <v>45917</v>
      </c>
      <c r="B23" s="8"/>
      <c r="C23" s="38">
        <v>117087</v>
      </c>
      <c r="D23" s="14">
        <f t="shared" si="0"/>
        <v>123</v>
      </c>
      <c r="E23" s="37">
        <v>307910</v>
      </c>
      <c r="F23" s="15">
        <f t="shared" si="1"/>
        <v>404</v>
      </c>
      <c r="G23" s="10"/>
      <c r="H23" s="10"/>
    </row>
    <row r="24" spans="1:8" ht="35.25" customHeight="1">
      <c r="A24" s="8">
        <v>45918</v>
      </c>
      <c r="B24" s="8"/>
      <c r="C24" s="38">
        <v>117210</v>
      </c>
      <c r="D24" s="14">
        <f t="shared" si="0"/>
        <v>111</v>
      </c>
      <c r="E24" s="37">
        <v>308314</v>
      </c>
      <c r="F24" s="15">
        <f t="shared" si="1"/>
        <v>418</v>
      </c>
      <c r="G24" s="10"/>
      <c r="H24" s="10"/>
    </row>
    <row r="25" spans="1:8" ht="35.25" customHeight="1">
      <c r="A25" s="8">
        <v>45919</v>
      </c>
      <c r="B25" s="8"/>
      <c r="C25" s="38">
        <v>117321</v>
      </c>
      <c r="D25" s="14">
        <f t="shared" si="0"/>
        <v>114</v>
      </c>
      <c r="E25" s="37">
        <v>308732</v>
      </c>
      <c r="F25" s="15">
        <f t="shared" si="1"/>
        <v>403</v>
      </c>
      <c r="G25" s="10"/>
      <c r="H25" s="10"/>
    </row>
    <row r="26" spans="1:8" ht="35.25" customHeight="1">
      <c r="A26" s="8">
        <v>45920</v>
      </c>
      <c r="B26" s="8"/>
      <c r="C26" s="38">
        <v>117435</v>
      </c>
      <c r="D26" s="14">
        <f t="shared" si="0"/>
        <v>76</v>
      </c>
      <c r="E26" s="37">
        <v>309135</v>
      </c>
      <c r="F26" s="15">
        <f t="shared" si="1"/>
        <v>741</v>
      </c>
      <c r="G26" s="17"/>
      <c r="H26" s="17"/>
    </row>
    <row r="27" spans="1:8" ht="35.25" customHeight="1">
      <c r="A27" s="8">
        <v>45921</v>
      </c>
      <c r="B27" s="8"/>
      <c r="C27" s="38">
        <v>117511</v>
      </c>
      <c r="D27" s="14">
        <f t="shared" si="0"/>
        <v>145</v>
      </c>
      <c r="E27" s="37">
        <v>309876</v>
      </c>
      <c r="F27" s="15">
        <f t="shared" si="1"/>
        <v>213</v>
      </c>
      <c r="G27" s="17"/>
      <c r="H27" s="17"/>
    </row>
    <row r="28" spans="1:8" ht="35.25" customHeight="1">
      <c r="A28" s="8">
        <v>45922</v>
      </c>
      <c r="B28" s="8"/>
      <c r="C28" s="38">
        <v>117656</v>
      </c>
      <c r="D28" s="14">
        <f t="shared" si="0"/>
        <v>91</v>
      </c>
      <c r="E28" s="37">
        <v>310089</v>
      </c>
      <c r="F28" s="15">
        <f t="shared" si="1"/>
        <v>331</v>
      </c>
      <c r="G28" s="17"/>
      <c r="H28" s="17"/>
    </row>
    <row r="29" spans="1:8" ht="35.25" customHeight="1">
      <c r="A29" s="8">
        <v>45923</v>
      </c>
      <c r="B29" s="8"/>
      <c r="C29" s="38">
        <v>117747</v>
      </c>
      <c r="D29" s="14">
        <f t="shared" si="0"/>
        <v>112</v>
      </c>
      <c r="E29" s="37">
        <v>310420</v>
      </c>
      <c r="F29" s="15">
        <f t="shared" si="1"/>
        <v>692</v>
      </c>
      <c r="G29" s="17"/>
      <c r="H29" s="17"/>
    </row>
    <row r="30" spans="1:8" ht="35.25" customHeight="1">
      <c r="A30" s="8">
        <v>45924</v>
      </c>
      <c r="B30" s="8"/>
      <c r="C30" s="38">
        <v>117859</v>
      </c>
      <c r="D30" s="14">
        <f t="shared" si="0"/>
        <v>90</v>
      </c>
      <c r="E30" s="37">
        <v>311112</v>
      </c>
      <c r="F30" s="15">
        <f t="shared" si="1"/>
        <v>881</v>
      </c>
      <c r="G30" s="17"/>
      <c r="H30" s="17"/>
    </row>
    <row r="31" spans="1:8" ht="35.25" customHeight="1">
      <c r="A31" s="8">
        <v>45925</v>
      </c>
      <c r="B31" s="8"/>
      <c r="C31" s="38">
        <v>117949</v>
      </c>
      <c r="D31" s="14">
        <f t="shared" si="0"/>
        <v>156</v>
      </c>
      <c r="E31" s="37">
        <v>311993</v>
      </c>
      <c r="F31" s="15">
        <f t="shared" si="1"/>
        <v>25</v>
      </c>
      <c r="G31" s="17"/>
      <c r="H31" s="17"/>
    </row>
    <row r="32" spans="1:8" ht="35.25" customHeight="1">
      <c r="A32" s="8">
        <v>45926</v>
      </c>
      <c r="B32" s="8"/>
      <c r="C32" s="38">
        <v>118105</v>
      </c>
      <c r="D32" s="14">
        <f t="shared" si="0"/>
        <v>132</v>
      </c>
      <c r="E32" s="37">
        <v>312018</v>
      </c>
      <c r="F32" s="15">
        <f t="shared" si="1"/>
        <v>501</v>
      </c>
      <c r="G32" s="17"/>
      <c r="H32" s="17"/>
    </row>
    <row r="33" spans="1:8" ht="35.25" customHeight="1">
      <c r="A33" s="8">
        <v>45927</v>
      </c>
      <c r="B33" s="8"/>
      <c r="C33" s="38">
        <v>118237</v>
      </c>
      <c r="D33" s="14">
        <f t="shared" si="0"/>
        <v>189</v>
      </c>
      <c r="E33" s="37">
        <v>312519</v>
      </c>
      <c r="F33" s="15">
        <f t="shared" si="1"/>
        <v>107</v>
      </c>
      <c r="G33" s="17"/>
      <c r="H33" s="17"/>
    </row>
    <row r="34" spans="1:8" ht="35.25" customHeight="1">
      <c r="A34" s="8">
        <v>45928</v>
      </c>
      <c r="B34" s="8"/>
      <c r="C34" s="38">
        <v>118426</v>
      </c>
      <c r="D34" s="14">
        <f t="shared" si="0"/>
        <v>38</v>
      </c>
      <c r="E34" s="37">
        <v>312626</v>
      </c>
      <c r="F34" s="15">
        <f t="shared" si="1"/>
        <v>482</v>
      </c>
      <c r="G34" s="17"/>
      <c r="H34" s="17"/>
    </row>
    <row r="35" spans="1:8" ht="35.25" customHeight="1">
      <c r="A35" s="8">
        <v>45929</v>
      </c>
      <c r="B35" s="8"/>
      <c r="C35" s="38">
        <v>118464</v>
      </c>
      <c r="D35" s="14">
        <f t="shared" si="0"/>
        <v>97</v>
      </c>
      <c r="E35" s="37">
        <v>313108</v>
      </c>
      <c r="F35" s="15">
        <f t="shared" si="1"/>
        <v>627</v>
      </c>
      <c r="G35" s="17"/>
      <c r="H35" s="17"/>
    </row>
    <row r="36" spans="1:8" ht="35.25" customHeight="1">
      <c r="A36" s="8">
        <v>45930</v>
      </c>
      <c r="B36" s="8"/>
      <c r="C36" s="38">
        <v>118561</v>
      </c>
      <c r="D36" s="14"/>
      <c r="E36" s="37">
        <v>313735</v>
      </c>
      <c r="F36" s="15"/>
      <c r="G36" s="17"/>
      <c r="H36" s="17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6" activePane="bottomLeft" state="frozen"/>
      <selection pane="bottomLeft" activeCell="D41" sqref="D41"/>
    </sheetView>
  </sheetViews>
  <sheetFormatPr defaultColWidth="9" defaultRowHeight="14.4"/>
  <cols>
    <col min="1" max="1" width="21.33203125" customWidth="1"/>
    <col min="2" max="2" width="33.109375" customWidth="1"/>
    <col min="3" max="3" width="30.33203125" style="1" customWidth="1"/>
    <col min="4" max="4" width="20.33203125" style="1" customWidth="1"/>
    <col min="5" max="5" width="34" style="1" customWidth="1"/>
    <col min="6" max="6" width="20.33203125" style="1" customWidth="1"/>
    <col min="7" max="8" width="18.6640625" style="1" customWidth="1"/>
  </cols>
  <sheetData>
    <row r="1" spans="1:11" ht="60" customHeight="1">
      <c r="C1" s="45"/>
      <c r="D1" s="45"/>
      <c r="E1" s="45"/>
      <c r="F1" s="45"/>
      <c r="G1" s="45"/>
      <c r="H1" s="45"/>
      <c r="K1" s="12"/>
    </row>
    <row r="2" spans="1:11" s="1" customFormat="1" ht="54.75" customHeight="1">
      <c r="A2" s="2" t="s">
        <v>16</v>
      </c>
      <c r="B2" s="2" t="s">
        <v>17</v>
      </c>
      <c r="C2" s="3" t="s">
        <v>30</v>
      </c>
      <c r="D2" s="49" t="s">
        <v>31</v>
      </c>
      <c r="E2" s="3" t="s">
        <v>32</v>
      </c>
      <c r="F2" s="49" t="s">
        <v>33</v>
      </c>
      <c r="G2" s="50" t="s">
        <v>34</v>
      </c>
      <c r="H2" s="50" t="s">
        <v>20</v>
      </c>
    </row>
    <row r="3" spans="1:11" ht="24.9" customHeight="1">
      <c r="A3" s="2" t="s">
        <v>35</v>
      </c>
      <c r="B3" s="2"/>
      <c r="C3" s="3" t="s">
        <v>36</v>
      </c>
      <c r="D3" s="49"/>
      <c r="E3" s="3"/>
      <c r="F3" s="49"/>
      <c r="G3" s="51"/>
      <c r="H3" s="51" t="s">
        <v>20</v>
      </c>
    </row>
    <row r="4" spans="1:11" ht="46.5" customHeight="1">
      <c r="A4" s="46" t="s">
        <v>24</v>
      </c>
      <c r="B4" s="5"/>
      <c r="C4" s="3" t="s">
        <v>37</v>
      </c>
      <c r="D4" s="49"/>
      <c r="E4" s="4" t="s">
        <v>38</v>
      </c>
      <c r="F4" s="49"/>
      <c r="G4" s="51"/>
      <c r="H4" s="51"/>
    </row>
    <row r="5" spans="1:11" ht="24.9" customHeight="1">
      <c r="A5" s="47"/>
      <c r="B5" s="6"/>
      <c r="C5" s="7" t="s">
        <v>39</v>
      </c>
      <c r="D5" s="7" t="s">
        <v>39</v>
      </c>
      <c r="E5" s="7" t="s">
        <v>40</v>
      </c>
      <c r="F5" s="7" t="s">
        <v>40</v>
      </c>
      <c r="G5" s="52"/>
      <c r="H5" s="52"/>
    </row>
    <row r="6" spans="1:11" ht="39.75" customHeight="1">
      <c r="A6" s="8">
        <v>45900</v>
      </c>
      <c r="B6" s="34"/>
      <c r="C6" s="36">
        <v>4527565</v>
      </c>
      <c r="D6" s="9">
        <f>C7-C6</f>
        <v>18313</v>
      </c>
      <c r="E6" s="42">
        <v>17667</v>
      </c>
      <c r="F6" s="9">
        <f>E7-E6</f>
        <v>800</v>
      </c>
      <c r="G6" s="9"/>
      <c r="H6" s="9"/>
    </row>
    <row r="7" spans="1:11" ht="39" customHeight="1">
      <c r="A7" s="8">
        <v>45901</v>
      </c>
      <c r="B7" s="33"/>
      <c r="C7" s="38">
        <v>4545878</v>
      </c>
      <c r="D7" s="9">
        <f>C8-C7</f>
        <v>8851</v>
      </c>
      <c r="E7" s="43">
        <v>18467</v>
      </c>
      <c r="F7" s="9">
        <f>E8-E7</f>
        <v>199</v>
      </c>
      <c r="G7" s="9"/>
      <c r="H7" s="9"/>
    </row>
    <row r="8" spans="1:11" ht="39" customHeight="1">
      <c r="A8" s="8">
        <v>45902</v>
      </c>
      <c r="B8" s="33"/>
      <c r="C8" s="38">
        <v>4554729</v>
      </c>
      <c r="D8" s="9">
        <f t="shared" ref="D8:D22" si="0">C9-C8</f>
        <v>8447</v>
      </c>
      <c r="E8" s="38">
        <v>18666</v>
      </c>
      <c r="F8" s="9">
        <f t="shared" ref="F8:F22" si="1">E9-E8</f>
        <v>128</v>
      </c>
      <c r="G8" s="9"/>
      <c r="H8" s="9"/>
    </row>
    <row r="9" spans="1:11" ht="39" customHeight="1">
      <c r="A9" s="8">
        <v>45903</v>
      </c>
      <c r="B9" s="33"/>
      <c r="C9" s="38">
        <v>4563176</v>
      </c>
      <c r="D9" s="9">
        <f t="shared" si="0"/>
        <v>8815</v>
      </c>
      <c r="E9" s="38">
        <v>18794</v>
      </c>
      <c r="F9" s="9">
        <f t="shared" si="1"/>
        <v>141</v>
      </c>
      <c r="G9" s="9"/>
      <c r="H9" s="9"/>
    </row>
    <row r="10" spans="1:11" ht="39" customHeight="1">
      <c r="A10" s="8">
        <v>45904</v>
      </c>
      <c r="B10" s="33"/>
      <c r="C10" s="38">
        <v>4571991</v>
      </c>
      <c r="D10" s="9">
        <f t="shared" si="0"/>
        <v>8522</v>
      </c>
      <c r="E10" s="38">
        <v>18935</v>
      </c>
      <c r="F10" s="9">
        <f t="shared" si="1"/>
        <v>141</v>
      </c>
      <c r="G10" s="9"/>
      <c r="H10" s="9"/>
    </row>
    <row r="11" spans="1:11" ht="39" customHeight="1">
      <c r="A11" s="8">
        <v>45905</v>
      </c>
      <c r="B11" s="33"/>
      <c r="C11" s="38">
        <v>4580513</v>
      </c>
      <c r="D11" s="9">
        <f t="shared" si="0"/>
        <v>8674</v>
      </c>
      <c r="E11" s="38">
        <v>19076</v>
      </c>
      <c r="F11" s="9">
        <f t="shared" si="1"/>
        <v>185</v>
      </c>
      <c r="G11" s="9"/>
      <c r="H11" s="9"/>
    </row>
    <row r="12" spans="1:11" ht="39" customHeight="1">
      <c r="A12" s="8">
        <v>45906</v>
      </c>
      <c r="B12" s="33"/>
      <c r="C12" s="38">
        <v>4589187</v>
      </c>
      <c r="D12" s="9">
        <f t="shared" si="0"/>
        <v>8658</v>
      </c>
      <c r="E12" s="38">
        <v>19261</v>
      </c>
      <c r="F12" s="9">
        <f t="shared" si="1"/>
        <v>172</v>
      </c>
      <c r="G12" s="9"/>
      <c r="H12" s="9"/>
    </row>
    <row r="13" spans="1:11" ht="39" customHeight="1">
      <c r="A13" s="8">
        <v>45907</v>
      </c>
      <c r="B13" s="32"/>
      <c r="C13" s="38">
        <v>4597845</v>
      </c>
      <c r="D13" s="9">
        <f t="shared" si="0"/>
        <v>8540</v>
      </c>
      <c r="E13" s="38">
        <v>19433</v>
      </c>
      <c r="F13" s="9">
        <f t="shared" si="1"/>
        <v>147</v>
      </c>
      <c r="G13" s="9"/>
      <c r="H13" s="9"/>
    </row>
    <row r="14" spans="1:11" ht="39" customHeight="1">
      <c r="A14" s="8">
        <v>45908</v>
      </c>
      <c r="B14" s="33"/>
      <c r="C14" s="38">
        <v>4606385</v>
      </c>
      <c r="D14" s="9">
        <f t="shared" si="0"/>
        <v>8708</v>
      </c>
      <c r="E14" s="38">
        <v>19580</v>
      </c>
      <c r="F14" s="9">
        <f t="shared" si="1"/>
        <v>136</v>
      </c>
      <c r="G14" s="9"/>
      <c r="H14" s="9"/>
    </row>
    <row r="15" spans="1:11" ht="39" customHeight="1">
      <c r="A15" s="8">
        <v>45909</v>
      </c>
      <c r="B15" s="33"/>
      <c r="C15" s="38">
        <v>4615093</v>
      </c>
      <c r="D15" s="9">
        <f t="shared" si="0"/>
        <v>8207</v>
      </c>
      <c r="E15" s="38">
        <v>19716</v>
      </c>
      <c r="F15" s="9">
        <f t="shared" si="1"/>
        <v>151</v>
      </c>
      <c r="G15" s="9"/>
      <c r="H15" s="9"/>
    </row>
    <row r="16" spans="1:11" ht="39" customHeight="1">
      <c r="A16" s="8">
        <v>45910</v>
      </c>
      <c r="B16" s="33"/>
      <c r="C16" s="38">
        <v>4623300</v>
      </c>
      <c r="D16" s="9">
        <f t="shared" si="0"/>
        <v>8134</v>
      </c>
      <c r="E16" s="38">
        <v>19867</v>
      </c>
      <c r="F16" s="9">
        <f t="shared" si="1"/>
        <v>146</v>
      </c>
      <c r="G16" s="9"/>
      <c r="H16" s="9"/>
    </row>
    <row r="17" spans="1:8" ht="39" customHeight="1">
      <c r="A17" s="8">
        <v>45911</v>
      </c>
      <c r="B17" s="33"/>
      <c r="C17" s="38">
        <v>4631434</v>
      </c>
      <c r="D17" s="9">
        <f t="shared" si="0"/>
        <v>8504</v>
      </c>
      <c r="E17" s="38">
        <v>20013</v>
      </c>
      <c r="F17" s="9">
        <f t="shared" si="1"/>
        <v>140</v>
      </c>
      <c r="G17" s="9"/>
      <c r="H17" s="9"/>
    </row>
    <row r="18" spans="1:8" ht="39" customHeight="1">
      <c r="A18" s="8">
        <v>45912</v>
      </c>
      <c r="B18" s="33"/>
      <c r="C18" s="38">
        <v>4639938</v>
      </c>
      <c r="D18" s="9">
        <f t="shared" si="0"/>
        <v>8341</v>
      </c>
      <c r="E18" s="38">
        <v>20153</v>
      </c>
      <c r="F18" s="9">
        <f t="shared" si="1"/>
        <v>114</v>
      </c>
      <c r="G18" s="9"/>
      <c r="H18" s="9"/>
    </row>
    <row r="19" spans="1:8" ht="39" customHeight="1">
      <c r="A19" s="8">
        <v>45913</v>
      </c>
      <c r="B19" s="33"/>
      <c r="C19" s="38">
        <v>4648279</v>
      </c>
      <c r="D19" s="9">
        <f t="shared" si="0"/>
        <v>7882</v>
      </c>
      <c r="E19" s="38">
        <v>20267</v>
      </c>
      <c r="F19" s="9">
        <f t="shared" si="1"/>
        <v>212</v>
      </c>
      <c r="G19" s="9"/>
      <c r="H19" s="9"/>
    </row>
    <row r="20" spans="1:8" ht="39" customHeight="1">
      <c r="A20" s="8">
        <v>45914</v>
      </c>
      <c r="B20" s="33"/>
      <c r="C20" s="38">
        <v>4656161</v>
      </c>
      <c r="D20" s="9">
        <f t="shared" si="0"/>
        <v>7252</v>
      </c>
      <c r="E20" s="38">
        <v>20479</v>
      </c>
      <c r="F20" s="9">
        <f t="shared" si="1"/>
        <v>161</v>
      </c>
      <c r="G20" s="9"/>
      <c r="H20" s="9"/>
    </row>
    <row r="21" spans="1:8" ht="39" customHeight="1">
      <c r="A21" s="8">
        <v>45915</v>
      </c>
      <c r="B21" s="33"/>
      <c r="C21" s="38">
        <v>4663413</v>
      </c>
      <c r="D21" s="9">
        <f t="shared" si="0"/>
        <v>8553</v>
      </c>
      <c r="E21" s="38">
        <v>20640</v>
      </c>
      <c r="F21" s="9">
        <f t="shared" si="1"/>
        <v>83</v>
      </c>
      <c r="G21" s="9"/>
      <c r="H21" s="9"/>
    </row>
    <row r="22" spans="1:8" ht="39" customHeight="1">
      <c r="A22" s="8">
        <v>45916</v>
      </c>
      <c r="B22" s="33"/>
      <c r="C22" s="38">
        <v>4671966</v>
      </c>
      <c r="D22" s="9">
        <f t="shared" si="0"/>
        <v>8055</v>
      </c>
      <c r="E22" s="38">
        <v>20723</v>
      </c>
      <c r="F22" s="9">
        <f t="shared" si="1"/>
        <v>135</v>
      </c>
      <c r="G22" s="9"/>
      <c r="H22" s="9"/>
    </row>
    <row r="23" spans="1:8" ht="39" customHeight="1">
      <c r="A23" s="8">
        <v>45917</v>
      </c>
      <c r="B23" s="33"/>
      <c r="C23" s="38">
        <v>4680021</v>
      </c>
      <c r="D23" s="9">
        <f t="shared" ref="D23:D28" si="2">C24-C23</f>
        <v>7922</v>
      </c>
      <c r="E23" s="38">
        <v>20858</v>
      </c>
      <c r="F23" s="9">
        <f t="shared" ref="F23:F28" si="3">E24-E23</f>
        <v>139</v>
      </c>
      <c r="G23" s="9"/>
      <c r="H23" s="9"/>
    </row>
    <row r="24" spans="1:8" ht="39" customHeight="1">
      <c r="A24" s="8">
        <v>45918</v>
      </c>
      <c r="B24" s="33"/>
      <c r="C24" s="38">
        <v>4687943</v>
      </c>
      <c r="D24" s="9">
        <f t="shared" si="2"/>
        <v>7774</v>
      </c>
      <c r="E24" s="38">
        <v>20997</v>
      </c>
      <c r="F24" s="9">
        <f t="shared" si="3"/>
        <v>133</v>
      </c>
      <c r="G24" s="9"/>
      <c r="H24" s="9"/>
    </row>
    <row r="25" spans="1:8" ht="39" customHeight="1">
      <c r="A25" s="8">
        <v>45919</v>
      </c>
      <c r="B25" s="33"/>
      <c r="C25" s="38">
        <v>4695717</v>
      </c>
      <c r="D25" s="9">
        <f t="shared" si="2"/>
        <v>7873</v>
      </c>
      <c r="E25" s="38">
        <v>21130</v>
      </c>
      <c r="F25" s="9">
        <f t="shared" si="3"/>
        <v>0</v>
      </c>
      <c r="G25" s="9"/>
      <c r="H25" s="9"/>
    </row>
    <row r="26" spans="1:8" ht="39" customHeight="1">
      <c r="A26" s="8">
        <v>45920</v>
      </c>
      <c r="B26" s="33"/>
      <c r="C26" s="38">
        <v>4703590</v>
      </c>
      <c r="D26" s="9">
        <f t="shared" si="2"/>
        <v>7834</v>
      </c>
      <c r="E26" s="38">
        <v>21130</v>
      </c>
      <c r="F26" s="9">
        <f t="shared" si="3"/>
        <v>213</v>
      </c>
      <c r="G26" s="9"/>
      <c r="H26" s="9"/>
    </row>
    <row r="27" spans="1:8" ht="39" customHeight="1">
      <c r="A27" s="8">
        <v>45921</v>
      </c>
      <c r="B27" s="35"/>
      <c r="C27" s="40">
        <v>4711424</v>
      </c>
      <c r="D27" s="9">
        <f t="shared" si="2"/>
        <v>7623</v>
      </c>
      <c r="E27" s="38">
        <v>21343</v>
      </c>
      <c r="F27" s="9">
        <f t="shared" si="3"/>
        <v>101</v>
      </c>
      <c r="G27" s="9"/>
      <c r="H27" s="9"/>
    </row>
    <row r="28" spans="1:8" ht="39" customHeight="1">
      <c r="A28" s="8">
        <v>45922</v>
      </c>
      <c r="B28" s="33"/>
      <c r="C28" s="38">
        <v>4719047</v>
      </c>
      <c r="D28" s="9">
        <f t="shared" si="2"/>
        <v>7667</v>
      </c>
      <c r="E28" s="38">
        <v>21444</v>
      </c>
      <c r="F28" s="9">
        <f t="shared" si="3"/>
        <v>120</v>
      </c>
      <c r="G28" s="9"/>
      <c r="H28" s="9"/>
    </row>
    <row r="29" spans="1:8" ht="39" customHeight="1">
      <c r="A29" s="8">
        <v>45923</v>
      </c>
      <c r="B29" s="35"/>
      <c r="C29" s="40">
        <v>4726714</v>
      </c>
      <c r="D29" s="9">
        <f t="shared" ref="D29:D35" si="4">C30-C29</f>
        <v>7613</v>
      </c>
      <c r="E29" s="38">
        <v>21564</v>
      </c>
      <c r="F29" s="9">
        <f t="shared" ref="F29:F35" si="5">E30-E29</f>
        <v>150</v>
      </c>
      <c r="G29" s="9"/>
      <c r="H29" s="9"/>
    </row>
    <row r="30" spans="1:8" ht="39" customHeight="1">
      <c r="A30" s="8">
        <v>45924</v>
      </c>
      <c r="B30" s="35"/>
      <c r="C30" s="40">
        <v>4734327</v>
      </c>
      <c r="D30" s="9">
        <f t="shared" si="4"/>
        <v>6682</v>
      </c>
      <c r="E30" s="38">
        <v>21714</v>
      </c>
      <c r="F30" s="9">
        <f t="shared" si="5"/>
        <v>259</v>
      </c>
      <c r="G30" s="9"/>
      <c r="H30" s="9"/>
    </row>
    <row r="31" spans="1:8" ht="39" customHeight="1">
      <c r="A31" s="8">
        <v>45925</v>
      </c>
      <c r="B31" s="35"/>
      <c r="C31" s="40">
        <v>4741009</v>
      </c>
      <c r="D31" s="9">
        <f t="shared" si="4"/>
        <v>6994</v>
      </c>
      <c r="E31" s="38">
        <v>21973</v>
      </c>
      <c r="F31" s="9">
        <f t="shared" si="5"/>
        <v>127</v>
      </c>
      <c r="G31" s="9"/>
      <c r="H31" s="9"/>
    </row>
    <row r="32" spans="1:8" ht="39" customHeight="1">
      <c r="A32" s="8">
        <v>45926</v>
      </c>
      <c r="B32" s="33"/>
      <c r="C32" s="41">
        <v>4748003</v>
      </c>
      <c r="D32" s="9">
        <f t="shared" si="4"/>
        <v>7512</v>
      </c>
      <c r="E32" s="38">
        <v>22100</v>
      </c>
      <c r="F32" s="9">
        <f t="shared" si="5"/>
        <v>146</v>
      </c>
      <c r="G32" s="9"/>
      <c r="H32" s="9"/>
    </row>
    <row r="33" spans="1:8" ht="39" customHeight="1">
      <c r="A33" s="8">
        <v>45927</v>
      </c>
      <c r="B33" s="33"/>
      <c r="C33" s="38">
        <v>4755515</v>
      </c>
      <c r="D33" s="9">
        <f t="shared" si="4"/>
        <v>6572</v>
      </c>
      <c r="E33" s="38">
        <v>22246</v>
      </c>
      <c r="F33" s="9">
        <f t="shared" si="5"/>
        <v>153</v>
      </c>
      <c r="G33" s="9"/>
      <c r="H33" s="9"/>
    </row>
    <row r="34" spans="1:8" ht="39" customHeight="1">
      <c r="A34" s="8">
        <v>45928</v>
      </c>
      <c r="B34" s="33"/>
      <c r="C34" s="38">
        <v>4762087</v>
      </c>
      <c r="D34" s="9">
        <f t="shared" si="4"/>
        <v>7829</v>
      </c>
      <c r="E34" s="38">
        <v>22399</v>
      </c>
      <c r="F34" s="9">
        <f t="shared" si="5"/>
        <v>169</v>
      </c>
      <c r="G34" s="9"/>
      <c r="H34" s="9"/>
    </row>
    <row r="35" spans="1:8" ht="39" customHeight="1">
      <c r="A35" s="8">
        <v>45929</v>
      </c>
      <c r="B35" s="33"/>
      <c r="C35" s="38">
        <v>4769916</v>
      </c>
      <c r="D35" s="9">
        <f t="shared" si="4"/>
        <v>7042</v>
      </c>
      <c r="E35" s="38">
        <v>22568</v>
      </c>
      <c r="F35" s="9">
        <f t="shared" si="5"/>
        <v>136</v>
      </c>
      <c r="G35" s="9"/>
      <c r="H35" s="9"/>
    </row>
    <row r="36" spans="1:8" ht="39" customHeight="1">
      <c r="A36" s="8">
        <v>45930</v>
      </c>
      <c r="B36" s="8"/>
      <c r="C36" s="38">
        <v>4776958</v>
      </c>
      <c r="D36" s="9" t="e">
        <f>#REF!-C36</f>
        <v>#REF!</v>
      </c>
      <c r="E36" s="38">
        <v>22704</v>
      </c>
      <c r="F36" s="9" t="e">
        <f>#REF!-E36</f>
        <v>#REF!</v>
      </c>
      <c r="G36" s="9"/>
      <c r="H36" s="9"/>
    </row>
    <row r="37" spans="1:8">
      <c r="E37" s="11"/>
      <c r="F37" s="9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Thomas Chacko</cp:lastModifiedBy>
  <cp:revision/>
  <dcterms:created xsi:type="dcterms:W3CDTF">2018-12-27T05:07:00Z</dcterms:created>
  <dcterms:modified xsi:type="dcterms:W3CDTF">2025-10-30T10:25:33Z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