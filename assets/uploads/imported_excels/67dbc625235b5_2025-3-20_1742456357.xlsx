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1/"/>
    </mc:Choice>
  </mc:AlternateContent>
  <xr:revisionPtr revIDLastSave="770" documentId="8_{8847650D-614C-4264-8C87-30D8B5EB4252}" xr6:coauthVersionLast="47" xr6:coauthVersionMax="47" xr10:uidLastSave="{5C14B656-3F04-4ED7-A774-A79458EEFA80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" i="5" l="1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F12" i="3" l="1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E6" i="5"/>
  <c r="E14" i="3"/>
  <c r="C4" i="6"/>
  <c r="G30" i="2" l="1"/>
  <c r="G31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AF15" i="5" l="1"/>
  <c r="AF21" i="3" l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Y21" i="3"/>
  <c r="X21" i="3"/>
  <c r="T21" i="3"/>
  <c r="S21" i="3"/>
  <c r="R21" i="3"/>
  <c r="M21" i="3"/>
  <c r="L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1" i="3" l="1"/>
  <c r="W21" i="3"/>
  <c r="K21" i="3"/>
  <c r="O21" i="3"/>
  <c r="AA21" i="3"/>
  <c r="P21" i="3"/>
  <c r="AB21" i="3"/>
  <c r="E21" i="3"/>
  <c r="Q21" i="3"/>
  <c r="AC21" i="3"/>
  <c r="I2" i="2" a="1"/>
  <c r="I2" i="2" s="1"/>
  <c r="E16" i="5"/>
  <c r="I21" i="3"/>
  <c r="U21" i="3"/>
  <c r="V21" i="3"/>
  <c r="N21" i="3"/>
  <c r="Z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<sst xmlns="http://schemas.openxmlformats.org/spreadsheetml/2006/main" count="120" uniqueCount="85">
  <si>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</si>
  <si>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</si>
  <si>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</si>
  <si>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</si>
  <si>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</si>
  <si>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</si>
  <si>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</si>
  <si>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</si>
  <si>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</si>
  <si>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</si>
  <si>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</si>
  <si>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</si>
  <si>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</si>
  <si>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FEBRUARY 2021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</si>
  <si>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</si>
  <si>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</si>
  <si>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</si>
  <si>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</si>
  <si>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</si>
  <si>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</si>
  <si>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</si>
  <si>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</si>
  <si>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</si>
  <si>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</si>
  <si>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</si>
  <si>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</si>
  <si>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</si>
  <si>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</si>
  <si>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</si>
  <si>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</si>
  <si>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</si>
  <si>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</si>
  <si>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</si>
  <si>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</si>
  <si>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</si>
  <si>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</si>
  <si>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FEBRUARY  2021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</si>
  <si>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</si>
  <si>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</si>
  <si>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</si>
  <si>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</si>
  <si>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</si>
  <si>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</si>
  <si>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</si>
  <si>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</si>
  <si>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</si>
  <si>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</si>
  <si>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</si>
  <si>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</si>
  <si>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</si>
  <si>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</si>
  <si>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</si>
  <si>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</si>
  <si>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</si>
  <si>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</si>
  <si>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</si>
  <si>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</si>
  <si>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</si>
  <si>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</si>
  <si>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</si>
  <si>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</si>
  <si>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</si>
  <si>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</si>
  <si>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</si>
  <si>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</si>
  <si>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</si>
  <si>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</si>
  <si>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</si>
  <si>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</si>
  <si>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</si>
  <si>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</si>
  <si>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</si>
  <si>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</si>
  <si>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</si>
  <si>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</si>
  <si>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</si>
  <si>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</si>
  <si>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</si>
  <si>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</si>
  <si>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</si>
  <si>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</si>
  <si>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</si>
  <si>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</si>
  <si>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GAS METER READINGS &amp; CONSUMPTION (Liters) February 2021</t>
  </si>
  <si>
    <t>Occupied Room &amp; Number of Guest - Februray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</si>
</sst>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168" fontId="26" fillId="0" borderId="21" xfId="1" applyNumberFormat="1" applyFont="1" applyFill="1" applyBorder="1"/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"/>
  <sheetViews>
    <sheetView tabSelected="1" workbookViewId="0">
      <selection activeCell="E13" sqref="E13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2</v>
      </c>
      <c r="D2" s="10">
        <v>2021</v>
      </c>
      <c r="E2" s="4" cm="1">
        <f t="array" ref="E2:E30">TRANSPOSE(Electricity!E21:AG21)</f>
        <v>27600</v>
      </c>
      <c r="F2" s="11">
        <v>0.2</v>
      </c>
      <c r="G2" s="4">
        <f>LPG!C4</f>
        <v>2154.6453571428569</v>
      </c>
      <c r="H2" s="11">
        <v>1.5299944124049583</v>
      </c>
      <c r="I2" s="4" cm="1">
        <f t="array" ref="I2:I30">TRANSPOSE(Water!E15:AG15)</f>
        <v>178.23200000000003</v>
      </c>
      <c r="J2" s="11">
        <v>7.84</v>
      </c>
      <c r="K2" s="4">
        <f>'Occupied &amp; No. of Guest'!B3</f>
        <v>163</v>
      </c>
      <c r="L2" s="4">
        <f>'Occupied &amp; No. of Guest'!C3</f>
        <v>210</v>
      </c>
    </row>
    <row r="3" spans="1:12" x14ac:dyDescent="0.25">
      <c r="A3" s="9" t="s">
        <v>12</v>
      </c>
      <c r="B3" s="10">
        <f>B2+1</f>
        <v>2</v>
      </c>
      <c r="C3" s="10">
        <v>2</v>
      </c>
      <c r="D3" s="10">
        <v>2021</v>
      </c>
      <c r="E3" s="4">
        <v>28019</v>
      </c>
      <c r="F3" s="11">
        <v>0.2</v>
      </c>
      <c r="G3" s="4">
        <f>LPG!C5</f>
        <v>2154.6453571428569</v>
      </c>
      <c r="H3" s="11">
        <v>1.5299944124049583</v>
      </c>
      <c r="I3" s="4">
        <v>262.64500000000834</v>
      </c>
      <c r="J3" s="11">
        <v>7.84</v>
      </c>
      <c r="K3" s="4">
        <f>'Occupied &amp; No. of Guest'!B4</f>
        <v>201</v>
      </c>
      <c r="L3" s="4">
        <f>'Occupied &amp; No. of Guest'!C4</f>
        <v>267</v>
      </c>
    </row>
    <row r="4" spans="1:12" x14ac:dyDescent="0.25">
      <c r="A4" s="9" t="s">
        <v>12</v>
      </c>
      <c r="B4" s="10">
        <f t="shared" ref="B4:B32" si="0">B3+1</f>
        <v>3</v>
      </c>
      <c r="C4" s="10">
        <v>2</v>
      </c>
      <c r="D4" s="10">
        <v>2021</v>
      </c>
      <c r="E4" s="4">
        <v>28409</v>
      </c>
      <c r="F4" s="11">
        <v>0.2</v>
      </c>
      <c r="G4" s="4">
        <f>LPG!C6</f>
        <v>2154.6453571428569</v>
      </c>
      <c r="H4" s="11">
        <v>1.5299944124049583</v>
      </c>
      <c r="I4" s="4">
        <v>231.59299999997683</v>
      </c>
      <c r="J4" s="11">
        <v>7.84</v>
      </c>
      <c r="K4" s="4">
        <f>'Occupied &amp; No. of Guest'!B5</f>
        <v>240</v>
      </c>
      <c r="L4" s="4">
        <f>'Occupied &amp; No. of Guest'!C5</f>
        <v>312</v>
      </c>
    </row>
    <row r="5" spans="1:12" x14ac:dyDescent="0.25">
      <c r="A5" s="9" t="s">
        <v>12</v>
      </c>
      <c r="B5" s="10">
        <f t="shared" si="0"/>
        <v>4</v>
      </c>
      <c r="C5" s="10">
        <v>2</v>
      </c>
      <c r="D5" s="10">
        <v>2021</v>
      </c>
      <c r="E5" s="4">
        <v>29407</v>
      </c>
      <c r="F5" s="11">
        <v>0.2</v>
      </c>
      <c r="G5" s="4">
        <f>LPG!C7</f>
        <v>2154.6453571428569</v>
      </c>
      <c r="H5" s="11">
        <v>1.5299944124049583</v>
      </c>
      <c r="I5" s="4">
        <v>234.47800000000603</v>
      </c>
      <c r="J5" s="11">
        <v>7.84</v>
      </c>
      <c r="K5" s="4">
        <f>'Occupied &amp; No. of Guest'!B6</f>
        <v>243</v>
      </c>
      <c r="L5" s="4">
        <f>'Occupied &amp; No. of Guest'!C6</f>
        <v>315</v>
      </c>
    </row>
    <row r="6" spans="1:12" x14ac:dyDescent="0.25">
      <c r="A6" s="9" t="s">
        <v>12</v>
      </c>
      <c r="B6" s="10">
        <f t="shared" si="0"/>
        <v>5</v>
      </c>
      <c r="C6" s="10">
        <v>2</v>
      </c>
      <c r="D6" s="10">
        <v>2021</v>
      </c>
      <c r="E6" s="4">
        <v>28422</v>
      </c>
      <c r="F6" s="11">
        <v>0.2</v>
      </c>
      <c r="G6" s="4">
        <f>LPG!C8</f>
        <v>2154.6453571428569</v>
      </c>
      <c r="H6" s="11">
        <v>1.5299944124049583</v>
      </c>
      <c r="I6" s="4">
        <v>189.60399999999385</v>
      </c>
      <c r="J6" s="11">
        <v>7.84</v>
      </c>
      <c r="K6" s="4">
        <f>'Occupied &amp; No. of Guest'!B7</f>
        <v>255</v>
      </c>
      <c r="L6" s="4">
        <f>'Occupied &amp; No. of Guest'!C7</f>
        <v>326</v>
      </c>
    </row>
    <row r="7" spans="1:12" x14ac:dyDescent="0.25">
      <c r="A7" s="9" t="s">
        <v>12</v>
      </c>
      <c r="B7" s="10">
        <f t="shared" si="0"/>
        <v>6</v>
      </c>
      <c r="C7" s="10">
        <v>2</v>
      </c>
      <c r="D7" s="10">
        <v>2021</v>
      </c>
      <c r="E7" s="4">
        <v>27420</v>
      </c>
      <c r="F7" s="11">
        <v>0.2</v>
      </c>
      <c r="G7" s="4">
        <f>LPG!C9</f>
        <v>2154.6453571428569</v>
      </c>
      <c r="H7" s="11">
        <v>1.5299944124049583</v>
      </c>
      <c r="I7" s="4">
        <v>265.66100000000046</v>
      </c>
      <c r="J7" s="11">
        <v>7.84</v>
      </c>
      <c r="K7" s="4">
        <f>'Occupied &amp; No. of Guest'!B8</f>
        <v>255</v>
      </c>
      <c r="L7" s="4">
        <f>'Occupied &amp; No. of Guest'!C8</f>
        <v>325</v>
      </c>
    </row>
    <row r="8" spans="1:12" x14ac:dyDescent="0.25">
      <c r="A8" s="9" t="s">
        <v>12</v>
      </c>
      <c r="B8" s="10">
        <f t="shared" si="0"/>
        <v>7</v>
      </c>
      <c r="C8" s="10">
        <v>2</v>
      </c>
      <c r="D8" s="10">
        <v>2021</v>
      </c>
      <c r="E8" s="4">
        <v>29006</v>
      </c>
      <c r="F8" s="11">
        <v>0.2</v>
      </c>
      <c r="G8" s="4">
        <f>LPG!C10</f>
        <v>2154.6453571428569</v>
      </c>
      <c r="H8" s="11">
        <v>1.5299944124049583</v>
      </c>
      <c r="I8" s="4">
        <v>291.82000000001244</v>
      </c>
      <c r="J8" s="11">
        <v>7.84</v>
      </c>
      <c r="K8" s="4">
        <f>'Occupied &amp; No. of Guest'!B9</f>
        <v>282</v>
      </c>
      <c r="L8" s="4">
        <f>'Occupied &amp; No. of Guest'!C9</f>
        <v>355</v>
      </c>
    </row>
    <row r="9" spans="1:12" x14ac:dyDescent="0.25">
      <c r="A9" s="9" t="s">
        <v>12</v>
      </c>
      <c r="B9" s="10">
        <f t="shared" si="0"/>
        <v>8</v>
      </c>
      <c r="C9" s="10">
        <v>2</v>
      </c>
      <c r="D9" s="10">
        <v>2021</v>
      </c>
      <c r="E9" s="4">
        <v>29809</v>
      </c>
      <c r="F9" s="11">
        <v>0.2</v>
      </c>
      <c r="G9" s="4">
        <f>LPG!C11</f>
        <v>2154.6453571428569</v>
      </c>
      <c r="H9" s="11">
        <v>1.5299944124049583</v>
      </c>
      <c r="I9" s="4">
        <v>290.40899999999112</v>
      </c>
      <c r="J9" s="11">
        <v>7.84</v>
      </c>
      <c r="K9" s="4">
        <f>'Occupied &amp; No. of Guest'!B10</f>
        <v>314</v>
      </c>
      <c r="L9" s="4">
        <f>'Occupied &amp; No. of Guest'!C10</f>
        <v>397</v>
      </c>
    </row>
    <row r="10" spans="1:12" x14ac:dyDescent="0.25">
      <c r="A10" s="9" t="s">
        <v>12</v>
      </c>
      <c r="B10" s="10">
        <f t="shared" si="0"/>
        <v>9</v>
      </c>
      <c r="C10" s="10">
        <v>2</v>
      </c>
      <c r="D10" s="10">
        <v>2021</v>
      </c>
      <c r="E10" s="4">
        <v>28408</v>
      </c>
      <c r="F10" s="11">
        <v>0.2</v>
      </c>
      <c r="G10" s="4">
        <f>LPG!C12</f>
        <v>2154.6453571428569</v>
      </c>
      <c r="H10" s="11">
        <v>1.5299944124049583</v>
      </c>
      <c r="I10" s="4">
        <v>251.30700000000201</v>
      </c>
      <c r="J10" s="11">
        <v>7.84</v>
      </c>
      <c r="K10" s="4">
        <f>'Occupied &amp; No. of Guest'!B11</f>
        <v>330</v>
      </c>
      <c r="L10" s="4">
        <f>'Occupied &amp; No. of Guest'!C11</f>
        <v>414</v>
      </c>
    </row>
    <row r="11" spans="1:12" x14ac:dyDescent="0.25">
      <c r="A11" s="9" t="s">
        <v>12</v>
      </c>
      <c r="B11" s="10">
        <f t="shared" si="0"/>
        <v>10</v>
      </c>
      <c r="C11" s="10">
        <v>2</v>
      </c>
      <c r="D11" s="10">
        <v>2021</v>
      </c>
      <c r="E11" s="4">
        <v>29814</v>
      </c>
      <c r="F11" s="11">
        <v>0.2</v>
      </c>
      <c r="G11" s="4">
        <f>LPG!C13</f>
        <v>2154.6453571428569</v>
      </c>
      <c r="H11" s="11">
        <v>1.5299944124049583</v>
      </c>
      <c r="I11" s="4">
        <v>347.76900000000376</v>
      </c>
      <c r="J11" s="11">
        <v>7.84</v>
      </c>
      <c r="K11" s="4">
        <f>'Occupied &amp; No. of Guest'!B12</f>
        <v>355</v>
      </c>
      <c r="L11" s="4">
        <f>'Occupied &amp; No. of Guest'!C12</f>
        <v>451</v>
      </c>
    </row>
    <row r="12" spans="1:12" x14ac:dyDescent="0.25">
      <c r="A12" s="9" t="s">
        <v>12</v>
      </c>
      <c r="B12" s="10">
        <f t="shared" si="0"/>
        <v>11</v>
      </c>
      <c r="C12" s="10">
        <v>2</v>
      </c>
      <c r="D12" s="10">
        <v>2021</v>
      </c>
      <c r="E12" s="4">
        <v>30398</v>
      </c>
      <c r="F12" s="11">
        <v>0.2</v>
      </c>
      <c r="G12" s="4">
        <f>LPG!C14</f>
        <v>2154.6453571428569</v>
      </c>
      <c r="H12" s="11">
        <v>1.5299944124049583</v>
      </c>
      <c r="I12" s="4">
        <v>352.13400000000263</v>
      </c>
      <c r="J12" s="11">
        <v>7.84</v>
      </c>
      <c r="K12" s="4">
        <f>'Occupied &amp; No. of Guest'!B13</f>
        <v>337</v>
      </c>
      <c r="L12" s="4">
        <f>'Occupied &amp; No. of Guest'!C13</f>
        <v>437</v>
      </c>
    </row>
    <row r="13" spans="1:12" x14ac:dyDescent="0.25">
      <c r="A13" s="9" t="s">
        <v>12</v>
      </c>
      <c r="B13" s="10">
        <f t="shared" si="0"/>
        <v>12</v>
      </c>
      <c r="C13" s="10">
        <v>2</v>
      </c>
      <c r="D13" s="10">
        <v>2021</v>
      </c>
      <c r="E13" s="4">
        <v>28808</v>
      </c>
      <c r="F13" s="11">
        <v>0.2</v>
      </c>
      <c r="G13" s="4">
        <f>LPG!C15</f>
        <v>2154.6453571428569</v>
      </c>
      <c r="H13" s="11">
        <v>1.5299944124049583</v>
      </c>
      <c r="I13" s="4">
        <v>261.27200000000778</v>
      </c>
      <c r="J13" s="11">
        <v>7.84</v>
      </c>
      <c r="K13" s="4">
        <f>'Occupied &amp; No. of Guest'!B14</f>
        <v>311</v>
      </c>
      <c r="L13" s="4">
        <f>'Occupied &amp; No. of Guest'!C14</f>
        <v>414</v>
      </c>
    </row>
    <row r="14" spans="1:12" x14ac:dyDescent="0.25">
      <c r="A14" s="9" t="s">
        <v>12</v>
      </c>
      <c r="B14" s="10">
        <f t="shared" si="0"/>
        <v>13</v>
      </c>
      <c r="C14" s="10">
        <v>2</v>
      </c>
      <c r="D14" s="10">
        <v>2021</v>
      </c>
      <c r="E14" s="4">
        <v>27603</v>
      </c>
      <c r="F14" s="11">
        <v>0.2</v>
      </c>
      <c r="G14" s="4">
        <f>LPG!C16</f>
        <v>2154.6453571428569</v>
      </c>
      <c r="H14" s="11">
        <v>1.5299944124049583</v>
      </c>
      <c r="I14" s="4">
        <v>150.50099999999443</v>
      </c>
      <c r="J14" s="11">
        <v>7.84</v>
      </c>
      <c r="K14" s="4">
        <f>'Occupied &amp; No. of Guest'!B15</f>
        <v>301</v>
      </c>
      <c r="L14" s="4">
        <f>'Occupied &amp; No. of Guest'!C15</f>
        <v>396</v>
      </c>
    </row>
    <row r="15" spans="1:12" x14ac:dyDescent="0.25">
      <c r="A15" s="9" t="s">
        <v>12</v>
      </c>
      <c r="B15" s="10">
        <f t="shared" si="0"/>
        <v>14</v>
      </c>
      <c r="C15" s="10">
        <v>2</v>
      </c>
      <c r="D15" s="10">
        <v>2021</v>
      </c>
      <c r="E15" s="4">
        <v>27997</v>
      </c>
      <c r="F15" s="11">
        <v>0.2</v>
      </c>
      <c r="G15" s="4">
        <f>LPG!C17</f>
        <v>2154.6453571428569</v>
      </c>
      <c r="H15" s="11">
        <v>1.5299944124049583</v>
      </c>
      <c r="I15" s="4">
        <v>145.12700000000618</v>
      </c>
      <c r="J15" s="11">
        <v>7.84</v>
      </c>
      <c r="K15" s="4">
        <f>'Occupied &amp; No. of Guest'!B16</f>
        <v>338</v>
      </c>
      <c r="L15" s="4">
        <f>'Occupied &amp; No. of Guest'!C16</f>
        <v>437</v>
      </c>
    </row>
    <row r="16" spans="1:12" x14ac:dyDescent="0.25">
      <c r="A16" s="9" t="s">
        <v>12</v>
      </c>
      <c r="B16" s="10">
        <f t="shared" si="0"/>
        <v>15</v>
      </c>
      <c r="C16" s="10">
        <v>2</v>
      </c>
      <c r="D16" s="10">
        <v>2021</v>
      </c>
      <c r="E16" s="4">
        <v>28393</v>
      </c>
      <c r="F16" s="11">
        <v>0.2</v>
      </c>
      <c r="G16" s="4">
        <f>LPG!C18</f>
        <v>2154.6453571428569</v>
      </c>
      <c r="H16" s="11">
        <v>1.5299944124049583</v>
      </c>
      <c r="I16" s="4">
        <v>15.508999999997743</v>
      </c>
      <c r="J16" s="11">
        <v>7.84</v>
      </c>
      <c r="K16" s="4">
        <f>'Occupied &amp; No. of Guest'!B17</f>
        <v>345</v>
      </c>
      <c r="L16" s="4">
        <f>'Occupied &amp; No. of Guest'!C17</f>
        <v>451</v>
      </c>
    </row>
    <row r="17" spans="1:12" x14ac:dyDescent="0.25">
      <c r="A17" s="9" t="s">
        <v>12</v>
      </c>
      <c r="B17" s="10">
        <f t="shared" si="0"/>
        <v>16</v>
      </c>
      <c r="C17" s="10">
        <v>2</v>
      </c>
      <c r="D17" s="10">
        <v>2021</v>
      </c>
      <c r="E17" s="4">
        <v>28996</v>
      </c>
      <c r="F17" s="11">
        <v>0.2</v>
      </c>
      <c r="G17" s="4">
        <f>LPG!C19</f>
        <v>2154.6453571428569</v>
      </c>
      <c r="H17" s="11">
        <v>1.5299944124049583</v>
      </c>
      <c r="I17" s="4">
        <v>20.609999999999424</v>
      </c>
      <c r="J17" s="11">
        <v>7.84</v>
      </c>
      <c r="K17" s="4">
        <f>'Occupied &amp; No. of Guest'!B18</f>
        <v>361</v>
      </c>
      <c r="L17" s="4">
        <f>'Occupied &amp; No. of Guest'!C18</f>
        <v>475</v>
      </c>
    </row>
    <row r="18" spans="1:12" x14ac:dyDescent="0.25">
      <c r="A18" s="9" t="s">
        <v>12</v>
      </c>
      <c r="B18" s="10">
        <f t="shared" si="0"/>
        <v>17</v>
      </c>
      <c r="C18" s="10">
        <v>2</v>
      </c>
      <c r="D18" s="10">
        <v>2021</v>
      </c>
      <c r="E18" s="4">
        <v>29194</v>
      </c>
      <c r="F18" s="11">
        <v>0.2</v>
      </c>
      <c r="G18" s="4">
        <f>LPG!C20</f>
        <v>2154.6453571428569</v>
      </c>
      <c r="H18" s="11">
        <v>1.5299944124049583</v>
      </c>
      <c r="I18" s="4">
        <v>60.00600000000059</v>
      </c>
      <c r="J18" s="11">
        <v>7.84</v>
      </c>
      <c r="K18" s="4">
        <f>'Occupied &amp; No. of Guest'!B19</f>
        <v>367</v>
      </c>
      <c r="L18" s="4">
        <f>'Occupied &amp; No. of Guest'!C19</f>
        <v>486</v>
      </c>
    </row>
    <row r="19" spans="1:12" x14ac:dyDescent="0.25">
      <c r="A19" s="9" t="s">
        <v>12</v>
      </c>
      <c r="B19" s="10">
        <f t="shared" si="0"/>
        <v>18</v>
      </c>
      <c r="C19" s="10">
        <v>2</v>
      </c>
      <c r="D19" s="10">
        <v>2021</v>
      </c>
      <c r="E19" s="4">
        <v>29840</v>
      </c>
      <c r="F19" s="11">
        <v>0.2</v>
      </c>
      <c r="G19" s="4">
        <f>LPG!C21</f>
        <v>2154.6453571428569</v>
      </c>
      <c r="H19" s="11">
        <v>1.5299944124049583</v>
      </c>
      <c r="I19" s="4">
        <v>1188.2870000000023</v>
      </c>
      <c r="J19" s="11">
        <v>7.84</v>
      </c>
      <c r="K19" s="4">
        <f>'Occupied &amp; No. of Guest'!B20</f>
        <v>337</v>
      </c>
      <c r="L19" s="4">
        <f>'Occupied &amp; No. of Guest'!C20</f>
        <v>457</v>
      </c>
    </row>
    <row r="20" spans="1:12" x14ac:dyDescent="0.25">
      <c r="A20" s="9" t="s">
        <v>12</v>
      </c>
      <c r="B20" s="10">
        <f t="shared" si="0"/>
        <v>19</v>
      </c>
      <c r="C20" s="10">
        <v>2</v>
      </c>
      <c r="D20" s="10">
        <v>2021</v>
      </c>
      <c r="E20" s="4">
        <v>31414</v>
      </c>
      <c r="F20" s="11">
        <v>0.2</v>
      </c>
      <c r="G20" s="4">
        <f>LPG!C22</f>
        <v>2154.6453571428569</v>
      </c>
      <c r="H20" s="11">
        <v>1.5299944124049583</v>
      </c>
      <c r="I20" s="4">
        <v>251.42699999997456</v>
      </c>
      <c r="J20" s="11">
        <v>7.84</v>
      </c>
      <c r="K20" s="4">
        <f>'Occupied &amp; No. of Guest'!B21</f>
        <v>352</v>
      </c>
      <c r="L20" s="4">
        <f>'Occupied &amp; No. of Guest'!C21</f>
        <v>481</v>
      </c>
    </row>
    <row r="21" spans="1:12" x14ac:dyDescent="0.25">
      <c r="A21" s="9" t="s">
        <v>12</v>
      </c>
      <c r="B21" s="10">
        <f t="shared" si="0"/>
        <v>20</v>
      </c>
      <c r="C21" s="10">
        <v>2</v>
      </c>
      <c r="D21" s="10">
        <v>2021</v>
      </c>
      <c r="E21" s="4">
        <v>30418</v>
      </c>
      <c r="F21" s="11">
        <v>0.2</v>
      </c>
      <c r="G21" s="4">
        <f>LPG!C23</f>
        <v>2154.6453571428569</v>
      </c>
      <c r="H21" s="11">
        <v>1.5299944124049583</v>
      </c>
      <c r="I21" s="4">
        <v>321.85400000001567</v>
      </c>
      <c r="J21" s="11">
        <v>7.84</v>
      </c>
      <c r="K21" s="4">
        <f>'Occupied &amp; No. of Guest'!B22</f>
        <v>360</v>
      </c>
      <c r="L21" s="4">
        <f>'Occupied &amp; No. of Guest'!C22</f>
        <v>478</v>
      </c>
    </row>
    <row r="22" spans="1:12" x14ac:dyDescent="0.25">
      <c r="A22" s="9" t="s">
        <v>12</v>
      </c>
      <c r="B22" s="10">
        <f t="shared" si="0"/>
        <v>21</v>
      </c>
      <c r="C22" s="10">
        <v>2</v>
      </c>
      <c r="D22" s="10">
        <v>2021</v>
      </c>
      <c r="E22" s="4">
        <v>31025</v>
      </c>
      <c r="F22" s="11">
        <v>0.2</v>
      </c>
      <c r="G22" s="4">
        <f>LPG!C24</f>
        <v>2154.6453571428569</v>
      </c>
      <c r="H22" s="11">
        <v>1.5299944124049583</v>
      </c>
      <c r="I22" s="4">
        <v>702.69000000001733</v>
      </c>
      <c r="J22" s="11">
        <v>7.84</v>
      </c>
      <c r="K22" s="4">
        <f>'Occupied &amp; No. of Guest'!B23</f>
        <v>345</v>
      </c>
      <c r="L22" s="4">
        <f>'Occupied &amp; No. of Guest'!C23</f>
        <v>458</v>
      </c>
    </row>
    <row r="23" spans="1:12" x14ac:dyDescent="0.25">
      <c r="A23" s="9" t="s">
        <v>12</v>
      </c>
      <c r="B23" s="10">
        <f t="shared" si="0"/>
        <v>22</v>
      </c>
      <c r="C23" s="10">
        <v>2</v>
      </c>
      <c r="D23" s="10">
        <v>2021</v>
      </c>
      <c r="E23" s="4">
        <v>31210</v>
      </c>
      <c r="F23" s="11">
        <v>0.2</v>
      </c>
      <c r="G23" s="4">
        <f>LPG!C25</f>
        <v>2154.6453571428569</v>
      </c>
      <c r="H23" s="11">
        <v>1.5299944124049583</v>
      </c>
      <c r="I23" s="4">
        <v>313.90000000000049</v>
      </c>
      <c r="J23" s="11">
        <v>7.84</v>
      </c>
      <c r="K23" s="4">
        <f>'Occupied &amp; No. of Guest'!B24</f>
        <v>362</v>
      </c>
      <c r="L23" s="4">
        <f>'Occupied &amp; No. of Guest'!C24</f>
        <v>486</v>
      </c>
    </row>
    <row r="24" spans="1:12" x14ac:dyDescent="0.25">
      <c r="A24" s="9" t="s">
        <v>12</v>
      </c>
      <c r="B24" s="10">
        <f t="shared" si="0"/>
        <v>23</v>
      </c>
      <c r="C24" s="10">
        <v>2</v>
      </c>
      <c r="D24" s="10">
        <v>2021</v>
      </c>
      <c r="E24" s="4">
        <v>33221</v>
      </c>
      <c r="F24" s="11">
        <v>0.2</v>
      </c>
      <c r="G24" s="4">
        <f>LPG!C26</f>
        <v>2154.6453571428569</v>
      </c>
      <c r="H24" s="11">
        <v>1.5299944124049583</v>
      </c>
      <c r="I24" s="4">
        <v>334.18099999998901</v>
      </c>
      <c r="J24" s="11">
        <v>7.84</v>
      </c>
      <c r="K24" s="4">
        <f>'Occupied &amp; No. of Guest'!B25</f>
        <v>360</v>
      </c>
      <c r="L24" s="4">
        <f>'Occupied &amp; No. of Guest'!C25</f>
        <v>493</v>
      </c>
    </row>
    <row r="25" spans="1:12" x14ac:dyDescent="0.25">
      <c r="A25" s="9" t="s">
        <v>12</v>
      </c>
      <c r="B25" s="10">
        <f t="shared" si="0"/>
        <v>24</v>
      </c>
      <c r="C25" s="10">
        <v>2</v>
      </c>
      <c r="D25" s="10">
        <v>2021</v>
      </c>
      <c r="E25" s="4">
        <v>31212</v>
      </c>
      <c r="F25" s="11">
        <v>0.2</v>
      </c>
      <c r="G25" s="4">
        <f>LPG!C27</f>
        <v>2154.6453571428569</v>
      </c>
      <c r="H25" s="11">
        <v>1.5299944124049583</v>
      </c>
      <c r="I25" s="4">
        <v>270.33400000000489</v>
      </c>
      <c r="J25" s="11">
        <v>7.84</v>
      </c>
      <c r="K25" s="4">
        <f>'Occupied &amp; No. of Guest'!B26</f>
        <v>340</v>
      </c>
      <c r="L25" s="4">
        <f>'Occupied &amp; No. of Guest'!C26</f>
        <v>479</v>
      </c>
    </row>
    <row r="26" spans="1:12" x14ac:dyDescent="0.25">
      <c r="A26" s="9" t="s">
        <v>12</v>
      </c>
      <c r="B26" s="10">
        <f>B25+1</f>
        <v>25</v>
      </c>
      <c r="C26" s="10">
        <v>2</v>
      </c>
      <c r="D26" s="10">
        <v>2021</v>
      </c>
      <c r="E26" s="4">
        <v>30401</v>
      </c>
      <c r="F26" s="11">
        <v>0.2</v>
      </c>
      <c r="G26" s="4">
        <f>LPG!C28</f>
        <v>2154.6453571428569</v>
      </c>
      <c r="H26" s="11">
        <v>1.5299944124049583</v>
      </c>
      <c r="I26" s="4">
        <v>227.37099999998975</v>
      </c>
      <c r="J26" s="11">
        <v>7.84</v>
      </c>
      <c r="K26" s="4">
        <f>'Occupied &amp; No. of Guest'!B27</f>
        <v>323</v>
      </c>
      <c r="L26" s="4">
        <f>'Occupied &amp; No. of Guest'!C27</f>
        <v>443</v>
      </c>
    </row>
    <row r="27" spans="1:12" x14ac:dyDescent="0.25">
      <c r="A27" s="9" t="s">
        <v>12</v>
      </c>
      <c r="B27" s="10">
        <f t="shared" si="0"/>
        <v>26</v>
      </c>
      <c r="C27" s="10">
        <v>2</v>
      </c>
      <c r="D27" s="10">
        <v>2021</v>
      </c>
      <c r="E27" s="4">
        <v>29795</v>
      </c>
      <c r="F27" s="11">
        <v>0.2</v>
      </c>
      <c r="G27" s="4">
        <f>LPG!C29</f>
        <v>2154.6453571428569</v>
      </c>
      <c r="H27" s="11">
        <v>1.5299944124049583</v>
      </c>
      <c r="I27" s="4">
        <v>277.20000000000016</v>
      </c>
      <c r="J27" s="11">
        <v>7.84</v>
      </c>
      <c r="K27" s="4">
        <f>'Occupied &amp; No. of Guest'!B28</f>
        <v>303</v>
      </c>
      <c r="L27" s="4">
        <f>'Occupied &amp; No. of Guest'!C28</f>
        <v>424</v>
      </c>
    </row>
    <row r="28" spans="1:12" x14ac:dyDescent="0.25">
      <c r="A28" s="9" t="s">
        <v>12</v>
      </c>
      <c r="B28" s="10">
        <f t="shared" si="0"/>
        <v>27</v>
      </c>
      <c r="C28" s="10">
        <v>2</v>
      </c>
      <c r="D28" s="10">
        <v>2021</v>
      </c>
      <c r="E28" s="4">
        <v>29004</v>
      </c>
      <c r="F28" s="11">
        <v>0.2</v>
      </c>
      <c r="G28" s="4">
        <f>LPG!C30</f>
        <v>2154.6453571428569</v>
      </c>
      <c r="H28" s="11">
        <v>1.5299944124049583</v>
      </c>
      <c r="I28" s="4">
        <v>214.93799999999388</v>
      </c>
      <c r="J28" s="11">
        <v>7.84</v>
      </c>
      <c r="K28" s="4">
        <f>'Occupied &amp; No. of Guest'!B29</f>
        <v>279</v>
      </c>
      <c r="L28" s="4">
        <f>'Occupied &amp; No. of Guest'!C29</f>
        <v>391</v>
      </c>
    </row>
    <row r="29" spans="1:12" x14ac:dyDescent="0.25">
      <c r="A29" s="9" t="s">
        <v>12</v>
      </c>
      <c r="B29" s="10">
        <f t="shared" si="0"/>
        <v>28</v>
      </c>
      <c r="C29" s="10">
        <v>2</v>
      </c>
      <c r="D29" s="10">
        <v>2021</v>
      </c>
      <c r="E29" s="4">
        <v>28398</v>
      </c>
      <c r="F29" s="11">
        <v>0.2</v>
      </c>
      <c r="G29" s="4">
        <f>LPG!C31</f>
        <v>2154.6453571428569</v>
      </c>
      <c r="H29" s="11">
        <v>1.5299944124049583</v>
      </c>
      <c r="I29" s="4">
        <v>218.49619999999476</v>
      </c>
      <c r="J29" s="11">
        <v>7.84</v>
      </c>
      <c r="K29" s="4">
        <f>'Occupied &amp; No. of Guest'!B30</f>
        <v>306</v>
      </c>
      <c r="L29" s="4">
        <f>'Occupied &amp; No. of Guest'!C30</f>
        <v>422</v>
      </c>
    </row>
    <row r="30" spans="1:12" x14ac:dyDescent="0.25">
      <c r="A30" s="9" t="s">
        <v>12</v>
      </c>
      <c r="B30" s="10">
        <f t="shared" si="0"/>
        <v>29</v>
      </c>
      <c r="C30" s="10">
        <v>2</v>
      </c>
      <c r="D30" s="10">
        <v>2021</v>
      </c>
      <c r="E30" s="4">
        <v>0</v>
      </c>
      <c r="F30" s="11">
        <v>0.2</v>
      </c>
      <c r="G30" s="4">
        <f>LPG!C32</f>
        <v>0</v>
      </c>
      <c r="H30" s="11">
        <v>1.5299944124049583</v>
      </c>
      <c r="I30" s="4">
        <v>0</v>
      </c>
      <c r="J30" s="11">
        <v>7.84</v>
      </c>
      <c r="K30" s="4">
        <f>'Occupied &amp; No. of Guest'!B31</f>
        <v>0</v>
      </c>
      <c r="L30" s="4">
        <f>'Occupied &amp; No. of Guest'!C31</f>
        <v>0</v>
      </c>
    </row>
    <row r="31" spans="1:12" x14ac:dyDescent="0.25">
      <c r="A31" s="9" t="s">
        <v>12</v>
      </c>
      <c r="B31" s="10">
        <f t="shared" si="0"/>
        <v>30</v>
      </c>
      <c r="C31" s="10">
        <v>2</v>
      </c>
      <c r="D31" s="10">
        <v>2021</v>
      </c>
      <c r="E31" s="4"/>
      <c r="F31" s="11">
        <v>0.2</v>
      </c>
      <c r="G31" s="4">
        <f>LPG!C33</f>
        <v>0</v>
      </c>
      <c r="H31" s="11">
        <v>1.5299944124049583</v>
      </c>
      <c r="I31" s="4"/>
      <c r="J31" s="11">
        <v>7.84</v>
      </c>
      <c r="K31" s="4">
        <f>'Occupied &amp; No. of Guest'!B32</f>
        <v>0</v>
      </c>
      <c r="L31" s="4">
        <f>'Occupied &amp; No. of Guest'!C32</f>
        <v>0</v>
      </c>
    </row>
    <row r="32" spans="1:12" x14ac:dyDescent="0.25">
      <c r="A32" s="9" t="s">
        <v>12</v>
      </c>
      <c r="B32" s="10">
        <f t="shared" si="0"/>
        <v>31</v>
      </c>
      <c r="C32" s="10">
        <v>2</v>
      </c>
      <c r="D32" s="10">
        <v>2021</v>
      </c>
      <c r="E32" s="4"/>
      <c r="F32" s="11">
        <v>0.2</v>
      </c>
      <c r="G32" s="4">
        <f>LPG!C34</f>
        <v>0</v>
      </c>
      <c r="H32" s="11">
        <v>1.5299944124049583</v>
      </c>
      <c r="I32" s="4"/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 codeName="Sheet2">
    <pageSetUpPr fitToPage="1"/>
  </sheetPr>
  <dimension ref="A1:BM22"/>
  <sheetViews>
    <sheetView zoomScale="130" zoomScaleNormal="130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E20" sqref="E20:AF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3" width="15" style="13" customWidth="1"/>
    <col min="34" max="16384" width="9.140625" style="13"/>
  </cols>
  <sheetData>
    <row r="1" spans="1:65" ht="29.25" customHeight="1" x14ac:dyDescent="0.2">
      <c r="B1" s="13"/>
      <c r="C1" s="14"/>
      <c r="D1" s="14"/>
      <c r="G1" s="14"/>
    </row>
    <row r="2" spans="1:65" s="14" customFormat="1" ht="29.25" customHeight="1" x14ac:dyDescent="0.25">
      <c r="A2" s="78" t="s">
        <v>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</row>
    <row r="3" spans="1:65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</row>
    <row r="4" spans="1:65" ht="39" thickBot="1" x14ac:dyDescent="0.2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/>
    </row>
    <row r="5" spans="1:65" ht="26.25" customHeight="1" x14ac:dyDescent="0.2">
      <c r="A5" s="80">
        <v>1</v>
      </c>
      <c r="B5" s="20" t="s">
        <v>18</v>
      </c>
      <c r="C5" s="82" t="s">
        <v>19</v>
      </c>
      <c r="D5" s="21">
        <v>77218</v>
      </c>
      <c r="E5" s="21">
        <v>77239</v>
      </c>
      <c r="F5" s="21">
        <v>77260</v>
      </c>
      <c r="G5" s="21">
        <v>77281</v>
      </c>
      <c r="H5" s="21">
        <v>77303</v>
      </c>
      <c r="I5" s="21">
        <v>77324</v>
      </c>
      <c r="J5" s="21">
        <v>77344</v>
      </c>
      <c r="K5" s="21">
        <v>77366</v>
      </c>
      <c r="L5" s="21">
        <v>77388</v>
      </c>
      <c r="M5" s="21">
        <v>77409</v>
      </c>
      <c r="N5" s="21">
        <v>77431</v>
      </c>
      <c r="O5" s="21">
        <v>77454</v>
      </c>
      <c r="P5" s="21">
        <v>77475</v>
      </c>
      <c r="Q5" s="21">
        <v>77496</v>
      </c>
      <c r="R5" s="21">
        <v>77517</v>
      </c>
      <c r="S5" s="21">
        <v>77538</v>
      </c>
      <c r="T5" s="21">
        <v>77560</v>
      </c>
      <c r="U5" s="21">
        <v>77581</v>
      </c>
      <c r="V5" s="21">
        <v>77603</v>
      </c>
      <c r="W5" s="21">
        <v>77625</v>
      </c>
      <c r="X5" s="21">
        <v>77646</v>
      </c>
      <c r="Y5" s="21">
        <v>77668</v>
      </c>
      <c r="Z5" s="21">
        <v>77689</v>
      </c>
      <c r="AA5" s="21">
        <v>77712</v>
      </c>
      <c r="AB5" s="21">
        <v>77733</v>
      </c>
      <c r="AC5" s="21">
        <v>77754</v>
      </c>
      <c r="AD5" s="21">
        <v>77776</v>
      </c>
      <c r="AE5" s="21">
        <v>77798</v>
      </c>
      <c r="AF5" s="21">
        <v>77819</v>
      </c>
      <c r="AG5" s="21"/>
    </row>
    <row r="6" spans="1:65" s="24" customFormat="1" ht="21.75" customHeight="1" x14ac:dyDescent="0.2">
      <c r="A6" s="81"/>
      <c r="B6" s="22"/>
      <c r="C6" s="83"/>
      <c r="D6" s="23"/>
      <c r="E6" s="23">
        <f>(E5-D5)*1000</f>
        <v>21000</v>
      </c>
      <c r="F6" s="23">
        <f t="shared" ref="F6:AF6" si="0">(F5-E5)*1000</f>
        <v>21000</v>
      </c>
      <c r="G6" s="23">
        <f t="shared" si="0"/>
        <v>21000</v>
      </c>
      <c r="H6" s="23">
        <f t="shared" si="0"/>
        <v>22000</v>
      </c>
      <c r="I6" s="23">
        <f t="shared" si="0"/>
        <v>21000</v>
      </c>
      <c r="J6" s="23">
        <f t="shared" si="0"/>
        <v>20000</v>
      </c>
      <c r="K6" s="23">
        <f t="shared" si="0"/>
        <v>22000</v>
      </c>
      <c r="L6" s="23">
        <f t="shared" si="0"/>
        <v>22000</v>
      </c>
      <c r="M6" s="23">
        <f t="shared" si="0"/>
        <v>21000</v>
      </c>
      <c r="N6" s="23">
        <f t="shared" si="0"/>
        <v>22000</v>
      </c>
      <c r="O6" s="23">
        <f t="shared" si="0"/>
        <v>23000</v>
      </c>
      <c r="P6" s="23">
        <f t="shared" si="0"/>
        <v>21000</v>
      </c>
      <c r="Q6" s="23">
        <f t="shared" si="0"/>
        <v>21000</v>
      </c>
      <c r="R6" s="23">
        <f t="shared" si="0"/>
        <v>21000</v>
      </c>
      <c r="S6" s="23">
        <f t="shared" si="0"/>
        <v>21000</v>
      </c>
      <c r="T6" s="23">
        <f t="shared" si="0"/>
        <v>22000</v>
      </c>
      <c r="U6" s="23">
        <f t="shared" si="0"/>
        <v>21000</v>
      </c>
      <c r="V6" s="23">
        <f t="shared" si="0"/>
        <v>22000</v>
      </c>
      <c r="W6" s="23">
        <f t="shared" si="0"/>
        <v>22000</v>
      </c>
      <c r="X6" s="23">
        <f t="shared" si="0"/>
        <v>21000</v>
      </c>
      <c r="Y6" s="23">
        <f t="shared" si="0"/>
        <v>22000</v>
      </c>
      <c r="Z6" s="23">
        <f t="shared" si="0"/>
        <v>21000</v>
      </c>
      <c r="AA6" s="23">
        <f t="shared" si="0"/>
        <v>23000</v>
      </c>
      <c r="AB6" s="23">
        <f t="shared" si="0"/>
        <v>21000</v>
      </c>
      <c r="AC6" s="23">
        <f t="shared" si="0"/>
        <v>21000</v>
      </c>
      <c r="AD6" s="23">
        <f t="shared" si="0"/>
        <v>22000</v>
      </c>
      <c r="AE6" s="23">
        <f t="shared" si="0"/>
        <v>22000</v>
      </c>
      <c r="AF6" s="23">
        <f t="shared" si="0"/>
        <v>21000</v>
      </c>
      <c r="AG6" s="2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65" ht="22.5" customHeight="1" x14ac:dyDescent="0.2">
      <c r="A7" s="84">
        <v>2</v>
      </c>
      <c r="B7" s="25" t="s">
        <v>20</v>
      </c>
      <c r="C7" s="86" t="s">
        <v>21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/>
    </row>
    <row r="8" spans="1:65" s="24" customFormat="1" ht="21.75" customHeight="1" x14ac:dyDescent="0.2">
      <c r="A8" s="85"/>
      <c r="B8" s="22"/>
      <c r="C8" s="83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</row>
    <row r="9" spans="1:65" ht="21.75" customHeight="1" x14ac:dyDescent="0.2">
      <c r="A9" s="76">
        <v>3</v>
      </c>
      <c r="B9" s="36" t="s">
        <v>22</v>
      </c>
      <c r="C9" s="77" t="s">
        <v>23</v>
      </c>
      <c r="D9" s="21">
        <v>90870</v>
      </c>
      <c r="E9" s="21">
        <v>90884</v>
      </c>
      <c r="F9" s="21">
        <v>90899</v>
      </c>
      <c r="G9" s="21">
        <v>90914</v>
      </c>
      <c r="H9" s="21">
        <v>90930</v>
      </c>
      <c r="I9" s="21">
        <v>90946</v>
      </c>
      <c r="J9" s="21">
        <v>90962</v>
      </c>
      <c r="K9" s="21">
        <v>90977</v>
      </c>
      <c r="L9" s="21">
        <v>90993</v>
      </c>
      <c r="M9" s="21">
        <v>91000</v>
      </c>
      <c r="N9" s="21">
        <v>91003</v>
      </c>
      <c r="O9" s="21">
        <v>91008</v>
      </c>
      <c r="P9" s="21">
        <v>91025</v>
      </c>
      <c r="Q9" s="21">
        <v>91040</v>
      </c>
      <c r="R9" s="21">
        <v>91056</v>
      </c>
      <c r="S9" s="21">
        <v>91073</v>
      </c>
      <c r="T9" s="21">
        <v>91089</v>
      </c>
      <c r="U9" s="21">
        <v>91105</v>
      </c>
      <c r="V9" s="21">
        <v>91123</v>
      </c>
      <c r="W9" s="21">
        <v>91141</v>
      </c>
      <c r="X9" s="21">
        <v>91159</v>
      </c>
      <c r="Y9" s="21">
        <v>91176</v>
      </c>
      <c r="Z9" s="21">
        <v>91193</v>
      </c>
      <c r="AA9" s="21">
        <v>91210</v>
      </c>
      <c r="AB9" s="21">
        <v>91225</v>
      </c>
      <c r="AC9" s="21">
        <v>91240</v>
      </c>
      <c r="AD9" s="21">
        <v>91256</v>
      </c>
      <c r="AE9" s="21">
        <v>91270</v>
      </c>
      <c r="AF9" s="21">
        <v>91285</v>
      </c>
      <c r="AG9" s="21"/>
    </row>
    <row r="10" spans="1:65" s="24" customFormat="1" ht="21.75" customHeight="1" x14ac:dyDescent="0.2">
      <c r="A10" s="72"/>
      <c r="B10" s="37"/>
      <c r="C10" s="75"/>
      <c r="D10" s="23"/>
      <c r="E10" s="23">
        <f>(E9-D9)*1000</f>
        <v>14000</v>
      </c>
      <c r="F10" s="23">
        <f t="shared" ref="F10" si="28">(F9-E9)*1000</f>
        <v>15000</v>
      </c>
      <c r="G10" s="23">
        <f t="shared" ref="G10" si="29">(G9-F9)*1000</f>
        <v>15000</v>
      </c>
      <c r="H10" s="23">
        <f t="shared" ref="H10" si="30">(H9-G9)*1000</f>
        <v>16000</v>
      </c>
      <c r="I10" s="23">
        <f t="shared" ref="I10" si="31">(I9-H9)*1000</f>
        <v>16000</v>
      </c>
      <c r="J10" s="23">
        <f t="shared" ref="J10" si="32">(J9-I9)*1000</f>
        <v>16000</v>
      </c>
      <c r="K10" s="23">
        <f t="shared" ref="K10" si="33">(K9-J9)*1000</f>
        <v>15000</v>
      </c>
      <c r="L10" s="23">
        <f t="shared" ref="L10" si="34">(L9-K9)*1000</f>
        <v>16000</v>
      </c>
      <c r="M10" s="23">
        <f t="shared" ref="M10" si="35">(M9-L9)*1000</f>
        <v>7000</v>
      </c>
      <c r="N10" s="23">
        <f t="shared" ref="N10" si="36">(N9-M9)*1000</f>
        <v>3000</v>
      </c>
      <c r="O10" s="23">
        <f t="shared" ref="O10" si="37">(O9-N9)*1000</f>
        <v>5000</v>
      </c>
      <c r="P10" s="23">
        <f t="shared" ref="P10" si="38">(P9-O9)*1000</f>
        <v>17000</v>
      </c>
      <c r="Q10" s="23">
        <f t="shared" ref="Q10" si="39">(Q9-P9)*1000</f>
        <v>15000</v>
      </c>
      <c r="R10" s="23">
        <f t="shared" ref="R10" si="40">(R9-Q9)*1000</f>
        <v>16000</v>
      </c>
      <c r="S10" s="23">
        <f t="shared" ref="S10" si="41">(S9-R9)*1000</f>
        <v>17000</v>
      </c>
      <c r="T10" s="23">
        <f t="shared" ref="T10" si="42">(T9-S9)*1000</f>
        <v>16000</v>
      </c>
      <c r="U10" s="23">
        <f t="shared" ref="U10" si="43">(U9-T9)*1000</f>
        <v>16000</v>
      </c>
      <c r="V10" s="23">
        <f t="shared" ref="V10" si="44">(V9-U9)*1000</f>
        <v>18000</v>
      </c>
      <c r="W10" s="23">
        <f t="shared" ref="W10" si="45">(W9-V9)*1000</f>
        <v>18000</v>
      </c>
      <c r="X10" s="23">
        <f t="shared" ref="X10" si="46">(X9-W9)*1000</f>
        <v>18000</v>
      </c>
      <c r="Y10" s="23">
        <f t="shared" ref="Y10" si="47">(Y9-X9)*1000</f>
        <v>17000</v>
      </c>
      <c r="Z10" s="23">
        <f t="shared" ref="Z10" si="48">(Z9-Y9)*1000</f>
        <v>17000</v>
      </c>
      <c r="AA10" s="23">
        <f t="shared" ref="AA10" si="49">(AA9-Z9)*1000</f>
        <v>17000</v>
      </c>
      <c r="AB10" s="23">
        <f t="shared" ref="AB10" si="50">(AB9-AA9)*1000</f>
        <v>15000</v>
      </c>
      <c r="AC10" s="23">
        <f t="shared" ref="AC10" si="51">(AC9-AB9)*1000</f>
        <v>15000</v>
      </c>
      <c r="AD10" s="23">
        <f t="shared" ref="AD10" si="52">(AD9-AC9)*1000</f>
        <v>16000</v>
      </c>
      <c r="AE10" s="23">
        <f t="shared" ref="AE10" si="53">(AE9-AD9)*1000</f>
        <v>14000</v>
      </c>
      <c r="AF10" s="23">
        <f t="shared" ref="AF10" si="54">(AF9-AE9)*1000</f>
        <v>15000</v>
      </c>
      <c r="AG10" s="2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:65" ht="21.75" customHeight="1" x14ac:dyDescent="0.2">
      <c r="A11" s="67">
        <v>4</v>
      </c>
      <c r="B11" s="36" t="s">
        <v>24</v>
      </c>
      <c r="C11" s="77" t="s">
        <v>25</v>
      </c>
      <c r="D11" s="21">
        <v>77433</v>
      </c>
      <c r="E11" s="21">
        <v>77435</v>
      </c>
      <c r="F11" s="21">
        <v>77437</v>
      </c>
      <c r="G11" s="21">
        <v>77440</v>
      </c>
      <c r="H11" s="21">
        <v>77442</v>
      </c>
      <c r="I11" s="21">
        <v>77444</v>
      </c>
      <c r="J11" s="21">
        <v>77446</v>
      </c>
      <c r="K11" s="21">
        <v>77448</v>
      </c>
      <c r="L11" s="21">
        <v>77451</v>
      </c>
      <c r="M11" s="21">
        <v>77462</v>
      </c>
      <c r="N11" s="21">
        <v>77478</v>
      </c>
      <c r="O11" s="21">
        <v>77491</v>
      </c>
      <c r="P11" s="21">
        <v>77493</v>
      </c>
      <c r="Q11" s="21">
        <v>77494</v>
      </c>
      <c r="R11" s="21">
        <v>77495</v>
      </c>
      <c r="S11" s="21">
        <v>77496</v>
      </c>
      <c r="T11" s="21">
        <v>77497</v>
      </c>
      <c r="U11" s="21">
        <v>77501</v>
      </c>
      <c r="V11" s="21">
        <v>77502</v>
      </c>
      <c r="W11" s="21">
        <v>77507</v>
      </c>
      <c r="X11" s="21">
        <v>77512</v>
      </c>
      <c r="Y11" s="21">
        <v>77517</v>
      </c>
      <c r="Z11" s="21">
        <v>77525</v>
      </c>
      <c r="AA11" s="21">
        <v>77533</v>
      </c>
      <c r="AB11" s="21">
        <v>77543</v>
      </c>
      <c r="AC11" s="21">
        <v>77551</v>
      </c>
      <c r="AD11" s="21">
        <v>77554</v>
      </c>
      <c r="AE11" s="21">
        <v>77557</v>
      </c>
      <c r="AF11" s="21">
        <v>77560</v>
      </c>
      <c r="AG11" s="21"/>
    </row>
    <row r="12" spans="1:65" s="38" customFormat="1" ht="21.75" customHeight="1" x14ac:dyDescent="0.2">
      <c r="A12" s="74"/>
      <c r="B12" s="37"/>
      <c r="C12" s="75"/>
      <c r="D12" s="23"/>
      <c r="E12" s="23">
        <f>(E11-D11)*1000</f>
        <v>2000</v>
      </c>
      <c r="F12" s="23">
        <f t="shared" ref="F12" si="55">(F11-E11)*1000</f>
        <v>2000</v>
      </c>
      <c r="G12" s="23">
        <f t="shared" ref="G12" si="56">(G11-F11)*1000</f>
        <v>3000</v>
      </c>
      <c r="H12" s="23">
        <f t="shared" ref="H12" si="57">(H11-G11)*1000</f>
        <v>2000</v>
      </c>
      <c r="I12" s="23">
        <f t="shared" ref="I12" si="58">(I11-H11)*1000</f>
        <v>2000</v>
      </c>
      <c r="J12" s="23">
        <f t="shared" ref="J12" si="59">(J11-I11)*1000</f>
        <v>2000</v>
      </c>
      <c r="K12" s="23">
        <f t="shared" ref="K12" si="60">(K11-J11)*1000</f>
        <v>2000</v>
      </c>
      <c r="L12" s="23">
        <f t="shared" ref="L12" si="61">(L11-K11)*1000</f>
        <v>3000</v>
      </c>
      <c r="M12" s="23">
        <f t="shared" ref="M12" si="62">(M11-L11)*1000</f>
        <v>11000</v>
      </c>
      <c r="N12" s="23">
        <f t="shared" ref="N12" si="63">(N11-M11)*1000</f>
        <v>16000</v>
      </c>
      <c r="O12" s="23">
        <f t="shared" ref="O12" si="64">(O11-N11)*1000</f>
        <v>13000</v>
      </c>
      <c r="P12" s="23">
        <f t="shared" ref="P12" si="65">(P11-O11)*1000</f>
        <v>2000</v>
      </c>
      <c r="Q12" s="23">
        <f t="shared" ref="Q12" si="66">(Q11-P11)*1000</f>
        <v>1000</v>
      </c>
      <c r="R12" s="23">
        <f t="shared" ref="R12" si="67">(R11-Q11)*1000</f>
        <v>1000</v>
      </c>
      <c r="S12" s="23">
        <f t="shared" ref="S12" si="68">(S11-R11)*1000</f>
        <v>1000</v>
      </c>
      <c r="T12" s="23">
        <f t="shared" ref="T12" si="69">(T11-S11)*1000</f>
        <v>1000</v>
      </c>
      <c r="U12" s="23">
        <f t="shared" ref="U12" si="70">(U11-T11)*1000</f>
        <v>4000</v>
      </c>
      <c r="V12" s="23">
        <f t="shared" ref="V12" si="71">(V11-U11)*1000</f>
        <v>1000</v>
      </c>
      <c r="W12" s="23">
        <f t="shared" ref="W12" si="72">(W11-V11)*1000</f>
        <v>5000</v>
      </c>
      <c r="X12" s="23">
        <f t="shared" ref="X12" si="73">(X11-W11)*1000</f>
        <v>5000</v>
      </c>
      <c r="Y12" s="23">
        <f t="shared" ref="Y12" si="74">(Y11-X11)*1000</f>
        <v>5000</v>
      </c>
      <c r="Z12" s="23">
        <f t="shared" ref="Z12" si="75">(Z11-Y11)*1000</f>
        <v>8000</v>
      </c>
      <c r="AA12" s="23">
        <f t="shared" ref="AA12" si="76">(AA11-Z11)*1000</f>
        <v>8000</v>
      </c>
      <c r="AB12" s="23">
        <f t="shared" ref="AB12" si="77">(AB11-AA11)*1000</f>
        <v>10000</v>
      </c>
      <c r="AC12" s="23">
        <f t="shared" ref="AC12" si="78">(AC11-AB11)*1000</f>
        <v>8000</v>
      </c>
      <c r="AD12" s="23">
        <f t="shared" ref="AD12" si="79">(AD11-AC11)*1000</f>
        <v>3000</v>
      </c>
      <c r="AE12" s="23">
        <f t="shared" ref="AE12" si="80">(AE11-AD11)*1000</f>
        <v>3000</v>
      </c>
      <c r="AF12" s="23">
        <f t="shared" ref="AF12" si="81">(AF11-AE11)*1000</f>
        <v>3000</v>
      </c>
      <c r="AG12" s="2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pans="1:65" ht="21.75" customHeight="1" x14ac:dyDescent="0.2">
      <c r="A13" s="76">
        <v>7</v>
      </c>
      <c r="B13" s="39" t="s">
        <v>26</v>
      </c>
      <c r="C13" s="69" t="s">
        <v>27</v>
      </c>
      <c r="D13" s="40">
        <v>3003</v>
      </c>
      <c r="E13" s="40">
        <v>3004</v>
      </c>
      <c r="F13" s="40">
        <v>3004</v>
      </c>
      <c r="G13" s="40">
        <v>3004</v>
      </c>
      <c r="H13" s="40">
        <v>3004</v>
      </c>
      <c r="I13" s="40">
        <v>3004</v>
      </c>
      <c r="J13" s="40">
        <v>3004</v>
      </c>
      <c r="K13" s="40">
        <v>3004</v>
      </c>
      <c r="L13" s="40">
        <v>3004</v>
      </c>
      <c r="M13" s="40">
        <v>3004</v>
      </c>
      <c r="N13" s="40">
        <v>3004</v>
      </c>
      <c r="O13" s="40">
        <v>3004</v>
      </c>
      <c r="P13" s="40">
        <v>3004</v>
      </c>
      <c r="Q13" s="40">
        <v>3004</v>
      </c>
      <c r="R13" s="40">
        <v>3004</v>
      </c>
      <c r="S13" s="40">
        <v>3005</v>
      </c>
      <c r="T13" s="40">
        <v>3005</v>
      </c>
      <c r="U13" s="40">
        <v>3005</v>
      </c>
      <c r="V13" s="40">
        <v>3005</v>
      </c>
      <c r="W13" s="40">
        <v>3006</v>
      </c>
      <c r="X13" s="40">
        <v>3006</v>
      </c>
      <c r="Y13" s="40">
        <v>3006</v>
      </c>
      <c r="Z13" s="40">
        <v>3006</v>
      </c>
      <c r="AA13" s="40">
        <v>3006</v>
      </c>
      <c r="AB13" s="40">
        <v>3006</v>
      </c>
      <c r="AC13" s="40">
        <v>3006</v>
      </c>
      <c r="AD13" s="40">
        <v>3006</v>
      </c>
      <c r="AE13" s="40">
        <v>3006</v>
      </c>
      <c r="AF13" s="40">
        <v>3006</v>
      </c>
      <c r="AG13" s="40"/>
    </row>
    <row r="14" spans="1:65" s="24" customFormat="1" ht="21.75" customHeight="1" x14ac:dyDescent="0.2">
      <c r="A14" s="72"/>
      <c r="B14" s="41"/>
      <c r="C14" s="75"/>
      <c r="D14" s="42"/>
      <c r="E14" s="42">
        <f t="shared" ref="E14:AF14" si="82">E13-D13</f>
        <v>1</v>
      </c>
      <c r="F14" s="42">
        <f t="shared" ref="F14" si="83">F13-E13</f>
        <v>0</v>
      </c>
      <c r="G14" s="42">
        <f t="shared" ref="G14" si="84">G13-F13</f>
        <v>0</v>
      </c>
      <c r="H14" s="42">
        <f t="shared" ref="H14" si="85">H13-G13</f>
        <v>0</v>
      </c>
      <c r="I14" s="42">
        <f t="shared" ref="I14" si="86">I13-H13</f>
        <v>0</v>
      </c>
      <c r="J14" s="42">
        <f t="shared" ref="J14" si="87">J13-I13</f>
        <v>0</v>
      </c>
      <c r="K14" s="42">
        <f t="shared" ref="K14" si="88">K13-J13</f>
        <v>0</v>
      </c>
      <c r="L14" s="42">
        <f t="shared" ref="L14" si="89">L13-K13</f>
        <v>0</v>
      </c>
      <c r="M14" s="42">
        <f t="shared" ref="M14" si="90">M13-L13</f>
        <v>0</v>
      </c>
      <c r="N14" s="42">
        <f t="shared" ref="N14" si="91">N13-M13</f>
        <v>0</v>
      </c>
      <c r="O14" s="42">
        <f t="shared" ref="O14" si="92">O13-N13</f>
        <v>0</v>
      </c>
      <c r="P14" s="42">
        <f t="shared" ref="P14" si="93">P13-O13</f>
        <v>0</v>
      </c>
      <c r="Q14" s="42">
        <f t="shared" ref="Q14" si="94">Q13-P13</f>
        <v>0</v>
      </c>
      <c r="R14" s="42">
        <f t="shared" ref="R14" si="95">R13-Q13</f>
        <v>0</v>
      </c>
      <c r="S14" s="42">
        <f t="shared" ref="S14" si="96">S13-R13</f>
        <v>1</v>
      </c>
      <c r="T14" s="42">
        <f t="shared" ref="T14" si="97">T13-S13</f>
        <v>0</v>
      </c>
      <c r="U14" s="42">
        <f t="shared" ref="U14" si="98">U13-T13</f>
        <v>0</v>
      </c>
      <c r="V14" s="42">
        <f t="shared" ref="V14" si="99">V13-U13</f>
        <v>0</v>
      </c>
      <c r="W14" s="42">
        <f t="shared" ref="W14" si="100">W13-V13</f>
        <v>1</v>
      </c>
      <c r="X14" s="42">
        <f t="shared" ref="X14" si="101">X13-W13</f>
        <v>0</v>
      </c>
      <c r="Y14" s="42">
        <f t="shared" ref="Y14" si="102">Y13-X13</f>
        <v>0</v>
      </c>
      <c r="Z14" s="42">
        <f t="shared" ref="Z14" si="103">Z13-Y13</f>
        <v>0</v>
      </c>
      <c r="AA14" s="42">
        <f t="shared" ref="AA14" si="104">AA13-Z13</f>
        <v>0</v>
      </c>
      <c r="AB14" s="42">
        <f t="shared" ref="AB14" si="105">AB13-AA13</f>
        <v>0</v>
      </c>
      <c r="AC14" s="42">
        <f t="shared" ref="AC14" si="106">AC13-AB13</f>
        <v>0</v>
      </c>
      <c r="AD14" s="42">
        <f t="shared" ref="AD14" si="107">AD13-AC13</f>
        <v>0</v>
      </c>
      <c r="AE14" s="42">
        <f t="shared" ref="AE14" si="108">AE13-AD13</f>
        <v>0</v>
      </c>
      <c r="AF14" s="42">
        <f t="shared" ref="AF14" si="109">AF13-AE13</f>
        <v>0</v>
      </c>
      <c r="AG14" s="42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pans="1:65" ht="21.75" customHeight="1" x14ac:dyDescent="0.2">
      <c r="A15" s="67">
        <v>8</v>
      </c>
      <c r="B15" s="39" t="s">
        <v>28</v>
      </c>
      <c r="C15" s="69" t="s">
        <v>29</v>
      </c>
      <c r="D15" s="40">
        <v>326</v>
      </c>
      <c r="E15" s="40">
        <v>326</v>
      </c>
      <c r="F15" s="40">
        <v>326</v>
      </c>
      <c r="G15" s="40">
        <v>326</v>
      </c>
      <c r="H15" s="40">
        <v>326</v>
      </c>
      <c r="I15" s="40">
        <v>326</v>
      </c>
      <c r="J15" s="40">
        <v>326</v>
      </c>
      <c r="K15" s="40">
        <v>326</v>
      </c>
      <c r="L15" s="40">
        <v>327</v>
      </c>
      <c r="M15" s="40">
        <v>327</v>
      </c>
      <c r="N15" s="40">
        <v>327</v>
      </c>
      <c r="O15" s="40">
        <v>327</v>
      </c>
      <c r="P15" s="40">
        <v>327</v>
      </c>
      <c r="Q15" s="40">
        <v>327</v>
      </c>
      <c r="R15" s="40">
        <v>327</v>
      </c>
      <c r="S15" s="40">
        <v>327</v>
      </c>
      <c r="T15" s="40">
        <v>327</v>
      </c>
      <c r="U15" s="40">
        <v>327</v>
      </c>
      <c r="V15" s="40">
        <v>327</v>
      </c>
      <c r="W15" s="40">
        <v>328</v>
      </c>
      <c r="X15" s="40">
        <v>328</v>
      </c>
      <c r="Y15" s="40">
        <v>328</v>
      </c>
      <c r="Z15" s="40">
        <v>328</v>
      </c>
      <c r="AA15" s="40">
        <v>328</v>
      </c>
      <c r="AB15" s="40">
        <v>328</v>
      </c>
      <c r="AC15" s="40">
        <v>328</v>
      </c>
      <c r="AD15" s="40">
        <v>328</v>
      </c>
      <c r="AE15" s="40">
        <v>328</v>
      </c>
      <c r="AF15" s="40">
        <v>329</v>
      </c>
      <c r="AG15" s="40"/>
    </row>
    <row r="16" spans="1:65" s="24" customFormat="1" ht="21.75" customHeight="1" x14ac:dyDescent="0.2">
      <c r="A16" s="74"/>
      <c r="B16" s="41"/>
      <c r="C16" s="75"/>
      <c r="D16" s="42"/>
      <c r="E16" s="42">
        <f t="shared" ref="E16" si="110">E15-D15</f>
        <v>0</v>
      </c>
      <c r="F16" s="42">
        <f t="shared" ref="F16" si="111">F15-E15</f>
        <v>0</v>
      </c>
      <c r="G16" s="42">
        <f t="shared" ref="G16" si="112">G15-F15</f>
        <v>0</v>
      </c>
      <c r="H16" s="42">
        <f t="shared" ref="H16" si="113">H15-G15</f>
        <v>0</v>
      </c>
      <c r="I16" s="42">
        <f t="shared" ref="I16" si="114">I15-H15</f>
        <v>0</v>
      </c>
      <c r="J16" s="42">
        <f t="shared" ref="J16" si="115">J15-I15</f>
        <v>0</v>
      </c>
      <c r="K16" s="42">
        <f t="shared" ref="K16" si="116">K15-J15</f>
        <v>0</v>
      </c>
      <c r="L16" s="42">
        <f t="shared" ref="L16" si="117">L15-K15</f>
        <v>1</v>
      </c>
      <c r="M16" s="42">
        <f t="shared" ref="M16" si="118">M15-L15</f>
        <v>0</v>
      </c>
      <c r="N16" s="42">
        <f t="shared" ref="N16" si="119">N15-M15</f>
        <v>0</v>
      </c>
      <c r="O16" s="42">
        <f t="shared" ref="O16" si="120">O15-N15</f>
        <v>0</v>
      </c>
      <c r="P16" s="42">
        <f t="shared" ref="P16" si="121">P15-O15</f>
        <v>0</v>
      </c>
      <c r="Q16" s="42">
        <f t="shared" ref="Q16" si="122">Q15-P15</f>
        <v>0</v>
      </c>
      <c r="R16" s="42">
        <f t="shared" ref="R16" si="123">R15-Q15</f>
        <v>0</v>
      </c>
      <c r="S16" s="42">
        <f t="shared" ref="S16" si="124">S15-R15</f>
        <v>0</v>
      </c>
      <c r="T16" s="42">
        <f t="shared" ref="T16" si="125">T15-S15</f>
        <v>0</v>
      </c>
      <c r="U16" s="42">
        <f t="shared" ref="U16" si="126">U15-T15</f>
        <v>0</v>
      </c>
      <c r="V16" s="42">
        <f t="shared" ref="V16" si="127">V15-U15</f>
        <v>0</v>
      </c>
      <c r="W16" s="42">
        <f t="shared" ref="W16" si="128">W15-V15</f>
        <v>1</v>
      </c>
      <c r="X16" s="42">
        <f t="shared" ref="X16" si="129">X15-W15</f>
        <v>0</v>
      </c>
      <c r="Y16" s="42">
        <f t="shared" ref="Y16" si="130">Y15-X15</f>
        <v>0</v>
      </c>
      <c r="Z16" s="42">
        <f t="shared" ref="Z16" si="131">Z15-Y15</f>
        <v>0</v>
      </c>
      <c r="AA16" s="42">
        <f t="shared" ref="AA16" si="132">AA15-Z15</f>
        <v>0</v>
      </c>
      <c r="AB16" s="42">
        <f t="shared" ref="AB16" si="133">AB15-AA15</f>
        <v>0</v>
      </c>
      <c r="AC16" s="42">
        <f t="shared" ref="AC16" si="134">AC15-AB15</f>
        <v>0</v>
      </c>
      <c r="AD16" s="42">
        <f t="shared" ref="AD16" si="135">AD15-AC15</f>
        <v>0</v>
      </c>
      <c r="AE16" s="42">
        <f t="shared" ref="AE16" si="136">AE15-AD15</f>
        <v>0</v>
      </c>
      <c r="AF16" s="42">
        <f t="shared" ref="AF16" si="137">AF15-AE15</f>
        <v>1</v>
      </c>
      <c r="AG16" s="42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</row>
    <row r="17" spans="1:33" ht="21.75" customHeight="1" x14ac:dyDescent="0.2">
      <c r="A17" s="67">
        <v>13</v>
      </c>
      <c r="B17" s="39" t="s">
        <v>30</v>
      </c>
      <c r="C17" s="69" t="s">
        <v>31</v>
      </c>
      <c r="D17" s="40">
        <v>1109934</v>
      </c>
      <c r="E17" s="40">
        <v>1110096</v>
      </c>
      <c r="F17" s="40">
        <v>1110277</v>
      </c>
      <c r="G17" s="40">
        <v>1110445</v>
      </c>
      <c r="H17" s="40">
        <v>1110612</v>
      </c>
      <c r="I17" s="40">
        <v>1110794</v>
      </c>
      <c r="J17" s="40">
        <v>1110975</v>
      </c>
      <c r="K17" s="40">
        <v>1111141</v>
      </c>
      <c r="L17" s="40">
        <v>1111312</v>
      </c>
      <c r="M17" s="40">
        <v>1111482</v>
      </c>
      <c r="N17" s="40">
        <v>1111658</v>
      </c>
      <c r="O17" s="40">
        <v>1111819</v>
      </c>
      <c r="P17" s="40">
        <v>1111990</v>
      </c>
      <c r="Q17" s="40">
        <v>1112156</v>
      </c>
      <c r="R17" s="40">
        <v>1112315</v>
      </c>
      <c r="S17" s="40">
        <v>1112469</v>
      </c>
      <c r="T17" s="40">
        <v>1112627</v>
      </c>
      <c r="U17" s="40">
        <v>1112784</v>
      </c>
      <c r="V17" s="40">
        <v>1112988</v>
      </c>
      <c r="W17" s="40">
        <v>1113163</v>
      </c>
      <c r="X17" s="40">
        <v>1113343</v>
      </c>
      <c r="Y17" s="40">
        <v>1113528</v>
      </c>
      <c r="Z17" s="40">
        <v>1113701</v>
      </c>
      <c r="AA17" s="40">
        <v>1113882</v>
      </c>
      <c r="AB17" s="40">
        <v>1114056</v>
      </c>
      <c r="AC17" s="40">
        <v>1114219</v>
      </c>
      <c r="AD17" s="40">
        <v>1114375</v>
      </c>
      <c r="AE17" s="40">
        <v>1114541</v>
      </c>
      <c r="AF17" s="40">
        <v>1114698</v>
      </c>
      <c r="AG17" s="40"/>
    </row>
    <row r="18" spans="1:33" ht="21.75" customHeight="1" x14ac:dyDescent="0.2">
      <c r="A18" s="68"/>
      <c r="B18" s="43"/>
      <c r="C18" s="70"/>
      <c r="D18" s="42"/>
      <c r="E18" s="42">
        <f t="shared" ref="E18" si="138">E17-D17</f>
        <v>162</v>
      </c>
      <c r="F18" s="42">
        <f t="shared" ref="F18" si="139">F17-E17</f>
        <v>181</v>
      </c>
      <c r="G18" s="42">
        <f t="shared" ref="G18" si="140">G17-F17</f>
        <v>168</v>
      </c>
      <c r="H18" s="42">
        <f t="shared" ref="H18" si="141">H17-G17</f>
        <v>167</v>
      </c>
      <c r="I18" s="42">
        <f t="shared" ref="I18" si="142">I17-H17</f>
        <v>182</v>
      </c>
      <c r="J18" s="42">
        <f t="shared" ref="J18" si="143">J17-I17</f>
        <v>181</v>
      </c>
      <c r="K18" s="42">
        <f t="shared" ref="K18" si="144">K17-J17</f>
        <v>166</v>
      </c>
      <c r="L18" s="42">
        <f t="shared" ref="L18" si="145">L17-K17</f>
        <v>171</v>
      </c>
      <c r="M18" s="42">
        <f t="shared" ref="M18" si="146">M17-L17</f>
        <v>170</v>
      </c>
      <c r="N18" s="42">
        <f t="shared" ref="N18" si="147">N17-M17</f>
        <v>176</v>
      </c>
      <c r="O18" s="42">
        <f t="shared" ref="O18" si="148">O17-N17</f>
        <v>161</v>
      </c>
      <c r="P18" s="42">
        <f t="shared" ref="P18" si="149">P17-O17</f>
        <v>171</v>
      </c>
      <c r="Q18" s="42">
        <f t="shared" ref="Q18" si="150">Q17-P17</f>
        <v>166</v>
      </c>
      <c r="R18" s="42">
        <f t="shared" ref="R18" si="151">R17-Q17</f>
        <v>159</v>
      </c>
      <c r="S18" s="42">
        <f t="shared" ref="S18" si="152">S17-R17</f>
        <v>154</v>
      </c>
      <c r="T18" s="42">
        <f t="shared" ref="T18" si="153">T17-S17</f>
        <v>158</v>
      </c>
      <c r="U18" s="42">
        <f t="shared" ref="U18" si="154">U17-T17</f>
        <v>157</v>
      </c>
      <c r="V18" s="42">
        <f t="shared" ref="V18" si="155">V17-U17</f>
        <v>204</v>
      </c>
      <c r="W18" s="42">
        <f t="shared" ref="W18" si="156">W17-V17</f>
        <v>175</v>
      </c>
      <c r="X18" s="42">
        <f t="shared" ref="X18" si="157">X17-W17</f>
        <v>180</v>
      </c>
      <c r="Y18" s="42">
        <f t="shared" ref="Y18" si="158">Y17-X17</f>
        <v>185</v>
      </c>
      <c r="Z18" s="42">
        <f t="shared" ref="Z18" si="159">Z17-Y17</f>
        <v>173</v>
      </c>
      <c r="AA18" s="42">
        <f t="shared" ref="AA18" si="160">AA17-Z17</f>
        <v>181</v>
      </c>
      <c r="AB18" s="42">
        <f t="shared" ref="AB18" si="161">AB17-AA17</f>
        <v>174</v>
      </c>
      <c r="AC18" s="42">
        <f t="shared" ref="AC18" si="162">AC17-AB17</f>
        <v>163</v>
      </c>
      <c r="AD18" s="42">
        <f t="shared" ref="AD18" si="163">AD17-AC17</f>
        <v>156</v>
      </c>
      <c r="AE18" s="42">
        <f t="shared" ref="AE18" si="164">AE17-AD17</f>
        <v>166</v>
      </c>
      <c r="AF18" s="42">
        <f t="shared" ref="AF18" si="165">AF17-AE17</f>
        <v>157</v>
      </c>
      <c r="AG18" s="42"/>
    </row>
    <row r="19" spans="1:33" ht="21.75" customHeight="1" x14ac:dyDescent="0.2">
      <c r="A19" s="71">
        <v>14</v>
      </c>
      <c r="B19" s="39" t="s">
        <v>32</v>
      </c>
      <c r="C19" s="69" t="s">
        <v>33</v>
      </c>
      <c r="D19" s="40">
        <v>325478</v>
      </c>
      <c r="E19" s="40">
        <v>325515</v>
      </c>
      <c r="F19" s="40">
        <v>325553</v>
      </c>
      <c r="G19" s="40">
        <v>325594</v>
      </c>
      <c r="H19" s="40">
        <v>325634</v>
      </c>
      <c r="I19" s="40">
        <v>325674</v>
      </c>
      <c r="J19" s="40">
        <v>325713</v>
      </c>
      <c r="K19" s="40">
        <v>325753</v>
      </c>
      <c r="L19" s="40">
        <v>325790</v>
      </c>
      <c r="M19" s="40">
        <v>325828</v>
      </c>
      <c r="N19" s="40">
        <v>325866</v>
      </c>
      <c r="O19" s="40">
        <v>325903</v>
      </c>
      <c r="P19" s="40">
        <v>325940</v>
      </c>
      <c r="Q19" s="40">
        <v>325977</v>
      </c>
      <c r="R19" s="40">
        <v>326015</v>
      </c>
      <c r="S19" s="40">
        <v>326053</v>
      </c>
      <c r="T19" s="40">
        <v>326091</v>
      </c>
      <c r="U19" s="40">
        <v>326128</v>
      </c>
      <c r="V19" s="40">
        <v>326164</v>
      </c>
      <c r="W19" s="40">
        <v>326201</v>
      </c>
      <c r="X19" s="40">
        <v>326239</v>
      </c>
      <c r="Y19" s="40">
        <v>326279</v>
      </c>
      <c r="Z19" s="40">
        <v>326316</v>
      </c>
      <c r="AA19" s="40">
        <v>326356</v>
      </c>
      <c r="AB19" s="40">
        <v>326394</v>
      </c>
      <c r="AC19" s="40">
        <v>326432</v>
      </c>
      <c r="AD19" s="40">
        <v>326471</v>
      </c>
      <c r="AE19" s="40">
        <v>326509</v>
      </c>
      <c r="AF19" s="40">
        <v>326549</v>
      </c>
      <c r="AG19" s="40"/>
    </row>
    <row r="20" spans="1:33" ht="21.75" customHeight="1" x14ac:dyDescent="0.2">
      <c r="A20" s="72"/>
      <c r="B20" s="43"/>
      <c r="C20" s="70"/>
      <c r="D20" s="42"/>
      <c r="E20" s="42">
        <f t="shared" ref="E20" si="166">E19-D19</f>
        <v>37</v>
      </c>
      <c r="F20" s="42">
        <f t="shared" ref="F20" si="167">F19-E19</f>
        <v>38</v>
      </c>
      <c r="G20" s="42">
        <f t="shared" ref="G20" si="168">G19-F19</f>
        <v>41</v>
      </c>
      <c r="H20" s="42">
        <f t="shared" ref="H20" si="169">H19-G19</f>
        <v>40</v>
      </c>
      <c r="I20" s="42">
        <f t="shared" ref="I20" si="170">I19-H19</f>
        <v>40</v>
      </c>
      <c r="J20" s="42">
        <f t="shared" ref="J20" si="171">J19-I19</f>
        <v>39</v>
      </c>
      <c r="K20" s="42">
        <f t="shared" ref="K20" si="172">K19-J19</f>
        <v>40</v>
      </c>
      <c r="L20" s="42">
        <f t="shared" ref="L20" si="173">L19-K19</f>
        <v>37</v>
      </c>
      <c r="M20" s="42">
        <f t="shared" ref="M20" si="174">M19-L19</f>
        <v>38</v>
      </c>
      <c r="N20" s="42">
        <f t="shared" ref="N20" si="175">N19-M19</f>
        <v>38</v>
      </c>
      <c r="O20" s="42">
        <f t="shared" ref="O20" si="176">O19-N19</f>
        <v>37</v>
      </c>
      <c r="P20" s="42">
        <f t="shared" ref="P20" si="177">P19-O19</f>
        <v>37</v>
      </c>
      <c r="Q20" s="42">
        <f t="shared" ref="Q20" si="178">Q19-P19</f>
        <v>37</v>
      </c>
      <c r="R20" s="42">
        <f t="shared" ref="R20" si="179">R19-Q19</f>
        <v>38</v>
      </c>
      <c r="S20" s="42">
        <f t="shared" ref="S20" si="180">S19-R19</f>
        <v>38</v>
      </c>
      <c r="T20" s="42">
        <f t="shared" ref="T20" si="181">T19-S19</f>
        <v>38</v>
      </c>
      <c r="U20" s="42">
        <f t="shared" ref="U20" si="182">U19-T19</f>
        <v>37</v>
      </c>
      <c r="V20" s="42">
        <f t="shared" ref="V20" si="183">V19-U19</f>
        <v>36</v>
      </c>
      <c r="W20" s="42">
        <f t="shared" ref="W20" si="184">W19-V19</f>
        <v>37</v>
      </c>
      <c r="X20" s="42">
        <f t="shared" ref="X20" si="185">X19-W19</f>
        <v>38</v>
      </c>
      <c r="Y20" s="42">
        <f t="shared" ref="Y20" si="186">Y19-X19</f>
        <v>40</v>
      </c>
      <c r="Z20" s="42">
        <f t="shared" ref="Z20" si="187">Z19-Y19</f>
        <v>37</v>
      </c>
      <c r="AA20" s="42">
        <f t="shared" ref="AA20" si="188">AA19-Z19</f>
        <v>40</v>
      </c>
      <c r="AB20" s="42">
        <f t="shared" ref="AB20" si="189">AB19-AA19</f>
        <v>38</v>
      </c>
      <c r="AC20" s="42">
        <f t="shared" ref="AC20" si="190">AC19-AB19</f>
        <v>38</v>
      </c>
      <c r="AD20" s="42">
        <f t="shared" ref="AD20" si="191">AD19-AC19</f>
        <v>39</v>
      </c>
      <c r="AE20" s="42">
        <f t="shared" ref="AE20" si="192">AE19-AD19</f>
        <v>38</v>
      </c>
      <c r="AF20" s="42">
        <f t="shared" ref="AF20" si="193">AF19-AE19</f>
        <v>40</v>
      </c>
      <c r="AG20" s="42"/>
    </row>
    <row r="21" spans="1:33" ht="27" customHeight="1" x14ac:dyDescent="0.3">
      <c r="B21" s="73" t="s">
        <v>34</v>
      </c>
      <c r="C21" s="73"/>
      <c r="D21" s="44"/>
      <c r="E21" s="62">
        <f>((E6+E8)+((E10+E12)*40%)+(E14+E16+E18+E20))</f>
        <v>27600</v>
      </c>
      <c r="F21" s="62">
        <f t="shared" ref="F21:AF21" si="194">((F6+F8)+((F10+F12)*40%)+(F14+F16+F18+F20))</f>
        <v>28019</v>
      </c>
      <c r="G21" s="62">
        <f t="shared" si="194"/>
        <v>28409</v>
      </c>
      <c r="H21" s="62">
        <f t="shared" si="194"/>
        <v>29407</v>
      </c>
      <c r="I21" s="62">
        <f t="shared" si="194"/>
        <v>28422</v>
      </c>
      <c r="J21" s="62">
        <f t="shared" si="194"/>
        <v>27420</v>
      </c>
      <c r="K21" s="62">
        <f t="shared" si="194"/>
        <v>29006</v>
      </c>
      <c r="L21" s="62">
        <f t="shared" si="194"/>
        <v>29809</v>
      </c>
      <c r="M21" s="62">
        <f t="shared" si="194"/>
        <v>28408</v>
      </c>
      <c r="N21" s="62">
        <f t="shared" si="194"/>
        <v>29814</v>
      </c>
      <c r="O21" s="62">
        <f t="shared" si="194"/>
        <v>30398</v>
      </c>
      <c r="P21" s="62">
        <f t="shared" si="194"/>
        <v>28808</v>
      </c>
      <c r="Q21" s="62">
        <f t="shared" si="194"/>
        <v>27603</v>
      </c>
      <c r="R21" s="62">
        <f t="shared" si="194"/>
        <v>27997</v>
      </c>
      <c r="S21" s="62">
        <f t="shared" si="194"/>
        <v>28393</v>
      </c>
      <c r="T21" s="62">
        <f t="shared" si="194"/>
        <v>28996</v>
      </c>
      <c r="U21" s="62">
        <f t="shared" si="194"/>
        <v>29194</v>
      </c>
      <c r="V21" s="62">
        <f t="shared" si="194"/>
        <v>29840</v>
      </c>
      <c r="W21" s="62">
        <f t="shared" si="194"/>
        <v>31414</v>
      </c>
      <c r="X21" s="62">
        <f t="shared" si="194"/>
        <v>30418</v>
      </c>
      <c r="Y21" s="62">
        <f t="shared" si="194"/>
        <v>31025</v>
      </c>
      <c r="Z21" s="62">
        <f t="shared" si="194"/>
        <v>31210</v>
      </c>
      <c r="AA21" s="62">
        <f t="shared" si="194"/>
        <v>33221</v>
      </c>
      <c r="AB21" s="62">
        <f t="shared" si="194"/>
        <v>31212</v>
      </c>
      <c r="AC21" s="62">
        <f t="shared" si="194"/>
        <v>30401</v>
      </c>
      <c r="AD21" s="62">
        <f t="shared" si="194"/>
        <v>29795</v>
      </c>
      <c r="AE21" s="62">
        <f t="shared" si="194"/>
        <v>29004</v>
      </c>
      <c r="AF21" s="62">
        <f t="shared" si="194"/>
        <v>28398</v>
      </c>
      <c r="AG21" s="62"/>
    </row>
    <row r="22" spans="1:33" ht="27" customHeight="1" x14ac:dyDescent="0.3">
      <c r="B22" s="66" t="s">
        <v>35</v>
      </c>
      <c r="C22" s="66"/>
      <c r="D22" s="44"/>
      <c r="E22" s="62">
        <f>SUM(E21:AG21)</f>
        <v>823641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</sheetData>
  <mergeCells count="20">
    <mergeCell ref="A2:AG2"/>
    <mergeCell ref="C3:AG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 codeName="Sheet3">
    <pageSetUpPr fitToPage="1"/>
  </sheetPr>
  <dimension ref="A2:AN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S15" sqref="S15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3" width="10.140625" style="2" customWidth="1"/>
    <col min="34" max="16384" width="9.140625" style="2"/>
  </cols>
  <sheetData>
    <row r="2" spans="1:40" s="8" customFormat="1" ht="25.7" customHeight="1" x14ac:dyDescent="0.4">
      <c r="B2" s="89" t="s">
        <v>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40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</row>
    <row r="4" spans="1:40" s="30" customFormat="1" ht="57.75" customHeight="1" thickBot="1" x14ac:dyDescent="0.3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/>
    </row>
    <row r="5" spans="1:40" s="8" customFormat="1" ht="40.5" customHeight="1" thickBot="1" x14ac:dyDescent="0.3">
      <c r="A5" s="92" t="s">
        <v>39</v>
      </c>
      <c r="B5" s="27" t="s">
        <v>67</v>
      </c>
      <c r="C5" s="94" t="s">
        <v>68</v>
      </c>
      <c r="D5" s="31">
        <v>196856</v>
      </c>
      <c r="E5" s="31">
        <v>196957</v>
      </c>
      <c r="F5" s="31">
        <v>197121.7</v>
      </c>
      <c r="G5" s="31">
        <v>197295.3</v>
      </c>
      <c r="H5" s="31">
        <v>197434.4</v>
      </c>
      <c r="I5" s="31">
        <v>197582.3</v>
      </c>
      <c r="J5" s="31">
        <v>197749.8</v>
      </c>
      <c r="K5" s="31">
        <v>197930.6</v>
      </c>
      <c r="L5" s="31">
        <v>198113.4</v>
      </c>
      <c r="M5" s="31">
        <v>198234.9</v>
      </c>
      <c r="N5" s="31">
        <v>198411.5</v>
      </c>
      <c r="O5" s="31">
        <v>198645.6</v>
      </c>
      <c r="P5" s="31">
        <v>198860.6</v>
      </c>
      <c r="Q5" s="31">
        <v>198939.5</v>
      </c>
      <c r="R5" s="31">
        <v>198978.1</v>
      </c>
      <c r="S5" s="63">
        <v>198978.7</v>
      </c>
      <c r="T5" s="31">
        <v>198979.1</v>
      </c>
      <c r="U5" s="31">
        <v>198980.7</v>
      </c>
      <c r="V5" s="63">
        <v>200067.7</v>
      </c>
      <c r="W5" s="31">
        <v>200266.8</v>
      </c>
      <c r="X5" s="31">
        <v>200300.3</v>
      </c>
      <c r="Y5" s="31">
        <v>200949.1</v>
      </c>
      <c r="Z5" s="31">
        <v>201169.6</v>
      </c>
      <c r="AA5" s="31">
        <v>201447.1</v>
      </c>
      <c r="AB5" s="31">
        <v>201618.5</v>
      </c>
      <c r="AC5" s="31">
        <v>201770.6</v>
      </c>
      <c r="AD5" s="31">
        <v>201995.1</v>
      </c>
      <c r="AE5" s="31">
        <v>202127.8</v>
      </c>
      <c r="AF5" s="31">
        <v>202286.21</v>
      </c>
      <c r="AG5" s="31"/>
    </row>
    <row r="6" spans="1:40" s="34" customFormat="1" ht="25.7" customHeight="1" thickBot="1" x14ac:dyDescent="0.3">
      <c r="A6" s="93"/>
      <c r="B6" s="32"/>
      <c r="C6" s="94"/>
      <c r="D6" s="33"/>
      <c r="E6" s="33">
        <f t="shared" ref="E6:AF6" si="0">E5-D5</f>
        <v>101</v>
      </c>
      <c r="F6" s="33">
        <f t="shared" ref="F6" si="1">F5-E5</f>
        <v>164.70000000001164</v>
      </c>
      <c r="G6" s="33">
        <f t="shared" ref="G6" si="2">G5-F5</f>
        <v>173.59999999997672</v>
      </c>
      <c r="H6" s="33">
        <f t="shared" ref="H6" si="3">H5-G5</f>
        <v>139.10000000000582</v>
      </c>
      <c r="I6" s="33">
        <f t="shared" ref="I6" si="4">I5-H5</f>
        <v>147.89999999999418</v>
      </c>
      <c r="J6" s="33">
        <f t="shared" ref="J6" si="5">J5-I5</f>
        <v>167.5</v>
      </c>
      <c r="K6" s="33">
        <f t="shared" ref="K6" si="6">K5-J5</f>
        <v>180.80000000001746</v>
      </c>
      <c r="L6" s="33">
        <f t="shared" ref="L6" si="7">L5-K5</f>
        <v>182.79999999998836</v>
      </c>
      <c r="M6" s="33">
        <f t="shared" ref="M6" si="8">M5-L5</f>
        <v>121.5</v>
      </c>
      <c r="N6" s="33">
        <f t="shared" ref="N6" si="9">N5-M5</f>
        <v>176.60000000000582</v>
      </c>
      <c r="O6" s="33">
        <f t="shared" ref="O6" si="10">O5-N5</f>
        <v>234.10000000000582</v>
      </c>
      <c r="P6" s="33">
        <f t="shared" ref="P6" si="11">P5-O5</f>
        <v>215</v>
      </c>
      <c r="Q6" s="33">
        <f t="shared" ref="Q6" si="12">Q5-P5</f>
        <v>78.899999999994179</v>
      </c>
      <c r="R6" s="33">
        <f t="shared" ref="R6" si="13">R5-Q5</f>
        <v>38.600000000005821</v>
      </c>
      <c r="S6" s="33">
        <f t="shared" ref="S6" si="14">S5-R5</f>
        <v>0.60000000000582077</v>
      </c>
      <c r="T6" s="33">
        <f t="shared" ref="T6" si="15">T5-S5</f>
        <v>0.39999999999417923</v>
      </c>
      <c r="U6" s="33">
        <f t="shared" ref="U6" si="16">U5-T5</f>
        <v>1.6000000000058208</v>
      </c>
      <c r="V6" s="33">
        <f t="shared" ref="V6" si="17">V5-U5</f>
        <v>1087</v>
      </c>
      <c r="W6" s="33">
        <f t="shared" ref="W6" si="18">W5-V5</f>
        <v>199.09999999997672</v>
      </c>
      <c r="X6" s="33">
        <f t="shared" ref="X6" si="19">X5-W5</f>
        <v>33.5</v>
      </c>
      <c r="Y6" s="33">
        <f t="shared" ref="Y6" si="20">Y5-X5</f>
        <v>648.80000000001746</v>
      </c>
      <c r="Z6" s="33">
        <f t="shared" ref="Z6" si="21">Z5-Y5</f>
        <v>220.5</v>
      </c>
      <c r="AA6" s="33">
        <f t="shared" ref="AA6" si="22">AA5-Z5</f>
        <v>277.5</v>
      </c>
      <c r="AB6" s="33">
        <f t="shared" ref="AB6" si="23">AB5-AA5</f>
        <v>171.39999999999418</v>
      </c>
      <c r="AC6" s="33">
        <f t="shared" ref="AC6" si="24">AC5-AB5</f>
        <v>152.10000000000582</v>
      </c>
      <c r="AD6" s="33">
        <f t="shared" ref="AD6" si="25">AD5-AC5</f>
        <v>224.5</v>
      </c>
      <c r="AE6" s="33">
        <f t="shared" ref="AE6" si="26">AE5-AD5</f>
        <v>132.69999999998254</v>
      </c>
      <c r="AF6" s="33">
        <f t="shared" ref="AF6" si="27">AF5-AE5</f>
        <v>158.41000000000349</v>
      </c>
      <c r="AG6" s="33"/>
      <c r="AH6" s="8"/>
      <c r="AI6" s="8"/>
      <c r="AJ6" s="8"/>
      <c r="AK6" s="8"/>
      <c r="AL6" s="8"/>
      <c r="AM6" s="8"/>
      <c r="AN6" s="8"/>
    </row>
    <row r="7" spans="1:40" s="8" customFormat="1" ht="39.75" customHeight="1" x14ac:dyDescent="0.25">
      <c r="A7" s="92" t="s">
        <v>41</v>
      </c>
      <c r="B7" s="49" t="s">
        <v>69</v>
      </c>
      <c r="C7" s="94" t="s">
        <v>70</v>
      </c>
      <c r="D7" s="31">
        <v>259627.1</v>
      </c>
      <c r="E7" s="31">
        <v>259746.1</v>
      </c>
      <c r="F7" s="31">
        <v>259897.5</v>
      </c>
      <c r="G7" s="31">
        <v>260000</v>
      </c>
      <c r="H7" s="31">
        <v>260147</v>
      </c>
      <c r="I7" s="31">
        <v>260236.5</v>
      </c>
      <c r="J7" s="31">
        <v>260390</v>
      </c>
      <c r="K7" s="31">
        <v>260552.3</v>
      </c>
      <c r="L7" s="31">
        <v>260719.4</v>
      </c>
      <c r="M7" s="31">
        <v>260912.5</v>
      </c>
      <c r="N7" s="31">
        <v>261147.4</v>
      </c>
      <c r="O7" s="31">
        <v>261320.8</v>
      </c>
      <c r="P7" s="31">
        <v>261422.1</v>
      </c>
      <c r="Q7" s="31">
        <v>261544.1</v>
      </c>
      <c r="R7" s="31">
        <v>261686.1</v>
      </c>
      <c r="S7" s="31">
        <v>261710.8</v>
      </c>
      <c r="T7" s="31">
        <v>261741</v>
      </c>
      <c r="U7" s="31">
        <v>261812.3</v>
      </c>
      <c r="V7" s="31">
        <v>261930.9</v>
      </c>
      <c r="W7" s="31">
        <v>262039.8</v>
      </c>
      <c r="X7" s="31">
        <v>262608.40000000002</v>
      </c>
      <c r="Y7" s="31">
        <v>262724.40000000002</v>
      </c>
      <c r="Z7" s="31">
        <v>262927.90000000002</v>
      </c>
      <c r="AA7" s="31">
        <v>263049.5</v>
      </c>
      <c r="AB7" s="31">
        <v>263263.40000000002</v>
      </c>
      <c r="AC7" s="31">
        <v>263427.8</v>
      </c>
      <c r="AD7" s="31">
        <v>263541.3</v>
      </c>
      <c r="AE7" s="31">
        <v>263722.14</v>
      </c>
      <c r="AF7" s="31">
        <v>263852.25599999999</v>
      </c>
      <c r="AG7" s="31"/>
    </row>
    <row r="8" spans="1:40" s="34" customFormat="1" ht="25.7" customHeight="1" x14ac:dyDescent="0.25">
      <c r="A8" s="93"/>
      <c r="B8" s="47"/>
      <c r="C8" s="94"/>
      <c r="D8" s="33"/>
      <c r="E8" s="33">
        <f t="shared" ref="E8" si="28">E7-D7</f>
        <v>119</v>
      </c>
      <c r="F8" s="33">
        <f t="shared" ref="F8" si="29">F7-E7</f>
        <v>151.39999999999418</v>
      </c>
      <c r="G8" s="33">
        <f t="shared" ref="G8" si="30">G7-F7</f>
        <v>102.5</v>
      </c>
      <c r="H8" s="33">
        <f t="shared" ref="H8" si="31">H7-G7</f>
        <v>147</v>
      </c>
      <c r="I8" s="33">
        <f t="shared" ref="I8" si="32">I7-H7</f>
        <v>89.5</v>
      </c>
      <c r="J8" s="33">
        <f t="shared" ref="J8" si="33">J7-I7</f>
        <v>153.5</v>
      </c>
      <c r="K8" s="33">
        <f t="shared" ref="K8" si="34">K7-J7</f>
        <v>162.29999999998836</v>
      </c>
      <c r="L8" s="33">
        <f t="shared" ref="L8" si="35">L7-K7</f>
        <v>167.10000000000582</v>
      </c>
      <c r="M8" s="33">
        <f t="shared" ref="M8" si="36">M7-L7</f>
        <v>193.10000000000582</v>
      </c>
      <c r="N8" s="33">
        <f t="shared" ref="N8" si="37">N7-M7</f>
        <v>234.89999999999418</v>
      </c>
      <c r="O8" s="33">
        <f t="shared" ref="O8" si="38">O7-N7</f>
        <v>173.39999999999418</v>
      </c>
      <c r="P8" s="33">
        <f t="shared" ref="P8" si="39">P7-O7</f>
        <v>101.30000000001746</v>
      </c>
      <c r="Q8" s="33">
        <f t="shared" ref="Q8" si="40">Q7-P7</f>
        <v>122</v>
      </c>
      <c r="R8" s="33">
        <f t="shared" ref="R8" si="41">R7-Q7</f>
        <v>142</v>
      </c>
      <c r="S8" s="33">
        <f t="shared" ref="S8" si="42">S7-R7</f>
        <v>24.699999999982538</v>
      </c>
      <c r="T8" s="33">
        <f t="shared" ref="T8" si="43">T7-S7</f>
        <v>30.200000000011642</v>
      </c>
      <c r="U8" s="33">
        <f t="shared" ref="U8" si="44">U7-T7</f>
        <v>71.299999999988358</v>
      </c>
      <c r="V8" s="33">
        <f t="shared" ref="V8" si="45">V7-U7</f>
        <v>118.60000000000582</v>
      </c>
      <c r="W8" s="33">
        <f t="shared" ref="W8" si="46">W7-V7</f>
        <v>108.89999999999418</v>
      </c>
      <c r="X8" s="33">
        <f t="shared" ref="X8" si="47">X7-W7</f>
        <v>568.60000000003492</v>
      </c>
      <c r="Y8" s="33">
        <f t="shared" ref="Y8" si="48">Y7-X7</f>
        <v>116</v>
      </c>
      <c r="Z8" s="33">
        <f t="shared" ref="Z8" si="49">Z7-Y7</f>
        <v>203.5</v>
      </c>
      <c r="AA8" s="33">
        <f t="shared" ref="AA8" si="50">AA7-Z7</f>
        <v>121.59999999997672</v>
      </c>
      <c r="AB8" s="33">
        <f t="shared" ref="AB8" si="51">AB7-AA7</f>
        <v>213.90000000002328</v>
      </c>
      <c r="AC8" s="33">
        <f t="shared" ref="AC8" si="52">AC7-AB7</f>
        <v>164.39999999996508</v>
      </c>
      <c r="AD8" s="33">
        <f t="shared" ref="AD8" si="53">AD7-AC7</f>
        <v>113.5</v>
      </c>
      <c r="AE8" s="33">
        <f t="shared" ref="AE8" si="54">AE7-AD7</f>
        <v>180.84000000002561</v>
      </c>
      <c r="AF8" s="33">
        <f t="shared" ref="AF8" si="55">AF7-AE7</f>
        <v>130.11599999997998</v>
      </c>
      <c r="AG8" s="33"/>
      <c r="AH8" s="8"/>
      <c r="AI8" s="8"/>
      <c r="AJ8" s="8"/>
      <c r="AK8" s="8"/>
      <c r="AL8" s="8"/>
      <c r="AM8" s="8"/>
      <c r="AN8" s="8"/>
    </row>
    <row r="9" spans="1:40" s="8" customFormat="1" ht="25.7" customHeight="1" x14ac:dyDescent="0.25">
      <c r="A9" s="92">
        <v>4</v>
      </c>
      <c r="B9" s="46" t="s">
        <v>71</v>
      </c>
      <c r="C9" s="94" t="s">
        <v>72</v>
      </c>
      <c r="D9" s="31">
        <v>73536</v>
      </c>
      <c r="E9" s="31">
        <v>73580</v>
      </c>
      <c r="F9" s="31">
        <v>73642</v>
      </c>
      <c r="G9" s="31">
        <v>73666</v>
      </c>
      <c r="H9" s="31">
        <v>73728</v>
      </c>
      <c r="I9" s="31">
        <v>73728</v>
      </c>
      <c r="J9" s="31">
        <v>73785</v>
      </c>
      <c r="K9" s="31">
        <v>73865</v>
      </c>
      <c r="L9" s="31">
        <v>73935</v>
      </c>
      <c r="M9" s="31">
        <v>74027</v>
      </c>
      <c r="N9" s="31">
        <v>74171</v>
      </c>
      <c r="O9" s="31">
        <v>74241</v>
      </c>
      <c r="P9" s="31">
        <v>74241</v>
      </c>
      <c r="Q9" s="31">
        <v>74272</v>
      </c>
      <c r="R9" s="31">
        <v>74363</v>
      </c>
      <c r="S9" s="31">
        <v>74364</v>
      </c>
      <c r="T9" s="31">
        <v>74373</v>
      </c>
      <c r="U9" s="31">
        <v>74426</v>
      </c>
      <c r="V9" s="31">
        <v>74528</v>
      </c>
      <c r="W9" s="31">
        <v>74531</v>
      </c>
      <c r="X9" s="31">
        <v>74575</v>
      </c>
      <c r="Y9" s="31">
        <v>74575</v>
      </c>
      <c r="Z9" s="31">
        <v>74575</v>
      </c>
      <c r="AA9" s="31">
        <v>74575</v>
      </c>
      <c r="AB9" s="31">
        <v>74575</v>
      </c>
      <c r="AC9" s="31">
        <v>74575</v>
      </c>
      <c r="AD9" s="31">
        <v>74575</v>
      </c>
      <c r="AE9" s="31">
        <v>74575</v>
      </c>
      <c r="AF9" s="31">
        <v>74575</v>
      </c>
      <c r="AG9" s="63"/>
    </row>
    <row r="10" spans="1:40" s="34" customFormat="1" ht="25.7" customHeight="1" x14ac:dyDescent="0.25">
      <c r="A10" s="93"/>
      <c r="B10" s="47"/>
      <c r="C10" s="94"/>
      <c r="D10" s="33"/>
      <c r="E10" s="33">
        <f t="shared" ref="E10" si="56">E9-D9</f>
        <v>44</v>
      </c>
      <c r="F10" s="33">
        <f t="shared" ref="F10" si="57">F9-E9</f>
        <v>62</v>
      </c>
      <c r="G10" s="33">
        <f t="shared" ref="G10" si="58">G9-F9</f>
        <v>24</v>
      </c>
      <c r="H10" s="33">
        <f t="shared" ref="H10" si="59">H9-G9</f>
        <v>62</v>
      </c>
      <c r="I10" s="33">
        <f t="shared" ref="I10" si="60">I9-H9</f>
        <v>0</v>
      </c>
      <c r="J10" s="33">
        <f t="shared" ref="J10" si="61">J9-I9</f>
        <v>57</v>
      </c>
      <c r="K10" s="33">
        <f t="shared" ref="K10" si="62">K9-J9</f>
        <v>80</v>
      </c>
      <c r="L10" s="33">
        <f t="shared" ref="L10" si="63">L9-K9</f>
        <v>70</v>
      </c>
      <c r="M10" s="33">
        <f t="shared" ref="M10" si="64">M9-L9</f>
        <v>92</v>
      </c>
      <c r="N10" s="33">
        <f t="shared" ref="N10" si="65">N9-M9</f>
        <v>144</v>
      </c>
      <c r="O10" s="33">
        <f t="shared" ref="O10" si="66">O9-N9</f>
        <v>70</v>
      </c>
      <c r="P10" s="33">
        <f t="shared" ref="P10" si="67">P9-O9</f>
        <v>0</v>
      </c>
      <c r="Q10" s="33">
        <f t="shared" ref="Q10" si="68">Q9-P9</f>
        <v>31</v>
      </c>
      <c r="R10" s="33">
        <f t="shared" ref="R10" si="69">R9-Q9</f>
        <v>91</v>
      </c>
      <c r="S10" s="33">
        <f t="shared" ref="S10" si="70">S9-R9</f>
        <v>1</v>
      </c>
      <c r="T10" s="33">
        <f t="shared" ref="T10" si="71">T9-S9</f>
        <v>9</v>
      </c>
      <c r="U10" s="33">
        <f t="shared" ref="U10" si="72">U9-T9</f>
        <v>53</v>
      </c>
      <c r="V10" s="33">
        <f t="shared" ref="V10" si="73">V9-U9</f>
        <v>102</v>
      </c>
      <c r="W10" s="33">
        <f t="shared" ref="W10" si="74">W9-V9</f>
        <v>3</v>
      </c>
      <c r="X10" s="33">
        <f t="shared" ref="X10" si="75">X9-W9</f>
        <v>44</v>
      </c>
      <c r="Y10" s="33">
        <f t="shared" ref="Y10" si="76">Y9-X9</f>
        <v>0</v>
      </c>
      <c r="Z10" s="33">
        <f t="shared" ref="Z10" si="77">Z9-Y9</f>
        <v>0</v>
      </c>
      <c r="AA10" s="33">
        <f t="shared" ref="AA10" si="78">AA9-Z9</f>
        <v>0</v>
      </c>
      <c r="AB10" s="33">
        <f t="shared" ref="AB10" si="79">AB9-AA9</f>
        <v>0</v>
      </c>
      <c r="AC10" s="33">
        <f t="shared" ref="AC10" si="80">AC9-AB9</f>
        <v>0</v>
      </c>
      <c r="AD10" s="33">
        <f t="shared" ref="AD10" si="81">AD9-AC9</f>
        <v>0</v>
      </c>
      <c r="AE10" s="33">
        <f t="shared" ref="AE10" si="82">AE9-AD9</f>
        <v>0</v>
      </c>
      <c r="AF10" s="33">
        <f t="shared" ref="AF10" si="83">AF9-AE9</f>
        <v>0</v>
      </c>
      <c r="AG10" s="33"/>
      <c r="AH10" s="8"/>
      <c r="AI10" s="8"/>
      <c r="AJ10" s="8"/>
      <c r="AK10" s="8"/>
      <c r="AL10" s="8"/>
      <c r="AM10" s="8"/>
      <c r="AN10" s="8"/>
    </row>
    <row r="11" spans="1:40" s="8" customFormat="1" ht="25.7" customHeight="1" x14ac:dyDescent="0.25">
      <c r="A11" s="95">
        <v>5</v>
      </c>
      <c r="B11" s="27">
        <v>68864837</v>
      </c>
      <c r="C11" s="94" t="s">
        <v>73</v>
      </c>
      <c r="D11" s="31">
        <v>92.619</v>
      </c>
      <c r="E11" s="31">
        <v>93.126000000000005</v>
      </c>
      <c r="F11" s="31">
        <v>93.704999999999998</v>
      </c>
      <c r="G11" s="31">
        <v>94.402000000000001</v>
      </c>
      <c r="H11" s="31">
        <v>94.853999999999999</v>
      </c>
      <c r="I11" s="31">
        <v>95.480999999999995</v>
      </c>
      <c r="J11" s="31">
        <v>95.820999999999998</v>
      </c>
      <c r="K11" s="31">
        <v>96.313999999999993</v>
      </c>
      <c r="L11" s="31">
        <v>96.722999999999999</v>
      </c>
      <c r="M11" s="31">
        <v>97.238</v>
      </c>
      <c r="N11" s="31">
        <v>97.608999999999995</v>
      </c>
      <c r="O11" s="31">
        <v>98.731999999999999</v>
      </c>
      <c r="P11" s="31">
        <v>98.731999999999999</v>
      </c>
      <c r="Q11" s="31">
        <v>100.446</v>
      </c>
      <c r="R11" s="31">
        <v>101.273</v>
      </c>
      <c r="S11" s="31">
        <v>101.694</v>
      </c>
      <c r="T11" s="31">
        <v>102.447</v>
      </c>
      <c r="U11" s="31">
        <v>102.91800000000001</v>
      </c>
      <c r="V11" s="31">
        <v>103.785</v>
      </c>
      <c r="W11" s="31">
        <v>104.34399999999999</v>
      </c>
      <c r="X11" s="31">
        <v>105.05500000000001</v>
      </c>
      <c r="Y11" s="31">
        <v>105.57599999999999</v>
      </c>
      <c r="Z11" s="31">
        <v>106.04600000000001</v>
      </c>
      <c r="AA11" s="31">
        <v>106.34</v>
      </c>
      <c r="AB11" s="31">
        <v>106.759</v>
      </c>
      <c r="AC11" s="31">
        <v>107.27500000000001</v>
      </c>
      <c r="AD11" s="31">
        <v>108.319</v>
      </c>
      <c r="AE11" s="31">
        <v>108.79600000000001</v>
      </c>
      <c r="AF11" s="31">
        <v>110.02500000000001</v>
      </c>
      <c r="AG11" s="31"/>
    </row>
    <row r="12" spans="1:40" s="8" customFormat="1" ht="25.7" customHeight="1" x14ac:dyDescent="0.25">
      <c r="A12" s="96"/>
      <c r="B12" s="48"/>
      <c r="C12" s="94"/>
      <c r="D12" s="33"/>
      <c r="E12" s="33">
        <f t="shared" ref="E12" si="84">E11-D11</f>
        <v>0.507000000000005</v>
      </c>
      <c r="F12" s="33">
        <f t="shared" ref="F12" si="85">F11-E11</f>
        <v>0.57899999999999352</v>
      </c>
      <c r="G12" s="33">
        <f t="shared" ref="G12" si="86">G11-F11</f>
        <v>0.69700000000000273</v>
      </c>
      <c r="H12" s="33">
        <f t="shared" ref="H12" si="87">H11-G11</f>
        <v>0.45199999999999818</v>
      </c>
      <c r="I12" s="33">
        <f t="shared" ref="I12" si="88">I11-H11</f>
        <v>0.62699999999999534</v>
      </c>
      <c r="J12" s="33">
        <f t="shared" ref="J12" si="89">J11-I11</f>
        <v>0.34000000000000341</v>
      </c>
      <c r="K12" s="33">
        <f t="shared" ref="K12" si="90">K11-J11</f>
        <v>0.492999999999995</v>
      </c>
      <c r="L12" s="33">
        <f t="shared" ref="L12" si="91">L11-K11</f>
        <v>0.40900000000000603</v>
      </c>
      <c r="M12" s="33">
        <f t="shared" ref="M12" si="92">M11-L11</f>
        <v>0.51500000000000057</v>
      </c>
      <c r="N12" s="33">
        <f t="shared" ref="N12" si="93">N11-M11</f>
        <v>0.37099999999999511</v>
      </c>
      <c r="O12" s="33">
        <f t="shared" ref="O12" si="94">O11-N11</f>
        <v>1.1230000000000047</v>
      </c>
      <c r="P12" s="33">
        <f t="shared" ref="P12" si="95">P11-O11</f>
        <v>0</v>
      </c>
      <c r="Q12" s="33">
        <f t="shared" ref="Q12" si="96">Q11-P11</f>
        <v>1.7139999999999986</v>
      </c>
      <c r="R12" s="33">
        <f t="shared" ref="R12" si="97">R11-Q11</f>
        <v>0.82699999999999818</v>
      </c>
      <c r="S12" s="33">
        <f t="shared" ref="S12" si="98">S11-R11</f>
        <v>0.42100000000000648</v>
      </c>
      <c r="T12" s="33">
        <f t="shared" ref="T12" si="99">T11-S11</f>
        <v>0.75300000000000011</v>
      </c>
      <c r="U12" s="33">
        <f t="shared" ref="U12" si="100">U11-T11</f>
        <v>0.47100000000000364</v>
      </c>
      <c r="V12" s="33">
        <f t="shared" ref="V12" si="101">V11-U11</f>
        <v>0.86699999999999022</v>
      </c>
      <c r="W12" s="33">
        <f t="shared" ref="W12" si="102">W11-V11</f>
        <v>0.5589999999999975</v>
      </c>
      <c r="X12" s="33">
        <f t="shared" ref="X12" si="103">X11-W11</f>
        <v>0.71100000000001273</v>
      </c>
      <c r="Y12" s="33">
        <f t="shared" ref="Y12" si="104">Y11-X11</f>
        <v>0.52099999999998658</v>
      </c>
      <c r="Z12" s="33">
        <f t="shared" ref="Z12" si="105">Z11-Y11</f>
        <v>0.47000000000001307</v>
      </c>
      <c r="AA12" s="33">
        <f t="shared" ref="AA12" si="106">AA11-Z11</f>
        <v>0.29399999999999693</v>
      </c>
      <c r="AB12" s="33">
        <f t="shared" ref="AB12" si="107">AB11-AA11</f>
        <v>0.41899999999999693</v>
      </c>
      <c r="AC12" s="33">
        <f t="shared" ref="AC12" si="108">AC11-AB11</f>
        <v>0.51600000000000534</v>
      </c>
      <c r="AD12" s="33">
        <f t="shared" ref="AD12" si="109">AD11-AC11</f>
        <v>1.0439999999999969</v>
      </c>
      <c r="AE12" s="33">
        <f t="shared" ref="AE12" si="110">AE11-AD11</f>
        <v>0.47700000000000387</v>
      </c>
      <c r="AF12" s="33">
        <f t="shared" ref="AF12" si="111">AF11-AE11</f>
        <v>1.2289999999999992</v>
      </c>
      <c r="AG12" s="33"/>
    </row>
    <row r="13" spans="1:40" s="8" customFormat="1" ht="25.7" customHeight="1" x14ac:dyDescent="0.25">
      <c r="A13" s="95">
        <v>6</v>
      </c>
      <c r="B13" s="27">
        <v>65296485</v>
      </c>
      <c r="C13" s="94" t="s">
        <v>74</v>
      </c>
      <c r="D13" s="31">
        <v>8134.1310000000003</v>
      </c>
      <c r="E13" s="31">
        <v>8137.5060000000003</v>
      </c>
      <c r="F13" s="31">
        <v>8138.8419999999996</v>
      </c>
      <c r="G13" s="31">
        <v>8139.2129999999997</v>
      </c>
      <c r="H13" s="31">
        <v>8140.0889999999999</v>
      </c>
      <c r="I13" s="31">
        <v>8140.8909999999996</v>
      </c>
      <c r="J13" s="31">
        <v>8143.9870000000001</v>
      </c>
      <c r="K13" s="31">
        <v>8145.4790000000003</v>
      </c>
      <c r="L13" s="31">
        <v>8145.9840000000004</v>
      </c>
      <c r="M13" s="31">
        <v>8146.9809999999998</v>
      </c>
      <c r="N13" s="31">
        <v>8147.2740000000003</v>
      </c>
      <c r="O13" s="31">
        <v>8154.6549999999997</v>
      </c>
      <c r="P13" s="31">
        <v>8155.3419999999996</v>
      </c>
      <c r="Q13" s="31">
        <v>8156.3789999999999</v>
      </c>
      <c r="R13" s="31">
        <v>8157.2290000000003</v>
      </c>
      <c r="S13" s="31">
        <v>8160.152</v>
      </c>
      <c r="T13" s="31">
        <v>8161.9690000000001</v>
      </c>
      <c r="U13" s="31">
        <v>8163.9690000000001</v>
      </c>
      <c r="V13" s="31">
        <v>8165.1189999999997</v>
      </c>
      <c r="W13" s="31">
        <v>8166.5320000000002</v>
      </c>
      <c r="X13" s="31">
        <v>8178.5050000000001</v>
      </c>
      <c r="Y13" s="31">
        <v>8179.674</v>
      </c>
      <c r="Z13" s="31">
        <v>8181.0290000000005</v>
      </c>
      <c r="AA13" s="31">
        <v>8182.6959999999999</v>
      </c>
      <c r="AB13" s="31">
        <v>8184.9560000000001</v>
      </c>
      <c r="AC13" s="31">
        <v>8185.7309999999998</v>
      </c>
      <c r="AD13" s="31">
        <v>8186.3119999999999</v>
      </c>
      <c r="AE13" s="31">
        <v>8186.6949999999997</v>
      </c>
      <c r="AF13" s="31">
        <v>8187</v>
      </c>
      <c r="AG13" s="31"/>
    </row>
    <row r="14" spans="1:40" s="8" customFormat="1" ht="25.7" customHeight="1" x14ac:dyDescent="0.25">
      <c r="A14" s="96"/>
      <c r="B14" s="48"/>
      <c r="C14" s="94"/>
      <c r="D14" s="33"/>
      <c r="E14" s="33">
        <f t="shared" ref="E14" si="112">E13-D13</f>
        <v>3.375</v>
      </c>
      <c r="F14" s="33">
        <f t="shared" ref="F14" si="113">F13-E13</f>
        <v>1.3359999999993306</v>
      </c>
      <c r="G14" s="33">
        <f t="shared" ref="G14" si="114">G13-F13</f>
        <v>0.37100000000009459</v>
      </c>
      <c r="H14" s="33">
        <f t="shared" ref="H14" si="115">H13-G13</f>
        <v>0.87600000000020373</v>
      </c>
      <c r="I14" s="33">
        <f t="shared" ref="I14" si="116">I13-H13</f>
        <v>0.80199999999967986</v>
      </c>
      <c r="J14" s="33">
        <f t="shared" ref="J14" si="117">J13-I13</f>
        <v>3.0960000000004584</v>
      </c>
      <c r="K14" s="33">
        <f t="shared" ref="K14" si="118">K13-J13</f>
        <v>1.4920000000001892</v>
      </c>
      <c r="L14" s="33">
        <f t="shared" ref="L14" si="119">L13-K13</f>
        <v>0.50500000000010914</v>
      </c>
      <c r="M14" s="33">
        <f t="shared" ref="M14" si="120">M13-L13</f>
        <v>0.99699999999938882</v>
      </c>
      <c r="N14" s="33">
        <f t="shared" ref="N14" si="121">N13-M13</f>
        <v>0.2930000000005748</v>
      </c>
      <c r="O14" s="33">
        <f t="shared" ref="O14" si="122">O13-N13</f>
        <v>7.3809999999994034</v>
      </c>
      <c r="P14" s="33">
        <f t="shared" ref="P14" si="123">P13-O13</f>
        <v>0.68699999999989814</v>
      </c>
      <c r="Q14" s="33">
        <f t="shared" ref="Q14" si="124">Q13-P13</f>
        <v>1.0370000000002619</v>
      </c>
      <c r="R14" s="33">
        <f t="shared" ref="R14" si="125">R13-Q13</f>
        <v>0.8500000000003638</v>
      </c>
      <c r="S14" s="33">
        <f t="shared" ref="S14" si="126">S13-R13</f>
        <v>2.9229999999997744</v>
      </c>
      <c r="T14" s="33">
        <f t="shared" ref="T14" si="127">T13-S13</f>
        <v>1.8170000000000073</v>
      </c>
      <c r="U14" s="33">
        <f t="shared" ref="U14" si="128">U13-T13</f>
        <v>2</v>
      </c>
      <c r="V14" s="33">
        <f t="shared" ref="V14" si="129">V13-U13</f>
        <v>1.1499999999996362</v>
      </c>
      <c r="W14" s="33">
        <f t="shared" ref="W14" si="130">W13-V13</f>
        <v>1.4130000000004657</v>
      </c>
      <c r="X14" s="33">
        <f t="shared" ref="X14" si="131">X13-W13</f>
        <v>11.972999999999956</v>
      </c>
      <c r="Y14" s="33">
        <f t="shared" ref="Y14" si="132">Y13-X13</f>
        <v>1.168999999999869</v>
      </c>
      <c r="Z14" s="33">
        <f t="shared" ref="Z14" si="133">Z13-Y13</f>
        <v>1.3550000000004729</v>
      </c>
      <c r="AA14" s="33">
        <f t="shared" ref="AA14" si="134">AA13-Z13</f>
        <v>1.6669999999994616</v>
      </c>
      <c r="AB14" s="33">
        <f t="shared" ref="AB14" si="135">AB13-AA13</f>
        <v>2.2600000000002183</v>
      </c>
      <c r="AC14" s="33">
        <f t="shared" ref="AC14" si="136">AC13-AB13</f>
        <v>0.7749999999996362</v>
      </c>
      <c r="AD14" s="33">
        <f t="shared" ref="AD14" si="137">AD13-AC13</f>
        <v>0.58100000000013097</v>
      </c>
      <c r="AE14" s="33">
        <f t="shared" ref="AE14" si="138">AE13-AD13</f>
        <v>0.38299999999981083</v>
      </c>
      <c r="AF14" s="33">
        <f t="shared" ref="AF14" si="139">AF13-AE13</f>
        <v>0.30500000000029104</v>
      </c>
      <c r="AG14" s="33"/>
      <c r="AH14" s="2"/>
      <c r="AI14" s="2"/>
      <c r="AJ14" s="2"/>
      <c r="AK14" s="2"/>
      <c r="AL14" s="2"/>
      <c r="AM14" s="2"/>
      <c r="AN14" s="2"/>
    </row>
    <row r="15" spans="1:40" ht="33" customHeight="1" x14ac:dyDescent="0.25">
      <c r="B15" s="88" t="s">
        <v>75</v>
      </c>
      <c r="C15" s="88"/>
      <c r="D15" s="50"/>
      <c r="E15" s="50">
        <f>E6+((E8*45%)+(E10*45%)+(E12+E14))</f>
        <v>178.23200000000003</v>
      </c>
      <c r="F15" s="50">
        <f t="shared" ref="F15:AF15" si="140">F6+((F8*45%)+(F10*45%)+(F12+F14))</f>
        <v>262.64500000000834</v>
      </c>
      <c r="G15" s="50">
        <f t="shared" si="140"/>
        <v>231.59299999997683</v>
      </c>
      <c r="H15" s="50">
        <f t="shared" si="140"/>
        <v>234.47800000000603</v>
      </c>
      <c r="I15" s="50">
        <f t="shared" si="140"/>
        <v>189.60399999999385</v>
      </c>
      <c r="J15" s="50">
        <f t="shared" si="140"/>
        <v>265.66100000000046</v>
      </c>
      <c r="K15" s="50">
        <f t="shared" si="140"/>
        <v>291.82000000001244</v>
      </c>
      <c r="L15" s="50">
        <f t="shared" si="140"/>
        <v>290.40899999999112</v>
      </c>
      <c r="M15" s="50">
        <f t="shared" si="140"/>
        <v>251.30700000000201</v>
      </c>
      <c r="N15" s="50">
        <f t="shared" si="140"/>
        <v>347.76900000000376</v>
      </c>
      <c r="O15" s="50">
        <f t="shared" si="140"/>
        <v>352.13400000000263</v>
      </c>
      <c r="P15" s="50">
        <f t="shared" si="140"/>
        <v>261.27200000000778</v>
      </c>
      <c r="Q15" s="50">
        <f t="shared" si="140"/>
        <v>150.50099999999443</v>
      </c>
      <c r="R15" s="50">
        <f t="shared" si="140"/>
        <v>145.12700000000618</v>
      </c>
      <c r="S15" s="50">
        <f t="shared" si="140"/>
        <v>15.508999999997743</v>
      </c>
      <c r="T15" s="50">
        <f t="shared" si="140"/>
        <v>20.609999999999424</v>
      </c>
      <c r="U15" s="50">
        <f t="shared" si="140"/>
        <v>60.00600000000059</v>
      </c>
      <c r="V15" s="50">
        <f t="shared" si="140"/>
        <v>1188.2870000000023</v>
      </c>
      <c r="W15" s="50">
        <f t="shared" si="140"/>
        <v>251.42699999997456</v>
      </c>
      <c r="X15" s="50">
        <f t="shared" si="140"/>
        <v>321.85400000001567</v>
      </c>
      <c r="Y15" s="50">
        <f t="shared" si="140"/>
        <v>702.69000000001733</v>
      </c>
      <c r="Z15" s="50">
        <f t="shared" si="140"/>
        <v>313.90000000000049</v>
      </c>
      <c r="AA15" s="50">
        <f t="shared" si="140"/>
        <v>334.18099999998901</v>
      </c>
      <c r="AB15" s="50">
        <f t="shared" si="140"/>
        <v>270.33400000000489</v>
      </c>
      <c r="AC15" s="50">
        <f t="shared" si="140"/>
        <v>227.37099999998975</v>
      </c>
      <c r="AD15" s="50">
        <f t="shared" si="140"/>
        <v>277.20000000000016</v>
      </c>
      <c r="AE15" s="50">
        <f t="shared" si="140"/>
        <v>214.93799999999388</v>
      </c>
      <c r="AF15" s="50">
        <f t="shared" si="140"/>
        <v>218.49619999999476</v>
      </c>
      <c r="AG15" s="57"/>
    </row>
    <row r="16" spans="1:40" ht="33" customHeight="1" x14ac:dyDescent="0.25">
      <c r="B16" s="87" t="s">
        <v>76</v>
      </c>
      <c r="C16" s="87"/>
      <c r="D16" s="50"/>
      <c r="E16" s="57">
        <f>SUM(E15:AG15)</f>
        <v>7869.3551999999872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G2"/>
    <mergeCell ref="B3:AG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 codeName="Sheet4">
    <pageSetUpPr fitToPage="1"/>
  </sheetPr>
  <dimension ref="A1:G35"/>
  <sheetViews>
    <sheetView zoomScaleNormal="100" workbookViewId="0">
      <pane ySplit="3" topLeftCell="A21" activePane="bottomLeft" state="frozen"/>
      <selection pane="bottomLeft" activeCell="B31" sqref="B31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2" customHeight="1" x14ac:dyDescent="0.25">
      <c r="A1" s="97" t="s">
        <v>83</v>
      </c>
      <c r="B1" s="97"/>
      <c r="C1" s="97"/>
    </row>
    <row r="3" spans="1:7" ht="48" x14ac:dyDescent="0.25">
      <c r="A3" s="51" t="s">
        <v>38</v>
      </c>
      <c r="B3" s="52">
        <v>60330.07</v>
      </c>
      <c r="C3" s="53"/>
    </row>
    <row r="4" spans="1:7" ht="28.5" customHeight="1" x14ac:dyDescent="0.25">
      <c r="A4" s="54">
        <v>1</v>
      </c>
      <c r="B4" s="52"/>
      <c r="C4" s="53">
        <f>B3/28</f>
        <v>2154.6453571428569</v>
      </c>
    </row>
    <row r="5" spans="1:7" ht="28.5" customHeight="1" x14ac:dyDescent="0.25">
      <c r="A5" s="54">
        <v>2</v>
      </c>
      <c r="B5" s="52"/>
      <c r="C5" s="53">
        <v>2154.6453571428569</v>
      </c>
    </row>
    <row r="6" spans="1:7" ht="28.5" customHeight="1" x14ac:dyDescent="0.25">
      <c r="A6" s="55">
        <v>3</v>
      </c>
      <c r="B6" s="52"/>
      <c r="C6" s="53">
        <v>2154.6453571428569</v>
      </c>
    </row>
    <row r="7" spans="1:7" ht="28.5" customHeight="1" x14ac:dyDescent="0.25">
      <c r="A7" s="54">
        <v>4</v>
      </c>
      <c r="B7" s="52"/>
      <c r="C7" s="53">
        <v>2154.6453571428569</v>
      </c>
    </row>
    <row r="8" spans="1:7" ht="28.5" customHeight="1" x14ac:dyDescent="0.25">
      <c r="A8" s="54">
        <v>5</v>
      </c>
      <c r="B8" s="52"/>
      <c r="C8" s="53">
        <v>2154.6453571428569</v>
      </c>
    </row>
    <row r="9" spans="1:7" ht="28.5" customHeight="1" x14ac:dyDescent="0.25">
      <c r="A9" s="54">
        <v>6</v>
      </c>
      <c r="B9" s="52"/>
      <c r="C9" s="53">
        <v>2154.6453571428569</v>
      </c>
      <c r="G9" t="s">
        <v>77</v>
      </c>
    </row>
    <row r="10" spans="1:7" ht="28.5" customHeight="1" x14ac:dyDescent="0.25">
      <c r="A10" s="54">
        <v>7</v>
      </c>
      <c r="B10" s="52"/>
      <c r="C10" s="53">
        <v>2154.6453571428569</v>
      </c>
    </row>
    <row r="11" spans="1:7" ht="28.5" customHeight="1" x14ac:dyDescent="0.25">
      <c r="A11" s="54">
        <v>8</v>
      </c>
      <c r="B11" s="52"/>
      <c r="C11" s="53">
        <v>2154.6453571428569</v>
      </c>
    </row>
    <row r="12" spans="1:7" ht="28.5" customHeight="1" x14ac:dyDescent="0.25">
      <c r="A12" s="54">
        <v>9</v>
      </c>
      <c r="B12" s="52"/>
      <c r="C12" s="53">
        <v>2154.6453571428569</v>
      </c>
    </row>
    <row r="13" spans="1:7" ht="28.5" customHeight="1" x14ac:dyDescent="0.25">
      <c r="A13" s="54">
        <v>10</v>
      </c>
      <c r="B13" s="52"/>
      <c r="C13" s="53">
        <v>2154.6453571428569</v>
      </c>
    </row>
    <row r="14" spans="1:7" ht="28.5" customHeight="1" x14ac:dyDescent="0.25">
      <c r="A14" s="54">
        <v>11</v>
      </c>
      <c r="B14" s="52"/>
      <c r="C14" s="53">
        <v>2154.6453571428569</v>
      </c>
    </row>
    <row r="15" spans="1:7" ht="28.5" customHeight="1" x14ac:dyDescent="0.25">
      <c r="A15" s="54">
        <v>12</v>
      </c>
      <c r="B15" s="52"/>
      <c r="C15" s="53">
        <v>2154.6453571428569</v>
      </c>
    </row>
    <row r="16" spans="1:7" ht="28.5" customHeight="1" x14ac:dyDescent="0.25">
      <c r="A16" s="54">
        <v>13</v>
      </c>
      <c r="B16" s="52"/>
      <c r="C16" s="53">
        <v>2154.6453571428569</v>
      </c>
    </row>
    <row r="17" spans="1:4" ht="28.5" customHeight="1" x14ac:dyDescent="0.25">
      <c r="A17" s="54">
        <v>14</v>
      </c>
      <c r="B17" s="52"/>
      <c r="C17" s="53">
        <v>2154.6453571428569</v>
      </c>
    </row>
    <row r="18" spans="1:4" ht="28.5" customHeight="1" x14ac:dyDescent="0.25">
      <c r="A18" s="54">
        <v>15</v>
      </c>
      <c r="B18" s="52"/>
      <c r="C18" s="53">
        <v>2154.6453571428569</v>
      </c>
    </row>
    <row r="19" spans="1:4" ht="28.5" customHeight="1" x14ac:dyDescent="0.25">
      <c r="A19" s="54">
        <v>16</v>
      </c>
      <c r="B19" s="52"/>
      <c r="C19" s="53">
        <v>2154.6453571428569</v>
      </c>
    </row>
    <row r="20" spans="1:4" ht="28.5" customHeight="1" x14ac:dyDescent="0.25">
      <c r="A20" s="54">
        <v>17</v>
      </c>
      <c r="B20" s="52"/>
      <c r="C20" s="53">
        <v>2154.6453571428569</v>
      </c>
    </row>
    <row r="21" spans="1:4" ht="28.5" customHeight="1" x14ac:dyDescent="0.25">
      <c r="A21" s="54">
        <v>18</v>
      </c>
      <c r="B21" s="52"/>
      <c r="C21" s="53">
        <v>2154.6453571428569</v>
      </c>
    </row>
    <row r="22" spans="1:4" ht="28.5" customHeight="1" x14ac:dyDescent="0.25">
      <c r="A22" s="54">
        <v>19</v>
      </c>
      <c r="B22" s="52"/>
      <c r="C22" s="53">
        <v>2154.6453571428569</v>
      </c>
    </row>
    <row r="23" spans="1:4" ht="28.5" customHeight="1" x14ac:dyDescent="0.25">
      <c r="A23" s="54">
        <v>20</v>
      </c>
      <c r="B23" s="52"/>
      <c r="C23" s="53">
        <v>2154.6453571428569</v>
      </c>
    </row>
    <row r="24" spans="1:4" ht="28.5" customHeight="1" x14ac:dyDescent="0.25">
      <c r="A24" s="54">
        <v>21</v>
      </c>
      <c r="B24" s="52"/>
      <c r="C24" s="53">
        <v>2154.6453571428569</v>
      </c>
    </row>
    <row r="25" spans="1:4" ht="28.5" customHeight="1" x14ac:dyDescent="0.25">
      <c r="A25" s="54">
        <v>22</v>
      </c>
      <c r="B25" s="52"/>
      <c r="C25" s="53">
        <v>2154.6453571428569</v>
      </c>
    </row>
    <row r="26" spans="1:4" ht="28.5" customHeight="1" x14ac:dyDescent="0.25">
      <c r="A26" s="54">
        <v>23</v>
      </c>
      <c r="B26" s="52"/>
      <c r="C26" s="53">
        <v>2154.6453571428569</v>
      </c>
    </row>
    <row r="27" spans="1:4" ht="28.5" customHeight="1" x14ac:dyDescent="0.25">
      <c r="A27" s="54">
        <v>24</v>
      </c>
      <c r="B27" s="52"/>
      <c r="C27" s="53">
        <v>2154.6453571428569</v>
      </c>
    </row>
    <row r="28" spans="1:4" ht="28.5" customHeight="1" x14ac:dyDescent="0.25">
      <c r="A28" s="54">
        <v>25</v>
      </c>
      <c r="B28" s="52"/>
      <c r="C28" s="53">
        <v>2154.6453571428569</v>
      </c>
      <c r="D28" s="56"/>
    </row>
    <row r="29" spans="1:4" ht="28.5" customHeight="1" x14ac:dyDescent="0.25">
      <c r="A29" s="54">
        <v>26</v>
      </c>
      <c r="B29" s="52"/>
      <c r="C29" s="53">
        <v>2154.6453571428569</v>
      </c>
      <c r="D29" s="56"/>
    </row>
    <row r="30" spans="1:4" ht="28.5" customHeight="1" x14ac:dyDescent="0.25">
      <c r="A30" s="54">
        <v>27</v>
      </c>
      <c r="B30" s="52"/>
      <c r="C30" s="53">
        <v>2154.6453571428569</v>
      </c>
    </row>
    <row r="31" spans="1:4" ht="28.5" customHeight="1" x14ac:dyDescent="0.25">
      <c r="A31" s="54">
        <v>28</v>
      </c>
      <c r="B31" s="52"/>
      <c r="C31" s="53">
        <v>2154.6453571428569</v>
      </c>
    </row>
    <row r="32" spans="1:4" ht="28.5" customHeight="1" x14ac:dyDescent="0.25">
      <c r="A32" s="54"/>
      <c r="B32" s="52"/>
      <c r="C32" s="53"/>
    </row>
    <row r="33" spans="1:3" ht="28.5" customHeight="1" x14ac:dyDescent="0.25">
      <c r="A33" s="54"/>
      <c r="B33" s="52"/>
      <c r="C33" s="53"/>
    </row>
    <row r="34" spans="1:3" ht="28.5" customHeight="1" x14ac:dyDescent="0.25">
      <c r="A34" s="54"/>
      <c r="B34" s="52"/>
      <c r="C34" s="53"/>
    </row>
    <row r="35" spans="1:3" x14ac:dyDescent="0.25">
      <c r="A35" s="98" t="s">
        <v>78</v>
      </c>
      <c r="B35" s="98"/>
      <c r="C35" s="64">
        <f>SUM(C4:C34)</f>
        <v>60330.07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940C-5D8F-4714-BD5B-EDEDEDD1F5B9}">
  <sheetPr codeName="Sheet5"/>
  <dimension ref="A1:C34"/>
  <sheetViews>
    <sheetView topLeftCell="A13" workbookViewId="0">
      <selection activeCell="B34" sqref="B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7" t="s">
        <v>84</v>
      </c>
      <c r="B1" s="97"/>
      <c r="C1" s="97"/>
    </row>
    <row r="2" spans="1:3" ht="24.95" customHeight="1" x14ac:dyDescent="0.25">
      <c r="A2" s="58" t="s">
        <v>79</v>
      </c>
      <c r="B2" s="58" t="s">
        <v>80</v>
      </c>
      <c r="C2" s="58" t="s">
        <v>81</v>
      </c>
    </row>
    <row r="3" spans="1:3" ht="24.95" customHeight="1" x14ac:dyDescent="0.25">
      <c r="A3" s="59">
        <v>44228</v>
      </c>
      <c r="B3" s="65">
        <v>163</v>
      </c>
      <c r="C3" s="65">
        <v>210</v>
      </c>
    </row>
    <row r="4" spans="1:3" ht="24.95" customHeight="1" x14ac:dyDescent="0.25">
      <c r="A4" s="59">
        <v>44229</v>
      </c>
      <c r="B4" s="65">
        <v>201</v>
      </c>
      <c r="C4" s="65">
        <v>267</v>
      </c>
    </row>
    <row r="5" spans="1:3" ht="24.95" customHeight="1" x14ac:dyDescent="0.25">
      <c r="A5" s="59">
        <v>44230</v>
      </c>
      <c r="B5" s="65">
        <v>240</v>
      </c>
      <c r="C5" s="65">
        <v>312</v>
      </c>
    </row>
    <row r="6" spans="1:3" ht="24.95" customHeight="1" x14ac:dyDescent="0.25">
      <c r="A6" s="59">
        <v>44231</v>
      </c>
      <c r="B6" s="65">
        <v>243</v>
      </c>
      <c r="C6" s="65">
        <v>315</v>
      </c>
    </row>
    <row r="7" spans="1:3" ht="24.95" customHeight="1" x14ac:dyDescent="0.25">
      <c r="A7" s="59">
        <v>44232</v>
      </c>
      <c r="B7" s="65">
        <v>255</v>
      </c>
      <c r="C7" s="65">
        <v>326</v>
      </c>
    </row>
    <row r="8" spans="1:3" ht="24.95" customHeight="1" x14ac:dyDescent="0.25">
      <c r="A8" s="59">
        <v>44233</v>
      </c>
      <c r="B8" s="65">
        <v>255</v>
      </c>
      <c r="C8" s="65">
        <v>325</v>
      </c>
    </row>
    <row r="9" spans="1:3" ht="24.95" customHeight="1" x14ac:dyDescent="0.25">
      <c r="A9" s="59">
        <v>44234</v>
      </c>
      <c r="B9" s="65">
        <v>282</v>
      </c>
      <c r="C9" s="65">
        <v>355</v>
      </c>
    </row>
    <row r="10" spans="1:3" ht="24.95" customHeight="1" x14ac:dyDescent="0.25">
      <c r="A10" s="59">
        <v>44235</v>
      </c>
      <c r="B10" s="65">
        <v>314</v>
      </c>
      <c r="C10" s="65">
        <v>397</v>
      </c>
    </row>
    <row r="11" spans="1:3" ht="24.95" customHeight="1" x14ac:dyDescent="0.25">
      <c r="A11" s="59">
        <v>44236</v>
      </c>
      <c r="B11" s="65">
        <v>330</v>
      </c>
      <c r="C11" s="65">
        <v>414</v>
      </c>
    </row>
    <row r="12" spans="1:3" ht="24.95" customHeight="1" x14ac:dyDescent="0.25">
      <c r="A12" s="59">
        <v>44237</v>
      </c>
      <c r="B12" s="65">
        <v>355</v>
      </c>
      <c r="C12" s="65">
        <v>451</v>
      </c>
    </row>
    <row r="13" spans="1:3" ht="24.95" customHeight="1" x14ac:dyDescent="0.25">
      <c r="A13" s="59">
        <v>44238</v>
      </c>
      <c r="B13" s="65">
        <v>337</v>
      </c>
      <c r="C13" s="65">
        <v>437</v>
      </c>
    </row>
    <row r="14" spans="1:3" ht="24.95" customHeight="1" x14ac:dyDescent="0.25">
      <c r="A14" s="59">
        <v>44239</v>
      </c>
      <c r="B14" s="65">
        <v>311</v>
      </c>
      <c r="C14" s="65">
        <v>414</v>
      </c>
    </row>
    <row r="15" spans="1:3" ht="24.95" customHeight="1" x14ac:dyDescent="0.25">
      <c r="A15" s="59">
        <v>44240</v>
      </c>
      <c r="B15" s="65">
        <v>301</v>
      </c>
      <c r="C15" s="65">
        <v>396</v>
      </c>
    </row>
    <row r="16" spans="1:3" ht="24.95" customHeight="1" x14ac:dyDescent="0.25">
      <c r="A16" s="59">
        <v>44241</v>
      </c>
      <c r="B16" s="65">
        <v>338</v>
      </c>
      <c r="C16" s="65">
        <v>437</v>
      </c>
    </row>
    <row r="17" spans="1:3" ht="24.95" customHeight="1" x14ac:dyDescent="0.25">
      <c r="A17" s="59">
        <v>44242</v>
      </c>
      <c r="B17" s="65">
        <v>345</v>
      </c>
      <c r="C17" s="65">
        <v>451</v>
      </c>
    </row>
    <row r="18" spans="1:3" ht="24.95" customHeight="1" x14ac:dyDescent="0.25">
      <c r="A18" s="59">
        <v>44243</v>
      </c>
      <c r="B18" s="65">
        <v>361</v>
      </c>
      <c r="C18" s="65">
        <v>475</v>
      </c>
    </row>
    <row r="19" spans="1:3" ht="24.95" customHeight="1" x14ac:dyDescent="0.25">
      <c r="A19" s="59">
        <v>44244</v>
      </c>
      <c r="B19" s="65">
        <v>367</v>
      </c>
      <c r="C19" s="65">
        <v>486</v>
      </c>
    </row>
    <row r="20" spans="1:3" ht="24.95" customHeight="1" x14ac:dyDescent="0.25">
      <c r="A20" s="59">
        <v>44245</v>
      </c>
      <c r="B20" s="65">
        <v>337</v>
      </c>
      <c r="C20" s="65">
        <v>457</v>
      </c>
    </row>
    <row r="21" spans="1:3" ht="24.95" customHeight="1" x14ac:dyDescent="0.25">
      <c r="A21" s="59">
        <v>44246</v>
      </c>
      <c r="B21" s="65">
        <v>352</v>
      </c>
      <c r="C21" s="65">
        <v>481</v>
      </c>
    </row>
    <row r="22" spans="1:3" ht="24.95" customHeight="1" x14ac:dyDescent="0.25">
      <c r="A22" s="59">
        <v>44247</v>
      </c>
      <c r="B22" s="65">
        <v>360</v>
      </c>
      <c r="C22" s="65">
        <v>478</v>
      </c>
    </row>
    <row r="23" spans="1:3" ht="24.95" customHeight="1" x14ac:dyDescent="0.25">
      <c r="A23" s="59">
        <v>44248</v>
      </c>
      <c r="B23" s="65">
        <v>345</v>
      </c>
      <c r="C23" s="65">
        <v>458</v>
      </c>
    </row>
    <row r="24" spans="1:3" ht="24.95" customHeight="1" x14ac:dyDescent="0.25">
      <c r="A24" s="59">
        <v>44249</v>
      </c>
      <c r="B24" s="65">
        <v>362</v>
      </c>
      <c r="C24" s="65">
        <v>486</v>
      </c>
    </row>
    <row r="25" spans="1:3" ht="24.95" customHeight="1" x14ac:dyDescent="0.25">
      <c r="A25" s="59">
        <v>44250</v>
      </c>
      <c r="B25" s="65">
        <v>360</v>
      </c>
      <c r="C25" s="65">
        <v>493</v>
      </c>
    </row>
    <row r="26" spans="1:3" ht="24.95" customHeight="1" x14ac:dyDescent="0.25">
      <c r="A26" s="59">
        <v>44251</v>
      </c>
      <c r="B26" s="65">
        <v>340</v>
      </c>
      <c r="C26" s="65">
        <v>479</v>
      </c>
    </row>
    <row r="27" spans="1:3" ht="24.95" customHeight="1" x14ac:dyDescent="0.25">
      <c r="A27" s="59">
        <v>44252</v>
      </c>
      <c r="B27" s="65">
        <v>323</v>
      </c>
      <c r="C27" s="65">
        <v>443</v>
      </c>
    </row>
    <row r="28" spans="1:3" ht="24.95" customHeight="1" x14ac:dyDescent="0.25">
      <c r="A28" s="59">
        <v>44253</v>
      </c>
      <c r="B28" s="65">
        <v>303</v>
      </c>
      <c r="C28" s="65">
        <v>424</v>
      </c>
    </row>
    <row r="29" spans="1:3" ht="24.95" customHeight="1" x14ac:dyDescent="0.25">
      <c r="A29" s="59">
        <v>44254</v>
      </c>
      <c r="B29" s="65">
        <v>279</v>
      </c>
      <c r="C29" s="65">
        <v>391</v>
      </c>
    </row>
    <row r="30" spans="1:3" ht="24.95" customHeight="1" x14ac:dyDescent="0.25">
      <c r="A30" s="59">
        <v>44255</v>
      </c>
      <c r="B30" s="65">
        <v>306</v>
      </c>
      <c r="C30" s="65">
        <v>422</v>
      </c>
    </row>
    <row r="31" spans="1:3" ht="24.95" customHeight="1" x14ac:dyDescent="0.25">
      <c r="A31" s="59"/>
      <c r="B31" s="60"/>
      <c r="C31" s="60"/>
    </row>
    <row r="32" spans="1:3" ht="24.95" customHeight="1" x14ac:dyDescent="0.25">
      <c r="A32" s="59"/>
      <c r="B32" s="60"/>
      <c r="C32" s="60"/>
    </row>
    <row r="33" spans="1:3" ht="24.95" customHeight="1" x14ac:dyDescent="0.25">
      <c r="A33" s="59"/>
      <c r="B33" s="60"/>
      <c r="C33" s="60"/>
    </row>
    <row r="34" spans="1:3" ht="30.75" customHeight="1" x14ac:dyDescent="0.25">
      <c r="A34" s="58" t="s">
        <v>82</v>
      </c>
      <c r="B34" s="61">
        <f>SUM(B3:B33)</f>
        <v>8665</v>
      </c>
      <c r="C34" s="61">
        <f>SUM(C3:C33)</f>
        <v>11480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2025-03-19T09:31:10Z</dcterms:modified>
  <cp:category/>
  <cp:contentStatus/>
</cp:coreProperties>
</file>