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modongroup-my.sharepoint.com/personal/muhammad_waseem_babalnojoum_com/Documents/Pictures/Desktop/HEP 2025 - Liwa &amp; Mugheria/LIWA/HEP Daily Bateen Liwa 2026/"/>
    </mc:Choice>
  </mc:AlternateContent>
  <xr:revisionPtr revIDLastSave="774" documentId="13_ncr:1_{B58BA514-7E63-407F-96A2-90D76B401778}" xr6:coauthVersionLast="47" xr6:coauthVersionMax="47" xr10:uidLastSave="{CE889D5F-56E1-4354-9B84-ECAB00322BEC}"/>
  <bookViews>
    <workbookView xWindow="-120" yWindow="-120" windowWidth="29040" windowHeight="15720" tabRatio="783" xr2:uid="{00000000-000D-0000-FFFF-FFFF00000000}"/>
  </bookViews>
  <sheets>
    <sheet name="Total" sheetId="15" r:id="rId1"/>
    <sheet name="BAN-L Electrical &amp; Water " sheetId="14" r:id="rId2"/>
  </sheets>
  <definedNames>
    <definedName name="_xlnm.Print_Area" localSheetId="1">'BAN-L Electrical &amp; Water '!$C$1:$U$38</definedName>
    <definedName name="شت8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4" i="15" l="1"/>
  <c r="M34" i="15"/>
  <c r="O40" i="14" l="1"/>
  <c r="Q40" i="14"/>
  <c r="S40" i="14"/>
  <c r="E40" i="14"/>
  <c r="G40" i="14"/>
  <c r="I40" i="14"/>
  <c r="K40" i="14"/>
  <c r="M40" i="14"/>
  <c r="C40" i="14"/>
  <c r="B30" i="15" l="1"/>
  <c r="B31" i="15"/>
  <c r="T33" i="14"/>
  <c r="T34" i="14"/>
  <c r="T35" i="14"/>
  <c r="T36" i="14"/>
  <c r="R33" i="14"/>
  <c r="R34" i="14"/>
  <c r="R35" i="14"/>
  <c r="R36" i="14"/>
  <c r="P33" i="14"/>
  <c r="P34" i="14"/>
  <c r="P35" i="14"/>
  <c r="P36" i="14"/>
  <c r="N33" i="14"/>
  <c r="N34" i="14"/>
  <c r="N35" i="14"/>
  <c r="N36" i="14"/>
  <c r="L32" i="14"/>
  <c r="L33" i="14"/>
  <c r="L34" i="14"/>
  <c r="L35" i="14"/>
  <c r="L36" i="14"/>
  <c r="J33" i="14"/>
  <c r="J34" i="14"/>
  <c r="J35" i="14"/>
  <c r="J36" i="14"/>
  <c r="H33" i="14"/>
  <c r="H34" i="14"/>
  <c r="H35" i="14"/>
  <c r="H36" i="14"/>
  <c r="F33" i="14"/>
  <c r="F34" i="14"/>
  <c r="F35" i="14"/>
  <c r="F36" i="14"/>
  <c r="D33" i="14"/>
  <c r="D34" i="14"/>
  <c r="D35" i="14"/>
  <c r="D36" i="14"/>
  <c r="P8" i="14"/>
  <c r="P9" i="14"/>
  <c r="P10" i="14"/>
  <c r="P11" i="14"/>
  <c r="P12" i="14"/>
  <c r="P13" i="14"/>
  <c r="P14" i="14"/>
  <c r="P15" i="14"/>
  <c r="P16" i="14"/>
  <c r="P17" i="14"/>
  <c r="P18" i="14"/>
  <c r="P19" i="14"/>
  <c r="P20" i="14"/>
  <c r="P21" i="14"/>
  <c r="P22" i="14"/>
  <c r="P23" i="14"/>
  <c r="P24" i="14"/>
  <c r="P25" i="14"/>
  <c r="P26" i="14"/>
  <c r="P27" i="14"/>
  <c r="P28" i="14"/>
  <c r="P29" i="14"/>
  <c r="P30" i="14"/>
  <c r="P31" i="14"/>
  <c r="P32" i="14"/>
  <c r="P7" i="14"/>
  <c r="I28" i="15" l="1"/>
  <c r="I30" i="15"/>
  <c r="I29" i="15"/>
  <c r="I13" i="15"/>
  <c r="I31" i="15"/>
  <c r="P39" i="14"/>
  <c r="E31" i="15"/>
  <c r="E30" i="15"/>
  <c r="E29" i="15"/>
  <c r="E28" i="15"/>
  <c r="D7" i="14"/>
  <c r="F7" i="14"/>
  <c r="H7" i="14"/>
  <c r="J7" i="14"/>
  <c r="D8" i="14"/>
  <c r="F8" i="14"/>
  <c r="H8" i="14"/>
  <c r="J8" i="14"/>
  <c r="D9" i="14"/>
  <c r="F9" i="14"/>
  <c r="H9" i="14"/>
  <c r="J9" i="14"/>
  <c r="D10" i="14"/>
  <c r="F10" i="14"/>
  <c r="H10" i="14"/>
  <c r="J10" i="14"/>
  <c r="D11" i="14"/>
  <c r="F11" i="14"/>
  <c r="H11" i="14"/>
  <c r="J11" i="14"/>
  <c r="D12" i="14"/>
  <c r="F12" i="14"/>
  <c r="H12" i="14"/>
  <c r="J12" i="14"/>
  <c r="D13" i="14"/>
  <c r="F13" i="14"/>
  <c r="H13" i="14"/>
  <c r="J13" i="14"/>
  <c r="D14" i="14"/>
  <c r="F14" i="14"/>
  <c r="H14" i="14"/>
  <c r="J14" i="14"/>
  <c r="D15" i="14"/>
  <c r="F15" i="14"/>
  <c r="H15" i="14"/>
  <c r="J15" i="14"/>
  <c r="D16" i="14"/>
  <c r="F16" i="14"/>
  <c r="H16" i="14"/>
  <c r="J16" i="14"/>
  <c r="D17" i="14"/>
  <c r="F17" i="14"/>
  <c r="H17" i="14"/>
  <c r="J17" i="14"/>
  <c r="D18" i="14"/>
  <c r="F18" i="14"/>
  <c r="H18" i="14"/>
  <c r="J18" i="14"/>
  <c r="D19" i="14"/>
  <c r="F19" i="14"/>
  <c r="H19" i="14"/>
  <c r="J19" i="14"/>
  <c r="D20" i="14"/>
  <c r="F20" i="14"/>
  <c r="H20" i="14"/>
  <c r="J20" i="14"/>
  <c r="D21" i="14"/>
  <c r="F21" i="14"/>
  <c r="H21" i="14"/>
  <c r="J21" i="14"/>
  <c r="D22" i="14"/>
  <c r="F22" i="14"/>
  <c r="H22" i="14"/>
  <c r="J22" i="14"/>
  <c r="D23" i="14"/>
  <c r="F23" i="14"/>
  <c r="H23" i="14"/>
  <c r="J23" i="14"/>
  <c r="D24" i="14"/>
  <c r="F24" i="14"/>
  <c r="H24" i="14"/>
  <c r="J24" i="14"/>
  <c r="D25" i="14"/>
  <c r="F25" i="14"/>
  <c r="H25" i="14"/>
  <c r="J25" i="14"/>
  <c r="D26" i="14"/>
  <c r="F26" i="14"/>
  <c r="H26" i="14"/>
  <c r="J26" i="14"/>
  <c r="D27" i="14"/>
  <c r="F27" i="14"/>
  <c r="H27" i="14"/>
  <c r="J27" i="14"/>
  <c r="D28" i="14"/>
  <c r="F28" i="14"/>
  <c r="H28" i="14"/>
  <c r="J28" i="14"/>
  <c r="D29" i="14"/>
  <c r="F29" i="14"/>
  <c r="H29" i="14"/>
  <c r="J29" i="14"/>
  <c r="D30" i="14"/>
  <c r="F30" i="14"/>
  <c r="H30" i="14"/>
  <c r="J30" i="14"/>
  <c r="D31" i="14"/>
  <c r="F31" i="14"/>
  <c r="H31" i="14"/>
  <c r="J31" i="14"/>
  <c r="D32" i="14"/>
  <c r="F32" i="14"/>
  <c r="H32" i="14"/>
  <c r="J32" i="14"/>
  <c r="L7" i="14"/>
  <c r="N7" i="14"/>
  <c r="R7" i="14"/>
  <c r="T7" i="14"/>
  <c r="L8" i="14"/>
  <c r="N8" i="14"/>
  <c r="R8" i="14"/>
  <c r="T8" i="14"/>
  <c r="L9" i="14"/>
  <c r="N9" i="14"/>
  <c r="R9" i="14"/>
  <c r="T9" i="14"/>
  <c r="L10" i="14"/>
  <c r="N10" i="14"/>
  <c r="R10" i="14"/>
  <c r="T10" i="14"/>
  <c r="L11" i="14"/>
  <c r="N11" i="14"/>
  <c r="R11" i="14"/>
  <c r="T11" i="14"/>
  <c r="L12" i="14"/>
  <c r="N12" i="14"/>
  <c r="R12" i="14"/>
  <c r="T12" i="14"/>
  <c r="I7" i="15" s="1"/>
  <c r="L13" i="14"/>
  <c r="N13" i="14"/>
  <c r="R13" i="14"/>
  <c r="T13" i="14"/>
  <c r="L14" i="14"/>
  <c r="N14" i="14"/>
  <c r="R14" i="14"/>
  <c r="T14" i="14"/>
  <c r="R24" i="14"/>
  <c r="R25" i="14"/>
  <c r="R26" i="14"/>
  <c r="R27" i="14"/>
  <c r="I22" i="15" s="1"/>
  <c r="R28" i="14"/>
  <c r="I23" i="15" s="1"/>
  <c r="R29" i="14"/>
  <c r="I24" i="15" s="1"/>
  <c r="R30" i="14"/>
  <c r="I25" i="15" s="1"/>
  <c r="N29" i="14"/>
  <c r="N28" i="14"/>
  <c r="N27" i="14"/>
  <c r="N26" i="14"/>
  <c r="N25" i="14"/>
  <c r="N24" i="14"/>
  <c r="L24" i="14"/>
  <c r="L25" i="14"/>
  <c r="L26" i="14"/>
  <c r="L27" i="14"/>
  <c r="L28" i="14"/>
  <c r="L29" i="14"/>
  <c r="L30" i="14"/>
  <c r="L31" i="14"/>
  <c r="R15" i="14"/>
  <c r="R16" i="14"/>
  <c r="R17" i="14"/>
  <c r="R18" i="14"/>
  <c r="R19" i="14"/>
  <c r="I14" i="15" s="1"/>
  <c r="R20" i="14"/>
  <c r="R21" i="14"/>
  <c r="R22" i="14"/>
  <c r="R23" i="14"/>
  <c r="R31" i="14"/>
  <c r="I26" i="15" s="1"/>
  <c r="R32" i="14"/>
  <c r="B3" i="15"/>
  <c r="B4" i="15" s="1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T32" i="14"/>
  <c r="T31" i="14"/>
  <c r="T30" i="14"/>
  <c r="T29" i="14"/>
  <c r="T28" i="14"/>
  <c r="T27" i="14"/>
  <c r="T26" i="14"/>
  <c r="T25" i="14"/>
  <c r="T24" i="14"/>
  <c r="T23" i="14"/>
  <c r="I18" i="15" s="1"/>
  <c r="T22" i="14"/>
  <c r="T21" i="14"/>
  <c r="T20" i="14"/>
  <c r="T19" i="14"/>
  <c r="T18" i="14"/>
  <c r="T17" i="14"/>
  <c r="T16" i="14"/>
  <c r="T15" i="14"/>
  <c r="N32" i="14"/>
  <c r="N31" i="14"/>
  <c r="N30" i="14"/>
  <c r="N23" i="14"/>
  <c r="L23" i="14"/>
  <c r="N22" i="14"/>
  <c r="L22" i="14"/>
  <c r="N21" i="14"/>
  <c r="L21" i="14"/>
  <c r="N20" i="14"/>
  <c r="L20" i="14"/>
  <c r="N19" i="14"/>
  <c r="L19" i="14"/>
  <c r="N18" i="14"/>
  <c r="L18" i="14"/>
  <c r="N17" i="14"/>
  <c r="L17" i="14"/>
  <c r="N16" i="14"/>
  <c r="L16" i="14"/>
  <c r="N15" i="14"/>
  <c r="L15" i="14"/>
  <c r="I5" i="15" l="1"/>
  <c r="I17" i="15"/>
  <c r="I16" i="15"/>
  <c r="I15" i="15"/>
  <c r="I8" i="15"/>
  <c r="I20" i="15"/>
  <c r="I6" i="15"/>
  <c r="I10" i="15"/>
  <c r="I21" i="15"/>
  <c r="I4" i="15"/>
  <c r="I19" i="15"/>
  <c r="I12" i="15"/>
  <c r="I11" i="15"/>
  <c r="I9" i="15"/>
  <c r="I3" i="15"/>
  <c r="I27" i="15"/>
  <c r="T39" i="14"/>
  <c r="R39" i="14"/>
  <c r="N39" i="14"/>
  <c r="L39" i="14"/>
  <c r="J39" i="14"/>
  <c r="H39" i="14"/>
  <c r="F39" i="14"/>
  <c r="D39" i="14"/>
  <c r="E25" i="15"/>
  <c r="E26" i="15"/>
  <c r="E27" i="15"/>
  <c r="E24" i="15"/>
  <c r="E23" i="15"/>
  <c r="E22" i="15"/>
  <c r="E21" i="15"/>
  <c r="E20" i="15"/>
  <c r="E19" i="15"/>
  <c r="E15" i="15"/>
  <c r="E13" i="15"/>
  <c r="E12" i="15"/>
  <c r="E10" i="15"/>
  <c r="E9" i="15"/>
  <c r="E8" i="15"/>
  <c r="E6" i="15"/>
  <c r="E3" i="15"/>
  <c r="E2" i="15"/>
  <c r="E16" i="15" l="1"/>
  <c r="E18" i="15"/>
  <c r="E14" i="15"/>
  <c r="E11" i="15"/>
  <c r="E17" i="15"/>
  <c r="E7" i="15"/>
  <c r="E4" i="15"/>
  <c r="E5" i="15"/>
  <c r="I2" i="15"/>
</calcChain>
</file>

<file path=xl/sharedStrings.xml><?xml version="1.0" encoding="utf-8"?>
<sst xmlns="http://schemas.openxmlformats.org/spreadsheetml/2006/main" count="91" uniqueCount="40">
  <si>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</si>
  <si>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</si>
  <si>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</si>
  <si>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</si>
  <si>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</si>
  <si>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</si>
  <si>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</si>
  <si>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</si>
  <si>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(USG) USG</t>
  </si>
  <si>
    <t>Water Utility Supply (USG) $/USG</t>
  </si>
  <si>
    <t>Irrigation Water (USG) USG</t>
  </si>
  <si>
    <t>Irrigation water  $/USG</t>
  </si>
  <si>
    <t xml:space="preserve">Room Nights </t>
  </si>
  <si>
    <t xml:space="preserve">Total Guests </t>
  </si>
  <si>
    <t>Bateen Liwa</t>
  </si>
  <si>
    <t xml:space="preserve">BAN- Bateen Liwa Utility Readings </t>
  </si>
  <si>
    <t>TYPE</t>
  </si>
  <si>
    <t>Time</t>
  </si>
  <si>
    <t xml:space="preserve">BAN- Bateen Liwa Block 01 </t>
  </si>
  <si>
    <t xml:space="preserve">Daily Consumptions </t>
  </si>
  <si>
    <t>BAN- Bateen Liwa Block 02</t>
  </si>
  <si>
    <t>BAN- Bateen Liwa Block 03</t>
  </si>
  <si>
    <t>BAN- Bateen Liwa Block 04</t>
  </si>
  <si>
    <t>BAN- Bateen Liwa Arrival Building</t>
  </si>
  <si>
    <t>BAN- Bateen Liwa Main Building</t>
  </si>
  <si>
    <t>BAN- Bateen Arrival Readings -Irrigation Water 01. 80W KF-24532212</t>
  </si>
  <si>
    <t>BAN- Bateen Arrival Readings -Irrigation Water 02. 50W KF-23510667</t>
  </si>
  <si>
    <t>BAN- Bateen Liwa Arrival Readings - Sweet Water.                   100W KF-24542604</t>
  </si>
  <si>
    <t xml:space="preserve">Remarks </t>
  </si>
  <si>
    <t>Meter</t>
  </si>
  <si>
    <t>AC No 15T20D000097</t>
  </si>
  <si>
    <t>AC N0 15T20D000022</t>
  </si>
  <si>
    <t>AC No 15T20D000062</t>
  </si>
  <si>
    <t>AC No 15T20D000064</t>
  </si>
  <si>
    <t>AC No 15T20D000174</t>
  </si>
  <si>
    <t>AC N0 15T20D000177</t>
  </si>
  <si>
    <t>DATE</t>
  </si>
  <si>
    <t>Electricity (kWH)</t>
  </si>
  <si>
    <t>KWH</t>
  </si>
  <si>
    <t>CuM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</si>
</sst>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28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1"/>
      <name val="Aptos Display"/>
      <family val="2"/>
    </font>
    <font>
      <b/>
      <sz val="11"/>
      <color rgb="FF00B050"/>
      <name val="Calibri"/>
      <family val="2"/>
      <scheme val="minor"/>
    </font>
    <font>
      <b/>
      <sz val="13"/>
      <name val="Aptos Display"/>
      <family val="2"/>
    </font>
    <font>
      <b/>
      <sz val="13"/>
      <color rgb="FFFF0000"/>
      <name val="Aptos Display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1"/>
      <color rgb="FF000000"/>
      <name val="Calibri"/>
      <family val="2"/>
    </font>
    <font>
      <b/>
      <sz val="11"/>
      <color rgb="FF00B050"/>
      <name val="Calibri"/>
      <family val="2"/>
    </font>
    <font>
      <sz val="11"/>
      <color rgb="FF000000"/>
      <name val="Calibri"/>
      <family val="2"/>
    </font>
    <font>
      <b/>
      <sz val="13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164" fontId="2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5" fillId="3" borderId="3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 wrapText="1"/>
    </xf>
    <xf numFmtId="20" fontId="2" fillId="0" borderId="2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12" fillId="0" borderId="0" xfId="1" applyFont="1" applyAlignment="1">
      <alignment horizontal="center"/>
    </xf>
    <xf numFmtId="0" fontId="1" fillId="0" borderId="0" xfId="1" applyFont="1" applyAlignment="1">
      <alignment horizontal="center"/>
    </xf>
    <xf numFmtId="1" fontId="9" fillId="0" borderId="0" xfId="1" applyNumberFormat="1" applyAlignment="1">
      <alignment horizontal="center"/>
    </xf>
    <xf numFmtId="2" fontId="10" fillId="0" borderId="0" xfId="1" applyNumberFormat="1" applyFont="1" applyAlignment="1">
      <alignment horizontal="center"/>
    </xf>
    <xf numFmtId="0" fontId="9" fillId="0" borderId="0" xfId="1" applyAlignment="1">
      <alignment horizontal="center"/>
    </xf>
    <xf numFmtId="0" fontId="10" fillId="0" borderId="0" xfId="1" applyFont="1" applyAlignment="1">
      <alignment horizontal="center"/>
    </xf>
    <xf numFmtId="0" fontId="1" fillId="0" borderId="0" xfId="1" applyFont="1"/>
    <xf numFmtId="0" fontId="9" fillId="0" borderId="0" xfId="1"/>
    <xf numFmtId="0" fontId="13" fillId="7" borderId="5" xfId="0" applyFont="1" applyFill="1" applyBorder="1" applyAlignment="1">
      <alignment horizontal="center"/>
    </xf>
    <xf numFmtId="0" fontId="14" fillId="8" borderId="5" xfId="0" applyFont="1" applyFill="1" applyBorder="1" applyAlignment="1">
      <alignment horizontal="center"/>
    </xf>
    <xf numFmtId="0" fontId="15" fillId="9" borderId="0" xfId="0" applyFont="1" applyFill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6" fillId="6" borderId="1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</cellXfs>
  <cellStyles count="2">
    <cellStyle name="Normal" xfId="0" builtinId="0"/>
    <cellStyle name="Normal 5" xfId="1" xr:uid="{71D4A9FB-96CC-4ACF-A867-2973552E91BF}"/>
  </cellStyles>
  <dxfs count="0"/>
  <tableStyles count="0" defaultTableStyle="TableStyleMedium2" defaultPivotStyle="PivotStyleLight16"/>
  <colors>
    <mruColors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'[1]BAN Extension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40B7-4C05-8572-E247B5CE2A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40410544"/>
        <c:axId val="1540407632"/>
        <c:axId val="0"/>
      </c:bar3DChart>
      <c:dateAx>
        <c:axId val="154041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07632"/>
        <c:crosses val="autoZero"/>
        <c:auto val="0"/>
        <c:lblOffset val="100"/>
        <c:baseTimeUnit val="days"/>
      </c:dateAx>
      <c:valAx>
        <c:axId val="15404076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1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'BAN-L Electrical &amp; Water '!$D$6:$D$38</c:f>
              <c:numCache>
                <c:formatCode>General</c:formatCode>
                <c:ptCount val="33"/>
                <c:pt idx="0">
                  <c:v>0</c:v>
                </c:pt>
                <c:pt idx="1">
                  <c:v>1726</c:v>
                </c:pt>
                <c:pt idx="2">
                  <c:v>1607</c:v>
                </c:pt>
                <c:pt idx="3">
                  <c:v>1629</c:v>
                </c:pt>
                <c:pt idx="4">
                  <c:v>1592</c:v>
                </c:pt>
                <c:pt idx="5">
                  <c:v>1629</c:v>
                </c:pt>
                <c:pt idx="6">
                  <c:v>1721</c:v>
                </c:pt>
                <c:pt idx="7">
                  <c:v>1536</c:v>
                </c:pt>
                <c:pt idx="8">
                  <c:v>1413</c:v>
                </c:pt>
                <c:pt idx="9">
                  <c:v>1755</c:v>
                </c:pt>
                <c:pt idx="10">
                  <c:v>1893</c:v>
                </c:pt>
                <c:pt idx="11">
                  <c:v>1968</c:v>
                </c:pt>
                <c:pt idx="12">
                  <c:v>1924</c:v>
                </c:pt>
                <c:pt idx="13">
                  <c:v>1848</c:v>
                </c:pt>
                <c:pt idx="14">
                  <c:v>2293</c:v>
                </c:pt>
                <c:pt idx="15">
                  <c:v>1970</c:v>
                </c:pt>
                <c:pt idx="16">
                  <c:v>1984</c:v>
                </c:pt>
                <c:pt idx="17">
                  <c:v>1789</c:v>
                </c:pt>
                <c:pt idx="18">
                  <c:v>1636</c:v>
                </c:pt>
                <c:pt idx="19">
                  <c:v>1597</c:v>
                </c:pt>
                <c:pt idx="20">
                  <c:v>1765</c:v>
                </c:pt>
                <c:pt idx="21">
                  <c:v>1977</c:v>
                </c:pt>
                <c:pt idx="22">
                  <c:v>1991</c:v>
                </c:pt>
                <c:pt idx="23">
                  <c:v>2012</c:v>
                </c:pt>
                <c:pt idx="24">
                  <c:v>1986</c:v>
                </c:pt>
                <c:pt idx="25">
                  <c:v>2100</c:v>
                </c:pt>
                <c:pt idx="26">
                  <c:v>1944</c:v>
                </c:pt>
                <c:pt idx="27">
                  <c:v>1937</c:v>
                </c:pt>
                <c:pt idx="28">
                  <c:v>1816</c:v>
                </c:pt>
                <c:pt idx="29">
                  <c:v>1783</c:v>
                </c:pt>
                <c:pt idx="30">
                  <c:v>1893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C0D3-42AF-9718-7CCB679205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775889040"/>
        <c:axId val="1775889456"/>
        <c:axId val="0"/>
      </c:bar3DChart>
      <c:catAx>
        <c:axId val="1775889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456"/>
        <c:crosses val="autoZero"/>
        <c:auto val="1"/>
        <c:lblAlgn val="ctr"/>
        <c:lblOffset val="100"/>
        <c:noMultiLvlLbl val="1"/>
      </c:catAx>
      <c:valAx>
        <c:axId val="17758894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0-52CE-4CC6-A81F-47EAD812BA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'BAN-L Electrical &amp; Water '!$P$6:$P$38</c:f>
              <c:numCache>
                <c:formatCode>General</c:formatCode>
                <c:ptCount val="33"/>
                <c:pt idx="0">
                  <c:v>0</c:v>
                </c:pt>
                <c:pt idx="1">
                  <c:v>138</c:v>
                </c:pt>
                <c:pt idx="2">
                  <c:v>169</c:v>
                </c:pt>
                <c:pt idx="3">
                  <c:v>144</c:v>
                </c:pt>
                <c:pt idx="4">
                  <c:v>143</c:v>
                </c:pt>
                <c:pt idx="5">
                  <c:v>159</c:v>
                </c:pt>
                <c:pt idx="6">
                  <c:v>150</c:v>
                </c:pt>
                <c:pt idx="7">
                  <c:v>151</c:v>
                </c:pt>
                <c:pt idx="8">
                  <c:v>152</c:v>
                </c:pt>
                <c:pt idx="9">
                  <c:v>142</c:v>
                </c:pt>
                <c:pt idx="10">
                  <c:v>146</c:v>
                </c:pt>
                <c:pt idx="11">
                  <c:v>133</c:v>
                </c:pt>
                <c:pt idx="12">
                  <c:v>143</c:v>
                </c:pt>
                <c:pt idx="13">
                  <c:v>111</c:v>
                </c:pt>
                <c:pt idx="14">
                  <c:v>103</c:v>
                </c:pt>
                <c:pt idx="15">
                  <c:v>111</c:v>
                </c:pt>
                <c:pt idx="16">
                  <c:v>130</c:v>
                </c:pt>
                <c:pt idx="17">
                  <c:v>147</c:v>
                </c:pt>
                <c:pt idx="18">
                  <c:v>134</c:v>
                </c:pt>
                <c:pt idx="19">
                  <c:v>133</c:v>
                </c:pt>
                <c:pt idx="20">
                  <c:v>122</c:v>
                </c:pt>
                <c:pt idx="21">
                  <c:v>49</c:v>
                </c:pt>
                <c:pt idx="22">
                  <c:v>171</c:v>
                </c:pt>
                <c:pt idx="23">
                  <c:v>117</c:v>
                </c:pt>
                <c:pt idx="24">
                  <c:v>121</c:v>
                </c:pt>
                <c:pt idx="25">
                  <c:v>136</c:v>
                </c:pt>
                <c:pt idx="26">
                  <c:v>156</c:v>
                </c:pt>
                <c:pt idx="27">
                  <c:v>133</c:v>
                </c:pt>
                <c:pt idx="28">
                  <c:v>143</c:v>
                </c:pt>
                <c:pt idx="29">
                  <c:v>142</c:v>
                </c:pt>
                <c:pt idx="30">
                  <c:v>136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52CE-4CC6-A81F-47EAD812BA9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49474160"/>
        <c:axId val="1346893408"/>
        <c:axId val="0"/>
      </c:bar3DChart>
      <c:catAx>
        <c:axId val="1549474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893408"/>
        <c:crosses val="autoZero"/>
        <c:auto val="0"/>
        <c:lblAlgn val="ctr"/>
        <c:lblOffset val="100"/>
        <c:noMultiLvlLbl val="1"/>
      </c:catAx>
      <c:valAx>
        <c:axId val="134689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47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550407</xdr:colOff>
      <xdr:row>5</xdr:row>
      <xdr:rowOff>149678</xdr:rowOff>
    </xdr:from>
    <xdr:to>
      <xdr:col>37</xdr:col>
      <xdr:colOff>163285</xdr:colOff>
      <xdr:row>13</xdr:row>
      <xdr:rowOff>408215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903A27-F565-4A9A-9817-0712753E8D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530998</xdr:colOff>
      <xdr:row>14</xdr:row>
      <xdr:rowOff>176891</xdr:rowOff>
    </xdr:from>
    <xdr:to>
      <xdr:col>37</xdr:col>
      <xdr:colOff>176893</xdr:colOff>
      <xdr:row>22</xdr:row>
      <xdr:rowOff>462642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6A8D5E-0F97-4F9E-87E0-6B0BB62062C3}"/>
            </a:ext>
            <a:ext uri="{147F2762-F138-4A5C-976F-8EAC2B608ADB}">
              <a16:predDERef xmlns:a16="http://schemas.microsoft.com/office/drawing/2014/main" pred="{9E903A27-F565-4A9A-9817-0712753E8D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550689</xdr:colOff>
      <xdr:row>23</xdr:row>
      <xdr:rowOff>248929</xdr:rowOff>
    </xdr:from>
    <xdr:to>
      <xdr:col>37</xdr:col>
      <xdr:colOff>163286</xdr:colOff>
      <xdr:row>31</xdr:row>
      <xdr:rowOff>285750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099EB0-8673-4BED-B1F4-B2CECD1680A0}"/>
            </a:ext>
            <a:ext uri="{147F2762-F138-4A5C-976F-8EAC2B608ADB}">
              <a16:predDERef xmlns:a16="http://schemas.microsoft.com/office/drawing/2014/main" pred="{576A8D5E-0F97-4F9E-87E0-6B0BB62062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1490868</xdr:colOff>
      <xdr:row>0</xdr:row>
      <xdr:rowOff>47400</xdr:rowOff>
    </xdr:from>
    <xdr:to>
      <xdr:col>3</xdr:col>
      <xdr:colOff>2037356</xdr:colOff>
      <xdr:row>0</xdr:row>
      <xdr:rowOff>1104348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0F288D4-3609-4812-BEF3-7DEE00B89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738" y="47400"/>
          <a:ext cx="4163227" cy="10569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07AF2-46CC-4711-AABD-FCF3E7855600}">
  <dimension ref="A1:Z34"/>
  <sheetViews>
    <sheetView tabSelected="1" workbookViewId="0">
      <selection activeCell="F30" sqref="F30"/>
    </sheetView>
  </sheetViews>
  <sheetFormatPr defaultColWidth="11.5703125" defaultRowHeight="15" x14ac:dyDescent="0.25"/>
  <cols>
    <col min="1" max="1" width="29.140625" style="28" bestFit="1" customWidth="1"/>
    <col min="2" max="3" width="11.5703125" style="23"/>
    <col min="4" max="4" width="13.42578125" style="23" customWidth="1"/>
    <col min="5" max="5" width="12.5703125" style="26" customWidth="1"/>
    <col min="6" max="6" width="12.5703125" style="25" customWidth="1"/>
    <col min="7" max="7" width="11.5703125" style="26"/>
    <col min="8" max="8" width="11.5703125" style="25"/>
    <col min="9" max="9" width="11.5703125" style="26"/>
    <col min="10" max="10" width="11.5703125" style="27"/>
    <col min="11" max="11" width="11.5703125" style="26"/>
    <col min="12" max="12" width="11.5703125" style="27"/>
    <col min="13" max="26" width="11.5703125" style="26"/>
    <col min="27" max="16384" width="11.5703125" style="29"/>
  </cols>
  <sheetData>
    <row r="1" spans="1:14" s="21" customFormat="1" ht="75" x14ac:dyDescent="0.25">
      <c r="A1" s="17" t="s">
        <v>0</v>
      </c>
      <c r="B1" s="17" t="s">
        <v>1</v>
      </c>
      <c r="C1" s="17" t="s">
        <v>2</v>
      </c>
      <c r="D1" s="17" t="s">
        <v>3</v>
      </c>
      <c r="E1" s="18" t="s">
        <v>4</v>
      </c>
      <c r="F1" s="19" t="s">
        <v>5</v>
      </c>
      <c r="G1" s="18" t="s">
        <v>6</v>
      </c>
      <c r="H1" s="19" t="s">
        <v>7</v>
      </c>
      <c r="I1" s="18" t="s">
        <v>8</v>
      </c>
      <c r="J1" s="20" t="s">
        <v>9</v>
      </c>
      <c r="K1" s="18" t="s">
        <v>10</v>
      </c>
      <c r="L1" s="20" t="s">
        <v>11</v>
      </c>
      <c r="M1" s="18" t="s">
        <v>12</v>
      </c>
      <c r="N1" s="18" t="s">
        <v>13</v>
      </c>
    </row>
    <row r="2" spans="1:14" x14ac:dyDescent="0.25">
      <c r="A2" s="22" t="s">
        <v>14</v>
      </c>
      <c r="B2" s="23">
        <v>1</v>
      </c>
      <c r="C2" s="23">
        <v>6</v>
      </c>
      <c r="D2" s="23">
        <v>2026</v>
      </c>
      <c r="E2" s="24">
        <f>IF('BAN-L Electrical &amp; Water '!D7+'BAN-L Electrical &amp; Water '!F7+'BAN-L Electrical &amp; Water '!H7+'BAN-L Electrical &amp; Water '!J7+'BAN-L Electrical &amp; Water '!L7+'BAN-L Electrical &amp; Water '!N7&gt;0,'BAN-L Electrical &amp; Water '!D7+'BAN-L Electrical &amp; Water '!F7+'BAN-L Electrical &amp; Water '!H7+'BAN-L Electrical &amp; Water '!J7+'BAN-L Electrical &amp; Water '!L7+'BAN-L Electrical &amp; Water '!N7,0)</f>
        <v>15678</v>
      </c>
      <c r="F2" s="25">
        <v>0.2</v>
      </c>
      <c r="G2" s="24"/>
      <c r="H2" s="25">
        <v>5.42</v>
      </c>
      <c r="I2" s="24">
        <f>IF('BAN-L Electrical &amp; Water '!P7+'BAN-L Electrical &amp; Water '!R7+'BAN-L Electrical &amp; Water '!T7&gt;0,'BAN-L Electrical &amp; Water '!P7+'BAN-L Electrical &amp; Water '!R7+'BAN-L Electrical &amp; Water '!T7,0)</f>
        <v>269</v>
      </c>
      <c r="J2" s="25">
        <v>7.84</v>
      </c>
      <c r="K2" s="24"/>
      <c r="L2" s="25">
        <v>7.84</v>
      </c>
      <c r="M2" s="32">
        <v>10</v>
      </c>
      <c r="N2" s="32">
        <v>22</v>
      </c>
    </row>
    <row r="3" spans="1:14" x14ac:dyDescent="0.25">
      <c r="A3" s="22" t="s">
        <v>14</v>
      </c>
      <c r="B3" s="23">
        <f>B2+1</f>
        <v>2</v>
      </c>
      <c r="C3" s="23">
        <v>6</v>
      </c>
      <c r="D3" s="23">
        <v>2026</v>
      </c>
      <c r="E3" s="24">
        <f>IF('BAN-L Electrical &amp; Water '!D8+'BAN-L Electrical &amp; Water '!F8+'BAN-L Electrical &amp; Water '!H8+'BAN-L Electrical &amp; Water '!J8+'BAN-L Electrical &amp; Water '!L8+'BAN-L Electrical &amp; Water '!N8&gt;0,'BAN-L Electrical &amp; Water '!D8+'BAN-L Electrical &amp; Water '!F8+'BAN-L Electrical &amp; Water '!H8+'BAN-L Electrical &amp; Water '!J8+'BAN-L Electrical &amp; Water '!L8+'BAN-L Electrical &amp; Water '!N8,0)</f>
        <v>14548</v>
      </c>
      <c r="F3" s="25">
        <v>0.2</v>
      </c>
      <c r="G3" s="24"/>
      <c r="H3" s="25">
        <v>5.42</v>
      </c>
      <c r="I3" s="24">
        <f>IF('BAN-L Electrical &amp; Water '!P8+'BAN-L Electrical &amp; Water '!R8+'BAN-L Electrical &amp; Water '!T8&gt;0,'BAN-L Electrical &amp; Water '!P8+'BAN-L Electrical &amp; Water '!R8+'BAN-L Electrical &amp; Water '!T8,0)</f>
        <v>268</v>
      </c>
      <c r="J3" s="25">
        <v>7.84</v>
      </c>
      <c r="K3" s="24"/>
      <c r="L3" s="25">
        <v>7.84</v>
      </c>
      <c r="M3" s="32">
        <v>8</v>
      </c>
      <c r="N3" s="32">
        <v>17</v>
      </c>
    </row>
    <row r="4" spans="1:14" x14ac:dyDescent="0.25">
      <c r="A4" s="22" t="s">
        <v>14</v>
      </c>
      <c r="B4" s="23">
        <f t="shared" ref="B4:B32" si="0">B3+1</f>
        <v>3</v>
      </c>
      <c r="C4" s="23">
        <v>6</v>
      </c>
      <c r="D4" s="23">
        <v>2026</v>
      </c>
      <c r="E4" s="24">
        <f>IF('BAN-L Electrical &amp; Water '!D9+'BAN-L Electrical &amp; Water '!F9+'BAN-L Electrical &amp; Water '!H9+'BAN-L Electrical &amp; Water '!J9+'BAN-L Electrical &amp; Water '!L9+'BAN-L Electrical &amp; Water '!N9&gt;0,'BAN-L Electrical &amp; Water '!D9+'BAN-L Electrical &amp; Water '!F9+'BAN-L Electrical &amp; Water '!H9+'BAN-L Electrical &amp; Water '!J9+'BAN-L Electrical &amp; Water '!L9+'BAN-L Electrical &amp; Water '!N9,0)</f>
        <v>15156</v>
      </c>
      <c r="F4" s="25">
        <v>0.2</v>
      </c>
      <c r="G4" s="24"/>
      <c r="H4" s="25">
        <v>5.42</v>
      </c>
      <c r="I4" s="24">
        <f>IF('BAN-L Electrical &amp; Water '!P9+'BAN-L Electrical &amp; Water '!R9+'BAN-L Electrical &amp; Water '!T9&gt;0,'BAN-L Electrical &amp; Water '!P9+'BAN-L Electrical &amp; Water '!R9+'BAN-L Electrical &amp; Water '!T9,0)</f>
        <v>255</v>
      </c>
      <c r="J4" s="25">
        <v>7.84</v>
      </c>
      <c r="K4" s="24"/>
      <c r="L4" s="25">
        <v>7.84</v>
      </c>
      <c r="M4" s="32">
        <v>7</v>
      </c>
      <c r="N4" s="32">
        <v>12</v>
      </c>
    </row>
    <row r="5" spans="1:14" x14ac:dyDescent="0.25">
      <c r="A5" s="22" t="s">
        <v>14</v>
      </c>
      <c r="B5" s="23">
        <f t="shared" si="0"/>
        <v>4</v>
      </c>
      <c r="C5" s="23">
        <v>6</v>
      </c>
      <c r="D5" s="23">
        <v>2026</v>
      </c>
      <c r="E5" s="24">
        <f>IF('BAN-L Electrical &amp; Water '!D10+'BAN-L Electrical &amp; Water '!F10+'BAN-L Electrical &amp; Water '!H10+'BAN-L Electrical &amp; Water '!J10+'BAN-L Electrical &amp; Water '!L10+'BAN-L Electrical &amp; Water '!N10&gt;0,'BAN-L Electrical &amp; Water '!D10+'BAN-L Electrical &amp; Water '!F10+'BAN-L Electrical &amp; Water '!H10+'BAN-L Electrical &amp; Water '!J10+'BAN-L Electrical &amp; Water '!L10+'BAN-L Electrical &amp; Water '!N10,0)</f>
        <v>14616</v>
      </c>
      <c r="F5" s="25">
        <v>0.2</v>
      </c>
      <c r="G5" s="24"/>
      <c r="H5" s="25">
        <v>5.42</v>
      </c>
      <c r="I5" s="24">
        <f>IF('BAN-L Electrical &amp; Water '!P10+'BAN-L Electrical &amp; Water '!R10+'BAN-L Electrical &amp; Water '!T10&gt;0,'BAN-L Electrical &amp; Water '!P10+'BAN-L Electrical &amp; Water '!R10+'BAN-L Electrical &amp; Water '!T10,0)</f>
        <v>249</v>
      </c>
      <c r="J5" s="25">
        <v>7.84</v>
      </c>
      <c r="K5" s="24"/>
      <c r="L5" s="25">
        <v>7.84</v>
      </c>
      <c r="M5" s="32">
        <v>11</v>
      </c>
      <c r="N5" s="32">
        <v>18</v>
      </c>
    </row>
    <row r="6" spans="1:14" x14ac:dyDescent="0.25">
      <c r="A6" s="22" t="s">
        <v>14</v>
      </c>
      <c r="B6" s="23">
        <f t="shared" si="0"/>
        <v>5</v>
      </c>
      <c r="C6" s="23">
        <v>6</v>
      </c>
      <c r="D6" s="23">
        <v>2026</v>
      </c>
      <c r="E6" s="24">
        <f>IF('BAN-L Electrical &amp; Water '!D11+'BAN-L Electrical &amp; Water '!F11+'BAN-L Electrical &amp; Water '!H11+'BAN-L Electrical &amp; Water '!J11+'BAN-L Electrical &amp; Water '!L11+'BAN-L Electrical &amp; Water '!N11&gt;0,'BAN-L Electrical &amp; Water '!D11+'BAN-L Electrical &amp; Water '!F11+'BAN-L Electrical &amp; Water '!H11+'BAN-L Electrical &amp; Water '!J11+'BAN-L Electrical &amp; Water '!L11+'BAN-L Electrical &amp; Water '!N11,0)</f>
        <v>14828</v>
      </c>
      <c r="F6" s="25">
        <v>0.2</v>
      </c>
      <c r="G6" s="24"/>
      <c r="H6" s="25">
        <v>5.42</v>
      </c>
      <c r="I6" s="24">
        <f>IF('BAN-L Electrical &amp; Water '!P11+'BAN-L Electrical &amp; Water '!R11+'BAN-L Electrical &amp; Water '!T11&gt;0,'BAN-L Electrical &amp; Water '!P11+'BAN-L Electrical &amp; Water '!R11+'BAN-L Electrical &amp; Water '!T11,0)</f>
        <v>278</v>
      </c>
      <c r="J6" s="25">
        <v>7.84</v>
      </c>
      <c r="K6" s="24"/>
      <c r="L6" s="25">
        <v>7.84</v>
      </c>
      <c r="M6" s="32">
        <v>11</v>
      </c>
      <c r="N6" s="32">
        <v>23</v>
      </c>
    </row>
    <row r="7" spans="1:14" x14ac:dyDescent="0.25">
      <c r="A7" s="22" t="s">
        <v>14</v>
      </c>
      <c r="B7" s="23">
        <f t="shared" si="0"/>
        <v>6</v>
      </c>
      <c r="C7" s="23">
        <v>6</v>
      </c>
      <c r="D7" s="23">
        <v>2026</v>
      </c>
      <c r="E7" s="24">
        <f>IF('BAN-L Electrical &amp; Water '!D12+'BAN-L Electrical &amp; Water '!F12+'BAN-L Electrical &amp; Water '!H12+'BAN-L Electrical &amp; Water '!J12+'BAN-L Electrical &amp; Water '!L12+'BAN-L Electrical &amp; Water '!N12&gt;0,'BAN-L Electrical &amp; Water '!D12+'BAN-L Electrical &amp; Water '!F12+'BAN-L Electrical &amp; Water '!H12+'BAN-L Electrical &amp; Water '!J12+'BAN-L Electrical &amp; Water '!L12+'BAN-L Electrical &amp; Water '!N12,0)</f>
        <v>14537</v>
      </c>
      <c r="F7" s="25">
        <v>0.2</v>
      </c>
      <c r="G7" s="24"/>
      <c r="H7" s="25">
        <v>5.42</v>
      </c>
      <c r="I7" s="24">
        <f>IF('BAN-L Electrical &amp; Water '!P12+'BAN-L Electrical &amp; Water '!R12+'BAN-L Electrical &amp; Water '!T12&gt;0,'BAN-L Electrical &amp; Water '!P12+'BAN-L Electrical &amp; Water '!R12+'BAN-L Electrical &amp; Water '!T12,0)</f>
        <v>270</v>
      </c>
      <c r="J7" s="25">
        <v>7.84</v>
      </c>
      <c r="K7" s="24"/>
      <c r="L7" s="25">
        <v>7.84</v>
      </c>
      <c r="M7" s="32">
        <v>17</v>
      </c>
      <c r="N7" s="32">
        <v>35</v>
      </c>
    </row>
    <row r="8" spans="1:14" x14ac:dyDescent="0.25">
      <c r="A8" s="22" t="s">
        <v>14</v>
      </c>
      <c r="B8" s="23">
        <f t="shared" si="0"/>
        <v>7</v>
      </c>
      <c r="C8" s="23">
        <v>6</v>
      </c>
      <c r="D8" s="23">
        <v>2026</v>
      </c>
      <c r="E8" s="24">
        <f>IF('BAN-L Electrical &amp; Water '!D13+'BAN-L Electrical &amp; Water '!F13+'BAN-L Electrical &amp; Water '!H13+'BAN-L Electrical &amp; Water '!J13+'BAN-L Electrical &amp; Water '!L13+'BAN-L Electrical &amp; Water '!N13&gt;0,'BAN-L Electrical &amp; Water '!D13+'BAN-L Electrical &amp; Water '!F13+'BAN-L Electrical &amp; Water '!H13+'BAN-L Electrical &amp; Water '!J13+'BAN-L Electrical &amp; Water '!L13+'BAN-L Electrical &amp; Water '!N13,0)</f>
        <v>13983</v>
      </c>
      <c r="F8" s="25">
        <v>0.2</v>
      </c>
      <c r="G8" s="24"/>
      <c r="H8" s="25">
        <v>5.42</v>
      </c>
      <c r="I8" s="24">
        <f>IF('BAN-L Electrical &amp; Water '!P13+'BAN-L Electrical &amp; Water '!R13+'BAN-L Electrical &amp; Water '!T13&gt;0,'BAN-L Electrical &amp; Water '!P13+'BAN-L Electrical &amp; Water '!R13+'BAN-L Electrical &amp; Water '!T13,0)</f>
        <v>282</v>
      </c>
      <c r="J8" s="25">
        <v>7.84</v>
      </c>
      <c r="K8" s="24"/>
      <c r="L8" s="25">
        <v>7.84</v>
      </c>
      <c r="M8" s="32">
        <v>5</v>
      </c>
      <c r="N8" s="32">
        <v>9</v>
      </c>
    </row>
    <row r="9" spans="1:14" x14ac:dyDescent="0.25">
      <c r="A9" s="22" t="s">
        <v>14</v>
      </c>
      <c r="B9" s="23">
        <f t="shared" si="0"/>
        <v>8</v>
      </c>
      <c r="C9" s="23">
        <v>6</v>
      </c>
      <c r="D9" s="23">
        <v>2026</v>
      </c>
      <c r="E9" s="24">
        <f>IF('BAN-L Electrical &amp; Water '!D14+'BAN-L Electrical &amp; Water '!F14+'BAN-L Electrical &amp; Water '!H14+'BAN-L Electrical &amp; Water '!J14+'BAN-L Electrical &amp; Water '!L14+'BAN-L Electrical &amp; Water '!N14&gt;0,'BAN-L Electrical &amp; Water '!D14+'BAN-L Electrical &amp; Water '!F14+'BAN-L Electrical &amp; Water '!H14+'BAN-L Electrical &amp; Water '!J14+'BAN-L Electrical &amp; Water '!L14+'BAN-L Electrical &amp; Water '!N14,0)</f>
        <v>14067</v>
      </c>
      <c r="F9" s="25">
        <v>0.2</v>
      </c>
      <c r="G9" s="24"/>
      <c r="H9" s="25">
        <v>5.42</v>
      </c>
      <c r="I9" s="24">
        <f>IF('BAN-L Electrical &amp; Water '!P14+'BAN-L Electrical &amp; Water '!R14+'BAN-L Electrical &amp; Water '!T14&gt;0,'BAN-L Electrical &amp; Water '!P14+'BAN-L Electrical &amp; Water '!R14+'BAN-L Electrical &amp; Water '!T14,0)</f>
        <v>276</v>
      </c>
      <c r="J9" s="25">
        <v>7.84</v>
      </c>
      <c r="K9" s="24"/>
      <c r="L9" s="25">
        <v>7.84</v>
      </c>
      <c r="M9" s="32">
        <v>6</v>
      </c>
      <c r="N9" s="32">
        <v>11</v>
      </c>
    </row>
    <row r="10" spans="1:14" x14ac:dyDescent="0.25">
      <c r="A10" s="22" t="s">
        <v>14</v>
      </c>
      <c r="B10" s="23">
        <f t="shared" si="0"/>
        <v>9</v>
      </c>
      <c r="C10" s="23">
        <v>6</v>
      </c>
      <c r="D10" s="23">
        <v>2026</v>
      </c>
      <c r="E10" s="24">
        <f>IF('BAN-L Electrical &amp; Water '!D15+'BAN-L Electrical &amp; Water '!F15+'BAN-L Electrical &amp; Water '!H15+'BAN-L Electrical &amp; Water '!J15+'BAN-L Electrical &amp; Water '!L15+'BAN-L Electrical &amp; Water '!N15&gt;0,'BAN-L Electrical &amp; Water '!D15+'BAN-L Electrical &amp; Water '!F15+'BAN-L Electrical &amp; Water '!H15+'BAN-L Electrical &amp; Water '!J15+'BAN-L Electrical &amp; Water '!L15+'BAN-L Electrical &amp; Water '!N15,0)</f>
        <v>14501</v>
      </c>
      <c r="F10" s="25">
        <v>0.2</v>
      </c>
      <c r="G10" s="24"/>
      <c r="H10" s="25">
        <v>5.42</v>
      </c>
      <c r="I10" s="24">
        <f>IF('BAN-L Electrical &amp; Water '!P15+'BAN-L Electrical &amp; Water '!R15+'BAN-L Electrical &amp; Water '!T15&gt;0,'BAN-L Electrical &amp; Water '!P15+'BAN-L Electrical &amp; Water '!R15+'BAN-L Electrical &amp; Water '!T15,0)</f>
        <v>263</v>
      </c>
      <c r="J10" s="25">
        <v>7.84</v>
      </c>
      <c r="K10" s="24"/>
      <c r="L10" s="25">
        <v>7.84</v>
      </c>
      <c r="M10" s="32">
        <v>16</v>
      </c>
      <c r="N10" s="32">
        <v>25</v>
      </c>
    </row>
    <row r="11" spans="1:14" x14ac:dyDescent="0.25">
      <c r="A11" s="22" t="s">
        <v>14</v>
      </c>
      <c r="B11" s="23">
        <f t="shared" si="0"/>
        <v>10</v>
      </c>
      <c r="C11" s="23">
        <v>6</v>
      </c>
      <c r="D11" s="23">
        <v>2026</v>
      </c>
      <c r="E11" s="24">
        <f>IF('BAN-L Electrical &amp; Water '!D16+'BAN-L Electrical &amp; Water '!F16+'BAN-L Electrical &amp; Water '!H16+'BAN-L Electrical &amp; Water '!J16+'BAN-L Electrical &amp; Water '!L16+'BAN-L Electrical &amp; Water '!N16&gt;0,'BAN-L Electrical &amp; Water '!D16+'BAN-L Electrical &amp; Water '!F16+'BAN-L Electrical &amp; Water '!H16+'BAN-L Electrical &amp; Water '!J16+'BAN-L Electrical &amp; Water '!L16+'BAN-L Electrical &amp; Water '!N16,0)</f>
        <v>15119</v>
      </c>
      <c r="F11" s="25">
        <v>0.2</v>
      </c>
      <c r="G11" s="24"/>
      <c r="H11" s="25">
        <v>5.42</v>
      </c>
      <c r="I11" s="24">
        <f>IF('BAN-L Electrical &amp; Water '!P16+'BAN-L Electrical &amp; Water '!R16+'BAN-L Electrical &amp; Water '!T16&gt;0,'BAN-L Electrical &amp; Water '!P16+'BAN-L Electrical &amp; Water '!R16+'BAN-L Electrical &amp; Water '!T16,0)</f>
        <v>252</v>
      </c>
      <c r="J11" s="25">
        <v>7.84</v>
      </c>
      <c r="K11" s="24"/>
      <c r="L11" s="25">
        <v>7.84</v>
      </c>
      <c r="M11" s="32">
        <v>6</v>
      </c>
      <c r="N11" s="32">
        <v>15</v>
      </c>
    </row>
    <row r="12" spans="1:14" x14ac:dyDescent="0.25">
      <c r="A12" s="22" t="s">
        <v>14</v>
      </c>
      <c r="B12" s="23">
        <f t="shared" si="0"/>
        <v>11</v>
      </c>
      <c r="C12" s="23">
        <v>6</v>
      </c>
      <c r="D12" s="23">
        <v>2026</v>
      </c>
      <c r="E12" s="24">
        <f>IF('BAN-L Electrical &amp; Water '!D17+'BAN-L Electrical &amp; Water '!F17+'BAN-L Electrical &amp; Water '!H17+'BAN-L Electrical &amp; Water '!J17+'BAN-L Electrical &amp; Water '!L17+'BAN-L Electrical &amp; Water '!N17&gt;0,'BAN-L Electrical &amp; Water '!D17+'BAN-L Electrical &amp; Water '!F17+'BAN-L Electrical &amp; Water '!H17+'BAN-L Electrical &amp; Water '!J17+'BAN-L Electrical &amp; Water '!L17+'BAN-L Electrical &amp; Water '!N17,0)</f>
        <v>15474</v>
      </c>
      <c r="F12" s="25">
        <v>0.2</v>
      </c>
      <c r="G12" s="24"/>
      <c r="H12" s="25">
        <v>5.42</v>
      </c>
      <c r="I12" s="24">
        <f>IF('BAN-L Electrical &amp; Water '!P17+'BAN-L Electrical &amp; Water '!R17+'BAN-L Electrical &amp; Water '!T17&gt;0,'BAN-L Electrical &amp; Water '!P17+'BAN-L Electrical &amp; Water '!R17+'BAN-L Electrical &amp; Water '!T17,0)</f>
        <v>262</v>
      </c>
      <c r="J12" s="25">
        <v>7.84</v>
      </c>
      <c r="K12" s="24"/>
      <c r="L12" s="25">
        <v>7.84</v>
      </c>
      <c r="M12" s="32">
        <v>3</v>
      </c>
      <c r="N12" s="32">
        <v>5</v>
      </c>
    </row>
    <row r="13" spans="1:14" x14ac:dyDescent="0.25">
      <c r="A13" s="22" t="s">
        <v>14</v>
      </c>
      <c r="B13" s="23">
        <f t="shared" si="0"/>
        <v>12</v>
      </c>
      <c r="C13" s="23">
        <v>6</v>
      </c>
      <c r="D13" s="23">
        <v>2026</v>
      </c>
      <c r="E13" s="24">
        <f>IF('BAN-L Electrical &amp; Water '!D18+'BAN-L Electrical &amp; Water '!F18+'BAN-L Electrical &amp; Water '!H18+'BAN-L Electrical &amp; Water '!J18+'BAN-L Electrical &amp; Water '!L18+'BAN-L Electrical &amp; Water '!N18&gt;0,'BAN-L Electrical &amp; Water '!D18+'BAN-L Electrical &amp; Water '!F18+'BAN-L Electrical &amp; Water '!H18+'BAN-L Electrical &amp; Water '!J18+'BAN-L Electrical &amp; Water '!L18+'BAN-L Electrical &amp; Water '!N18,0)</f>
        <v>15067</v>
      </c>
      <c r="F13" s="25">
        <v>0.2</v>
      </c>
      <c r="G13" s="24"/>
      <c r="H13" s="25">
        <v>5.42</v>
      </c>
      <c r="I13" s="24">
        <f>IF('BAN-L Electrical &amp; Water '!P18+'BAN-L Electrical &amp; Water '!R18+'BAN-L Electrical &amp; Water '!T18&gt;0,'BAN-L Electrical &amp; Water '!P18+'BAN-L Electrical &amp; Water '!R18+'BAN-L Electrical &amp; Water '!T18,0)</f>
        <v>261</v>
      </c>
      <c r="J13" s="25">
        <v>7.84</v>
      </c>
      <c r="K13" s="24"/>
      <c r="L13" s="25">
        <v>7.84</v>
      </c>
      <c r="M13" s="32">
        <v>18</v>
      </c>
      <c r="N13" s="32">
        <v>42</v>
      </c>
    </row>
    <row r="14" spans="1:14" x14ac:dyDescent="0.25">
      <c r="A14" s="22" t="s">
        <v>14</v>
      </c>
      <c r="B14" s="23">
        <f t="shared" si="0"/>
        <v>13</v>
      </c>
      <c r="C14" s="23">
        <v>6</v>
      </c>
      <c r="D14" s="23">
        <v>2026</v>
      </c>
      <c r="E14" s="24">
        <f>IF('BAN-L Electrical &amp; Water '!D19+'BAN-L Electrical &amp; Water '!F19+'BAN-L Electrical &amp; Water '!H19+'BAN-L Electrical &amp; Water '!J19+'BAN-L Electrical &amp; Water '!L19+'BAN-L Electrical &amp; Water '!N19&gt;0,'BAN-L Electrical &amp; Water '!D19+'BAN-L Electrical &amp; Water '!F19+'BAN-L Electrical &amp; Water '!H19+'BAN-L Electrical &amp; Water '!J19+'BAN-L Electrical &amp; Water '!L19+'BAN-L Electrical &amp; Water '!N19,0)</f>
        <v>15022</v>
      </c>
      <c r="F14" s="25">
        <v>0.2</v>
      </c>
      <c r="G14" s="24"/>
      <c r="H14" s="25">
        <v>5.42</v>
      </c>
      <c r="I14" s="24">
        <f>IF('BAN-L Electrical &amp; Water '!P19+'BAN-L Electrical &amp; Water '!R19+'BAN-L Electrical &amp; Water '!T19&gt;0,'BAN-L Electrical &amp; Water '!P19+'BAN-L Electrical &amp; Water '!R19+'BAN-L Electrical &amp; Water '!T19,0)</f>
        <v>224</v>
      </c>
      <c r="J14" s="25">
        <v>7.84</v>
      </c>
      <c r="K14" s="24"/>
      <c r="L14" s="25">
        <v>7.84</v>
      </c>
      <c r="M14" s="32">
        <v>54</v>
      </c>
      <c r="N14" s="32">
        <v>139</v>
      </c>
    </row>
    <row r="15" spans="1:14" x14ac:dyDescent="0.25">
      <c r="A15" s="22" t="s">
        <v>14</v>
      </c>
      <c r="B15" s="23">
        <f t="shared" si="0"/>
        <v>14</v>
      </c>
      <c r="C15" s="23">
        <v>6</v>
      </c>
      <c r="D15" s="23">
        <v>2026</v>
      </c>
      <c r="E15" s="24">
        <f>IF('BAN-L Electrical &amp; Water '!D20+'BAN-L Electrical &amp; Water '!F20+'BAN-L Electrical &amp; Water '!H20+'BAN-L Electrical &amp; Water '!J20+'BAN-L Electrical &amp; Water '!L20+'BAN-L Electrical &amp; Water '!N20&gt;0,'BAN-L Electrical &amp; Water '!D20+'BAN-L Electrical &amp; Water '!F20+'BAN-L Electrical &amp; Water '!H20+'BAN-L Electrical &amp; Water '!J20+'BAN-L Electrical &amp; Water '!L20+'BAN-L Electrical &amp; Water '!N20,0)</f>
        <v>15988</v>
      </c>
      <c r="F15" s="25">
        <v>0.2</v>
      </c>
      <c r="G15" s="24"/>
      <c r="H15" s="25">
        <v>5.42</v>
      </c>
      <c r="I15" s="24">
        <f>IF('BAN-L Electrical &amp; Water '!P20+'BAN-L Electrical &amp; Water '!R20+'BAN-L Electrical &amp; Water '!T20&gt;0,'BAN-L Electrical &amp; Water '!P20+'BAN-L Electrical &amp; Water '!R20+'BAN-L Electrical &amp; Water '!T20,0)</f>
        <v>247</v>
      </c>
      <c r="J15" s="25">
        <v>7.84</v>
      </c>
      <c r="K15" s="24"/>
      <c r="L15" s="25">
        <v>7.84</v>
      </c>
      <c r="M15" s="32">
        <v>51</v>
      </c>
      <c r="N15" s="32">
        <v>116</v>
      </c>
    </row>
    <row r="16" spans="1:14" x14ac:dyDescent="0.25">
      <c r="A16" s="22" t="s">
        <v>14</v>
      </c>
      <c r="B16" s="23">
        <f t="shared" si="0"/>
        <v>15</v>
      </c>
      <c r="C16" s="23">
        <v>6</v>
      </c>
      <c r="D16" s="23">
        <v>2026</v>
      </c>
      <c r="E16" s="24">
        <f>IF('BAN-L Electrical &amp; Water '!D21+'BAN-L Electrical &amp; Water '!F21+'BAN-L Electrical &amp; Water '!H21+'BAN-L Electrical &amp; Water '!J21+'BAN-L Electrical &amp; Water '!L21+'BAN-L Electrical &amp; Water '!N21&gt;0,'BAN-L Electrical &amp; Water '!D21+'BAN-L Electrical &amp; Water '!F21+'BAN-L Electrical &amp; Water '!H21+'BAN-L Electrical &amp; Water '!J21+'BAN-L Electrical &amp; Water '!L21+'BAN-L Electrical &amp; Water '!N21,0)</f>
        <v>15601</v>
      </c>
      <c r="F16" s="25">
        <v>0.2</v>
      </c>
      <c r="G16" s="24"/>
      <c r="H16" s="25">
        <v>5.42</v>
      </c>
      <c r="I16" s="24">
        <f>IF('BAN-L Electrical &amp; Water '!P21+'BAN-L Electrical &amp; Water '!R21+'BAN-L Electrical &amp; Water '!T21&gt;0,'BAN-L Electrical &amp; Water '!P21+'BAN-L Electrical &amp; Water '!R21+'BAN-L Electrical &amp; Water '!T21,0)</f>
        <v>293</v>
      </c>
      <c r="J16" s="25">
        <v>7.84</v>
      </c>
      <c r="K16" s="24"/>
      <c r="L16" s="25">
        <v>7.84</v>
      </c>
      <c r="M16" s="32">
        <v>4</v>
      </c>
      <c r="N16" s="32">
        <v>8</v>
      </c>
    </row>
    <row r="17" spans="1:14" x14ac:dyDescent="0.25">
      <c r="A17" s="22" t="s">
        <v>14</v>
      </c>
      <c r="B17" s="23">
        <f t="shared" si="0"/>
        <v>16</v>
      </c>
      <c r="C17" s="23">
        <v>6</v>
      </c>
      <c r="D17" s="23">
        <v>2026</v>
      </c>
      <c r="E17" s="24">
        <f>IF('BAN-L Electrical &amp; Water '!D22+'BAN-L Electrical &amp; Water '!F22+'BAN-L Electrical &amp; Water '!H22+'BAN-L Electrical &amp; Water '!J22+'BAN-L Electrical &amp; Water '!L22+'BAN-L Electrical &amp; Water '!N22&gt;0,'BAN-L Electrical &amp; Water '!D22+'BAN-L Electrical &amp; Water '!F22+'BAN-L Electrical &amp; Water '!H22+'BAN-L Electrical &amp; Water '!J22+'BAN-L Electrical &amp; Water '!L22+'BAN-L Electrical &amp; Water '!N22,0)</f>
        <v>16396</v>
      </c>
      <c r="F17" s="25">
        <v>0.2</v>
      </c>
      <c r="G17" s="24"/>
      <c r="H17" s="25">
        <v>5.42</v>
      </c>
      <c r="I17" s="24">
        <f>IF('BAN-L Electrical &amp; Water '!P22+'BAN-L Electrical &amp; Water '!R22+'BAN-L Electrical &amp; Water '!T22&gt;0,'BAN-L Electrical &amp; Water '!P22+'BAN-L Electrical &amp; Water '!R22+'BAN-L Electrical &amp; Water '!T22,0)</f>
        <v>241</v>
      </c>
      <c r="J17" s="25">
        <v>7.84</v>
      </c>
      <c r="K17" s="24"/>
      <c r="L17" s="25">
        <v>7.84</v>
      </c>
      <c r="M17" s="32">
        <v>7</v>
      </c>
      <c r="N17" s="32">
        <v>14</v>
      </c>
    </row>
    <row r="18" spans="1:14" x14ac:dyDescent="0.25">
      <c r="A18" s="22" t="s">
        <v>14</v>
      </c>
      <c r="B18" s="23">
        <f t="shared" si="0"/>
        <v>17</v>
      </c>
      <c r="C18" s="23">
        <v>6</v>
      </c>
      <c r="D18" s="23">
        <v>2026</v>
      </c>
      <c r="E18" s="24">
        <f>IF('BAN-L Electrical &amp; Water '!D23+'BAN-L Electrical &amp; Water '!F23+'BAN-L Electrical &amp; Water '!H23+'BAN-L Electrical &amp; Water '!J23+'BAN-L Electrical &amp; Water '!L23+'BAN-L Electrical &amp; Water '!N23&gt;0,'BAN-L Electrical &amp; Water '!D23+'BAN-L Electrical &amp; Water '!F23+'BAN-L Electrical &amp; Water '!H23+'BAN-L Electrical &amp; Water '!J23+'BAN-L Electrical &amp; Water '!L23+'BAN-L Electrical &amp; Water '!N23,0)</f>
        <v>14905</v>
      </c>
      <c r="F18" s="25">
        <v>0.2</v>
      </c>
      <c r="G18" s="24"/>
      <c r="H18" s="25">
        <v>5.42</v>
      </c>
      <c r="I18" s="24">
        <f>IF('BAN-L Electrical &amp; Water '!P23+'BAN-L Electrical &amp; Water '!R23+'BAN-L Electrical &amp; Water '!T23&gt;0,'BAN-L Electrical &amp; Water '!P23+'BAN-L Electrical &amp; Water '!R23+'BAN-L Electrical &amp; Water '!T23,0)</f>
        <v>290</v>
      </c>
      <c r="J18" s="25">
        <v>7.84</v>
      </c>
      <c r="K18" s="24"/>
      <c r="L18" s="25">
        <v>7.84</v>
      </c>
      <c r="M18" s="32">
        <v>4</v>
      </c>
      <c r="N18" s="32">
        <v>8</v>
      </c>
    </row>
    <row r="19" spans="1:14" x14ac:dyDescent="0.25">
      <c r="A19" s="22" t="s">
        <v>14</v>
      </c>
      <c r="B19" s="23">
        <f t="shared" si="0"/>
        <v>18</v>
      </c>
      <c r="C19" s="23">
        <v>6</v>
      </c>
      <c r="D19" s="23">
        <v>2026</v>
      </c>
      <c r="E19" s="24">
        <f>IF('BAN-L Electrical &amp; Water '!D24+'BAN-L Electrical &amp; Water '!F24+'BAN-L Electrical &amp; Water '!H24+'BAN-L Electrical &amp; Water '!J24+'BAN-L Electrical &amp; Water '!L24+'BAN-L Electrical &amp; Water '!N24&gt;0,'BAN-L Electrical &amp; Water '!D24+'BAN-L Electrical &amp; Water '!F24+'BAN-L Electrical &amp; Water '!H24+'BAN-L Electrical &amp; Water '!J24+'BAN-L Electrical &amp; Water '!L24+'BAN-L Electrical &amp; Water '!N24,0)</f>
        <v>12970</v>
      </c>
      <c r="F19" s="25">
        <v>0.2</v>
      </c>
      <c r="G19" s="24"/>
      <c r="H19" s="25">
        <v>5.42</v>
      </c>
      <c r="I19" s="24">
        <f>IF('BAN-L Electrical &amp; Water '!P24+'BAN-L Electrical &amp; Water '!R24+'BAN-L Electrical &amp; Water '!T24&gt;0,'BAN-L Electrical &amp; Water '!P24+'BAN-L Electrical &amp; Water '!R24+'BAN-L Electrical &amp; Water '!T24,0)</f>
        <v>235</v>
      </c>
      <c r="J19" s="25">
        <v>7.84</v>
      </c>
      <c r="K19" s="24"/>
      <c r="L19" s="25">
        <v>7.84</v>
      </c>
      <c r="M19" s="32">
        <v>4</v>
      </c>
      <c r="N19" s="32">
        <v>8</v>
      </c>
    </row>
    <row r="20" spans="1:14" x14ac:dyDescent="0.25">
      <c r="A20" s="22" t="s">
        <v>14</v>
      </c>
      <c r="B20" s="23">
        <f t="shared" si="0"/>
        <v>19</v>
      </c>
      <c r="C20" s="23">
        <v>6</v>
      </c>
      <c r="D20" s="23">
        <v>2026</v>
      </c>
      <c r="E20" s="24">
        <f>IF('BAN-L Electrical &amp; Water '!D25+'BAN-L Electrical &amp; Water '!F25+'BAN-L Electrical &amp; Water '!H25+'BAN-L Electrical &amp; Water '!J25+'BAN-L Electrical &amp; Water '!L25+'BAN-L Electrical &amp; Water '!N25&gt;0,'BAN-L Electrical &amp; Water '!D25+'BAN-L Electrical &amp; Water '!F25+'BAN-L Electrical &amp; Water '!H25+'BAN-L Electrical &amp; Water '!J25+'BAN-L Electrical &amp; Water '!L25+'BAN-L Electrical &amp; Water '!N25,0)</f>
        <v>14188</v>
      </c>
      <c r="F20" s="25">
        <v>0.2</v>
      </c>
      <c r="G20" s="24"/>
      <c r="H20" s="25">
        <v>5.42</v>
      </c>
      <c r="I20" s="24">
        <f>IF('BAN-L Electrical &amp; Water '!P25+'BAN-L Electrical &amp; Water '!R25+'BAN-L Electrical &amp; Water '!T25&gt;0,'BAN-L Electrical &amp; Water '!P25+'BAN-L Electrical &amp; Water '!R25+'BAN-L Electrical &amp; Water '!T25,0)</f>
        <v>275</v>
      </c>
      <c r="J20" s="25">
        <v>7.84</v>
      </c>
      <c r="K20" s="24"/>
      <c r="L20" s="25">
        <v>7.84</v>
      </c>
      <c r="M20" s="32">
        <v>13</v>
      </c>
      <c r="N20" s="32">
        <v>25</v>
      </c>
    </row>
    <row r="21" spans="1:14" x14ac:dyDescent="0.25">
      <c r="A21" s="22" t="s">
        <v>14</v>
      </c>
      <c r="B21" s="23">
        <f t="shared" si="0"/>
        <v>20</v>
      </c>
      <c r="C21" s="23">
        <v>6</v>
      </c>
      <c r="D21" s="23">
        <v>2026</v>
      </c>
      <c r="E21" s="24">
        <f>IF('BAN-L Electrical &amp; Water '!D26+'BAN-L Electrical &amp; Water '!F26+'BAN-L Electrical &amp; Water '!H26+'BAN-L Electrical &amp; Water '!J26+'BAN-L Electrical &amp; Water '!L26+'BAN-L Electrical &amp; Water '!N26&gt;0,'BAN-L Electrical &amp; Water '!D26+'BAN-L Electrical &amp; Water '!F26+'BAN-L Electrical &amp; Water '!H26+'BAN-L Electrical &amp; Water '!J26+'BAN-L Electrical &amp; Water '!L26+'BAN-L Electrical &amp; Water '!N26,0)</f>
        <v>15521</v>
      </c>
      <c r="F21" s="25">
        <v>0.2</v>
      </c>
      <c r="G21" s="24"/>
      <c r="H21" s="25">
        <v>5.42</v>
      </c>
      <c r="I21" s="24">
        <f>IF('BAN-L Electrical &amp; Water '!P26+'BAN-L Electrical &amp; Water '!R26+'BAN-L Electrical &amp; Water '!T26&gt;0,'BAN-L Electrical &amp; Water '!P26+'BAN-L Electrical &amp; Water '!R26+'BAN-L Electrical &amp; Water '!T26,0)</f>
        <v>255</v>
      </c>
      <c r="J21" s="25">
        <v>7.84</v>
      </c>
      <c r="K21" s="24"/>
      <c r="L21" s="25">
        <v>7.84</v>
      </c>
      <c r="M21" s="32">
        <v>33</v>
      </c>
      <c r="N21" s="32">
        <v>72</v>
      </c>
    </row>
    <row r="22" spans="1:14" x14ac:dyDescent="0.25">
      <c r="A22" s="22" t="s">
        <v>14</v>
      </c>
      <c r="B22" s="23">
        <f t="shared" si="0"/>
        <v>21</v>
      </c>
      <c r="C22" s="23">
        <v>6</v>
      </c>
      <c r="D22" s="23">
        <v>2026</v>
      </c>
      <c r="E22" s="24">
        <f>IF('BAN-L Electrical &amp; Water '!D27+'BAN-L Electrical &amp; Water '!F27+'BAN-L Electrical &amp; Water '!H27+'BAN-L Electrical &amp; Water '!J27+'BAN-L Electrical &amp; Water '!L27+'BAN-L Electrical &amp; Water '!N27&gt;0,'BAN-L Electrical &amp; Water '!D27+'BAN-L Electrical &amp; Water '!F27+'BAN-L Electrical &amp; Water '!H27+'BAN-L Electrical &amp; Water '!J27+'BAN-L Electrical &amp; Water '!L27+'BAN-L Electrical &amp; Water '!N27,0)</f>
        <v>16167</v>
      </c>
      <c r="F22" s="25">
        <v>0.2</v>
      </c>
      <c r="G22" s="24"/>
      <c r="H22" s="25">
        <v>5.42</v>
      </c>
      <c r="I22" s="24">
        <f>IF('BAN-L Electrical &amp; Water '!P27+'BAN-L Electrical &amp; Water '!R27+'BAN-L Electrical &amp; Water '!T27&gt;0,'BAN-L Electrical &amp; Water '!P27+'BAN-L Electrical &amp; Water '!R27+'BAN-L Electrical &amp; Water '!T27,0)</f>
        <v>192</v>
      </c>
      <c r="J22" s="25">
        <v>7.84</v>
      </c>
      <c r="K22" s="24"/>
      <c r="L22" s="25">
        <v>7.84</v>
      </c>
      <c r="M22" s="32">
        <v>9</v>
      </c>
      <c r="N22" s="32">
        <v>17</v>
      </c>
    </row>
    <row r="23" spans="1:14" x14ac:dyDescent="0.25">
      <c r="A23" s="22" t="s">
        <v>14</v>
      </c>
      <c r="B23" s="23">
        <f t="shared" si="0"/>
        <v>22</v>
      </c>
      <c r="C23" s="23">
        <v>6</v>
      </c>
      <c r="D23" s="23">
        <v>2026</v>
      </c>
      <c r="E23" s="24">
        <f>IF('BAN-L Electrical &amp; Water '!D28+'BAN-L Electrical &amp; Water '!F28+'BAN-L Electrical &amp; Water '!H28+'BAN-L Electrical &amp; Water '!J28+'BAN-L Electrical &amp; Water '!L28+'BAN-L Electrical &amp; Water '!N28&gt;0,'BAN-L Electrical &amp; Water '!D28+'BAN-L Electrical &amp; Water '!F28+'BAN-L Electrical &amp; Water '!H28+'BAN-L Electrical &amp; Water '!J28+'BAN-L Electrical &amp; Water '!L28+'BAN-L Electrical &amp; Water '!N28,0)</f>
        <v>15128</v>
      </c>
      <c r="F23" s="25">
        <v>0.2</v>
      </c>
      <c r="G23" s="24"/>
      <c r="H23" s="25">
        <v>5.42</v>
      </c>
      <c r="I23" s="24">
        <f>IF('BAN-L Electrical &amp; Water '!P28+'BAN-L Electrical &amp; Water '!R28+'BAN-L Electrical &amp; Water '!T28&gt;0,'BAN-L Electrical &amp; Water '!P28+'BAN-L Electrical &amp; Water '!R28+'BAN-L Electrical &amp; Water '!T28,0)</f>
        <v>335</v>
      </c>
      <c r="J23" s="25">
        <v>7.84</v>
      </c>
      <c r="K23" s="24"/>
      <c r="L23" s="25">
        <v>7.84</v>
      </c>
      <c r="M23" s="32">
        <v>5</v>
      </c>
      <c r="N23" s="32">
        <v>9</v>
      </c>
    </row>
    <row r="24" spans="1:14" x14ac:dyDescent="0.25">
      <c r="A24" s="22" t="s">
        <v>14</v>
      </c>
      <c r="B24" s="23">
        <f t="shared" si="0"/>
        <v>23</v>
      </c>
      <c r="C24" s="23">
        <v>6</v>
      </c>
      <c r="D24" s="23">
        <v>2026</v>
      </c>
      <c r="E24" s="24">
        <f>IF('BAN-L Electrical &amp; Water '!D29+'BAN-L Electrical &amp; Water '!F29+'BAN-L Electrical &amp; Water '!H29+'BAN-L Electrical &amp; Water '!J29+'BAN-L Electrical &amp; Water '!L29+'BAN-L Electrical &amp; Water '!N29&gt;0,'BAN-L Electrical &amp; Water '!D29+'BAN-L Electrical &amp; Water '!F29+'BAN-L Electrical &amp; Water '!H29+'BAN-L Electrical &amp; Water '!J29+'BAN-L Electrical &amp; Water '!L29+'BAN-L Electrical &amp; Water '!N29,0)</f>
        <v>14872</v>
      </c>
      <c r="F24" s="25">
        <v>0.2</v>
      </c>
      <c r="G24" s="24"/>
      <c r="H24" s="25">
        <v>5.42</v>
      </c>
      <c r="I24" s="24">
        <f>IF('BAN-L Electrical &amp; Water '!P29+'BAN-L Electrical &amp; Water '!R29+'BAN-L Electrical &amp; Water '!T29&gt;0,'BAN-L Electrical &amp; Water '!P29+'BAN-L Electrical &amp; Water '!R29+'BAN-L Electrical &amp; Water '!T29,0)</f>
        <v>240</v>
      </c>
      <c r="J24" s="25">
        <v>7.84</v>
      </c>
      <c r="K24" s="24"/>
      <c r="L24" s="25">
        <v>7.84</v>
      </c>
      <c r="M24" s="32">
        <v>3</v>
      </c>
      <c r="N24" s="32">
        <v>5</v>
      </c>
    </row>
    <row r="25" spans="1:14" x14ac:dyDescent="0.25">
      <c r="A25" s="22" t="s">
        <v>14</v>
      </c>
      <c r="B25" s="23">
        <f t="shared" si="0"/>
        <v>24</v>
      </c>
      <c r="C25" s="23">
        <v>6</v>
      </c>
      <c r="D25" s="23">
        <v>2026</v>
      </c>
      <c r="E25" s="24">
        <f>IF('BAN-L Electrical &amp; Water '!D30+'BAN-L Electrical &amp; Water '!F30+'BAN-L Electrical &amp; Water '!H30+'BAN-L Electrical &amp; Water '!J30+'BAN-L Electrical &amp; Water '!L30+'BAN-L Electrical &amp; Water '!N30&gt;0,'BAN-L Electrical &amp; Water '!D30+'BAN-L Electrical &amp; Water '!F30+'BAN-L Electrical &amp; Water '!H30+'BAN-L Electrical &amp; Water '!J30+'BAN-L Electrical &amp; Water '!L30+'BAN-L Electrical &amp; Water '!N30,0)</f>
        <v>15430</v>
      </c>
      <c r="F25" s="25">
        <v>0.2</v>
      </c>
      <c r="G25" s="24"/>
      <c r="H25" s="25">
        <v>5.42</v>
      </c>
      <c r="I25" s="24">
        <f>IF('BAN-L Electrical &amp; Water '!P30+'BAN-L Electrical &amp; Water '!R30+'BAN-L Electrical &amp; Water '!T30&gt;0,'BAN-L Electrical &amp; Water '!P30+'BAN-L Electrical &amp; Water '!R30+'BAN-L Electrical &amp; Water '!T30,0)</f>
        <v>210</v>
      </c>
      <c r="J25" s="25">
        <v>7.84</v>
      </c>
      <c r="K25" s="24"/>
      <c r="L25" s="25">
        <v>7.84</v>
      </c>
      <c r="M25" s="32">
        <v>4</v>
      </c>
      <c r="N25" s="32">
        <v>9</v>
      </c>
    </row>
    <row r="26" spans="1:14" x14ac:dyDescent="0.25">
      <c r="A26" s="22" t="s">
        <v>14</v>
      </c>
      <c r="B26" s="23">
        <f>B25+1</f>
        <v>25</v>
      </c>
      <c r="C26" s="23">
        <v>6</v>
      </c>
      <c r="D26" s="23">
        <v>2026</v>
      </c>
      <c r="E26" s="24">
        <f>IF('BAN-L Electrical &amp; Water '!D31+'BAN-L Electrical &amp; Water '!F31+'BAN-L Electrical &amp; Water '!H31+'BAN-L Electrical &amp; Water '!J31+'BAN-L Electrical &amp; Water '!L31+'BAN-L Electrical &amp; Water '!N31&gt;0,'BAN-L Electrical &amp; Water '!D31+'BAN-L Electrical &amp; Water '!F31+'BAN-L Electrical &amp; Water '!H31+'BAN-L Electrical &amp; Water '!J31+'BAN-L Electrical &amp; Water '!L31+'BAN-L Electrical &amp; Water '!N31,0)</f>
        <v>16263</v>
      </c>
      <c r="F26" s="25">
        <v>0.2</v>
      </c>
      <c r="G26" s="24"/>
      <c r="H26" s="25">
        <v>5.42</v>
      </c>
      <c r="I26" s="24">
        <f>IF('BAN-L Electrical &amp; Water '!P31+'BAN-L Electrical &amp; Water '!R31+'BAN-L Electrical &amp; Water '!T31&gt;0,'BAN-L Electrical &amp; Water '!P31+'BAN-L Electrical &amp; Water '!R31+'BAN-L Electrical &amp; Water '!T31,0)</f>
        <v>225</v>
      </c>
      <c r="J26" s="25">
        <v>7.84</v>
      </c>
      <c r="K26" s="24"/>
      <c r="L26" s="25">
        <v>7.84</v>
      </c>
      <c r="M26" s="32">
        <v>3</v>
      </c>
      <c r="N26" s="32">
        <v>7</v>
      </c>
    </row>
    <row r="27" spans="1:14" x14ac:dyDescent="0.25">
      <c r="A27" s="22" t="s">
        <v>14</v>
      </c>
      <c r="B27" s="23">
        <f t="shared" si="0"/>
        <v>26</v>
      </c>
      <c r="C27" s="23">
        <v>6</v>
      </c>
      <c r="D27" s="23">
        <v>2026</v>
      </c>
      <c r="E27" s="24">
        <f>IF('BAN-L Electrical &amp; Water '!D32+'BAN-L Electrical &amp; Water '!F32+'BAN-L Electrical &amp; Water '!H32+'BAN-L Electrical &amp; Water '!J32+'BAN-L Electrical &amp; Water '!L32+'BAN-L Electrical &amp; Water '!N32&gt;0,'BAN-L Electrical &amp; Water '!D32+'BAN-L Electrical &amp; Water '!F32+'BAN-L Electrical &amp; Water '!H32+'BAN-L Electrical &amp; Water '!J32+'BAN-L Electrical &amp; Water '!L32+'BAN-L Electrical &amp; Water '!N32,0)</f>
        <v>14924</v>
      </c>
      <c r="F27" s="25">
        <v>0.2</v>
      </c>
      <c r="G27" s="24"/>
      <c r="H27" s="25">
        <v>5.42</v>
      </c>
      <c r="I27" s="24">
        <f>IF('BAN-L Electrical &amp; Water '!P32+'BAN-L Electrical &amp; Water '!R32+'BAN-L Electrical &amp; Water '!T32&gt;0,'BAN-L Electrical &amp; Water '!P32+'BAN-L Electrical &amp; Water '!R32+'BAN-L Electrical &amp; Water '!T32,0)</f>
        <v>226</v>
      </c>
      <c r="J27" s="25">
        <v>7.84</v>
      </c>
      <c r="K27" s="24"/>
      <c r="L27" s="25">
        <v>7.84</v>
      </c>
      <c r="M27" s="32">
        <v>13</v>
      </c>
      <c r="N27" s="32">
        <v>17</v>
      </c>
    </row>
    <row r="28" spans="1:14" x14ac:dyDescent="0.25">
      <c r="A28" s="22" t="s">
        <v>14</v>
      </c>
      <c r="B28" s="23">
        <f t="shared" si="0"/>
        <v>27</v>
      </c>
      <c r="C28" s="23">
        <v>6</v>
      </c>
      <c r="D28" s="23">
        <v>2026</v>
      </c>
      <c r="E28" s="24">
        <f>IF('BAN-L Electrical &amp; Water '!D33+'BAN-L Electrical &amp; Water '!F33+'BAN-L Electrical &amp; Water '!H33+'BAN-L Electrical &amp; Water '!J33+'BAN-L Electrical &amp; Water '!L33+'BAN-L Electrical &amp; Water '!N33&gt;0,'BAN-L Electrical &amp; Water '!D33+'BAN-L Electrical &amp; Water '!F33+'BAN-L Electrical &amp; Water '!H33+'BAN-L Electrical &amp; Water '!J33+'BAN-L Electrical &amp; Water '!L33+'BAN-L Electrical &amp; Water '!N33,0)</f>
        <v>15890</v>
      </c>
      <c r="F28" s="25">
        <v>0.2</v>
      </c>
      <c r="G28" s="24"/>
      <c r="H28" s="25">
        <v>5.42</v>
      </c>
      <c r="I28" s="24">
        <f>IF('BAN-L Electrical &amp; Water '!P33+'BAN-L Electrical &amp; Water '!R33+'BAN-L Electrical &amp; Water '!T33&gt;0,'BAN-L Electrical &amp; Water '!P33+'BAN-L Electrical &amp; Water '!R33+'BAN-L Electrical &amp; Water '!T33,0)</f>
        <v>238</v>
      </c>
      <c r="J28" s="25">
        <v>7.84</v>
      </c>
      <c r="K28" s="24"/>
      <c r="L28" s="25">
        <v>7.84</v>
      </c>
      <c r="M28" s="32">
        <v>25</v>
      </c>
      <c r="N28" s="32">
        <v>59</v>
      </c>
    </row>
    <row r="29" spans="1:14" x14ac:dyDescent="0.25">
      <c r="A29" s="22" t="s">
        <v>14</v>
      </c>
      <c r="B29" s="23">
        <f t="shared" si="0"/>
        <v>28</v>
      </c>
      <c r="C29" s="23">
        <v>6</v>
      </c>
      <c r="D29" s="23">
        <v>2026</v>
      </c>
      <c r="E29" s="24">
        <f>IF('BAN-L Electrical &amp; Water '!D34+'BAN-L Electrical &amp; Water '!F34+'BAN-L Electrical &amp; Water '!H34+'BAN-L Electrical &amp; Water '!J34+'BAN-L Electrical &amp; Water '!L34+'BAN-L Electrical &amp; Water '!N34&gt;0,'BAN-L Electrical &amp; Water '!D34+'BAN-L Electrical &amp; Water '!F34+'BAN-L Electrical &amp; Water '!H34+'BAN-L Electrical &amp; Water '!J34+'BAN-L Electrical &amp; Water '!L34+'BAN-L Electrical &amp; Water '!N34,0)</f>
        <v>15736</v>
      </c>
      <c r="F29" s="25">
        <v>0.2</v>
      </c>
      <c r="G29" s="24"/>
      <c r="H29" s="25">
        <v>5.42</v>
      </c>
      <c r="I29" s="24">
        <f>IF('BAN-L Electrical &amp; Water '!P34+'BAN-L Electrical &amp; Water '!R34+'BAN-L Electrical &amp; Water '!T34&gt;0,'BAN-L Electrical &amp; Water '!P34+'BAN-L Electrical &amp; Water '!R34+'BAN-L Electrical &amp; Water '!T34,0)</f>
        <v>227</v>
      </c>
      <c r="J29" s="25">
        <v>7.84</v>
      </c>
      <c r="K29" s="24"/>
      <c r="L29" s="25">
        <v>7.84</v>
      </c>
      <c r="M29" s="32">
        <v>10</v>
      </c>
      <c r="N29" s="32">
        <v>20</v>
      </c>
    </row>
    <row r="30" spans="1:14" x14ac:dyDescent="0.25">
      <c r="A30" s="22" t="s">
        <v>14</v>
      </c>
      <c r="B30" s="23">
        <f t="shared" si="0"/>
        <v>29</v>
      </c>
      <c r="C30" s="23">
        <v>6</v>
      </c>
      <c r="D30" s="23">
        <v>2026</v>
      </c>
      <c r="E30" s="24">
        <f>IF('BAN-L Electrical &amp; Water '!D35+'BAN-L Electrical &amp; Water '!F35+'BAN-L Electrical &amp; Water '!H35+'BAN-L Electrical &amp; Water '!J35+'BAN-L Electrical &amp; Water '!L35+'BAN-L Electrical &amp; Water '!N35&gt;0,'BAN-L Electrical &amp; Water '!D35+'BAN-L Electrical &amp; Water '!F35+'BAN-L Electrical &amp; Water '!H35+'BAN-L Electrical &amp; Water '!J35+'BAN-L Electrical &amp; Water '!L35+'BAN-L Electrical &amp; Water '!N35,0)</f>
        <v>14831</v>
      </c>
      <c r="F30" s="25">
        <v>0.2</v>
      </c>
      <c r="G30" s="24"/>
      <c r="H30" s="25">
        <v>5.42</v>
      </c>
      <c r="I30" s="24">
        <f>IF('BAN-L Electrical &amp; Water '!P35+'BAN-L Electrical &amp; Water '!R35+'BAN-L Electrical &amp; Water '!T35&gt;0,'BAN-L Electrical &amp; Water '!P35+'BAN-L Electrical &amp; Water '!R35+'BAN-L Electrical &amp; Water '!T35,0)</f>
        <v>275</v>
      </c>
      <c r="J30" s="25">
        <v>7.84</v>
      </c>
      <c r="K30" s="24"/>
      <c r="L30" s="25">
        <v>7.84</v>
      </c>
      <c r="M30" s="32">
        <v>5</v>
      </c>
      <c r="N30" s="32">
        <v>9</v>
      </c>
    </row>
    <row r="31" spans="1:14" x14ac:dyDescent="0.25">
      <c r="A31" s="22" t="s">
        <v>14</v>
      </c>
      <c r="B31" s="23">
        <f t="shared" si="0"/>
        <v>30</v>
      </c>
      <c r="C31" s="23">
        <v>6</v>
      </c>
      <c r="D31" s="23">
        <v>2026</v>
      </c>
      <c r="E31" s="24">
        <f>IF('BAN-L Electrical &amp; Water '!D36+'BAN-L Electrical &amp; Water '!F36+'BAN-L Electrical &amp; Water '!H36+'BAN-L Electrical &amp; Water '!J36+'BAN-L Electrical &amp; Water '!L36+'BAN-L Electrical &amp; Water '!N36&gt;0,'BAN-L Electrical &amp; Water '!D36+'BAN-L Electrical &amp; Water '!F36+'BAN-L Electrical &amp; Water '!H36+'BAN-L Electrical &amp; Water '!J36+'BAN-L Electrical &amp; Water '!L36+'BAN-L Electrical &amp; Water '!N36,0)</f>
        <v>15564</v>
      </c>
      <c r="F31" s="25">
        <v>0.2</v>
      </c>
      <c r="G31" s="24"/>
      <c r="H31" s="25">
        <v>5.42</v>
      </c>
      <c r="I31" s="24">
        <f>IF('BAN-L Electrical &amp; Water '!P36+'BAN-L Electrical &amp; Water '!R36+'BAN-L Electrical &amp; Water '!T36&gt;0,'BAN-L Electrical &amp; Water '!P36+'BAN-L Electrical &amp; Water '!R36+'BAN-L Electrical &amp; Water '!T36,0)</f>
        <v>252</v>
      </c>
      <c r="J31" s="25">
        <v>7.84</v>
      </c>
      <c r="K31" s="24"/>
      <c r="L31" s="25">
        <v>7.84</v>
      </c>
      <c r="M31" s="32">
        <v>4</v>
      </c>
      <c r="N31" s="32">
        <v>8</v>
      </c>
    </row>
    <row r="32" spans="1:14" x14ac:dyDescent="0.25">
      <c r="A32" s="22"/>
      <c r="E32" s="24"/>
      <c r="G32" s="24"/>
      <c r="I32" s="24"/>
      <c r="J32" s="25"/>
      <c r="K32" s="24"/>
      <c r="L32" s="25"/>
      <c r="M32" s="32"/>
      <c r="N32" s="32"/>
    </row>
    <row r="33" spans="5:14" x14ac:dyDescent="0.25">
      <c r="G33" s="24"/>
      <c r="I33" s="24"/>
    </row>
    <row r="34" spans="5:14" x14ac:dyDescent="0.25">
      <c r="E34" s="24"/>
      <c r="M34" s="26">
        <f>SUM(M2:M33)</f>
        <v>369</v>
      </c>
      <c r="N34" s="26">
        <f>SUM(N2:N33)</f>
        <v>784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A63C-B111-40AA-B9A8-2E91F350E8C1}">
  <dimension ref="A1:X42"/>
  <sheetViews>
    <sheetView topLeftCell="A16" zoomScale="60" zoomScaleNormal="60" zoomScaleSheetLayoutView="90" zoomScalePageLayoutView="52" workbookViewId="0">
      <selection activeCell="S6" sqref="S6:S36"/>
    </sheetView>
  </sheetViews>
  <sheetFormatPr defaultRowHeight="15" x14ac:dyDescent="0.25"/>
  <cols>
    <col min="1" max="2" width="21.42578125" customWidth="1"/>
    <col min="3" max="3" width="30.42578125" style="1" bestFit="1" customWidth="1"/>
    <col min="4" max="4" width="31.140625" style="1" customWidth="1"/>
    <col min="5" max="5" width="33.28515625" style="1" customWidth="1"/>
    <col min="6" max="6" width="31.140625" style="1" customWidth="1"/>
    <col min="7" max="7" width="30.42578125" style="1" bestFit="1" customWidth="1"/>
    <col min="8" max="8" width="31.140625" style="1" customWidth="1"/>
    <col min="9" max="9" width="30.42578125" style="1" bestFit="1" customWidth="1"/>
    <col min="10" max="10" width="31.140625" style="1" customWidth="1"/>
    <col min="11" max="11" width="30.42578125" style="1" bestFit="1" customWidth="1"/>
    <col min="12" max="12" width="31.140625" style="1" customWidth="1"/>
    <col min="13" max="13" width="33.28515625" style="1" customWidth="1"/>
    <col min="14" max="14" width="31.140625" style="1" customWidth="1"/>
    <col min="15" max="15" width="30.85546875" style="5" customWidth="1"/>
    <col min="16" max="16" width="30.42578125" style="5" customWidth="1"/>
    <col min="17" max="17" width="30.85546875" style="5" customWidth="1"/>
    <col min="18" max="18" width="30.42578125" style="5" customWidth="1"/>
    <col min="19" max="19" width="30.85546875" style="5" customWidth="1"/>
    <col min="20" max="20" width="30.42578125" style="5" customWidth="1"/>
    <col min="21" max="21" width="55.7109375" style="1" bestFit="1" customWidth="1"/>
  </cols>
  <sheetData>
    <row r="1" spans="1:24" ht="95.1" customHeight="1" thickBot="1" x14ac:dyDescent="0.3">
      <c r="C1" s="36" t="s">
        <v>15</v>
      </c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X1" s="2"/>
    </row>
    <row r="2" spans="1:24" s="1" customFormat="1" ht="54.75" customHeight="1" thickBot="1" x14ac:dyDescent="0.3">
      <c r="A2" s="8" t="s">
        <v>16</v>
      </c>
      <c r="B2" s="35" t="s">
        <v>17</v>
      </c>
      <c r="C2" s="11" t="s">
        <v>18</v>
      </c>
      <c r="D2" s="38" t="s">
        <v>19</v>
      </c>
      <c r="E2" s="11" t="s">
        <v>20</v>
      </c>
      <c r="F2" s="38" t="s">
        <v>19</v>
      </c>
      <c r="G2" s="11" t="s">
        <v>21</v>
      </c>
      <c r="H2" s="38" t="s">
        <v>19</v>
      </c>
      <c r="I2" s="11" t="s">
        <v>22</v>
      </c>
      <c r="J2" s="38" t="s">
        <v>19</v>
      </c>
      <c r="K2" s="11" t="s">
        <v>23</v>
      </c>
      <c r="L2" s="38" t="s">
        <v>19</v>
      </c>
      <c r="M2" s="11" t="s">
        <v>24</v>
      </c>
      <c r="N2" s="38" t="s">
        <v>19</v>
      </c>
      <c r="O2" s="39" t="s">
        <v>25</v>
      </c>
      <c r="P2" s="39" t="s">
        <v>19</v>
      </c>
      <c r="Q2" s="39" t="s">
        <v>26</v>
      </c>
      <c r="R2" s="39" t="s">
        <v>19</v>
      </c>
      <c r="S2" s="39" t="s">
        <v>27</v>
      </c>
      <c r="T2" s="39" t="s">
        <v>19</v>
      </c>
      <c r="U2" s="40" t="s">
        <v>28</v>
      </c>
    </row>
    <row r="3" spans="1:24" ht="60" customHeight="1" thickBot="1" x14ac:dyDescent="0.3">
      <c r="A3" s="8" t="s">
        <v>29</v>
      </c>
      <c r="B3" s="35"/>
      <c r="C3" s="14" t="s">
        <v>30</v>
      </c>
      <c r="D3" s="38"/>
      <c r="E3" s="14" t="s">
        <v>31</v>
      </c>
      <c r="F3" s="38"/>
      <c r="G3" s="14" t="s">
        <v>32</v>
      </c>
      <c r="H3" s="38"/>
      <c r="I3" s="14" t="s">
        <v>33</v>
      </c>
      <c r="J3" s="38"/>
      <c r="K3" s="14" t="s">
        <v>34</v>
      </c>
      <c r="L3" s="38"/>
      <c r="M3" s="14" t="s">
        <v>35</v>
      </c>
      <c r="N3" s="38"/>
      <c r="O3" s="39"/>
      <c r="P3" s="39"/>
      <c r="Q3" s="39"/>
      <c r="R3" s="39"/>
      <c r="S3" s="39"/>
      <c r="T3" s="39"/>
      <c r="U3" s="40"/>
    </row>
    <row r="4" spans="1:24" ht="46.5" customHeight="1" thickBot="1" x14ac:dyDescent="0.3">
      <c r="A4" s="35" t="s">
        <v>36</v>
      </c>
      <c r="B4" s="35"/>
      <c r="C4" s="38" t="s">
        <v>37</v>
      </c>
      <c r="D4" s="38"/>
      <c r="E4" s="38" t="s">
        <v>37</v>
      </c>
      <c r="F4" s="38"/>
      <c r="G4" s="38" t="s">
        <v>37</v>
      </c>
      <c r="H4" s="38"/>
      <c r="I4" s="38" t="s">
        <v>37</v>
      </c>
      <c r="J4" s="38"/>
      <c r="K4" s="38" t="s">
        <v>37</v>
      </c>
      <c r="L4" s="38"/>
      <c r="M4" s="38" t="s">
        <v>37</v>
      </c>
      <c r="N4" s="38"/>
      <c r="O4" s="39"/>
      <c r="P4" s="39"/>
      <c r="Q4" s="39"/>
      <c r="R4" s="39"/>
      <c r="S4" s="39"/>
      <c r="T4" s="39"/>
      <c r="U4" s="40"/>
    </row>
    <row r="5" spans="1:24" ht="24.95" customHeight="1" thickBot="1" x14ac:dyDescent="0.3">
      <c r="A5" s="35"/>
      <c r="B5" s="35"/>
      <c r="C5" s="38"/>
      <c r="D5" s="12" t="s">
        <v>38</v>
      </c>
      <c r="E5" s="38"/>
      <c r="F5" s="12" t="s">
        <v>38</v>
      </c>
      <c r="G5" s="38"/>
      <c r="H5" s="12" t="s">
        <v>38</v>
      </c>
      <c r="I5" s="38"/>
      <c r="J5" s="12" t="s">
        <v>38</v>
      </c>
      <c r="K5" s="38"/>
      <c r="L5" s="12" t="s">
        <v>38</v>
      </c>
      <c r="M5" s="38"/>
      <c r="N5" s="12">
        <v>0</v>
      </c>
      <c r="O5" s="13" t="s">
        <v>39</v>
      </c>
      <c r="P5" s="13" t="s">
        <v>39</v>
      </c>
      <c r="Q5" s="13" t="s">
        <v>39</v>
      </c>
      <c r="R5" s="13" t="s">
        <v>39</v>
      </c>
      <c r="S5" s="13" t="s">
        <v>39</v>
      </c>
      <c r="T5" s="13" t="s">
        <v>39</v>
      </c>
      <c r="U5" s="40"/>
    </row>
    <row r="6" spans="1:24" ht="39" customHeight="1" x14ac:dyDescent="0.3">
      <c r="A6" s="6">
        <v>46173</v>
      </c>
      <c r="B6" s="15">
        <v>0.375</v>
      </c>
      <c r="C6" s="33">
        <v>1711163</v>
      </c>
      <c r="D6" s="30">
        <v>0</v>
      </c>
      <c r="E6" s="33">
        <v>1508549</v>
      </c>
      <c r="F6" s="30">
        <v>0</v>
      </c>
      <c r="G6" s="33">
        <v>1992822</v>
      </c>
      <c r="H6" s="30">
        <v>0</v>
      </c>
      <c r="I6" s="33">
        <v>2391888</v>
      </c>
      <c r="J6" s="30">
        <v>0</v>
      </c>
      <c r="K6" s="33">
        <v>2622556</v>
      </c>
      <c r="L6" s="30">
        <v>0</v>
      </c>
      <c r="M6" s="33">
        <v>5669268</v>
      </c>
      <c r="N6" s="30">
        <v>0</v>
      </c>
      <c r="O6" s="34">
        <v>33633</v>
      </c>
      <c r="P6" s="31">
        <v>0</v>
      </c>
      <c r="Q6" s="34">
        <v>13661</v>
      </c>
      <c r="R6" s="31">
        <v>0</v>
      </c>
      <c r="S6" s="34">
        <v>22303</v>
      </c>
      <c r="T6" s="9">
        <v>0</v>
      </c>
      <c r="U6" s="7"/>
    </row>
    <row r="7" spans="1:24" ht="39" customHeight="1" x14ac:dyDescent="0.3">
      <c r="A7" s="6">
        <v>46174</v>
      </c>
      <c r="B7" s="16">
        <v>0.22916666666666666</v>
      </c>
      <c r="C7" s="33">
        <v>1712889</v>
      </c>
      <c r="D7" s="4">
        <f t="shared" ref="D7:D36" si="0">C7-C6</f>
        <v>1726</v>
      </c>
      <c r="E7" s="33">
        <v>1509952</v>
      </c>
      <c r="F7" s="4">
        <f>E7-E6</f>
        <v>1403</v>
      </c>
      <c r="G7" s="33">
        <v>1995031</v>
      </c>
      <c r="H7" s="4">
        <f>G7-G6</f>
        <v>2209</v>
      </c>
      <c r="I7" s="33">
        <v>2394131</v>
      </c>
      <c r="J7" s="4">
        <f>I7-I6</f>
        <v>2243</v>
      </c>
      <c r="K7" s="33">
        <v>2625466</v>
      </c>
      <c r="L7" s="4">
        <f>K7-K6</f>
        <v>2910</v>
      </c>
      <c r="M7" s="33">
        <v>5674455</v>
      </c>
      <c r="N7" s="4">
        <f>M7-M6</f>
        <v>5187</v>
      </c>
      <c r="O7" s="34">
        <v>33771</v>
      </c>
      <c r="P7" s="10">
        <f>O7-O6</f>
        <v>138</v>
      </c>
      <c r="Q7" s="34">
        <v>13700</v>
      </c>
      <c r="R7" s="10">
        <f>Q7-Q6</f>
        <v>39</v>
      </c>
      <c r="S7" s="34">
        <v>22395</v>
      </c>
      <c r="T7" s="10">
        <f>S7-S6</f>
        <v>92</v>
      </c>
      <c r="U7" s="3"/>
    </row>
    <row r="8" spans="1:24" ht="39" customHeight="1" x14ac:dyDescent="0.3">
      <c r="A8" s="6">
        <v>46175</v>
      </c>
      <c r="B8" s="16">
        <v>0.2638888888888889</v>
      </c>
      <c r="C8" s="33">
        <v>1714496</v>
      </c>
      <c r="D8" s="4">
        <f t="shared" si="0"/>
        <v>1607</v>
      </c>
      <c r="E8" s="33">
        <v>1511253</v>
      </c>
      <c r="F8" s="4">
        <f t="shared" ref="F8:F36" si="1">E8-E7</f>
        <v>1301</v>
      </c>
      <c r="G8" s="33">
        <v>1996988</v>
      </c>
      <c r="H8" s="4">
        <f t="shared" ref="H8:H36" si="2">G8-G7</f>
        <v>1957</v>
      </c>
      <c r="I8" s="33">
        <v>2396215</v>
      </c>
      <c r="J8" s="4">
        <f t="shared" ref="J8:J36" si="3">I8-I7</f>
        <v>2084</v>
      </c>
      <c r="K8" s="33">
        <v>2628225</v>
      </c>
      <c r="L8" s="4">
        <f t="shared" ref="L8:L36" si="4">K8-K7</f>
        <v>2759</v>
      </c>
      <c r="M8" s="33">
        <v>5679295</v>
      </c>
      <c r="N8" s="4">
        <f t="shared" ref="N8:N36" si="5">M8-M7</f>
        <v>4840</v>
      </c>
      <c r="O8" s="34">
        <v>33940</v>
      </c>
      <c r="P8" s="10">
        <f t="shared" ref="P8:P36" si="6">O8-O7</f>
        <v>169</v>
      </c>
      <c r="Q8" s="34">
        <v>13740</v>
      </c>
      <c r="R8" s="10">
        <f t="shared" ref="R8:R36" si="7">Q8-Q7</f>
        <v>40</v>
      </c>
      <c r="S8" s="34">
        <v>22454</v>
      </c>
      <c r="T8" s="10">
        <f>S8-S7</f>
        <v>59</v>
      </c>
      <c r="U8" s="3"/>
    </row>
    <row r="9" spans="1:24" ht="39" customHeight="1" x14ac:dyDescent="0.3">
      <c r="A9" s="6">
        <v>46176</v>
      </c>
      <c r="B9" s="16">
        <v>0.21527777777777779</v>
      </c>
      <c r="C9" s="33">
        <v>1716125</v>
      </c>
      <c r="D9" s="4">
        <f t="shared" si="0"/>
        <v>1629</v>
      </c>
      <c r="E9" s="33">
        <v>1512588</v>
      </c>
      <c r="F9" s="4">
        <f t="shared" si="1"/>
        <v>1335</v>
      </c>
      <c r="G9" s="33">
        <v>1998935</v>
      </c>
      <c r="H9" s="4">
        <f t="shared" si="2"/>
        <v>1947</v>
      </c>
      <c r="I9" s="33">
        <v>2398488</v>
      </c>
      <c r="J9" s="4">
        <f t="shared" si="3"/>
        <v>2273</v>
      </c>
      <c r="K9" s="33">
        <v>2631149</v>
      </c>
      <c r="L9" s="4">
        <f t="shared" si="4"/>
        <v>2924</v>
      </c>
      <c r="M9" s="33">
        <v>5684343</v>
      </c>
      <c r="N9" s="4">
        <f t="shared" si="5"/>
        <v>5048</v>
      </c>
      <c r="O9" s="34">
        <v>34084</v>
      </c>
      <c r="P9" s="10">
        <f t="shared" si="6"/>
        <v>144</v>
      </c>
      <c r="Q9" s="34">
        <v>13785</v>
      </c>
      <c r="R9" s="10">
        <f t="shared" si="7"/>
        <v>45</v>
      </c>
      <c r="S9" s="34">
        <v>22520</v>
      </c>
      <c r="T9" s="10">
        <f t="shared" ref="T9:T36" si="8">S9-S8</f>
        <v>66</v>
      </c>
      <c r="U9" s="3"/>
    </row>
    <row r="10" spans="1:24" ht="39" customHeight="1" x14ac:dyDescent="0.3">
      <c r="A10" s="6">
        <v>46177</v>
      </c>
      <c r="B10" s="16">
        <v>0.22222222222222221</v>
      </c>
      <c r="C10" s="33">
        <v>1717717</v>
      </c>
      <c r="D10" s="4">
        <f t="shared" si="0"/>
        <v>1592</v>
      </c>
      <c r="E10" s="33">
        <v>1514060</v>
      </c>
      <c r="F10" s="4">
        <f t="shared" si="1"/>
        <v>1472</v>
      </c>
      <c r="G10" s="33">
        <v>2000759</v>
      </c>
      <c r="H10" s="4">
        <f t="shared" si="2"/>
        <v>1824</v>
      </c>
      <c r="I10" s="33">
        <v>2400736</v>
      </c>
      <c r="J10" s="4">
        <f t="shared" si="3"/>
        <v>2248</v>
      </c>
      <c r="K10" s="33">
        <v>2633998</v>
      </c>
      <c r="L10" s="4">
        <f t="shared" si="4"/>
        <v>2849</v>
      </c>
      <c r="M10" s="33">
        <v>5688974</v>
      </c>
      <c r="N10" s="4">
        <f t="shared" si="5"/>
        <v>4631</v>
      </c>
      <c r="O10" s="34">
        <v>34227</v>
      </c>
      <c r="P10" s="10">
        <f t="shared" si="6"/>
        <v>143</v>
      </c>
      <c r="Q10" s="34">
        <v>13827</v>
      </c>
      <c r="R10" s="10">
        <f t="shared" si="7"/>
        <v>42</v>
      </c>
      <c r="S10" s="34">
        <v>22584</v>
      </c>
      <c r="T10" s="10">
        <f t="shared" si="8"/>
        <v>64</v>
      </c>
      <c r="U10" s="3"/>
    </row>
    <row r="11" spans="1:24" ht="39" customHeight="1" x14ac:dyDescent="0.3">
      <c r="A11" s="6">
        <v>46178</v>
      </c>
      <c r="B11" s="16">
        <v>0.23611111111111113</v>
      </c>
      <c r="C11" s="33">
        <v>1719346</v>
      </c>
      <c r="D11" s="4">
        <f t="shared" si="0"/>
        <v>1629</v>
      </c>
      <c r="E11" s="33">
        <v>1515542</v>
      </c>
      <c r="F11" s="4">
        <f t="shared" si="1"/>
        <v>1482</v>
      </c>
      <c r="G11" s="33">
        <v>2002491</v>
      </c>
      <c r="H11" s="4">
        <f t="shared" si="2"/>
        <v>1732</v>
      </c>
      <c r="I11" s="33">
        <v>2403038</v>
      </c>
      <c r="J11" s="4">
        <f t="shared" si="3"/>
        <v>2302</v>
      </c>
      <c r="K11" s="33">
        <v>2636920</v>
      </c>
      <c r="L11" s="4">
        <f t="shared" si="4"/>
        <v>2922</v>
      </c>
      <c r="M11" s="33">
        <v>5693735</v>
      </c>
      <c r="N11" s="4">
        <f t="shared" si="5"/>
        <v>4761</v>
      </c>
      <c r="O11" s="34">
        <v>34386</v>
      </c>
      <c r="P11" s="10">
        <f t="shared" si="6"/>
        <v>159</v>
      </c>
      <c r="Q11" s="34">
        <v>13875</v>
      </c>
      <c r="R11" s="10">
        <f t="shared" si="7"/>
        <v>48</v>
      </c>
      <c r="S11" s="34">
        <v>22655</v>
      </c>
      <c r="T11" s="10">
        <f t="shared" si="8"/>
        <v>71</v>
      </c>
      <c r="U11" s="3"/>
    </row>
    <row r="12" spans="1:24" ht="39" customHeight="1" x14ac:dyDescent="0.3">
      <c r="A12" s="6">
        <v>46179</v>
      </c>
      <c r="B12" s="16">
        <v>0.22916666666666666</v>
      </c>
      <c r="C12" s="33">
        <v>1721067</v>
      </c>
      <c r="D12" s="4">
        <f t="shared" si="0"/>
        <v>1721</v>
      </c>
      <c r="E12" s="33">
        <v>1516958</v>
      </c>
      <c r="F12" s="4">
        <f t="shared" si="1"/>
        <v>1416</v>
      </c>
      <c r="G12" s="33">
        <v>2004174</v>
      </c>
      <c r="H12" s="4">
        <f t="shared" si="2"/>
        <v>1683</v>
      </c>
      <c r="I12" s="33">
        <v>2405278</v>
      </c>
      <c r="J12" s="4">
        <f t="shared" si="3"/>
        <v>2240</v>
      </c>
      <c r="K12" s="33">
        <v>2639766</v>
      </c>
      <c r="L12" s="4">
        <f t="shared" si="4"/>
        <v>2846</v>
      </c>
      <c r="M12" s="33">
        <v>5698366</v>
      </c>
      <c r="N12" s="4">
        <f t="shared" si="5"/>
        <v>4631</v>
      </c>
      <c r="O12" s="34">
        <v>34536</v>
      </c>
      <c r="P12" s="10">
        <f t="shared" si="6"/>
        <v>150</v>
      </c>
      <c r="Q12" s="34">
        <v>13925</v>
      </c>
      <c r="R12" s="10">
        <f t="shared" si="7"/>
        <v>50</v>
      </c>
      <c r="S12" s="34">
        <v>22725</v>
      </c>
      <c r="T12" s="10">
        <f t="shared" si="8"/>
        <v>70</v>
      </c>
      <c r="U12" s="3"/>
    </row>
    <row r="13" spans="1:24" ht="39" customHeight="1" x14ac:dyDescent="0.3">
      <c r="A13" s="6">
        <v>46180</v>
      </c>
      <c r="B13" s="16">
        <v>0.24305555555555555</v>
      </c>
      <c r="C13" s="33">
        <v>1722603</v>
      </c>
      <c r="D13" s="4">
        <f t="shared" si="0"/>
        <v>1536</v>
      </c>
      <c r="E13" s="33">
        <v>1518402</v>
      </c>
      <c r="F13" s="4">
        <f t="shared" si="1"/>
        <v>1444</v>
      </c>
      <c r="G13" s="33">
        <v>2005808</v>
      </c>
      <c r="H13" s="4">
        <f t="shared" si="2"/>
        <v>1634</v>
      </c>
      <c r="I13" s="33">
        <v>2407302</v>
      </c>
      <c r="J13" s="4">
        <f t="shared" si="3"/>
        <v>2024</v>
      </c>
      <c r="K13" s="33">
        <v>2642592</v>
      </c>
      <c r="L13" s="4">
        <f t="shared" si="4"/>
        <v>2826</v>
      </c>
      <c r="M13" s="33">
        <v>5702885</v>
      </c>
      <c r="N13" s="4">
        <f t="shared" si="5"/>
        <v>4519</v>
      </c>
      <c r="O13" s="34">
        <v>34687</v>
      </c>
      <c r="P13" s="10">
        <f t="shared" si="6"/>
        <v>151</v>
      </c>
      <c r="Q13" s="34">
        <v>13975</v>
      </c>
      <c r="R13" s="10">
        <f t="shared" si="7"/>
        <v>50</v>
      </c>
      <c r="S13" s="34">
        <v>22806</v>
      </c>
      <c r="T13" s="10">
        <f t="shared" si="8"/>
        <v>81</v>
      </c>
      <c r="U13" s="3"/>
    </row>
    <row r="14" spans="1:24" ht="39" customHeight="1" x14ac:dyDescent="0.3">
      <c r="A14" s="6">
        <v>46181</v>
      </c>
      <c r="B14" s="16">
        <v>0.22222222222222221</v>
      </c>
      <c r="C14" s="33">
        <v>1724016</v>
      </c>
      <c r="D14" s="4">
        <f t="shared" si="0"/>
        <v>1413</v>
      </c>
      <c r="E14" s="33">
        <v>1519863</v>
      </c>
      <c r="F14" s="4">
        <f t="shared" si="1"/>
        <v>1461</v>
      </c>
      <c r="G14" s="33">
        <v>2007500</v>
      </c>
      <c r="H14" s="4">
        <f t="shared" si="2"/>
        <v>1692</v>
      </c>
      <c r="I14" s="33">
        <v>2409270</v>
      </c>
      <c r="J14" s="4">
        <f t="shared" si="3"/>
        <v>1968</v>
      </c>
      <c r="K14" s="33">
        <v>2645228</v>
      </c>
      <c r="L14" s="4">
        <f t="shared" si="4"/>
        <v>2636</v>
      </c>
      <c r="M14" s="33">
        <v>5707782</v>
      </c>
      <c r="N14" s="4">
        <f t="shared" si="5"/>
        <v>4897</v>
      </c>
      <c r="O14" s="34">
        <v>34839</v>
      </c>
      <c r="P14" s="10">
        <f t="shared" si="6"/>
        <v>152</v>
      </c>
      <c r="Q14" s="34">
        <v>14022</v>
      </c>
      <c r="R14" s="10">
        <f t="shared" si="7"/>
        <v>47</v>
      </c>
      <c r="S14" s="34">
        <v>22883</v>
      </c>
      <c r="T14" s="10">
        <f t="shared" si="8"/>
        <v>77</v>
      </c>
      <c r="U14" s="3"/>
    </row>
    <row r="15" spans="1:24" ht="39" customHeight="1" x14ac:dyDescent="0.3">
      <c r="A15" s="6">
        <v>46182</v>
      </c>
      <c r="B15" s="16">
        <v>0.21875</v>
      </c>
      <c r="C15" s="33">
        <v>1725771</v>
      </c>
      <c r="D15" s="4">
        <f t="shared" si="0"/>
        <v>1755</v>
      </c>
      <c r="E15" s="33">
        <v>1521348</v>
      </c>
      <c r="F15" s="4">
        <f t="shared" si="1"/>
        <v>1485</v>
      </c>
      <c r="G15" s="33">
        <v>2009200</v>
      </c>
      <c r="H15" s="4">
        <f t="shared" si="2"/>
        <v>1700</v>
      </c>
      <c r="I15" s="33">
        <v>2411441</v>
      </c>
      <c r="J15" s="4">
        <f>I15-I14</f>
        <v>2171</v>
      </c>
      <c r="K15" s="33">
        <v>2647599</v>
      </c>
      <c r="L15" s="4">
        <f t="shared" si="4"/>
        <v>2371</v>
      </c>
      <c r="M15" s="33">
        <v>5712801</v>
      </c>
      <c r="N15" s="4">
        <f t="shared" si="5"/>
        <v>5019</v>
      </c>
      <c r="O15" s="34">
        <v>34981</v>
      </c>
      <c r="P15" s="10">
        <f t="shared" si="6"/>
        <v>142</v>
      </c>
      <c r="Q15" s="34">
        <v>14060</v>
      </c>
      <c r="R15" s="10">
        <f t="shared" si="7"/>
        <v>38</v>
      </c>
      <c r="S15" s="34">
        <v>22966</v>
      </c>
      <c r="T15" s="10">
        <f t="shared" si="8"/>
        <v>83</v>
      </c>
      <c r="U15" s="3"/>
    </row>
    <row r="16" spans="1:24" ht="39" customHeight="1" x14ac:dyDescent="0.3">
      <c r="A16" s="6">
        <v>46183</v>
      </c>
      <c r="B16" s="16">
        <v>0.22916666666666666</v>
      </c>
      <c r="C16" s="33">
        <v>1727664</v>
      </c>
      <c r="D16" s="4">
        <f t="shared" si="0"/>
        <v>1893</v>
      </c>
      <c r="E16" s="33">
        <v>1522879</v>
      </c>
      <c r="F16" s="4">
        <f t="shared" si="1"/>
        <v>1531</v>
      </c>
      <c r="G16" s="33">
        <v>2011013</v>
      </c>
      <c r="H16" s="4">
        <f t="shared" si="2"/>
        <v>1813</v>
      </c>
      <c r="I16" s="33">
        <v>2413640</v>
      </c>
      <c r="J16" s="4">
        <f t="shared" si="3"/>
        <v>2199</v>
      </c>
      <c r="K16" s="33">
        <v>2650040</v>
      </c>
      <c r="L16" s="4">
        <f t="shared" si="4"/>
        <v>2441</v>
      </c>
      <c r="M16" s="33">
        <v>5718043</v>
      </c>
      <c r="N16" s="4">
        <f t="shared" si="5"/>
        <v>5242</v>
      </c>
      <c r="O16" s="34">
        <v>35127</v>
      </c>
      <c r="P16" s="10">
        <f t="shared" si="6"/>
        <v>146</v>
      </c>
      <c r="Q16" s="34">
        <v>14100</v>
      </c>
      <c r="R16" s="10">
        <f t="shared" si="7"/>
        <v>40</v>
      </c>
      <c r="S16" s="34">
        <v>23032</v>
      </c>
      <c r="T16" s="10">
        <f t="shared" si="8"/>
        <v>66</v>
      </c>
      <c r="U16" s="3"/>
    </row>
    <row r="17" spans="1:21" ht="39" customHeight="1" x14ac:dyDescent="0.3">
      <c r="A17" s="6">
        <v>46184</v>
      </c>
      <c r="B17" s="16">
        <v>0.23611111111111113</v>
      </c>
      <c r="C17" s="33">
        <v>1729632</v>
      </c>
      <c r="D17" s="4">
        <f t="shared" si="0"/>
        <v>1968</v>
      </c>
      <c r="E17" s="33">
        <v>1524350</v>
      </c>
      <c r="F17" s="4">
        <f t="shared" si="1"/>
        <v>1471</v>
      </c>
      <c r="G17" s="33">
        <v>2012962</v>
      </c>
      <c r="H17" s="4">
        <f t="shared" si="2"/>
        <v>1949</v>
      </c>
      <c r="I17" s="33">
        <v>2415880</v>
      </c>
      <c r="J17" s="4">
        <f t="shared" si="3"/>
        <v>2240</v>
      </c>
      <c r="K17" s="33">
        <v>2652537</v>
      </c>
      <c r="L17" s="4">
        <f t="shared" si="4"/>
        <v>2497</v>
      </c>
      <c r="M17" s="33">
        <v>5723392</v>
      </c>
      <c r="N17" s="4">
        <f t="shared" si="5"/>
        <v>5349</v>
      </c>
      <c r="O17" s="34">
        <v>35260</v>
      </c>
      <c r="P17" s="10">
        <f t="shared" si="6"/>
        <v>133</v>
      </c>
      <c r="Q17" s="34">
        <v>14141</v>
      </c>
      <c r="R17" s="10">
        <f t="shared" si="7"/>
        <v>41</v>
      </c>
      <c r="S17" s="34">
        <v>23120</v>
      </c>
      <c r="T17" s="10">
        <f t="shared" si="8"/>
        <v>88</v>
      </c>
      <c r="U17" s="3"/>
    </row>
    <row r="18" spans="1:21" ht="39" customHeight="1" x14ac:dyDescent="0.3">
      <c r="A18" s="6">
        <v>46185</v>
      </c>
      <c r="B18" s="16">
        <v>0.27083333333333331</v>
      </c>
      <c r="C18" s="33">
        <v>1731556</v>
      </c>
      <c r="D18" s="4">
        <f t="shared" si="0"/>
        <v>1924</v>
      </c>
      <c r="E18" s="33">
        <v>1525818</v>
      </c>
      <c r="F18" s="4">
        <f t="shared" si="1"/>
        <v>1468</v>
      </c>
      <c r="G18" s="33">
        <v>2014893</v>
      </c>
      <c r="H18" s="4">
        <f t="shared" si="2"/>
        <v>1931</v>
      </c>
      <c r="I18" s="33">
        <v>2418184</v>
      </c>
      <c r="J18" s="4">
        <f t="shared" si="3"/>
        <v>2304</v>
      </c>
      <c r="K18" s="33">
        <v>2655000</v>
      </c>
      <c r="L18" s="4">
        <f t="shared" si="4"/>
        <v>2463</v>
      </c>
      <c r="M18" s="33">
        <v>5728369</v>
      </c>
      <c r="N18" s="4">
        <f t="shared" si="5"/>
        <v>4977</v>
      </c>
      <c r="O18" s="34">
        <v>35403</v>
      </c>
      <c r="P18" s="10">
        <f t="shared" si="6"/>
        <v>143</v>
      </c>
      <c r="Q18" s="34">
        <v>14187</v>
      </c>
      <c r="R18" s="10">
        <f t="shared" si="7"/>
        <v>46</v>
      </c>
      <c r="S18" s="34">
        <v>23192</v>
      </c>
      <c r="T18" s="10">
        <f t="shared" si="8"/>
        <v>72</v>
      </c>
      <c r="U18" s="3"/>
    </row>
    <row r="19" spans="1:21" ht="39" customHeight="1" x14ac:dyDescent="0.3">
      <c r="A19" s="6">
        <v>46186</v>
      </c>
      <c r="B19" s="16">
        <v>0.22916666666666666</v>
      </c>
      <c r="C19" s="33">
        <v>1733404</v>
      </c>
      <c r="D19" s="4">
        <f t="shared" si="0"/>
        <v>1848</v>
      </c>
      <c r="E19" s="33">
        <v>1527273</v>
      </c>
      <c r="F19" s="4">
        <f t="shared" si="1"/>
        <v>1455</v>
      </c>
      <c r="G19" s="33">
        <v>2016835</v>
      </c>
      <c r="H19" s="4">
        <f t="shared" si="2"/>
        <v>1942</v>
      </c>
      <c r="I19" s="33">
        <v>2420601</v>
      </c>
      <c r="J19" s="4">
        <f t="shared" si="3"/>
        <v>2417</v>
      </c>
      <c r="K19" s="33">
        <v>2657378</v>
      </c>
      <c r="L19" s="4">
        <f t="shared" si="4"/>
        <v>2378</v>
      </c>
      <c r="M19" s="33">
        <v>5733351</v>
      </c>
      <c r="N19" s="4">
        <f t="shared" si="5"/>
        <v>4982</v>
      </c>
      <c r="O19" s="34">
        <v>35514</v>
      </c>
      <c r="P19" s="10">
        <f t="shared" si="6"/>
        <v>111</v>
      </c>
      <c r="Q19" s="34">
        <v>14227</v>
      </c>
      <c r="R19" s="10">
        <f t="shared" si="7"/>
        <v>40</v>
      </c>
      <c r="S19" s="34">
        <v>23265</v>
      </c>
      <c r="T19" s="10">
        <f t="shared" si="8"/>
        <v>73</v>
      </c>
      <c r="U19" s="3"/>
    </row>
    <row r="20" spans="1:21" ht="39" customHeight="1" x14ac:dyDescent="0.3">
      <c r="A20" s="6">
        <v>46187</v>
      </c>
      <c r="B20" s="16">
        <v>0.21875</v>
      </c>
      <c r="C20" s="33">
        <v>1735697</v>
      </c>
      <c r="D20" s="4">
        <f t="shared" si="0"/>
        <v>2293</v>
      </c>
      <c r="E20" s="33">
        <v>1528764</v>
      </c>
      <c r="F20" s="4">
        <f t="shared" si="1"/>
        <v>1491</v>
      </c>
      <c r="G20" s="33">
        <v>2019094</v>
      </c>
      <c r="H20" s="4">
        <f t="shared" si="2"/>
        <v>2259</v>
      </c>
      <c r="I20" s="33">
        <v>2422875</v>
      </c>
      <c r="J20" s="4">
        <f t="shared" si="3"/>
        <v>2274</v>
      </c>
      <c r="K20" s="33">
        <v>2659733</v>
      </c>
      <c r="L20" s="4">
        <f t="shared" si="4"/>
        <v>2355</v>
      </c>
      <c r="M20" s="33">
        <v>5738667</v>
      </c>
      <c r="N20" s="4">
        <f t="shared" si="5"/>
        <v>5316</v>
      </c>
      <c r="O20" s="34">
        <v>35617</v>
      </c>
      <c r="P20" s="10">
        <f t="shared" si="6"/>
        <v>103</v>
      </c>
      <c r="Q20" s="34">
        <v>14293</v>
      </c>
      <c r="R20" s="10">
        <f t="shared" si="7"/>
        <v>66</v>
      </c>
      <c r="S20" s="34">
        <v>23343</v>
      </c>
      <c r="T20" s="10">
        <f t="shared" si="8"/>
        <v>78</v>
      </c>
      <c r="U20" s="3"/>
    </row>
    <row r="21" spans="1:21" ht="39" customHeight="1" x14ac:dyDescent="0.3">
      <c r="A21" s="6">
        <v>46188</v>
      </c>
      <c r="B21" s="16">
        <v>0.20833333333333334</v>
      </c>
      <c r="C21" s="33">
        <v>1737667</v>
      </c>
      <c r="D21" s="4">
        <f t="shared" si="0"/>
        <v>1970</v>
      </c>
      <c r="E21" s="33">
        <v>1530211</v>
      </c>
      <c r="F21" s="4">
        <f t="shared" si="1"/>
        <v>1447</v>
      </c>
      <c r="G21" s="33">
        <v>2021137</v>
      </c>
      <c r="H21" s="4">
        <f t="shared" si="2"/>
        <v>2043</v>
      </c>
      <c r="I21" s="33">
        <v>2425235</v>
      </c>
      <c r="J21" s="4">
        <f t="shared" si="3"/>
        <v>2360</v>
      </c>
      <c r="K21" s="33">
        <v>2662067</v>
      </c>
      <c r="L21" s="4">
        <f t="shared" si="4"/>
        <v>2334</v>
      </c>
      <c r="M21" s="33">
        <v>5744114</v>
      </c>
      <c r="N21" s="4">
        <f t="shared" si="5"/>
        <v>5447</v>
      </c>
      <c r="O21" s="34">
        <v>35728</v>
      </c>
      <c r="P21" s="10">
        <f t="shared" si="6"/>
        <v>111</v>
      </c>
      <c r="Q21" s="34">
        <v>14360</v>
      </c>
      <c r="R21" s="10">
        <f t="shared" si="7"/>
        <v>67</v>
      </c>
      <c r="S21" s="34">
        <v>23458</v>
      </c>
      <c r="T21" s="10">
        <f t="shared" si="8"/>
        <v>115</v>
      </c>
      <c r="U21" s="3"/>
    </row>
    <row r="22" spans="1:21" ht="39" customHeight="1" x14ac:dyDescent="0.3">
      <c r="A22" s="6">
        <v>46189</v>
      </c>
      <c r="B22" s="16">
        <v>0.20138888888888887</v>
      </c>
      <c r="C22" s="33">
        <v>1739651</v>
      </c>
      <c r="D22" s="4">
        <f t="shared" si="0"/>
        <v>1984</v>
      </c>
      <c r="E22" s="33">
        <v>1531572</v>
      </c>
      <c r="F22" s="4">
        <f t="shared" si="1"/>
        <v>1361</v>
      </c>
      <c r="G22" s="33">
        <v>2023322</v>
      </c>
      <c r="H22" s="4">
        <f t="shared" si="2"/>
        <v>2185</v>
      </c>
      <c r="I22" s="33">
        <v>2427600</v>
      </c>
      <c r="J22" s="4">
        <f t="shared" si="3"/>
        <v>2365</v>
      </c>
      <c r="K22" s="33">
        <v>2665140</v>
      </c>
      <c r="L22" s="4">
        <f t="shared" si="4"/>
        <v>3073</v>
      </c>
      <c r="M22" s="33">
        <v>5749542</v>
      </c>
      <c r="N22" s="4">
        <f t="shared" si="5"/>
        <v>5428</v>
      </c>
      <c r="O22" s="34">
        <v>35858</v>
      </c>
      <c r="P22" s="10">
        <f t="shared" si="6"/>
        <v>130</v>
      </c>
      <c r="Q22" s="34">
        <v>14407</v>
      </c>
      <c r="R22" s="10">
        <f t="shared" si="7"/>
        <v>47</v>
      </c>
      <c r="S22" s="34">
        <v>23522</v>
      </c>
      <c r="T22" s="10">
        <f t="shared" si="8"/>
        <v>64</v>
      </c>
      <c r="U22" s="3"/>
    </row>
    <row r="23" spans="1:21" ht="39" customHeight="1" x14ac:dyDescent="0.3">
      <c r="A23" s="6">
        <v>46190</v>
      </c>
      <c r="B23" s="16">
        <v>0.21527777777777779</v>
      </c>
      <c r="C23" s="33">
        <v>1741440</v>
      </c>
      <c r="D23" s="4">
        <f t="shared" si="0"/>
        <v>1789</v>
      </c>
      <c r="E23" s="33">
        <v>1532843</v>
      </c>
      <c r="F23" s="4">
        <f t="shared" si="1"/>
        <v>1271</v>
      </c>
      <c r="G23" s="33">
        <v>2025229</v>
      </c>
      <c r="H23" s="4">
        <f t="shared" si="2"/>
        <v>1907</v>
      </c>
      <c r="I23" s="33">
        <v>2429612</v>
      </c>
      <c r="J23" s="4">
        <f t="shared" si="3"/>
        <v>2012</v>
      </c>
      <c r="K23" s="33">
        <v>2668269</v>
      </c>
      <c r="L23" s="4">
        <f t="shared" si="4"/>
        <v>3129</v>
      </c>
      <c r="M23" s="33">
        <v>5754339</v>
      </c>
      <c r="N23" s="4">
        <f t="shared" si="5"/>
        <v>4797</v>
      </c>
      <c r="O23" s="34">
        <v>36005</v>
      </c>
      <c r="P23" s="10">
        <f t="shared" si="6"/>
        <v>147</v>
      </c>
      <c r="Q23" s="34">
        <v>14465</v>
      </c>
      <c r="R23" s="10">
        <f t="shared" si="7"/>
        <v>58</v>
      </c>
      <c r="S23" s="34">
        <v>23607</v>
      </c>
      <c r="T23" s="10">
        <f t="shared" si="8"/>
        <v>85</v>
      </c>
      <c r="U23" s="3"/>
    </row>
    <row r="24" spans="1:21" ht="39" customHeight="1" x14ac:dyDescent="0.3">
      <c r="A24" s="6">
        <v>46191</v>
      </c>
      <c r="B24" s="16">
        <v>0.22916666666666666</v>
      </c>
      <c r="C24" s="33">
        <v>1743076</v>
      </c>
      <c r="D24" s="4">
        <f t="shared" si="0"/>
        <v>1636</v>
      </c>
      <c r="E24" s="33">
        <v>1534221</v>
      </c>
      <c r="F24" s="4">
        <f t="shared" si="1"/>
        <v>1378</v>
      </c>
      <c r="G24" s="33">
        <v>2026873</v>
      </c>
      <c r="H24" s="4">
        <f t="shared" si="2"/>
        <v>1644</v>
      </c>
      <c r="I24" s="33">
        <v>2431549</v>
      </c>
      <c r="J24" s="4">
        <f t="shared" si="3"/>
        <v>1937</v>
      </c>
      <c r="K24" s="33">
        <v>2670664</v>
      </c>
      <c r="L24" s="4">
        <f t="shared" si="4"/>
        <v>2395</v>
      </c>
      <c r="M24" s="33">
        <v>5758319</v>
      </c>
      <c r="N24" s="4">
        <f t="shared" si="5"/>
        <v>3980</v>
      </c>
      <c r="O24" s="34">
        <v>36139</v>
      </c>
      <c r="P24" s="10">
        <f t="shared" si="6"/>
        <v>134</v>
      </c>
      <c r="Q24" s="34">
        <v>14522</v>
      </c>
      <c r="R24" s="10">
        <f t="shared" si="7"/>
        <v>57</v>
      </c>
      <c r="S24" s="34">
        <v>23651</v>
      </c>
      <c r="T24" s="10">
        <f t="shared" si="8"/>
        <v>44</v>
      </c>
      <c r="U24" s="3"/>
    </row>
    <row r="25" spans="1:21" ht="39" customHeight="1" x14ac:dyDescent="0.3">
      <c r="A25" s="6">
        <v>46192</v>
      </c>
      <c r="B25" s="16">
        <v>0.23958333333333334</v>
      </c>
      <c r="C25" s="33">
        <v>1744673</v>
      </c>
      <c r="D25" s="4">
        <f t="shared" si="0"/>
        <v>1597</v>
      </c>
      <c r="E25" s="33">
        <v>1535594</v>
      </c>
      <c r="F25" s="4">
        <f t="shared" si="1"/>
        <v>1373</v>
      </c>
      <c r="G25" s="33">
        <v>2028544</v>
      </c>
      <c r="H25" s="4">
        <f t="shared" si="2"/>
        <v>1671</v>
      </c>
      <c r="I25" s="33">
        <v>2433551</v>
      </c>
      <c r="J25" s="4">
        <f t="shared" si="3"/>
        <v>2002</v>
      </c>
      <c r="K25" s="33">
        <v>2673055</v>
      </c>
      <c r="L25" s="4">
        <f t="shared" si="4"/>
        <v>2391</v>
      </c>
      <c r="M25" s="33">
        <v>5763473</v>
      </c>
      <c r="N25" s="4">
        <f t="shared" si="5"/>
        <v>5154</v>
      </c>
      <c r="O25" s="34">
        <v>36272</v>
      </c>
      <c r="P25" s="10">
        <f t="shared" si="6"/>
        <v>133</v>
      </c>
      <c r="Q25" s="34">
        <v>14572</v>
      </c>
      <c r="R25" s="10">
        <f t="shared" si="7"/>
        <v>50</v>
      </c>
      <c r="S25" s="34">
        <v>23743</v>
      </c>
      <c r="T25" s="10">
        <f t="shared" si="8"/>
        <v>92</v>
      </c>
      <c r="U25" s="3"/>
    </row>
    <row r="26" spans="1:21" ht="39" customHeight="1" x14ac:dyDescent="0.3">
      <c r="A26" s="6">
        <v>46193</v>
      </c>
      <c r="B26" s="16">
        <v>0.24652777777777779</v>
      </c>
      <c r="C26" s="33">
        <v>1746438</v>
      </c>
      <c r="D26" s="4">
        <f t="shared" si="0"/>
        <v>1765</v>
      </c>
      <c r="E26" s="33">
        <v>1537171</v>
      </c>
      <c r="F26" s="4">
        <f t="shared" si="1"/>
        <v>1577</v>
      </c>
      <c r="G26" s="33">
        <v>2030520</v>
      </c>
      <c r="H26" s="4">
        <f t="shared" si="2"/>
        <v>1976</v>
      </c>
      <c r="I26" s="33">
        <v>2435830</v>
      </c>
      <c r="J26" s="4">
        <f t="shared" si="3"/>
        <v>2279</v>
      </c>
      <c r="K26" s="33">
        <v>2675564</v>
      </c>
      <c r="L26" s="4">
        <f t="shared" si="4"/>
        <v>2509</v>
      </c>
      <c r="M26" s="33">
        <v>5768888</v>
      </c>
      <c r="N26" s="4">
        <f t="shared" si="5"/>
        <v>5415</v>
      </c>
      <c r="O26" s="34">
        <v>36394</v>
      </c>
      <c r="P26" s="10">
        <f t="shared" si="6"/>
        <v>122</v>
      </c>
      <c r="Q26" s="34">
        <v>14628</v>
      </c>
      <c r="R26" s="10">
        <f t="shared" si="7"/>
        <v>56</v>
      </c>
      <c r="S26" s="34">
        <v>23820</v>
      </c>
      <c r="T26" s="10">
        <f t="shared" si="8"/>
        <v>77</v>
      </c>
      <c r="U26" s="3"/>
    </row>
    <row r="27" spans="1:21" ht="39" customHeight="1" x14ac:dyDescent="0.3">
      <c r="A27" s="6">
        <v>46194</v>
      </c>
      <c r="B27" s="16">
        <v>0.20833333333333334</v>
      </c>
      <c r="C27" s="33">
        <v>1748415</v>
      </c>
      <c r="D27" s="4">
        <f t="shared" si="0"/>
        <v>1977</v>
      </c>
      <c r="E27" s="33">
        <v>1538628</v>
      </c>
      <c r="F27" s="4">
        <f t="shared" si="1"/>
        <v>1457</v>
      </c>
      <c r="G27" s="33">
        <v>2032933</v>
      </c>
      <c r="H27" s="4">
        <f t="shared" si="2"/>
        <v>2413</v>
      </c>
      <c r="I27" s="33">
        <v>2438399</v>
      </c>
      <c r="J27" s="4">
        <f t="shared" si="3"/>
        <v>2569</v>
      </c>
      <c r="K27" s="33">
        <v>2678082</v>
      </c>
      <c r="L27" s="4">
        <f t="shared" si="4"/>
        <v>2518</v>
      </c>
      <c r="M27" s="33">
        <v>5774121</v>
      </c>
      <c r="N27" s="4">
        <f t="shared" si="5"/>
        <v>5233</v>
      </c>
      <c r="O27" s="34">
        <v>36443</v>
      </c>
      <c r="P27" s="10">
        <f t="shared" si="6"/>
        <v>49</v>
      </c>
      <c r="Q27" s="34">
        <v>14685</v>
      </c>
      <c r="R27" s="10">
        <f t="shared" si="7"/>
        <v>57</v>
      </c>
      <c r="S27" s="34">
        <v>23906</v>
      </c>
      <c r="T27" s="10">
        <f t="shared" si="8"/>
        <v>86</v>
      </c>
      <c r="U27" s="3"/>
    </row>
    <row r="28" spans="1:21" ht="39" customHeight="1" x14ac:dyDescent="0.3">
      <c r="A28" s="6">
        <v>46195</v>
      </c>
      <c r="B28" s="16">
        <v>0.27083333333333331</v>
      </c>
      <c r="C28" s="33">
        <v>1750406</v>
      </c>
      <c r="D28" s="4">
        <f t="shared" si="0"/>
        <v>1991</v>
      </c>
      <c r="E28" s="33">
        <v>1539975</v>
      </c>
      <c r="F28" s="4">
        <f t="shared" si="1"/>
        <v>1347</v>
      </c>
      <c r="G28" s="33">
        <v>2034876</v>
      </c>
      <c r="H28" s="4">
        <f t="shared" si="2"/>
        <v>1943</v>
      </c>
      <c r="I28" s="33">
        <v>2440717</v>
      </c>
      <c r="J28" s="4">
        <f t="shared" si="3"/>
        <v>2318</v>
      </c>
      <c r="K28" s="33">
        <v>2680531</v>
      </c>
      <c r="L28" s="4">
        <f t="shared" si="4"/>
        <v>2449</v>
      </c>
      <c r="M28" s="33">
        <v>5779201</v>
      </c>
      <c r="N28" s="4">
        <f t="shared" si="5"/>
        <v>5080</v>
      </c>
      <c r="O28" s="34">
        <v>36614</v>
      </c>
      <c r="P28" s="10">
        <f t="shared" si="6"/>
        <v>171</v>
      </c>
      <c r="Q28" s="34">
        <v>14761</v>
      </c>
      <c r="R28" s="10">
        <f t="shared" si="7"/>
        <v>76</v>
      </c>
      <c r="S28" s="34">
        <v>23994</v>
      </c>
      <c r="T28" s="10">
        <f t="shared" si="8"/>
        <v>88</v>
      </c>
      <c r="U28" s="3"/>
    </row>
    <row r="29" spans="1:21" ht="39" customHeight="1" x14ac:dyDescent="0.3">
      <c r="A29" s="6">
        <v>46196</v>
      </c>
      <c r="B29" s="16">
        <v>0.20833333333333334</v>
      </c>
      <c r="C29" s="33">
        <v>1752418</v>
      </c>
      <c r="D29" s="4">
        <f t="shared" si="0"/>
        <v>2012</v>
      </c>
      <c r="E29" s="33">
        <v>1541287</v>
      </c>
      <c r="F29" s="4">
        <f t="shared" si="1"/>
        <v>1312</v>
      </c>
      <c r="G29" s="33">
        <v>2036804</v>
      </c>
      <c r="H29" s="4">
        <f t="shared" si="2"/>
        <v>1928</v>
      </c>
      <c r="I29" s="33">
        <v>2442971</v>
      </c>
      <c r="J29" s="4">
        <f t="shared" si="3"/>
        <v>2254</v>
      </c>
      <c r="K29" s="33">
        <v>2682976</v>
      </c>
      <c r="L29" s="4">
        <f t="shared" si="4"/>
        <v>2445</v>
      </c>
      <c r="M29" s="33">
        <v>5784122</v>
      </c>
      <c r="N29" s="4">
        <f t="shared" si="5"/>
        <v>4921</v>
      </c>
      <c r="O29" s="34">
        <v>36731</v>
      </c>
      <c r="P29" s="10">
        <f t="shared" si="6"/>
        <v>117</v>
      </c>
      <c r="Q29" s="34">
        <v>14818</v>
      </c>
      <c r="R29" s="10">
        <f t="shared" si="7"/>
        <v>57</v>
      </c>
      <c r="S29" s="34">
        <v>24060</v>
      </c>
      <c r="T29" s="10">
        <f t="shared" si="8"/>
        <v>66</v>
      </c>
      <c r="U29" s="3"/>
    </row>
    <row r="30" spans="1:21" ht="39" customHeight="1" x14ac:dyDescent="0.3">
      <c r="A30" s="6">
        <v>46197</v>
      </c>
      <c r="B30" s="16">
        <v>0.1875</v>
      </c>
      <c r="C30" s="33">
        <v>1754404</v>
      </c>
      <c r="D30" s="4">
        <f t="shared" si="0"/>
        <v>1986</v>
      </c>
      <c r="E30" s="33">
        <v>1542672</v>
      </c>
      <c r="F30" s="4">
        <f t="shared" si="1"/>
        <v>1385</v>
      </c>
      <c r="G30" s="33">
        <v>2038689</v>
      </c>
      <c r="H30" s="4">
        <f t="shared" si="2"/>
        <v>1885</v>
      </c>
      <c r="I30" s="33">
        <v>2445211</v>
      </c>
      <c r="J30" s="4">
        <f t="shared" si="3"/>
        <v>2240</v>
      </c>
      <c r="K30" s="33">
        <v>2685523</v>
      </c>
      <c r="L30" s="4">
        <f t="shared" si="4"/>
        <v>2547</v>
      </c>
      <c r="M30" s="33">
        <v>5789509</v>
      </c>
      <c r="N30" s="4">
        <f t="shared" si="5"/>
        <v>5387</v>
      </c>
      <c r="O30" s="34">
        <v>36852</v>
      </c>
      <c r="P30" s="10">
        <f t="shared" si="6"/>
        <v>121</v>
      </c>
      <c r="Q30" s="34">
        <v>14862</v>
      </c>
      <c r="R30" s="10">
        <f t="shared" si="7"/>
        <v>44</v>
      </c>
      <c r="S30" s="34">
        <v>24105</v>
      </c>
      <c r="T30" s="10">
        <f t="shared" si="8"/>
        <v>45</v>
      </c>
      <c r="U30" s="3"/>
    </row>
    <row r="31" spans="1:21" ht="39" customHeight="1" x14ac:dyDescent="0.3">
      <c r="A31" s="6">
        <v>46198</v>
      </c>
      <c r="B31" s="16">
        <v>0.27083333333333331</v>
      </c>
      <c r="C31" s="33">
        <v>1756504</v>
      </c>
      <c r="D31" s="4">
        <f t="shared" si="0"/>
        <v>2100</v>
      </c>
      <c r="E31" s="33">
        <v>1544187</v>
      </c>
      <c r="F31" s="4">
        <f t="shared" si="1"/>
        <v>1515</v>
      </c>
      <c r="G31" s="33">
        <v>2040796</v>
      </c>
      <c r="H31" s="4">
        <f t="shared" si="2"/>
        <v>2107</v>
      </c>
      <c r="I31" s="33">
        <v>2447540</v>
      </c>
      <c r="J31" s="4">
        <f t="shared" si="3"/>
        <v>2329</v>
      </c>
      <c r="K31" s="33">
        <v>2688186</v>
      </c>
      <c r="L31" s="4">
        <f t="shared" si="4"/>
        <v>2663</v>
      </c>
      <c r="M31" s="33">
        <v>5795058</v>
      </c>
      <c r="N31" s="4">
        <f t="shared" si="5"/>
        <v>5549</v>
      </c>
      <c r="O31" s="34">
        <v>36988</v>
      </c>
      <c r="P31" s="10">
        <f t="shared" si="6"/>
        <v>136</v>
      </c>
      <c r="Q31" s="34">
        <v>14918</v>
      </c>
      <c r="R31" s="10">
        <f t="shared" si="7"/>
        <v>56</v>
      </c>
      <c r="S31" s="34">
        <v>24138</v>
      </c>
      <c r="T31" s="10">
        <f t="shared" si="8"/>
        <v>33</v>
      </c>
      <c r="U31" s="3"/>
    </row>
    <row r="32" spans="1:21" ht="39" customHeight="1" x14ac:dyDescent="0.3">
      <c r="A32" s="6">
        <v>46199</v>
      </c>
      <c r="B32" s="16">
        <v>0.25</v>
      </c>
      <c r="C32" s="33">
        <v>1758448</v>
      </c>
      <c r="D32" s="4">
        <f t="shared" si="0"/>
        <v>1944</v>
      </c>
      <c r="E32" s="33">
        <v>1545603</v>
      </c>
      <c r="F32" s="4">
        <f t="shared" si="1"/>
        <v>1416</v>
      </c>
      <c r="G32" s="33">
        <v>2042833</v>
      </c>
      <c r="H32" s="4">
        <f t="shared" si="2"/>
        <v>2037</v>
      </c>
      <c r="I32" s="33">
        <v>2449762</v>
      </c>
      <c r="J32" s="4">
        <f t="shared" si="3"/>
        <v>2222</v>
      </c>
      <c r="K32" s="33">
        <v>2690603</v>
      </c>
      <c r="L32" s="4">
        <f t="shared" si="4"/>
        <v>2417</v>
      </c>
      <c r="M32" s="33">
        <v>5799946</v>
      </c>
      <c r="N32" s="4">
        <f t="shared" si="5"/>
        <v>4888</v>
      </c>
      <c r="O32" s="34">
        <v>37144</v>
      </c>
      <c r="P32" s="10">
        <f t="shared" si="6"/>
        <v>156</v>
      </c>
      <c r="Q32" s="34">
        <v>14941</v>
      </c>
      <c r="R32" s="10">
        <f t="shared" si="7"/>
        <v>23</v>
      </c>
      <c r="S32" s="34">
        <v>24185</v>
      </c>
      <c r="T32" s="10">
        <f t="shared" si="8"/>
        <v>47</v>
      </c>
      <c r="U32" s="3"/>
    </row>
    <row r="33" spans="1:21" ht="39" customHeight="1" x14ac:dyDescent="0.3">
      <c r="A33" s="6">
        <v>46200</v>
      </c>
      <c r="B33" s="16">
        <v>0.22916666666666699</v>
      </c>
      <c r="C33" s="33">
        <v>1760385</v>
      </c>
      <c r="D33" s="4">
        <f t="shared" si="0"/>
        <v>1937</v>
      </c>
      <c r="E33" s="33">
        <v>1547017</v>
      </c>
      <c r="F33" s="4">
        <f t="shared" si="1"/>
        <v>1414</v>
      </c>
      <c r="G33" s="33">
        <v>2044704</v>
      </c>
      <c r="H33" s="4">
        <f t="shared" si="2"/>
        <v>1871</v>
      </c>
      <c r="I33" s="33">
        <v>2451935</v>
      </c>
      <c r="J33" s="4">
        <f t="shared" si="3"/>
        <v>2173</v>
      </c>
      <c r="K33" s="33">
        <v>2693891</v>
      </c>
      <c r="L33" s="4">
        <f t="shared" si="4"/>
        <v>3288</v>
      </c>
      <c r="M33" s="33">
        <v>5805153</v>
      </c>
      <c r="N33" s="4">
        <f t="shared" si="5"/>
        <v>5207</v>
      </c>
      <c r="O33" s="34">
        <v>37277</v>
      </c>
      <c r="P33" s="10">
        <f t="shared" si="6"/>
        <v>133</v>
      </c>
      <c r="Q33" s="34">
        <v>14984</v>
      </c>
      <c r="R33" s="10">
        <f t="shared" si="7"/>
        <v>43</v>
      </c>
      <c r="S33" s="34">
        <v>24247</v>
      </c>
      <c r="T33" s="10">
        <f t="shared" si="8"/>
        <v>62</v>
      </c>
      <c r="U33" s="3"/>
    </row>
    <row r="34" spans="1:21" ht="39" customHeight="1" x14ac:dyDescent="0.3">
      <c r="A34" s="6">
        <v>46201</v>
      </c>
      <c r="B34" s="16">
        <v>0.20833333333333301</v>
      </c>
      <c r="C34" s="33">
        <v>1762201</v>
      </c>
      <c r="D34" s="4">
        <f t="shared" si="0"/>
        <v>1816</v>
      </c>
      <c r="E34" s="33">
        <v>1548567</v>
      </c>
      <c r="F34" s="4">
        <f t="shared" si="1"/>
        <v>1550</v>
      </c>
      <c r="G34" s="33">
        <v>2046774</v>
      </c>
      <c r="H34" s="4">
        <f t="shared" si="2"/>
        <v>2070</v>
      </c>
      <c r="I34" s="33">
        <v>2454146</v>
      </c>
      <c r="J34" s="4">
        <f t="shared" si="3"/>
        <v>2211</v>
      </c>
      <c r="K34" s="33">
        <v>2697017</v>
      </c>
      <c r="L34" s="4">
        <f t="shared" si="4"/>
        <v>3126</v>
      </c>
      <c r="M34" s="33">
        <v>5810116</v>
      </c>
      <c r="N34" s="4">
        <f t="shared" si="5"/>
        <v>4963</v>
      </c>
      <c r="O34" s="34">
        <v>37420</v>
      </c>
      <c r="P34" s="10">
        <f t="shared" si="6"/>
        <v>143</v>
      </c>
      <c r="Q34" s="34">
        <v>15025</v>
      </c>
      <c r="R34" s="10">
        <f t="shared" si="7"/>
        <v>41</v>
      </c>
      <c r="S34" s="34">
        <v>24290</v>
      </c>
      <c r="T34" s="10">
        <f t="shared" si="8"/>
        <v>43</v>
      </c>
      <c r="U34" s="3"/>
    </row>
    <row r="35" spans="1:21" ht="39" customHeight="1" x14ac:dyDescent="0.3">
      <c r="A35" s="6">
        <v>46202</v>
      </c>
      <c r="B35" s="16">
        <v>0.22916666666666666</v>
      </c>
      <c r="C35" s="33">
        <v>1763984</v>
      </c>
      <c r="D35" s="4">
        <f t="shared" si="0"/>
        <v>1783</v>
      </c>
      <c r="E35" s="33">
        <v>1550136</v>
      </c>
      <c r="F35" s="4">
        <f t="shared" si="1"/>
        <v>1569</v>
      </c>
      <c r="G35" s="33">
        <v>2048803</v>
      </c>
      <c r="H35" s="4">
        <f t="shared" si="2"/>
        <v>2029</v>
      </c>
      <c r="I35" s="33">
        <v>2456178</v>
      </c>
      <c r="J35" s="4">
        <f t="shared" si="3"/>
        <v>2032</v>
      </c>
      <c r="K35" s="33">
        <v>2699419</v>
      </c>
      <c r="L35" s="4">
        <f t="shared" si="4"/>
        <v>2402</v>
      </c>
      <c r="M35" s="33">
        <v>5815132</v>
      </c>
      <c r="N35" s="4">
        <f t="shared" si="5"/>
        <v>5016</v>
      </c>
      <c r="O35" s="34">
        <v>37562</v>
      </c>
      <c r="P35" s="10">
        <f t="shared" si="6"/>
        <v>142</v>
      </c>
      <c r="Q35" s="34">
        <v>15060</v>
      </c>
      <c r="R35" s="10">
        <f t="shared" si="7"/>
        <v>35</v>
      </c>
      <c r="S35" s="34">
        <v>24388</v>
      </c>
      <c r="T35" s="10">
        <f t="shared" si="8"/>
        <v>98</v>
      </c>
      <c r="U35" s="3"/>
    </row>
    <row r="36" spans="1:21" ht="39" customHeight="1" x14ac:dyDescent="0.3">
      <c r="A36" s="6">
        <v>46203</v>
      </c>
      <c r="B36" s="16">
        <v>0.23958333333333334</v>
      </c>
      <c r="C36" s="33">
        <v>1765877</v>
      </c>
      <c r="D36" s="4">
        <f t="shared" si="0"/>
        <v>1893</v>
      </c>
      <c r="E36" s="33">
        <v>1551544</v>
      </c>
      <c r="F36" s="4">
        <f t="shared" si="1"/>
        <v>1408</v>
      </c>
      <c r="G36" s="33">
        <v>2050742</v>
      </c>
      <c r="H36" s="4">
        <f t="shared" si="2"/>
        <v>1939</v>
      </c>
      <c r="I36" s="33">
        <v>2458241</v>
      </c>
      <c r="J36" s="4">
        <f t="shared" si="3"/>
        <v>2063</v>
      </c>
      <c r="K36" s="33">
        <v>2702675</v>
      </c>
      <c r="L36" s="4">
        <f t="shared" si="4"/>
        <v>3256</v>
      </c>
      <c r="M36" s="33">
        <v>5820137</v>
      </c>
      <c r="N36" s="4">
        <f t="shared" si="5"/>
        <v>5005</v>
      </c>
      <c r="O36" s="34">
        <v>37698</v>
      </c>
      <c r="P36" s="10">
        <f t="shared" si="6"/>
        <v>136</v>
      </c>
      <c r="Q36" s="34">
        <v>15110</v>
      </c>
      <c r="R36" s="10">
        <f t="shared" si="7"/>
        <v>50</v>
      </c>
      <c r="S36" s="34">
        <v>24454</v>
      </c>
      <c r="T36" s="10">
        <f t="shared" si="8"/>
        <v>66</v>
      </c>
      <c r="U36" s="3"/>
    </row>
    <row r="37" spans="1:21" ht="39" customHeight="1" x14ac:dyDescent="0.3">
      <c r="A37" s="6"/>
      <c r="B37" s="16"/>
      <c r="C37" s="33"/>
      <c r="D37" s="4"/>
      <c r="E37" s="33"/>
      <c r="F37" s="4"/>
      <c r="G37" s="33"/>
      <c r="H37" s="4"/>
      <c r="I37" s="33"/>
      <c r="J37" s="4"/>
      <c r="K37" s="33"/>
      <c r="L37" s="4"/>
      <c r="M37" s="33"/>
      <c r="N37" s="4"/>
      <c r="O37" s="34"/>
      <c r="P37" s="10"/>
      <c r="Q37" s="34"/>
      <c r="R37" s="10"/>
      <c r="S37" s="34"/>
      <c r="T37" s="10"/>
      <c r="U37" s="3"/>
    </row>
    <row r="38" spans="1:21" ht="39" customHeight="1" x14ac:dyDescent="0.3">
      <c r="A38" s="6"/>
      <c r="B38" s="16"/>
      <c r="C38" s="33"/>
      <c r="D38" s="4"/>
      <c r="E38" s="33"/>
      <c r="F38" s="4"/>
      <c r="G38" s="33"/>
      <c r="H38" s="4"/>
      <c r="I38" s="33"/>
      <c r="J38" s="4"/>
      <c r="K38" s="33"/>
      <c r="L38" s="4"/>
      <c r="M38" s="33"/>
      <c r="N38" s="4"/>
      <c r="O38" s="34"/>
      <c r="P38" s="10"/>
      <c r="Q38" s="34"/>
      <c r="R38" s="10"/>
      <c r="S38" s="34"/>
      <c r="T38" s="10"/>
      <c r="U38" s="3"/>
    </row>
    <row r="39" spans="1:21" x14ac:dyDescent="0.25">
      <c r="D39" s="1">
        <f>SUM(D6:D38)</f>
        <v>54714</v>
      </c>
      <c r="F39" s="1">
        <f t="shared" ref="F39" si="9">SUM(F6:F38)</f>
        <v>42995</v>
      </c>
      <c r="H39" s="1">
        <f t="shared" ref="H39" si="10">SUM(H6:H38)</f>
        <v>57920</v>
      </c>
      <c r="J39" s="1">
        <f t="shared" ref="J39" si="11">SUM(J6:J38)</f>
        <v>66353</v>
      </c>
      <c r="L39" s="1">
        <f t="shared" ref="L39" si="12">SUM(L6:L38)</f>
        <v>80119</v>
      </c>
      <c r="N39" s="1">
        <f t="shared" ref="N39" si="13">SUM(N6:N38)</f>
        <v>150869</v>
      </c>
      <c r="O39" s="1"/>
      <c r="P39" s="1">
        <f t="shared" ref="P39" si="14">SUM(P6:P38)</f>
        <v>4065</v>
      </c>
      <c r="Q39" s="1"/>
      <c r="R39" s="1">
        <f t="shared" ref="R39" si="15">SUM(R6:R38)</f>
        <v>1449</v>
      </c>
      <c r="S39" s="1"/>
      <c r="T39" s="1">
        <f t="shared" ref="T39" si="16">SUM(T6:T38)</f>
        <v>2151</v>
      </c>
    </row>
    <row r="40" spans="1:21" x14ac:dyDescent="0.25">
      <c r="C40" s="1">
        <f>C38-C6</f>
        <v>-1711163</v>
      </c>
      <c r="E40" s="1">
        <f t="shared" ref="E40" si="17">E38-E6</f>
        <v>-1508549</v>
      </c>
      <c r="G40" s="1">
        <f t="shared" ref="G40" si="18">G38-G6</f>
        <v>-1992822</v>
      </c>
      <c r="I40" s="1">
        <f t="shared" ref="I40" si="19">I38-I6</f>
        <v>-2391888</v>
      </c>
      <c r="K40" s="1">
        <f t="shared" ref="K40" si="20">K38-K6</f>
        <v>-2622556</v>
      </c>
      <c r="M40" s="1">
        <f t="shared" ref="M40:S40" si="21">M38-M6</f>
        <v>-5669268</v>
      </c>
      <c r="O40" s="1">
        <f t="shared" si="21"/>
        <v>-33633</v>
      </c>
      <c r="P40" s="1"/>
      <c r="Q40" s="1">
        <f t="shared" si="21"/>
        <v>-13661</v>
      </c>
      <c r="R40" s="1"/>
      <c r="S40" s="1">
        <f t="shared" si="21"/>
        <v>-22303</v>
      </c>
      <c r="T40" s="1"/>
    </row>
    <row r="42" spans="1:21" x14ac:dyDescent="0.25">
      <c r="O42" s="1"/>
      <c r="Q42" s="1"/>
      <c r="S42" s="1"/>
    </row>
  </sheetData>
  <mergeCells count="22">
    <mergeCell ref="T2:T4"/>
    <mergeCell ref="L2:L4"/>
    <mergeCell ref="N2:N4"/>
    <mergeCell ref="K4:K5"/>
    <mergeCell ref="M4:M5"/>
    <mergeCell ref="R2:R4"/>
    <mergeCell ref="A4:A5"/>
    <mergeCell ref="C1:U1"/>
    <mergeCell ref="D2:D4"/>
    <mergeCell ref="P2:P4"/>
    <mergeCell ref="U2:U5"/>
    <mergeCell ref="F2:F4"/>
    <mergeCell ref="O2:O4"/>
    <mergeCell ref="Q2:Q4"/>
    <mergeCell ref="B2:B5"/>
    <mergeCell ref="C4:C5"/>
    <mergeCell ref="E4:E5"/>
    <mergeCell ref="H2:H4"/>
    <mergeCell ref="G4:G5"/>
    <mergeCell ref="J2:J4"/>
    <mergeCell ref="I4:I5"/>
    <mergeCell ref="S2:S4"/>
  </mergeCells>
  <pageMargins left="0.25" right="0.25" top="0.75" bottom="0.75" header="0.3" footer="0.3"/>
  <pageSetup paperSize="9" scale="55" fitToWidth="0" orientation="portrait" r:id="rId1"/>
  <headerFooter>
    <oddFooter>&amp;LPage &amp;P of &amp;N&amp;C_x000D_&amp;1#&amp;"Calibri"&amp;12&amp;K000000 Internal&amp;RQAH/DCT/eFM/IMS/OPHS/METREADPWR-FMC/0058 Rev 00 01/23/2019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129D9069525B4A8C299D6D6E4D9842" ma:contentTypeVersion="16" ma:contentTypeDescription="Create a new document." ma:contentTypeScope="" ma:versionID="e54e0c0dea70299338c727cec1b8bdef">
  <xsd:schema xmlns:xsd="http://www.w3.org/2001/XMLSchema" xmlns:xs="http://www.w3.org/2001/XMLSchema" xmlns:p="http://schemas.microsoft.com/office/2006/metadata/properties" xmlns:ns3="bdac2669-c29b-4eee-91c8-439ba055a508" xmlns:ns4="8ab914d0-83cb-4256-bfab-90cf244784c7" targetNamespace="http://schemas.microsoft.com/office/2006/metadata/properties" ma:root="true" ma:fieldsID="75e53a7030d9167bdcea465d4aad9651" ns3:_="" ns4:_="">
    <xsd:import namespace="bdac2669-c29b-4eee-91c8-439ba055a508"/>
    <xsd:import namespace="8ab914d0-83cb-4256-bfab-90cf244784c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ac2669-c29b-4eee-91c8-439ba055a5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b914d0-83cb-4256-bfab-90cf244784c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dac2669-c29b-4eee-91c8-439ba055a508" xsi:nil="true"/>
  </documentManagement>
</p:properties>
</file>

<file path=customXml/itemProps1.xml><?xml version="1.0" encoding="utf-8"?>
<ds:datastoreItem xmlns:ds="http://schemas.openxmlformats.org/officeDocument/2006/customXml" ds:itemID="{A1EE0889-3C7D-4A1D-8F6C-CBC732B801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ac2669-c29b-4eee-91c8-439ba055a508"/>
    <ds:schemaRef ds:uri="8ab914d0-83cb-4256-bfab-90cf244784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1509642-2593-4443-9081-B746EEEC7E7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688C7A-5E58-4F59-8DB0-1F93F20E5B17}">
  <ds:schemaRefs>
    <ds:schemaRef ds:uri="http://schemas.microsoft.com/office/2006/metadata/properties"/>
    <ds:schemaRef ds:uri="http://schemas.microsoft.com/office/infopath/2007/PartnerControls"/>
    <ds:schemaRef ds:uri="bdac2669-c29b-4eee-91c8-439ba055a508"/>
  </ds:schemaRefs>
</ds:datastoreItem>
</file>

<file path=docMetadata/LabelInfo.xml><?xml version="1.0" encoding="utf-8"?>
<clbl:labelList xmlns:clbl="http://schemas.microsoft.com/office/2020/mipLabelMetadata">
  <clbl:label id="{a47fc36d-dc5d-4617-b467-14a51d2dca8e}" enabled="0" method="" siteId="{a47fc36d-dc5d-4617-b467-14a51d2dca8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Total</vt:lpstr>
      <vt:lpstr>BAN-L Electrical &amp; Water </vt:lpstr>
      <vt:lpstr>'BAN-L Electrical &amp; Water 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Rushan</dc:creator>
  <cp:keywords/>
  <dc:description/>
  <cp:lastModifiedBy>Muhammad Waseem</cp:lastModifiedBy>
  <cp:revision/>
  <dcterms:created xsi:type="dcterms:W3CDTF">2018-12-27T05:07:34Z</dcterms:created>
  <dcterms:modified xsi:type="dcterms:W3CDTF">2026-07-07T10:05:22Z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adedb8f-f6e8-473a-8eb6-5e84cba1f58e_Enabled">
    <vt:lpwstr>true</vt:lpwstr>
  </property>
  <property fmtid="{D5CDD505-2E9C-101B-9397-08002B2CF9AE}" pid="3" name="MSIP_Label_cadedb8f-f6e8-473a-8eb6-5e84cba1f58e_SetDate">
    <vt:lpwstr>2023-12-12T05:18:34Z</vt:lpwstr>
  </property>
  <property fmtid="{D5CDD505-2E9C-101B-9397-08002B2CF9AE}" pid="4" name="MSIP_Label_cadedb8f-f6e8-473a-8eb6-5e84cba1f58e_Method">
    <vt:lpwstr>Standard</vt:lpwstr>
  </property>
  <property fmtid="{D5CDD505-2E9C-101B-9397-08002B2CF9AE}" pid="5" name="MSIP_Label_cadedb8f-f6e8-473a-8eb6-5e84cba1f58e_Name">
    <vt:lpwstr>Internal</vt:lpwstr>
  </property>
  <property fmtid="{D5CDD505-2E9C-101B-9397-08002B2CF9AE}" pid="6" name="MSIP_Label_cadedb8f-f6e8-473a-8eb6-5e84cba1f58e_SiteId">
    <vt:lpwstr>956d0a5b-65df-40ee-b210-145b0e79eac8</vt:lpwstr>
  </property>
  <property fmtid="{D5CDD505-2E9C-101B-9397-08002B2CF9AE}" pid="7" name="MSIP_Label_cadedb8f-f6e8-473a-8eb6-5e84cba1f58e_ActionId">
    <vt:lpwstr>1e215cfd-7568-4d52-9866-0f8556d0cfa2</vt:lpwstr>
  </property>
  <property fmtid="{D5CDD505-2E9C-101B-9397-08002B2CF9AE}" pid="8" name="MSIP_Label_cadedb8f-f6e8-473a-8eb6-5e84cba1f58e_ContentBits">
    <vt:lpwstr>2</vt:lpwstr>
  </property>
  <property fmtid="{D5CDD505-2E9C-101B-9397-08002B2CF9AE}" pid="9" name="ContentTypeId">
    <vt:lpwstr>0x01010005129D9069525B4A8C299D6D6E4D9842</vt:lpwstr>
  </property>
</Properties>
</file>